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50056342\Desktop\computer science\NUR Project Lyne\inputs\"/>
    </mc:Choice>
  </mc:AlternateContent>
  <xr:revisionPtr revIDLastSave="0" documentId="13_ncr:1_{623F0FDB-BCFB-4E91-8F0A-8430B52F2293}" xr6:coauthVersionLast="47" xr6:coauthVersionMax="47" xr10:uidLastSave="{00000000-0000-0000-0000-000000000000}"/>
  <bookViews>
    <workbookView xWindow="-108" yWindow="-108" windowWidth="23256" windowHeight="14856" activeTab="1" xr2:uid="{00000000-000D-0000-FFFF-FFFF00000000}"/>
  </bookViews>
  <sheets>
    <sheet name="RAPPORT" sheetId="1" r:id="rId1"/>
    <sheet name="daily break down" sheetId="2" r:id="rId2"/>
    <sheet name="impacted" sheetId="3" r:id="rId3"/>
    <sheet name="INCIDENT-04-29-2026" sheetId="4" r:id="rId4"/>
    <sheet name="Corresponda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2" i="4" l="1"/>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D208" i="4"/>
  <c r="E208" i="4" s="1"/>
  <c r="D207" i="4"/>
  <c r="E207" i="4" s="1"/>
  <c r="D206" i="4"/>
  <c r="E206" i="4" s="1"/>
  <c r="D205" i="4"/>
  <c r="E205" i="4" s="1"/>
  <c r="E204" i="4"/>
  <c r="D204" i="4"/>
  <c r="E203" i="4"/>
  <c r="D203" i="4"/>
  <c r="D202" i="4"/>
  <c r="E202" i="4" s="1"/>
  <c r="D201" i="4"/>
  <c r="E201" i="4" s="1"/>
  <c r="D200" i="4"/>
  <c r="E200" i="4" s="1"/>
  <c r="D199" i="4"/>
  <c r="E199" i="4" s="1"/>
  <c r="D198" i="4"/>
  <c r="E198" i="4" s="1"/>
  <c r="D197" i="4"/>
  <c r="E197" i="4" s="1"/>
  <c r="E196" i="4"/>
  <c r="D196" i="4"/>
  <c r="E195" i="4"/>
  <c r="D195" i="4"/>
  <c r="D194" i="4"/>
  <c r="E194" i="4" s="1"/>
  <c r="D193" i="4"/>
  <c r="E193" i="4" s="1"/>
  <c r="D192" i="4"/>
  <c r="E192" i="4" s="1"/>
  <c r="D191" i="4"/>
  <c r="E191" i="4" s="1"/>
  <c r="D190" i="4"/>
  <c r="E190" i="4" s="1"/>
  <c r="D189" i="4"/>
  <c r="E189" i="4" s="1"/>
  <c r="E188" i="4"/>
  <c r="D188" i="4"/>
  <c r="E187" i="4"/>
  <c r="D187" i="4"/>
  <c r="D186" i="4"/>
  <c r="E186" i="4" s="1"/>
  <c r="D185" i="4"/>
  <c r="E185" i="4" s="1"/>
  <c r="D184" i="4"/>
  <c r="E184" i="4" s="1"/>
  <c r="D183" i="4"/>
  <c r="E183" i="4" s="1"/>
  <c r="D182" i="4"/>
  <c r="E182" i="4" s="1"/>
  <c r="D181" i="4"/>
  <c r="E181" i="4" s="1"/>
  <c r="E180" i="4"/>
  <c r="D180" i="4"/>
  <c r="E179" i="4"/>
  <c r="D179" i="4"/>
  <c r="D178" i="4"/>
  <c r="E178" i="4" s="1"/>
  <c r="D177" i="4"/>
  <c r="E177" i="4" s="1"/>
  <c r="D176" i="4"/>
  <c r="E176" i="4" s="1"/>
  <c r="D175" i="4"/>
  <c r="E175" i="4" s="1"/>
  <c r="D174" i="4"/>
  <c r="E174" i="4" s="1"/>
  <c r="D173" i="4"/>
  <c r="E173" i="4" s="1"/>
  <c r="E172" i="4"/>
  <c r="D172" i="4"/>
  <c r="E171" i="4"/>
  <c r="D171" i="4"/>
  <c r="D170" i="4"/>
  <c r="E170" i="4" s="1"/>
  <c r="D169" i="4"/>
  <c r="E169" i="4" s="1"/>
  <c r="D168" i="4"/>
  <c r="E168" i="4" s="1"/>
  <c r="D167" i="4"/>
  <c r="E167" i="4" s="1"/>
  <c r="D166" i="4"/>
  <c r="E166" i="4" s="1"/>
  <c r="D165" i="4"/>
  <c r="E165" i="4" s="1"/>
  <c r="E164" i="4"/>
  <c r="D164" i="4"/>
  <c r="E163" i="4"/>
  <c r="D163" i="4"/>
  <c r="D162" i="4"/>
  <c r="E162" i="4" s="1"/>
  <c r="D161" i="4"/>
  <c r="E161" i="4" s="1"/>
  <c r="D160" i="4"/>
  <c r="E160" i="4" s="1"/>
  <c r="D159" i="4"/>
  <c r="E159" i="4" s="1"/>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I49" i="1"/>
  <c r="I43" i="1"/>
  <c r="F49" i="1"/>
  <c r="F43" i="1"/>
  <c r="C44" i="1"/>
  <c r="I48" i="1"/>
  <c r="C43" i="1"/>
  <c r="F48" i="1"/>
  <c r="I42" i="1"/>
  <c r="I47" i="1"/>
  <c r="F42" i="1"/>
  <c r="F47" i="1"/>
  <c r="C42" i="1"/>
  <c r="C47" i="1"/>
  <c r="I41" i="1"/>
  <c r="I46" i="1"/>
  <c r="F41" i="1"/>
  <c r="F46" i="1"/>
  <c r="C41" i="1"/>
  <c r="C46" i="1"/>
  <c r="I45" i="1"/>
  <c r="I54" i="1"/>
  <c r="F45" i="1"/>
  <c r="I52" i="1"/>
  <c r="I44" i="1"/>
  <c r="I53" i="1"/>
  <c r="C45" i="1"/>
  <c r="I51" i="1"/>
  <c r="F44" i="1"/>
  <c r="I50" i="1"/>
</calcChain>
</file>

<file path=xl/sharedStrings.xml><?xml version="1.0" encoding="utf-8"?>
<sst xmlns="http://schemas.openxmlformats.org/spreadsheetml/2006/main" count="22697" uniqueCount="4922">
  <si>
    <t>oprationnel</t>
  </si>
  <si>
    <t>Operationnel</t>
  </si>
  <si>
    <t>Row Labels</t>
  </si>
  <si>
    <t>Sum of NUR  DU 29/04/2026</t>
  </si>
  <si>
    <t>ACCESS-ISSUE</t>
  </si>
  <si>
    <t>ACTIVE</t>
  </si>
  <si>
    <t>ENVTECH</t>
  </si>
  <si>
    <t>AKTIVCO</t>
  </si>
  <si>
    <t>No root cause</t>
  </si>
  <si>
    <t>AKTIVCO GRID ONLY</t>
  </si>
  <si>
    <t>PASSIVE</t>
  </si>
  <si>
    <t>POWER ISSUE</t>
  </si>
  <si>
    <t>BSS</t>
  </si>
  <si>
    <t>PLANNED WORKS</t>
  </si>
  <si>
    <t>RAN ISSUE</t>
  </si>
  <si>
    <t>SPARE-ISSUE</t>
  </si>
  <si>
    <t>Fiber AOF</t>
  </si>
  <si>
    <t>Grand Total</t>
  </si>
  <si>
    <t>TRAVAUX OCM</t>
  </si>
  <si>
    <t>IHS</t>
  </si>
  <si>
    <t>TRAVAUX-HUAWEI</t>
  </si>
  <si>
    <t>IHS GRID ONLY</t>
  </si>
  <si>
    <t>TX ISSUE</t>
  </si>
  <si>
    <t>Partners</t>
  </si>
  <si>
    <t>PDH</t>
  </si>
  <si>
    <t>SST &amp; DC</t>
  </si>
  <si>
    <t xml:space="preserve">                                       </t>
  </si>
  <si>
    <t xml:space="preserve">  NUR DAILY RECAP - NUR 2211</t>
  </si>
  <si>
    <t>RCA</t>
  </si>
  <si>
    <t>NUR</t>
  </si>
  <si>
    <t>ENV TCH OCM</t>
  </si>
  <si>
    <t>AKTIVCO With Backup</t>
  </si>
  <si>
    <t>Hardware issue</t>
  </si>
  <si>
    <t>Power MTN</t>
  </si>
  <si>
    <t>TX issue MPR / ODU --</t>
  </si>
  <si>
    <t>CTR_211</t>
  </si>
  <si>
    <t>DATE</t>
  </si>
  <si>
    <t>Nom du Physique</t>
  </si>
  <si>
    <t>Codesite</t>
  </si>
  <si>
    <t>CLUSTER</t>
  </si>
  <si>
    <t>Owner</t>
  </si>
  <si>
    <t>Topology</t>
  </si>
  <si>
    <t>Region</t>
  </si>
  <si>
    <t>Ville</t>
  </si>
  <si>
    <t>Equipementiers</t>
  </si>
  <si>
    <t>NUR 2G</t>
  </si>
  <si>
    <t>NUR 3G</t>
  </si>
  <si>
    <t>NUR 4G</t>
  </si>
  <si>
    <t>NUR  DU 29/04/2026</t>
  </si>
  <si>
    <t>Raison d'exclusion</t>
  </si>
  <si>
    <t>OCM NOMENCLATURE</t>
  </si>
  <si>
    <t>SUB RCA</t>
  </si>
  <si>
    <t>CAUSE</t>
  </si>
  <si>
    <t>CATEGORIE</t>
  </si>
  <si>
    <t>Verifications 29/04/2026</t>
  </si>
  <si>
    <t>cleaning comment</t>
  </si>
  <si>
    <t>NR-Bastos</t>
  </si>
  <si>
    <t>CTR_038</t>
  </si>
  <si>
    <t>GridOnly</t>
  </si>
  <si>
    <t>CENTRE</t>
  </si>
  <si>
    <t>Yaounde</t>
  </si>
  <si>
    <t>Coupure ENEO &amp; Baisse de tension</t>
  </si>
  <si>
    <t>(04/29/2026 retour IHS): Power issue NUR to be checked   ||   (04/29/2026 hourly IHS): Grid outage, No space to deploy MDG // awaiting grid return (Francois is informed )..;..;(04/29/2026 ocm ran 00h): 28.04.26: Grid only No space to deployed MGen//awaiting grid return - Escalated to L2..;..;(04/29/2026 com ran 17h): 28.04.26: Grid only No space to deployed MGen//awaiting grid return - Escalated to L2..;..;(04/29/2026 com ran 18h): 28.04.26: Grid only No space to deployed MGen//awaiting grid return - Escalated to L2..;..;(04/29/2026 ticket): INC-20260429-00019946  ;  Others Transmission equipement fault</t>
  </si>
  <si>
    <t>Power issue NUR to be checked Grid outage, No space to deploy MDG awaiting grid return Francois is informed 28.04.26 Grid only No space to deployed MGen//awaiting grid return Escalated to L2.;.;(04/29/2026 com ran 17h) 28.04.26 Grid only No space to deployed MGen//awaiting grid return Escalated to L2.;.;(04/29/2026 com ran 18h) 28.04.26 Grid only No space to deployed MGen//awaiting grid return Escalated to L2.;.;</t>
  </si>
  <si>
    <t>Bobongo-II</t>
  </si>
  <si>
    <t>LIT_568</t>
  </si>
  <si>
    <t>CAMUSAT</t>
  </si>
  <si>
    <t>Good Grid + GE</t>
  </si>
  <si>
    <t>LITTORAL</t>
  </si>
  <si>
    <t>Douala</t>
  </si>
  <si>
    <t>AKTIVCO Defaut GE &amp; Power Cabinet</t>
  </si>
  <si>
    <t>(04/29/2026 ocm ran 00h): 28.04.26: Camusat: Our is trying to manage the point , by join the guard - Escalated to L2..;..;(04/29/2026 com ran 17h): 29/04/2026 Camusat: Technician is on site
29.04.26: Camusat: relance - Escalated to L2
28.04.26: Camusat: Our is trying to manage the point , by join the guard - Escalated to L2..;..;(04/29/2026 com ran 18h): 29/04/2026 Camusat: Technician is on site
29.04.26: Camusat: relance - Escalated to L2
28.04.26: Camusat: Our is trying to manage the point , by join the guard - Escalated to L2..;..;(04/29/2026 ticket): INC-20260429-00020549  ;  2026-04-30 00:48:19  ;  No Power Issue on Site, U = 53.8V and Site is on Gen. TX FME Willy Ngouni 699759164 / Huawei is informed.  ;  Others Transmission equipement fault  ;  user:OCM_NOC.IHS</t>
  </si>
  <si>
    <t>28.04.26 Camusat Our is trying to manage the point by join the guard Escalated to L2.;.;(04/29/2026 com ran 17h) 29/04/2026 Camusat Technician is on site 29.04.26 Camusat relance Escalated to L2 28.04.26 Camusat Our is trying to manage the point by join the guard Escalated to L2.;.;(04/29/2026 com ran 18h) 29/04/2026 Camusat Technician is on site 29.04.26 Camusat relance Escalated to L2 28.04.26 Camusat Our is trying to manage the point by join the guard Escalated to L2.;.; 2026-04-30 00 48 19 No Power Issue on Site, U 53.8V and Site is on Gen. TX FME Willy Ngouni 699759164 Huawei is informed. user OCM_NOC.IHS</t>
  </si>
  <si>
    <t>Charles-Atangana</t>
  </si>
  <si>
    <t>CTR_197</t>
  </si>
  <si>
    <t>(04/29/2026 retour IHS): Power issue NUR to be checked   ||   (04/29/2026 ocm ran 00h): 27.04.26: IHS: Grid only, no space//awaiting grid return - Escalated to L4
24.04.26: IHS: Grid only, no space//awaiting grid return - Escalated to L2..;..;(04/29/2026 com ran 17h): 29.04.26: IHS: Grid only, no space//awaiting grid return - Escalated to L4
27.04.26: IHS: Grid only, no space//awaiting grid return - Escalated to L4
24.04.26: IHS: Grid only, no space//awaiting grid return - Escalated to L2..;..;(04/29/2026 com ran 18h): 29.04.26: IHS: Grid only, no space//awaiting grid return - Escalated to L4
27.04.26: IHS: Grid only, no space//awaiting grid return - Escalated to L4
24.04.26: IHS: Grid only, no space//awaiting grid return - Escalated to L2</t>
  </si>
  <si>
    <t>Power issue NUR to be checked 27.04.26 IHS Grid only, no space//awaiting grid return Escalated to L4 24.04.26 IHS Grid only, no space//awaiting grid return Escalated to L2.;.;(04/29/2026 com ran 17h) 29.04.26 IHS Grid only, no space//awaiting grid return Escalated to L4 27.04.26 IHS Grid only, no space//awaiting grid return Escalated to L4 24.04.26 IHS Grid only, no space//awaiting grid return Escalated to L2.;.;(04/29/2026 com ran 18h) 29.04.26 IHS Grid only, no space//awaiting grid return Escalated to L4 27.04.26 IHS Grid only, no space//awaiting grid return Escalated to L4 24.04.26 IHS Grid only, no space//awaiting grid return Escalated to L2</t>
  </si>
  <si>
    <t>Lada</t>
  </si>
  <si>
    <t>CTR_667</t>
  </si>
  <si>
    <t>Bad Grid + Solar + GE</t>
  </si>
  <si>
    <t>Defaut GE &amp; Power Cabinet</t>
  </si>
  <si>
    <t>(04/29/2026 BO TX): power at bitoto</t>
  </si>
  <si>
    <t>04/29/2026 BO TX) power at bitoto</t>
  </si>
  <si>
    <t>Briqueterie</t>
  </si>
  <si>
    <t>CTR_321</t>
  </si>
  <si>
    <t>Grid-Lithium</t>
  </si>
  <si>
    <t xml:space="preserve">(04/29/2026 ocm ran 00h): 27.04.26: IHS: Grid only, no space//awaiting grid return - Escalated to L4
24.04.26: IHS: Grid only, no space//awaiting grid return escalade L2 IHS </t>
  </si>
  <si>
    <t>27.04.26 IHS Grid only, no space//awaiting grid return Escalated to L4 24.04.26 IHS Grid only, no space//awaiting grid return escalade L2 IHS</t>
  </si>
  <si>
    <t>Koweit-City</t>
  </si>
  <si>
    <t>CTR_258</t>
  </si>
  <si>
    <t>(04/29/2026 ticket): INC-20260429-00007544  ;  2026-04-29 11:23:58  ;  Les sites sont actuellement Up.
Il y avait un souci d'énergie à EFOULAN-PONT.  ;  
En Attente RCA CAMUSAT  ;  Grid Outage  ;  
Souci Energie  ;  user:ISSOUMAILA MOHAMED</t>
  </si>
  <si>
    <t>2026-04-29 11 23 58 Les sites sont actuellement Up. Il y avait un souci d'énergie à EFOULAN-PONT. En Attente RCA CAMUSAT Grid Outage Souci Energie user ISSOUMAILA MOHAMED</t>
  </si>
  <si>
    <t>Ancienne-Mairie-Dla-V</t>
  </si>
  <si>
    <t>LIT_771</t>
  </si>
  <si>
    <t>(04/29/2026 ocm ran 00h): 28.04.26: Camusat: unknow / investigation ongoing by our FME - Escalated to L2</t>
  </si>
  <si>
    <t>28.04.26 Camusat unknow investigation ongoing by our FME Escalated to L2</t>
  </si>
  <si>
    <t>Batouri</t>
  </si>
  <si>
    <t>EST_005</t>
  </si>
  <si>
    <t>EST</t>
  </si>
  <si>
    <t>(04/29/2026 ticket): INC-20260429-00019584 || (04/29/2026 retour CAMUSAT): ATS faulty</t>
  </si>
  <si>
    <t>ATS faulty</t>
  </si>
  <si>
    <t>Makepe-Bloc-E</t>
  </si>
  <si>
    <t>LIT_613</t>
  </si>
  <si>
    <t>Good Grid no GE - 8h</t>
  </si>
  <si>
    <t>AKTIVCO Coupure ENEO &amp; Baisse de tension</t>
  </si>
  <si>
    <t>(04/29/2026 ticket): INC-20260429-00012624 || (04/29/2026 retour CAMUSAT): Grid outage,  / grid return awaited</t>
  </si>
  <si>
    <t>Grid outage, grid return awaited</t>
  </si>
  <si>
    <t>Garoua-Djamboutou-Village</t>
  </si>
  <si>
    <t>NRD_060</t>
  </si>
  <si>
    <t>Grid-Gen</t>
  </si>
  <si>
    <t>NORD</t>
  </si>
  <si>
    <t>Garoua</t>
  </si>
  <si>
    <t>(04/29/2026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HIS..;..;(04/29/2026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HIS..;..;(04/29/2026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HIS..;..;(04/29/2026 com ran 17h): Power status check ongoing..;..;(04/29/2026 com ran 18h): Power status check ongoing</t>
  </si>
  <si>
    <t>04/29/2026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HIS.;.;(04/29/2026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HIS.;.;(04/29/2026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HIS.;.;(04/29/2026 com ran 17h) 04/29/2026 com ran 18h) Power status check ongoing</t>
  </si>
  <si>
    <t>Wonya-Mavio-IHS</t>
  </si>
  <si>
    <t>SUO_195</t>
  </si>
  <si>
    <t>SUD-OUEST</t>
  </si>
  <si>
    <t>Buea</t>
  </si>
  <si>
    <t>(04/29/2026 ocm ran 00h): 20.04.26; Carte EAC 3DB19417AA faulty, commande passée vers OCM
19.04.26; Besoin d'un FME sur SUO_077_H_Buea-David-Square pour vérifier la chaine antennaire de l'ODU 3.2; FME Fabien activé pour investigations, update ASAP
19.04.26; Reste down après l'incident P2 sur Buea-David..;..;(04/29/2026 com ran 17h): 20.04.26; Carte EAC 3DB19417AA faulty, commande passée vers OCM
19.04.26; Besoin d'un FME sur SUO_077_H_Buea-David-Square pour vérifier la chaine antennaire de l'ODU 3.2; FME Fabien activé pour investigations, update ASAP
19.04.26; Reste down après l'incident P2 sur Buea-David..;..;(04/29/2026 com ran 18h): 20.04.26; Carte EAC 3DB19417AA faulty, commande passée vers OCM
19.04.26; Besoin d'un FME sur SUO_077_H_Buea-David-Square pour vérifier la chaine antennaire de l'ODU 3.2; FME Fabien activé pour investigations, update ASAP
19.04.26; Reste down après l'incident P2 sur Buea-David</t>
  </si>
  <si>
    <t>20.04.26; Carte EAC 3DB19417AA faulty, commande passée vers OCM 19.04.26; Besoin d'un FME sur SUO_077_H_Buea-David-Square pour vérifier la chaine antennaire de l'ODU 3.2; FME Fabien activé pour investigations, update ASAP 19.04.26; Reste down après l'incident P2 sur Buea-David.;.;(04/29/2026 com ran 17h) 20.04.26; Carte EAC 3DB19417AA faulty, commande passée vers OCM 19.04.26; Besoin d'un FME sur SUO_077_H_Buea-David-Square pour vérifier la chaine antennaire de l'ODU 3.2; FME Fabien activé pour investigations, update ASAP 19.04.26; Reste down après l'incident P2 sur Buea-David.;.;(04/29/2026 com ran 18h) 20.04.26; Carte EAC 3DB19417AA faulty, commande passée vers OCM 19.04.26; Besoin d'un FME sur SUO_077_H_Buea-David-Square pour vérifier la chaine antennaire de l'ODU 3.2; FME Fabien activé pour investigations, update ASAP 19.04.26; Reste down après l'incident P2 sur Buea-David</t>
  </si>
  <si>
    <t>Bda-Mankon-Palace-IHS</t>
  </si>
  <si>
    <t>NRO_059</t>
  </si>
  <si>
    <t>NORD-OUEST</t>
  </si>
  <si>
    <t>Bamenda</t>
  </si>
  <si>
    <t xml:space="preserve">(04/29/2026 retour IHS): Power issue NUR to be checked   ||   (04/29/2026 ocm ran 00h):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..;..;(04/29/2026 com ran 17h): 29/04/2026 FME DERRICK en route ETA=15H30 UTC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..;..;(04/29/2026 com ran 18h): 29/04/2026 escalade Liberté ETA=30/04/2026
29/04/2026 FME DERRICK en route ETA=15H30 UTC escalade PM HAMMER PHILIPE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</si>
  <si>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Power issue NUR to be checked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04/29/2026 com ran 17h) 29/04/2026 FME DERRICK en route ETA=15H30 UTC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04/29/2026 com ran 18h) 29/04/2026 escalade Liberté ETA=30/04/2026 29/04/2026 FME DERRICK en route ETA=15H30 UTC escalade PM HAMMER PHILIPE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t>
  </si>
  <si>
    <t>Nkolda-II</t>
  </si>
  <si>
    <t>CTR_776</t>
  </si>
  <si>
    <t>(04/29/2026 ocm ran 00h): 28/04/2026 Grid outage grid only site / grid return awaited - Escalated to L2..;..;(04/29/2026 ticket): INC-20260429-00016085</t>
  </si>
  <si>
    <t>28/04/2026 Grid outage grid only site grid return awaited Escalated to L2.;.;</t>
  </si>
  <si>
    <t>Nyalla-III</t>
  </si>
  <si>
    <t>LIT_751</t>
  </si>
  <si>
    <t>(04/29/2026 com ran 17h): 29/04/2026 Camusat: Grid outage and grid only on site // awaiting grid return..;..;(04/29/2026 com ran 18h): 29/04/2026 Camusat: Grid outage and grid only on site // awaiting grid return..;..;(04/29/2026 ticket): INC-20260429-00013393</t>
  </si>
  <si>
    <t>04/29/2026 com ran 17h) 29/04/2026 Camusat Grid outage and grid only on site awaiting grid return.;.;(04/29/2026 com ran 18h) 29/04/2026 Camusat Grid outage and grid only on site awaiting grid return.;.;</t>
  </si>
  <si>
    <t>CTR_948_Z_Nkoabang-III</t>
  </si>
  <si>
    <t>CTR_948</t>
  </si>
  <si>
    <t>ESCO</t>
  </si>
  <si>
    <t>Good Grid + Solar + GE</t>
  </si>
  <si>
    <t>Yaoundé</t>
  </si>
  <si>
    <t>(04/29/2026 retour CAMUSAT): Mauvaises phases ENEO et GE en arret pour nuisance sonore</t>
  </si>
  <si>
    <t>Mauvaises phases ENEO et GE en arret pour nuisance sonore</t>
  </si>
  <si>
    <t>Mora-Kourgui</t>
  </si>
  <si>
    <t>EXN_238</t>
  </si>
  <si>
    <t>EXTREME-NORD</t>
  </si>
  <si>
    <t>Mora</t>
  </si>
  <si>
    <t>Insecurity</t>
  </si>
  <si>
    <t>BSS Hardware issue</t>
  </si>
  <si>
    <t>(04/29/2026 cell huawei): 28/04/2026 : Probleme de licence  || Point envoye a Huawei Projet
27/04/2026 : Besoin d'analyse BO RAN || No HW alarm observed, need a reset of BTS on site || HW Projet should renew License</t>
  </si>
  <si>
    <t>04/29/2026 cell huawei) 28/04/2026 Probleme de licence Point envoye a Huawei Projet 27/04/2026 Besoin d'analyse BO RAN No HW alarm observed, need a reset of BTS on site HW Projet should renew License</t>
  </si>
  <si>
    <t>Bobongo-Itba-HIS</t>
  </si>
  <si>
    <t>LIT_426</t>
  </si>
  <si>
    <t>(04/29/2026 ticket): INC-20260429-00016176  ;  Others Transmission equipement fault  ||  (groupe whatsapp incident mgmt): LIT_426_Z_Bobongo-Itba-IHS(LIT-426)	INC-20260429-00005286</t>
  </si>
  <si>
    <t>groupe whatsapp incident mgmt) LIT_426_Z_Bobongo-Itba-IHS(LIT-426)</t>
  </si>
  <si>
    <t>LIT_837_Z_Yassa-Hotel-Midi</t>
  </si>
  <si>
    <t>LIT_837</t>
  </si>
  <si>
    <t>LIT</t>
  </si>
  <si>
    <t>EXCLU</t>
  </si>
  <si>
    <t>Exclu</t>
  </si>
  <si>
    <t>(04/29/2026 ocm ran 00h): 28.04.26: Camusat: FME is managing - Escalated to L2</t>
  </si>
  <si>
    <t>28.04.26 Camusat FME is managing Escalated to L2</t>
  </si>
  <si>
    <t>Bonamoutongo-III</t>
  </si>
  <si>
    <t>LIT_718</t>
  </si>
  <si>
    <t xml:space="preserve">(04/29/2026 ticket): INC-20260429-00016355  ;  Others Transmission equipement fault  || (04/29/2026 retour CAMUSAT): Défaut automatisme </t>
  </si>
  <si>
    <t>Défaut automatisme</t>
  </si>
  <si>
    <t>KUMBA-BONAKAMA</t>
  </si>
  <si>
    <t>SUO_218</t>
  </si>
  <si>
    <t>Kumba</t>
  </si>
  <si>
    <t>ODU HS</t>
  </si>
  <si>
    <t>(04/29/2026 ocm ran 00h): 28.04.26: Besoin d'un FME sur site pour vérifier la chaine antennaire de l'ODU 3.1; FME Collins activé pour investigations, update ASAP</t>
  </si>
  <si>
    <t>28.04.26 Besoin d'un FME sur site pour vérifier la chaine antennaire de l'ODU 3.1; FME Collins activé pour investigations, update ASAP</t>
  </si>
  <si>
    <t>Pont-Emana-MTN</t>
  </si>
  <si>
    <t>CTR_799</t>
  </si>
  <si>
    <t>fiber AOF</t>
  </si>
  <si>
    <t>(04/29/2026 ocm ran 00h): 28.04.26: Suite investigations avec le BO TX sur le site d'Okolo, CDS activé pour investiguer sur le lien AOF CTR_799_Z_Pont-Emana-MTN&lt;&gt;Okolo, update ASAP
28/042026 FME sur site travaux en cours avec le BO TX 
28.04.2026: FME Sur site intervention retardee par la pluie. Update sera partage ASAP
27.04.26: Besoin d'un FME sur CTR_213_Z_Okolo pour investigations conjointes avec le BO TX; CM-20260427-00004269; FME Totat activé pour investigations, update ASAP</t>
  </si>
  <si>
    <t>28.04.26 Suite investigations avec le BO TX sur le site d'Okolo, CDS activé pour investiguer sur le lien AOF CTR_799_Z_Pont-Emana-MTN&lt;&gt;Okolo, update ASAP 28/042026 FME sur site travaux en cours avec le BO TX 28.04.2026 FME Sur site intervention retardee par la pluie. Update sera partage ASAP 27.04.26 Besoin d'un FME sur CTR_213_Z_Okolo pour investigations conjointes avec le BO TX; FME Totat activé pour investigations, update ASAP</t>
  </si>
  <si>
    <t>Ndokoti-New</t>
  </si>
  <si>
    <t>LIT_217</t>
  </si>
  <si>
    <t xml:space="preserve">(04/29/2026 retour IHS): Power issue NUR to be checked   ||   </t>
  </si>
  <si>
    <t>Power issue NUR to be checked</t>
  </si>
  <si>
    <t>Dschang-St-Augustin</t>
  </si>
  <si>
    <t>OST_084</t>
  </si>
  <si>
    <t>OUEST</t>
  </si>
  <si>
    <t>Dschang</t>
  </si>
  <si>
    <t>(04/29/2026 retour IHS): Power issue NUR to be checked   ||   (04/29/2026 ocm ran 00h): 27.04.26: IHS : Gen and PWC Overload. - Escalated to L4
24.04.26: IHS : Gen and PWC Overload. - Escalated to L3
23/04/2026 IHS : grid outage gen overload..;..;(04/29/2026 com ran 17h): 29/04/2026 IHS : Gen and PWC Overload. - Escalated to L4
27.04.26: IHS : Gen and PWC Overload. - Escalated to L4
24.04.26: IHS : Gen and PWC Overload. - Escalated to L3
23/04/2026 IHS : grid outage gen overload..;..;(04/29/2026 com ran 18h): 29/04/2026 IHS : Gen and PWC Overload. - Escalated to L4
27.04.26: IHS : Gen and PWC Overload. - Escalated to L4
24.04.26: IHS : Gen and PWC Overload. - Escalated to L3
23/04/2026 IHS : grid outage gen overload</t>
  </si>
  <si>
    <t>Power issue NUR to be checked 27.04.26 IHS Gen and PWC Overload. Escalated to L4 24.04.26 IHS Gen and PWC Overload. Escalated to L3 23/04/2026 IHS grid outage gen overload.;.;(04/29/2026 com ran 17h) 29/04/2026 IHS Gen and PWC Overload. Escalated to L4 27.04.26 IHS Gen and PWC Overload. Escalated to L4 24.04.26 IHS Gen and PWC Overload. Escalated to L3 23/04/2026 IHS grid outage gen overload.;.;(04/29/2026 com ran 18h) 29/04/2026 IHS Gen and PWC Overload. Escalated to L4 27.04.26 IHS Gen and PWC Overload. Escalated to L4 24.04.26 IHS Gen and PWC Overload. Escalated to L3 23/04/2026 IHS grid outage gen overload</t>
  </si>
  <si>
    <t>Batchenga-Nachtigal-IHS</t>
  </si>
  <si>
    <t>CTR_699</t>
  </si>
  <si>
    <t>Batchenga</t>
  </si>
  <si>
    <t>Sites strategiques, MLL, Pylone, etc.</t>
  </si>
  <si>
    <t xml:space="preserve">(04/29/2026 ocm ran 00h): 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..;..;(04/29/2026 com ran 17h): 29/04/2026 FME sur site travaux en cours
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..;..;(04/29/2026 com ran 18h): 29/04/2026 FME chassis MSS8, Carte core evo 1G et deux Cartes MPT ACC
29/04/2026 FME sur site travaux en cours
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</si>
  <si>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04/29/2026 com ran 17h) 29/04/2026 FME sur site travaux en cours 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04/29/2026 com ran 18h) 29/04/2026 FME chassis MSS8, Carte core evo 1G et deux Cartes MPT ACC 29/04/2026 FME sur site travaux en cours 28.04.26 Accès au Pylone Camtel donné ce jour et intervention prévue pour ce 29.04.26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t>
  </si>
  <si>
    <t>Reserve-Benoue</t>
  </si>
  <si>
    <t>NRD_168</t>
  </si>
  <si>
    <t>Hybrid Solar - S3</t>
  </si>
  <si>
    <t>Reserve Benoue</t>
  </si>
  <si>
    <t>(04/29/2026 ocm ran 00h): 20.04.26; ODU MPT MC 8GHZ 3DB20773CB faulty and not available, order done to OCM
19.04.26; ODU 3DB20773CB faulty, commande en cours
19.04.26; Besoin d'un FME sur NRD_172_SAKDJE pour vérifier la chaine antennaire de l'ODU 4.3; FME Belo activé pour investigations, ETA=17H UTC..;..;(04/29/2026 com ran 17h): 20.04.26; ODU MPT MC 8GHZ 3DB20773CB faulty and not available, order done to OCM
19.04.26; ODU 3DB20773CB faulty, commande en cours
19.04.26; Besoin d'un FME sur NRD_172_SAKDJE pour vérifier la chaine antennaire de l'ODU 4.3; FME Belo activé pour investigations, ETA=17H UTC..;..;(04/29/2026 com ran 18h): 20.04.26; ODU MPT MC 8GHZ 3DB20773CB faulty and not available, order done to OCM
19.04.26; ODU 3DB20773CB faulty, commande en cours
19.04.26; Besoin d'un FME sur NRD_172_SAKDJE pour vérifier la chaine antennaire de l'ODU 4.3; FME Belo activé pour investigations, ETA=17H UTC</t>
  </si>
  <si>
    <t>20.04.26; ODU MPT MC 8GHZ 3DB20773CB faulty and not available, order done to OCM 19.04.26; ODU 3DB20773CB faulty, commande en cours 19.04.26; Besoin d'un FME sur NRD_172_SAKDJE pour vérifier la chaine antennaire de l'ODU 4.3; FME Belo activé pour investigations, ETA=17H UTC.;.;(04/29/2026 com ran 17h) 20.04.26; ODU MPT MC 8GHZ 3DB20773CB faulty and not available, order done to OCM 19.04.26; ODU 3DB20773CB faulty, commande en cours 19.04.26; Besoin d'un FME sur NRD_172_SAKDJE pour vérifier la chaine antennaire de l'ODU 4.3; FME Belo activé pour investigations, ETA=17H UTC.;.;(04/29/2026 com ran 18h) 20.04.26; ODU MPT MC 8GHZ 3DB20773CB faulty and not available, order done to OCM 19.04.26; ODU 3DB20773CB faulty, commande en cours 19.04.26; Besoin d'un FME sur NRD_172_SAKDJE pour vérifier la chaine antennaire de l'ODU 4.3; FME Belo activé pour investigations, ETA=17H UTC</t>
  </si>
  <si>
    <t>Danfili-MTN-IHS</t>
  </si>
  <si>
    <t>ADM_122</t>
  </si>
  <si>
    <t>Gen-Solar AER</t>
  </si>
  <si>
    <t>ADAMAOUA</t>
  </si>
  <si>
    <t>Danfili</t>
  </si>
  <si>
    <t>(04/29/2026 ocm ran 00h): 28/08/2026 fme wily activé ETA=17H28 UTC 
Bo tx: activer le FME sur le site de Danfili-MTN-IHS-ADM_122 pour vérifier le statut du MPR et de la radio et des connectiques...;..;(04/29/2026 com ran 17h): 29/04/2026 FME activé pour intervention ETA 13h
28/08/2026 fme wily activé manage avec le level 0
Bo tx: activer le FME sur le site de Danfili-MTN-IHS-ADM_122 pour vérifier le statut du MPR et de la radio et des connectiques...;..;(04/29/2026 com ran 18h): 29/04/2026 Site foudroyé commande des équipement en cours 
29/04/2026 FME activé pour intervention ETA 13h
28/08/2026 fme wily activé manage avec le level 0
Bo tx: activer le FME sur le site de Danfili-MTN-IHS-ADM_122 pour vérifier le statut du MPR et de la radio et des connectiques.</t>
  </si>
  <si>
    <t>28/08/2026 fme wily activé ETA=17H28 UTC Bo tx activer le FME sur le site de Danfili-MTN-IHS-ADM_122 pour vérifier le statut du MPR et de la radio et des connectiques.;.;(04/29/2026 com ran 17h) 29/04/2026 FME activé pour intervention ETA 13h 28/08/2026 fme wily activé manage avec le level 0 Bo tx activer le FME sur le site de Danfili-MTN-IHS-ADM_122 pour vérifier le statut du MPR et de la radio et des connectiques.;.;(04/29/2026 com ran 18h) 29/04/2026 Site foudroyé commande des équipement en cours 29/04/2026 FME activé pour intervention ETA 13h 28/08/2026 fme wily activé manage avec le level 0 Bo tx activer le FME sur le site de Danfili-MTN-IHS-ADM_122 pour vérifier le statut du MPR et de la radio et des connectiques.</t>
  </si>
  <si>
    <t>Ngomedzap</t>
  </si>
  <si>
    <t>CTR_188</t>
  </si>
  <si>
    <t xml:space="preserve">(04/29/2026 ocm ran 00h): 28/04/2026 Site urelay point transmis a OCM ..;..;(04/29/2026 com ran 17h): 28/04/2026 Site urelay point transmis a OCM ..;..;(04/29/2026 com ran 18h): 28/04/2026 Site urelay point transmis a OCM </t>
  </si>
  <si>
    <t>28/04/2026 Site urelay point transmis a OCM 04/29/2026 com ran 17h) 28/04/2026 Site urelay point transmis a OCM 04/29/2026 com ran 18h) 28/04/2026 Site urelay point transmis a OCM</t>
  </si>
  <si>
    <t>Bekoko-MTN</t>
  </si>
  <si>
    <t>SUO_061</t>
  </si>
  <si>
    <t>Bekoko</t>
  </si>
  <si>
    <t>(04/29/2026 ocm ran 00h): 28.04.26: Besoin d'un FME sur site pour vérifier la chaine antennaire de l'ODU 3.1; FME Pascal activé pour investigations, update ASAP</t>
  </si>
  <si>
    <t>28.04.26 Besoin d'un FME sur site pour vérifier la chaine antennaire de l'ODU 3.1; FME Pascal activé pour investigations, update ASAP</t>
  </si>
  <si>
    <t>BATA-Mokolo</t>
  </si>
  <si>
    <t>CTR_409</t>
  </si>
  <si>
    <t>H-Franco</t>
  </si>
  <si>
    <t>CTR_102</t>
  </si>
  <si>
    <t>(04/29/2026 ticket): INC-20260429-00012843  ;  Others Transmission equipement fault || 04/29/2026: hardware issue,  site with GPS issue (alarm : TDD down 09Apr 02pm)</t>
  </si>
  <si>
    <t>04/29/2026 hardware issue, site with GPS issue alarm TDD down 09Apr 02pm)</t>
  </si>
  <si>
    <t>Bambalang</t>
  </si>
  <si>
    <t>NRO_100</t>
  </si>
  <si>
    <t>Hybrid-Gen</t>
  </si>
  <si>
    <t>(04/29/2026 hourly IHS): Team is on site to replaced Gen..;..;(04/29/2026 cell huawei): 29/04/2026 : Power instability || Mail sent to HIS..;..;(04/29/2026 cell huawei): 29/04/2026 : Power instability || Mail sent to HIS..;..;(04/29/2026 com ran 17h): Power status check ongoing..;..;(04/29/2026 com ran 18h): Power status check ongoing</t>
  </si>
  <si>
    <t>Team is on site to replaced Gen.;.;(04/29/2026 cell huawei) 29/04/2026 Power instability Mail sent to HIS.;.;(04/29/2026 cell huawei) 29/04/2026 Power instability Mail sent to HIS.;.;(04/29/2026 com ran 17h) 04/29/2026 com ran 18h) Power status check ongoing</t>
  </si>
  <si>
    <t>Mora4-IHS</t>
  </si>
  <si>
    <t>EXN_258</t>
  </si>
  <si>
    <t>Mora-II</t>
  </si>
  <si>
    <t>EXN_032</t>
  </si>
  <si>
    <t>Logpom-New</t>
  </si>
  <si>
    <t>LIT_737</t>
  </si>
  <si>
    <t>(04/29/2026 ticket): INC-20260429-00011746  ;  Others Transmission equipement fault || (04/29/2026 retour CAMUSAT): Grid outage,  / grid return awaited</t>
  </si>
  <si>
    <t>Eloumdem</t>
  </si>
  <si>
    <t>CTR_630</t>
  </si>
  <si>
    <t>HGB</t>
  </si>
  <si>
    <t>(04/29/2026 cell zte): 29/04/2026 : Power issue || Mail sent to camusat..;..;(04/29/2026 ocm ran 00h): 28.04.26: Camusat: FME try to get level 0 - Escalated to L2..;..;(04/29/2026 ticket): INC-20260429-00003555  ;  2026-04-29 08:09:04  ;  No power issue on site ,site on Grid wiith Ubaie=54.1 V The TX FME Brice Tsague/ 690286359/ Huawei is informed  ;  fluctuations d'énergie.  ;  Others Transmission equipement fault  ;  user:OCM_NOC.IHS</t>
  </si>
  <si>
    <t>04/29/2026 cell zte) 29/04/2026 Power issue Mail sent to camusat.;.; 28.04.26 Camusat FME try to get level 0 Escalated to L2.;.; 2026-04-29 08 09 04 No power issue on site site on Grid wiith Ubaie=54.1 V The TX FME Brice Tsague/ 690286359/ Huawei is informed fluctuations d'énergie. user OCM_NOC.IHS</t>
  </si>
  <si>
    <t>Mimboman-Chapelle</t>
  </si>
  <si>
    <t>CTR_772</t>
  </si>
  <si>
    <t>(04/29/2026 cell zte): 29/04/2026 : Relance faite a camusat ce jour
28/04/2026 : Power issue || Mail sent to Camusat..;..;(04/29/2026 com ran 17h): 29/04/2026 CAMUSAT : Grid outage grid only site ..;..;(04/29/2026 com ran 18h): 29/04/2026 CAMUSAT : Grid outage grid only site ..;..;(04/29/2026 ticket): INC-20260429-00009168</t>
  </si>
  <si>
    <t>04/29/2026 cell zte) 29/04/2026 Relance faite a camusat ce jour 28/04/2026 Power issue Mail sent to Camusat.;.;(04/29/2026 com ran 17h) 29/04/2026 CAMUSAT Grid outage grid only site 04/29/2026 com ran 18h) 29/04/2026 CAMUSAT Grid outage grid only site</t>
  </si>
  <si>
    <t>Mabanda-CIMAF</t>
  </si>
  <si>
    <t>LIT_695</t>
  </si>
  <si>
    <t>(04/29/2026 com ran 17h): 29/04/2026 Besoin d'un fme sur site pour verifier le status du MPR FME BORIS activé ..;..;(04/29/2026 com ran 18h): 29/04/2026 Besoin d'un fme sur site pour verifier le status du MPR FME BORIS activé escalade RM Honore ..;..;(04/29/2026 ticket): INC-20260429-00009537  ;  2026-04-29 15:33:05  ;  Grid outage grid only site awaiting grid return  ;  power Grid outage here the site is only on Grid   ;  Others Transmission equipement fault  ;  user:OCM_NOC.CAMUSAT</t>
  </si>
  <si>
    <t>04/29/2026 com ran 17h) 29/04/2026 Besoin d'un fme sur site pour verifier le status du MPR FME BORIS activé 04/29/2026 com ran 18h) 29/04/2026 Besoin d'un fme sur site pour verifier le status du MPR FME BORIS activé escalade RM Honore 2026-04-29 15 33 05 Grid outage grid only site awaiting grid return power Grid outage here the site is only on Grid user OCM_NOC.CAMUSAT</t>
  </si>
  <si>
    <t>Mora-IHS</t>
  </si>
  <si>
    <t>EXN_106</t>
  </si>
  <si>
    <t>Lomie</t>
  </si>
  <si>
    <t>EST_010</t>
  </si>
  <si>
    <t>(04/29/2026 ocm ran 00h): 28.04.2026: Le IBUC semple faulty le FAN ne tourne pas intervention toujours en cours ETR 15H30 
27.04.26: Besoin d'un FME sur site pour vérifier le statut du BUC; CM-20260427-00005663; FME Essiane activé pour investigations, update ASAP..;..;(04/29/2026 com ran 17h): 29/04/2026 28.04.2026: Le IBUC semple faulty le FAN ne tourne pas intervention toujours en cours ETR 15H30 
27.04.26: Besoin d'un FME sur site pour vérifier le statut du BUC; CM-20260427-00005663; FME Essiane activé pour investigations, update ASAP	29.04.2026 IBUC faulty mais le BO recommande d'aller teste le IBUC sur un autre site pour avoir une confirmation, le FME en route pour Mindourou ETA 14H  28.04.2026: Le IBUC semple faulty le FAN ne tourne pas intervention toujours en cours ETR 15H30 
27.04.26: Besoin d'un FME sur site pour vérifier le statut du BUC; CM-20260427-00005663; FME Essiane activé pour investigations, update ASAP
28.04.2026: Le IBUC semple faulty le FAN ne tourne pas intervention toujours en cours ETR 15H30 
27.04.26: Besoin d'un FME sur site pour vérifier le statut du BUC; CM-20260427-00005663; FME Essiane activé pour investigations, update ASAP..;..;(04/29/2026 com ran 18h): 29/04/2026 28.04.2026: Le IBUC semple faulty le FAN ne tourne pas intervention toujours en cours ETR 15H30 
27.04.26: Besoin d'un FME sur site pour vérifier le statut du BUC; CM-20260427-00005663; FME Essiane activé pour investigations, update ASAP	29.04.2026 IBUC faulty mais le BO recommande d'aller teste le IBUC sur un autre site pour avoir une confirmation, le FME en route pour Mindourou ETA 14H  28.04.2026: Le IBUC semple faulty le FAN ne tourne pas intervention toujours en cours ETR 15H30 
27.04.26: Besoin d'un FME sur site pour vérifier le statut du BUC; CM-20260427-00005663; FME Essiane activé pour investigations, update ASAP
28.04.2026: Le IBUC semple faulty le FAN ne tourne pas intervention toujours en cours ETR 15H30 
27.04.26: Besoin d'un FME sur site pour vérifier le statut du BUC; CM-20260427-00005663; FME Essiane activé pour investigations, update ASAP</t>
  </si>
  <si>
    <t>28.04.2026 Le IBUC semple faulty le FAN ne tourne pas intervention toujours en cours ETR 15H30 27.04.26 Besoin d'un FME sur site pour vérifier le statut du BUC; FME Essiane activé pour investigations, update ASAP.;.;(04/29/2026 com ran 17h) 29/04/2026 28.04.2026 Le IBUC semple faulty le FAN ne tourne pas intervention toujours en cours ETR 15H30 27.04.26 Besoin d'un FME sur site pour vérifier le statut du BUC; FME Essiane activé pour investigations, update ASAP 29.04.2026 IBUC faulty mais le BO recommande d'aller teste le IBUC sur un autre site pour avoir une confirmation, le FME en route pour Mindourou ETA 14H 28.04.2026 Le IBUC semple faulty le FAN ne tourne pas intervention toujours en cours ETR 15H30 27.04.26 Besoin d'un FME sur site pour vérifier le statut du BUC; FME Essiane activé pour investigations, update ASAP 28.04.2026 Le IBUC semple faulty le FAN ne tourne pas intervention toujours en cours ETR 15H30 27.04.26 Besoin d'un FME sur site pour vérifier le statut du BUC; FME Essiane activé pour investigations, update ASAP.;.;(04/29/2026 com ran 18h) 29/04/2026 28.04.2026 Le IBUC semple faulty le FAN ne tourne pas intervention toujours en cours ETR 15H30 27.04.26 Besoin d'un FME sur site pour vérifier le statut du BUC; FME Essiane activé pour investigations, update ASAP 29.04.2026 IBUC faulty mais le BO recommande d'aller teste le IBUC sur un autre site pour avoir une confirmation, le FME en route pour Mindourou ETA 14H 28.04.2026 Le IBUC semple faulty le FAN ne tourne pas intervention toujours en cours ETR 15H30 27.04.26 Besoin d'un FME sur site pour vérifier le statut du BUC; FME Essiane activé pour investigations, update ASAP 28.04.2026 Le IBUC semple faulty le FAN ne tourne pas intervention toujours en cours ETR 15H30 27.04.26 Besoin d'un FME sur site pour vérifier le statut du BUC; FME Essiane activé pour investigations, update ASAP</t>
  </si>
  <si>
    <t>Kumba-Lutherian-Church-MTN</t>
  </si>
  <si>
    <t>SUO_054</t>
  </si>
  <si>
    <t>site vandalise</t>
  </si>
  <si>
    <t>(04/29/2026 com ran 17h): Power status check ongoing..;..;(04/29/2026 com ran 18h): Power status check ongoing</t>
  </si>
  <si>
    <t>04/29/2026 com ran 17h) 04/29/2026 com ran 18h) Power status check ongoing</t>
  </si>
  <si>
    <t>Damas</t>
  </si>
  <si>
    <t>CTR_074</t>
  </si>
  <si>
    <t>(04/29/2026 ticket): INC-20260429-00015091  ;  FIBER down at Damas</t>
  </si>
  <si>
    <t>FIBER down at Damas</t>
  </si>
  <si>
    <t>Batoua-Godole-IHS</t>
  </si>
  <si>
    <t>ADM_141</t>
  </si>
  <si>
    <t>Solar-Gen</t>
  </si>
  <si>
    <t>Batoua-Godole</t>
  </si>
  <si>
    <t>(04/29/2026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needed..;..;(04/29/2026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needed..;..;(04/29/2026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</si>
  <si>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04/29/2026 cell nokia) 28/04/206 Feedback PM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Check breaker and interconnection FRMF sfp, optical fiber) between system and radio module, swap its if needed.;.;(04/29/2026 cell nokia) 28/04/206 Feedback PM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Check breaker and interconnection FRMF sfp, optical fiber) between system and radio module, swap its if needed.;.;(04/29/2026 cell nokia) 28/04/206 Feedback PM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Check breaker and interconnection FRMF sfp, optical fiber) between system and radio module, swap its if needed</t>
  </si>
  <si>
    <t>Cite-Sic-II</t>
  </si>
  <si>
    <t>LIT_161</t>
  </si>
  <si>
    <t>(04/29/2026 ocm ran 00h): 28/04/2026 AOF_AngeRaphael_CiteSIC is down
Please to involve CDS for investigation..;..;(04/29/2026 com ran 17h): 29/04/2026 Après investigation nous avons constaté que le châssis MPR est faulty,le Fan et la carte core CSM
29/04/2026 FME en route ETA=14H UTC 
29/04/2026 CDS investigation en cours ETR=13H 
28/04/2026 AOF_AngeRaphael_CiteSIC is down
Please to involve CDS for investigation..;..;(04/29/2026 com ran 18h): 29/04/2026 Après investigation nous avons constaté que le châssis MPR est faulty,le Fan et la carte core CSM commande en cours 
29/04/2026 FME en route ETA=14H UTC 
29/04/2026 CDS investigation en cours ETR=13H 
28/04/2026 AOF_AngeRaphael_CiteSIC is down
Please to involve CDS for investigation</t>
  </si>
  <si>
    <t>28/04/2026 AOF_AngeRaphael_CiteSIC is down Please to involve CDS for investigation.;.;(04/29/2026 com ran 17h) 29/04/2026 Après investigation nous avons constaté que le châssis MPR est faulty,le Fan et la carte core CSM 29/04/2026 FME en route ETA=14H UTC 29/04/2026 CDS investigation en cours ETR=13H 28/04/2026 AOF_AngeRaphael_CiteSIC is down Please to involve CDS for investigation.;.;(04/29/2026 com ran 18h) 29/04/2026 Après investigation nous avons constaté que le châssis MPR est faulty,le Fan et la carte core CSM commande en cours 29/04/2026 FME en route ETA=14H UTC 29/04/2026 CDS investigation en cours ETR=13H 28/04/2026 AOF_AngeRaphael_CiteSIC is down Please to involve CDS for investigation</t>
  </si>
  <si>
    <t>Nkolfon-Cimencam-IHS</t>
  </si>
  <si>
    <t>CTR_911</t>
  </si>
  <si>
    <t>Gen-Lithium</t>
  </si>
  <si>
    <t>Mbankomo</t>
  </si>
  <si>
    <t xml:space="preserve">(04/29/2026 ocm ran 00h):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..;..;(04/29/2026 com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..;..;(04/29/2026 com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</si>
  <si>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04/29/2026 com ran 17h)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04/29/2026 com ran 18h)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t>
  </si>
  <si>
    <t>Oyomabang-marche</t>
  </si>
  <si>
    <t>CTR_718</t>
  </si>
  <si>
    <t xml:space="preserve">(04/29/2026 ocm ran 00h): 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..;..;(04/29/2026 com ran 17h): 29.04.2026: Nouvelle intervention ce jour le BO a recommandé de passer une nouvelle commande d'ODU celle recu le 28;04.2026 ne serai pas bonne ETA 10H Apres la pluie 
28/04/2026 FME sur site pour remplacer L'ODU
27/04/2026 l'AOF est Down OYOMABANG-MARCHE&lt;&gt;MEYONG-MEYEME et ODU UBT-T faulty commande passé ETD asap 
26/04/2026 l'AOF est Down  lODU est HS sur le FH commande mail en cours pas disponible à Yaoundé
25/04/2026 Besoin d'un fme sur site pour verifier le status du MPR fme mouhamadou activé ..;..;(04/29/2026 com ran 18h): 29/04/2026 Apres intervention et remplacemnt de L ODU site dans L IPRAN Impossible de faire le routage point transmis a OCM en attente de retour sur le lien AOF OYOMABANG-MARCHE&lt;&gt;MEYONG-MEYEME
29.04.2026: Nouvelle intervention ce jour le BO a recommandé de passer une nouvelle commande d'ODU celle recu le 28;04.2026 ne serai pas bonne ETA 10H Apres la pluie 
28/04/2026 FME sur site pour remplacer L'ODU
27/04/2026 l'AOF est Down OYOMABANG-MARCHE&lt;&gt;MEYONG-MEYEME et ODU UBT-T faulty commande passé ETD asap 
26/04/2026 l'AOF est Down  lODU est HS sur le FH commande mail en cours pas disponible à Yaoundé
25/04/2026 Besoin d'un fme sur site pour verifier le status du MPR fme mouhamadou activé </t>
  </si>
  <si>
    <t>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04/29/2026 com ran 17h) 29.04.2026 Nouvelle intervention ce jour le BO a recommandé de passer une nouvelle commande d'ODU celle recu le 28;04.2026 ne serai pas bonne ETA 10H Apres la pluie 28/04/2026 FME sur site pour remplacer L'ODU 27/04/2026 l'AOF est Down OYOMABANG-MARCHE&lt;&gt;MEYONG-MEYEME et ODU UBT-T faulty commande passé ETD asap 26/04/2026 l'AOF est Down lODU est HS sur le FH commande mail en cours pas disponible à Yaoundé 25/04/2026 Besoin d'un fme sur site pour verifier le status du MPR fme mouhamadou activé 04/29/2026 com ran 18h) 29/04/2026 Apres intervention et remplacemnt de L ODU site dans L IPRAN Impossible de faire le routage point transmis a OCM en attente de retour sur le lien AOF OYOMABANG-MARCHE&lt;&gt;MEYONG-MEYEME 29.04.2026 Nouvelle intervention ce jour le BO a recommandé de passer une nouvelle commande d'ODU celle recu le 28;04.2026 ne serai pas bonne ETA 10H Apres la pluie 28/04/2026 FME sur site pour remplacer L'ODU 27/04/2026 l'AOF est Down OYOMABANG-MARCHE&lt;&gt;MEYONG-MEYEME et ODU UBT-T faulty commande passé ETD asap 26/04/2026 l'AOF est Down lODU est HS sur le FH commande mail en cours pas disponible à Yaoundé 25/04/2026 Besoin d'un fme sur site pour verifier le status du MPR fme mouhamadou activé</t>
  </si>
  <si>
    <t>Bonamikengue</t>
  </si>
  <si>
    <t>LIT_336</t>
  </si>
  <si>
    <t>(04/29/2026 ocm ran 00h): 28/04/2026 En attente de l'envoi du rapport à OCM
26/04/2026 Carte core Evo faulty /not available in the system, SPM informed through an email
26/04/2026 The FME should replace the Core-ENH board at Bonaminkengue / FME activated ETA 12H UTC..;..;(04/29/2026 com ran 17h): 28/04/2026 En attente de l'envoi du rapport à OCM
26/04/2026 Carte core Evo faulty /not available in the system, SPM informed through an email
26/04/2026 The FME should replace the Core-ENH board at Bonaminkengue / FME activated ETA 12H UTC..;..;(04/29/2026 com ran 18h): 28/04/2026 En attente de l'envoi du rapport à OCM
26/04/2026 Carte core Evo faulty /not available in the system, SPM informed through an email
26/04/2026 The FME should replace the Core-ENH board at Bonaminkengue / FME activated ETA 12H UTC</t>
  </si>
  <si>
    <t>28/04/2026 En attente de l'envoi du rapport à OCM 26/04/2026 Carte core Evo faulty not available in the system, SPM informed through an email 26/04/2026 The FME should replace the Core-ENH board at Bonaminkengue FME activated ETA 12H UTC.;.;(04/29/2026 com ran 17h) 28/04/2026 En attente de l'envoi du rapport à OCM 26/04/2026 Carte core Evo faulty not available in the system, SPM informed through an email 26/04/2026 The FME should replace the Core-ENH board at Bonaminkengue FME activated ETA 12H UTC.;.;(04/29/2026 com ran 18h) 28/04/2026 En attente de l'envoi du rapport à OCM 26/04/2026 Carte core Evo faulty not available in the system, SPM informed through an email 26/04/2026 The FME should replace the Core-ENH board at Bonaminkengue FME activated ETA 12H UTC</t>
  </si>
  <si>
    <t>Mile4-Q10-IHS</t>
  </si>
  <si>
    <t>SUO_214</t>
  </si>
  <si>
    <t>Limbe</t>
  </si>
  <si>
    <t xml:space="preserve">(04/29/2026 ocm ran 00h): 17/04/2026 Carte EAC (3DB19417AA )  faulty commandée passé pas disponible point transmis a OCM 
16/04/2026 Besoin d'un fme sur site pour verifier le status du MPR et la chaine antennaire de l ODU FME desmond activé ETA asap ..;..;(04/29/2026 com ran 17h): 17/04/2026 Carte EAC (3DB19417AA )  faulty commandée passé pas disponible point transmis a OCM 
16/04/2026 Besoin d'un fme sur site pour verifier le status du MPR et la chaine antennaire de l ODU FME desmond activé ETA asap ..;..;(04/29/2026 com ran 18h): 17/04/2026 Carte EAC (3DB19417AA )  faulty commandée passé pas disponible point transmis a OCM 
16/04/2026 Besoin d'un fme sur site pour verifier le status du MPR et la chaine antennaire de l ODU FME desmond activé ETA asap </t>
  </si>
  <si>
    <t>17/04/2026 Carte EAC 3DB19417AA faulty commandée passé pas disponible point transmis a OCM 16/04/2026 Besoin d'un fme sur site pour verifier le status du MPR et la chaine antennaire de l ODU FME desmond activé ETA asap 04/29/2026 com ran 17h) 17/04/2026 Carte EAC 3DB19417AA faulty commandée passé pas disponible point transmis a OCM 16/04/2026 Besoin d'un fme sur site pour verifier le status du MPR et la chaine antennaire de l ODU FME desmond activé ETA asap 04/29/2026 com ran 18h) 17/04/2026 Carte EAC 3DB19417AA faulty commandée passé pas disponible point transmis a OCM 16/04/2026 Besoin d'un fme sur site pour verifier le status du MPR et la chaine antennaire de l ODU FME desmond activé ETA asap</t>
  </si>
  <si>
    <t>Maroua-Loperey</t>
  </si>
  <si>
    <t>EXN_082</t>
  </si>
  <si>
    <t>Maroua</t>
  </si>
  <si>
    <t>(04/29/2026 ocm ran 00h): 28.04.26: IHS: Grid outage, No space to deploy MDG // awaiting grid return Francklin - Escalated to L2
27.04.26: IHS: Grid outage, No space to deploy MDG // awaiting grid return Francklin..;..;(04/29/2026 com ran 17h): 28.04.26: IHS: Grid outage, No space to deploy MDG // awaiting grid return Francklin - Escalated to L2
27.04.26: IHS: Grid outage, No space to deploy MDG // awaiting grid return Francklin..;..;(04/29/2026 com ran 18h): 28.04.26: IHS: Grid outage, No space to deploy MDG // awaiting grid return Francklin - Escalated to L2
27.04.26: IHS: Grid outage, No space to deploy MDG // awaiting grid return Francklin</t>
  </si>
  <si>
    <t>28.04.26 IHS Grid outage, No space to deploy MDG awaiting grid return Francklin Escalated to L2 27.04.26 IHS Grid outage, No space to deploy MDG awaiting grid return Francklin.;.;(04/29/2026 com ran 17h) 28.04.26 IHS Grid outage, No space to deploy MDG awaiting grid return Francklin Escalated to L2 27.04.26 IHS Grid outage, No space to deploy MDG awaiting grid return Francklin.;.;(04/29/2026 com ran 18h) 28.04.26 IHS Grid outage, No space to deploy MDG awaiting grid return Francklin Escalated to L2 27.04.26 IHS Grid outage, No space to deploy MDG awaiting grid return Francklin</t>
  </si>
  <si>
    <t>Oku-Marche</t>
  </si>
  <si>
    <t>NRO_110</t>
  </si>
  <si>
    <t>Oku</t>
  </si>
  <si>
    <t>(04/29/2026 ocm ran 00h):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town..;..;(04/29/2026 com ran 17h): 29/04/2026 |Access not granted for this site for now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town..;..;(04/29/2026 com ran 18h): 29/04/2026 |Access not granted for this site for now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</si>
  <si>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town.;.;(04/29/2026 com ran 17h) 29/04/2026 Access not granted for this site for now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town.;.;(04/29/2026 com ran 18h) 29/04/2026 Access not granted for this site for now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t>
  </si>
  <si>
    <t>CTR_920_Z_MENDONG-ELOUMDEM</t>
  </si>
  <si>
    <t>CTR_920</t>
  </si>
  <si>
    <t>(04/29/2026 com ran 17h): Power status check ongoing..;..;(04/29/2026 com ran 18h): Power status check ongoing..;..;(04/29/2026 ticket): INC-20260429-00013418 || (04/29/2026 retour CAMUSAT): Echec démarrage GE</t>
  </si>
  <si>
    <t>04/29/2026 com ran 17h) 04/29/2026 com ran 18h) Echec démarrage GE</t>
  </si>
  <si>
    <t>Okolo</t>
  </si>
  <si>
    <t>CTR_213</t>
  </si>
  <si>
    <t>(04/29/2026 cell zte): 29/04/2026 : Besoin d'analyse BO RAN..;..;(04/29/2026 ticket): INC-20260429-00018494  ;  Rectifiers hanging due to MPR faulty. // Rectifiers reset.  ;  Rectifiers hanging due to MPR faulty. // Rectifiers reset.  ;  GE Fault</t>
  </si>
  <si>
    <t>04/29/2026 cell zte) 29/04/2026 Besoin d'analyse BO RAN.;.; Rectifiers hanging due to MPR faulty. Rectifiers reset. Rectifiers hanging due to MPR faulty. Rectifiers reset. GE Fault</t>
  </si>
  <si>
    <t>Bitotol-Ecole-Publique</t>
  </si>
  <si>
    <t>CTR_794</t>
  </si>
  <si>
    <t xml:space="preserve">ESCO </t>
  </si>
  <si>
    <t>Good Grid no GE 8H</t>
  </si>
  <si>
    <t>(04/29/2026 BO TX ) power issue</t>
  </si>
  <si>
    <t>04/29/2026 BO TX power issue</t>
  </si>
  <si>
    <t>Balissa-MTN-IHS</t>
  </si>
  <si>
    <t>CTR_170</t>
  </si>
  <si>
    <t>Balissa</t>
  </si>
  <si>
    <t>(04/29/2026 ocm ran 00h):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0..;..;(04/29/2026 com ran 17h):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0..;..;(04/29/2026 com ran 18h):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</si>
  <si>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0.;.;(04/29/2026 com ran 17h)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0.;.;(04/29/2026 com ran 18h)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</si>
  <si>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Yassa-Village-Camtel</t>
  </si>
  <si>
    <t>LIT_766</t>
  </si>
  <si>
    <t>(04/29/2026 com ran 17h): Power status check ongoing..;..;(04/29/2026 com ran 18h): Power status check ongoing..;..;(04/29/2026 ticket): INC-20260429-00012531 || (04/29/2026 retour CAMUSAT): Grid outage,  / grid return awaited</t>
  </si>
  <si>
    <t>04/29/2026 com ran 17h) 04/29/2026 com ran 18h) Grid outage, grid return awaited</t>
  </si>
  <si>
    <t>Carrefour-Diderot</t>
  </si>
  <si>
    <t>CTR_841</t>
  </si>
  <si>
    <t>(04/29/2026 retour CAMUSAT): Grid outage,  / grid return awaited</t>
  </si>
  <si>
    <t>Dumbu</t>
  </si>
  <si>
    <t>NRO_046</t>
  </si>
  <si>
    <t>(04/29/2026 hourly IHS): FME is informed and managing..;..;(04/29/2026 com ran 17h): 29/04/2026 FME sur site travaux en cours realignement ..;..;(04/29/2026 com ran 18h): 29/04/2026 FME sur site travaux en cours realignement ..;..;(04/29/2026 ticket): INC-20260429-00009881  ;  Others Transmission equipement fault</t>
  </si>
  <si>
    <t>FME is informed and managing.;.;(04/29/2026 com ran 17h) 29/04/2026 FME sur site travaux en cours realignement 04/29/2026 com ran 18h) 29/04/2026 FME sur site travaux en cours realignement</t>
  </si>
  <si>
    <t>Limbe-Mile_1</t>
  </si>
  <si>
    <t>SUO_234</t>
  </si>
  <si>
    <t>medium Grid + GE</t>
  </si>
  <si>
    <t>(04/29/2026 ocm ran 00h): 28.04.26: Camusat: Our technician is managing with the level 0 - Escalated to L2..;..;(04/29/2026 com ran 17h): Power status check ongoing..;..;(04/29/2026 com ran 18h): Power status check ongoing</t>
  </si>
  <si>
    <t>28.04.26 Camusat Our technician is managing with the level 0 Escalated to L2.;.;(04/29/2026 com ran 17h) 04/29/2026 com ran 18h) Power status check ongoing</t>
  </si>
  <si>
    <t>PK9</t>
  </si>
  <si>
    <t>LIT_370</t>
  </si>
  <si>
    <t>(04/29/2026 cell zte): 29/04/2026 : Fme should check power cable on RRU 73 || Fme active..;..;(04/29/2026 cell zte): 29/04/2026 : Fme should check power cable on RRU 73 || Fme active ETA 17h..;..;(04/29/2026 cell zte): 29/04/2026 : Fme should check power cable on RRU 73 || Fme active ETA 17h || Fme sur site en attente d'acces</t>
  </si>
  <si>
    <t>04/29/2026 cell zte) 29/04/2026 Fme should check power cable on RRU 73 Fme active.;.;(04/29/2026 cell zte) 29/04/2026 Fme should check power cable on RRU 73 Fme active ETA 17h.;.;(04/29/2026 cell zte) 29/04/2026 Fme should check power cable on RRU 73 Fme active ETA 17h Fme sur site en attente d'acces</t>
  </si>
  <si>
    <t>Mankon-II</t>
  </si>
  <si>
    <t>NRO_141</t>
  </si>
  <si>
    <t>(04/29/2026 ocm ran 00h): 28.04.26: Camusat: unknown / Our FME is managing with the level 0 - Escalated to L2</t>
  </si>
  <si>
    <t>28.04.26 Camusat unknown Our FME is managing with the level 0 Escalated to L2</t>
  </si>
  <si>
    <t>Nsimalen</t>
  </si>
  <si>
    <t>CTR_010</t>
  </si>
  <si>
    <t>(04/29/2026 hourly IHS): Tx fme kryslain is on site..;..;(04/29/2026 ticket): INC-20260429-00013132  ;  2026-04-29 23:22:13  ;  29.04.26: Besoin d'un FME sur site pour vérifier le statut de la BBU; FME Totat activé pour investigations, update ASAP  ;  user:ndzie mbene lionnel</t>
  </si>
  <si>
    <t>Tx fme kryslain is on site.;.; 2026-04-29 23 22 13 29.04.26 Besoin d'un FME sur site pour vérifier le statut de la BBU; FME Totat activé pour investigations, update ASAP user ndzie mbene lionnel</t>
  </si>
  <si>
    <t>laboratorie-T.Bella</t>
  </si>
  <si>
    <t>CTR_937</t>
  </si>
  <si>
    <t>04/29/2026: hardware issue,  site with GPS issue (alarm : TDD down 09Apr 02pm)</t>
  </si>
  <si>
    <t>Bertoua-Hopital-IHS</t>
  </si>
  <si>
    <t>EST_152</t>
  </si>
  <si>
    <t>Grid + Gen</t>
  </si>
  <si>
    <t>Bertoua</t>
  </si>
  <si>
    <t>(04/29/2026 retour IHS): Power issue NUR to be checked   ||   (04/29/2026 ticket): INC-20260429-00005786  ;  Others Transmission equipement fault</t>
  </si>
  <si>
    <t>Kribi-Bwambe-II</t>
  </si>
  <si>
    <t>SUD_093</t>
  </si>
  <si>
    <t>SUD</t>
  </si>
  <si>
    <t>Kribi</t>
  </si>
  <si>
    <t>(04/29/2026 ticket): INC-20260429-00017647  ;  2026-04-29 22:15:26  ;  investigation ongoing / Our FME is informed and he is trying to reach the level 0  ;  user:OCM_NOC.CAMUSAT</t>
  </si>
  <si>
    <t>2026-04-29 22 15 26 investigation ongoing Our FME is informed and he is trying to reach the level 0 user OCM_NOC.CAMUSAT</t>
  </si>
  <si>
    <t>Messassi-MTN-IHS</t>
  </si>
  <si>
    <t>CTR_468</t>
  </si>
  <si>
    <t>(04/29/2026 retour IHS): Power issue NUR to be checked   ||   (04/29/2026 hourly IHS): FME AHanda is informed ETA 08:25 PM..;..;(04/29/2026 ticket): INC-20260429-00019552</t>
  </si>
  <si>
    <t>Power issue NUR to be checked FME AHanda is informed ETA 08 25 PM.;.;</t>
  </si>
  <si>
    <t>SongLoulou-IHS</t>
  </si>
  <si>
    <t>LIT_200</t>
  </si>
  <si>
    <t>Songloulou</t>
  </si>
  <si>
    <t>(04/29/2026 ocm ran 00h):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UTC..;..;(04/29/2026 com ran 17h): 29/04/2026 FME Charly route pour le site ETA=13H UTC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UTC..;..;(04/29/2026 com ran 18h): 29/04/2026 Apres remplacement ODU et analyse BO TX lien depointer realignement prevu demain 30/04/2026 
29/04/2026 FME Charly route pour le site ETA=13H UTC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</si>
  <si>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28.04.2026 Spare dementelee et Expedition en cours vers EDEA ETD=28.04.2026 ETR=29/04/2026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UTC.;.;(04/29/2026 com ran 17h) 29/04/2026 FME Charly route pour le site ETA=13H UTC 28.04.2026 Spare dementelee et Expedition en cours vers EDEA ETD=28.04.2026 ETR=29/04/2026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UTC.;.;(04/29/2026 com ran 18h) 29/04/2026 Apres remplacement ODU et analyse BO TX lien depointer realignement prevu demain 30/04/2026 29/04/2026 FME Charly route pour le site ETA=13H UTC 28.04.2026 Spare dementelee et Expedition en cours vers EDEA ETD=28.04.2026 ETR=29/04/2026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</si>
  <si>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TCHEVI-IHS</t>
  </si>
  <si>
    <t>EXN_227</t>
  </si>
  <si>
    <t>Tchevi</t>
  </si>
  <si>
    <t>(04/29/2026 cell nokia): 23/04/2026 : Relance faite hier 
22/04/2026 : Cable d'alimentation SPM vandaliser
21/04/2026 : Check breaker and  interconnection FXED, FXDB, FRMF (sfp, optical fiber) between system and radio module, swap its if needed || FME Tsafack ervis activer..;..;(04/29/2026 cell nokia): 23/04/2026 : Relance faite hier 
22/04/2026 : Cable d'alimentation SPM vandaliser
21/04/2026 : Check breaker and  interconnection FXED, FXDB, FRMF (sfp, optical fiber) between system and radio module, swap its if needed || FME Tsafack ervis activer..;..;(04/29/2026 cell nokia): 23/04/2026 : Relance faite hier 
22/04/2026 : Cable d'alimentation SPM vandaliser
21/04/2026 : Check breaker and  interconnection FXED, FXDB, FRMF (sfp, optical fiber) between system and radio module, swap its if needed || FME Tsafack ervis activer</t>
  </si>
  <si>
    <t>04/29/2026 cell nokia) 23/04/2026 Relance faite hier 22/04/2026 Cable d'alimentation SPM vandaliser 21/04/2026 Check breaker and interconnection FXED, FXDB, FRMF sfp, optical fiber) between system and radio module, swap its if needed FME Tsafack ervis activer.;.;(04/29/2026 cell nokia) 23/04/2026 Relance faite hier 22/04/2026 Cable d'alimentation SPM vandaliser 21/04/2026 Check breaker and interconnection FXED, FXDB, FRMF sfp, optical fiber) between system and radio module, swap its if needed FME Tsafack ervis activer.;.;(04/29/2026 cell nokia) 23/04/2026 Relance faite hier 22/04/2026 Cable d'alimentation SPM vandaliser 21/04/2026 Check breaker and interconnection FXED, FXDB, FRMF sfp, optical fiber) between system and radio module, swap its if needed FME Tsafack ervis activer</t>
  </si>
  <si>
    <t>Alou-IHS</t>
  </si>
  <si>
    <t>SUO_133</t>
  </si>
  <si>
    <t>Alou</t>
  </si>
  <si>
    <t>(04/29/2026 ocm ran 00h):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"..;..;(04/29/2026 com ran 17h):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"..;..;(04/29/2026 com ran 18h):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t>
  </si>
  <si>
    <t>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 04/29/2026 com ran 17h) 29/04/2026 plan for 30/04/2026 if access possible 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 04/29/2026 com ran 18h) 29/04/2026 plan for 30/04/2026 if access possible 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t>
  </si>
  <si>
    <t>Baba-Babungo-IHS</t>
  </si>
  <si>
    <t>NRO_085</t>
  </si>
  <si>
    <t>Grid-Hybrid-Gen</t>
  </si>
  <si>
    <t>Baba-Babungo</t>
  </si>
  <si>
    <t>(04/29/2026 ocm ran 00h):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L5..;..;(04/29/2026 com ran 17h):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L5..;..;(04/29/2026 com ran 18h):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</si>
  <si>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L5.;.;(04/29/2026 com ran 17h)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L5.;.;(04/29/2026 com ran 18h)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</si>
  <si>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Sodibanga</t>
  </si>
  <si>
    <t>LIT_515</t>
  </si>
  <si>
    <t xml:space="preserve">(04/29/2026 cell nokia): 28/04/2026: || Forte pluie  dans la zone||Intervention pour demain 29/04/2026
27/04/2026 : Need BO RAN analysis || Check and clean jumper, port 2 of FRGU ..;..;(04/29/2026 cell nokia): 29/04/2026: FME est sur le site couper de songloulou. intervention demain 30/04/2026 || Yannick mba
28/04/2026: || Forte pluie  dans la zone||Intervention pour demain 29/04/2026
27/04/2026 : Need BO RAN analysis || Check and clean jumper, port 2 of FRGU ..;..;(04/29/2026 cell nokia): 29/04/2026: FME est sur le site couper de songloulou. intervention demain 30/04/2026 || Yannick mba
28/04/2026: || Forte pluie  dans la zone||Intervention pour demain 29/04/2026
27/04/2026 : Need BO RAN analysis || Check and clean jumper, port 2 of FRGU </t>
  </si>
  <si>
    <t>04/29/2026 cell nokia) 28/04/2026 Forte pluie dans la zone Intervention pour demain 29/04/2026 27/04/2026 Need BO RAN analysis Check and clean jumper, port 2 of FRGU 04/29/2026 cell nokia) 29/04/2026 FME est sur le site couper de songloulou. intervention demain 30/04/2026 Yannick mba 28/04/2026 Forte pluie dans la zone Intervention pour demain 29/04/2026 27/04/2026 Need BO RAN analysis Check and clean jumper, port 2 of FRGU 04/29/2026 cell nokia) 29/04/2026 FME est sur le site couper de songloulou. intervention demain 30/04/2026 Yannick mba 28/04/2026 Forte pluie dans la zone Intervention pour demain 29/04/2026 27/04/2026 Need BO RAN analysis Check and clean jumper, port 2 of FRGU</t>
  </si>
  <si>
    <t>Nkoabang-South-MTN</t>
  </si>
  <si>
    <t>CTR_698</t>
  </si>
  <si>
    <t>MTN sharing</t>
  </si>
  <si>
    <t>MPR ISSUE</t>
  </si>
  <si>
    <t>(04/29/2026 ticket): INC-20260429-00020048  || (04/29/2026 top offenders): 30.04.26 FME en route ETA 09H30 
29.04.26: Besoin d'un FME sur site pour vérifier le statut du MPR; CM-20260429-00007559; FME Henri activé pour investigations, update ASAP</t>
  </si>
  <si>
    <t>30.04.26 FME en route ETA 09H30 29.04.26 Besoin d'un FME sur site pour vérifier le statut du MPR; FME Henri activé pour investigations, update ASAP</t>
  </si>
  <si>
    <t>LIT_841_Z_PK12-BASSA-SODIKOMBO</t>
  </si>
  <si>
    <t>LIT_841</t>
  </si>
  <si>
    <t>Medium Grid + GE</t>
  </si>
  <si>
    <t>(04/29/2026 ocm ran 00h): 28.04.26: Camusat: FME is managing - Escalated to L2..;..;(04/29/2026 com ran 17h): Power status check ongoing..;..;(04/29/2026 com ran 18h): Power status check ongoing</t>
  </si>
  <si>
    <t>28.04.26 Camusat FME is managing Escalated to L2.;.;(04/29/2026 com ran 17h) 04/29/2026 com ran 18h) Power status check ongoing</t>
  </si>
  <si>
    <t>Nkoambang</t>
  </si>
  <si>
    <t>CTR_891</t>
  </si>
  <si>
    <t>(04/29/2026 cell nokia): 29/04/2026 : Check breaker and  interconnection AHPMDA(sfp, optical fiber) between system and radio module, swap its if needed || FME raoul activer ||FME activier il verifie l'etat du power avec son vis a vis..;..;(04/29/2026 cell nokia): 29/04/2026 : Check breaker and  interconnection AHPMDA(sfp, optical fiber) between system and radio module, swap its if needed || FME raoul activer ||FME activier il verifie l'etat du power avec son vis a vis</t>
  </si>
  <si>
    <t>04/29/2026 cell nokia) 29/04/2026 Check breaker and interconnection AHPMDA(sfp, optical fiber) between system and radio module, swap its if needed FME activier il verifie l'etat du power avec son vis a vis.;.;(04/29/2026 cell nokia) 29/04/2026 Check breaker and interconnection AHPMDA(sfp, optical fiber) between system and radio module, swap its if needed FME activier il verifie l'etat du power avec son vis a vis</t>
  </si>
  <si>
    <t>Logbessou-OCM</t>
  </si>
  <si>
    <t>LIT_680</t>
  </si>
  <si>
    <t>(04/29/2026 ticket): INC-20260429-00005508  ;  2026-04-29 10:02:49  ;  FME is on the way ETA 11:15 AM  ;  user:OCM_NOC.CAMUSAT</t>
  </si>
  <si>
    <t>2026-04-29 10 02 49 FME is on the way ETA 11 15 AM user OCM_NOC.CAMUSAT</t>
  </si>
  <si>
    <t>CTR_951_Z_Odza-Entree-Plaque-LB</t>
  </si>
  <si>
    <t>CTR_951</t>
  </si>
  <si>
    <t>(04/29/2026 top offenders): 30/04/2026 FME en route pour le site ETA=11H30 UTC  || (04/29/2026 top offenders): 30/04/2026 FME en route pour le site ETA=11H30 UTC 
29.04.26: There is ICP alarm between ODU and EASv2 board. Activate FME at NKOLDA-NEW check ODU 5/1 antenna line; FME Crislain activé pour investigations, update ASAP</t>
  </si>
  <si>
    <t>30/04/2026 FME en route pour le site ETA=11H30 UTC 30/04/2026 FME en route pour le site ETA=11H30 UTC 29.04.26 There is ICP alarm between ODU and EASv2 board. Activate FME at NKOLDA-NEW check ODU 5/1 antenna line; FME Crislain activé pour investigations, update ASAP</t>
  </si>
  <si>
    <t>Nkolfoulou-CSD</t>
  </si>
  <si>
    <t>CTR_712</t>
  </si>
  <si>
    <t>29.04.26: There is ICP alarm between ODU and EASv2 board. Activate FME at NKOLDA-NEW check ODU 5/1 antenna line; FME Crislain activé pour investigations, update ASAP</t>
  </si>
  <si>
    <t>29.04.26 There is ICP alarm between ODU and EASv2 board. Activate FME at NKOLDA-NEW check ODU 5/1 antenna line; FME Crislain activé pour investigations, update ASAP</t>
  </si>
  <si>
    <t>Montee-Jouvence-II-IHS</t>
  </si>
  <si>
    <t>CTR_154</t>
  </si>
  <si>
    <t>(04/29/2026 ticket): INC-20260429-00017745  ;  2026-04-29 22:46:31  ;  MTN alerté pour vérifier le power  ;  user:MAMBO JEAN VALDEZ</t>
  </si>
  <si>
    <t>2026-04-29 22 46 31 MTN alerté pour vérifier le power user MAMBO JEAN VALDEZ</t>
  </si>
  <si>
    <t>Ekekam-MTN-IHS</t>
  </si>
  <si>
    <t>CTR_694</t>
  </si>
  <si>
    <t>(04/29/2026 ocm ran 00h): 28.04.2026: FME Sur site intervention retardee par la pluie. Update ASAP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UTC..;..;(04/29/2026 ticket): INC-20260429-00006934  ;  Others Transmission equipement fault</t>
  </si>
  <si>
    <t>28.04.2026 FME Sur site intervention retardee par la pluie. Update ASAP 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t>
  </si>
  <si>
    <t>Bouba-Ndjida-Park</t>
  </si>
  <si>
    <t>NRD_167</t>
  </si>
  <si>
    <t>Bouba-Ndjida</t>
  </si>
  <si>
    <t>(04/29/2026 ocm ran 00h): 28.04.26: Camusat Our technician is trying to reach the guard - Escalated to L2</t>
  </si>
  <si>
    <t>28.04.26 Camusat Our technician is trying to reach the guard Escalated to L2</t>
  </si>
  <si>
    <t>Nkometou-II</t>
  </si>
  <si>
    <t>CTR_750</t>
  </si>
  <si>
    <t>Hybrid Solar - S1</t>
  </si>
  <si>
    <t>(04/29/2026 ticket): INC-20260429-00014071  ;  Others Transmission equipement fault || (04/29/2026 retour CAMUSAT): GE en stop mode</t>
  </si>
  <si>
    <t>GE en stop mode</t>
  </si>
  <si>
    <t>Meyo-II</t>
  </si>
  <si>
    <t>CTR_850</t>
  </si>
  <si>
    <t>Binguela</t>
  </si>
  <si>
    <t>(04/29/2026 ticket): INC-20260429-00003858  ;  2026-04-29 08:20:33  ;  No power issue, Ubaie = 54.7V site on GEN. TX FME Yaya 694806622 / HUAWEI is informed.  ;  Others Transmission equipement fault  ;  user:OCM_NOC.IHS || (04/29/2026 top offenders): 29.04.26: Camusat: grid outage and gen cannot be started due to noise disturbance /awaiting grid return</t>
  </si>
  <si>
    <t>2026-04-29 08 20 33 No power issue, Ubaie 54.7V site on GEN. TX FME Yaya 694806622 HUAWEI is informed. user OCM_NOC.IHS 29.04.26 Camusat grid outage and gen cannot be started due to noise disturbance awaiting grid return</t>
  </si>
  <si>
    <t>CTR_935_Z_BATA-Mokolo-II-HIS</t>
  </si>
  <si>
    <t>CTR_935</t>
  </si>
  <si>
    <t>I_HS</t>
  </si>
  <si>
    <t>Grid Only</t>
  </si>
  <si>
    <t>(04/29/2026 retour IHS): Power issue NUR to be checked   ||   (04/29/2026 hourly IHS): Grid outage, MDG Deploiement ongoing..;..;(04/29/2026 ticket): INC-20260429-00002711  ;  Others Transmission equipement fault</t>
  </si>
  <si>
    <t>Power issue NUR to be checked Grid outage, MDG Deploiement ongoing.;.;</t>
  </si>
  <si>
    <t>Ngona-II</t>
  </si>
  <si>
    <t>CTR_709</t>
  </si>
  <si>
    <t>(04/29/2026 ticket): INC-20260429-00009626  ;  Rectifiers hanging due to MPR faulty. // Rectifiers reset.  ;  Rectifiers hanging due to MPR faulty. // Rectifiers reset.  ;  GE Fault  ;  Rectifiers hanging due to MPR faulty. // Rectifiers reset.</t>
  </si>
  <si>
    <t>Rectifiers hanging due to MPR faulty. Rectifiers reset. Rectifiers hanging due to MPR faulty. Rectifiers reset. GE Fault Rectifiers hanging due to MPR faulty. Rectifiers reset.</t>
  </si>
  <si>
    <t>Emia</t>
  </si>
  <si>
    <t>CTR_323</t>
  </si>
  <si>
    <t>Mayo-Oulo</t>
  </si>
  <si>
    <t>NRD_010</t>
  </si>
  <si>
    <t>(04/29/2026 ocm ran 00h): 28.04.26: Besoin d'un FME sur site pour vérifier le statut de la BBU et son interco avec le MPR S1P5; FME Ervice activé pour investigations, update ASAP</t>
  </si>
  <si>
    <t>28.04.26 Besoin d'un FME sur site pour vérifier le statut de la BBU et son interco avec le MPR S1P5; FME Ervice activé pour investigations, update ASAP</t>
  </si>
  <si>
    <t>Garoua-Kolbives</t>
  </si>
  <si>
    <t>NRD_049</t>
  </si>
  <si>
    <t>(04/29/2026 retour IHS): Power issue NUR to be checked   ||   (04/29/2026 hourly IHS): Fme is on site (franklin is informed )</t>
  </si>
  <si>
    <t>Power issue NUR to be checked Fme is on site franklin is informed</t>
  </si>
  <si>
    <t>Nkol-Mbanda</t>
  </si>
  <si>
    <t>CTR_262</t>
  </si>
  <si>
    <t>Sapeur-Mimboman-IHS</t>
  </si>
  <si>
    <t>CTR_133</t>
  </si>
  <si>
    <t>Elig-Edzoa</t>
  </si>
  <si>
    <t>CTR_075</t>
  </si>
  <si>
    <t>CNR</t>
  </si>
  <si>
    <t>CTR_002</t>
  </si>
  <si>
    <t>Manguier</t>
  </si>
  <si>
    <t>CTR_049</t>
  </si>
  <si>
    <t>Doualare-II</t>
  </si>
  <si>
    <t>EXN_197</t>
  </si>
  <si>
    <t>(04/29/2026 retour CAMUSAT): Génératrice faulty</t>
  </si>
  <si>
    <t>Génératrice faulty</t>
  </si>
  <si>
    <t>Bastos-BAT</t>
  </si>
  <si>
    <t>CTR_200</t>
  </si>
  <si>
    <t>Betare-Oya</t>
  </si>
  <si>
    <t>EST_014</t>
  </si>
  <si>
    <t>Solar-Gen-Lithium</t>
  </si>
  <si>
    <t>Betare-oya</t>
  </si>
  <si>
    <t xml:space="preserve">(04/29/2026 cell nokia): 2902026 : FME en route pour le site || ETA : 13h
28/04/2026 : Forte pluie dans la zone de bertoua || Intervention a faire est sur le pylone ||ETA : 29/04/2026 
27/04/2026 : Check breaker and  interconnection FRGU (sfp, optical fiber) between system and radio module, swap its if needed ||FME Mezazem activer || Action non aboutti avec le vel 0 || FME ira sur site demain 28/04/2026 ..;..;(04/29/2026 cell nokia): 2902026 : FME en route pour le site || ETA : 13h ||UP apres le remplacement des jumpeurs
28/04/2026 : Forte pluie dans la zone de bertoua || Intervention a faire est sur le pylone ||ETA : 29/04/2026 
27/04/2026 : Check breaker and  interconnection FRGU (sfp, optical fiber) between system and radio module, swap its if needed ||FME Mezazem activer || Action non aboutti avec le vel 0 || FME ira sur site demain 28/04/2026 </t>
  </si>
  <si>
    <t>04/29/2026 cell nokia) 2902026 FME en route pour le site ETA 13h 28/04/2026 Forte pluie dans la zone de bertoua Intervention a faire est sur le pylone ETA 29/04/2026 27/04/2026 Check breaker and interconnection FRGU sfp, optical fiber) between system and radio module, swap its if needed Action non aboutti avec le vel 0 FME ira sur site demain 28/04/2026 04/29/2026 cell nokia) 2902026 FME en route pour le site ETA 13h UP apres le remplacement des jumpeurs 28/04/2026 Forte pluie dans la zone de bertoua Intervention a faire est sur le pylone ETA 29/04/2026 27/04/2026 Check breaker and interconnection FRGU sfp, optical fiber) between system and radio module, swap its if needed Action non aboutti avec le vel 0 FME ira sur site demain 28/04/2026</t>
  </si>
  <si>
    <t>Tourou</t>
  </si>
  <si>
    <t>EXN_231</t>
  </si>
  <si>
    <t>(04/29/2026 ocm ran 00h): 28.04.26: Camusat: Zone insécurisée dans la nuit et pour y intervenir , il faut l'escorte - Escalated to L2</t>
  </si>
  <si>
    <t>28.04.26 Camusat Zone insécurisée dans la nuit et pour y intervenir il faut l'escorte Escalated to L2</t>
  </si>
  <si>
    <t>Nkomekui</t>
  </si>
  <si>
    <t>SUD_016</t>
  </si>
  <si>
    <t>(04/29/2026 hourly IHS): Fme is on the way ETA = 11:30 Am (Pascaline ; Alphonse)..;..;(04/29/2026 ticket): INC-20260429-00005587  ;  Others Transmission equipement fault</t>
  </si>
  <si>
    <t>Fme is on the way ETA 11 30 Am Pascaline Alphonse).;.;</t>
  </si>
  <si>
    <t>Buca-Voyage</t>
  </si>
  <si>
    <t>LIT_616</t>
  </si>
  <si>
    <t>(04/29/2026 ticket): INC-20260429-00018539  ;  2026-04-29 23:47:01  ;  Feedback IHS: FME will managed early morning  because Level 0 is unreachable.  ;  user:NIAMBA WILFRIED PRUDENCE OSCAR n84276435</t>
  </si>
  <si>
    <t>2026-04-29 23 47 01 Feedback IHS FME will managed early morning because Level 0 is unreachable. user NIAMBA WILFRIED PRUDENCE OSCAR n84276435</t>
  </si>
  <si>
    <t>EXN_350_H_Maroua-Ziling</t>
  </si>
  <si>
    <t>EXN_350</t>
  </si>
  <si>
    <t>EXN</t>
  </si>
  <si>
    <t>Logbessou-Sunshine-City</t>
  </si>
  <si>
    <t>LIT_638</t>
  </si>
  <si>
    <t>(04/29/2026 retour CAMUSAT): souci avec l'ATS</t>
  </si>
  <si>
    <t>souci avec l'ATS</t>
  </si>
  <si>
    <t>PDC</t>
  </si>
  <si>
    <t>CTR_011</t>
  </si>
  <si>
    <t>Lagdo-Ville</t>
  </si>
  <si>
    <t>NRD_131</t>
  </si>
  <si>
    <t>Lagdo</t>
  </si>
  <si>
    <t>(04/29/2026 retour CAMUSAT): Plantage du controleur</t>
  </si>
  <si>
    <t>Plantage du controleur</t>
  </si>
  <si>
    <t>Etoa-Meki-II</t>
  </si>
  <si>
    <t>CTR_682</t>
  </si>
  <si>
    <t>Etoudi</t>
  </si>
  <si>
    <t>CTR_086</t>
  </si>
  <si>
    <t>PK10-Genie-Militaire</t>
  </si>
  <si>
    <t>LIT_447</t>
  </si>
  <si>
    <t>Nyalla</t>
  </si>
  <si>
    <t>LIT_059</t>
  </si>
  <si>
    <t>(04/29/2026 retour IHS): Power issue NUR to be checked   ||   (04/29/2026 hourly IHS): Fme is on site..;..;(04/29/2026 ticket): INC-20260429-00016757  ;  grid outage power issue on site   ;  Others Transmission equipement fault</t>
  </si>
  <si>
    <t>Power issue NUR to be checked Fme is on site.;.; grid outage power issue on site</t>
  </si>
  <si>
    <t>Zone-Papass</t>
  </si>
  <si>
    <t>LIT_270</t>
  </si>
  <si>
    <t>(04/29/2026 retour IHS): Power issue NUR to be checked   ||   (04/29/2026 hourly IHS): Dieunedor is on the way ETA: 09: 35 PM..;..;(04/29/2026 ticket): INC-20260429-00016336  ;  Others Transmission equipement fault</t>
  </si>
  <si>
    <t>Power issue NUR to be checked Dieunedor is on the way ETA 09 35 PM.;.;</t>
  </si>
  <si>
    <t>H-Paradis</t>
  </si>
  <si>
    <t>CTR_093</t>
  </si>
  <si>
    <t>Mbam</t>
  </si>
  <si>
    <t>CTR_303</t>
  </si>
  <si>
    <t>Warehouse HUAWEI</t>
  </si>
  <si>
    <t xml:space="preserve">(04/29/2026 ocm ran 00h):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..;..;(04/29/2026 com ran 17h):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..;..;(04/29/2026 com ran 18h):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</si>
  <si>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04/29/2026 com ran 17h)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04/29/2026 com ran 18h)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</si>
  <si>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Nwa</t>
  </si>
  <si>
    <t>NRO_012</t>
  </si>
  <si>
    <t>Mwa</t>
  </si>
  <si>
    <t>(04/29/2026 ocm ran 00h):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DG..;..;(04/29/2026 com ran 17h): 29/04/2026 |will check today will level zero ETA10AM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DG..;..;(04/29/2026 com ran 18h): 29/04/2026 |will check today will level zero ETA10AM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</si>
  <si>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DG.;.;(04/29/2026 com ran 17h) 29/04/2026 will check today will level zero ETA10AM 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DG.;.;(04/29/2026 com ran 18h) 29/04/2026 will check today will level zero ETA10AM 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t>
  </si>
  <si>
    <t>Mvam-Yetom</t>
  </si>
  <si>
    <t>CTR_860</t>
  </si>
  <si>
    <t>Hybrid Solar - S2</t>
  </si>
  <si>
    <t>CTR</t>
  </si>
  <si>
    <t xml:space="preserve">(04/29/2026 ocm ran 00h): 28.04.2026: Spare pas disponible dans les WH Afro Commande effectuee au SPM. Update dans 20 minutes
27/04/2026 ODU UBT-T 3DB29211ACAA02 faulty commande en cours 
24/04/2026 Besoin d'un fme sur biba pour verifier le status de L ODU 5/1 ..;..;(04/29/2026 com ran 17h):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..;..;(04/29/2026 com ran 18h):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</si>
  <si>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28.04.2026 Spare pas disponible dans les WH Afro Commande effectuee au SPM. Update dans 20 minutes 27/04/2026 ODU UBT-T 3DB29211ACAA02 faulty commande en cours 24/04/2026 Besoin d'un fme sur biba pour verifier le status de L ODU 5/1 04/29/2026 com ran 17h)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04/29/2026 com ran 18h)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t>
  </si>
  <si>
    <t>Ngaouyanga-IHS</t>
  </si>
  <si>
    <t>ADM_081</t>
  </si>
  <si>
    <t>Ngaouyanga</t>
  </si>
  <si>
    <t xml:space="preserve">(04/29/2026 retour IHS): Power issue NUR to be checked   ||   (04/29/2026 cell nokia): 29/04/2026: Need BO RAN analysis ..;..;(04/29/2026 cell nokia): 29/04/2026: Need BO RAN analysis ||Check and solve SFP / Optical fiber on FXED..;..;(04/29/2026 cell nokia): 29/04/2026: Need BO RAN analysis ||Check and solve SFP / Optical fiber on FXED || Escalade faite au RM : en attente de son feedback </t>
  </si>
  <si>
    <t>Power issue NUR to be checked 04/29/2026 cell nokia) 29/04/2026 Need BO RAN analysis 04/29/2026 cell nokia) 29/04/2026 Need BO RAN analysis Check and solve SFP Optical fiber on FXED.;.;(04/29/2026 cell nokia) 29/04/2026 Need BO RAN analysis Check and solve SFP Optical fiber on FXED Escalade faite au RM en attente de son feedback</t>
  </si>
  <si>
    <t>Mballa-II</t>
  </si>
  <si>
    <t>CTR_824</t>
  </si>
  <si>
    <t>NR-Omnisport-Qtier-Yambassa</t>
  </si>
  <si>
    <t>CTR_566</t>
  </si>
  <si>
    <t>CTR_064_Z_Etoa-Meki</t>
  </si>
  <si>
    <t>CTR_064</t>
  </si>
  <si>
    <t>Sakdje</t>
  </si>
  <si>
    <t>NRD_172</t>
  </si>
  <si>
    <t>(04/29/2026 retour CAMUSAT): GE en stop mode</t>
  </si>
  <si>
    <t>ETOUDI-NEW</t>
  </si>
  <si>
    <t>CTR_917</t>
  </si>
  <si>
    <t>Messondo</t>
  </si>
  <si>
    <t>LIT_134</t>
  </si>
  <si>
    <t>(04/29/2026 cell nokia): 27/04/2026 : Intervention plan for 29/04/2026 
24/04/2026 : Check and clean FRGU ant 5  || FME charlie activer ||Attende du Work Permis ..;..;(04/29/2026 cell nokia): 2902026 : A cause du outage de Mbongo FME se rendra demain sur messondo ||ETA : 30/04/2026 
27/04/2026 : Intervention plan for 29/04/2026 
24/04/2026 : Check and clean FRGU ant 5  || FME charlie activer ||Attende du Work Permis ..;..;(04/29/2026 cell nokia): 2902026 : A cause du outage de Mbongo FME se rendra demain sur messondo ||ETA : 30/04/2026 
27/04/2026 : Intervention plan for 29/04/2026 
24/04/2026 : Check and clean FRGU ant 5  || FME charlie activer ||Attende du Work Permis ..;..;(04/29/2026 ticket): INC-20260429-00016051  ;  2026-04-29 23:43:48  ;  29.04.26: There is ICP alarm between ODU and EASv2 board. Activate FME at NKOLDA-NEW check ODU 5/1 antenna line; FME Crislain activé pour investigations, update ASAP  ;  user:ndzie mbene lionnel</t>
  </si>
  <si>
    <t>04/29/2026 cell nokia) 27/04/2026 Intervention plan for 29/04/2026 24/04/2026 Check and clean FRGU ant 5 Attende du Work Permis 04/29/2026 cell nokia) 2902026 A cause du outage de Mbongo FME se rendra demain sur messondo ETA 30/04/2026 27/04/2026 Intervention plan for 29/04/2026 24/04/2026 Check and clean FRGU ant 5 Attende du Work Permis 04/29/2026 cell nokia) 2902026 A cause du outage de Mbongo FME se rendra demain sur messondo ETA 30/04/2026 27/04/2026 Intervention plan for 29/04/2026 24/04/2026 Check and clean FRGU ant 5 Attende du Work Permis 2026-04-29 23 43 48 29.04.26 There is ICP alarm between ODU and EASv2 board. Activate FME at NKOLDA-NEW check ODU 5/1 antenna line; FME Crislain activé pour investigations, update ASAP user ndzie mbene lionnel</t>
  </si>
  <si>
    <t>Etoudi-II-IHS</t>
  </si>
  <si>
    <t>CTR_633</t>
  </si>
  <si>
    <t>(04/29/2026 cell zte): 29/04/2026 : Besoin d'analyse BO RAN || 04/29/2026: hardware issue,  site with GPS issue (alarm : TDD down 09Apr 02pm)</t>
  </si>
  <si>
    <t>04/29/2026 cell zte) 29/04/2026 Besoin d'analyse BO RAN 04/29/2026 hardware issue, site with GPS issue alarm TDD down 09Apr 02pm)</t>
  </si>
  <si>
    <t>Institute-Samba-New</t>
  </si>
  <si>
    <t>CTR_868</t>
  </si>
  <si>
    <t>(04/29/2026 cell zte): 
29/04/2026 : Fme active pour checker les tensions au borne des modules || Fme active ETA attendu</t>
  </si>
  <si>
    <t>04/29/2026 cell zte) 29/04/2026 Fme active pour checker les tensions au borne des modules Fme active ETA attendu</t>
  </si>
  <si>
    <t>SIC-Cacao</t>
  </si>
  <si>
    <t>LIT_654</t>
  </si>
  <si>
    <t>Good Grid no GE - 12h</t>
  </si>
  <si>
    <t>Vallee-Omnisport</t>
  </si>
  <si>
    <t>CTR_758</t>
  </si>
  <si>
    <t>ARMP</t>
  </si>
  <si>
    <t>CTR_124</t>
  </si>
  <si>
    <t>Fonfuka</t>
  </si>
  <si>
    <t>NRO_043</t>
  </si>
  <si>
    <t xml:space="preserve">(04/29/2026 cell nokia): 20/04/2026 :  Un reset a ete effectuer || Site en observation..;..;(04/29/2026 cell nokia): 29/04/2026 :  Un reset a ete effectuer || Site en observation||Check and solve VSWR on site||VSWR on ARGA, ANT2..;..;(04/29/2026 cell nokia): 29/04/2026 :  Un reset a ete effectuer || Site en observation||Check and solve VSWR on site||VSWR on ARGA, ANT2 || Escalade faite au RM : en attente de son feedback </t>
  </si>
  <si>
    <t>04/29/2026 cell nokia) 20/04/2026 Un reset a ete effectuer Site en observation.;.;(04/29/2026 cell nokia) 29/04/2026 Un reset a ete effectuer Site en observation Check and solve VSWR on site VSWR on ARGA, ANT2.;.;(04/29/2026 cell nokia) 29/04/2026 Un reset a ete effectuer Site en observation Check and solve VSWR on site VSWR on ARGA, ANT2 Escalade faite au RM en attente de son feedback</t>
  </si>
  <si>
    <t>Afanoya-II</t>
  </si>
  <si>
    <t>CTR_838</t>
  </si>
  <si>
    <t>(04/29/2026 ticket): INC-20260429-00016055  ;  Others Transmission equipement fault || (04/29/2026 retour CAMUSAT): ATS faulty</t>
  </si>
  <si>
    <t>Douggoy-Lopere-II</t>
  </si>
  <si>
    <t>EXN_217</t>
  </si>
  <si>
    <t>(04/29/2026 retour CAMUSAT): Mauvaises phases ENEO</t>
  </si>
  <si>
    <t>Mauvaises phases ENEO</t>
  </si>
  <si>
    <t>Ouro-Kessoun</t>
  </si>
  <si>
    <t>NRD_040</t>
  </si>
  <si>
    <t>(04/29/2026 retour IHS): Power issue NUR to be checked   ||   (04/29/2026 hourly IHS): Joseph is on the way 10:20 PM (franklin is informed )</t>
  </si>
  <si>
    <t>Power issue NUR to be checked Joseph is on the way 10 20 PM franklin is informed</t>
  </si>
  <si>
    <t>CRH-Etoug-Ebe</t>
  </si>
  <si>
    <t>CTR_265</t>
  </si>
  <si>
    <t>(04/29/2026 retour IHS): Power issue NUR to be checked   ||   (04/29/2026 hourly IHS): Fme Armand is on site awaiting AFS, Francois is informed ,Alphonse not pick the phone..;..;(04/29/2026 ticket): INC-20260429-00005690</t>
  </si>
  <si>
    <t>Power issue NUR to be checked Fme Armand is on site awaiting AFS, Francois is informed Alphonse not pick the phone.;.;</t>
  </si>
  <si>
    <t>Tsinga-Village2</t>
  </si>
  <si>
    <t>CTR_675</t>
  </si>
  <si>
    <t>Hybrid-Gen-Lithium</t>
  </si>
  <si>
    <t>(04/29/2026 retour IHS): Power issue NUR to be checked   ||   04/29/2026: hardware issue,  site with GPS issue (alarm : TDD down 09Apr 02pm)</t>
  </si>
  <si>
    <t>Power issue NUR to be checked 04/29/2026 hardware issue, site with GPS issue alarm TDD down 09Apr 02pm)</t>
  </si>
  <si>
    <t>Tchollire-Centre</t>
  </si>
  <si>
    <t>NRD_180</t>
  </si>
  <si>
    <t>Tchollire</t>
  </si>
  <si>
    <t>Sonara</t>
  </si>
  <si>
    <t>SUO_171</t>
  </si>
  <si>
    <t>(04/29/2026 com ran 17h): Power status check ongoing..;..;(04/29/2026 com ran 18h): Power status check ongoing  || (04/29/2026 retour CAMUSAT): Souci avec le GE</t>
  </si>
  <si>
    <t>04/29/2026 com ran 17h) 04/29/2026 com ran 18h) Power status check ongoing Souci avec le GE</t>
  </si>
  <si>
    <t>Kribi-Ndjibo</t>
  </si>
  <si>
    <t>SUD_081</t>
  </si>
  <si>
    <t>(04/29/2026 ticket): INC-20260429-00012942  ;  2026-04-29 21:02:49  ;  '@Joel Zeutong TT gele pour invertion en hauteur pas possible la nuit, notre fme sera des l''aube sur site.  ;  
  Site not under IHS Responsability  ;  Others  ;  
  Site not under IHS Responsability  ;  user:OCM_NOC.IHS</t>
  </si>
  <si>
    <t>2026-04-29 21 02 49 Joel Zeutong TT gele pour invertion en hauteur pas possible la nuit, notre fme sera des l''aube sur site. Site not under IHS Responsability Others Site not under IHS Responsability user OCM_NOC.IHS</t>
  </si>
  <si>
    <t>CTR_228_N_Evodoula</t>
  </si>
  <si>
    <t>CTR_228</t>
  </si>
  <si>
    <t>Evodoula</t>
  </si>
  <si>
    <t>(04/29/2026 cell nokia): 29/04/2026 : Check breaker and  interconnection FRMF, ARGA, FXDB(sfp, optical fiber) between system and radio module, swap its if needed || power issues mail send to HIS|| Feeback IHS :  Investigations ongoing.
We will keep you updated...;..;(04/29/2026 ticket): INC-20260429-00003931  ;  Power issue   ;  Others Transmission equipement fault</t>
  </si>
  <si>
    <t>04/29/2026 cell nokia) 29/04/2026 Check breaker and interconnection FRMF, ARGA, FXDB(sfp, optical fiber) between system and radio module, swap its if needed power issues mail send to HIS Feeback IHS Investigations ongoing. We will keep you updated.;.; Power issue</t>
  </si>
  <si>
    <t>Sangmelima-Ville</t>
  </si>
  <si>
    <t>SUD_228</t>
  </si>
  <si>
    <t>Sangmelima</t>
  </si>
  <si>
    <t>(04/29/2026 retour IHS): Power issue NUR to be checked   ||   (04/29/2026 hourly IHS): IHS SS Serges is on site..;..;(04/29/2026 ticket): INC-20260429-00013057</t>
  </si>
  <si>
    <t>Power issue NUR to be checked IHS SS Serges is on site.;.;</t>
  </si>
  <si>
    <t>Baligam</t>
  </si>
  <si>
    <t>OST_283</t>
  </si>
  <si>
    <t>Hybrid solar - S3</t>
  </si>
  <si>
    <t>Galim</t>
  </si>
  <si>
    <t>(04/29/2026 cell huawei): 29/04/2026 : Power instability || Mail sent to Camusat</t>
  </si>
  <si>
    <t>04/29/2026 cell huawei) 29/04/2026 Power instability Mail sent to Camusat</t>
  </si>
  <si>
    <t>Kaladi-MTN-IHS</t>
  </si>
  <si>
    <t>ADM_100</t>
  </si>
  <si>
    <t>Kaladi</t>
  </si>
  <si>
    <t>(04/29/2026 com ran 17h): Power status check ongoing..;..;(04/29/2026 com ran 18h): Power status check ongoing..;..;(04/29/2026 ticket): INC-20260429-00018211  ;  Others Transmission equipement fault || (04/29/2026 top offenders): 29.04.26: Besoin d'un FME sur ADM_028_Gale pour vérifier la chaine antenaire de l'ODU 5.2 sur le MPR_GALE; FME Hippolite activé pour investigations, update ASAP</t>
  </si>
  <si>
    <t>04/29/2026 com ran 17h) 04/29/2026 com ran 18h) 29.04.26 Besoin d'un FME sur ADM_028_Gale pour vérifier la chaine antenaire de l'ODU 5.2 sur le MPR_GALE; FME Hippolite activé pour investigations, update ASAP</t>
  </si>
  <si>
    <t>Ngd-University-II-IHS</t>
  </si>
  <si>
    <t>ADM_127</t>
  </si>
  <si>
    <t>Ngaoundere</t>
  </si>
  <si>
    <t>(04/29/2026 hourly IHS): back tracking fme yannick is managing with the level zero..;..;(04/29/2026 cell huawei): 29/04/2026 : Power instability || Mail sent to HIS..;..;(04/29/2026 cell huawei): 29/04/2026 : Power instability || Mail sent to HIS</t>
  </si>
  <si>
    <t>back tracking fme yannick is managing with the level zero.;.;(04/29/2026 cell huawei) 29/04/2026 Power instability Mail sent to HIS.;.;(04/29/2026 cell huawei) 29/04/2026 Power instability Mail sent to HIS</t>
  </si>
  <si>
    <t>BAMENDA-MENTEH-IHS</t>
  </si>
  <si>
    <t>NRO_148</t>
  </si>
  <si>
    <t>MELEN-MINTOM</t>
  </si>
  <si>
    <t>SUD_163</t>
  </si>
  <si>
    <t>Melen-Mintom</t>
  </si>
  <si>
    <t xml:space="preserve">(04/29/2026 cell nokia): 28/04/2026 : FME en route pour le site ETA: 13h || FME Toujours sur site || il travaille avec le BO RAN 
27/04/2026 : Need BO RAN analysis || Check and clean jumper, port 2 &amp; 3 of AHPMDA || FME dominique activer || ETA : 28/04/2026 ..;..;(04/29/2026 cell nokia): 29/04/2026 : FME sur site || Intervention en cours || Radio et jumpeurs faulty ||
28/04/2026 : FME en route pour le site ETA: 13h || FME Toujours sur site || il travaille avec le BO RAN 
27/04/2026 : Need BO RAN analysis || Check and clean jumper, port 2 &amp; 3 of AHPMDA || FME dominique activer || ETA : 28/04/2026 ..;..;(04/29/2026 cell nokia): 29/04/2026 : FME sur site || Intervention en cours || Radio et jumpeurs faulty ||
28/04/2026 : FME en route pour le site ETA: 13h || FME Toujours sur site || il travaille avec le BO RAN 
27/04/2026 : Need BO RAN analysis || Check and clean jumper, port 2 &amp; 3 of AHPMDA || FME dominique activer || ETA : 28/04/2026 </t>
  </si>
  <si>
    <t>04/29/2026 cell nokia) 28/04/2026 FME en route pour le site ETA 13h FME Toujours sur site il travaille avec le BO RAN 27/04/2026 Need BO RAN analysis Check and clean jumper, port 2 3 of AHPMDA ETA 28/04/2026 04/29/2026 cell nokia) 29/04/2026 FME sur site Intervention en cours Radio et jumpeurs faulty 28/04/2026 FME en route pour le site ETA 13h FME Toujours sur site il travaille avec le BO RAN 27/04/2026 Need BO RAN analysis Check and clean jumper, port 2 3 of AHPMDA ETA 28/04/2026 04/29/2026 cell nokia) 29/04/2026 FME sur site Intervention en cours Radio et jumpeurs faulty 28/04/2026 FME en route pour le site ETA 13h FME Toujours sur site il travaille avec le BO RAN 27/04/2026 Need BO RAN analysis Check and clean jumper, port 2 3 of AHPMDA ETA 28/04/2026</t>
  </si>
  <si>
    <t>Awae-Yde</t>
  </si>
  <si>
    <t>CTR_236</t>
  </si>
  <si>
    <t>(04/29/2026 hourly IHS): Fme Siewe is informed ETA 11:43 PM Pascaline informed..;..;(04/29/2026 ticket): INC-20260429-00019003  ;  Others Transmission equipement fault</t>
  </si>
  <si>
    <t>Fme Siewe is informed ETA 11 43 PM Pascaline informed.;.;</t>
  </si>
  <si>
    <t>Ndoumbi</t>
  </si>
  <si>
    <t>EST_185</t>
  </si>
  <si>
    <t>(04/29/2026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,5,6..;..;(04/29/2026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,5,6..;..;(04/29/2026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</si>
  <si>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04/29/2026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5,6.;.;(04/29/2026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5,6.;.;(04/29/2026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t>
  </si>
  <si>
    <t>NTENYING1</t>
  </si>
  <si>
    <t>SUD_161</t>
  </si>
  <si>
    <t>Ntenying</t>
  </si>
  <si>
    <t>(04/29/2026 ocm ran 00h):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managing..;..;(04/29/2026 com ran 17h):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managing..;..;(04/29/2026 com ran 18h):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</si>
  <si>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managing.;.;(04/29/2026 com ran 17h)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managing.;.;(04/29/2026 com ran 18h)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</si>
  <si>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Zouvoul-IHS</t>
  </si>
  <si>
    <t>EXN_172</t>
  </si>
  <si>
    <t>Zouvoul</t>
  </si>
  <si>
    <t>(04/29/2026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analysis..;..;(04/29/2026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analysis..;..;(04/29/2026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</si>
  <si>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04/29/2026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analysis.;.;(04/29/2026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analysis.;.;(04/29/2026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t>
  </si>
  <si>
    <t>Gueme</t>
  </si>
  <si>
    <t>EXN_049</t>
  </si>
  <si>
    <t>(04/29/2026 hourly IHS): Grid outage, DG battery faulty// awaiting grid return( Franklin is informed )..;..;(04/29/2026 ticket): INC-20260429-00008637  ;  2026-04-29 12:16:41  ;  Gen faulty ; awaiting grid returned  ;  power issue(GE faulty)  ;  Others Transmission equipement fault  ;  user:OCM_NOC.IHS</t>
  </si>
  <si>
    <t>Grid outage, DG battery faulty// awaiting grid return( Franklin is informed 2026-04-29 12 16 41 Gen faulty awaiting grid returned power issue(GE faulty) user OCM_NOC.IHS</t>
  </si>
  <si>
    <t>Ekoumdoum-II</t>
  </si>
  <si>
    <t>CTR_665</t>
  </si>
  <si>
    <t>(04/29/2026 ticket): INC-20260429-00020278  ;  Others Transmission equipement fault|| (04/29/2026 retour CAMUSAT): ATS faulty</t>
  </si>
  <si>
    <t>Mak-Universite-II-IHS</t>
  </si>
  <si>
    <t>LIT_576</t>
  </si>
  <si>
    <t>(04/29/2026 retour IHS): Power issue NUR to be checked   ||   (04/29/2026 hourly IHS): FME is fornt on site waiting security guard..;..;(04/29/2026 ticket): INC-20260429-00015882  ;  GE Fault</t>
  </si>
  <si>
    <t>Power issue NUR to be checked FME is fornt on site waiting security guard.;.; GE Fault</t>
  </si>
  <si>
    <t>Bfsam-Baleng</t>
  </si>
  <si>
    <t>OST_063</t>
  </si>
  <si>
    <t>Bafoussam</t>
  </si>
  <si>
    <t>(04/29/2026 cell huawei): 29/04/2026 : UP apres remplacement du connecteur d'alimentation
28/04/2026 : ETA 12H || Connecteur d'alimentation faulty || Pas dispo au WH. Cde passee au SPMS HW
27/04/2026 : Besoin d'analyse BO RAN || RRU 71 faulty : RF Unit DC Input Power Failure. Verifier l'alimentation de la RRU 71</t>
  </si>
  <si>
    <t>04/29/2026 cell huawei) 29/04/2026 UP apres remplacement du connecteur d'alimentation 28/04/2026 ETA 12H Connecteur d'alimentation faulty Pas dispo au WH. Cde passee au SPMS HW 27/04/2026 Besoin d'analyse BO RAN RRU 71 faulty RF Unit DC Input Power Failure. Verifier l'alimentation de la RRU 71</t>
  </si>
  <si>
    <t>Balikumbat-Ville</t>
  </si>
  <si>
    <t>NRO_033</t>
  </si>
  <si>
    <t>Balikumbat</t>
  </si>
  <si>
    <t xml:space="preserve">(04/29/2026 cell nokia): 29|04|2026 : Check and renplace ABIA..;..;(04/29/2026 cell nokia): 29|04|2026 : Check and renplace ABIA  || 29/04/2026 : Escalade faite au RM : en attente de son feedback </t>
  </si>
  <si>
    <t>04/29/2026 cell nokia) 29|04|2026 Check and renplace ABIA.;.;(04/29/2026 cell nokia) 29|04|2026 Check and renplace ABIA 29/04/2026 Escalade faite au RM en attente de son feedback</t>
  </si>
  <si>
    <t>Dogba-Ngd-IHS</t>
  </si>
  <si>
    <t>ADM_128</t>
  </si>
  <si>
    <t>Dogba</t>
  </si>
  <si>
    <t>(04/29/2026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..;..;(04/29/2026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..;..;(04/29/2026 ticket): INC-20260429-00006406  ;  2026-04-29 10:13:04  ;  
FME Willy activer ETA=45 Minute(12H UTC +1)  ;  
En Attente RCA IHS  ;  Other  ;  
Souci Energie  ;  user:ABANDA	Jean Roland</t>
  </si>
  <si>
    <t>04/29/2026 cell nokia) 28/04/2026 Feedback RM because the site is too far, we should move with spare part, but actually No FXDB at Ngaoundere WH. Command made at Maroua WH and should move tomorrow with Esico) ETA to reach Ngaoundere 03/05/2026, ETA to reach the site W19 05/05/2026) 27/04/2026 Need BO RAN analysis Check and clean jumper, port 1 of FXDB Access issue 04/29/2026 cell nokia) 28/04/2026 Feedback RM because the site is too far, we should move with spare part, but actually No FXDB at Ngaoundere WH. Command made at Maroua WH and should move tomorrow with Esico) ETA to reach Ngaoundere 03/05/2026, ETA to reach the site W19 05/05/2026) 27/04/2026 Need BO RAN analysis Check and clean jumper, port 1 of FXDB Access issue 2026-04-29 10 13 04 ETA=45 Minute(12H UTC 1) En Attente RCA IHS Other Souci Energie user ABANDA Jean Roland</t>
  </si>
  <si>
    <t>Mutengene-Maternity-IHS</t>
  </si>
  <si>
    <t>SUO_210</t>
  </si>
  <si>
    <t>Mutengene</t>
  </si>
  <si>
    <t>(04/29/2026 hourly IHS): Jeff is informed and managing</t>
  </si>
  <si>
    <t>Jeff is informed and managing</t>
  </si>
  <si>
    <t>Kotto-Denver</t>
  </si>
  <si>
    <t>LIT_657</t>
  </si>
  <si>
    <t>(04/29/2026 cell zte): 29/04/2026 : Power issue || Mail sent to camusat ..;..;(04/29/2026 ticket): INC-20260429-00011206  ;  Others Transmission equipement fault</t>
  </si>
  <si>
    <t>04/29/2026 cell zte) 29/04/2026 Power issue Mail sent to camusat</t>
  </si>
  <si>
    <t>CDC-Delmonte-IHS</t>
  </si>
  <si>
    <t>LIT_173</t>
  </si>
  <si>
    <t>CDC-Delmonte</t>
  </si>
  <si>
    <t>(04/29/2026 cell huawei): 29/04/2026 : SPARE recuperee au WH et expedition en cours || ETD le 29042026 soir || ETA 30042026
28/04/2028 : Check Connectivite entre BBU &amp; RRU/Check FO ou SFP || ETA 13H || FO faulty || Cde en cours..;..;(04/29/2026 cell huawei): 29/04/2026 : SPARE recuperee au WH et expedition en cours || ETD le 29042026 soir || ETA 30042026
28/04/2028 : Check Connectivite entre BBU &amp; RRU/Check FO ou SFP || ETA 13H || FO faulty || Cde en cours..;..;(04/29/2026 cell huawei): 29/04/2026 : SPARE recuperee au WH et expedition en cours || ETD le 29042026 soir || ETA 30042026
28/04/2028 : Check Connectivite entre BBU &amp; RRU/Check FO ou SFP || ETA 13H || FO faulty || Cde en cours</t>
  </si>
  <si>
    <t>04/29/2026 cell huawei) 29/04/2026 SPARE recuperee au WH et expedition en cours ETD le 29042026 soir ETA 30042026 28/04/2028 Check Connectivite entre BBU RRU/Check FO ou SFP ETA 13H FO faulty Cde en cours.;.;(04/29/2026 cell huawei) 29/04/2026 SPARE recuperee au WH et expedition en cours ETD le 29042026 soir ETA 30042026 28/04/2028 Check Connectivite entre BBU RRU/Check FO ou SFP ETA 13H FO faulty Cde en cours.;.;(04/29/2026 cell huawei) 29/04/2026 SPARE recuperee au WH et expedition en cours ETD le 29042026 soir ETA 30042026 28/04/2028 Check Connectivite entre BBU RRU/Check FO ou SFP ETA 13H FO faulty Cde en cours</t>
  </si>
  <si>
    <t>Hopital-de-La-Cass</t>
  </si>
  <si>
    <t>CTR_652</t>
  </si>
  <si>
    <t>Donga-MTN-IHS</t>
  </si>
  <si>
    <t>CTR_166</t>
  </si>
  <si>
    <t>Donga</t>
  </si>
  <si>
    <t>(04/29/2026 ticket): INC-20260429-00013780  ;  2026-04-29 23:28:32  ;  29.04.26: Besoin d'un FME sur ADM_028_Gale pour vérifier la chaine antenaire de l'ODU 5.2 sur le MPR_GALE; FME Hippolite activé pour investigations, update ASAP  ;  user:ndzie mbene lionnel</t>
  </si>
  <si>
    <t>2026-04-29 23 28 32 29.04.26 Besoin d'un FME sur ADM_028_Gale pour vérifier la chaine antenaire de l'ODU 5.2 sur le MPR_GALE; FME Hippolite activé pour investigations, update ASAP user ndzie mbene lionnel</t>
  </si>
  <si>
    <t>Bachuo-Ntai</t>
  </si>
  <si>
    <t>SUO_030</t>
  </si>
  <si>
    <t>Bashuo-Ntai</t>
  </si>
  <si>
    <t>(04/29/2026 hourly IHS): FME is informed and managing..;..;(04/29/2026 ticket): INC-20260429-00007572  ;  Others Transmission equipement fault</t>
  </si>
  <si>
    <t>FME is informed and managing.;.;</t>
  </si>
  <si>
    <t>Maroua-Marche-Abattoir</t>
  </si>
  <si>
    <t>EXN_085</t>
  </si>
  <si>
    <t>(04/29/2026 cell huawei): 29/04/2026 : Power instabiliity || Mail sent to IHS..;..;(04/29/2026 ticket): INC-20260429-00019225  ;  2026-04-30 00:42:33  ;  Due to high insecurity in the area, FME will took the road early morning,  ;  user:OCM_NOC.IHS</t>
  </si>
  <si>
    <t>04/29/2026 cell huawei) 29/04/2026 Power instabiliity Mail sent to IHS.;.; 2026-04-30 00 42 33 Due to high insecurity in the area, FME will took the road early morning, user OCM_NOC.IHS</t>
  </si>
  <si>
    <t>Bengbis-MTN-IHS</t>
  </si>
  <si>
    <t>SUD_052</t>
  </si>
  <si>
    <t>Bengbis</t>
  </si>
  <si>
    <t>(04/29/2026 cell nokia): 29/04/2026: Need BO RAN analysis ||FXDB to be replaced..;..;(04/29/2026 ticket): INC-20260429-00009032</t>
  </si>
  <si>
    <t>04/29/2026 cell nokia) 29/04/2026 Need BO RAN analysis FXDB to be replaced.;.;</t>
  </si>
  <si>
    <t>Gamba-MTN</t>
  </si>
  <si>
    <t>NRD_059</t>
  </si>
  <si>
    <t>Gamba</t>
  </si>
  <si>
    <t>(04/29/2026 hourly IHS): Fme is informed and managing with L0..;..;(04/29/2026 ticket): INC-20260429-00009899  ;  2026-04-29 13:34:46  ;  No power issue U=49V load=30A awaiting fields evidences  ;  user:OCM_NOC.CAMUSAT</t>
  </si>
  <si>
    <t>Fme is informed and managing with L0.;.; 2026-04-29 13 34 46 No power issue U=49V load=30A awaiting fields evidences user OCM_NOC.CAMUSAT</t>
  </si>
  <si>
    <t>NEW-Bonako</t>
  </si>
  <si>
    <t>SUO_157</t>
  </si>
  <si>
    <t>Tiko</t>
  </si>
  <si>
    <t>(04/29/2026 hourly IHS): fme christiand will be on site at 06:10PM</t>
  </si>
  <si>
    <t>fme christiand will be on site at 06 10PM</t>
  </si>
  <si>
    <t>Massangam</t>
  </si>
  <si>
    <t>OST_057</t>
  </si>
  <si>
    <t>Solar-Grid-Gen</t>
  </si>
  <si>
    <t>(04/29/2026 hourly IHS): Eric is managing with level 0, ETA asap</t>
  </si>
  <si>
    <t>Eric is managing with level 0, ETA asap</t>
  </si>
  <si>
    <t>Nkoumadjap-IHS</t>
  </si>
  <si>
    <t>SUD_050</t>
  </si>
  <si>
    <t>Gird-Hybrid-Gen</t>
  </si>
  <si>
    <t>Nkoumadjap</t>
  </si>
  <si>
    <t>(04/29/2026 hourly IHS): Sylvain manage with level 0 ETA 19:35 ( Serges is informed..;..;(04/29/2026 com ran 17h): Power status check ongoing..;..;(04/29/2026 com ran 18h): Power status check ongoing..;..;(04/29/2026 ticket): INC-20260429-00013243</t>
  </si>
  <si>
    <t>Sylvain manage with level 0 ETA 19 35 Serges is informed.;.;(04/29/2026 com ran 17h) 04/29/2026 com ran 18h)</t>
  </si>
  <si>
    <t>Douggoy</t>
  </si>
  <si>
    <t>EXN_002</t>
  </si>
  <si>
    <t>(04/29/2026 ticket): INC-20260429-00010695  ;  	high temp in gen // add water and manual star gen  ;  	high temp in gen // add water and manual star gen  ;  GE Fault  ;  	high temp in gen // add water and manual star gen</t>
  </si>
  <si>
    <t>high temp in gen add water and manual star gen high temp in gen add water and manual star gen GE Fault high temp in gen add water and manual star gen</t>
  </si>
  <si>
    <t>Gor-IHS</t>
  </si>
  <si>
    <t>NRD_091</t>
  </si>
  <si>
    <t>Gor</t>
  </si>
  <si>
    <t>(04/29/2026 hourly IHS): FME Romaric will leave the road around 06:00 AM ,Idrissou not pick the phone , Rostand is informed..;..;(04/29/2026 ticket): INC-20260429-00020558</t>
  </si>
  <si>
    <t>FME Romaric will leave the road around 06 00 AM Idrissou not pick the phone Rostand is informed.;.;</t>
  </si>
  <si>
    <t>Foumban-Manka-IHS</t>
  </si>
  <si>
    <t>OST_042</t>
  </si>
  <si>
    <t>Foumban</t>
  </si>
  <si>
    <t>(04/29/2026 hourly IHS): Martial is on the way , 10:20 PM (Thibault is informed )</t>
  </si>
  <si>
    <t>Martial is on the way 10 20 PM Thibault is informed</t>
  </si>
  <si>
    <t>Bagodo</t>
  </si>
  <si>
    <t>ADM_052</t>
  </si>
  <si>
    <t xml:space="preserve">(04/29/2026 cell nokia): 
29/042026 : FME sur site || Intervention en cours 
28/04/2026: FME currently on another point for the other operator, intervention planned tomorrow ETA 10H
28/04206 : FME bernard activer ||Ticket creer pour la commande du jumper
27/04/2026 : Need BO RAN analysis || Check and clean jumper, port 1 of FRGU || ETA : 28/04/2026 </t>
  </si>
  <si>
    <t>04/29/2026 cell nokia) 29/042026 FME sur site Intervention en cours 28/04/2026 FME currently on another point for the other operator, intervention planned tomorrow ETA 10H 28/04206 Ticket creer pour la commande du jumper 27/04/2026 Need BO RAN analysis Check and clean jumper, port 1 of FRGU ETA 28/04/2026</t>
  </si>
  <si>
    <t>PK12-Marche</t>
  </si>
  <si>
    <t>LIT_249</t>
  </si>
  <si>
    <t>(04/29/2026 ticket): INC-20260429-00005723  ;  2026-04-29 11:02:46  ;  FME is managing with level 0  ;  user:OCM_NOC.CAMUSAT</t>
  </si>
  <si>
    <t>2026-04-29 11 02 46 FME is managing with level 0 user OCM_NOC.CAMUSAT</t>
  </si>
  <si>
    <t>Maroua-Djoudandou</t>
  </si>
  <si>
    <t>EXN_090</t>
  </si>
  <si>
    <t>(04/29/2026 hourly IHS): Fme is on site waiting the guard..;..;(04/29/2026 ticket): INC-20260429-00013504  ;  Others Transmission equipement fault</t>
  </si>
  <si>
    <t>Fme is on site waiting the guard.;.;</t>
  </si>
  <si>
    <t>Nkolbisson-Ayene-Bar</t>
  </si>
  <si>
    <t>CTR_657</t>
  </si>
  <si>
    <t>(04/29/2026 cell zte): 29/04/2026 : Besoin d'analyse BO RAN
28/04/2026 : Power issue || Mail sent to Camusat</t>
  </si>
  <si>
    <t>04/29/2026 cell zte) 29/04/2026 Besoin d'analyse BO RAN 28/04/2026 Power issue Mail sent to Camusat</t>
  </si>
  <si>
    <t>Mokolo3-IHS</t>
  </si>
  <si>
    <t>EXN_156</t>
  </si>
  <si>
    <t>(04/29/2026 hourly IHS): FME is informed and is managing with level 0..;..;(04/29/2026 ticket): INC-20260429-00010861  ;  2026-04-29 15:12:22  ;  user:OCM_NOC.CAMUSAT</t>
  </si>
  <si>
    <t>FME is informed and is managing with level 0.;.; 2026-04-29 15 12 22 user OCM_NOC.CAMUSAT</t>
  </si>
  <si>
    <t>Mokolo</t>
  </si>
  <si>
    <t>EXN_012</t>
  </si>
  <si>
    <t>(04/29/2026 ticket): INC-20260429-00006097  ;  2026-04-29 09:43:09  ;  Possible power issue as AOF &amp; MW link went down at the same time
Check power with power team. Otherwise, mobilize FME locally for tshoot  ;  power Grid outage here the site is only on Grid   ;  Others Transmission equipement fault  ;  user:ABANDA	Jean Roland</t>
  </si>
  <si>
    <t>2026-04-29 09 43 09 Possible power issue as AOF MW link went down at the same time Check power with power team. Otherwise, mobilize FME locally for tshoot power Grid outage here the site is only on Grid user ABANDA Jean Roland</t>
  </si>
  <si>
    <t>Bertoua-ENIA-MTN</t>
  </si>
  <si>
    <t>EST_069</t>
  </si>
  <si>
    <t>(04/29/2026 hourly IHS): Teams is working on site Plan Work..;..;(04/29/2026 ticket): INC-20260429-00006759  ;  Others Transmission equipement fault</t>
  </si>
  <si>
    <t>Teams is working on site Plan Work.;.;</t>
  </si>
  <si>
    <t>Limbe-New-Town-IHS</t>
  </si>
  <si>
    <t>SUO_187</t>
  </si>
  <si>
    <t>(04/29/2026 hourly IHS): FME ULRICH IS MANAGING WITH THE LEVEL ZERO</t>
  </si>
  <si>
    <t>FME ULRICH IS MANAGING WITH THE LEVEL ZERO</t>
  </si>
  <si>
    <t>Kaele-MTN-IHS</t>
  </si>
  <si>
    <t>EXN_160</t>
  </si>
  <si>
    <t>Kaele</t>
  </si>
  <si>
    <t xml:space="preserve">(04/29/2026 cell nokia): 29/04/2026 : Check breaker and  interconnection FRGU (sfp, optical fiber) between system and radio module, swap its if needed || Escalade faite au RM : en attente de son feedback </t>
  </si>
  <si>
    <t>04/29/2026 cell nokia) 29/04/2026 Check breaker and interconnection FRGU sfp, optical fiber) between system and radio module, swap its if needed Escalade faite au RM en attente de son feedback</t>
  </si>
  <si>
    <t>GOUZOUGOUI-IHS</t>
  </si>
  <si>
    <t>EXN_100</t>
  </si>
  <si>
    <t>(04/29/2026 hourly IHS): fme david is managing with the level zero..;..;(04/29/2026 ticket): INC-20260429-00015655  ;  Others Transmission equipement fault</t>
  </si>
  <si>
    <t>fme david is managing with the level zero.;.;</t>
  </si>
  <si>
    <t>Zigague</t>
  </si>
  <si>
    <t>EXN_034</t>
  </si>
  <si>
    <t>(04/29/2026 ticket): INC-20260429-00012852  ;  problème de power sur le back one Magba. site UP après résolution par Camusat   ;  Others Transmission equipement fault</t>
  </si>
  <si>
    <t>problème de power sur le back one Magba. site UP après résolution par Camusat</t>
  </si>
  <si>
    <t>Bangambi-IHS</t>
  </si>
  <si>
    <t>OST_205</t>
  </si>
  <si>
    <t>Bangambi</t>
  </si>
  <si>
    <t>(04/29/2026 hourly IHS): fme eric is informed..;..;(04/29/2026 ticket): INC-20260429-00010830  ;  2026-04-29 19:05:29  ;  grid outage grid only site/awaiting grid return  ;  grid outage grid only site/awaiting grid return  ;  Coupure Secteur  ;  grid outage grid only site/awaiting grid return  ;  user:OCM_NOC.CAMUSAT</t>
  </si>
  <si>
    <t>fme eric is informed.;.; 2026-04-29 19 05 29 grid outage grid only site/awaiting grid return grid outage grid only site/awaiting grid return Coupure Secteur grid outage grid only site/awaiting grid return user OCM_NOC.CAMUSAT</t>
  </si>
  <si>
    <t>Mokola-MTN</t>
  </si>
  <si>
    <t>EXN_142</t>
  </si>
  <si>
    <t>Mokola</t>
  </si>
  <si>
    <t>(04/29/2026 ticket): INC-20260429-00012389  ;  2026-04-29 23:52:03  ;  Our FME will be manage the point early this morning around 07:30am because the area is insecure at night  ;  user:OCM_NOC.CAMUSAT</t>
  </si>
  <si>
    <t>2026-04-29 23 52 03 Our FME will be manage the point early this morning around 07 30am because the area is insecure at night user OCM_NOC.CAMUSAT</t>
  </si>
  <si>
    <t>Foyemtcha</t>
  </si>
  <si>
    <t>OST_156</t>
  </si>
  <si>
    <t>(04/29/2026 cell nokia): 29/04//2026 : FME sur site || Intervention en cours || UP after remplacement de la FBBC
27/04/2026 : Commande de la FBBC passe || ETA: 29/04/2026 
24/05/2026 : FBBC faulty spare request Ongoing. Planned to be replace on 25.04.2026
23/04/2026 : Access issue 
22/04/2026 : Need BO RAN analysis || Check and replace FBBC if needed..;..;(04/29/2026 cell nokia): 29/04//2026 : FME sur site || Intervention en cours || UP after remplacement de la FBBC
27/04/2026 : Commande de la FBBC passe || ETA: 29/04/2026 
24/05/2026 : FBBC faulty spare request Ongoing. Planned to be replace on 25.04.2026
23/04/2026 : Access issue 
22/04/2026 : Need BO RAN analysis || Check and replace FBBC if needed</t>
  </si>
  <si>
    <t>04/29/2026 cell nokia) 29/04//2026 FME sur site Intervention en cours UP after remplacement de la FBBC 27/04/2026 Commande de la FBBC passe ETA 29/04/2026 24/05/2026 FBBC faulty spare request Ongoing. Planned to be replace on 25.04.2026 23/04/2026 Access issue 22/04/2026 Need BO RAN analysis Check and replace FBBC if needed.;.;(04/29/2026 cell nokia) 29/04//2026 FME sur site Intervention en cours UP after remplacement de la FBBC 27/04/2026 Commande de la FBBC passe ETA 29/04/2026 24/05/2026 FBBC faulty spare request Ongoing. Planned to be replace on 25.04.2026 23/04/2026 Access issue 22/04/2026 Need BO RAN analysis Check and replace FBBC if needed</t>
  </si>
  <si>
    <t>Kaele-Guiedame</t>
  </si>
  <si>
    <t>EXN_095</t>
  </si>
  <si>
    <t xml:space="preserve">(04/29/2026 cell nokia): 29/04/2026 : Check breaker and  interconnection AQHC  (sfp, optical fiber) between system and radio module, swap its if needed ||power issue ||Email to send IHS  </t>
  </si>
  <si>
    <t>04/29/2026 cell nokia) 29/04/2026 Check breaker and interconnection AQHC sfp, optical fiber) between system and radio module, swap its if needed power issue Email to send IHS</t>
  </si>
  <si>
    <t>Mbile-IHS</t>
  </si>
  <si>
    <t>SUD_069</t>
  </si>
  <si>
    <t>Gen Only</t>
  </si>
  <si>
    <t>Mbile</t>
  </si>
  <si>
    <t>(04/29/2026 hourly IHS): Sylvain is manage ETA 17:15 (Serges is informed )..;..;(04/29/2026 cell nokia): 29/04/2026 : Check breaker and  interconnection FXED (sfp, optical fiber) between system and radio module, swap its if needed..;..;(04/29/2026 com ran 17h): Power status check ongoing..;..;(04/29/2026 com ran 18h): Power status check ongoing..;..;(04/29/2026 ticket): INC-20260429-00012319  ;  Others Transmission equipement fault</t>
  </si>
  <si>
    <t>Sylvain is manage ETA 17 15 Serges is informed 04/29/2026 cell nokia) 29/04/2026 Check breaker and interconnection FXED sfp, optical fiber) between system and radio module, swap its if needed.;.;(04/29/2026 com ran 17h) 04/29/2026 com ran 18h)</t>
  </si>
  <si>
    <t>Bonjongo</t>
  </si>
  <si>
    <t>SUO_131</t>
  </si>
  <si>
    <t>(04/29/2026 cell nokia): 
29/04/2026: FME activer|| ETA 17h
28/04/2026 : Power issue || Mail sent to ihs || Feedback HIS :|| Team on the Way ||Please Track the Site From 12AM 
RCA : rectifier faulty // Rectifier replaced..;..;(04/29/2026 cell nokia): 
29/04/2026: FME activer|| ETA 17h
28/04/2026 : Power issue || Mail sent to ihs || Feedback HIS :|| Team on the Way ||Please Track the Site From 12AM 
RCA : rectifier faulty // Rectifier replaced..;..;(04/29/2026 cell nokia): 
29/04/2026: FME activer|| ETA 17h
28/04/2026 : Power issue || Mail sent to ihs || Feedback HIS :|| Team on the Way ||Please Track the Site From 12AM 
RCA : rectifier faulty // Rectifier replaced..;..;(04/29/2026 ticket): INC-20260429-00012993</t>
  </si>
  <si>
    <t>04/29/2026 cell nokia) 29/04/2026 FME activer ETA 17h 28/04/2026 Power issue Mail sent to ihs Feedback HIS Team on the Way Please Track the Site From 12AM RCA rectifier faulty Rectifier replaced.;.;(04/29/2026 cell nokia) 29/04/2026 FME activer ETA 17h 28/04/2026 Power issue Mail sent to ihs Feedback HIS Team on the Way Please Track the Site From 12AM RCA rectifier faulty Rectifier replaced.;.;(04/29/2026 cell nokia) 29/04/2026 FME activer ETA 17h 28/04/2026 Power issue Mail sent to ihs Feedback HIS Team on the Way Please Track the Site From 12AM RCA rectifier faulty Rectifier replaced.;.;</t>
  </si>
  <si>
    <t>Andek</t>
  </si>
  <si>
    <t>NRO_218</t>
  </si>
  <si>
    <t>solar + Gen</t>
  </si>
  <si>
    <t>(04/29/2026 cell nokia): 28/04/2026 : Check breaker and  interconnection AREA(sfp, optical fiber) between system and radio module, swap its if needed || Feedback RM : Plan on 30.04.2028..;..;(04/29/2026 cell nokia): 28/04/2026 : Check breaker and  interconnection AREA(sfp, optical fiber) between system and radio module, swap its if needed || Feedback RM : Plan on 30.04.2028..;..;(04/29/2026 cell nokia): 28/04/2026 : Check breaker and  interconnection AREA(sfp, optical fiber) between system and radio module, swap its if needed || Feedback RM : Plan on 30.04.2028..;..;(04/29/2026 ticket): INC-20260429-00010147  ;  No access to site due to road blockage. Intervention is plan as soon as the roads are open   ;  Others Transmission equipement fault</t>
  </si>
  <si>
    <t>04/29/2026 cell nokia) 28/04/2026 Check breaker and interconnection AREA(sfp, optical fiber) between system and radio module, swap its if needed Feedback RM Plan on 30.04.2028.;.;(04/29/2026 cell nokia) 28/04/2026 Check breaker and interconnection AREA(sfp, optical fiber) between system and radio module, swap its if needed Feedback RM Plan on 30.04.2028.;.;(04/29/2026 cell nokia) 28/04/2026 Check breaker and interconnection AREA(sfp, optical fiber) between system and radio module, swap its if needed Feedback RM Plan on 30.04.2028.;.; No access to site due to road blockage. Intervention is plan as soon as the roads are open</t>
  </si>
  <si>
    <t>LIT_827_Z_Bwang-Bakoko</t>
  </si>
  <si>
    <t>LIT_827</t>
  </si>
  <si>
    <t>(04/29/2026 ticket): INC-20260429-00014853  ;  2026-04-30 01:28:14  ;  No power issue on site U=53.46V and load=54.16A.
Please find the evidence attached  ;  Grid outage, generator failure   ;  user:OCM_NOC.CAMUSAT</t>
  </si>
  <si>
    <t>2026-04-30 01 28 14 No power issue on site U=53.46V and load=54.16A. Please find the evidence attached Grid outage, generator failure user OCM_NOC.CAMUSAT</t>
  </si>
  <si>
    <t>Laising</t>
  </si>
  <si>
    <t>NRO_044</t>
  </si>
  <si>
    <t>(04/29/2026 ticket): INC-20260429-00012510  ;  GE Fault</t>
  </si>
  <si>
    <t>GE Fault</t>
  </si>
  <si>
    <t>Bekondo-IHS</t>
  </si>
  <si>
    <t>SUO_096</t>
  </si>
  <si>
    <t>Bekondo</t>
  </si>
  <si>
    <t>(04/29/2026 hourly IHS): FME is informed and managing..;..;(04/29/2026 cell nokia): 27/04/2026 : Intervention plan for 29/04/2026 || La FXED quitte ce jour pour KOUMA 
24/04/2026 : Cde la FXED en cours 
23/04/2026 : Need BO RAN analysis ||Closed after reset but check and replace FXED ||FME  Andre activer ..;..;(04/29/2026 cell nokia): 29/04/2026 : FME sur un site coupe || Intervention demain sur Bekondo || ETA : 30/04/2026
27/04/2026 : Intervention plan for 29/04/2026 || La FXED quitte ce jour pour KOUMA 
24/04/2026 : Cde la FXED en cours 
23/04/2026 : Need BO RAN analysis ||Closed after reset but check and replace FXED ||FME  Andre activer ..;..;(04/29/2026 cell nokia): 29/04/2026 : FME sur un site coupe || Intervention demain sur Bekondo || ETA : 30/04/2026
27/04/2026 : Intervention plan for 29/04/2026 || La FXED quitte ce jour pour KOUMA 
24/04/2026 : Cde la FXED en cours 
23/04/2026 : Need BO RAN analysis ||Closed after reset but check and replace FXED ||FME  Andre activer ..;..;(04/29/2026 ticket): INC-20260429-00007776  ;  Others Transmission equipement fault</t>
  </si>
  <si>
    <t>FME is informed and managing.;.;(04/29/2026 cell nokia) 27/04/2026 Intervention plan for 29/04/2026 La FXED quitte ce jour pour KOUMA 24/04/2026 Cde la FXED en cours 23/04/2026 Need BO RAN analysis Closed after reset but check and replace FXED 04/29/2026 cell nokia) 29/04/2026 FME sur un site coupe Intervention demain sur Bekondo ETA 30/04/2026 27/04/2026 Intervention plan for 29/04/2026 La FXED quitte ce jour pour KOUMA 24/04/2026 Cde la FXED en cours 23/04/2026 Need BO RAN analysis Closed after reset but check and replace FXED 04/29/2026 cell nokia) 29/04/2026 FME sur un site coupe Intervention demain sur Bekondo ETA 30/04/2026 27/04/2026 Intervention plan for 29/04/2026 La FXED quitte ce jour pour KOUMA 24/04/2026 Cde la FXED en cours 23/04/2026 Need BO RAN analysis Closed after reset but check and replace FXED</t>
  </si>
  <si>
    <t>Akongo-IHS</t>
  </si>
  <si>
    <t>CTR_436</t>
  </si>
  <si>
    <t>Akongo</t>
  </si>
  <si>
    <t>(04/29/2026 ticket): INC-20260429-00015419</t>
  </si>
  <si>
    <t>Kontcha</t>
  </si>
  <si>
    <t>ADM_130</t>
  </si>
  <si>
    <t>(04/29/2026 ticket): INC-20260429-00009078  ;  	low oil pressure // oil added and GEN manually started  ;  	low oil pressure // oil added and GEN manually started  ;  GE Fault  ;  	low oil pressure // oil added and GEN manually started</t>
  </si>
  <si>
    <t>low oil pressure oil added and GEN manually started low oil pressure oil added and GEN manually started GE Fault low oil pressure oil added and GEN manually started</t>
  </si>
  <si>
    <t>Santa-Barbara-Yde-IHS</t>
  </si>
  <si>
    <t>CTR_163</t>
  </si>
  <si>
    <t>Mbonso</t>
  </si>
  <si>
    <t>NRO_057</t>
  </si>
  <si>
    <t>(04/29/2026 cell nokia): 
28/04/2026 : Escalade faite au RM || FME donald || Plan for 30//04/2026 
27/04/2026 : Need BO RAN analysis || Closed after reset but check and replace SFP..;..;(04/29/2026 cell nokia): 
28/04/2026 : Escalade faite au RM || FME donald || Plan for 30//04/2026 
27/04/2026 : Need BO RAN analysis || Closed after reset but check and replace SFP..;..;(04/29/2026 ticket): INC-20260429-00009766  ;  Others Transmission equipement fault</t>
  </si>
  <si>
    <t>04/29/2026 cell nokia) 28/04/2026 Escalade faite au RM FME donald Plan for 30//04/2026 27/04/2026 Need BO RAN analysis Closed after reset but check and replace SFP.;.;(04/29/2026 cell nokia) 28/04/2026 Escalade faite au RM FME donald Plan for 30//04/2026 27/04/2026 Need BO RAN analysis Closed after reset but check and replace SFP.;.;</t>
  </si>
  <si>
    <t>Hikoa-Malep-Camrail</t>
  </si>
  <si>
    <t>LIT_402</t>
  </si>
  <si>
    <t>(04/29/2026 ticket): INC-20260429-00011175  ;  power issue here the power guy are taken point   ;  Others Transmission equipement fault</t>
  </si>
  <si>
    <t>power issue here the power guy are taken point</t>
  </si>
  <si>
    <t>Mini_SS_AFD</t>
  </si>
  <si>
    <t>CTR_737</t>
  </si>
  <si>
    <t>(04/29/2026 ticket): INC-20260429-00011174  ;  2026-04-29 21:29:46  ;  Camusat: grid outage grid only site/ awaiting grid return  ;  grid outage grid only site/ awaiting grid return  ;  Coupure Secteur  ;  grid outage grid only site/ awaiting grid return  ;  user:OCM_NOC.CAMUSAT</t>
  </si>
  <si>
    <t>2026-04-29 21 29 46 Camusat grid outage grid only site/ awaiting grid return grid outage grid only site/ awaiting grid return Coupure Secteur grid outage grid only site/ awaiting grid return user OCM_NOC.CAMUSAT</t>
  </si>
  <si>
    <t>Bastos-Bir-IHS</t>
  </si>
  <si>
    <t>CTR_640</t>
  </si>
  <si>
    <t>Gamoko-Hill-IHS</t>
  </si>
  <si>
    <t>SUO_097</t>
  </si>
  <si>
    <t>Gamoko</t>
  </si>
  <si>
    <t xml:space="preserve">(04/29/2026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..;..;(04/29/2026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..;..;(04/29/2026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</si>
  <si>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04/29/2026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 04/29/2026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 04/29/2026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t>
  </si>
  <si>
    <t>Baikwa-Bere</t>
  </si>
  <si>
    <t>NRD_056</t>
  </si>
  <si>
    <t xml:space="preserve">(04/29/2026 ocm ran 00h): 28.04.2026: FME Seydou is currently at Basheo will be on the site at 16H
27/04/2026 Besoin d'un fme sur site pour verifier l'interco entre le MPR et la BTS S1P1 FME seydou bachirou activé manage avec le levle 0 ..;..;(04/29/2026 com ran 17h): 29/04/2026 FME activé pour intervention ETA 16h
28.04.2026: FME Seydou is currently at Basheo will be on the site at 16H
27/04/2026 Besoin d'un fme sur site pour verifier l'interco entre le MPR et la BTS S1P1 FME seydou bachirou activé manage avec le levle 0 ..;..;(04/29/2026 com ran 18h): 29/04/2026 FME sur site intervention en cours 
29/04/2026 FME activé pour intervention ETA 16h
28.04.2026: FME Seydou is currently at Basheo will be on the site at 16H
27/04/2026 Besoin d'un fme sur site pour verifier l'interco entre le MPR et la BTS S1P1 FME seydou bachirou activé manage avec le levle 0 </t>
  </si>
  <si>
    <t>28.04.2026 FME Seydou is currently at Basheo will be on the site at 16H 27/04/2026 Besoin d'un fme sur site pour verifier l'interco entre le MPR et la BTS S1P1 FME seydou bachirou activé manage avec le levle 0 04/29/2026 com ran 17h) 29/04/2026 FME activé pour intervention ETA 16h 28.04.2026 FME Seydou is currently at Basheo will be on the site at 16H 27/04/2026 Besoin d'un fme sur site pour verifier l'interco entre le MPR et la BTS S1P1 FME seydou bachirou activé manage avec le levle 0 04/29/2026 com ran 18h) 29/04/2026 FME sur site intervention en cours 29/04/2026 FME activé pour intervention ETA 16h 28.04.2026 FME Seydou is currently at Basheo will be on the site at 16H 27/04/2026 Besoin d'un fme sur site pour verifier l'interco entre le MPR et la BTS S1P1 FME seydou bachirou activé manage avec le levle 0</t>
  </si>
  <si>
    <t>Djottin</t>
  </si>
  <si>
    <t>NRO_098</t>
  </si>
  <si>
    <t>(04/29/2026 cell nokia):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reset..;..;(04/29/2026 cell nokia):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reset..;..;(04/29/2026 cell nokia):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t>
  </si>
  <si>
    <t>04/29/2026 cell nokia) 28/04/2026 Escalade faite au RM Plan for 30/04/2026 FME donald Feedback RM Road blocked No traffic if we can Go as planned on 30.04.2027 23/04/2026 Check breaker and interconnection AREA(sfp, optical fiber) between system and radio module, swap its if needed ETA 24/04/2026 UP After remote reset.;.;(04/29/2026 cell nokia) 28/04/2026 Escalade faite au RM Plan for 30/04/2026 FME donald Feedback RM Road blocked No traffic if we can Go as planned on 30.04.2027 23/04/2026 Check breaker and interconnection AREA(sfp, optical fiber) between system and radio module, swap its if needed ETA 24/04/2026 UP After remote reset.;.;(04/29/2026 cell nokia) 28/04/2026 Escalade faite au RM Plan for 30/04/2026 FME donald Feedback RM Road blocked No traffic if we can Go as planned on 30.04.2027 23/04/2026 Check breaker and interconnection AREA(sfp, optical fiber) between system and radio module, swap its if needed ETA 24/04/2026 UP After remote reset</t>
  </si>
  <si>
    <t>Sop-MTN</t>
  </si>
  <si>
    <t>NRO_258</t>
  </si>
  <si>
    <t>Sop</t>
  </si>
  <si>
    <t>(04/29/2026 cell nokia): 29/04/2026 : Intervention ce jour 
28/04/2026 : Escalade faite au RM|| FME Donald 
27/04/2026 : Need BO RAN analysis || Check and clean jumper, port 4 of ARGA..;..;(04/29/2026 cell nokia): 29/04/2026 : Intervention ce jour 
28/04/2026 : Escalade faite au RM|| FME Donald 
27/04/2026 : Need BO RAN analysis || Check and clean jumper, port 4 of ARGA..;..;(04/29/2026 cell nokia): 29/04/2026 : Escalade faite au RM : en attente de son feedback 
28/04/2026 : Escalade faite au RM|| FME Donald 
27/04/2026 : Need BO RAN analysis || Check and clean jumper, port 4 of ARGA</t>
  </si>
  <si>
    <t>04/29/2026 cell nokia) 29/04/2026 Intervention ce jour 28/04/2026 Escalade faite au RM FME Donald 27/04/2026 Need BO RAN analysis Check and clean jumper, port 4 of ARGA.;.;(04/29/2026 cell nokia) 29/04/2026 Intervention ce jour 28/04/2026 Escalade faite au RM FME Donald 27/04/2026 Need BO RAN analysis Check and clean jumper, port 4 of ARGA.;.;(04/29/2026 cell nokia) 29/04/2026 Escalade faite au RM en attente de son feedback 28/04/2026 Escalade faite au RM FME Donald 27/04/2026 Need BO RAN analysis Check and clean jumper, port 4 of ARGA</t>
  </si>
  <si>
    <t>Mobil-Kondengui</t>
  </si>
  <si>
    <t>CTR_125</t>
  </si>
  <si>
    <t>Omeng</t>
  </si>
  <si>
    <t>LIT_136</t>
  </si>
  <si>
    <t xml:space="preserve">(04/29/2026 cell nokia): 2902026 :Feedback FME :  La FPFC calibrage petit on va remplacer par la FPFH || Cde passer 
28/04/2026 : Check breaker and  interconnection FRGU(sfp, optical fiber) between system and radio module, swap its if needed || ..;..;(04/29/2026 cell nokia): 2902026 :Feedback FME :  La FPFC calibrage petit on va remplacer par la FPFH || Cde passer 
28/04/2026 : Check breaker and  interconnection FRGU(sfp, optical fiber) between system and radio module, swap its if needed || ..;..;(04/29/2026 cell nokia): 2902026 :Feedback FME :  La FPFC calibrage petit on va remplacer par la FPFH || Cde passer 
28/04/2026 : Check breaker and  interconnection FRGU(sfp, optical fiber) between system and radio module, swap its if needed || </t>
  </si>
  <si>
    <t>04/29/2026 cell nokia) 2902026 Feedback FME La FPFC calibrage petit on va remplacer par la FPFH Cde passer 28/04/2026 Check breaker and interconnection FRGU(sfp, optical fiber) between system and radio module, swap its if needed 04/29/2026 cell nokia) 2902026 Feedback FME La FPFC calibrage petit on va remplacer par la FPFH Cde passer 28/04/2026 Check breaker and interconnection FRGU(sfp, optical fiber) between system and radio module, swap its if needed 04/29/2026 cell nokia) 2902026 Feedback FME La FPFC calibrage petit on va remplacer par la FPFH Cde passer 28/04/2026 Check breaker and interconnection FRGU(sfp, optical fiber) between system and radio module, swap its if needed</t>
  </si>
  <si>
    <t>LAF-CAMTEL</t>
  </si>
  <si>
    <t>EXN_107</t>
  </si>
  <si>
    <t>Laf</t>
  </si>
  <si>
    <t xml:space="preserve">(04/29/2026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..;..;(04/29/2026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..;..;(04/29/2026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</si>
  <si>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04/29/2026 cell nokia) 29/04/2026 Negociation d'access en cours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04/29/2026 cell nokia) 29/04/2026 Negociation d'access en cours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04/29/2026 cell nokia) 29/04/2026 Negociation d'access en cours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t>
  </si>
  <si>
    <t>Mbakong-MTN</t>
  </si>
  <si>
    <t>NRO_255</t>
  </si>
  <si>
    <t>Mbakong</t>
  </si>
  <si>
    <t>(04/29/2026 cell nokia): 28/04/2026 : En attente d'analyse BO RAN || FME should check and replace FRGU if needed 
27/04/2027 : Need BO RAN analysis..;..;(04/29/2026 cell nokia): 28/04/2026 : En attente d'analyse BO RAN || FME should check and replace FRGU if needed 
27/04/2027 : Need BO RAN analysis..;..;(04/29/2026 cell nokia): 29/04/2026 : Escalade faite au RM : en attente de son feedback 
28/04/2026 : En attente d'analyse BO RAN || FME should check and replace FRGU if needed 
27/04/2027 : Need BO RAN analysis</t>
  </si>
  <si>
    <t>04/29/2026 cell nokia) 28/04/2026 En attente d'analyse BO RAN FME should check and replace FRGU if needed 27/04/2027 Need BO RAN analysis.;.;(04/29/2026 cell nokia) 28/04/2026 En attente d'analyse BO RAN FME should check and replace FRGU if needed 27/04/2027 Need BO RAN analysis.;.;(04/29/2026 cell nokia) 29/04/2026 Escalade faite au RM en attente de son feedback 28/04/2026 En attente d'analyse BO RAN FME should check and replace FRGU if needed 27/04/2027 Need BO RAN analysis</t>
  </si>
  <si>
    <t>Masque</t>
  </si>
  <si>
    <t>CTR_020</t>
  </si>
  <si>
    <t>Logbong</t>
  </si>
  <si>
    <t>LIT_508</t>
  </si>
  <si>
    <t xml:space="preserve">(04/29/2026 cell nokia): 
29/04/2026: FME est sur le site couper de songloulou. intervention demain 30/04/2026
28/04/2026 : FME en route pour le site || ETA : 12h||FME sur sokelle||Forte pluie dans la zone|| Intervention renvoyer pour demain 29/04/2026
27/04/2026 : Check and replace FRGU || ETA : 28/04/2026 ..;..;(04/29/2026 cell nokia): 
29/04/2026: FME est sur le site couper de songloulou. intervention demain 30/04/2026
28/04/2026 : FME en route pour le site || ETA : 12h||FME sur sokelle||Forte pluie dans la zone|| Intervention renvoyer pour demain 29/04/2026
27/04/2026 : Check and replace FRGU || ETA : 28/04/2026 ..;..;(04/29/2026 cell nokia): 
29/04/2026: FME est sur le site couper de songloulou. intervention demain 30/04/2026
28/04/2026 : FME en route pour le site || ETA : 12h||FME sur sokelle||Forte pluie dans la zone|| Intervention renvoyer pour demain 29/04/2026
27/04/2026 : Check and replace FRGU || ETA : 28/04/2026 </t>
  </si>
  <si>
    <t>04/29/2026 cell nokia) 29/04/2026 FME est sur le site couper de songloulou. intervention demain 30/04/2026 28/04/2026 FME en route pour le site ETA 12h FME sur sokelle Forte pluie dans la zone Intervention renvoyer pour demain 29/04/2026 27/04/2026 Check and replace FRGU ETA 28/04/2026 04/29/2026 cell nokia) 29/04/2026 FME est sur le site couper de songloulou. intervention demain 30/04/2026 28/04/2026 FME en route pour le site ETA 12h FME sur sokelle Forte pluie dans la zone Intervention renvoyer pour demain 29/04/2026 27/04/2026 Check and replace FRGU ETA 28/04/2026 04/29/2026 cell nokia) 29/04/2026 FME est sur le site couper de songloulou. intervention demain 30/04/2026 28/04/2026 FME en route pour le site ETA 12h FME sur sokelle Forte pluie dans la zone Intervention renvoyer pour demain 29/04/2026 27/04/2026 Check and replace FRGU ETA 28/04/2026</t>
  </si>
  <si>
    <t>Meidougou-MTN</t>
  </si>
  <si>
    <t>ADM_062</t>
  </si>
  <si>
    <t>Meidougou</t>
  </si>
  <si>
    <t>(04/29/2026 ocm ran 00h):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ASAP..;..;(04/29/2026 com ran 17h):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ASAP..;..;(04/29/2026 com ran 18h):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</si>
  <si>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ASAP.;.;(04/29/2026 com ran 17h)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ASAP.;.;(04/29/2026 com ran 18h)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</si>
  <si>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Anguissa-IHS</t>
  </si>
  <si>
    <t>CTR_478</t>
  </si>
  <si>
    <t>Mvog-Atangana-Mballa</t>
  </si>
  <si>
    <t>CTR_728</t>
  </si>
  <si>
    <t>Madjap</t>
  </si>
  <si>
    <t>LIT_519</t>
  </si>
  <si>
    <t>Mandjap</t>
  </si>
  <si>
    <t xml:space="preserve">(04/29/2026 cell nokia): 28/04/2026 : Check breaker and  interconnection FRMF (sfp, optical fiber) between system and radio module, swap its if needed || FME yannick  presentement en route pour le site de logbong|| Forte pluie  dans la zone||Intervention pour demain 29/04/2026 ..;..;(04/29/2026 cell nokia):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..;..;(04/29/2026 cell nokia):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</si>
  <si>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04/29/2026 cell nokia) 28/04/2026 Check breaker and interconnection FRMF sfp, optical fiber) between system and radio module, swap its if needed FME yannick presentement en route pour le site de logbong Forte pluie dans la zone Intervention pour demain 29/04/2026 04/29/2026 cell nokia) 2902026 FME presntement a mbongo ETA 30042026 28/04/2026 Check breaker and interconnection FRMF sfp, optical fiber) between system and radio module, swap its if needed FME yannick presentement en route pour le site de logbong Forte pluie dans la zone Intervention pour demain 29/04/2026 04/29/2026 cell nokia) 2902026 FME presntement a mbongo ETA 30042026 28/04/2026 Check breaker and interconnection FRMF sfp, optical fiber) between system and radio module, swap its if needed FME yannick presentement en route pour le site de logbong Forte pluie dans la zone Intervention pour demain 29/04/2026</t>
  </si>
  <si>
    <t>Nkolmeyang-IHS</t>
  </si>
  <si>
    <t>CTR_442</t>
  </si>
  <si>
    <t>Nkolmeyang</t>
  </si>
  <si>
    <t>(04/29/2026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reconnection)..;..;(04/29/2026 com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reconnection)..;..;(04/29/2026 com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</si>
  <si>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reconnection).;.;(04/29/2026 com ran 17h)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reconnection).;.;(04/29/2026 com ran 18h)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</si>
  <si>
    <t>Ouro-Dara</t>
  </si>
  <si>
    <t>ADM_148</t>
  </si>
  <si>
    <t>Oura-Dara</t>
  </si>
  <si>
    <t>(04/29/2026 ocm ran 00h):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status..;..;(04/29/2026 com ran 17h):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status..;..;(04/29/2026 com ran 18h):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</si>
  <si>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status.;.;(04/29/2026 com ran 17h)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status.;.;(04/29/2026 com ran 18h)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t>
  </si>
  <si>
    <t>Mvog-Ebanda</t>
  </si>
  <si>
    <t>CTR_341</t>
  </si>
  <si>
    <t>Mvog-Ebanda-II</t>
  </si>
  <si>
    <t>CTR_668</t>
  </si>
  <si>
    <t>Medium Grid + Solar + GE</t>
  </si>
  <si>
    <t>Soa-Town-IHS</t>
  </si>
  <si>
    <t>CTR_649</t>
  </si>
  <si>
    <t>(04/29/2026 cell zte): 27/04/2026 : Images spare toujours attendu du RM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10042026..;..;(04/29/2026 cell zte): 29/04/2026 : Up apres remplacement des jumpers
27/04/2026 : Images spare toujours attendu du RM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</si>
  <si>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04/29/2026 cell zte) 27/04/2026 Images spare toujours attendu du RM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10042026.;.;(04/29/2026 cell zte) 29/04/2026 Up apres remplacement des jumpers 27/04/2026 Images spare toujours attendu du RM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t>
  </si>
  <si>
    <t>Kembong</t>
  </si>
  <si>
    <t>NRO_026</t>
  </si>
  <si>
    <t>(04/29/2026 cell nokia): 28/04/2026 : En attente d'analyse BO RAN ..;..;(04/29/2026 cell nokia): 28/04/2026 : En attente d'analyse BO RAN ||VSWR on FRGU, ANT1..;..;(04/29/2026 cell nokia): 29/04/2026 : En attente d'analyse BO RAN ||VSWR on FRGU, ANT1 || Escalade faite au RM : en attente de son feedback ..;..;(04/29/2026 ticket): INC-20260429-00003514  ;  2026-04-29 08:18:04  ;  	No power issue on site Ubaie 52.7V Site on Battery. Peguy (675990129/Huawei) is informed. Site up wihout intervention  ;  Power issue on site MTN also down  ;  Others Transmission equipement fault  ;  user:OCM_NOC.IHS</t>
  </si>
  <si>
    <t>04/29/2026 cell nokia) 28/04/2026 En attente d'analyse BO RAN 04/29/2026 cell nokia) 28/04/2026 En attente d'analyse BO RAN VSWR on FRGU, ANT1.;.;(04/29/2026 cell nokia) 29/04/2026 En attente d'analyse BO RAN VSWR on FRGU, ANT1 Escalade faite au RM en attente de son feedback 2026-04-29 08 18 04 No power issue on site Ubaie 52.7V Site on Battery. Peguy 675990129/Huawei) is informed. Site up wihout intervention Power issue on site MTN also down user OCM_NOC.IHS</t>
  </si>
  <si>
    <t>Madingring</t>
  </si>
  <si>
    <t>NRD_036</t>
  </si>
  <si>
    <t>Projet OCM (ZTE, NOKIA, autres projets)</t>
  </si>
  <si>
    <t>(04/29/2026 ocm ran 00h): New BTS installed and not yet accepted..;..;(04/29/2026 com ran 17h): New BTS installed and not yet accepted..;..;(04/29/2026 com ran 18h): New BTS installed and not yet accepted</t>
  </si>
  <si>
    <t>New BTS installed and not yet accepted.;.;(04/29/2026 com ran 17h) New BTS installed and not yet accepted.;.;(04/29/2026 com ran 18h) New BTS installed and not yet accepted</t>
  </si>
  <si>
    <t>Boko-Plage-IHS</t>
  </si>
  <si>
    <t>LIT_363</t>
  </si>
  <si>
    <t>(04/29/2026 cell zte): 29/04/2026 : Besoin d'analyse BO RAN..;..;(04/29/2026 cell zte): 29/04/2026 : Besoin d'analyse BO RAN || RRU 51 VSWR Alarm :  The antenna feeder cables are squeezed, bent, or damaged  || Fme active ETA attendu || Demande de Work-permit en cours..;..;(04/29/2026 cell zte): 29/04/2026 : Besoin d'analyse BO RAN || RRU 51 VSWR Alarm :  The antenna feeder cables are squeezed, bent, or damaged  || Fme active ETA attendu || Demande de Work-permit en cours</t>
  </si>
  <si>
    <t>04/29/2026 cell zte) 29/04/2026 Besoin d'analyse BO RAN.;.;(04/29/2026 cell zte) 29/04/2026 Besoin d'analyse BO RAN RRU 51 VSWR Alarm The antenna feeder cables are squeezed, bent, or damaged Fme active ETA attendu Demande de Work-permit en cours.;.;(04/29/2026 cell zte) 29/04/2026 Besoin d'analyse BO RAN RRU 51 VSWR Alarm The antenna feeder cables are squeezed, bent, or damaged Fme active ETA attendu Demande de Work-permit en cours</t>
  </si>
  <si>
    <t>BTS-Mobile-Tagidor-Hotel</t>
  </si>
  <si>
    <t>OST_306</t>
  </si>
  <si>
    <t>Projet OCM (HUAWEI)</t>
  </si>
  <si>
    <t>(04/29/2026 ocm ran 00h): Site en cours de démentelement..;..;(04/29/2026 com ran 17h): Site en cours de démentelement..;..;(04/29/2026 com ran 18h): Site en cours de démentelement</t>
  </si>
  <si>
    <t>Site en cours de démentelement.;.;(04/29/2026 com ran 17h) Site en cours de démentelement.;.;(04/29/2026 com ran 18h) Site en cours de démentelement</t>
  </si>
  <si>
    <t>Minisite-Tradex-Village</t>
  </si>
  <si>
    <t>LIT_663</t>
  </si>
  <si>
    <t>(04/29/2026 ocm ran 00h): 28/04/2026 Camusat: Grid outage grid only site / grid return awaited - Escalated to L2..;..;(04/29/2026 com ran 17h): Power status check ongoing..;..;(04/29/2026 com ran 18h): Power status check ongoing..;..;(04/29/2026 ticket): INC-20260429-00019076  ;  Others Transmission equipement fault</t>
  </si>
  <si>
    <t>28/04/2026 Camusat Grid outage grid only site grid return awaited Escalated to L2.;.;(04/29/2026 com ran 17h) 04/29/2026 com ran 18h)</t>
  </si>
  <si>
    <t>Menloh-Maloume-Camrail</t>
  </si>
  <si>
    <t>CTR_451</t>
  </si>
  <si>
    <t>Eseka</t>
  </si>
  <si>
    <t>(04/29/2026 ocm ran 00h): Power status check ongoing..;..;(04/29/2026 com ran 17h): 29/04/2026 FME etienne activé manage avec le level 0 
Bo tx: Site is down Mobilize locally for tshoot..;..;(04/29/2026 com ran 18h): 29/04/2026 FME etienne activé manage avec le level 0 
Bo tx: Site is down Mobilize locally for tshoot</t>
  </si>
  <si>
    <t>04/29/2026 com ran 17h) 29/04/2026 FME etienne activé manage avec le level 0 Bo tx Site is down Mobilize locally for tshoot.;.;(04/29/2026 com ran 18h) 29/04/2026 FME etienne activé manage avec le level 0 Bo tx Site is down Mobilize locally for tshoot</t>
  </si>
  <si>
    <t>Sokelle-IHS</t>
  </si>
  <si>
    <t>LIT_506</t>
  </si>
  <si>
    <t>Sokelle</t>
  </si>
  <si>
    <t>NR-PK5</t>
  </si>
  <si>
    <t>LIT_096</t>
  </si>
  <si>
    <t>sharing</t>
  </si>
  <si>
    <t xml:space="preserve">(04/29/2026 ticket): INC-20260429-00001911  ;  2026-04-29 03:34:15  ;  MTN Verifie l'etat de l'energie sur le site  ;  user:YINUSA ALANI RAMADAN ADELESIN </t>
  </si>
  <si>
    <t>2026-04-29 03 34 15 MTN Verifie l'etat de l'energie sur le site user YINUSA ALANI RAMADAN ADELESIN</t>
  </si>
  <si>
    <t>Dizangue</t>
  </si>
  <si>
    <t>LIT_113</t>
  </si>
  <si>
    <t>(04/29/2026 cell zte): 29/04/2026 : FME should check and clean jumper and port 2 of RRU 61 || Fme active et actuellement sur sites coupes et se ira sur site apres intervention
28/04/2026 : Besoin d'analyse BO RAN</t>
  </si>
  <si>
    <t>04/29/2026 cell zte) 29/04/2026 FME should check and clean jumper and port 2 of RRU 61 Fme active et actuellement sur sites coupes et se ira sur site apres intervention 28/04/2026 Besoin d'analyse BO RAN</t>
  </si>
  <si>
    <t>Nsimalene-Yemwak</t>
  </si>
  <si>
    <t>SUD_122</t>
  </si>
  <si>
    <t>(04/29/2026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down..;..;(04/29/2026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down..;..;(04/29/2026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</si>
  <si>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04/29/2026 cell zte) 28/04/2026 Relance faite a camusat ce jour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down.;.;(04/29/2026 cell zte) 28/04/2026 Relance faite a camusat ce jour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down.;.;(04/29/2026 cell zte) 28/04/2026 Relance faite a camusat ce jour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t>
  </si>
  <si>
    <t>Olama-IHS</t>
  </si>
  <si>
    <t>CTR_441</t>
  </si>
  <si>
    <t>Olama</t>
  </si>
  <si>
    <t>(04/29/2026 cell zte): 29/04/2026 : Power issue || Mail sent to HIS || Feedback HIS : Our FME is already informed, the issue is handled in our side.
We will keep you updated</t>
  </si>
  <si>
    <t>04/29/2026 cell zte) 29/04/2026 Power issue Mail sent to HIS Feedback HIS Our FME is already informed, the issue is handled in our side. We will keep you updated</t>
  </si>
  <si>
    <t>Bonalea</t>
  </si>
  <si>
    <t>LIT_296</t>
  </si>
  <si>
    <t>(04/29/2026 hourly IHS): Fme is on Site</t>
  </si>
  <si>
    <t>Fme is on Site</t>
  </si>
  <si>
    <t>Bare</t>
  </si>
  <si>
    <t>LIT_112</t>
  </si>
  <si>
    <t>(04/29/2026 cell zte): 29/04/2026 : Intervention prevu pour demain 
28/04/2026 : Fme active ETA attendu || Intervention prevu pour demain
27/04/2026 : Besoin d'analyse BO RAN || Check and clean jumper, port 2 of RRU 61..;..;(04/29/2026 cell zte): 29/04/2026 : Intervention reporter a demain
28/04/2026 : Fme active ETA attendu || Intervention prevu pour demain
27/04/2026 : Besoin d'analyse BO RAN || Check and clean jumper, port 2 of RRU 61..;..;(04/29/2026 cell zte): 29/04/2026 : Intervention prevu pour demain 30042026
28/04/2026 : Fme active ETA attendu || Intervention prevu pour demain
27/04/2026 : Besoin d'analyse BO RAN || Check and clean jumper, port 2 of RRU 61</t>
  </si>
  <si>
    <t>04/29/2026 cell zte) 29/04/2026 Intervention prevu pour demain 28/04/2026 Fme active ETA attendu Intervention prevu pour demain 27/04/2026 Besoin d'analyse BO RAN Check and clean jumper, port 2 of RRU 61.;.;(04/29/2026 cell zte) 29/04/2026 Intervention reporter a demain 28/04/2026 Fme active ETA attendu Intervention prevu pour demain 27/04/2026 Besoin d'analyse BO RAN Check and clean jumper, port 2 of RRU 61.;.;(04/29/2026 cell zte) 29/04/2026 Intervention prevu pour demain 30042026 28/04/2026 Fme active ETA attendu Intervention prevu pour demain 27/04/2026 Besoin d'analyse BO RAN Check and clean jumper, port 2 of RRU 61</t>
  </si>
  <si>
    <t>Apouh</t>
  </si>
  <si>
    <t>LIT_512</t>
  </si>
  <si>
    <t xml:space="preserve">(04/29/2026 ocm ran 00h): 28/04/2026 Odu fautlty pas disponible au WH  commande passé a OCM ..;..;(04/29/2026 com ran 17h): 28/04/2026 Odu fautlty pas disponible au WH  commande passé a OCM ..;..;(04/29/2026 com ran 18h): 28/04/2026 Odu fautlty pas disponible au WH  commande passé a OCM </t>
  </si>
  <si>
    <t>28/04/2026 Odu fautlty pas disponible au WH commande passé a OCM 04/29/2026 com ran 17h) 28/04/2026 Odu fautlty pas disponible au WH commande passé a OCM 04/29/2026 com ran 18h) 28/04/2026 Odu fautlty pas disponible au WH commande passé a OCM</t>
  </si>
  <si>
    <t>Bafmeng</t>
  </si>
  <si>
    <t>NRO_047</t>
  </si>
  <si>
    <t>(04/29/2026 ocm ran 00h):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site..;..;(04/29/2026 com ran 17h): 29/04/2026 |plan for this weekend if access possible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site..;..;(04/29/2026 com ran 18h): 29/04/2026 |plan for this weekend if access possible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</si>
  <si>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site.;.;(04/29/2026 com ran 17h) 29/04/2026 plan for this weekend if access possible 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site.;.;(04/29/2026 com ran 18h) 29/04/2026 plan for this weekend if access possible 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t>
  </si>
  <si>
    <t>Ngoro</t>
  </si>
  <si>
    <t>CTR_278</t>
  </si>
  <si>
    <t>SolarAER-Gen-Lithium</t>
  </si>
  <si>
    <t>(04/29/2026 hourly IHS): Francis is informed and managing (Cedric is informed )</t>
  </si>
  <si>
    <t>Francis is informed and managing Cedric is informed</t>
  </si>
  <si>
    <t>Obala-Carrefour-MTN-IHS</t>
  </si>
  <si>
    <t>CTR_174</t>
  </si>
  <si>
    <t>Obala</t>
  </si>
  <si>
    <t>(04/29/2026 hourly IHS): Rostand is managing with level 0</t>
  </si>
  <si>
    <t>Rostand is managing with level 0</t>
  </si>
  <si>
    <t>Ekabita-Essele</t>
  </si>
  <si>
    <t>CTR_437</t>
  </si>
  <si>
    <t>(04/29/2026 cell zte): 29/04/2026 : Power issue || Mail sent to HIS || Feedback HIS : Investigations ongoing.
We will keep you updated</t>
  </si>
  <si>
    <t>04/29/2026 cell zte) 29/04/2026 Power issue Mail sent to HIS Feedback HIS Investigations ongoing. We will keep you updated</t>
  </si>
  <si>
    <t>Penja-PHP</t>
  </si>
  <si>
    <t>LIT_594</t>
  </si>
  <si>
    <t>Penja</t>
  </si>
  <si>
    <t>(04/29/2026 ocm ran 00h): 28.04.26: Camusat: insecured area at late nights / FME will manage in the morning - Escalated to L2</t>
  </si>
  <si>
    <t>28.04.26 Camusat insecured area at late nights FME will manage in the morning Escalated to L2</t>
  </si>
  <si>
    <t>Mengue-Bibey-Camrail</t>
  </si>
  <si>
    <t>CTR_455</t>
  </si>
  <si>
    <t>Mengue-Bibey</t>
  </si>
  <si>
    <t>(04/29/2026 cell zte): 
29/04/2026 : Feedback camrail attendu
28/04/2026 : Demande de Work_permit par OCM a Camrail || Feedback camrail attendu attendu
27/04/2026 : Besoin d'analyse BO RAN || FME should check Antenna Fider status..;..;(04/29/2026 cell zte): 
29/04/2026 : Feedback camrail attendu
28/04/2026 : Demande de Work_permit par OCM a Camrail || Feedback camrail attendu attendu
27/04/2026 : Besoin d'analyse BO RAN || FME should check Antenna Fider status..;..;(04/29/2026 cell zte): 
29/04/2026 : Feedback camrail attendu
28/04/2026 : Demande de Work_permit par OCM a Camrail || Feedback camrail attendu attendu
27/04/2026 : Besoin d'analyse BO RAN || FME should check Antenna Fider status</t>
  </si>
  <si>
    <t>04/29/2026 cell zte) 29/04/2026 Feedback camrail attendu 28/04/2026 Demande de Work_permit par OCM a Camrail Feedback camrail attendu attendu 27/04/2026 Besoin d'analyse BO RAN FME should check Antenna Fider status.;.;(04/29/2026 cell zte) 29/04/2026 Feedback camrail attendu 28/04/2026 Demande de Work_permit par OCM a Camrail Feedback camrail attendu attendu 27/04/2026 Besoin d'analyse BO RAN FME should check Antenna Fider status.;.;(04/29/2026 cell zte) 29/04/2026 Feedback camrail attendu 28/04/2026 Demande de Work_permit par OCM a Camrail Feedback camrail attendu attendu 27/04/2026 Besoin d'analyse BO RAN FME should check Antenna Fider status</t>
  </si>
  <si>
    <t>Batibo</t>
  </si>
  <si>
    <t>NRO_010</t>
  </si>
  <si>
    <t xml:space="preserve">(04/29/2026 cell nokia): 29/04/2026 : FME activer 
28/04/2026 : Escalade faite au RM || FME 
27/04/2026 : Need BO RAN analysis ||FME seydou should reload software || Ghost town ..;..;(04/29/2026 cell nokia): 29/04/2026 : FME activer 
28/04/2026 : Escalade faite au RM || FME 
27/04/2026 : Need BO RAN analysis ||FME seydou should reload software || Ghost town ..;..;(04/29/2026 cell nokia): 29/04/2026 : Escalade faite au RM : en attente de son feedback 
28/04/2026 : Escalade faite au RM || FME 
27/04/2026 : Need BO RAN analysis ||FME seydou should reload software || Ghost town </t>
  </si>
  <si>
    <t>04/29/2026 cell nokia) 29/04/2026 FME activer 28/04/2026 Escalade faite au RM FME 27/04/2026 Need BO RAN analysis FME seydou should reload software Ghost town 04/29/2026 cell nokia) 29/04/2026 FME activer 28/04/2026 Escalade faite au RM FME 27/04/2026 Need BO RAN analysis FME seydou should reload software Ghost town 04/29/2026 cell nokia) 29/04/2026 Escalade faite au RM en attente de son feedback 28/04/2026 Escalade faite au RM FME 27/04/2026 Need BO RAN analysis FME seydou should reload software Ghost town</t>
  </si>
  <si>
    <t>Lounghe-Camrail</t>
  </si>
  <si>
    <t>LIT_389</t>
  </si>
  <si>
    <t>Pure Solar</t>
  </si>
  <si>
    <t>Dibamba</t>
  </si>
  <si>
    <t>(04/29/2026 ocm ran 00h): 28.04.26: Camusat: Solar outage / awaiting solar intensity return - Escalated to L2..;..;(04/29/2026 com ran 17h): 29/04/2026 FME activé en route pour le P2 de MBONGO  
besoin d'un fme sur site pour pour verifier le status du MPR et la chaine antennaire de l ODU 
28.04.26: Camusat: Solar outage / awaiting solar intensity return - Escalated to L2..;..;(04/29/2026 com ran 18h): 29/04/2026 FME activé en route pour le P2 de MBONGO  
besoin d'un fme sur site pour pour verifier le status du MPR et la chaine antennaire de l ODU 
28.04.26: Camusat: Solar outage / awaiting solar intensity return - Escalated to L2</t>
  </si>
  <si>
    <t>28.04.26 Camusat Solar outage awaiting solar intensity return Escalated to L2.;.;(04/29/2026 com ran 17h) 29/04/2026 FME activé en route pour le P2 de MBONGO besoin d'un fme sur site pour pour verifier le status du MPR et la chaine antennaire de l ODU 28.04.26 Camusat Solar outage awaiting solar intensity return Escalated to L2.;.;(04/29/2026 com ran 18h) 29/04/2026 FME activé en route pour le P2 de MBONGO besoin d'un fme sur site pour pour verifier le status du MPR et la chaine antennaire de l ODU 28.04.26 Camusat Solar outage awaiting solar intensity return Escalated to L2</t>
  </si>
  <si>
    <t>Zamakoe-MTN</t>
  </si>
  <si>
    <t>CTR_366</t>
  </si>
  <si>
    <t>Zamakoe</t>
  </si>
  <si>
    <t>(04/29/2026 ocm ran 00h):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ASAP..;..;(04/29/2026 com ran 17h):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ASAP..;..;(04/29/2026 com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</si>
  <si>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ASAP.;.;(04/29/2026 com ran 17h)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ASAP.;.;(04/29/2026 com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t>
  </si>
  <si>
    <t>Bamoko</t>
  </si>
  <si>
    <t>CTR_091</t>
  </si>
  <si>
    <t>(04/29/2026 hourly IHS): Francis is on the way to site CEDRIC is informed</t>
  </si>
  <si>
    <t>Francis is on the way to site CEDRIC is informed</t>
  </si>
  <si>
    <t>Ntui-Ecole-Publique</t>
  </si>
  <si>
    <t>CTR_826</t>
  </si>
  <si>
    <t>Ntui</t>
  </si>
  <si>
    <t>(04/29/2026 ocm ran 00h):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UTC..;..;(04/29/2026 com ran 17h):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UTC..;..;(04/29/2026 com ran 18h):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</si>
  <si>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UTC.;.;(04/29/2026 com ran 17h)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UTC.;.;(04/29/2026 com ran 18h)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</si>
  <si>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Mamb</t>
  </si>
  <si>
    <t>CTR_356</t>
  </si>
  <si>
    <t xml:space="preserve">(04/29/2026 ocm ran 00h): 28.04.26: Chassis MSS8 faulty, commande en cours, update ASAP
28/04/2026 Besoin d'un fme sur site pour verifier le status du MPR fme etiente activé ETA=ASAP ..;..;(04/29/2026 com ran 17h): 29.04.26 Cammande du chassis passée ETD= 29.04.26 
28.04.26: Chassis MSS8 faulty, commande en cours, update ASAP
28/04/2026 Besoin d'un fme sur site pour verifier le status du MPR fme etiente activé ETA=ASAP ..;..;(04/29/2026 com ran 18h): 29.04.26 Cammande du chassis passée ETD= 29.04.26 ETR=30/04/2026 
28.04.26: Chassis MSS8 faulty, commande en cours, update ASAP
28/04/2026 Besoin d'un fme sur site pour verifier le status du MPR fme etiente activé ETA=ASAP </t>
  </si>
  <si>
    <t>28.04.26 Chassis MSS8 faulty, commande en cours, update ASAP 28/04/2026 Besoin d'un fme sur site pour verifier le status du MPR fme etiente activé ETA=ASAP 04/29/2026 com ran 17h) 29.04.26 Cammande du chassis passée ETD= 29.04.26 28.04.26 Chassis MSS8 faulty, commande en cours, update ASAP 28/04/2026 Besoin d'un fme sur site pour verifier le status du MPR fme etiente activé ETA=ASAP 04/29/2026 com ran 18h) 29.04.26 Cammande du chassis passée ETD= 29.04.26 ETR=30/04/2026 28.04.26 Chassis MSS8 faulty, commande en cours, update ASAP 28/04/2026 Besoin d'un fme sur site pour verifier le status du MPR fme etiente activé ETA=ASAP</t>
  </si>
  <si>
    <t>Fifinda-MTN</t>
  </si>
  <si>
    <t>SUD_215</t>
  </si>
  <si>
    <t>Fifinda</t>
  </si>
  <si>
    <t>(04/29/2026 ocm ran 00h):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ASAP..;..;(04/29/2026 com ran 17h):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ASAP..;..;(04/29/2026 com ran 18h):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</si>
  <si>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ASAP.;.;(04/29/2026 com ran 17h)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ASAP.;.;(04/29/2026 com ran 18h)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</si>
  <si>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Loum-Nkombi-II-IHS</t>
  </si>
  <si>
    <t>LIT_520</t>
  </si>
  <si>
    <t>Loum</t>
  </si>
  <si>
    <t>(04/29/2026 ocm ran 00h): 28/04/2026 Activate FME at Loum-Camtel to check ODU 5/2; FME Eric activé pour investigations, update ASAP</t>
  </si>
  <si>
    <t>28/04/2026 Activate FME at Loum-Camtel to check ODU 5/2; FME Eric activé pour investigations, update ASAP</t>
  </si>
  <si>
    <t>Bonewonda-III</t>
  </si>
  <si>
    <t>LIT_615</t>
  </si>
  <si>
    <t xml:space="preserve">(04/27/2026 cell zte):-22/04/2026 : Site down..;..;(04/27/2026 ocm ran 17h):-27/04/2026 Grid Grid and GEN faulty / Grid return awaited ESCALADE L3 CAMUSAT ..;..;(04/27/2026 ocm ran 11h):-27/04/2026 Grid Grid and GEN faulty / Grid return awaited ESCALADE L3 CAMUSAT </t>
  </si>
  <si>
    <t>04/27/2026 cell zte) 22/04/2026 Site down.;.; 27/04/2026 Grid Grid and GEN faulty Grid return awaited ESCALADE L3 CAMUSAT 27/04/2026 Grid Grid and GEN faulty Grid return awaited ESCALADE L3 CAMUSAT</t>
  </si>
  <si>
    <t>Ancien-Troisieme</t>
  </si>
  <si>
    <t>LIT_653</t>
  </si>
  <si>
    <t>(04/27/2026 cell zte):-27/04/2026 : Besoin d'analyse BO RAN..;..;(04/27/2026 cell zte):-27/04/2026 : Besoin d'analyse BO RAN || Power issue || Mail sent to camusat..;..;(04/27/2026 ticket):-INC-20260427-00017150</t>
  </si>
  <si>
    <t>04/27/2026 cell zte) 27/04/2026 Besoin d'analyse BO RAN.;.;(04/27/2026 cell zte) 27/04/2026 Besoin d'analyse BO RAN Power issue Mail sent to camusat.;.;</t>
  </si>
  <si>
    <t>(04/27/2026 cell zte):-0..;..;(04/27/2026 ocm ran 17h):-power status check ongoing..;..;(04/27/2026 ticket):-INC-20260427-00011306…2026-04-27 19:58:38…Grid outage and Grid only site / Grid return awaited</t>
  </si>
  <si>
    <t>04/27/2026 cell zte) 0.;.; 2026-04-27 19 58 38…Grid outage and Grid only site Grid return awaited</t>
  </si>
  <si>
    <t>Nkolmintag</t>
  </si>
  <si>
    <t>LIT_539</t>
  </si>
  <si>
    <t>(04/27/2026 cell zte):-27/04/2026 : Besoin d'analyse BO RAN..;..;(04/27/2026 cell zte):-27/04/2026 : Besoin d'analyse BO RAN || Site down..;..;(04/27/2026 ocm ran 17h):-27/04/2026 Grid outage grid only site /Grid return awaited..;..;(04/27/2026 ticket):-INC-20260427-00007626…2026-04-27 19:54:29…Grid outage and Grid only site / Grid return awaited</t>
  </si>
  <si>
    <t>04/27/2026 cell zte) 27/04/2026 Besoin d'analyse BO RAN.;.;(04/27/2026 cell zte) 27/04/2026 Besoin d'analyse BO RAN Site down.;.; 27/04/2026 Grid outage grid only site Grid return awaited.;.; 2026-04-27 19 54 29…Grid outage and Grid only site Grid return awaited</t>
  </si>
  <si>
    <t>Bonas-Yde-MTN-IHS</t>
  </si>
  <si>
    <t>CTR_524</t>
  </si>
  <si>
    <t xml:space="preserve">(04/27/2026 ocm ran 17h):-27/04/2026 FME mbah hosiah activé ETA=14H UTC 
27/04/2026 Power issue evidence transmis a IHS en attente de retour 
26/04/2026 OCM_AOF_CTR_242_CTR_524_E-Poste_BONAS-YDE down CDS activated ETA ASAP ..;..;(04/27/2026 ocm ran 11h):-27/04/2026 Power issue evidence transmis a IHS en attente de retour 
26/04/2026 OCM_AOF_CTR_242_CTR_524_E-Poste_BONAS-YDE down CDS activated ETA ASAP </t>
  </si>
  <si>
    <t>27/04/2026 FME mbah hosiah activé ETA=14H UTC 27/04/2026 Power issue evidence transmis a IHS en attente de retour 26/04/2026 OCM_AOF_CTR_242_CTR_524_E-Poste_BONAS-YDE down CDS activated ETA ASAP 27/04/2026 Power issue evidence transmis a IHS en attente de retour 26/04/2026 OCM_AOF_CTR_242_CTR_524_E-Poste_BONAS-YDE down CDS activated ETA ASAP</t>
  </si>
  <si>
    <t>Marche-Central-Bonawon-New</t>
  </si>
  <si>
    <t>LIT_740</t>
  </si>
  <si>
    <t>(04/27/2026 cell zte):-27/04/2026 : Besoin d'analyse BO RAN..;..;(04/27/2026 ticket):-INC-20260427-00010265…2026-04-27 15:44:11…Grid outage and grid only site / Grid return awaited</t>
  </si>
  <si>
    <t>04/27/2026 cell zte) 27/04/2026 Besoin d'analyse BO RAN.;.; 2026-04-27 15 44 11…Grid outage and grid only site Grid return awaited</t>
  </si>
  <si>
    <t>PK5-Auberge</t>
  </si>
  <si>
    <t>LIT_647</t>
  </si>
  <si>
    <t>(04/27/2026 ticket):-INC-20260427-00010172…2026-04-27 15:42:09…Grid outage and grid only site / Grid return awaited</t>
  </si>
  <si>
    <t>2026-04-27 15 42 09…Grid outage and grid only site Grid return awaited</t>
  </si>
  <si>
    <t>SCDP-New</t>
  </si>
  <si>
    <t>LIT_739</t>
  </si>
  <si>
    <t>(04/27/2026 ocm ran 11h):-27/04/2026 FME activé ETA=12H UTC 
26/04/2026 Pas d'accès au site / situé dans un batiment commercial / Intervention prevue pour demain
25/04/2026 Camusat: Grid outage grid only site / awaiting grid return</t>
  </si>
  <si>
    <t>27/04/2026 FME activé ETA=12H UTC 26/04/2026 Pas d'accès au site situé dans un batiment commercial Intervention prevue pour demain 25/04/2026 Camusat Grid outage grid only site awaiting grid return</t>
  </si>
  <si>
    <t>Bepanda</t>
  </si>
  <si>
    <t>LIT_050</t>
  </si>
  <si>
    <t>(04/27/2026 cell zte):-27/04/2026 : Besoin d'analyse BO RAN..;..;(04/27/2026 cell zte):-27/04/2026 : Besoin d'analyse BO RAN || Site down..;..;(04/27/2026 ocm ran 17h):-27/04/2026 Grid outage // awaiting grid returned..;..;(04/27/2026 ocm ran 11h):-27/04/2026 Grid outage // awaiting grid returned..;..;(04/27/2026 ticket):-INC-20260427-00002349…2026-04-27 05:45:55…Grid outage // awaiting grid returned</t>
  </si>
  <si>
    <t>04/27/2026 cell zte) 27/04/2026 Besoin d'analyse BO RAN.;.;(04/27/2026 cell zte) 27/04/2026 Besoin d'analyse BO RAN Site down.;.; 27/04/2026 Grid outage awaiting grid returned.;.; 27/04/2026 Grid outage awaiting grid returned.;.; 2026-04-27 05 45 55…Grid outage awaiting grid returned</t>
  </si>
  <si>
    <t>(04/27/2026 cell zte):-27/04/2026 : Besoin d'analyse BO RAN..;..;(04/27/2026 ocm ran 17h):-27/04/2026  Grid outage and grid only site / Grid return awaited..;..;(04/27/2026 ticket):-INC-20260427-00009868…2026-04-27 15:35:03… Grid outage and grid only site / Grid return awaited</t>
  </si>
  <si>
    <t>04/27/2026 cell zte) 27/04/2026 Besoin d'analyse BO RAN.;.; 27/04/2026 Grid outage and grid only site Grid return awaited.;.; 2026-04-27 15 35 03… Grid outage and grid only site Grid return awaited</t>
  </si>
  <si>
    <t>Marche-Congo</t>
  </si>
  <si>
    <t>LIT_547</t>
  </si>
  <si>
    <t>(04/27/2026 retour CAMSUSAT): Grid outage,  / grid return awaited</t>
  </si>
  <si>
    <t>04/27/2026 retour CAMSUSAT) Grid outage, grid return awaited</t>
  </si>
  <si>
    <t>Emana-Bilick-IHS</t>
  </si>
  <si>
    <t>CTR_160</t>
  </si>
  <si>
    <t>(04/27/2026 cell zte):-27/04/2026 : Besoin d'analyse BO RAN..;..;(04/27/2026 ocm ran 11h):-27/04/2026 Besoin d'un fme sur site pour verifier le status du MPR ETA=12H UTC ..;..;(04/27/2026 ticket):-INC-20260427-00016445…2026-04-27 23:07:07…Access issue ,Grid outage, site down because site behaves as Grid only site (Gen Noise</t>
  </si>
  <si>
    <t>04/27/2026 cell zte) 27/04/2026 Besoin d'analyse BO RAN.;.; 27/04/2026 Besoin d'un fme sur site pour verifier le status du MPR ETA=12H UTC 2026-04-27 23 07 07…Access issue Grid outage, site down because site behaves as Grid only site Gen Noise</t>
  </si>
  <si>
    <t>Bois-Des-Singes-II-MTN</t>
  </si>
  <si>
    <t>LIT_753</t>
  </si>
  <si>
    <t>MTN</t>
  </si>
  <si>
    <t>Sharing</t>
  </si>
  <si>
    <t>(04/27/2026 cell zte):-27/04/2026 : Besoin d'analyse BO RAN..;..;(04/27/2026 cell zte):-27/04/2026 : Besoin d'analyse BO RAN..;..;(04/27/2026 ocm ran 11h):-27/04/2026 MTN Power issue escalate to L3 MTN 
23/04/2026 MTN Power issue escalate to L2 MTN ..;..;(04/27/2026 ticket):-INC-20260427-00015651…2026-04-27 23:44:23…27.04.26: Power alarms; MTN is activated to check, escalated to L2</t>
  </si>
  <si>
    <t>04/27/2026 cell zte) 27/04/2026 Besoin d'analyse BO RAN.;.;(04/27/2026 cell zte) 27/04/2026 Besoin d'analyse BO RAN.;.; 27/04/2026 MTN Power issue escalate to L3 MTN 23/04/2026 MTN Power issue escalate to L2 MTN 2026-04-27 23 44 23…27.04.26 Power alarms; MTN is activated to check, escalated to L2</t>
  </si>
  <si>
    <t>(04/27/2026 cell zte):-27/04/2026 : Besoin d'analyse BO RAN..;..;(04/27/2026 cell zte):-27/04/2026 : Besoin d'analyse BO RAN || Site down..;..;(04/27/2026 ocm ran 17h):-power status check ongoing..;..;(04/27/2026 ticket):-INC-20260427-00009173…2026-04-27 19:55:54…Grid outage and Grid only site / Grid return awaited</t>
  </si>
  <si>
    <t>04/27/2026 cell zte) 27/04/2026 Besoin d'analyse BO RAN.;.;(04/27/2026 cell zte) 27/04/2026 Besoin d'analyse BO RAN Site down.;.; 2026-04-27 19 55 54…Grid outage and Grid only site Grid return awaited</t>
  </si>
  <si>
    <t>(04/27/2026 cell zte):-27/04/2026 : Site down..;..;(04/27/2026 ocm ran 17h):-power status check ongoing..;..;(04/27/2026 ticket):-INC-20260427-00010726…2026-04-27 20:26:51…Grid outage, No space to deploy MDG // awaiting grid return</t>
  </si>
  <si>
    <t>04/27/2026 cell zte) 27/04/2026 Site down.;.; 2026-04-27 20 26 51…Grid outage, No space to deploy MDG awaiting grid return</t>
  </si>
  <si>
    <t>(04/27/2026 cell huawei):-27/04/2026 : Besoin d'analyse BO RAN || No HW alarm observed, need a reset of BTS on site..;..;(04/27/2026 cell huawei):-27/04/2026 : Besoin d'analyse BO RAN || No HW alarm observed, need a reset of BTS on site || HW Projet should renew License</t>
  </si>
  <si>
    <t>04/27/2026 cell huawei) 27/04/2026 Besoin d'analyse BO RAN No HW alarm observed, need a reset of BTS on site.;.;(04/27/2026 cell huawei) 27/04/2026 Besoin d'analyse BO RAN No HW alarm observed, need a reset of BTS on site HW Projet should renew License</t>
  </si>
  <si>
    <t>CTR_947_Z_Nkoabang-Tradex</t>
  </si>
  <si>
    <t>CTR_947</t>
  </si>
  <si>
    <t>meduim grid + GE</t>
  </si>
  <si>
    <t>(04/27/2026 retour CAMSUSAT): Nuisance sonore malgré que le GE soit insonorisé</t>
  </si>
  <si>
    <t>04/27/2026 retour CAMSUSAT) Nuisance sonore malgré que le GE soit insonorisé</t>
  </si>
  <si>
    <t>(04/27/2026 cell huawei):-27/04/2026 : Besoin d'analyse BO RAN || No HW alarm observed, need a reset of BTS on site..;..;(04/27/2026 cell huawei):-27/04/2026 : Besoin d'analyse BO RAN || No HW alarm observed, need a reset of BTS on site || HW Projet should renew License..;..;(04/27/2026 ocm ran 17h):-power status check ongoing</t>
  </si>
  <si>
    <t>04/27/2026 cell huawei) 27/04/2026 Besoin d'analyse BO RAN No HW alarm observed, need a reset of BTS on site.;.;(04/27/2026 cell huawei) 27/04/2026 Besoin d'analyse BO RAN No HW alarm observed, need a reset of BTS on site HW Projet should renew License.;.; power status check ongoing</t>
  </si>
  <si>
    <t xml:space="preserve">(04/27/2026 ocm ran 17h):-25/04/2026 FME activé GHOST TOWN to day
Besoin d'un fme sur site pour verifier le status du MPR ..;..;(04/27/2026 ocm ran 11h):-25/04/2026 FME activé ETA=30 MIN 
Besoin d'un fme sur site pour verifier le status du MPR </t>
  </si>
  <si>
    <t>25/04/2026 FME activé GHOST TOWN to day Besoin d'un fme sur site pour verifier le status du MPR 25/04/2026 FME activé ETA=30 MIN Besoin d'un fme sur site pour verifier le status du MPR</t>
  </si>
  <si>
    <t>Yao+C649unde</t>
  </si>
  <si>
    <t>CTR_375</t>
  </si>
  <si>
    <t>grid only</t>
  </si>
  <si>
    <t>(04/27/2026 ticket):-INC-20260427-00000058…2026-04-27 07:29:31…Grid outage, No space to deploy MDG // awaiting grid return</t>
  </si>
  <si>
    <t>2026-04-27 07 29 31…Grid outage, No space to deploy MDG awaiting grid return</t>
  </si>
  <si>
    <t>(04/27/2026 ocm ran 17h):-20.04.26; Carte EAC 3DB19417AA faulty, commande passée vers OCM
19.04.26; Besoin d'un FME sur SUO_077_H_Buea-David-Square pour vérifier la chaine antennaire de l'ODU 3.2; FME Fabien activé pour investigations, update ASAP
19.04.26; Reste down après l'incident P2 sur Buea-David..;..;(04/27/2026 ocm ran 11h):-20.04.26; Carte EAC 3DB19417AA faulty, commande passée vers OCM
19.04.26; Besoin d'un FME sur SUO_077_H_Buea-David-Square pour vérifier la chaine antennaire de l'ODU 3.2; FME Fabien activé pour investigations, update ASAP
19.04.26; Reste down après l'incident P2 sur Buea-David</t>
  </si>
  <si>
    <t>20.04.26; Carte EAC 3DB19417AA faulty, commande passée vers OCM 19.04.26; Besoin d'un FME sur SUO_077_H_Buea-David-Square pour vérifier la chaine antennaire de l'ODU 3.2; FME Fabien activé pour investigations, update ASAP 19.04.26; Reste down après l'incident P2 sur Buea-David.;.;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</si>
  <si>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(04/27/2026 ocm ran 17h):-27/04/2026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..;..;(04/27/2026 ocm ran 11h):-27/04/2026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</si>
  <si>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t>
  </si>
  <si>
    <t>Zileng-IHS</t>
  </si>
  <si>
    <t>EXN_174</t>
  </si>
  <si>
    <t>Zileng</t>
  </si>
  <si>
    <t>(04/27/2026 cell nokia):-27/04/2026 : Powwer issue || Relance faite par le Level 3 || Feedback IHS : Issue on generator solved yesterday and under monitoring,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</si>
  <si>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04/27/2026 cell nokia) 27/04/2026 Powwer issue Relance faite par le Level 3 Feedback IHS Issue on generator solved yesterday and under monitoring, 23/04/2026 Power issue 22/04/2026 Power issue Intervention du powerco ce jour 21/04/2026 Check breaker and interconnection FRMF, and FXED(sfp, optical fiber) between system and radio module, swap its if needed 18/04/2026 Power issue 17/04/2026 Need BO RAN ongoing Closed after reset but FME should check power needed because of radio module was down due to low voltage</t>
  </si>
  <si>
    <t>(04/27/2026 cell zte):-22/04/2026 : Site down</t>
  </si>
  <si>
    <t>04/27/2026 cell zte) 22/04/2026 Site down</t>
  </si>
  <si>
    <t>(04/27/2026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HIS..;..;(04/27/2026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HIS..;..;(04/27/2026 ocm ran 11h):-power status check ongoing</t>
  </si>
  <si>
    <t>04/27/2026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HIS.;.;(04/27/2026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 power status check ongoing</t>
  </si>
  <si>
    <t>Bonadibong</t>
  </si>
  <si>
    <t>LIT_126</t>
  </si>
  <si>
    <t xml:space="preserve">(04/27/2026 top offenders):-27/04/2026 FME en route ETA=11H UTC </t>
  </si>
  <si>
    <t>27/04/2026 FME en route ETA=11H UTC</t>
  </si>
  <si>
    <t>Camp-Yabassi</t>
  </si>
  <si>
    <t>LIT_162</t>
  </si>
  <si>
    <t>Grid-Gen-Lithium</t>
  </si>
  <si>
    <t>26/04/2026 Need FME on site to check MPR status / fme Njoya Mohamed activated ETA ASAP / Bureau pas ouvert les dimanches intervention pour lundi matin</t>
  </si>
  <si>
    <t>26/04/2026 Need FME on site to check MPR status fme Njoya Mohamed activated ETA ASAP Bureau pas ouvert les dimanches intervention pour lundi matin</t>
  </si>
  <si>
    <t>CTR_936_Z_Nsimalen-TOUTOULI</t>
  </si>
  <si>
    <t>CTR_936</t>
  </si>
  <si>
    <t>(04/27/2026 cell zte):-27/04/2026 : Besoin d'analyse BO RAN..;..;(04/27/2026 ocm ran 11h):-27/04/2026 FME Crislain activated and manging ETA =09H
26/04/2026 CAMUSAT FME is managing</t>
  </si>
  <si>
    <t>04/27/2026 cell zte) 27/04/2026 Besoin d'analyse BO RAN.;.; 27/04/2026 FME Crislain activated and manging ETA 09H 26/04/2026 CAMUSAT FME is managing</t>
  </si>
  <si>
    <t>LIT_825_Z_Camp-Bertaud</t>
  </si>
  <si>
    <t>LIT_825</t>
  </si>
  <si>
    <t>(04/27/2026 cell zte):-27/04/2026 : Site down</t>
  </si>
  <si>
    <t>04/27/2026 cell zte) 27/04/2026 Site down</t>
  </si>
  <si>
    <t>Cogefar-II</t>
  </si>
  <si>
    <t>LIT_339</t>
  </si>
  <si>
    <t>(04/27/2026 ticket):-INC-20260427-00002277…2026-04-27 05:58:11…Active // No power issue, site is on Grid with Ubaie=53.3V. The Tx FME Marius (691311142) from Huawei is informed…Grid outage, generator failure …Others Transmission equipement fault</t>
  </si>
  <si>
    <t>2026-04-27 05 58 11…Active No power issue, site is on Grid with Ubaie=53.3V. The Tx FME Marius 691311142) from Huawei is informed…Grid outage, generator failure</t>
  </si>
  <si>
    <t>Crf-Nsam-IHS</t>
  </si>
  <si>
    <t>CTR_159</t>
  </si>
  <si>
    <t>(04/27/2026 cell zte):-27/04/2026 : Besoin d'analyse BO RAN..;..;(04/27/2026 ocm ran 11h):-27/04/2026 Survey en cours ETR=13H UTC 
26/04/2026  AOF Crf-Nsam-IHS == ahala  down CDS activated 
26/04/2026 fme sur site 
25/04/2026 fme henri activé 
Besoin d'un FME sur site pour reset du MPR</t>
  </si>
  <si>
    <t>04/27/2026 cell zte) 27/04/2026 Besoin d'analyse BO RAN.;.; 27/04/2026 Survey en cours ETR=13H UTC 26/04/2026 AOF Crf-Nsam-IHS ahala down CDS activated 26/04/2026 fme sur site 25/04/2026 fme henri activé Besoin d'un FME sur site pour reset du MPR</t>
  </si>
  <si>
    <t>(04/27/2026 ocm ran 11h):-26/04/2026 GE en cours de reparation / pas de GEM disponible dans la zone / finalisation des travaux prevu dans 28/04/2026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</si>
  <si>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26/04/2026 GE en cours de reparation pas de GEM disponible dans la zone finalisation des travaux prevu dans 28/04/2026 Rebobinage de la generatrice) 24.04.26 Grid outage and gen faulty Grid restoration awaited Gen under maintenance W19 escalade L2 23/04/2026 Grid outage and gen faulty Grid restoration awaited Gen under maintenance W19 escalade L2 23.04.26; Power alarms; Camusat feedback awaiting Escalated to L2</t>
  </si>
  <si>
    <t>Nkololoun</t>
  </si>
  <si>
    <t>LIT_183</t>
  </si>
  <si>
    <t>(04/27/2026 cell zte):-27/04/2026 : Site down..;..;(04/27/2026 ocm ran 17h):-27/04/2026 Grid outage // awaiting grid returned Escalation done until Armel B..;..;(04/27/2026 ticket):-INC-20260427-00009408…2026-04-27 20:23:41…Grid outage // awaiting grid returned</t>
  </si>
  <si>
    <t>04/27/2026 cell zte) 27/04/2026 Site down.;.; 27/04/2026 Grid outage awaiting grid returned Escalation done until Armel B.;.; 2026-04-27 20 23 41…Grid outage awaiting grid returned</t>
  </si>
  <si>
    <t>Buea-Bwitingui-Road</t>
  </si>
  <si>
    <t>SUO_232</t>
  </si>
  <si>
    <t>(04/27/2026 ocm ran 17h):-27/04/2026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level0..;..;(04/27/2026 ocm ran 11h):-27/04/2026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</si>
  <si>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 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</si>
  <si>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 xml:space="preserve">(04/27/2026 ocm ran 17h):-27.04.26: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..;..;(04/27/2026 ocm ran 11h):-27.04.26: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</si>
  <si>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t>
  </si>
  <si>
    <t>(04/27/2026 ocm ran 17h):-20.04.26; ODU MPT MC 8GHZ 3DB20773CB faulty and not available, order done to OCM
19.04.26; ODU 3DB20773CB faulty, commande en cours
19.04.26; Besoin d'un FME sur NRD_172_SAKDJE pour vérifier la chaine antennaire de l'ODU 4.3; FME Belo activé pour investigations, ETA=17H UTC..;..;(04/27/2026 ocm ran 11h):-20.04.26; ODU MPT MC 8GHZ 3DB20773CB faulty and not available, order done to OCM
19.04.26; ODU 3DB20773CB faulty, commande en cours
19.04.26; Besoin d'un FME sur NRD_172_SAKDJE pour vérifier la chaine antennaire de l'ODU 4.3; FME Belo activé pour investigations, ETA=17H UTC</t>
  </si>
  <si>
    <t>20.04.26; ODU MPT MC 8GHZ 3DB20773CB faulty and not available, order done to OCM 19.04.26; ODU 3DB20773CB faulty, commande en cours 19.04.26; Besoin d'un FME sur NRD_172_SAKDJE pour vérifier la chaine antennaire de l'ODU 4.3; FME Belo activé pour investigations, ETA=17H UTC.;.; 20.04.26; ODU MPT MC 8GHZ 3DB20773CB faulty and not available, order done to OCM 19.04.26; ODU 3DB20773CB faulty, commande en cours 19.04.26; Besoin d'un FME sur NRD_172_SAKDJE pour vérifier la chaine antennaire de l'ODU 4.3; FME Belo activé pour investigations, ETA=17H UTC</t>
  </si>
  <si>
    <t>Pette</t>
  </si>
  <si>
    <t>EXN_039</t>
  </si>
  <si>
    <t>(04/27/2026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</si>
  <si>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27/04/2026 FME sur site travaux en cours ETR=14H30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</si>
  <si>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(04/27/2026 ocm ran 17h):-27.04.26: IHS : Gen and PWC Overload. - Escalated to L4
24.04.26: IHS : Gen and PWC Overload. - Escalated to L3
23/04/2026 IHS : grid outage gen overload..;..;(04/27/2026 ocm ran 11h):-27.04.26: IHS : Gen and PWC Overload. - Escalated to L4
24.04.26: IHS : Gen and PWC Overload. - Escalated to L3
23/04/2026 IHS : grid outage gen overload</t>
  </si>
  <si>
    <t>27.04.26 IHS Gen and PWC Overload. Escalated to L4 24.04.26 IHS Gen and PWC Overload. Escalated to L3 23/04/2026 IHS grid outage gen overload.;.; 27.04.26 IHS Gen and PWC Overload. Escalated to L4 24.04.26 IHS Gen and PWC Overload. Escalated to L3 23/04/2026 IHS grid outage gen overload</t>
  </si>
  <si>
    <t>Emana-Pont-IHS</t>
  </si>
  <si>
    <t>CTR_599</t>
  </si>
  <si>
    <t>(04/27/2026 Hourly IHS): DJANKO WANDJ BIGANSTILE (650631358) from Dowen service is working on site(corrections to the DC box installation),Felix ,Alphonse T are informed ||(04/27/2026 ocm ran 17h):-power status check ongoing..;..;(04/27/2026 ticket):-INC-20260427-00015427…AOF en défaut …Others Transmission equipement fault</t>
  </si>
  <si>
    <t>DJANKO WANDJ BIGANSTILE 650631358) from Dowen service is working on site(corrections to the DC box installation),Felix Alphonse T are informed AOF en défaut</t>
  </si>
  <si>
    <t>Newb-Ancien-Etage-New</t>
  </si>
  <si>
    <t>LIT_528</t>
  </si>
  <si>
    <t>(04/27/2026 cell zte):-27/04/2026 : Besoin d'analyse BO RAN..;..;(04/27/2026 cell zte):-27/04/2026 : Besoin d'analyse BO RAN || Site down..;..;(04/27/2026 ocm ran 17h):-27/04/2026 Grid outage // awaiting grid returned Escalation done until Armel B..;..;(04/27/2026 ticket):-INC-20260427-00010657…2026-04-27 23:11:32…Site et traffic OK. BV recouper avec le BoRAN.</t>
  </si>
  <si>
    <t>04/27/2026 cell zte) 27/04/2026 Besoin d'analyse BO RAN.;.;(04/27/2026 cell zte) 27/04/2026 Besoin d'analyse BO RAN Site down.;.; 27/04/2026 Grid outage awaiting grid returned Escalation done until Armel B.;.; 2026-04-27 23 11 32…Site et traffic OK. BV recouper avec le BoRAN.</t>
  </si>
  <si>
    <t>04/27/2026: hardware issue,  site with GPS issue (alarm : TDD down 09Apr 02pm)</t>
  </si>
  <si>
    <t>04/27/2026 hardware issue, site with GPS issue alarm TDD down 09Apr 02pm)</t>
  </si>
  <si>
    <t>H-Sawa</t>
  </si>
  <si>
    <t>LIT_099</t>
  </si>
  <si>
    <t>Grid-Gen (LL)</t>
  </si>
  <si>
    <t>(04/27/2026 ticket):-INC-20260427-00000515…2026-04-27 07:35:19…No power issue ubaie = 53.4 v site on grid…intervention en cour en attente l accès …Others Transmission equipement fault</t>
  </si>
  <si>
    <t>2026-04-27 07 35 19…No power issue ubaie 53.4 v site on grid…intervention en cour en attente l accès</t>
  </si>
  <si>
    <t xml:space="preserve">(04/27/2026 ocm ran 17h):-power status check ongoing..;..;(04/27/2026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t>
  </si>
  <si>
    <t>2026-04-27 22 57 58…Besoin d'un FME sur CTR_213_Z_Okolo pour investigations conjointes avec le BO TX;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t>
  </si>
  <si>
    <t>Ngousso-Maetur</t>
  </si>
  <si>
    <t>CTR_567</t>
  </si>
  <si>
    <t>(04/27/2026 cell zte):-23/04/2026 : Site down..;..;(04/27/2026 ocm ran 17h):-27/04/2026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L3..;..;(04/27/2026 ocm ran 11h):-27/04/2026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t>
  </si>
  <si>
    <t>04/27/2026 cell zte) 23/04/2026 Site down.;.; 27/04/2026 Grid outage, Grid only site Grid return awaited Escalade L4 26/04/2026 Continuté du delestage confirmé prochaine visite 18H Escalade L4 24.04.26 Grid outage, Grid only site Grid return awaited Escalade L4 23.04.26 Grid outage, Grid only site Grid return awaited Escalade L3.;.; 27/04/2026 Grid outage, Grid only site Grid return awaited Escalade L4 26/04/2026 Continuté du delestage confirmé prochaine visite 18H Escalade L4 24.04.26 Grid outage, Grid only site Grid return awaited Escalade L4 23.04.26 Grid outage, Grid only site Grid return awaited Escalade L3</t>
  </si>
  <si>
    <t>Nkolmesseng-H-Pyramides</t>
  </si>
  <si>
    <t>CTR_771</t>
  </si>
  <si>
    <t>(04/27/2026 cell zte):-23/04/2026 : Site down..;..;(04/27/2026 ocm ran 17h):-27/04/2026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L3..;..;(04/27/2026 ocm ran 11h):-27/04/2026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t>
  </si>
  <si>
    <t>04/27/2026 cell zte) 23/04/2026 Site down.;.; 27/04/2026 26/04/2026 team en route pour Verifier la continuté du delsetage 26/04/2026 team en route pour Verifier la continuté du delsetage ETR 35min 24.04.26 Grid outage, Grid only site Grid return awaited Escalade L4 23.04.26 Grid outage, Grid only site Grid return awaited Escalade L3.;.; 27/04/2026 26/04/2026 team en route pour Verifier la continuté du delsetage 26/04/2026 team en route pour Verifier la continuté du delsetage ETR 35min 24.04.26 Grid outage, Grid only site Grid return awaited Escalade L4 23.04.26 Grid outage, Grid only site Grid return awaited Escalade L3</t>
  </si>
  <si>
    <t xml:space="preserve">(04/27/2026 ocm ran 17h):-22.04.26: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..;..;(04/27/2026 ocm ran 11h):-22.04.26: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</si>
  <si>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t>
  </si>
  <si>
    <t>(04/27/2026 cell zte):-20/04/2026 : Site down..;..;(04/27/2026 ocm ran 17h):-27/04/2026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L3..;..;(04/27/2026 ocm ran 11h):-27/04/2026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t>
  </si>
  <si>
    <t>04/27/2026 cell zte) 20/04/2026 Site down.;.; 27/04/2026 No space to deploy DG continuté du delestage confirmé 26/04/2026 No space to deploy DG continuté du delestage confirmé 24.04.26 Grid outage and grid only site, no space to deploy a GEM Grid return awaited Escalade L4 23.04.26 Grid outage and grid only site, no space to deploy a GEM Grid return awaited Escalade L3.;.; 27/04/2026 No space to deploy DG continuté du delestage confirmé 26/04/2026 No space to deploy DG continuté du delestage confirmé 24.04.26 Grid outage and grid only site, no space to deploy a GEM Grid return awaited Escalade L4 23.04.26 Grid outage and grid only site, no space to deploy a GEM Grid return awaited Escalade L3</t>
  </si>
  <si>
    <t>La-Gare</t>
  </si>
  <si>
    <t>CTR_019</t>
  </si>
  <si>
    <t>(04/27/2026 cell zte):-23/04/2026 : Site down..;..;(04/27/2026 ocm ran 17h):-27/04/2026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L3..;..;(04/27/2026 ocm ran 11h):-27/04/2026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t>
  </si>
  <si>
    <t>04/27/2026 cell zte) 23/04/2026 Site down.;.; 27/04/2026 No space to deploy DG verification de la coninuté du delestage 26/04/2026 No space to deploy DG verification de la coninuté du delestage ETR 25min 24.04.26 Grid outage, Grid only site Grid return awaited Escalade L4 23.04.26 Grid outage, Grid only site Grid return awaited Escalade L3.;.; 27/04/2026 No space to deploy DG verification de la coninuté du delestage 26/04/2026 No space to deploy DG verification de la coninuté du delestage ETR 25min 24.04.26 Grid outage, Grid only site Grid return awaited Escalade L4 23.04.26 Grid outage, Grid only site Grid return awaited Escalade L3</t>
  </si>
  <si>
    <t>(04/27/2026 ocm ran 17h):-27.04.26: IHS: Grid only, no space//awaiting grid return - Escalated to L4
24.04.26: IHS: Grid only, no space//awaiting grid return - Escalated to L2..;..;(04/27/2026 ocm ran 11h):-27.04.26: IHS: Grid only, no space//awaiting grid return - Escalated to L4
24.04.26: IHS: Grid only, no space//awaiting grid return - Escalated to L2</t>
  </si>
  <si>
    <t>27.04.26 IHS Grid only, no space//awaiting grid return Escalated to L4 24.04.26 IHS Grid only, no space//awaiting grid return Escalated to L2.;.; 27.04.26 IHS Grid only, no space//awaiting grid return Escalated to L4 24.04.26 IHS Grid only, no space//awaiting grid return Escalated to L2</t>
  </si>
  <si>
    <t xml:space="preserve">(04/27/2026 ocm ran 17h):-27/04/2026 l'AOF est Down Oyomabang-Marche_Oyomabang et ODU faulty commande passé ETD asap 
26/04/2026 l'AOF est Down  lODU est HS sur le FH commande mail en cours pas disponible à Yaoundé
25/04/2026 Besoin d'un fme sur site pour verifier le status du MPR fme mouhamadou activé ..;..;(04/27/2026 ocm ran 11h):-27/04/2026 l'AOF est Down Oyomabang-Marche_Oyomabang et ODU faulty commande passé ETD asap 
26/04/2026 l'AOF est Down  lODU est HS sur le FH commande mail en cours pas disponible à Yaoundé
25/04/2026 Besoin d'un fme sur site pour verifier le status du MPR fme mouhamadou activé </t>
  </si>
  <si>
    <t>27/04/2026 l'AOF est Down Oyomabang-Marche_Oyomabang et ODU faulty commande passé ETD asap 26/04/2026 l'AOF est Down lODU est HS sur le FH commande mail en cours pas disponible à Yaoundé 25/04/2026 Besoin d'un fme sur site pour verifier le status du MPR fme mouhamadou activé 27/04/2026 l'AOF est Down Oyomabang-Marche_Oyomabang et ODU faulty commande passé ETD asap 26/04/2026 l'AOF est Down lODU est HS sur le FH commande mail en cours pas disponible à Yaoundé 25/04/2026 Besoin d'un fme sur site pour verifier le status du MPR fme mouhamadou activé</t>
  </si>
  <si>
    <t xml:space="preserve">(04/27/2026 cell zte):-24/04/2026 : Besoin d'analyse BO RAN..;..;(04/27/2026 cell zte):-27/04/2026 : Besoin d'analyse BO RAN || Site down..;..;(04/27/2026 ocm ran 17h):-27.04.26: IHS: Grid only, no space//awaiting grid return - Escalated to L4
24.04.26: IHS: Grid only, no space//awaiting grid return escalade L2 IHS ..;..;(04/27/2026 ocm ran 11h):-27.04.26: IHS: Grid only, no space//awaiting grid return - Escalated to L4
24.04.26: IHS: Grid only, no space//awaiting grid return escalade L2 IHS </t>
  </si>
  <si>
    <t>04/27/2026 cell zte) 24/04/2026 Besoin d'analyse BO RAN.;.;(04/27/2026 cell zte) 27/04/2026 Besoin d'analyse BO RAN Site down.;.; 27.04.26 IHS Grid only, no space//awaiting grid return Escalated to L4 24.04.26 IHS Grid only, no space//awaiting grid return escalade L2 IHS 27.04.26 IHS Grid only, no space//awaiting grid return Escalated to L4 24.04.26 IHS Grid only, no space//awaiting grid return escalade L2 IHS</t>
  </si>
  <si>
    <t>(04/27/2026 ocm ran 17h):-26/04/2026 Carte core Evo faulty /not available in the system, SPM informed through an email
26/04/2026 The FME should replace the Core-ENH board at Bonaminkengue / FME activated ETA 12H UTC..;..;(04/27/2026 ocm ran 11h):-26/04/2026 Carte core Evo faulty /not available in the system, SPM informed through an email
26/04/2026 The FME should replace the Core-ENH board at Bonaminkengue / FME activated ETA 12H UTC</t>
  </si>
  <si>
    <t>26/04/2026 Carte core Evo faulty not available in the system, SPM informed through an email 26/04/2026 The FME should replace the Core-ENH board at Bonaminkengue FME activated ETA 12H UTC.;.; 26/04/2026 Carte core Evo faulty not available in the system, SPM informed through an email 26/04/2026 The FME should replace the Core-ENH board at Bonaminkengue FME activated ETA 12H UTC</t>
  </si>
  <si>
    <t>Nkongoa</t>
  </si>
  <si>
    <t>CTR_629</t>
  </si>
  <si>
    <t>(04/27/2026 ocm ran 17h):-27/04/2026 Site nkongoa vendalise côté power..;..;(04/27/2026 ocm ran 11h):-27/04/2026 Site nkongoa vendalise côté power</t>
  </si>
  <si>
    <t>27/04/2026 Site nkongoa vendalise côté power.;.; 27/04/2026 Site nkongoa vendalise côté power</t>
  </si>
  <si>
    <t>(04/27/2026 cell zte):-27/04/2026 : Besoin d'analyse BO RAN..;..;(04/27/2026 cell zte):-27/04/2026 : Besoin d'analyse BO RAN || Site down..;..;(04/27/2026 ocm ran 17h):-27/04/2026 Grid outage grid only site /Grid return awaited..;..;(04/27/2026 ocm ran 11h):-27/04/2026 Grid outage grid only site /Grid return awaited</t>
  </si>
  <si>
    <t>04/27/2026 cell zte) 27/04/2026 Besoin d'analyse BO RAN.;.;(04/27/2026 cell zte) 27/04/2026 Besoin d'analyse BO RAN Site down.;.; 27/04/2026 Grid outage grid only site Grid return awaited.;.; 27/04/2026 Grid outage grid only site Grid return awaited</t>
  </si>
  <si>
    <t xml:space="preserve">(04/27/2026 ocm ran 17h):-17/04/2026 Carte EAC (3DB19417AA )  faulty commandée passé pas disponible point transmis a OCM 
16/04/2026 Besoin d'un fme sur site pour verifier le status du MPR et la chaine antennaire de l ODU FME desmond activé ETA asap ..;..;(04/27/2026 ocm ran 11h):-17/04/2026 Carte EAC (3DB19417AA )  faulty commandée passé pas disponible point transmis a OCM 
16/04/2026 Besoin d'un fme sur site pour verifier le status du MPR et la chaine antennaire de l ODU FME desmond activé ETA asap </t>
  </si>
  <si>
    <t>17/04/2026 Carte EAC 3DB19417AA faulty commandée passé pas disponible point transmis a OCM 16/04/2026 Besoin d'un fme sur site pour verifier le status du MPR et la chaine antennaire de l ODU FME desmond activé ETA asap 17/04/2026 Carte EAC 3DB19417AA faulty commandée passé pas disponible point transmis a OCM 16/04/2026 Besoin d'un fme sur site pour verifier le status du MPR et la chaine antennaire de l ODU FME desmond activé ETA asap</t>
  </si>
  <si>
    <t>(04/27/2026 ocm ran 17h):-27.04.26;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town..;..;(04/27/2026 ocm ran 11h):-27.04.26;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</si>
  <si>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 27.04.26; Access banned by Separatist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t>
  </si>
  <si>
    <t>(04/27/2026 ocm ran 17h):-27/04/2026 |access negotiation ongoing
26/04/2026 Need FME on site to check ODU 4.2 and entenna chain / FME Donald manage with L0..;..;(04/27/2026 ocm ran 11h):-27/04/2026 |access negotiation ongoing
26/04/2026 Need FME on site to check ODU 4.2 and entenna chain / FME Donald manage with L0..;..;(04/27/2026 ticket):-INC-20260427-00018430…	Active// No power issue on site Ubaie; 54.8V site on BATTERY, The FME TX Julien (+237 6 93 09 58 49) from Huawei is informed…Others Transmission equipement fault</t>
  </si>
  <si>
    <t>27/04/2026 access negotiation ongoing 26/04/2026 Need FME on site to check ODU 4.2 and entenna chain FME Donald manage with L0.;.; 27/04/2026 access negotiation ongoing 26/04/2026 Need FME on site to check ODU 4.2 and entenna chain FME Donald manage with L0.;.; Active// No power issue on site Ubaie; 54.8V site on BATTERY, The FME TX Julien 237 6 93 09 58 49) from Huawei is informed…</t>
  </si>
  <si>
    <t>Bati</t>
  </si>
  <si>
    <t>OST_215</t>
  </si>
  <si>
    <t>(04/27/2026 cell nokia):-27/04/2026 : Need BO RAN analysis..;..;(04/27/2026 cell nokia):-27/04/2026 : Need BO RAN analysis || Closed after reset but FME should check ABIA module</t>
  </si>
  <si>
    <t>04/27/2026 cell nokia) 27/04/2026 Need BO RAN analysis.;.;(04/27/2026 cell nokia) 27/04/2026 Need BO RAN analysis Closed after reset but FME should check ABIA module</t>
  </si>
  <si>
    <t>Camp-Yabassi-IHS</t>
  </si>
  <si>
    <t>LIT_587</t>
  </si>
  <si>
    <t>(04/27/2026 retour IHS): Power issue NUR to be check</t>
  </si>
  <si>
    <t>Power issue NUR to be check</t>
  </si>
  <si>
    <t>(04/27/2026 ticket):-INC-20260427-00013883…2026-04-27 20:31:13…Grid outage // awaiting grid returned</t>
  </si>
  <si>
    <t>2026-04-27 20 31 13…Grid outage awaiting grid returned</t>
  </si>
  <si>
    <t>(04/27/2026 ocm ran 17h):-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UTC..;..;(04/27/2026 ocm ran 11h):-22.04.26;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</si>
  <si>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t>
  </si>
  <si>
    <t>(04/27/2026 ocm ran 17h):-21.04.26;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0..;..;(04/27/2026 ocm ran 11h):-21.04.26;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</si>
  <si>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</si>
  <si>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White-Star-Hotel</t>
  </si>
  <si>
    <t>SUO_236</t>
  </si>
  <si>
    <t>(04/27/2026 ocm ran 17h):-power status check ongoing..;..;(04/27/2026 ocm ran 11h):-power status check ongoing</t>
  </si>
  <si>
    <t>power status check ongoing</t>
  </si>
  <si>
    <t>(04/27/2026 cell zte):-27/04/2026 : Besoin d'analyse BO RAN..;..;(04/27/2026 cell zte):-27/04/2026 : Besoin d'analyse BO RAN || GPS Instability</t>
  </si>
  <si>
    <t>04/27/2026 cell zte) 27/04/2026 Besoin d'analyse BO RAN.;.;(04/27/2026 cell zte) 27/04/2026 Besoin d'analyse BO RAN GPS Instability</t>
  </si>
  <si>
    <t>(04/27/2026 cell nokia):-27/04/2026 : Check breaker and  interconnection FRMF (sfp, optical fiber) between system and radio module, swap its if needed..;..;(04/27/2026 ocm ran 11h):-27/04/2026 besoin d'un fme sur site pour verifier le status du MPR et la chaine antennaire de l ODU FME activé ETA asap ..;..;(04/27/2026 ticket):-INC-20260427-00000578…Others Transmission equipement fault</t>
  </si>
  <si>
    <t>04/27/2026 cell nokia) 27/04/2026 Check breaker and interconnection FRMF sfp, optical fiber) between system and radio module, swap its if needed.;.; 27/04/2026 besoin d'un fme sur site pour verifier le status du MPR et la chaine antennaire de l ODU FME activé ETA asap</t>
  </si>
  <si>
    <t>Minoterie</t>
  </si>
  <si>
    <t>LIT_023</t>
  </si>
  <si>
    <t>(04/27/2026 ticket):-INC-20260427-00000416…power issue here the power guy taken point …Others Transmission equipement fault</t>
  </si>
  <si>
    <t>power issue here the power guy taken point</t>
  </si>
  <si>
    <t>Quartier-Gentil</t>
  </si>
  <si>
    <t>LIT_450</t>
  </si>
  <si>
    <t>(04/27/2026 cell zte):-27/04/2026 : Power issue || Mail sent to IHS</t>
  </si>
  <si>
    <t>04/27/2026 cell zte) 27/04/2026 Power issue Mail sent to IHS</t>
  </si>
  <si>
    <t>Maroua-Meskin</t>
  </si>
  <si>
    <t>EXN_233</t>
  </si>
  <si>
    <t>Bad Grid + GE</t>
  </si>
  <si>
    <t>(04/27/2026 cell huawei):-27/04/2026 : Power instability || Mail sent to Camusat..;..;(04/27/2026 ocm ran 11h):-power status check ongoing</t>
  </si>
  <si>
    <t>04/27/2026 cell huawei) 27/04/2026 Power instability Mail sent to Camusat.;.; power status check ongoing</t>
  </si>
  <si>
    <t>04/27/2026: hardware issue,  site with GPS issue (alarm : TDD down 09Apr 02pm) || (04/27/2026 ticket):-INC-20260427-00002914…Grid outage gen failed to start due to battery GE discharged causing by satiic charger faulty/Gen manually started with external battery…Grid outage gen failed to start due to battery GE discharged causing by satiic charger faulty/Gen manually started with external battery…GE Fault</t>
  </si>
  <si>
    <t>04/27/2026 hardware issue, site with GPS issue alarm TDD down 09Apr 02pm) Grid outage gen failed to start due to battery GE discharged causing by satiic charger faulty/Gen manually started with external battery…Grid outage gen failed to start due to battery GE discharged causing by satiic charger faulty/Gen manually started with external battery…GE Fault</t>
  </si>
  <si>
    <t>Mazera-IHS</t>
  </si>
  <si>
    <t>EXN_226</t>
  </si>
  <si>
    <t>Mazera</t>
  </si>
  <si>
    <t xml:space="preserve">(04/27/2026 ocm ran 17h):-27/04/2026 FME eric activé manage avec level 0 
Besoin d'un fme sur site pour verifier le status du MPR et la chaine antennaire de l ODU 3/1 ..;..;(04/27/2026 ocm ran 11h):-power status check ongoing..;..;(04/27/2026 ticket):-INC-20260427-00005299…2026-04-27 22:28:50…activer le FME pour check de la chaine antennaire en local et verifier le statut des ODUs.
Pas de signal recu a Tekelle.…unknown reason </t>
  </si>
  <si>
    <t>27/04/2026 FME eric activé manage avec level 0 Besoin d'un fme sur site pour verifier le status du MPR et la chaine antennaire de l ODU 3/1 2026-04-27 22 28 50…activer le FME pour check de la chaine antennaire en local et verifier le statut des ODUs. Pas de signal recu a Tekelle.…unknown reason</t>
  </si>
  <si>
    <t xml:space="preserve">(04/27/2026 cell nokia):-27/04/2026 : Check breaker and  interconnection FRGU (sfp, optical fiber) between system and radio module, swap its if needed ||FME Mezazem activer ..;..;(04/27/2026 cell nokia):-27/04/2026 : Check breaker and  interconnection FRGU (sfp, optical fiber) between system and radio module, swap its if needed ||FME Mezazem activer || Action non aboutti avec le vel 0 || FME ira sur site demain 28/04/2026 </t>
  </si>
  <si>
    <t>04/27/2026 cell nokia) 27/04/2026 Check breaker and interconnection FRGU sfp, optical fiber) between system and radio module, swap its if needed 04/27/2026 cell nokia) 27/04/2026 Check breaker and interconnection FRGU sfp, optical fiber) between system and radio module, swap its if needed Action non aboutti avec le vel 0 FME ira sur site demain 28/04/2026</t>
  </si>
  <si>
    <t>Bertoua-Dabadi</t>
  </si>
  <si>
    <t>EST_087</t>
  </si>
  <si>
    <t xml:space="preserve">(04/27/2026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..;..;(04/27/2026 cell zte):-24/03/2026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</si>
  <si>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04/27/2026 cell zte) 24/03/2026 Fme en route pour le site ETA 10H Apres troubleshooting entre le fme sur site et le support ZTE il a ete demande de commander un GPS complet Commande en cours 23/04/2026 Test de troobleshooting entre le Fme et le suport ZTE planifie pour demain 22/04/2026 RI en cours de redaction pour envoye a ZTE 21/04/2026 Fme actuellement sur site Intervention en cours Cables remplace mais probleme pas resolu check en cours 16/04/2026 Pas de spare disponible au HW SPMS Commande passee a OCM SPMS 15/04/2026 SPARE non disponible au WH du SBC Cde du RM passee a HW SPMS Feedback HW SPMS attendu 14/04/2026 Fme active ETA 12h Intervention en cours Feedback Fme les actions demandes par le BO RAN ont ete effectuees Prochaine etape remplacement du cable commande en cours 13/04/2026 Besoin d'analyse BO RAN Cell was down due to GPS instability Check GPS status 04/27/2026 cell zte) 24/03/2026 Fme en route pour le site ETA 10H Apres troubleshooting entre le fme sur site et le support ZTE il a ete demande de commander un GPS complet Commande en cours 23/04/2026 Test de troobleshooting entre le Fme et le suport ZTE planifie pour demain 22/04/2026 RI en cours de redaction pour envoye a ZTE 21/04/2026 Fme actuellement sur site Intervention en cours Cables remplace mais probleme pas resolu check en cours 16/04/2026 Pas de spare disponible au HW SPMS Commande passee a OCM SPMS 15/04/2026 SPARE non disponible au WH du SBC Cde du RM passee a HW SPMS Feedback HW SPMS attendu 14/04/2026 Fme active ETA 12h Intervention en cours Feedback Fme les actions demandes par le BO RAN ont ete effectuees Prochaine etape remplacement du cable commande en cours 13/04/2026 Besoin d'analyse BO RAN Cell was down due to GPS instability Check GPS status</t>
  </si>
  <si>
    <t xml:space="preserve"> 04/27 /2026: hardware issue,  site with GPS issue (alarm : TDD down 09Apr 02pm) || (04/27/2026 cell zte):-27/04/2026 : Besoin d'analyse BO RAN..;..;(04/27/2026 cell zte):-27/04/2026 : Besoin d'analyse BO RAN || GPS Instability</t>
  </si>
  <si>
    <t>04/27 2026 hardware issue, site with GPS issue alarm TDD down 09Apr 02pm) 04/27/2026 cell zte) 27/04/2026 Besoin d'analyse BO RAN.;.;(04/27/2026 cell zte) 27/04/2026 Besoin d'analyse BO RAN GPS Instability</t>
  </si>
  <si>
    <t>(04/27/2026 cell zte):-27/04/2026 : Besoin d'analyse BO RAN..;..;(04/27/2026 cell zte):-27/04/2026 : Besoin d'analyse BO RAN || GPS Instability || 04/27/2026: hardware issue,  site with GPS issue (alarm : TDD down 09Apr 02pm)</t>
  </si>
  <si>
    <t>04/27/2026 cell zte) 27/04/2026 Besoin d'analyse BO RAN.;.;(04/27/2026 cell zte) 27/04/2026 Besoin d'analyse BO RAN GPS Instability 04/27/2026 hardware issue, site with GPS issue alarm TDD down 09Apr 02pm)</t>
  </si>
  <si>
    <t>(04/27/2026 cell zte):-27/04/2026 : Besoin d'analyse BO RAN..;..;(04/27/2026 cell zte):-27/04/2026 : Besoin d'analyse BO RAN || GPS Instability, 04/27/2026: hardware issue,  site with GPS issue (alarm : TDD down 09Apr 02pm)</t>
  </si>
  <si>
    <t>04/27/2026 cell zte) 27/04/2026 Besoin d'analyse BO RAN.;.;(04/27/2026 cell zte) 27/04/2026 Besoin d'analyse BO RAN GPS Instability, 04/27/2026 hardware issue, site with GPS issue alarm TDD down 09Apr 02pm)</t>
  </si>
  <si>
    <t>Bardake-IHS</t>
  </si>
  <si>
    <t>NRD_110</t>
  </si>
  <si>
    <t>Bardake</t>
  </si>
  <si>
    <t>(04/27/2026 ocm ran 17h):-27/04/2026  Nouvel ETR=28.04.26
23.04.26: En attente d'un nouvel ETR de l'ing OCM
20.04.26; Nouvel ETR=22.04.26
13/04/2026 Relance OCM en attente de retour
10.04.26; Nouvel ETR=12.04.26
07.04.26; Site UE relay, nouvel ETR=09.04.26..;..;(04/27/2026 ocm ran 11h):-23.04.26: En attente d'un nouvel ETR de l'ing OCM
20.04.26; Nouvel ETR=22.04.26
13/04/2026 Relance OCM en attente de retour
10.04.26; Nouvel ETR=12.04.26
07.04.26; Site UE relay, nouvel ETR=09.04.26</t>
  </si>
  <si>
    <t>27/04/2026 Nouvel ETR=28.04.26 23.04.26 En attente d'un nouvel ETR de l'ing OCM 20.04.26; Nouvel ETR=22.04.26 13/04/2026 Relance OCM en attente de retour 10.04.26; Nouvel ETR=12.04.26 07.04.26; Site UE relay, nouvel ETR=09.04.26.;.; 23.04.26 En attente d'un nouvel ETR de l'ing OCM 20.04.26; Nouvel ETR=22.04.26 13/04/2026 Relance OCM en attente de retour 10.04.26; Nouvel ETR=12.04.26 07.04.26; Site UE relay, nouvel ETR=09.04.26</t>
  </si>
  <si>
    <t>(04/27/2026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</si>
  <si>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27/04/2026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</si>
  <si>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(04/27/2026 ocm ran 17h):-27/06/2026 Access banned by Separatist
24.04.26; Access banned by Separatist
23.04.26: FME en route pour le site, ETA=13H UTC // Red zone 
22.04.26; Besoin d'un FME sur site pour vérifier l'état du FAN du MPR et le remplacer au besoin, PN: 3DB18134BBAD01 FME activé eta asap "..;..;(04/27/2026 ocm ran 11h):-27/06/2026 Access banned by Separatist
24.04.26; Access banned by Separatist
23.04.26: FME en route pour le site, ETA=13H UTC // Red zone 
22.04.26; Besoin d'un FME sur site pour vérifier l'état du FAN du MPR et le remplacer au besoin, PN: 3DB18134BBAD01 FME activé eta asap "</t>
  </si>
  <si>
    <t>27/06/2026 Access banned by Separatist 24.04.26; Access banned by Separatist 23.04.26 FME en route pour le site, ETA=13H UTC Red zone 22.04.26; Besoin d'un FME sur site pour vérifier l'état du FAN du MPR et le remplacer au besoin, PN 3DB18134BBAD01 FME activé eta asap 27/06/2026 Access banned by Separatist 24.04.26; Access banned by Separatist 23.04.26 FME en route pour le site, ETA=13H UTC Red zone 22.04.26; Besoin d'un FME sur site pour vérifier l'état du FAN du MPR et le remplacer au besoin, PN 3DB18134BBAD01 FME activé eta asap</t>
  </si>
  <si>
    <t>(04/27/2026 ocm ran 17h):-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L5..;..;(04/27/2026 ocm ran 11h):-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</si>
  <si>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27.04.26; Access banned by Separatist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</si>
  <si>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Ndu-Mbakfu-IHS</t>
  </si>
  <si>
    <t>NRO_089</t>
  </si>
  <si>
    <t>Ndu-Mbakfu</t>
  </si>
  <si>
    <t>(04/27/2026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neede..;..;(04/27/2026 cell nokia):-27/04/2026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t>
  </si>
  <si>
    <t>04/27/2026 cell nokia) 27/04/2026 Road blocked No traffic 24/04/2026 Road blocked No traffic 23/04/2026 Feedback RM Road blocked No traffic 21/04/2026 Feedback RM Road blocked No traffic Access issue 20/04/2026 Ghost town 18/04/2026 Check breaker and interconnection FXDB sfp, optical fiber) between system and radio module, swap its if neede.;.;(04/27/2026 cell nokia) 27/04/2026 Road blocked No traffic 24/04/2026 Road blocked No traffic 23/04/2026 Feedback RM Road blocked No traffic 21/04/2026 Feedback RM Road blocked No traffic Access issue 20/04/2026 Ghost town 18/04/2026 Check breaker and interconnection FXDB sfp, optical fiber) between system and radio module, swap its if neede</t>
  </si>
  <si>
    <t>Cinema-ABC</t>
  </si>
  <si>
    <t>LIT_061</t>
  </si>
  <si>
    <t>(04/27/2026 retour IHS): Power issue NUR to be check||  (04/27/2026 ticket):-INC-20260427-00010498</t>
  </si>
  <si>
    <t>Ekoumdoum</t>
  </si>
  <si>
    <t>CTR_259</t>
  </si>
  <si>
    <t>(04/27/2026 ticket):-INC-20260427-00001715…2026-04-27 06:57:25…The Optim Link Radio Ekoumdoum_Ekie-Nodal is cut so please to involve CDS…Auto TT closure RCA…Others Transmission equipement fault</t>
  </si>
  <si>
    <t>2026-04-27 06 57 25…The Optim Link Radio Ekoumdoum_Ekie-Nodal is cut so please to involve CDS…Auto TT closure RCA…</t>
  </si>
  <si>
    <t>Tagawa-IHS</t>
  </si>
  <si>
    <t>EXN_274</t>
  </si>
  <si>
    <t>Tagawa</t>
  </si>
  <si>
    <t>(04/27/2026 ocm ran 17h):-26/04/2026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ASAP..;..;(04/27/2026 ocm ran 11h):-26/04/2026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ASAP..;..;(04/27/2026 ticket):-INC-20260427-00002531…2026-04-27 10:32:40…No power issue, Ubaie = 54.5V site on GEN. TX FME Yaya 694806622 / HUAWEI is informed.…Others Transmission equipement fault</t>
  </si>
  <si>
    <t>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FME Yaouba activé pour investigations, update ASAP.;.; 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FME Yaouba activé pour investigations, update ASAP.;.; 2026-04-27 10 32 40…No power issue, Ubaie 54.5V site on GEN. TX FME Yaya 694806622 HUAWEI is informed.…</t>
  </si>
  <si>
    <t>(04/27/2026 ocm ran 11h):-power status check ongoing</t>
  </si>
  <si>
    <t>Fundong</t>
  </si>
  <si>
    <t>NRO_015</t>
  </si>
  <si>
    <t>(04/27/2026 cell nokia):-27/04/2026 : Check breaker and  interconnection FRMF, FXED, FRGU, FXDB  (sfp, optical fiber) between system and radio module, swap its if needed</t>
  </si>
  <si>
    <t>04/27/2026 cell nokia) 27/04/2026 Check breaker and interconnection FRMF, FXED, FRGU, FXDB sfp, optical fiber) between system and radio module, swap its if needed</t>
  </si>
  <si>
    <t>(04/27/2026 ocm ran 17h):-power status check ongoing..;..;(04/27/2026 ticket):-INC-20260427-00007772…2026-04-27 22:31:42…FME Mamoudou is on site, Escalation done until Alphonse T</t>
  </si>
  <si>
    <t>2026-04-27 22 31 42…FME Mamoudou is on site, Escalation done until Alphonse T</t>
  </si>
  <si>
    <t>Pinyi-Ngali</t>
  </si>
  <si>
    <t>NRO_091</t>
  </si>
  <si>
    <t>Solar+ Gen</t>
  </si>
  <si>
    <t>(04/27/2026 cell nokia):-27/04/2026 : Need BO RAN analysis..;..;(04/27/2026 cell nokia):-27/04/2026 : Need BO RAN analysisM || Closed after reset</t>
  </si>
  <si>
    <t>04/27/2026 cell nokia) 27/04/2026 Need BO RAN analysis.;.;(04/27/2026 cell nokia) 27/04/2026 Need BO RAN analysisM Closed after reset</t>
  </si>
  <si>
    <t>(04/27/2026 ocm ran 17h):-27/04/2026 FME HIPOLITE activé eta asap 
Besoin d'un fme sur site de  MPR_GALE  pour verifier le status de L ODU 5/2 ..;..;(04/27/2026 ocm ran 11h):-power status check ongoing..;..;(04/27/2026 ticket):-INC-20260427-00005651…2026-04-28 03:59:14…Activer le FME pour check de la chaine antennaire sur le site de Gale, check des radio 5.2 et 6.2.
refaire le cable et remplacer les ODUs le cas echeant.</t>
  </si>
  <si>
    <t>27/04/2026 FME HIPOLITE activé eta asap Besoin d'un fme sur site de MPR_GALE pour verifier le status de L ODU 5/2 2026-04-28 03 59 14…Activer le FME pour check de la chaine antennaire sur le site de Gale, check des radio 5.2 et 6.2. refaire le cable et remplacer les ODUs le cas echeant.</t>
  </si>
  <si>
    <t>(04/27/2026 top offenders):-27.04.26: IHS: Grid outage, No space to deploy MDG // awaiting grid return Francklin</t>
  </si>
  <si>
    <t>27.04.26 IHS Grid outage, No space to deploy MDG awaiting grid return Francklin</t>
  </si>
  <si>
    <t>KRIBI-MAKAO</t>
  </si>
  <si>
    <t>SUD_095</t>
  </si>
  <si>
    <t>(04/27/2026 ticket):-INC-20260427-00000378…2026-04-27 02:48:57…The technician will be on site ETA 04h30.</t>
  </si>
  <si>
    <t>2026-04-27 02 48 57…The technician will be on site ETA 04h30.</t>
  </si>
  <si>
    <t>Sanguere-MTN-IHS</t>
  </si>
  <si>
    <t>NRD_087</t>
  </si>
  <si>
    <t>Sanguere</t>
  </si>
  <si>
    <t>(04/27/2026 cell nokia):-27/04/2026 : Need BO RAN analysis..;..;(04/27/2026 cell nokia):-27/04/2026 : Need BO RAN analysis || Closed after reset but FME should check and replace SFP if needed..;..;(04/27/2026 ticket):-INC-20260427-00001125…power issue …Others Transmission equipement fault</t>
  </si>
  <si>
    <t>04/27/2026 cell nokia) 27/04/2026 Need BO RAN analysis.;.;(04/27/2026 cell nokia) 27/04/2026 Need BO RAN analysis Closed after reset but FME should check and replace SFP if needed.;.; power issue</t>
  </si>
  <si>
    <t>Edea-Ekite</t>
  </si>
  <si>
    <t>LIT_322</t>
  </si>
  <si>
    <t>Edea</t>
  </si>
  <si>
    <t xml:space="preserve">(04/27/2026 ticket):-INC-20260427-00015438…2026-04-27 21:54:46…FME is trying to get a level0…power issue observed at Cellucam new Camusat support team is managing it we are following up </t>
  </si>
  <si>
    <t>2026-04-27 21 54 46…FME is trying to get a level0…power issue observed at Cellucam new Camusat support team is managing it we are following up</t>
  </si>
  <si>
    <t>Cellucam-New</t>
  </si>
  <si>
    <t>LIT_209</t>
  </si>
  <si>
    <t xml:space="preserve">HIS </t>
  </si>
  <si>
    <t>(04/27/2026 ticket):-INC-20260427-00015432…2026-04-27 21:54:46…FME is trying to get a level0</t>
  </si>
  <si>
    <t>2026-04-27 21 54 46…FME is trying to get a level0</t>
  </si>
  <si>
    <t>Edea-Entree</t>
  </si>
  <si>
    <t>LIT_229</t>
  </si>
  <si>
    <t xml:space="preserve">(04/27/2026 ticket):-INC-20260427-00015436…2026-04-27 21:54:46…FME is trying to get a level0…power issue observed at Cellucam new Camusat support team is managing it we are following up </t>
  </si>
  <si>
    <t>Babylone-IHS</t>
  </si>
  <si>
    <t>LIT_153</t>
  </si>
  <si>
    <t>(04/27/2026 retour IHS);Bodouin is on the site and reported ATS issue ||(04/27/2026 ticket):-INC-20260427-00009869</t>
  </si>
  <si>
    <t>Bodouin is on the site and reported ATS issue</t>
  </si>
  <si>
    <t>Garoua-Djamboutou-II</t>
  </si>
  <si>
    <t>NRD_149</t>
  </si>
  <si>
    <t>(04/27/2026 cell huawei):-27/04/2026 : Besoin d'analyse BO RAN || UBBP in slot 5 : need a reset on site..;..;(04/27/2026 cell huawei):-27/04/2026 : Besoin d'analyse BO RAN || UBBP in slot 5 : need a reset on site</t>
  </si>
  <si>
    <t>04/27/2026 cell huawei) 27/04/2026 Besoin d'analyse BO RAN UBBP in slot 5 need a reset on site.;.;(04/27/2026 cell huawei) 27/04/2026 Besoin d'analyse BO RAN UBBP in slot 5 need a reset on site</t>
  </si>
  <si>
    <t>(04/27/2026 cell huawei):-27/04/2026 : Besoin d'analyse BO RAN || RRU 71 faulty : RF Unit DC Input Power Failure. Verifier l'alimentation de la RRU 71..;..;(04/27/2026 cell huawei):-27/04/2026 : Besoin d'analyse BO RAN || RRU 71 faulty : RF Unit DC Input Power Failure. Verifier l'alimentation de la RRU 71..;..;(04/27/2026 ticket):-INC-20260427-00008527…Others Transmission equipement fault</t>
  </si>
  <si>
    <t>04/27/2026 cell huawei) 27/04/2026 Besoin d'analyse BO RAN RRU 71 faulty RF Unit DC Input Power Failure. Verifier l'alimentation de la RRU 71.;.;(04/27/2026 cell huawei) 27/04/2026 Besoin d'analyse BO RAN RRU 71 faulty RF Unit DC Input Power Failure. Verifier l'alimentation de la RRU 71.;.;</t>
  </si>
  <si>
    <t>Yelwa-MTN-IHS</t>
  </si>
  <si>
    <t>NRD_097</t>
  </si>
  <si>
    <t>(04/27/2026 cell zte):-18/04/2026 : Site down</t>
  </si>
  <si>
    <t>04/27/2026 cell zte) 18/04/2026 Site down</t>
  </si>
  <si>
    <t>(04/27/2026 ocm ran 17h):-27/04/2026 ODU UBT-T 3DB29211ACAA02 faulty commande en cours 
24/04/2026 Besoin d'un fme sur biba pour verifier le status de L ODU 5/1 ..;..;(04/27/2026 ocm ran 11h):-26/04/2026 ODU UBT-T 3DB29211ACAA02 faulty commande en cours 
24/04/2026 Besoin d'un fme sur biba pour verifier le status de L ODU 5/1 ..;..;(04/27/2026 ticket):-INC-20260427-00007620…site already up</t>
  </si>
  <si>
    <t>27/04/2026 ODU UBT-T 3DB29211ACAA02 faulty commande en cours 24/04/2026 Besoin d'un fme sur biba pour verifier le status de L ODU 5/1 26/04/2026 ODU UBT-T 3DB29211ACAA02 faulty commande en cours 24/04/2026 Besoin d'un fme sur biba pour verifier le status de L ODU 5/1 site already up</t>
  </si>
  <si>
    <t>Ngalbidje-MTN-IHS</t>
  </si>
  <si>
    <t>NRD_117</t>
  </si>
  <si>
    <t xml:space="preserve">(04/27/2026 retour IHS): Power issue NUR to be check||  </t>
  </si>
  <si>
    <t>Beedi</t>
  </si>
  <si>
    <t>LIT_127</t>
  </si>
  <si>
    <t>(04/27/2026 retour IHS): Power issue NUR to be check||  (04/27/2026 ticket):-INC-20260427-00011753</t>
  </si>
  <si>
    <t>Mabanda4-IHS</t>
  </si>
  <si>
    <t>LIT_489</t>
  </si>
  <si>
    <t>(04/27/2026 ocm ran 11h):-power status check ongoing..;..;(04/27/2026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t>
  </si>
  <si>
    <t>2026-04-27 10 25 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t>
  </si>
  <si>
    <t>Tchatibali</t>
  </si>
  <si>
    <t>EXN_017</t>
  </si>
  <si>
    <t>(04/27/2026 cell nokia):-27/04/2026 : Need BO RAN analysis..;..;(04/27/2026 cell nokia):-27/04/2026 : Need BO RAN analysis || Closed after reset..;..;(04/27/2026 ocm ran 17h):-power status check ongoing..;..;(04/27/2026 ocm ran 11h):-power status check ongoing..;..;(04/27/2026 ticket):-INC-20260427-00015601…Others Transmission equipement fault</t>
  </si>
  <si>
    <t>04/27/2026 cell nokia) 27/04/2026 Need BO RAN analysis.;.;(04/27/2026 cell nokia) 27/04/2026 Need BO RAN analysis Closed after reset.;.;</t>
  </si>
  <si>
    <t>Limbon-IHS</t>
  </si>
  <si>
    <t>ADM_080</t>
  </si>
  <si>
    <t>Limbon</t>
  </si>
  <si>
    <t>(04/27/2026 Hourly IHS): Idriss is informed and managing with L0. || (04/27/2026 ocm ran 17h):-27/04/2026 fme hipolite actvé eta asap 
Besoin d'un fme sur site pour verifier le le status du MPR et la chaine antennaire de l ODU 3/1 ..;..;(04/27/2026 ticket):-INC-20260427-00008842…2026-04-28 02:57:02…	No Power Issue on site, U =56V and Site on GEN. TX FME Hypolite 694315331 of HUAWEI is informed…Others</t>
  </si>
  <si>
    <t>Idriss is informed and managing with L0. 27/04/2026 fme hipolite actvé eta asap Besoin d'un fme sur site pour verifier le le status du MPR et la chaine antennaire de l ODU 3/1 2026-04-28 02 57 02… No Power Issue on site, U 56V and Site on GEN. TX FME Hypolite 694315331 of HUAWEI is informed…Others</t>
  </si>
  <si>
    <t>Gra-Foulbere-Moussa-yaya</t>
  </si>
  <si>
    <t>NRD_101</t>
  </si>
  <si>
    <t>Garoua-Djalingo-IHS</t>
  </si>
  <si>
    <t>NRD_095</t>
  </si>
  <si>
    <t>Touloum-IHS</t>
  </si>
  <si>
    <t>EXN_125</t>
  </si>
  <si>
    <t>Touloum</t>
  </si>
  <si>
    <t>(04/27/2026 cell nokia):-27/04/2026 : Need BO RAN analysis..;..;(04/27/2026 cell nokia):-27/04/2026 : Need BO RAN analysis || Closed after reset but check and replace FRGU..;..;(04/27/2026 ocm ran 17h):-power status check ongoing..;..;(04/27/2026 ocm ran 11h):-power status check ongoing..;..;(04/27/2026 ticket):-INC-20260427-00014632</t>
  </si>
  <si>
    <t>04/27/2026 cell nokia) 27/04/2026 Need BO RAN analysis.;.;(04/27/2026 cell nokia) 27/04/2026 Need BO RAN analysis Closed after reset but check and replace FRGU.;.;</t>
  </si>
  <si>
    <t>Ngd-Baladji-II-IHS</t>
  </si>
  <si>
    <t>ADM_158</t>
  </si>
  <si>
    <t>Yokadouma</t>
  </si>
  <si>
    <t>EST_013</t>
  </si>
  <si>
    <t xml:space="preserve">(04/27/2026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..;..;(04/27/2026 cell nokia):-27/04/2026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</si>
  <si>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04/27/2026 cell nokia) 27/04/2026 FME a recu la SFP ce jour Intervention prevue pour demain 27/04/2026 24/04/2026 Tickets creer au FME pour la commande de la SFP et la F.O 23/04/2026 Check and replace SFP on FSMF FXDB connection FME activer 22/04/2026 Closed after reset but check and replace SFP on FSMF&lt;&gt;FXDB connection 22/04/2026 FME a remplacer la ABIA hier mais l'alarme persiste. Le point a ete transmis a lexpert MOHAN pour une analyse plus appronfondie 21/04/2026 Intervention ce jour apres YOLA FME presentement a YOLA FME sur site mIntervention en cours 20/04/2026 Intervention apres YOLA ETA 21042026 17/04/2026 Tickets creer au FME pour la commande de la ABIA ABIA faulty 16/04/2026 Interventon ce jour FME etait sur Tikondi il a finit tres tard il interviendra demain sur Yokadouma 15/04/2026 Check breaker and interconnection FXED sfp, optical fiber) between system and radio module, swap its if needed Action avec le level 0 en cours Action avec le Level 0 non abouttis Le FME se rendrs sur site demain matin ETA 16/04/2026 04/27/2026 cell nokia) 27/04/2026 FME a recu la SFP ce jour Intervention prevue pour demain 27/04/2026 24/04/2026 Tickets creer au FME pour la commande de la SFP et la F.O 23/04/2026 Check and replace SFP on FSMF FXDB connection FME activer 22/04/2026 Closed after reset but check and replace SFP on FSMF&lt;&gt;FXDB connection 22/04/2026 FME a remplacer la ABIA hier mais l'alarme persiste. Le point a ete transmis a lexpert MOHAN pour une analyse plus appronfondie 21/04/2026 Intervention ce jour apres YOLA FME presentement a YOLA FME sur site mIntervention en cours 20/04/2026 Intervention apres YOLA ETA 21042026 17/04/2026 Tickets creer au FME pour la commande de la ABIA ABIA faulty 16/04/2026 Interventon ce jour FME etait sur Tikondi il a finit tres tard il interviendra demain sur Yokadouma 15/04/2026 Check breaker and interconnection FXED sfp, optical fiber) between system and radio module, swap its if needed Action avec le level 0 en cours Action avec le Level 0 non abouttis Le FME se rendrs sur site demain matin ETA 16/04/2026</t>
  </si>
  <si>
    <t xml:space="preserve">(04/27/2026 ocm ran 17h):-27/04/2026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..;..;(04/27/2026 ocm ran 11h):-27/04/2026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</si>
  <si>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</si>
  <si>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(04/27/2026 ocm ran 17h):-27.04.26;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DG..;..;(04/27/2026 ocm ran 11h):-27.04.26; Access banned by Separatist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</si>
  <si>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27.04.26; Access banned by Separatist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 27.04.26; Access banned by Separatist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t>
  </si>
  <si>
    <t>Mansouen</t>
  </si>
  <si>
    <t>OST_293</t>
  </si>
  <si>
    <t>(04/27/2026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Modem..;..;(04/27/2026 cell nokia):-23/04/2026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Modem..;..;(04/27/2026 ticket):-INC-20260427-00000534…Others Transmission equipement fault</t>
  </si>
  <si>
    <t>04/27/2026 cell nokia) 23/04/2026 Need BO RAN analysis Site was down due to transmission Feedback BO TX Bien vouloir noter que presentement cote TX, le site est up. Cependant quelques alarmes conduisent a la suspicion d’un probleme d’energie Bien vouloir verifier le statut du power du site, si Power OK, Bien vouloir envoyer un FME sur site afin de reseter le Modem.;.;(04/27/2026 cell nokia) 23/04/2026 Need BO RAN analysis Site was down due to transmission Feedback BO TX Bien vouloir noter que presentement cote TX, le site est up. Cependant quelques alarmes conduisent a la suspicion d’un probleme d’energie Bien vouloir verifier le statut du power du site, si Power OK, Bien vouloir envoyer un FME sur site afin de reseter le Modem.;.;</t>
  </si>
  <si>
    <t>Bascheo-IHS</t>
  </si>
  <si>
    <t>NRD_015</t>
  </si>
  <si>
    <t>Bascheo</t>
  </si>
  <si>
    <t xml:space="preserve">(04/27/2026 ocm ran 17h):-27/04/2026 Retour projet en attente du GO de Fadimatou 
24/04/2026 Travaux de swap en cours ..;..;(04/27/2026 ocm ran 11h):-27/04/2026 Retour projet en attente du GO de Fadimatou 
24/04/2026 Travaux de swap en cours </t>
  </si>
  <si>
    <t>27/04/2026 Retour projet en attente du GO de Fadimatou 24/04/2026 Travaux de swap en cours 27/04/2026 Retour projet en attente du GO de Fadimatou 24/04/2026 Travaux de swap en cours</t>
  </si>
  <si>
    <t>(04/27/2026 ticket):-INC-20260427-00005636</t>
  </si>
  <si>
    <t>Ngd-ZI</t>
  </si>
  <si>
    <t>ADM_033</t>
  </si>
  <si>
    <t>Bonga</t>
  </si>
  <si>
    <t>EST_073</t>
  </si>
  <si>
    <t>(04/27/2026 retour IHS);Our stephane is managing with level zero ||(04/27/2026 ocm ran 17h):-27/04/2026 Besoin d'un fme sur site pour verifier le le status du MPR et la chaine antennaire de l ODU 4/1 FME HIPOLITE ACTIVE..;..;(04/27/2026 ticket):-INC-20260427-00008942…2026-04-27 18:31:56…No power Issue on site, U = 52.9V and Site is on GEN. TX FME Hypolithe 694315331 / Huawei is informed.…Others Transmission equipement fault</t>
  </si>
  <si>
    <t>Our stephane is managing with level zero 27/04/2026 Besoin d'un fme sur site pour verifier le le status du MPR et la chaine antennaire de l ODU 4/1 FME HIPOLITE ACTIVE.;.; 2026-04-27 18 31 56…No power Issue on site, U 52.9V and Site is on GEN. TX FME Hypolithe 694315331 Huawei is informed.…</t>
  </si>
  <si>
    <t>(04/27/2026 ocm ran 11h):-power status check ongoing..;..;(04/27/2026 ticket):-INC-20260427-00006622…2026-04-27 12:17:28…fme will be on site ETA ASAP</t>
  </si>
  <si>
    <t>2026-04-27 12 17 28…fme will be on site ETA ASAP</t>
  </si>
  <si>
    <t>(04/27/2026 ticket):-INC-20260427-00012651…Others Transmission equipement fault, 04/27/2026: hardware issue,  site with GPS issue (alarm : TDD down 09Apr 02pm)</t>
  </si>
  <si>
    <t>Nkambe</t>
  </si>
  <si>
    <t>NRO_005</t>
  </si>
  <si>
    <t>(04/27/2026 ticket):-INC-20260427-00002893…2026-04-27 06:16:37…No power issue U=51V load=31A/no action done…generator issue on site …Others Transmission equipement fault</t>
  </si>
  <si>
    <t>2026-04-27 06 16 37…No power issue U=51V load=31A/no action done…generator issue on site</t>
  </si>
  <si>
    <t>Admin</t>
  </si>
  <si>
    <t>EST_108</t>
  </si>
  <si>
    <t>Bastos-Bethesda</t>
  </si>
  <si>
    <t>CTR_474</t>
  </si>
  <si>
    <t>(04/27/2026 ticket):-INC-20260427-00002736…Grid outage gen failed to start due to primiomg pump faulty//We change priming pump and site on gen…Grid outage gen failed to start due to primiomg pump faulty//We change priming pump and site on gen…GE Fault</t>
  </si>
  <si>
    <t>Grid outage gen failed to start due to primiomg pump faulty//We change priming pump and site on gen…Grid outage gen failed to start due to primiomg pump faulty//We change priming pump and site on gen…GE Fault</t>
  </si>
  <si>
    <t>(04/27/2026 ticket):-INC-20260427-00008851, 04/27/2026: hardware issue,  site with GPS issue (alarm : TDD down 09Apr 02pm)</t>
  </si>
  <si>
    <t>Kika-IHS</t>
  </si>
  <si>
    <t>EST_115</t>
  </si>
  <si>
    <t>Kika</t>
  </si>
  <si>
    <t xml:space="preserve">(04/27/2026 ocm ran 11h):-27/04/2026 FM manage avec le level 0 sur moloundou ETA=12H UTC 
26/04/2026 Need FME on the site to check iDirect &amp; IBUC status, FME Hugues Hachua activated ETA ASAP </t>
  </si>
  <si>
    <t>27/04/2026 FM manage avec le level 0 sur moloundou ETA=12H UTC 26/04/2026 Need FME on the site to check iDirect IBUC status, FME Hugues Hachua activated ETA ASAP</t>
  </si>
  <si>
    <t xml:space="preserve">(04/27/2026 cell nokia):-
27/04/2026 : Ghost town 
24/04/2026 : Acess issue 
22/04/2026 : Need BO RAN analysis || Check and replace ABIA || Acess issue ..;..;(04/27/2026 cell nokia):-
24/04/2026 : Acess issue 
22/04/2026 : Need BO RAN analysis || Check and replace ABIA || Acess issue </t>
  </si>
  <si>
    <t>04/27/2026 cell nokia) 27/04/2026 Ghost town 24/04/2026 Acess issue 22/04/2026 Need BO RAN analysis Check and replace ABIA Acess issue 04/27/2026 cell nokia) 24/04/2026 Acess issue 22/04/2026 Need BO RAN analysis Check and replace ABIA Acess issue</t>
  </si>
  <si>
    <t>Zhoa</t>
  </si>
  <si>
    <t>NRO_030</t>
  </si>
  <si>
    <t>Fungom</t>
  </si>
  <si>
    <t>(04/27/2026 cell nokia):-
27/04/2026 : Ghost town 
23/04/2026 : Check and replace ABIA || Acess issue || UP After remote reset..;..;(04/27/2026 cell nokia):-23/04/2026 : Check and replace ABIA || Acess issue || UP After remote reset</t>
  </si>
  <si>
    <t>04/27/2026 cell nokia) 27/04/2026 Ghost town 23/04/2026 Check and replace ABIA Acess issue UP After remote reset.;.;(04/27/2026 cell nokia) 23/04/2026 Check and replace ABIA Acess issue UP After remote reset</t>
  </si>
  <si>
    <t>Makor</t>
  </si>
  <si>
    <t>ADM_015</t>
  </si>
  <si>
    <t>(04/27/2026 cell nokia):-27/04/2026 : Need BO RAN analysis..;..;(04/27/2026 cell nokia):-27/04/2026 : Need BO RAN analysis || Closed after reset but power check needed</t>
  </si>
  <si>
    <t>04/27/2026 cell nokia) 27/04/2026 Need BO RAN analysis.;.;(04/27/2026 cell nokia) 27/04/2026 Need BO RAN analysis Closed after reset but power check needed</t>
  </si>
  <si>
    <t>Matsari</t>
  </si>
  <si>
    <t>CTR_301</t>
  </si>
  <si>
    <t>(04/27/2026 cell nokia):-27/04/2026 : Need BO RAN analysis..;..;(04/27/2026 cell nokia):-27/04/2026 : Need BO RAN analysis || Closed after reset but FME should check and replace FBBC</t>
  </si>
  <si>
    <t>04/27/2026 cell nokia) 27/04/2026 Need BO RAN analysis.;.;(04/27/2026 cell nokia) 27/04/2026 Need BO RAN analysis Closed after reset but FME should check and replace FBBC</t>
  </si>
  <si>
    <t>(04/27/2026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,5,6..;..;(04/27/2026 cell nokia):-20/04/2026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</si>
  <si>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04/27/2026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5,6.;.;(04/27/2026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t>
  </si>
  <si>
    <t>(04/27/2026 ocm ran 17h):-27/04/2026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managing..;..;(04/27/2026 ocm ran 11h):-27/04/2026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</si>
  <si>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</si>
  <si>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(04/27/2026 cell nokia):-27/04/2026 : Need BO RAN analysis..;..;(04/27/2026 cell nokia):-27/04/2026 : Need BO RAN analysis || Check and clean jumper, port 2 &amp; 3 of AHPMDA || FME dominique activer || ETA : 28/04/2026 </t>
  </si>
  <si>
    <t>04/27/2026 cell nokia) 27/04/2026 Need BO RAN analysis.;.;(04/27/2026 cell nokia) 27/04/2026 Need BO RAN analysis Check and clean jumper, port 2 3 of AHPMDA ETA 28/04/2026</t>
  </si>
  <si>
    <t>(04/27/2026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</si>
  <si>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04/27/2026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t>
  </si>
  <si>
    <t>(04/27/2026 cell nokia):-27/04/2026 : Need BO RAN analysis ..;..;(04/27/2026 ticket):-INC-20260427-00015274…2026-04-27 22:47:36…Site U-relay…Site Satelitaire Forte pluie dans la zone .
Site up en observation.</t>
  </si>
  <si>
    <t>04/27/2026 cell nokia) 27/04/2026 Need BO RAN analysis 2026-04-27 22 47 36…Site U-relay…Site Satelitaire Forte pluie dans la zone Site up en observation.</t>
  </si>
  <si>
    <t>Kumba-CCAS-IHS</t>
  </si>
  <si>
    <t>SUO_109</t>
  </si>
  <si>
    <t>Kye-Ossi-MTN-IHS</t>
  </si>
  <si>
    <t>SUD_026</t>
  </si>
  <si>
    <t>Kye-Ossi</t>
  </si>
  <si>
    <t>(04/27/2026 ticket):-INC-20260427-00001776…2026-04-27 04:42:00…SITE UP Feedback is awaited</t>
  </si>
  <si>
    <t>2026-04-27 04 42 00…SITE UP Feedback is awaited</t>
  </si>
  <si>
    <t>Tinto</t>
  </si>
  <si>
    <t>SUO_040</t>
  </si>
  <si>
    <t>(04/27/2026 ocm ran 17h):-27/04/2026 FME stanley activé manage avec le level 0
Besoi d'un fme pour verifier le status de RTN ..;..;(04/27/2026 ocm ran 11h):-power status check ongoing</t>
  </si>
  <si>
    <t>27/04/2026 FME stanley activé manage avec le level 0 Besoi d'un fme pour verifier le status de RTN power status check ongoing</t>
  </si>
  <si>
    <t>Ngd-Yarban</t>
  </si>
  <si>
    <t>ADM_073</t>
  </si>
  <si>
    <t>Badjonre-IHS</t>
  </si>
  <si>
    <t>EXN_152</t>
  </si>
  <si>
    <t>Badjonre</t>
  </si>
  <si>
    <t>(04/27/2026 cell nokia):-27/04/2026 : Need BO RAN analysis  || Closed after reset but FME should check ABIA/BBMOD-3 module..;..;(04/27/2026 ticket):-INC-20260427-00011947</t>
  </si>
  <si>
    <t>04/27/2026 cell nokia) 27/04/2026 Need BO RAN analysis Closed after reset but FME should check ABIA/BBMOD-3 module.;.;</t>
  </si>
  <si>
    <t>Nkololoun-Marche</t>
  </si>
  <si>
    <t>LIT_548</t>
  </si>
  <si>
    <t>(04/27/2026 ticket):-INC-20260427-00011534</t>
  </si>
  <si>
    <t>Newb-Srce-Quartier</t>
  </si>
  <si>
    <t>LIT_095</t>
  </si>
  <si>
    <t>(04/27/2026 retour IHS): Power issue NUR to be check||  (04/27/2026 ticket):-INC-20260427-00011264</t>
  </si>
  <si>
    <t>Edea-Lom</t>
  </si>
  <si>
    <t>LIT_321</t>
  </si>
  <si>
    <t>(04/27/2026 ticket):-INC-20260427-00001384…2026-04-27 03:44:25…FME is on the way to the site, ETA 05:20 AM</t>
  </si>
  <si>
    <t>2026-04-27 03 44 25…FME is on the way to the site, ETA 05 20 AM</t>
  </si>
  <si>
    <t>Mini-Ferme</t>
  </si>
  <si>
    <t>CTR_050</t>
  </si>
  <si>
    <t>(04/27/2026 cell nokia):-
27/04/2026 : Ghost town 
23/04/2026 : Check breaker and  interconnection AREA(sfp, optical fiber) between system and radio module, swap its if needed|| ETA : 24/04/2026 || UP After remote reset..;..;(04/27/2026 cell nokia):-23/04/2026 : Check breaker and  interconnection AREA(sfp, optical fiber) between system and radio module, swap its if needed|| ETA : 24/04/2026 || UP After remote reset</t>
  </si>
  <si>
    <t>04/27/2026 cell nokia) 27/04/2026 Ghost town 23/04/2026 Check breaker and interconnection AREA(sfp, optical fiber) between system and radio module, swap its if needed ETA 24/04/2026 UP After remote reset.;.;(04/27/2026 cell nokia) 23/04/2026 Check breaker and interconnection AREA(sfp, optical fiber) between system and radio module, swap its if needed ETA 24/04/2026 UP After remote reset</t>
  </si>
  <si>
    <t>(04/27/2026 ticket):-INC-20260427-00016405…2026-04-27 22:06:52… grid only site probable grid outage / FME will check</t>
  </si>
  <si>
    <t>2026-04-27 22 06 52… grid only site probable grid outage FME will check</t>
  </si>
  <si>
    <t>Garoua-Djamboutou-Village-IHS</t>
  </si>
  <si>
    <t>NRD_086</t>
  </si>
  <si>
    <t>(04/27/2026 ticket):-INC-20260427-00002826…Rectifiers hanging due to base connectors faulty. // Rectifiers reset.…Rectifiers hanging due to base connectors faulty. // Rectifiers reset.…GE Fault</t>
  </si>
  <si>
    <t>Rectifiers hanging due to base connectors faulty. Rectifiers reset.…Rectifiers hanging due to base connectors faulty. Rectifiers reset.…GE Fault</t>
  </si>
  <si>
    <t>Santchou</t>
  </si>
  <si>
    <t>OST_038</t>
  </si>
  <si>
    <t xml:space="preserve">(04/27/2026 cell nokia):-27/04/2026 : Intervention prevu pour ce jour ||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</si>
  <si>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04/27/2026 cell nokia) 27/04/2026 Intervention prevu pour ce jour 24/04/2026 Cde de la AZHA passe 23/04/2026 FME a travailler hier nouvelle alarme apparue FME activer ETA 11H Feedback FME AZHA faulty Cde en cours 22/04/206 Intervention ce jour FME sur site Cell up 21/04/2026 Check breaker and interconnection AZHA sfp, optical fiber) between system and radio module, swap its if needed pour investigation</t>
  </si>
  <si>
    <t>Mabanda-New</t>
  </si>
  <si>
    <t>LIT_791</t>
  </si>
  <si>
    <t>(04/27/2026 ticket):-INC-20260427-00010598…power Grid outage here the site is only on Grid …Others Transmission equipement fault</t>
  </si>
  <si>
    <t>power Grid outage here the site is only on Grid</t>
  </si>
  <si>
    <t>(04/27/2026 ticket):-INC-20260427-00010600</t>
  </si>
  <si>
    <t>Salapoumbe-Ville-MTN-IHS</t>
  </si>
  <si>
    <t>EST_103</t>
  </si>
  <si>
    <t>SALAPOUMBE</t>
  </si>
  <si>
    <t xml:space="preserve">(04/27/2026 cell nokia):-27/04/2026 : Need BO RAN analysis || Check and replace FXDB || FME Hugues activer ..;..;(04/27/2026 cell nokia):-27/04/2026 : Need BO RAN analysis || Check and replace FXDB || FME Hugues activer || Un reset a ete effectuer mais les cellules demeures down || FME ira sur site demain 28/04/2026 </t>
  </si>
  <si>
    <t>04/27/2026 cell nokia) 27/04/2026 Need BO RAN analysis Check and replace FXDB 04/27/2026 cell nokia) 27/04/2026 Need BO RAN analysis Check and replace FXDB Un reset a ete effectuer mais les cellules demeures down FME ira sur site demain 28/04/2026</t>
  </si>
  <si>
    <t>Bda-Bus-Station-IHS</t>
  </si>
  <si>
    <t>NRO_066</t>
  </si>
  <si>
    <t>(04/27/2026 Hourly IHS): Our FME PETER is managing with level zero, Smuel EKOUELLE is informed</t>
  </si>
  <si>
    <t>Our FME PETER is managing with level zero, Smuel EKOUELLE is informed</t>
  </si>
  <si>
    <t>Ngd-Stade</t>
  </si>
  <si>
    <t>ADM_057</t>
  </si>
  <si>
    <t>Pain-Magique</t>
  </si>
  <si>
    <t>LIT_381</t>
  </si>
  <si>
    <t>(04/27/2026 retour IHS): Power issue NUR to be check||  (04/27/2026 ticket):-INC-20260427-00013183</t>
  </si>
  <si>
    <t>Ndoumkain</t>
  </si>
  <si>
    <t>OST_207</t>
  </si>
  <si>
    <t>(04/27/2026 Hourly IHS): fme ERIC is managing with level 0, ETA 06;20PM, Thibault is informed</t>
  </si>
  <si>
    <t>fme ERIC is managing with level 0, ETA 06;20PM, Thibault is informed</t>
  </si>
  <si>
    <t xml:space="preserve">(04/27/2026 cell nokia):-27/04/2026 : Need BO RAN analysis..;..;(04/27/2026 cell nokia):-27/04/2026 : Need BO RAN analysis || Check and clean jumper, port 1 of FXDB || Access issue </t>
  </si>
  <si>
    <t>04/27/2026 cell nokia) 27/04/2026 Need BO RAN analysis.;.;(04/27/2026 cell nokia) 27/04/2026 Need BO RAN analysis Check and clean jumper, port 1 of FXDB Access issue</t>
  </si>
  <si>
    <t>Garoua-Ngalbidje-IHS</t>
  </si>
  <si>
    <t>NRD_085</t>
  </si>
  <si>
    <t>(04/27/2026 ticket):-INC-20260427-00008339…No power Issue on site u:52.5v site on Grid , FME TX jean paul 697888041/Huawei is informed…Auto TT closure RCA…GE Fault</t>
  </si>
  <si>
    <t>No power Issue on site u 52.5v site on Grid FME TX jean paul 697888041/Huawei is informed…Auto TT closure RCA…GE Fault</t>
  </si>
  <si>
    <t xml:space="preserve">(04/27/2026 cell nokia):-27/04/2026 : Need BO RAN analysis..;..;(04/27/2026 cell nokia):-27/04/2026 : Need BO RAN analysis || Check and clean jumper, port 1 of FRGU || ETA : 28/04/2026 </t>
  </si>
  <si>
    <t>04/27/2026 cell nokia) 27/04/2026 Need BO RAN analysis.;.;(04/27/2026 cell nokia) 27/04/2026 Need BO RAN analysis Check and clean jumper, port 1 of FRGU ETA 28/04/2026</t>
  </si>
  <si>
    <t>Wouri</t>
  </si>
  <si>
    <t>LIT_087</t>
  </si>
  <si>
    <t>Tsekenis</t>
  </si>
  <si>
    <t>LIT_025</t>
  </si>
  <si>
    <t>La-Falaise</t>
  </si>
  <si>
    <t>LIT_041</t>
  </si>
  <si>
    <t>(04/27/2026 ticket):-INC-20260427-00014431…2026-04-27 20:05:08…Grid outage and Grid only site / Grid return awaited</t>
  </si>
  <si>
    <t>2026-04-27 20 05 08…Grid outage and Grid only site Grid return awaited</t>
  </si>
  <si>
    <t>Garoua-Bockle-IHS</t>
  </si>
  <si>
    <t>NRD_094</t>
  </si>
  <si>
    <t>(04/27/2026 retour IHS): Power issue NUR to be check||  (04/27/2026 ocm ran 11h):-power status check ongoing</t>
  </si>
  <si>
    <t>Power issue NUR to be check power status check ongoing</t>
  </si>
  <si>
    <t>Garoua-H-Plateau</t>
  </si>
  <si>
    <t>NRD_175</t>
  </si>
  <si>
    <t>Ebolowa-Si</t>
  </si>
  <si>
    <t>SUD_227</t>
  </si>
  <si>
    <t>Ebolowa</t>
  </si>
  <si>
    <t>Bekoko-IHS</t>
  </si>
  <si>
    <t>LIT_477</t>
  </si>
  <si>
    <t>(04/27/2026 retour IHS): Power issue NUR to be check||  (04/27/2026 ocm ran 17h):-power status check ongoing..;..;(04/27/2026 ticket):-INC-20260427-00013625</t>
  </si>
  <si>
    <t>(04/27/2026 ticket):-INC-20260427-00002701…Grid outage, Site went down before Gen start due to Poor backup // Gen started automatically…Grid outage, Site went down before Gen start due to Poor backup // Gen started automatically…GE Fault</t>
  </si>
  <si>
    <t>Grid outage, Site went down before Gen start due to Poor backup Gen started automatically…Grid outage, Site went down before Gen start due to Poor backup Gen started automatically…GE Fault</t>
  </si>
  <si>
    <t>Mazavou</t>
  </si>
  <si>
    <t>EXN_215</t>
  </si>
  <si>
    <t>Kalfou</t>
  </si>
  <si>
    <t>(04/27/2026 ticket):-INC-20260427-00001132…2026-04-27 05:50:16…Hello Victorine.
FME manage avec le level 0 qui est sur site et en parallèle il est aussi en chemin ETA 09 :00.…RCA attendu de CAMUSAT…Others…Probleme d'energie</t>
  </si>
  <si>
    <t>2026-04-27 05 50 16…Hello Victorine. FME manage avec le level 0 qui est sur site et en parallèle il est aussi en chemin ETA 09 00.…RCA attendu de CAMUSAT…Others…Probleme d'energie</t>
  </si>
  <si>
    <t>Maroua-Pitouare-IHS</t>
  </si>
  <si>
    <t>EXN_145</t>
  </si>
  <si>
    <t>Minkwele-IHS</t>
  </si>
  <si>
    <t>LIT_479</t>
  </si>
  <si>
    <t>Minkwele</t>
  </si>
  <si>
    <t>Mboulai-MTN</t>
  </si>
  <si>
    <t>ADM_029</t>
  </si>
  <si>
    <t>Mboulai</t>
  </si>
  <si>
    <t>(04/27/2026 cell nokia):-27/04/2026 : Need BO RAN analysis..;..;(04/27/2026 cell nokia):-27/04/2026 : Need BO RAN analysis || Check and clean jumper, port 2 of FRGU</t>
  </si>
  <si>
    <t>04/27/2026 cell nokia) 27/04/2026 Need BO RAN analysis.;.;(04/27/2026 cell nokia) 27/04/2026 Need BO RAN analysis Check and clean jumper, port 2 of FRGU</t>
  </si>
  <si>
    <t>Maroua-Lougol</t>
  </si>
  <si>
    <t>EXN_084</t>
  </si>
  <si>
    <t>Garoua-Foulbere</t>
  </si>
  <si>
    <t>NRD_045</t>
  </si>
  <si>
    <t>(04/27/2026 ticket):-INC-20260427-00006125…Auto TT closure RCA…GE Fault</t>
  </si>
  <si>
    <t>Auto TT closure RCA…GE Fault</t>
  </si>
  <si>
    <t>(04/27/2026 ticket):-INC-20260427-00010855…	rectifier hanging// rectifier reset…Auto TT closure RCA…GE Fault</t>
  </si>
  <si>
    <t>rectifier hanging// rectifier reset…Auto TT closure RCA…GE Fault</t>
  </si>
  <si>
    <t>Nkolmekong-YDE-HIS</t>
  </si>
  <si>
    <t>CTR_523</t>
  </si>
  <si>
    <t>(04/27/2026 cell zte):-27/04/2026 : Besoin d'analyse BO RAN..;..;(04/27/2026 cell zte):-27/04/2026 : Besoin d'analyse BO RAN || Fme should check and clean port 4 on RRU 52..;..;(04/27/2026 ticket):-INC-20260427-00011388…Network issue …Others Transmission equipement fault</t>
  </si>
  <si>
    <t>04/27/2026 cell zte) 27/04/2026 Besoin d'analyse BO RAN.;.;(04/27/2026 cell zte) 27/04/2026 Besoin d'analyse BO RAN Fme should check and clean port 4 on RRU 52.;.; Network issue</t>
  </si>
  <si>
    <t>Olembe-Terminus</t>
  </si>
  <si>
    <t>CTR_383</t>
  </si>
  <si>
    <t>(04/27/2026 ticket):-INC-20260427-00011396…power fluctuation in site …Others Transmission equipement fault</t>
  </si>
  <si>
    <t>power fluctuation in site</t>
  </si>
  <si>
    <t>(04/27/2026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ticket):-INC-20260427-00001913…up après avoir redémarrer le groupe…Others</t>
  </si>
  <si>
    <t>04/27/2026 cell nokia)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04/27/2026 cell nokia)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up après avoir redémarrer le groupe…Others</t>
  </si>
  <si>
    <t>Bomono-ba-mbengue-IHS</t>
  </si>
  <si>
    <t>LIT_790</t>
  </si>
  <si>
    <t>Dibombari</t>
  </si>
  <si>
    <t>(04/27/2026 ocm ran 17h):-power status check ongoing..;..;(04/27/2026 ticket):-INC-20260427-00013633…Power issue 
Technicien power suit le point …Others Transmission equipement fault</t>
  </si>
  <si>
    <t>Power issue Technicien power suit le point</t>
  </si>
  <si>
    <t>(04/27/2026 cell nokia):-27/04/2026 : Intervention plan for 29/04/2026 
24/04/2026 : Check and clean FRGU ant 5  || FME charlie activer ||Attende du Work Permis ..;..;(04/27/2026 cell nokia):-27/04/2026 : Intervention plan for 29/04/2026 
24/04/2026 : Check and clean FRGU ant 5  || FME charlie activer ||Attende du Work Permis ..;..;(04/27/2026 ocm ran 11h):-power status check ongoing</t>
  </si>
  <si>
    <t>04/27/2026 cell nokia) 27/04/2026 Intervention plan for 29/04/2026 24/04/2026 Check and clean FRGU ant 5 Attende du Work Permis 04/27/2026 cell nokia) 27/04/2026 Intervention plan for 29/04/2026 24/04/2026 Check and clean FRGU ant 5 Attende du Work Permis power status check ongoing</t>
  </si>
  <si>
    <t>Garoua-Foulbere-IV</t>
  </si>
  <si>
    <t>NRD_067</t>
  </si>
  <si>
    <t>China-Embassy-IHS</t>
  </si>
  <si>
    <t>CTR_874</t>
  </si>
  <si>
    <t>(04/27/2026 retour IHS): Power issue NUR to be check||  (04/27/2026 ticket):-INC-20260427-00003026…Others Transmission equipement fault</t>
  </si>
  <si>
    <t>Ngbetnsouen</t>
  </si>
  <si>
    <t>OST_219</t>
  </si>
  <si>
    <t>(04/27/2026 ticket):-INC-20260427-00011115…No power issue, U=54.9V site on Grid // TX FME Willy 691145053 of Huawei is informed.…GE Fault</t>
  </si>
  <si>
    <t>No power issue, U=54.9V site on Grid TX FME Willy 691145053 of Huawei is informed.…GE Fault</t>
  </si>
  <si>
    <t>(04/27/2026 cell huawei):-27/04/2026 : Besoin d'analyse BO RAN || Configured Capacity Limit Exceeding Licensed Limit..;..;(04/27/2026 cell huawei):-27/04/2026 : Besoin d'analyse BO RAN || Configured Capacity Limit Exceeding Licensed Limit</t>
  </si>
  <si>
    <t>04/27/2026 cell huawei) 27/04/2026 Besoin d'analyse BO RAN Configured Capacity Limit Exceeding Licensed Limit.;.;(04/27/2026 cell huawei) 27/04/2026 Besoin d'analyse BO RAN Configured Capacity Limit Exceeding Licensed Limit</t>
  </si>
  <si>
    <t>Ngodi-Cimetiere</t>
  </si>
  <si>
    <t>LIT_411</t>
  </si>
  <si>
    <t>Ndobo-Rail</t>
  </si>
  <si>
    <t>LIT_260</t>
  </si>
  <si>
    <t>Ekoudou-New</t>
  </si>
  <si>
    <t>CTR_539</t>
  </si>
  <si>
    <t>(04/27/2026 retour IHS): Power issue NUR to be check||  (04/27/2026 ticket):-INC-20260427-00003027…Others Transmission equipement fault</t>
  </si>
  <si>
    <t>Bafou-Zinkop</t>
  </si>
  <si>
    <t>OST_069</t>
  </si>
  <si>
    <t>Bafou</t>
  </si>
  <si>
    <t>(04/27/2026 Hourly IHS): FME Brice is informed and managing</t>
  </si>
  <si>
    <t>FME Brice is informed and managing</t>
  </si>
  <si>
    <t>(04/27/2026 ticket):-INC-20260427-00004084…Several Grid fluctuations, No RCP. // Grid stabilized…Several Grid fluctuations, No RCP. // Grid stabilized…GE Fault</t>
  </si>
  <si>
    <t>Several Grid fluctuations, No RCP. Grid stabilized…Several Grid fluctuations, No RCP. Grid stabilized…GE Fault</t>
  </si>
  <si>
    <t>Maroua-Ouro-Bah</t>
  </si>
  <si>
    <t>EXN_083</t>
  </si>
  <si>
    <t>Number49-MTN</t>
  </si>
  <si>
    <t>NRO_261</t>
  </si>
  <si>
    <t>Number49</t>
  </si>
  <si>
    <t>(04/27/2026 ticket):-INC-20260427-00004772…2026-04-27 10:33:57…Rectifiers hanging // Rectifiers reset…Rectifiers hanging // Rectifiers reset…Others Transmission equipement fault</t>
  </si>
  <si>
    <t>2026-04-27 10 33 57…Rectifiers hanging Rectifiers reset…Rectifiers hanging Rectifiers reset…</t>
  </si>
  <si>
    <t>Benakuma</t>
  </si>
  <si>
    <t>NRO_233</t>
  </si>
  <si>
    <t>(04/27/2026 ticket):-INC-20260427-00010743…power issue …Others Transmission equipement fault</t>
  </si>
  <si>
    <t>power issue</t>
  </si>
  <si>
    <t>Domayo</t>
  </si>
  <si>
    <t>EXN_054</t>
  </si>
  <si>
    <t>Douche</t>
  </si>
  <si>
    <t>LIT_580</t>
  </si>
  <si>
    <t>(04/27/2026 cell nokia):-27/04/2026 : Check breaker and  interconnection AREA(sfp, optical fiber) between system and radio module, swap its if needed..;..;(04/27/2026 ticket):-INC-20260427-00004769…2026-04-27 10:33:57…Rectifiers hanging // Rectifiers reset…Rectifiers hanging // Rectifiers reset…Others Transmission equipement fault</t>
  </si>
  <si>
    <t>04/27/2026 cell nokia) 27/04/2026 Check breaker and interconnection AREA(sfp, optical fiber) between system and radio module, swap its if needed.;.; 2026-04-27 10 33 57…Rectifiers hanging Rectifiers reset…Rectifiers hanging Rectifiers reset…</t>
  </si>
  <si>
    <t>Ngd-Mbideng-IHS</t>
  </si>
  <si>
    <t>ADM_157</t>
  </si>
  <si>
    <t>(04/27/2026 ticket):-INC-20260427-00011465…	Bad grid voltage, RCP malfunction // Started Gen manually…GE Fault</t>
  </si>
  <si>
    <t>Bad grid voltage, RCP malfunction Started Gen manually…GE Fault</t>
  </si>
  <si>
    <t>Ngd-EPC-IHS</t>
  </si>
  <si>
    <t>ADM_077</t>
  </si>
  <si>
    <t>Dembo</t>
  </si>
  <si>
    <t>NRD_024</t>
  </si>
  <si>
    <t>(04/27/2026 retour IHS): Power issue NUR to be check||  (04/27/2026 ticket):-INC-20260427-00011835…Others Transmission equipement fault</t>
  </si>
  <si>
    <t>Olembe-CAMTEL</t>
  </si>
  <si>
    <t>CTR_861</t>
  </si>
  <si>
    <t>(04/27/2026 ticket):-INC-20260427-00011378…site Grid onlyGrid Outage …Others Transmission equipement fault</t>
  </si>
  <si>
    <t>site Grid onlyGrid Outage</t>
  </si>
  <si>
    <t>Garoua-Lycee-Technique-MTN</t>
  </si>
  <si>
    <t>NRD_063</t>
  </si>
  <si>
    <t>Limbe-Semme-Beach-MTN</t>
  </si>
  <si>
    <t>SUO_082</t>
  </si>
  <si>
    <t>(04/27/2026 Hourly IHS): Ulrich is going to site ETA 09:30.</t>
  </si>
  <si>
    <t>Ulrich is going to site ETA 09 30.</t>
  </si>
  <si>
    <t>Garoua-Ray-Re</t>
  </si>
  <si>
    <t>NRD_062</t>
  </si>
  <si>
    <t>Kouba-MTN-IHS</t>
  </si>
  <si>
    <t>EST_094</t>
  </si>
  <si>
    <t>Kouba</t>
  </si>
  <si>
    <t>(04/27/2026 retour IHS): Power issue NUR to be check||  (04/27/2026 ocm ran 11h):-power status check ongoing..;..;(04/27/2026 ticket):-INC-20260427-00007085…Others Transmission equipement fault</t>
  </si>
  <si>
    <t>Palar</t>
  </si>
  <si>
    <t>EXN_055</t>
  </si>
  <si>
    <t>Obobogo-New</t>
  </si>
  <si>
    <t>CTR_543</t>
  </si>
  <si>
    <t>Bamenkombo</t>
  </si>
  <si>
    <t>OST_155</t>
  </si>
  <si>
    <t>Ngola-MTN</t>
  </si>
  <si>
    <t>EST_043</t>
  </si>
  <si>
    <t>Ngola</t>
  </si>
  <si>
    <t>(04/27/2026 retour IHS): Power issue NUR to be check||  (04/27/2026 ticket):-INC-20260427-00001940</t>
  </si>
  <si>
    <t>Kodek-Djarengol</t>
  </si>
  <si>
    <t>EXN_053</t>
  </si>
  <si>
    <t>Baiboum</t>
  </si>
  <si>
    <t>ADM_008</t>
  </si>
  <si>
    <t>Ndu</t>
  </si>
  <si>
    <t>NRO_009</t>
  </si>
  <si>
    <t>NDU</t>
  </si>
  <si>
    <t>(04/27/2026 cell nokia):-
27/04/2026 : Ghost town 
27/04/2026 : Check breaker and  interconnection FRMF (sfp, optical fiber) between system and radio module, swap its if needed..;..;(04/27/2026 ticket):-INC-20260427-00006503…Others Transmission equipement fault</t>
  </si>
  <si>
    <t>04/27/2026 cell nokia) 27/04/2026 Ghost town 27/04/2026 Check breaker and interconnection FRMF sfp, optical fiber) between system and radio module, swap its if needed.;.;</t>
  </si>
  <si>
    <t>Wakwa-IHS</t>
  </si>
  <si>
    <t>ADM_078</t>
  </si>
  <si>
    <t>Wakwa</t>
  </si>
  <si>
    <t>Maroua-Doualare-II</t>
  </si>
  <si>
    <t>EXN_111</t>
  </si>
  <si>
    <t>Emana-Lycee2-MTN-IHS</t>
  </si>
  <si>
    <t>CTR_518</t>
  </si>
  <si>
    <t>(04/27/2026 Hourly IHS): fme Bassirou is managing with level 0 ||(04/27/2026 ocm ran 17h):-26/04/2026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ASAP..;..;(04/27/2026 ocm ran 11h):-26/04/2026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ASAP..;..;(04/27/2026 ticket):-INC-20260427-00012498…Others Transmission equipement fault</t>
  </si>
  <si>
    <t>fme Bassirou is managing with level 0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</si>
  <si>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Ngd-Bamyangal-New</t>
  </si>
  <si>
    <t>ADM_131</t>
  </si>
  <si>
    <t>Mayo-Darle-MTN</t>
  </si>
  <si>
    <t>ADM_068</t>
  </si>
  <si>
    <t>Mayo-Darle</t>
  </si>
  <si>
    <t>(04/27/2026 retour IHS): Power issue NUR to be check||  (04/27/2026 ticket):-INC-20260427-00014982…Others Transmission equipement fault</t>
  </si>
  <si>
    <t>Ribao</t>
  </si>
  <si>
    <t>NRD_028</t>
  </si>
  <si>
    <t>Maroua-Camp-SIC</t>
  </si>
  <si>
    <t>EXN_071</t>
  </si>
  <si>
    <t>(04/27/2026 cell nokia):-27/04/2026 : Commande de la FBBC passe || ETA: 28/04/2026 
24/05/2026 : FBBC faulty spare request Ongoing. Planned to be replace on 25.04.2026
23/04/2026 : Access issue 
22/04/2026 : Need BO RAN analysis || Check and replace FBBC if needed..;..;(04/27/2026 cell nokia):-27/04/2026 : Commande de la FBBC passe || ETA: 28/04/2026 
24/05/2026 : FBBC faulty spare request Ongoing. Planned to be replace on 25.04.2026
23/04/2026 : Access issue 
22/04/2026 : Need BO RAN analysis || Check and replace FBBC if needed</t>
  </si>
  <si>
    <t>04/27/2026 cell nokia) 27/04/2026 Commande de la FBBC passe ETA 28/04/2026 24/05/2026 FBBC faulty spare request Ongoing. Planned to be replace on 25.04.2026 23/04/2026 Access issue 22/04/2026 Need BO RAN analysis Check and replace FBBC if needed.;.;(04/27/2026 cell nokia) 27/04/2026 Commande de la FBBC passe ETA 28/04/2026 24/05/2026 FBBC faulty spare request Ongoing. Planned to be replace on 25.04.2026 23/04/2026 Access issue 22/04/2026 Need BO RAN analysis Check and replace FBBC if needed</t>
  </si>
  <si>
    <t>Tekele</t>
  </si>
  <si>
    <t>EXN_230</t>
  </si>
  <si>
    <t>(04/27/2026 cell huawei):-27/04/2026 : Besoin d'analyse BO RAN || No HW alarm observed, need a reset of BTS on site..;..;(04/27/2026 cell huawei):-27/04/2026 : Besoin d'analyse BO RAN || No HW alarm observed, need a reset of BTS on site</t>
  </si>
  <si>
    <t>04/27/2026 cell huawei) 27/04/2026 Besoin d'analyse BO RAN No HW alarm observed, need a reset of BTS on site.;.;(04/27/2026 cell huawei) 27/04/2026 Besoin d'analyse BO RAN No HW alarm observed, need a reset of BTS on site</t>
  </si>
  <si>
    <t>Banefo-Baleng</t>
  </si>
  <si>
    <t>OST_193</t>
  </si>
  <si>
    <t>Mfou</t>
  </si>
  <si>
    <t>CTR_036</t>
  </si>
  <si>
    <t>Dir</t>
  </si>
  <si>
    <t>ADM_021</t>
  </si>
  <si>
    <t>Emana-MTN</t>
  </si>
  <si>
    <t>CTR_370</t>
  </si>
  <si>
    <t>Bfsam-Toket</t>
  </si>
  <si>
    <t>OST_045</t>
  </si>
  <si>
    <t>Goro-IHS</t>
  </si>
  <si>
    <t>ADM_138</t>
  </si>
  <si>
    <t>Goro</t>
  </si>
  <si>
    <t>Dobiri-MTN</t>
  </si>
  <si>
    <t>ADM_045</t>
  </si>
  <si>
    <t>Dobiri</t>
  </si>
  <si>
    <t>Bfsam-Q-Admin</t>
  </si>
  <si>
    <t>OST_111</t>
  </si>
  <si>
    <t>Mbakaou-MTN-IHS</t>
  </si>
  <si>
    <t>ADM_109</t>
  </si>
  <si>
    <t>Mbakaou</t>
  </si>
  <si>
    <t>(04/27/2026 cell nokia):-27/04/2026 : Need BO RAN analysis..;..;(04/27/2026 cell nokia):-27/04/2026 : Need BO RAN analysis || Closed after reset but check and replace SFP</t>
  </si>
  <si>
    <t>04/27/2026 cell nokia) 27/04/2026 Need BO RAN analysis.;.;(04/27/2026 cell nokia) 27/04/2026 Need BO RAN analysis Closed after reset but check and replace SFP</t>
  </si>
  <si>
    <t>Martap</t>
  </si>
  <si>
    <t>ADM_060</t>
  </si>
  <si>
    <t>Ebolowa-Elat</t>
  </si>
  <si>
    <t>SUD_217</t>
  </si>
  <si>
    <t>(04/27/2026 cell nokia):-27/04/2026 : Need BO RAN analysis..;..;(04/27/2026 cell nokia):-27/04/2026 : Need BO RAN analysis || Check and clean jumper, port 4 of ARGA</t>
  </si>
  <si>
    <t>04/27/2026 cell nokia) 27/04/2026 Need BO RAN analysis.;.;(04/27/2026 cell nokia) 27/04/2026 Need BO RAN analysis Check and clean jumper, port 4 of ARGA</t>
  </si>
  <si>
    <t>Mendji-IHS</t>
  </si>
  <si>
    <t>NRO_087</t>
  </si>
  <si>
    <t>Mendji</t>
  </si>
  <si>
    <t>(04/27/2026 cell nokia):-28/03/2026 : Probleme d'access
27/03/2026 : Feedback du RM : Access not granted for now we keep trying
26/03/2026 : need BO RAN analysis || FME should check and replace FRGU</t>
  </si>
  <si>
    <t>04/27/2026 cell nokia) 28/03/2026 Probleme d'access 27/03/2026 Feedback du RM Access not granted for now we keep trying 26/03/2026 need BO RAN analysis FME should check and replace FRGU</t>
  </si>
  <si>
    <t xml:space="preserve">(04/27/2026 cell nokia):-27/04/2026 : Intervention plan for 29/04/2026 || La FXED quitte ce jour pour KOUMA 
24/04/2026 : Cde la FXED en cours 
23/04/2026 : Need BO RAN analysis ||Closed after reset but check and replace FXED ||FME  Andre activer ..;..;(04/27/2026 cell nokia):-27/04/2026 : Intervention plan for 29/04/2026 || La FXED quitte ce jour pour KOUMA 
24/04/2026 : Cde la FXED en cours 
23/04/2026 : Need BO RAN analysis ||Closed after reset but check and replace FXED ||FME  Andre activer </t>
  </si>
  <si>
    <t>04/27/2026 cell nokia) 27/04/2026 Intervention plan for 29/04/2026 La FXED quitte ce jour pour KOUMA 24/04/2026 Cde la FXED en cours 23/04/2026 Need BO RAN analysis Closed after reset but check and replace FXED 04/27/2026 cell nokia) 27/04/2026 Intervention plan for 29/04/2026 La FXED quitte ce jour pour KOUMA 24/04/2026 Cde la FXED en cours 23/04/2026 Need BO RAN analysis Closed after reset but check and replace FXED</t>
  </si>
  <si>
    <t>MPR issue</t>
  </si>
  <si>
    <t>(04/27/2026 ocm ran 17h):-27/04/2026 Besoin d'un fme sur site pour verifier l'interco entre le MPR et la BTS S1P1 FME seydou bachirou activé manage avec le levle 0 ..;..;(04/27/2026 ocm ran 11h):-27/04/2026 Besoin d'un fme sur site pour verifier l'interco entre le MPR et la BTS S1P1 FME seydou bachirou activé ..;..;(04/27/2026 ticket):-INC-20260427-00000722…2026-04-27 12:37:25…Besoin d'un fme sur site pour verifier l'interco entre le MPR et la BTS S1P1 FME seydou activé…Others</t>
  </si>
  <si>
    <t>27/04/2026 Besoin d'un fme sur site pour verifier l'interco entre le MPR et la BTS S1P1 FME seydou bachirou activé manage avec le levle 0 27/04/2026 Besoin d'un fme sur site pour verifier l'interco entre le MPR et la BTS S1P1 FME seydou bachirou activé 2026-04-27 12 37 25…Besoin d'un fme sur site pour verifier l'interco entre le MPR et la BTS S1P1 FME seydou activé…Others</t>
  </si>
  <si>
    <t>(04/27/2026 ocm ran 17h):-27/04/2026 BTS 4G down fme manage avec le level 0..;..;(04/27/2026 ocm ran 11h):-27/04/2026 BTS 4G down fme manage avec le level 0</t>
  </si>
  <si>
    <t>27/04/2026 BTS 4G down fme manage avec le level 0.;.; 27/04/2026 BTS 4G down fme manage avec le level 0</t>
  </si>
  <si>
    <t xml:space="preserve">(04/27/2026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..;..;(04/27/2026 cell nokia):-23/04/2026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</si>
  <si>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04/27/2026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 04/27/2026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t>
  </si>
  <si>
    <t>Ngong-Marche</t>
  </si>
  <si>
    <t>NRD_132</t>
  </si>
  <si>
    <t>Ngong</t>
  </si>
  <si>
    <t>(04/27/2026 cell huawei):-27/04/2026 :  Check Connectivite entre BBU &amp; RRU/Check FO ou SFP</t>
  </si>
  <si>
    <t>04/27/2026 cell huawei) 27/04/2026 Check Connectivite entre BBU RRU/Check FO ou SFP</t>
  </si>
  <si>
    <t>(04/27/2026 ocm ran 17h):-13/04/2026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reconnection)..;..;(04/27/2026 ocm ran 11h):-13/04/2026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</si>
  <si>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</si>
  <si>
    <t>(04/27/2026 ocm ran 17h):-21.04.26;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status..;..;(04/27/2026 ocm ran 11h):-21.04.26;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</si>
  <si>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t>
  </si>
  <si>
    <t>(04/27/2026 cell zte):-27/04/2026 : Images spare toujours attendu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</si>
  <si>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04/27/2026 cell zte) 27/04/2026 Images spare toujours attendu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t>
  </si>
  <si>
    <t>(04/27/2026 cell nokia):-27/04/2026 : Need BO RAN analysis..;..;(04/27/2026 cell nokia):-27/04/2026 : Need BO RAN analysis || Check and clean jumper and port 1 of ARGA..;..;(04/27/2026 ocm ran 11h):-power status check ongoing..;..;(04/27/2026 ticket):-INC-20260427-00010511…Others Transmission equipement fault</t>
  </si>
  <si>
    <t>04/27/2026 cell nokia) 27/04/2026 Need BO RAN analysis.;.;(04/27/2026 cell nokia) 27/04/2026 Need BO RAN analysis Check and clean jumper and port 1 of ARGA.;.;</t>
  </si>
  <si>
    <t>Zoetele</t>
  </si>
  <si>
    <t>CTR_111</t>
  </si>
  <si>
    <t>Bata</t>
  </si>
  <si>
    <t>ADM_027</t>
  </si>
  <si>
    <t xml:space="preserve">(04/27/2026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..;..;(04/27/2026 cell nokia):-27/04/2026 : FRGU faulty || Cde passer 
23/04/2026 : Check and replace FRGU || FME activer|| FME etait sur le site de batoua il a fini tard || Il interviendra demai sur le site de Bata || ETA : Demain 24/04/2026 
22/04/2026 : Need BO RAN analysis || Closed after reset but check and replace rado module if issue persist </t>
  </si>
  <si>
    <t>04/27/2026 cell nokia) 27/04/2026 FRGU faulty Cde passer 23/04/2026 Check and replace FRGU FME activer FME etait sur le site de batoua il a fini tard Il interviendra demai sur le site de Bata ETA Demain 24/04/2026 22/04/2026 Need BO RAN analysis Closed after reset but check and replace rado module if issue persist 04/27/2026 cell nokia) 27/04/2026 FRGU faulty Cde passer 23/04/2026 Check and replace FRGU FME activer FME etait sur le site de batoua il a fini tard Il interviendra demai sur le site de Bata ETA Demain 24/04/2026 22/04/2026 Need BO RAN analysis Closed after reset but check and replace rado module if issue persist</t>
  </si>
  <si>
    <t>(04/27/2026 ocm ran 17h):-New BTS installed and not yet accepted..;..;(04/27/2026 ocm ran 11h):-New BTS installed and not yet accepted</t>
  </si>
  <si>
    <t>New BTS installed and not yet accepted.;.; New BTS installed and not yet accepted</t>
  </si>
  <si>
    <t>Dschang-Q-Admin</t>
  </si>
  <si>
    <t>OST_112</t>
  </si>
  <si>
    <t>(04/27/2026 ticket):-INC-20260427-00008180…Auto TT closure RCA…GE Fault</t>
  </si>
  <si>
    <t>Foumban-Nkoungougnet</t>
  </si>
  <si>
    <t>OST_082</t>
  </si>
  <si>
    <t>(04/27/2026 ticket):-INC-20260427-00008540…No Power Issue on Site, U = 50.3V and Site is on GEN. TX FME Yaya 694806622 / Huawei is informed.…Auto TT closure RCA…GE Fault</t>
  </si>
  <si>
    <t>No Power Issue on Site, U 50.3V and Site is on GEN. TX FME Yaya 694806622 Huawei is informed.…Auto TT closure RCA…GE Fault</t>
  </si>
  <si>
    <t>(04/27/2026 ocm ran 17h):-Site en cours de démentelement..;..;(04/27/2026 ocm ran 11h):-Site en cours de démentelement</t>
  </si>
  <si>
    <t>Site en cours de démentelement.;.; Site en cours de démentelement</t>
  </si>
  <si>
    <t xml:space="preserve">(04/27/2026 ocm ran 17h):-27/04/2026 Bad grid voltage, low solar/ Solar return awaited ESCALADE L3 CAMUSAT
26/04/2026 CAMUSAT feedback : team en route pour verification 
25/04/2026 Bad grid voltage, low solar/ Solar return awaited..;..;(04/27/2026 ocm ran 11h):-27/04/2026 Bad grid voltage, low solar/ Solar return awaited ESCALADE L3 CAMUSAT
26/04/2026 CAMUSAT feedback : team en route pour verification 
25/04/2026 Bad grid voltage, low solar/ Solar return awaited..;..;(04/27/2026 ticket):-INC-20260427-00011279…2026-04-28 04:30:29…Mauvaises phases ENEO / En attente retour solaire et ENEO mis à contribution pour normalisation des phases.…grid only power issue on site </t>
  </si>
  <si>
    <t>27/04/2026 Bad grid voltage, low solar/ Solar return awaited ESCALADE L3 CAMUSAT 26/04/2026 CAMUSAT feedback team en route pour verification 25/04/2026 Bad grid voltage, low solar/ Solar return awaited.;.; 27/04/2026 Bad grid voltage, low solar/ Solar return awaited ESCALADE L3 CAMUSAT 26/04/2026 CAMUSAT feedback team en route pour verification 25/04/2026 Bad grid voltage, low solar/ Solar return awaited.;.; 2026-04-28 04 30 29…Mauvaises phases ENEO En attente retour solaire et ENEO mis à contribution pour normalisation des phases.…grid only power issue on site</t>
  </si>
  <si>
    <t>Zili-Nkoteng-IHS</t>
  </si>
  <si>
    <t>CTR_910</t>
  </si>
  <si>
    <t>Nkoteng</t>
  </si>
  <si>
    <t>Minisite-Elig-Edzoa</t>
  </si>
  <si>
    <t>CTR_684</t>
  </si>
  <si>
    <t xml:space="preserve">(04/27/2026 ocm ran 17h):-27/04/2026 grid only site, grid outage / grid return awaited..;..;(04/27/2026 ocm ran 11h):-27/04/2026 grid only site, grid outage / grid return awaited..;..;(04/27/2026 ticket):-INC-20260427-00002200…2026-04-28 04:21:06…Power issue resolved since yesterday. Kindly check on your side.…power issues responsabilité camusat </t>
  </si>
  <si>
    <t>27/04/2026 grid only site, grid outage grid return awaited.;.; 27/04/2026 grid only site, grid outage grid return awaited.;.; 2026-04-28 04 21 06…Power issue resolved since yesterday. Kindly check on your side.…power issues responsabilité camusat</t>
  </si>
  <si>
    <t xml:space="preserve">(04/27/2026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..;..;(04/27/2026 cell nokia):-27/04/2026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t>
  </si>
  <si>
    <t>04/27/2026 cell nokia) 27/04/2026 Intervention plan for tomorrow 28/04/2026 24/04/2026 Intervention prevue pour ce jour Feedback FME FRMF faulty Cde de la FRMF passer 23/04/2026 Check breaker and interconnection FRMF sfp, optical fiber) between system and radio module, swap its if needed ETA deain 24042026 04/27/2026 cell nokia) 27/04/2026 Intervention plan for tomorrow 28/04/2026 24/04/2026 Intervention prevue pour ce jour Feedback FME FRMF faulty Cde de la FRMF passer 23/04/2026 Check breaker and interconnection FRMF sfp, optical fiber) between system and radio module, swap its if needed ETA deain 24042026</t>
  </si>
  <si>
    <t>Jabane</t>
  </si>
  <si>
    <t>SUO_173</t>
  </si>
  <si>
    <t>(04/27/2026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needed..;..;(04/27/2026 cell huawei):-22/04/2026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</si>
  <si>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04/27/2026 cell huawei) 22/04/2026 Feeddback BO TX Please could plan a session with all the stakeholders? I mean BIR IT Engineer, BO TX Engineer, BO IP Engineer BO RAN Engineer. During that session, we will be troubleshooting together at the same time 09/04/2026 Analyse de la chaine de routage toujours encours cote BO RAN Projet Huawei 07/04/2026 Feedback BO RAN Projet As check, kindly find below 3G/4G config Note also that config are ok, and ping test from BTS to Gateway is not okay as you can see Please YENE TONER GILLES HENRI, to confirm the root site cluster) of this site and then we need involve IP team to check base on TX feedback if below IP address use for 3G and 4G are correct or not. Suspecting a reparenting done here with misalignment 06/04/2026 Support du BO PRojet Huawei attendu Site down 06/04/2026 Le FME a ete active pour Salle des Fetes d'AKWA pour redemarrer le MPR ETA 11h30 Feedback bo tx apres les actions de ce jour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Cmdant du BIR non joignable pour les acces. Prochaine tentative le 02042026 31/03/2026 Feedback BO TX Probable faulty ODU at Jabane Check antenna line and change ODU AT MPR LIMBE-BIMBA-CRTV if necesarry PN 3DB29108AAAAC04 29/03/2026 need BO RAN analysis 3G and 4G cells down Transmission investigation needed.;.;(04/27/2026 cell huawei) 22/04/2026 Feeddback BO TX Please could plan a session with all the stakeholders? I mean BIR IT Engineer, BO TX Engineer, BO IP Engineer BO RAN Engineer. During that session, we will be troubleshooting together at the same time 09/04/2026 Analyse de la chaine de routage toujours encours cote BO RAN Projet Huawei 07/04/2026 Feedback BO RAN Projet As check, kindly find below 3G/4G config Note also that config are ok, and ping test from BTS to Gateway is not okay as you can see Please YENE TONER GILLES HENRI, to confirm the root site cluster) of this site and then we need involve IP team to check base on TX feedback if below IP address use for 3G and 4G are correct or not. Suspecting a reparenting done here with misalignment 06/04/2026 Support du BO PRojet Huawei attendu Site down 06/04/2026 Le FME a ete active pour Salle des Fetes d'AKWA pour redemarrer le MPR ETA 11h30 Feedback bo tx apres les actions de ce jour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Cmdant du BIR non joignable pour les acces. Prochaine tentative le 02042026 31/03/2026 Feedback BO TX Probable faulty ODU at Jabane Check antenna line and change ODU AT MPR LIMBE-BIMBA-CRTV if necesarry PN 3DB29108AAAAC04 29/03/2026 need BO RAN analysis 3G and 4G cells down Transmission investigation needed</t>
  </si>
  <si>
    <t>(04/27/2026 ticket):-INC-20260427-00002005…power issu coupure d'électricité dans la zone en attente du retour secteur défaut démarrage GE …Others Transmission equipement fault</t>
  </si>
  <si>
    <t>power issu coupure d'électricité dans la zone en attente du retour secteur défaut démarrage GE</t>
  </si>
  <si>
    <t>Ambam</t>
  </si>
  <si>
    <t>CTR_394</t>
  </si>
  <si>
    <t>(04/27/2026 cell zte):-19/04/2026 : Fme should check power on RRU 65 || Feedback Fme : Power sous dimensionné après le swap, ZTE a éteint certaines radios pour éviter les disjonctions interminables</t>
  </si>
  <si>
    <t>04/27/2026 cell zte) 19/04/2026 Fme should check power on RRU 65 Feedback Fme Power sous dimensionné après le swap, ZTE a éteint certaines radios pour éviter les disjonctions interminables</t>
  </si>
  <si>
    <t>Nomayos-IHS</t>
  </si>
  <si>
    <t>CTR_527</t>
  </si>
  <si>
    <t>Nomayos</t>
  </si>
  <si>
    <t>(04/27/2026 cell zte):-27/04/2026 : Intervention sur site ce jour || Up apres rearmement des breakers
24/04/2026 : RI recu ce jour et envoye a IHS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</si>
  <si>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04/27/2026 cell zte) 27/04/2026 Intervention sur site ce jour Up apres rearmement des breakers 24/04/2026 RI recu ce jour et envoye a IHS 23/04/2026 Intervention prevu ce jour ETA 14h30 Feedback Fme Power pas toujours stable sur site RI en cours de redaction 22/04/2026 Feedback level 3 We have planned to upgrade the power system on this site. I will share the PIP deadline soon. 21/04/2026 Escalade faite au Level 3 ce jour Feedback attendu 18/04/2026 Relance faite a IHS ce jour 16/04/2026 Feedback IHS As discussed on phone yesterday we have Overload on gen and PWC after upgrades done on site when the site is not yet RFI, we are working with our project team to close the issue ASAP 15/04/2026 Rapport du FME recu et power instability sur site Site swape par ZTE, d'ou l'augmentation de la charge Certains circuits-breaker arretes par IHS Mail envoye a IHS et feedback de stabilisation power attendu 14/04/2026 Besoin d'analyse BO RAN Check RRU status Fme active et en chemin pour le site Feedback Fme les breakers ont ete baisses par HIS RI attendu</t>
  </si>
  <si>
    <t>H-ville</t>
  </si>
  <si>
    <t>CTR_077</t>
  </si>
  <si>
    <t>(04/27/2026 ocm ran 17h):-23.04.26; BTS en plan sur Netact. Travaux ing en cours..;..;(04/27/2026 ocm ran 11h):-23.04.26; BTS en plan sur Netact. Travaux ing en cours</t>
  </si>
  <si>
    <t>23.04.26; BTS en plan sur Netact. Travaux ing en cours.;.; 23.04.26; BTS en plan sur Netact. Travaux ing en cours</t>
  </si>
  <si>
    <t>(04/27/2026 cell zte):-23/04/2026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down..;..;(04/27/2026 cell zte):-27/04/2026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</si>
  <si>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04/27/2026 cell zte)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down.;.;(04/27/2026 cell zte)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t>
  </si>
  <si>
    <t>Akom-II-IHS</t>
  </si>
  <si>
    <t>SUD_054</t>
  </si>
  <si>
    <t>Akom II</t>
  </si>
  <si>
    <t>(04/27/2026 cell zte):-21/04/2026 : Not accepted</t>
  </si>
  <si>
    <t>04/27/2026 cell zte) 21/04/2026 Not accepted</t>
  </si>
  <si>
    <t>Bfsam-Banengo</t>
  </si>
  <si>
    <t>OST_003</t>
  </si>
  <si>
    <t>OCM/Strategique</t>
  </si>
  <si>
    <t>(04/27/2026 cell huawei):-27/04/2026 : Besoin d'analyse BO RAN || Configured Capacity Limit Exceeding Licensed Limit..;..;(04/27/2026 cell huawei):-27/04/2026 : Besoin d'analyse BO RAN || Configured Capacity Limit Exceeding Licensed Limit..;..;(04/27/2026 ticket):-INC-20260427-00007770…Others Transmission equipement fault</t>
  </si>
  <si>
    <t>04/27/2026 cell huawei) 27/04/2026 Besoin d'analyse BO RAN Configured Capacity Limit Exceeding Licensed Limit.;.;(04/27/2026 cell huawei) 27/04/2026 Besoin d'analyse BO RAN Configured Capacity Limit Exceeding Licensed Limit.;.;</t>
  </si>
  <si>
    <t>(04/27/2026 cell zte):-27/04/2026 : Besoin d'analyse BO RAN..;..;(04/27/2026 cell zte):-27/04/2026 : Besoin d'analyse BO RAN || Check and clean jumper, port 2 of RRU 61</t>
  </si>
  <si>
    <t>04/27/2026 cell zte) 27/04/2026 Besoin d'analyse BO RAN.;.;(04/27/2026 cell zte) 27/04/2026 Besoin d'analyse BO RAN Check and clean jumper, port 2 of RRU 61</t>
  </si>
  <si>
    <t>Mokom-IHS</t>
  </si>
  <si>
    <t>SUD_113</t>
  </si>
  <si>
    <t>Mintom</t>
  </si>
  <si>
    <t>(04/27/2026 cell zte):-27/04/2026 : Besoin d'analyse BO RAN..;..;(04/27/2026 cell zte):-27/04/2026 : Besoin d'analyse BO RAN || Fme should check connectivity(SFP, Optical fiber) of RRU 51</t>
  </si>
  <si>
    <t>04/27/2026 cell zte) 27/04/2026 Besoin d'analyse BO RAN.;.;(04/27/2026 cell zte) 27/04/2026 Besoin d'analyse BO RAN Fme should check connectivity(SFP, Optical fiber) of RRU 51</t>
  </si>
  <si>
    <t>(04/27/2026 ocm ran 17h):-27.04.26;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site..;..;(04/27/2026 ocm ran 11h):-27.04.26; Access banned by Separatist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</si>
  <si>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27.04.26; Access banned by Separatist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 27.04.26; Access banned by Separatist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t>
  </si>
  <si>
    <t>Lom-Pangar-MTN</t>
  </si>
  <si>
    <t>EST_083</t>
  </si>
  <si>
    <t>Lom-Pangar</t>
  </si>
  <si>
    <t>(04/27/2026 Hourly IHS): FME is on the way ETA 11:40 AM</t>
  </si>
  <si>
    <t>FME is on the way ETA 11 40 AM</t>
  </si>
  <si>
    <t>Mbongouen-MTN</t>
  </si>
  <si>
    <t>SUD_214</t>
  </si>
  <si>
    <t>Mbongouen</t>
  </si>
  <si>
    <t>(04/27/2026 cell zte):-
25/04/2026 : Intervention ce jour ETA 14h
24/04/2026 : Fme actuellement sur site misolle et se rendra sur mbongouen une fois termine
23/04/2026 : Besoin d'analyse BO RAN || Check and clean jumper, port 1 of RRU 52 || Fme active..;..;(04/27/2026 cell zte):-
25/04/2026 : Intervention ce jour ETA 14h
24/04/2026 : Fme actuellement sur site misolle et se rendra sur mbongouen une fois termine
23/04/2026 : Besoin d'analyse BO RAN || Check and clean jumper, port 1 of RRU 52 || Fme active</t>
  </si>
  <si>
    <t>04/27/2026 cell zte) 25/04/2026 Intervention ce jour ETA 14h 24/04/2026 Fme actuellement sur site misolle et se rendra sur mbongouen une fois termine 23/04/2026 Besoin d'analyse BO RAN Check and clean jumper, port 1 of RRU 52 Fme active.;.;(04/27/2026 cell zte) 25/04/2026 Intervention ce jour ETA 14h 24/04/2026 Fme actuellement sur site misolle et se rendra sur mbongouen une fois termine 23/04/2026 Besoin d'analyse BO RAN Check and clean jumper, port 1 of RRU 52 Fme active</t>
  </si>
  <si>
    <t>Saa</t>
  </si>
  <si>
    <t>CTR_192</t>
  </si>
  <si>
    <t>(04/27/2026 Hourly IHS): (Unstable site) Site went down because Gen overload(12.5KVA, 130A) and rectifier issue ||(04/27/2026 cell zte):-27/04/2026 : Besoin d'analyse BO RAN..;..;(04/27/2026 cell zte):-27/04/2026 : Besoin d'analyse BO RAN || Site down</t>
  </si>
  <si>
    <t>Unstable site) Site went down because Gen overload(12.5KVA, 130A) and rectifier issue 04/27/2026 cell zte) 27/04/2026 Besoin d'analyse BO RAN.;.;(04/27/2026 cell zte) 27/04/2026 Besoin d'analyse BO RAN Site down</t>
  </si>
  <si>
    <t>(04/27/2026 cell zte):-27/04/2026 : Power issue || Mail sent to Camusat</t>
  </si>
  <si>
    <t>04/27/2026 cell zte) 27/04/2026 Power issue Mail sent to Camusat</t>
  </si>
  <si>
    <t>(04/27/2026 cell zte):-27/04/2026 : Besoin d'analyse BO RAN..;..;(04/27/2026 cell zte):-27/04/2026 : Besoin d'analyse BO RAN || FME should check Antenna Fider status</t>
  </si>
  <si>
    <t>04/27/2026 cell zte) 27/04/2026 Besoin d'analyse BO RAN.;.;(04/27/2026 cell zte) 27/04/2026 Besoin d'analyse BO RAN FME should check Antenna Fider status</t>
  </si>
  <si>
    <t xml:space="preserve">(04/27/2026 cell nokia):-27/04/2026 : Need BO RAN analysis..;..;(04/27/2026 cell nokia):-27/04/2026 : Need BO RAN analysis ||FME should reload software || Ghost town </t>
  </si>
  <si>
    <t>04/27/2026 cell nokia) 27/04/2026 Need BO RAN analysis.;.;(04/27/2026 cell nokia) 27/04/2026 Need BO RAN analysis FME should reload software Ghost town</t>
  </si>
  <si>
    <t>(04/27/2026 ocm ran 17h):-27/04/2026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ASAP..;..;(04/27/2026 ocm ran 11h):-21.04.26;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</si>
  <si>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 21.04.26; Dementellement des ODUs en cours pour MAD à Huawei, update ASAP 08.04.26; ODU MPT 7-8 GHz 3DB20859AB faulty et commande passée à OCM 08.04.26; Besoin d'un FME sur site pour vérifier la chaine antennaire de l'ODU 3.1; FME Rodrigue activé pour investigations, update ASAP</t>
  </si>
  <si>
    <t>(04/27/2026 ocm ran 17h):-22.04.26;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UTC..;..;(04/27/2026 ocm ran 11h):-22.04.26;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</si>
  <si>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</si>
  <si>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(04/27/2026 ocm ran 17h):-22.04.26;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ASAP..;..;(04/27/2026 ocm ran 11h):-22.04.26;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</si>
  <si>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</si>
  <si>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(04/28/2026 retour IHS ): Power issue NUR to be checked   ||  (04/28/2026 hourly IHS): Grid only No space to deployed MGen//awaiting grid return Francois is informed..;..;(04/28/2026 ocm ran 14h): 27.04.26: Grid outage, No space to deploy MDG // awaiting grid return  Francois  is informed..;..;(04/28/2026 com ran 10h): 27.04.26: Grid outage, No space to deploy MDG // awaiting grid return  Francois  is informed..;..;(04/28/2026 ocm ran 00h): 27.04.26: Grid outage, No space to deploy MDG // awaiting grid return  Francois  is informed..;..;(04/28/2026 ticket): INC-20260428-00014946…2026-04-28 20:35:39…Grid only No space to deployed MGen//awaiting grid return</t>
  </si>
  <si>
    <t>Power issue NUR to be checked Grid only No space to deployed MGen//awaiting grid return Francois is informed.;.; 27.04.26 Grid outage, No space to deploy MDG awaiting grid return Francois is informed.;.;(04/28/2026 com ran 10h) 27.04.26 Grid outage, No space to deploy MDG awaiting grid return Francois is informed.;.; 27.04.26 Grid outage, No space to deploy MDG awaiting grid return Francois is informed.;.; 2026-04-28 20 35 39…Grid only No space to deployed MGen//awaiting grid return</t>
  </si>
  <si>
    <t>(04/28/2026 retour IHS ): Power issue NUR to be checked   ||   (04/28/2026 hourly IHS): Grid outage, No space to deploy MDG // awaiting grid return..;..;(04/28/2026 ocm ran 14h): 27.04.26: Grid outage // awaiting grid return..;..;(04/28/2026 com ran 10h): 27.04.26: Grid outage // awaiting grid return..;..;(04/28/2026 ocm ran 00h): 27.04.26: Grid outage // awaiting grid return</t>
  </si>
  <si>
    <t>Power issue NUR to be checked Grid outage, No space to deploy MDG awaiting grid return.;.; 27.04.26 Grid outage awaiting grid return.;.;(04/28/2026 com ran 10h) 27.04.26 Grid outage awaiting grid return.;.; 27.04.26 Grid outage awaiting grid return</t>
  </si>
  <si>
    <t>(04/28/2026 ocm ran 14h): 28.04.26 Cartes d'alimentation qui trainnent au sol ENEO mis à contribution update asap 
27.04.26: Camusat: Grid outage and Grid only site / Grid return awaited..;..;(04/28/2026 com ran 10h): 27.04.26: Camusat: Grid outage and Grid only site / Grid return awaited..;..;(04/28/2026 ocm ran 00h): 27.04.26: Camusat: Grid outage and Grid only site / Grid return awaited..;..;(04/28/2026 ticket): INC-20260428-00012901</t>
  </si>
  <si>
    <t>28.04.26 Cartes d'alimentation qui trainnent au sol ENEO mis à contribution update asap 27.04.26 Camusat Grid outage and Grid only site Grid return awaited.;.;(04/28/2026 com ran 10h) 27.04.26 Camusat Grid outage and Grid only site Grid return awaited.;.; 27.04.26 Camusat Grid outage and Grid only site Grid return awaited.;.;</t>
  </si>
  <si>
    <t>(04/28/2026 com ran 10h): 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L3..;..;(04/28/2026 ocm ran 00h): 27/04/2026 Grid outage, Grid only site / Grid return awaited - Escalade L4
26/04/2026 Continuté du delestage confirmé / prochaine visite 18H - Escalade L4
24.04.26: Grid outage, Grid only site / Grid return awaited - Escalade L4
23.04.26: Grid outage, Grid only site / Grid return awaited - Escalade L3</t>
  </si>
  <si>
    <t>04/28/2026 com ran 10h) 27/04/2026 Grid outage, Grid only site Grid return awaited Escalade L4 26/04/2026 Continuté du delestage confirmé prochaine visite 18H Escalade L4 24.04.26 Grid outage, Grid only site Grid return awaited Escalade L4 23.04.26 Grid outage, Grid only site Grid return awaited Escalade L3.;.; 27/04/2026 Grid outage, Grid only site Grid return awaited Escalade L4 26/04/2026 Continuté du delestage confirmé prochaine visite 18H Escalade L4 24.04.26 Grid outage, Grid only site Grid return awaited Escalade L4 23.04.26 Grid outage, Grid only site Grid return awaited Escalade L3</t>
  </si>
  <si>
    <t xml:space="preserve">(04/28/2026 ocm ran 19h): 25/04/2026 FME activé GHOST TOWN to day
Besoin d'un fme sur site pour verifier le status du MPR ..;..;(04/28/2026 ocm ran 14h): 25/04/2026 FME activé GHOST TOWN to day
Besoin d'un fme sur site pour verifier le status du MPR ..;..;(04/28/2026 com ran 10h): 25/04/2026 FME activé GHOST TOWN to day
Besoin d'un fme sur site pour verifier le status du MPR ..;..;(04/28/2026 ocm ran 00h): 25/04/2026 FME activé GHOST TOWN to day
Besoin d'un fme sur site pour verifier le status du MPR </t>
  </si>
  <si>
    <t>25/04/2026 FME activé GHOST TOWN to day Besoin d'un fme sur site pour verifier le status du MPR 25/04/2026 FME activé GHOST TOWN to day Besoin d'un fme sur site pour verifier le status du MPR 04/28/2026 com ran 10h) 25/04/2026 FME activé GHOST TOWN to day Besoin d'un fme sur site pour verifier le status du MPR 25/04/2026 FME activé GHOST TOWN to day Besoin d'un fme sur site pour verifier le status du MPR</t>
  </si>
  <si>
    <t xml:space="preserve">(04/28/2026 com ran 10h): Power status check ongoing..;..;(04/28/2026 ticket): INC-20260428-00008992 || (check the power courbe): power issue </t>
  </si>
  <si>
    <t>04/28/2026 com ran 10h) check the power courbe) power issue</t>
  </si>
  <si>
    <t>(04/28/2026 cell zte): 28/04/2026 : Besoin d'analyse BO RAN..;..;(04/28/2026 cell zte): 28/04/2026 : Besoin d'analyse BO RAN..;..;(04/28/2026 ocm ran 00h): 27.04.26: Camusat: Grid outage and Grid only site / Grid return awaited</t>
  </si>
  <si>
    <t>04/28/2026 cell zte) 28/04/2026 Besoin d'analyse BO RAN.;.;(04/28/2026 cell zte) 28/04/2026 Besoin d'analyse BO RAN.;.; 27.04.26 Camusat Grid outage and Grid only site Grid return awaited</t>
  </si>
  <si>
    <t>(04/28/2026 retour IHS ): Power issue NUR to be checked   ||  (04/28/2026 hourly IHS): Grid outage // awaiting grid returned Escalation done until Armel B..;..;(04/28/2026 com ran 10h): 27/04/2026 Grid outage // awaiting grid returned..;..;(04/28/2026 ocm ran 00h): 27/04/2026 Grid outage // awaiting grid returned</t>
  </si>
  <si>
    <t>Power issue NUR to be checked Grid outage awaiting grid returned Escalation done until Armel B.;.;(04/28/2026 com ran 10h) 27/04/2026 Grid outage awaiting grid returned.;.; 27/04/2026 Grid outage awaiting grid returned</t>
  </si>
  <si>
    <t>(04/28/2026 cell huawei): 28/04/2026 : Probleme de licence  || Point envoye a Huawei Projet
27/04/2026 : Besoin d'analyse BO RAN || No HW alarm observed, need a reset of BTS on site || HW Projet should renew License..;..;(04/28/2026 cell huawei): 28/04/2026 : Probleme de licence  || Point envoye a Huawei Projet
27/04/2026 : Besoin d'analyse BO RAN || No HW alarm observed, need a reset of BTS on site || HW Projet should renew License..;..;(04/28/2026 cell huawei): 28/04/2026 : Probleme de licence  || Point envoye a Huawei Projet
27/04/2026 : Besoin d'analyse BO RAN || No HW alarm observed, need a reset of BTS on site || HW Projet should renew License</t>
  </si>
  <si>
    <t>04/28/2026 cell huawei) 28/04/2026 Probleme de licence Point envoye a Huawei Projet 27/04/2026 Besoin d'analyse BO RAN No HW alarm observed, need a reset of BTS on site HW Projet should renew License.;.;(04/28/2026 cell huawei) 28/04/2026 Probleme de licence Point envoye a Huawei Projet 27/04/2026 Besoin d'analyse BO RAN No HW alarm observed, need a reset of BTS on site HW Projet should renew License.;.;(04/28/2026 cell huawei) 28/04/2026 Probleme de licence Point envoye a Huawei Projet 27/04/2026 Besoin d'analyse BO RAN No HW alarm observed, need a reset of BTS on site HW Projet should renew License</t>
  </si>
  <si>
    <t>(04/28/2026 cell huawei): 28/04/2026 : Probleme de licence  || Point envoye a Huawei Projet
27/04/2026 : Besoin d'analyse BO RAN || No HW alarm observed, need a reset of BTS on site || HW Projet should renew License..;..;(04/28/2026 cell huawei): 28/04/2026 : Probleme de licence  || Point envoye a Huawei Projet
27/04/2026 : Besoin d'analyse BO RAN || No HW alarm observed, need a reset of BTS on site || HW Projet should renew License..;..;(04/28/2026 cell huawei): 28/04/2026 : Probleme de licence  || Point envoye a Huawei Projet
27/04/2026 : Besoin d'analyse BO RAN || No HW alarm observed, need a reset of BTS on site || HW Projet should renew License..;..;(04/28/2026 ocm ran 19h): Power status check ongoing</t>
  </si>
  <si>
    <t>04/28/2026 cell huawei) 28/04/2026 Probleme de licence Point envoye a Huawei Projet 27/04/2026 Besoin d'analyse BO RAN No HW alarm observed, need a reset of BTS on site HW Projet should renew License.;.;(04/28/2026 cell huawei) 28/04/2026 Probleme de licence Point envoye a Huawei Projet 27/04/2026 Besoin d'analyse BO RAN No HW alarm observed, need a reset of BTS on site HW Projet should renew License.;.;(04/28/2026 cell huawei) 28/04/2026 Probleme de licence Point envoye a Huawei Projet 27/04/2026 Besoin d'analyse BO RAN No HW alarm observed, need a reset of BTS on site HW Projet should renew License.;.; Power status check ongoing</t>
  </si>
  <si>
    <t>(04/28/2026 ticket): INC-20260428-00008902…2026-04-28 13:24:27…Grid outage grid only site / The technician will be on site ETA 15h30 after the rain to start the MGE</t>
  </si>
  <si>
    <t>2026-04-28 13 24 27…Grid outage grid only site The technician will be on site ETA 15h30 after the rain to start the MGE</t>
  </si>
  <si>
    <t>(04/28/2026 ocm ran 14h): Power status check ongoing..;..;(04/28/2026 ticket): INC-20260428-00008964…2026-04-28 14:09:42…Grid outage grid only site / grid return awaited</t>
  </si>
  <si>
    <t>2026-04-28 14 09 42…Grid outage grid only site grid return awaited</t>
  </si>
  <si>
    <t>(04/28/2026 com ran 10h): 27.04.26: Camusat: FME is trying to get a level0..;..;(04/28/2026 ocm ran 00h): 27.04.26: Camusat: FME is trying to get a level0</t>
  </si>
  <si>
    <t>04/28/2026 com ran 10h) 27.04.26 Camusat FME is trying to get a level0.;.; 27.04.26 Camusat FME is trying to get a level0</t>
  </si>
  <si>
    <t>Tropicana-New</t>
  </si>
  <si>
    <t>CTR_833</t>
  </si>
  <si>
    <t>(04/28/2026 com ran 10h): 28.04.2026 CAMUSAT: Investigations ongoing
28.04.2026: Power alarm observed from EMS..;..;(04/28/2026 ticket): INC-20260428-00001511…2026-04-28 02:16:29…investigations ongoing</t>
  </si>
  <si>
    <t>04/28/2026 com ran 10h) 28.04.2026 CAMUSAT Investigations ongoing 28.04.2026 Power alarm observed from EMS.;.; 2026-04-28 02 16 29…investigations ongoing</t>
  </si>
  <si>
    <t>(04/28/2026 ocm ran 14h): 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L3..;..;(04/28/2026 com ran 10h): 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L3..;..;(04/28/2026 ocm ran 00h): 27/04/2026 No space to deploy DG / verification de la coninuté du delestage
26/04/2026 No space to deploy DG / verification de la coninuté du delestage ETR 25min
24.04.26: Grid outage, Grid only site / Grid return awaited - Escalade L4
23.04.26: Grid outage, Grid only site / Grid return awaited - Escalade L3</t>
  </si>
  <si>
    <t>27/04/2026 No space to deploy DG verification de la coninuté du delestage 26/04/2026 No space to deploy DG verification de la coninuté du delestage ETR 25min 24.04.26 Grid outage, Grid only site Grid return awaited Escalade L4 23.04.26 Grid outage, Grid only site Grid return awaited Escalade L3.;.;(04/28/2026 com ran 10h) 27/04/2026 No space to deploy DG verification de la coninuté du delestage 26/04/2026 No space to deploy DG verification de la coninuté du delestage ETR 25min 24.04.26 Grid outage, Grid only site Grid return awaited Escalade L4 23.04.26 Grid outage, Grid only site Grid return awaited Escalade L3.;.; 27/04/2026 No space to deploy DG verification de la coninuté du delestage 26/04/2026 No space to deploy DG verification de la coninuté du delestage ETR 25min 24.04.26 Grid outage, Grid only site Grid return awaited Escalade L4 23.04.26 Grid outage, Grid only site Grid return awaited Escalade L3</t>
  </si>
  <si>
    <t>(04/28/2026 ocm ran 14h): 28/04/2026 Cable coupé de la DC BOX jusqu'au pylone en attente de remplacement ETD = 29/04/2026
27/04/2026 Site nkongoa vendalise côté power..;..;(04/28/2026 com ran 10h): 27/04/2026 Site nkongoa vendalise côté power..;..;(04/28/2026 ocm ran 00h): 27/04/2026 Site nkongoa vendalise côté power</t>
  </si>
  <si>
    <t>28/04/2026 Cable coupé de la DC BOX jusqu'au pylone en attente de remplacement ETD 29/04/2026 27/04/2026 Site nkongoa vendalise côté power.;.;(04/28/2026 com ran 10h) 27/04/2026 Site nkongoa vendalise côté power.;.; 27/04/2026 Site nkongoa vendalise côté power</t>
  </si>
  <si>
    <t xml:space="preserve">(04/28/2026 ocm ran 14h): Power status check ongoing..;..;(04/28/2026 com ran 10h): Power status check ongoing || power issue checker la courbe ,il ya eu une coupure le 28 a 9h jusqu'au 29 a 17h , et presence d'alarme power </t>
  </si>
  <si>
    <t>04/28/2026 com ran 10h) Power status check ongoing power issue checker la courbe il ya eu une coupure le 28 a 9h jusqu'au 29 a 17h et presence d'alarme power</t>
  </si>
  <si>
    <t>(04/28/2026 ocm ran 19h): 20.04.26; Carte EAC 3DB19417AA faulty, commande passée vers OCM
19.04.26; Besoin d'un FME sur SUO_077_H_Buea-David-Square pour vérifier la chaine antennaire de l'ODU 3.2; FME Fabien activé pour investigations, update ASAP
19.04.26; Reste down après l'incident P2 sur Buea-David..;..;(04/28/2026 ocm ran 14h): 20.04.26; Carte EAC 3DB19417AA faulty, commande passée vers OCM
19.04.26; Besoin d'un FME sur SUO_077_H_Buea-David-Square pour vérifier la chaine antennaire de l'ODU 3.2; FME Fabien activé pour investigations, update ASAP
19.04.26; Reste down après l'incident P2 sur Buea-David..;..;(04/28/2026 com ran 10h): 20.04.26; Carte EAC 3DB19417AA faulty, commande passée vers OCM
19.04.26; Besoin d'un FME sur SUO_077_H_Buea-David-Square pour vérifier la chaine antennaire de l'ODU 3.2; FME Fabien activé pour investigations, update ASAP
19.04.26; Reste down après l'incident P2 sur Buea-David..;..;(04/28/2026 ocm ran 00h): 20.04.26; Carte EAC 3DB19417AA faulty, commande passée vers OCM
19.04.26; Besoin d'un FME sur SUO_077_H_Buea-David-Square pour vérifier la chaine antennaire de l'ODU 3.2; FME Fabien activé pour investigations, update ASAP
19.04.26; Reste down après l'incident P2 sur Buea-David</t>
  </si>
  <si>
    <t>20.04.26; Carte EAC 3DB19417AA faulty, commande passée vers OCM 19.04.26; Besoin d'un FME sur SUO_077_H_Buea-David-Square pour vérifier la chaine antennaire de l'ODU 3.2; FME Fabien activé pour investigations, update ASAP 19.04.26; Reste down après l'incident P2 sur Buea-David.;.; 20.04.26; Carte EAC 3DB19417AA faulty, commande passée vers OCM 19.04.26; Besoin d'un FME sur SUO_077_H_Buea-David-Square pour vérifier la chaine antennaire de l'ODU 3.2; FME Fabien activé pour investigations, update ASAP 19.04.26; Reste down après l'incident P2 sur Buea-David.;.;(04/28/2026 com ran 10h) 20.04.26; Carte EAC 3DB19417AA faulty, commande passée vers OCM 19.04.26; Besoin d'un FME sur SUO_077_H_Buea-David-Square pour vérifier la chaine antennaire de l'ODU 3.2; FME Fabien activé pour investigations, update ASAP 19.04.26; Reste down après l'incident P2 sur Buea-David.;.;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</si>
  <si>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(04/28/2026 ocm ran 19h): 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..;..;(04/28/2026 ocm ran 14h):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..;..;(04/28/2026 com ran 10h):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..;..;(04/28/2026 ocm ran 00h):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</si>
  <si>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04/28/2026 com ran 10h)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 27/04/2026 power issue sur site escalade L4 IHS 25/04/2026 FME sur site power issue evidence transmis a IHS 25/04/2026 Besoin d'un fme sur site pour verifier le status du MPR et la chaine antennaire de l ODU 3/1 FME uche activé ETA=13H UTC 24/04/2026 Rectifiers hanging. Rectifiers reset. Escalade L2 IHS</t>
  </si>
  <si>
    <t>(04/28/2026 cell zte): 28/04/2026 : Power issue || Mail sent to Camusat..;..;(04/28/2026 ocm ran 19h): Power status check ongoing..;..;(04/28/2026 ticket): INC-20260428-00012413…2026-04-29 02:58:23…Besoin d'un FME sur site pour vérifier le statut de la BBU et son interco avec le MPR S1P6; FME Mouamadou activé pour investigations, update ASAP</t>
  </si>
  <si>
    <t>04/28/2026 cell zte) 28/04/2026 Power issue Mail sent to Camusat.;.; 2026-04-29 02 58 23…Besoin d'un FME sur site pour vérifier le statut de la BBU et son interco avec le MPR S1P6; FME Mouamadou activé pour investigations, update ASAP</t>
  </si>
  <si>
    <t>MUTENGENE-Q12-IHS</t>
  </si>
  <si>
    <t>SUO_211</t>
  </si>
  <si>
    <t>Grid +Gen</t>
  </si>
  <si>
    <t>(04/28/2026 cell huawei): 28/04/2026 : Besoin d'analyse BO RAN || FME should check and clean jumper, port 3 &amp; 4 of RRU 80..;..;(04/28/2026 cell huawei): 28/04/2026 : Besoin d'analyse BO RAN || FME should check and clean jumper, port 3 &amp; 4 of RRU 80 || Intervention reportee a demain pour cause de pluie..;..;(04/28/2026 cell huawei): 28/04/2026 : Besoin d'analyse BO RAN || FME should check and clean jumper, port 3 &amp; 4 of RRU 80 || Intervention reportee a demain pour cause de pluie..;..;(04/28/2026 ocm ran 19h): Power status check ongoing</t>
  </si>
  <si>
    <t>04/28/2026 cell huawei) 28/04/2026 Besoin d'analyse BO RAN FME should check and clean jumper, port 3 4 of RRU 80.;.;(04/28/2026 cell huawei) 28/04/2026 Besoin d'analyse BO RAN FME should check and clean jumper, port 3 4 of RRU 80 Intervention reportee a demain pour cause de pluie.;.;(04/28/2026 cell huawei) 28/04/2026 Besoin d'analyse BO RAN FME should check and clean jumper, port 3 4 of RRU 80 Intervention reportee a demain pour cause de pluie.;.; Power status check ongoing</t>
  </si>
  <si>
    <t>(04/28/2026 com ran 10h): 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L3..;..;(04/28/2026 ocm ran 00h): 27/04/2026 26/04/2026 team en route pour Verifier la continuté du delsetage
26/04/2026 team en route pour Verifier la continuté du delsetage ETR 35min
24.04.26: Grid outage, Grid only site / Grid return awaited - Escalade L4
23.04.26: Grid outage, Grid only site / Grid return awaited - Escalade L3</t>
  </si>
  <si>
    <t>04/28/2026 com ran 10h) 27/04/2026 26/04/2026 team en route pour Verifier la continuté du delsetage 26/04/2026 team en route pour Verifier la continuté du delsetage ETR 35min 24.04.26 Grid outage, Grid only site Grid return awaited Escalade L4 23.04.26 Grid outage, Grid only site Grid return awaited Escalade L3.;.; 27/04/2026 26/04/2026 team en route pour Verifier la continuté du delsetage 26/04/2026 team en route pour Verifier la continuté du delsetage ETR 35min 24.04.26 Grid outage, Grid only site Grid return awaited Escalade L4 23.04.26 Grid outage, Grid only site Grid return awaited Escalade L3</t>
  </si>
  <si>
    <t xml:space="preserve">(04/28/2026 cell zte): 28/04/2026 : Besoin d'analyse BO RAN || Site unstable due to power issue </t>
  </si>
  <si>
    <t>04/28/2026 cell zte) 28/04/2026 Besoin d'analyse BO RAN Site unstable due to power issue</t>
  </si>
  <si>
    <t>(04/28/2026 com ran 10h): 27.04.26: Power alarms; MTN is activated to check, escalated to L2..;..;(04/28/2026 ocm ran 00h): 27.04.26: Power alarms; MTN is activated to check, escalated to L2</t>
  </si>
  <si>
    <t>04/28/2026 com ran 10h) 27.04.26 Power alarms; MTN is activated to check, escalated to L2.;.; 27.04.26 Power alarms; MTN is activated to check, escalated to L2</t>
  </si>
  <si>
    <t>(04/28/2026 retour IHS ): Power issue NUR to be checked   ||  (04/28/2026 hourly IHS): Rectifiers hanging due to base connectors faulty..;..;(04/28/2026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HIS..;..;(04/28/2026 cell huawei):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HIS..;..;(04/28/2026 ocm ran 19h): Power status check ongoing</t>
  </si>
  <si>
    <t>Power issue NUR to be checked Rectifiers hanging due to base connectors faulty.;.;(04/28/2026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HIS.;.;(04/28/2026 cell huawei) 27/04/2026 Le work around que nous avons implémenter n’a pas fonctionner normalement, nous allons remplacer la baie le weekend, le process est en cours. 23/04/2026 Power instability Nous avons un sérieux problème de base connector sur ce site qui ont été affectes pas les mauvaises tensions Eneo d'ici la semaine prochaine nous allons stabiliser ce site Besoin d'un ETR envoye ce jour a HIS.;.; Power status check ongoing</t>
  </si>
  <si>
    <t>(04/28/2026 retour IHS ): Power issue NUR to be checked   ||  (04/28/2026 hourly IHS): Gen and PWC Overload...;..;(04/28/2026 ocm ran 19h): 27.04.26: IHS : Gen and PWC Overload. - Escalated to L4
24.04.26: IHS : Gen and PWC Overload. - Escalated to L3
23/04/2026 IHS : grid outage gen overload..;..;(04/28/2026 ocm ran 14h): 27.04.26: IHS : Gen and PWC Overload. - Escalated to L4
24.04.26: IHS : Gen and PWC Overload. - Escalated to L3
23/04/2026 IHS : grid outage gen overload..;..;(04/28/2026 com ran 10h): 27.04.26: IHS : Gen and PWC Overload. - Escalated to L4
24.04.26: IHS : Gen and PWC Overload. - Escalated to L3
23/04/2026 IHS : grid outage gen overload..;..;(04/28/2026 ocm ran 00h): 27.04.26: IHS : Gen and PWC Overload. - Escalated to L4
24.04.26: IHS : Gen and PWC Overload. - Escalated to L3
23/04/2026 IHS : grid outage gen overload</t>
  </si>
  <si>
    <t>Power issue NUR to be checked Gen and PWC Overload.;.; 27.04.26 IHS Gen and PWC Overload. Escalated to L4 24.04.26 IHS Gen and PWC Overload. Escalated to L3 23/04/2026 IHS grid outage gen overload.;.; 27.04.26 IHS Gen and PWC Overload. Escalated to L4 24.04.26 IHS Gen and PWC Overload. Escalated to L3 23/04/2026 IHS grid outage gen overload.;.;(04/28/2026 com ran 10h) 27.04.26 IHS Gen and PWC Overload. Escalated to L4 24.04.26 IHS Gen and PWC Overload. Escalated to L3 23/04/2026 IHS grid outage gen overload.;.; 27.04.26 IHS Gen and PWC Overload. Escalated to L4 24.04.26 IHS Gen and PWC Overload. Escalated to L3 23/04/2026 IHS grid outage gen overload</t>
  </si>
  <si>
    <t xml:space="preserve">(04/28/2026 ocm ran 19h):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..;..;(04/28/2026 ocm ran 14h):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..;..;(04/28/2026 com ran 10h):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..;..;(04/28/2026 ocm ran 00h):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</si>
  <si>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04/28/2026 com ran 10h)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t>
  </si>
  <si>
    <t>(04/28/2026 ocm ran 19h): 20.04.26; ODU MPT MC 8GHZ 3DB20773CB faulty and not available, order done to OCM
19.04.26; ODU 3DB20773CB faulty, commande en cours
19.04.26; Besoin d'un FME sur NRD_172_SAKDJE pour vérifier la chaine antennaire de l'ODU 4.3; FME Belo activé pour investigations, ETA=17H UTC..;..;(04/28/2026 ocm ran 14h): 20.04.26; ODU MPT MC 8GHZ 3DB20773CB faulty and not available, order done to OCM
19.04.26; ODU 3DB20773CB faulty, commande en cours
19.04.26; Besoin d'un FME sur NRD_172_SAKDJE pour vérifier la chaine antennaire de l'ODU 4.3; FME Belo activé pour investigations, ETA=17H UTC..;..;(04/28/2026 com ran 10h): 20.04.26; ODU MPT MC 8GHZ 3DB20773CB faulty and not available, order done to OCM
19.04.26; ODU 3DB20773CB faulty, commande en cours
19.04.26; Besoin d'un FME sur NRD_172_SAKDJE pour vérifier la chaine antennaire de l'ODU 4.3; FME Belo activé pour investigations, ETA=17H UTC..;..;(04/28/2026 ocm ran 00h): 20.04.26; ODU MPT MC 8GHZ 3DB20773CB faulty and not available, order done to OCM
19.04.26; ODU 3DB20773CB faulty, commande en cours
19.04.26; Besoin d'un FME sur NRD_172_SAKDJE pour vérifier la chaine antennaire de l'ODU 4.3; FME Belo activé pour investigations, ETA=17H UTC</t>
  </si>
  <si>
    <t>20.04.26; ODU MPT MC 8GHZ 3DB20773CB faulty and not available, order done to OCM 19.04.26; ODU 3DB20773CB faulty, commande en cours 19.04.26; Besoin d'un FME sur NRD_172_SAKDJE pour vérifier la chaine antennaire de l'ODU 4.3; FME Belo activé pour investigations, ETA=17H UTC.;.; 20.04.26; ODU MPT MC 8GHZ 3DB20773CB faulty and not available, order done to OCM 19.04.26; ODU 3DB20773CB faulty, commande en cours 19.04.26; Besoin d'un FME sur NRD_172_SAKDJE pour vérifier la chaine antennaire de l'ODU 4.3; FME Belo activé pour investigations, ETA=17H UTC.;.;(04/28/2026 com ran 10h) 20.04.26; ODU MPT MC 8GHZ 3DB20773CB faulty and not available, order done to OCM 19.04.26; ODU 3DB20773CB faulty, commande en cours 19.04.26; Besoin d'un FME sur NRD_172_SAKDJE pour vérifier la chaine antennaire de l'ODU 4.3; FME Belo activé pour investigations, ETA=17H UTC.;.; 20.04.26; ODU MPT MC 8GHZ 3DB20773CB faulty and not available, order done to OCM 19.04.26; ODU 3DB20773CB faulty, commande en cours 19.04.26; Besoin d'un FME sur NRD_172_SAKDJE pour vérifier la chaine antennaire de l'ODU 4.3; FME Belo activé pour investigations, ETA=17H UTC</t>
  </si>
  <si>
    <t>(04/28/2026 ocm ran 19h): 27/04/2026 Generateur vendalisé restauration en cours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level0..;..;(04/28/2026 ocm ran 14h): 27/04/2026 Generateur vendalisé restauration en cours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level0..;..;(04/28/2026 com ran 10h):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level0..;..;(04/28/2026 ocm ran 00h):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</si>
  <si>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27/04/2026 Generateur vendalisé restauration en cours 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 27/04/2026 Generateur vendalisé restauration en cours 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level0.;.;(04/28/2026 com ran 10h) 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 27/04/2026 Remplacemet du cable prevue pour Mardi NB Lundi ghost Townn 26/04/2026 Remplacemet du cable prevue pour Mardi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</si>
  <si>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(04/28/2026 ocm ran 19h):  28.04.2026: Le IBUC semple faulty le FAN ne tourne pas intervention toujours en cours ETR 15H30 
27.04.26: Besoin d'un FME sur site pour vérifier le statut du BUC; CM-20260427-00005663; FME Essiane activé pour investigations, update ASAP..;..;(04/28/2026 ocm ran 14h): 27.04.26: Besoin d'un FME sur site pour vérifier le statut du BUC; CM-20260427-00005663; FME Essiane activé pour investigations, update ASAP..;..;(04/28/2026 com ran 10h): 27.04.26: Besoin d'un FME sur site pour vérifier le statut du BUC; CM-20260427-00005663; FME Essiane activé pour investigations, update ASAP..;..;(04/28/2026 ocm ran 00h): 27.04.26: Besoin d'un FME sur site pour vérifier le statut du BUC; CM-20260427-00005663; FME Essiane activé pour investigations, update ASAP</t>
  </si>
  <si>
    <t>28.04.2026 Le IBUC semple faulty le FAN ne tourne pas intervention toujours en cours ETR 15H30 27.04.26 Besoin d'un FME sur site pour vérifier le statut du BUC; FME Essiane activé pour investigations, update ASAP.;.; 27.04.26 Besoin d'un FME sur site pour vérifier le statut du BUC; FME Essiane activé pour investigations, update ASAP.;.;(04/28/2026 com ran 10h) 27.04.26 Besoin d'un FME sur site pour vérifier le statut du BUC; FME Essiane activé pour investigations, update ASAP.;.; 27.04.26 Besoin d'un FME sur site pour vérifier le statut du BUC; FME Essiane activé pour investigations, update ASAP</t>
  </si>
  <si>
    <t>(04/28/2026 retour IHS ): Power issue NUR to be checked   ||  (04/28/2026 cell zte): 28/04/2026 : Power issue || Mail sent to IHS..;..;(04/28/2026 ticket): INC-20260428-00002975…Grid fluctuation, site went down because Gen started and stopped to start due to grid bad voltage// He bypassed the grid and started Gen manually…Grid fluctuation, site went down because Gen started and stopped to start due to grid bad voltage// He bypassed the grid and started Gen manually…GE Fault</t>
  </si>
  <si>
    <t>Power issue NUR to be checked 04/28/2026 cell zte) 28/04/2026 Power issue Mail sent to IHS.;.; Grid fluctuation, site went down because Gen started and stopped to start due to grid bad voltage// He bypassed the grid and started Gen manually…Grid fluctuation, site went down because Gen started and stopped to start due to grid bad voltage// He bypassed the grid and started Gen manually…GE Fault</t>
  </si>
  <si>
    <t>(04/28/2026 ocm ran 19h): 28/04/2026 AOF_AngeRaphael_CiteSIC is down
Please to involve CDS for investigation..;..;(04/28/2026 ocm ran 14h): Power status check ongoing..;..;(04/28/2026 ticket): INC-20260428-00009047…2026-04-28 18:01:35…CDS activé pour action
AOF_AngeRaphael_CiteSIC is down
Please to involve CDS for investigation…grid only  site . 
poor backup batteries.
eneo outage at moment .</t>
  </si>
  <si>
    <t>28/04/2026 AOF_AngeRaphael_CiteSIC is down Please to involve CDS for investigation.;.; 2026-04-28 18 01 35…CDS activé pour action AOF_AngeRaphael_CiteSIC is down Please to involve CDS for investigation…grid only site poor backup batteries. eneo outage at moment</t>
  </si>
  <si>
    <t>(04/28/2026 ocm ran 19h): 28/04/2026 Grid outage grid only site / grid return awaited..;..;(04/28/2026 ocm ran 14h): Power status check ongoing..;..;(04/28/2026 ticket): INC-20260428-00006751…2026-04-28 10:59:33…Grid outage grid only site / grid return awaited</t>
  </si>
  <si>
    <t>28/04/2026 Grid outage grid only site grid return awaited.;.; 2026-04-28 10 59 33…Grid outage grid only site grid return awaited</t>
  </si>
  <si>
    <t>(04/28/2026 ocm ran 14h): Power status check ongoing ||  04/28/2026: hardware issue,  site with GPS issue (alarm : TDD down 09Apr 02pm)</t>
  </si>
  <si>
    <t>Power status check ongoing 04/28/2026 hardware issue, site with GPS issue alarm TDD down 09Apr 02pm)</t>
  </si>
  <si>
    <t>Buea-Prime22</t>
  </si>
  <si>
    <t>SUO_241</t>
  </si>
  <si>
    <t>(04/28/2026 ocm ran 19h): 28/04/2026 Besoin d'un fm sur site pour verifier le status du MPR et la chaine antennaire de l ODU ..;..;(04/28/2026 com ran 10h): Power status check ongoing..;..;(04/28/2026 ocm ran 00h): power status check ongoing || (groupe whatsapp ): SUO_241_H_Buea-Prime22; Need FME on site to check antenna chain of ODU 3.1
@+237 6 95 93 66 51 fya</t>
  </si>
  <si>
    <t>28/04/2026 Besoin d'un fm sur site pour verifier le status du MPR et la chaine antennaire de l ODU 04/28/2026 com ran 10h) power status check ongoing groupe whatsapp SUO_241_H_Buea-Prime22; Need FME on site to check antenna chain of ODU 3.1 237 6 95 93 66 51 fya</t>
  </si>
  <si>
    <t>Mbalgong-Carrefour</t>
  </si>
  <si>
    <t>CTR_831</t>
  </si>
  <si>
    <t>(04/28/2026 ocm ran 14h): Power status check ongoing..;..;(04/28/2026 ticket): INC-20260428-00007411…2026-04-28 11:35:22…Probably grid outage/The technician will check</t>
  </si>
  <si>
    <t>2026-04-28 11 35 22…Probably grid outage/The technician will check</t>
  </si>
  <si>
    <t>(04/28/2026 hourly IHS): FME Jonas is managing with level 0...;..;(04/28/2026 ocm ran 19h): 28/04/2026 Besoin d'un fme sur site pour effectuer le reset du MPR ..;..;(04/28/2026 ocm ran 14h): Power status check ongoing</t>
  </si>
  <si>
    <t>FME Jonas is managing with level 0.;.; 28/04/2026 Besoin d'un fme sur site pour effectuer le reset du MPR Power status check ongoing</t>
  </si>
  <si>
    <t>(04/28/2026 retour IHS ): Power issue NUR to be checked   ||  (04/28/2026 hourly IHS): Grid only no space to delopyed MGE//awaiting Grid return//Francois is on site..;..;(04/28/2026 cell zte): 28/04/2026 : Besoin d'analyse BO RAN || Site unstable due to power issue ..;..;(04/28/2026 com ran 10h): Power status check ongoing..;..;(04/28/2026 ticket): INC-20260428-00015803</t>
  </si>
  <si>
    <t>Power issue NUR to be checked Grid only no space to delopyed MGE//awaiting Grid return//Francois is on site.;.;(04/28/2026 cell zte) 28/04/2026 Besoin d'analyse BO RAN Site unstable due to power issue 04/28/2026 com ran 10h)</t>
  </si>
  <si>
    <t>(04/28/2026 retour IHS ): Power issue NUR to be checked   ||  (04/28/2026 ticket): INC-20260428-00009038…Grid outage, Site went down before Gen start due to Poor backup // Grid Return…Grid outage, Site went down before Gen start due to Poor backup // Grid Return…GE Fault</t>
  </si>
  <si>
    <t>Power issue NUR to be checked Grid outage, Site went down before Gen start due to Poor backup Grid Return…Grid outage, Site went down before Gen start due to Poor backup Grid Return…GE Fault</t>
  </si>
  <si>
    <t>(04/28/2026 retour IHS ): Power issue NUR to be checked   ||  (04/28/2026 hourly IHS): Access issue ,Grid outage, site down because site behaves as Grid only site (Gen Noise)..;..;(04/28/2026 ocm ran 19h): 27.04.26: IHS: Access issue ,Grid outage, site down because site behaves as Grid only site (Gen Noise)..;..;(04/28/2026 ocm ran 14h): 27.04.26: IHS: Access issue ,Grid outage, site down because site behaves as Grid only site (Gen Noise)..;..;(04/28/2026 com ran 10h): 27.04.26: IHS: Access issue ,Grid outage, site down because site behaves as Grid only site (Gen Noise)..;..;(04/28/2026 ocm ran 00h): 27.04.26: IHS: Access issue ,Grid outage, site down because site behaves as Grid only site (Gen Noise)</t>
  </si>
  <si>
    <t>Power issue NUR to be checked Access issue Grid outage, site down because site behaves as Grid only site Gen Noise).;.; 27.04.26 IHS Access issue Grid outage, site down because site behaves as Grid only site Gen Noise).;.; 27.04.26 IHS Access issue Grid outage, site down because site behaves as Grid only site Gen Noise).;.;(04/28/2026 com ran 10h) 27.04.26 IHS Access issue Grid outage, site down because site behaves as Grid only site Gen Noise).;.; 27.04.26 IHS Access issue Grid outage, site down because site behaves as Grid only site Gen Noise)</t>
  </si>
  <si>
    <t xml:space="preserve">(04/28/2026 ocm ran 19h):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..;..;(04/28/2026 ocm ran 14h):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..;..;(04/28/2026 com ran 10h):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..;..;(04/28/2026 ocm ran 00h):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</si>
  <si>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04/28/2026 com ran 10h)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 22.04.26 Carte core EVO 1G et pas disponible en stock, commande en cours vers OCM 22.04.26; FME Samba en route pour le site, ETA=11H UTC FME sur site et investigations en cours, carte core EVO 1G probablement faulty 21/04/2026 Besoin d'un fme sur site pour verifier le status du MPR fme activé</t>
  </si>
  <si>
    <t>(04/28/2026 hourly IHS): Grid outage, No space to deploy MDG // awaiting grid return BATE and VENSA are informed..;..;(04/28/2026 ocm ran 19h): 27.04.26: IHS: Grid only, no space//awaiting grid return - Escalated to L4
24.04.26: IHS: Grid only, no space//awaiting grid return - Escalated to L2..;..;(04/28/2026 ocm ran 14h): 27.04.26: IHS: Grid only, no space//awaiting grid return - Escalated to L4
24.04.26: IHS: Grid only, no space//awaiting grid return - Escalated to L2..;..;(04/28/2026 com ran 10h): 27.04.26: IHS: Grid only, no space//awaiting grid return - Escalated to L4
24.04.26: IHS: Grid only, no space//awaiting grid return - Escalated to L2..;..;(04/28/2026 ocm ran 00h): 27.04.26: IHS: Grid only, no space//awaiting grid return - Escalated to L4
24.04.26: IHS: Grid only, no space//awaiting grid return - Escalated to L2</t>
  </si>
  <si>
    <t>Grid outage, No space to deploy MDG awaiting grid return BATE and VENSA are informed.;.; 27.04.26 IHS Grid only, no space//awaiting grid return Escalated to L4 24.04.26 IHS Grid only, no space//awaiting grid return Escalated to L2.;.; 27.04.26 IHS Grid only, no space//awaiting grid return Escalated to L4 24.04.26 IHS Grid only, no space//awaiting grid return Escalated to L2.;.;(04/28/2026 com ran 10h) 27.04.26 IHS Grid only, no space//awaiting grid return Escalated to L4 24.04.26 IHS Grid only, no space//awaiting grid return Escalated to L2.;.; 27.04.26 IHS Grid only, no space//awaiting grid return Escalated to L4 24.04.26 IHS Grid only, no space//awaiting grid return Escalated to L2</t>
  </si>
  <si>
    <t xml:space="preserve">(04/28/2026 ocm ran 19h): 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..;..;(04/28/2026 ocm ran 14h): 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..;..;(04/28/2026 com ran 10h): 27/04/2026 l'AOF est Down Oyomabang-Marche_Oyomabang et ODU faulty commande passé ETD asap 
26/04/2026 l'AOF est Down  lODU est HS sur le FH commande mail en cours pas disponible à Yaoundé
25/04/2026 Besoin d'un fme sur site pour verifier le status du MPR fme mouhamadou activé ..;..;(04/28/2026 ocm ran 00h): 27/04/2026 l'AOF est Down Oyomabang-Marche_Oyomabang et ODU faulty commande passé ETD asap 
26/04/2026 l'AOF est Down  lODU est HS sur le FH commande mail en cours pas disponible à Yaoundé
25/04/2026 Besoin d'un fme sur site pour verifier le status du MPR fme mouhamadou activé </t>
  </si>
  <si>
    <t>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04/28/2026 com ran 10h) 27/04/2026 l'AOF est Down Oyomabang-Marche_Oyomabang et ODU faulty commande passé ETD asap 26/04/2026 l'AOF est Down lODU est HS sur le FH commande mail en cours pas disponible à Yaoundé 25/04/2026 Besoin d'un fme sur site pour verifier le status du MPR fme mouhamadou activé 27/04/2026 l'AOF est Down Oyomabang-Marche_Oyomabang et ODU faulty commande passé ETD asap 26/04/2026 l'AOF est Down lODU est HS sur le FH commande mail en cours pas disponible à Yaoundé 25/04/2026 Besoin d'un fme sur site pour verifier le status du MPR fme mouhamadou activé</t>
  </si>
  <si>
    <t xml:space="preserve">(04/28/2026 hourly IHS): Grid outage, No space to deploy MDG // awaiting grid return VENSA is informed..;..;(04/28/2026 ocm ran 19h): 27.04.26: IHS: Grid only, no space//awaiting grid return - Escalated to L4
24.04.26: IHS: Grid only, no space//awaiting grid return escalade L2 IHS ..;..;(04/28/2026 ocm ran 14h): 27.04.26: IHS: Grid only, no space//awaiting grid return - Escalated to L4
24.04.26: IHS: Grid only, no space//awaiting grid return escalade L2 IHS ..;..;(04/28/2026 com ran 10h): 27.04.26: IHS: Grid only, no space//awaiting grid return - Escalated to L4
24.04.26: IHS: Grid only, no space//awaiting grid return escalade L2 IHS ..;..;(04/28/2026 ocm ran 00h): 27.04.26: IHS: Grid only, no space//awaiting grid return - Escalated to L4
24.04.26: IHS: Grid only, no space//awaiting grid return escalade L2 IHS </t>
  </si>
  <si>
    <t>Grid outage, No space to deploy MDG awaiting grid return VENSA is informed.;.; 27.04.26 IHS Grid only, no space//awaiting grid return Escalated to L4 24.04.26 IHS Grid only, no space//awaiting grid return escalade L2 IHS 27.04.26 IHS Grid only, no space//awaiting grid return Escalated to L4 24.04.26 IHS Grid only, no space//awaiting grid return escalade L2 IHS 04/28/2026 com ran 10h) 27.04.26 IHS Grid only, no space//awaiting grid return Escalated to L4 24.04.26 IHS Grid only, no space//awaiting grid return escalade L2 IHS 27.04.26 IHS Grid only, no space//awaiting grid return Escalated to L4 24.04.26 IHS Grid only, no space//awaiting grid return escalade L2 IHS</t>
  </si>
  <si>
    <t>(04/28/2026 ocm ran 19h): 28/04/2026 En attente de l'envoi du rapport à OCM
26/04/2026 Carte core Evo faulty /not available in the system, SPM informed through an email
26/04/2026 The FME should replace the Core-ENH board at Bonaminkengue / FME activated ETA 12H UTC..;..;(04/28/2026 ocm ran 14h): 28/04/2026 En attente de l'envoi du rapport à OCM
26/04/2026 Carte core Evo faulty /not available in the system, SPM informed through an email
26/04/2026 The FME should replace the Core-ENH board at Bonaminkengue / FME activated ETA 12H UTC..;..;(04/28/2026 com ran 10h): 26/04/2026 Carte core Evo faulty /not available in the system, SPM informed through an email
26/04/2026 The FME should replace the Core-ENH board at Bonaminkengue / FME activated ETA 12H UTC..;..;(04/28/2026 ocm ran 00h): 26/04/2026 Carte core Evo faulty /not available in the system, SPM informed through an email
26/04/2026 The FME should replace the Core-ENH board at Bonaminkengue / FME activated ETA 12H UTC</t>
  </si>
  <si>
    <t>28/04/2026 En attente de l'envoi du rapport à OCM 26/04/2026 Carte core Evo faulty not available in the system, SPM informed through an email 26/04/2026 The FME should replace the Core-ENH board at Bonaminkengue FME activated ETA 12H UTC.;.; 28/04/2026 En attente de l'envoi du rapport à OCM 26/04/2026 Carte core Evo faulty not available in the system, SPM informed through an email 26/04/2026 The FME should replace the Core-ENH board at Bonaminkengue FME activated ETA 12H UTC.;.;(04/28/2026 com ran 10h) 26/04/2026 Carte core Evo faulty not available in the system, SPM informed through an email 26/04/2026 The FME should replace the Core-ENH board at Bonaminkengue FME activated ETA 12H UTC.;.; 26/04/2026 Carte core Evo faulty not available in the system, SPM informed through an email 26/04/2026 The FME should replace the Core-ENH board at Bonaminkengue FME activated ETA 12H UTC</t>
  </si>
  <si>
    <t>(04/28/2026 hourly IHS): Grid outage, No space to deploy MDG // awaiting grid return..;..;(04/28/2026 ocm ran 19h): 27.04.26: IHS: Grid outage, No space to deploy MDG // awaiting grid return Francklin..;..;(04/28/2026 ocm ran 14h): 27.04.26: IHS: Grid outage, No space to deploy MDG // awaiting grid return Francklin..;..;(04/28/2026 com ran 10h): 27.04.26: IHS: Grid outage, No space to deploy MDG // awaiting grid return Francklin..;..;(04/28/2026 ocm ran 00h): 27.04.26: IHS: Grid outage, No space to deploy MDG // awaiting grid return Francklin</t>
  </si>
  <si>
    <t>Grid outage, No space to deploy MDG awaiting grid return.;.; 27.04.26 IHS Grid outage, No space to deploy MDG awaiting grid return Francklin.;.; 27.04.26 IHS Grid outage, No space to deploy MDG awaiting grid return Francklin.;.;(04/28/2026 com ran 10h) 27.04.26 IHS Grid outage, No space to deploy MDG awaiting grid return Francklin.;.; 27.04.26 IHS Grid outage, No space to deploy MDG awaiting grid return Francklin</t>
  </si>
  <si>
    <t xml:space="preserve">(04/28/2026 ocm ran 19h): 17/04/2026 Carte EAC (3DB19417AA )  faulty commandée passé pas disponible point transmis a OCM 
16/04/2026 Besoin d'un fme sur site pour verifier le status du MPR et la chaine antennaire de l ODU FME desmond activé ETA asap ..;..;(04/28/2026 ocm ran 14h): 17/04/2026 Carte EAC (3DB19417AA )  faulty commandée passé pas disponible point transmis a OCM 
16/04/2026 Besoin d'un fme sur site pour verifier le status du MPR et la chaine antennaire de l ODU FME desmond activé ETA asap ..;..;(04/28/2026 com ran 10h): 17/04/2026 Carte EAC (3DB19417AA )  faulty commandée passé pas disponible point transmis a OCM 
16/04/2026 Besoin d'un fme sur site pour verifier le status du MPR et la chaine antennaire de l ODU FME desmond activé ETA asap ..;..;(04/28/2026 ocm ran 00h): 17/04/2026 Carte EAC (3DB19417AA )  faulty commandée passé pas disponible point transmis a OCM 
16/04/2026 Besoin d'un fme sur site pour verifier le status du MPR et la chaine antennaire de l ODU FME desmond activé ETA asap </t>
  </si>
  <si>
    <t>17/04/2026 Carte EAC 3DB19417AA faulty commandée passé pas disponible point transmis a OCM 16/04/2026 Besoin d'un fme sur site pour verifier le status du MPR et la chaine antennaire de l ODU FME desmond activé ETA asap 17/04/2026 Carte EAC 3DB19417AA faulty commandée passé pas disponible point transmis a OCM 16/04/2026 Besoin d'un fme sur site pour verifier le status du MPR et la chaine antennaire de l ODU FME desmond activé ETA asap 04/28/2026 com ran 10h) 17/04/2026 Carte EAC 3DB19417AA faulty commandée passé pas disponible point transmis a OCM 16/04/2026 Besoin d'un fme sur site pour verifier le status du MPR et la chaine antennaire de l ODU FME desmond activé ETA asap 17/04/2026 Carte EAC 3DB19417AA faulty commandée passé pas disponible point transmis a OCM 16/04/2026 Besoin d'un fme sur site pour verifier le status du MPR et la chaine antennaire de l ODU FME desmond activé ETA asap</t>
  </si>
  <si>
    <t>(04/28/2026 ocm ran 19h):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town..;..;(04/28/2026 ocm ran 14h):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town..;..;(04/28/2026 com ran 10h):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town..;..;(04/28/2026 ocm ran 00h):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</si>
  <si>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town.;.;(04/28/2026 com ran 10h) 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no acces to day 16/04/2026 Check ongoing with level zero ETA11AM 15/04/2026 access not granted for this site for now we keep trying ESCALADE FM THEOPHILE 14/04/2026 remote check with Donald and FME ETA12AM utc pas d'acces red zone 13.04.26; Need FME at NRO_110_Oku to check antenna chain of ODU 5.1; FME Donald is activated to check, update ASAP 13/04/2026 Need FME on site to check MPR status, ODU 5.1 and antenna chain FME Donald activated ETA ASAP ghost town</t>
  </si>
  <si>
    <t xml:space="preserve">(04/28/2026 com ran 10h): Power status check ongoing..;..;(04/28/2026 ticket): INC-20260428-00011499 || power issue check the the courb on the platform , with alrm </t>
  </si>
  <si>
    <t>04/28/2026 com ran 10h) power issue check the the courb on the platform with alrm</t>
  </si>
  <si>
    <t>(04/28/2026 ocm ran 19h): Power status check ongoing..;..;(04/28/2026 ocm ran 14h): 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L3..;..;(04/28/2026 com ran 10h): 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L3..;..;(04/28/2026 ocm ran 00h): 27/04/2026 No space to deploy DG / continuté du delestage confirmé
26/04/2026 No space to deploy DG / continuté du delestage confirmé
24.04.26: Grid outage and grid only site, no space to deploy a GEM / Grid return awaited - Escalade L4
23.04.26: Grid outage and grid only site, no space to deploy a GEM / Grid return awaited - Escalade L3</t>
  </si>
  <si>
    <t>27/04/2026 No space to deploy DG continuté du delestage confirmé 26/04/2026 No space to deploy DG continuté du delestage confirmé 24.04.26 Grid outage and grid only site, no space to deploy a GEM Grid return awaited Escalade L4 23.04.26 Grid outage and grid only site, no space to deploy a GEM Grid return awaited Escalade L3.;.;(04/28/2026 com ran 10h) 27/04/2026 No space to deploy DG continuté du delestage confirmé 26/04/2026 No space to deploy DG continuté du delestage confirmé 24.04.26 Grid outage and grid only site, no space to deploy a GEM Grid return awaited Escalade L4 23.04.26 Grid outage and grid only site, no space to deploy a GEM Grid return awaited Escalade L3.;.; 27/04/2026 No space to deploy DG continuté du delestage confirmé 26/04/2026 No space to deploy DG continuté du delestage confirmé 24.04.26 Grid outage and grid only site, no space to deploy a GEM Grid return awaited Escalade L4 23.04.26 Grid outage and grid only site, no space to deploy a GEM Grid return awaited Escalade L3</t>
  </si>
  <si>
    <t>Ekombitie-II</t>
  </si>
  <si>
    <t>CTR_723</t>
  </si>
  <si>
    <t xml:space="preserve">(04/28/2026 ocm ran 14h): Power status check ongoing..;..;(04/28/2026 com ran 10h): Power status check ongoing..;..;(04/28/2026 ticket): INC-20260428-00005598…2026-04-28 15:20:07…No power issue site on Grid U=54V Iload=47A.  || checker la courbe power sur Elastic et presence l'alarme power </t>
  </si>
  <si>
    <t>04/28/2026 com ran 10h) 2026-04-28 15 20 07…No power issue site on Grid U=54V Iload=47A. checker la courbe power sur Elastic et presence l'alarme power</t>
  </si>
  <si>
    <t>(04/28/2026 top offenders): 29/04/2026 Team is in the way ETA = 11h UTC
28.04.26: Suite investigations avec le BO TX sur le site d'Okolo, CDS activé pour investiguer sur le lien AOF CTR_799_Z_Pont-Emana-MTN&lt;&gt;Okolo, update ASAP
28/042026 FME sur site travaux en cours avec le BO TX 
28.04.2026: FME Sur site intervention retardee par la pluie. Update sera partage ASAP ||(04/28/2026 ocm ran 19h): 28/042026 FME sur site traavaux en cours avec le BO TX 
28.04.2026: FME Sur site intervention retardee par la pluie. Update sera partage ASAP
27.04.26: Besoin d'un FME sur CTR_213_Z_Okolo pour investigations conjointes avec le BO TX; CM-20260427-00004269; FME Totat activé pour investigations, update ASAP..;..;(04/28/2026 ocm ran 14h): 28/042026 FME sur site traavaux en cours avec le BO TX 
28.04.2026: FME Sur site intervention retardee par la pluie. Update sera partage ASAP
27.04.26: Besoin d'un FME sur CTR_213_Z_Okolo pour investigations conjointes avec le BO TX; CM-20260427-00004269; FME Totat activé pour investigations, update ASAP..;..;(04/28/2026 com ran 10h): 28.04.2026: FME Sur site intervention retardee par la pluie. Update sera partage ASAP
27.04.26: Besoin d'un FME sur CTR_213_Z_Okolo pour investigations conjointes avec le BO TX; CM-20260427-00004269; FME Totat activé pour investigations, update ASAP..;..;(04/28/2026 ocm ran 00h): 27.04.26: Besoin d'un FME sur CTR_213_Z_Okolo pour investigations conjointes avec le BO TX; CM-20260427-00004269; FME Totat activé pour investigations, update ASAP</t>
  </si>
  <si>
    <t>29/04/2026 Team is in the way ETA 11h UTC 28.04.26 Suite investigations avec le BO TX sur le site d'Okolo, CDS activé pour investiguer sur le lien AOF CTR_799_Z_Pont-Emana-MTN&lt;&gt;Okolo, update ASAP 28/042026 FME sur site travaux en cours avec le BO TX 28.04.2026 FME Sur site intervention retardee par la pluie. Update sera partage ASAP 28/042026 FME sur site traavaux en cours avec le BO TX 28.04.2026 FME Sur site intervention retardee par la pluie. Update sera partage ASAP 27.04.26 Besoin d'un FME sur CTR_213_Z_Okolo pour investigations conjointes avec le BO TX; FME Totat activé pour investigations, update ASAP.;.; 28/042026 FME sur site traavaux en cours avec le BO TX 28.04.2026 FME Sur site intervention retardee par la pluie. Update sera partage ASAP 27.04.26 Besoin d'un FME sur CTR_213_Z_Okolo pour investigations conjointes avec le BO TX; FME Totat activé pour investigations, update ASAP.;.;(04/28/2026 com ran 10h) 28.04.2026 FME Sur site intervention retardee par la pluie. Update sera partage ASAP 27.04.26 Besoin d'un FME sur CTR_213_Z_Okolo pour investigations conjointes avec le BO TX; FME Totat activé pour investigations, update ASAP.;.; 27.04.26 Besoin d'un FME sur CTR_213_Z_Okolo pour investigations conjointes avec le BO TX; FME Totat activé pour investigations, update ASAP</t>
  </si>
  <si>
    <t>KOUSSERI-Douane-MTN</t>
  </si>
  <si>
    <t>EXN_246</t>
  </si>
  <si>
    <t>Kousseri</t>
  </si>
  <si>
    <t>(04/28/2026 ocm ran 19h): 27.04.26: Power alarms; MTN is activated to check, escalated to L2..;..;(04/28/2026 ocm ran 14h): 27.04.26: Power alarms; MTN is activated to check, escalated to L2..;..;(04/28/2026 com ran 10h): 27.04.26: Power alarms; MTN is activated to check, escalated to L2..;..;(04/28/2026 ocm ran 00h): 27.04.26: Power alarms; MTN is activated to check, escalated to L2</t>
  </si>
  <si>
    <t>27.04.26 Power alarms; MTN is activated to check, escalated to L2.;.; 27.04.26 Power alarms; MTN is activated to check, escalated to L2.;.;(04/28/2026 com ran 10h) 27.04.26 Power alarms; MTN is activated to check, escalated to L2.;.; 27.04.26 Power alarms; MTN is activated to check, escalated to L2</t>
  </si>
  <si>
    <t>(04/28/2026 cell nokia): 28/04/2026 : En attente d'analyse BO RAN ..;..;(04/28/2026 ocm ran 19h): 28/04/2026 |access negotiation ongoing
27/04/2026 |access negotiation ongoing
26/04/2026 Need FME on site to check ODU 4.2 and entenna chain / FME Donald manage with L0..;..;(04/28/2026 ocm ran 14h): 28/04/2026 |access negotiation ongoing
27/04/2026 |access negotiation ongoing
26/04/2026 Need FME on site to check ODU 4.2 and entenna chain / FME Donald manage with L0..;..;(04/28/2026 com ran 10h): Power status check ongoing..;..;(04/28/2026 ocm ran 00h): 27/04/2026 Road blocked No traffic if we can Go as planned on 29.04.2026
26/04/2026 Need FME on site to check ODU 4.2 and entenna chain / FME Donald manage with L0..;..;(04/28/2026 ticket): INC-20260428-00019164…2026-04-29 03:31:58…No Power Issue on Site U = 54V and site is on Gen. TX FME Donald 673152841 / Huawei is informed.…Others Transmission equipement fault</t>
  </si>
  <si>
    <t>04/28/2026 cell nokia) 28/04/2026 En attente d'analyse BO RAN 28/04/2026 access negotiation ongoing 27/04/2026 access negotiation ongoing 26/04/2026 Need FME on site to check ODU 4.2 and entenna chain FME Donald manage with L0.;.; 28/04/2026 access negotiation ongoing 27/04/2026 access negotiation ongoing 26/04/2026 Need FME on site to check ODU 4.2 and entenna chain FME Donald manage with L0.;.;(04/28/2026 com ran 10h) 27/04/2026 Road blocked No traffic if we can Go as planned on 29.04.2026 26/04/2026 Need FME on site to check ODU 4.2 and entenna chain FME Donald manage with L0.;.; 2026-04-29 03 31 58…No Power Issue on Site U 54V and site is on Gen. TX FME Donald 673152841 Huawei is informed.…</t>
  </si>
  <si>
    <t>(04/28/2026 ocm ran 19h): 28.04.2026: FME Sur site intervention retardee par la pluie. Update ASAP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UTC..;..;(04/28/2026 ocm ran 14h): 28.04.2026: FME Sur site intervention retardee par la pluie. Update ASAP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UTC..;..;(04/28/2026 com ran 10h): 28.04.2026: FME Sur site intervention retardee par la pluie. Update ASAP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UTC..;..;(04/28/2026 ocm ran 00h):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</si>
  <si>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28.04.2026 FME Sur site intervention retardee par la pluie. Update ASAP 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 28.04.2026 FME Sur site intervention retardee par la pluie. Update ASAP 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UTC.;.;(04/28/2026 com ran 10h) 28.04.2026 FME Sur site intervention retardee par la pluie. Update ASAP 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 27/04/2026 ODU en cours de dementelement 22.04.26; ODU MPT 7-8G 3DB20859AC faulty and not available, order done to customer 21/04/2026 Après avoir resertir le connecteur RJ45 côté IDU L'ODU ne s'allume pas. Les check vont continuer demain en aérien il fait déjà nuit. 21.04.26; Besoin d'un FME sur CTR_006_Mbankolo pour vérifier la chaine antennaire de l'ODU 6.2 sur le 10G_MPR_2; FME Brice activé pour investigations, ETA=18H UTC</t>
  </si>
  <si>
    <t>(04/28/2026 retour IHS ): Power issue NUR to be checked   ||  (04/28/2026 ocm ran 19h):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0..;..;(04/28/2026 ocm ran 14h):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0..;..;(04/28/2026 com ran 10h):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0..;..;(04/28/2026 ocm ran 00h):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</si>
  <si>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issue NUR to be checked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0.;.;(04/28/2026 com ran 10h)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</si>
  <si>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(04/28/2026 retour IHS ): Power issue NUR to be checked   ||  (04/28/2026 cell zte): 28/04/2026 : Power issue || Mail sent to HIS || Feedback HIS 4/28/2026 The fme will reach the site after raining..;..;(04/28/2026 com ran 10h): Power status check ongoing..;..;(04/28/2026 ticket): INC-20260428-00006479</t>
  </si>
  <si>
    <t>Power issue NUR to be checked 04/28/2026 cell zte) 28/04/2026 Power issue Mail sent to HIS Feedback HIS 4/28/2026 The fme will reach the site after raining.;.;(04/28/2026 com ran 10h)</t>
  </si>
  <si>
    <t xml:space="preserve">(04/28/2026 cell nokia): 28/04/2026 : Need BO RAN analysis ..;..;(04/28/2026 ocm ran 14h): 28.04.2026: FME en intervention en ce moment sur PETTE, intervention sur Mazera programmée pour ce 30/04/2026(Pour Arriver sur site il faut deux jours. Route mauvaise et il faudra prendre la moto et pirogue)
27/04/2026 FME eric activé manage avec level 0 
Besoin d'un fme sur site pour verifier le status du MPR et la chaine antennaire de l ODU 3/1 ..;..;(04/28/2026 com ran 10h): 28.04.2026: FME en intervention en ce moment sur PETTE, intervention sur Mazera programmée pour ce 30/04/2026(Pour Arriver sur site il faut deux jours. Route mauvaise et il faudra prendre la moto et pirogue)
27/04/2026 FME eric activé manage avec level 0 
Besoin d'un fme sur site pour verifier le status du MPR et la chaine antennaire de l ODU 3/1 ..;..;(04/28/2026 ocm ran 00h): 27/04/2026 FME eric activé manage avec level 0 
Besoin d'un fme sur site pour verifier le status du MPR et la chaine antennaire de l ODU 3/1 </t>
  </si>
  <si>
    <t>04/28/2026 cell nokia) 28/04/2026 Need BO RAN analysis 28.04.2026 FME en intervention en ce moment sur PETTE, intervention sur Mazera programmée pour ce 30/04/2026(Pour Arriver sur site il faut deux jours. Route mauvaise et il faudra prendre la moto et pirogue) 27/04/2026 FME eric activé manage avec level 0 Besoin d'un fme sur site pour verifier le status du MPR et la chaine antennaire de l ODU 3/1 04/28/2026 com ran 10h) 28.04.2026 FME en intervention en ce moment sur PETTE, intervention sur Mazera programmée pour ce 30/04/2026(Pour Arriver sur site il faut deux jours. Route mauvaise et il faudra prendre la moto et pirogue) 27/04/2026 FME eric activé manage avec level 0 Besoin d'un fme sur site pour verifier le status du MPR et la chaine antennaire de l ODU 3/1 27/04/2026 FME eric activé manage avec level 0 Besoin d'un fme sur site pour verifier le status du MPR et la chaine antennaire de l ODU 3/1</t>
  </si>
  <si>
    <t>Garoua-Nigeriare-II</t>
  </si>
  <si>
    <t>NRD_140</t>
  </si>
  <si>
    <t xml:space="preserve">(04/28/2026 ocm ran 14h): Power status check ongoing || power issue , la tension est a 44.3V et il ya une coupure sur la courbe power </t>
  </si>
  <si>
    <t>Power status check ongoing power issue la tension est a 44.3V et il ya une coupure sur la courbe power</t>
  </si>
  <si>
    <t>(04/28/2026 ocm ran 19h): Power status check ongoing..;..;(04/28/2026 ticket): INC-20260428-00012644…2026-04-28 19:28:41…unknow / investigation ongoing by our FME</t>
  </si>
  <si>
    <t>2026-04-28 19 28 41…unknow investigation ongoing by our FME</t>
  </si>
  <si>
    <t>Buea-Boduma-IHS</t>
  </si>
  <si>
    <t>SUO_186</t>
  </si>
  <si>
    <t>(04/28/2026 ocm ran 19h): Power status check ongoing || (groupe whatsapp ): @~FoSocTeam please check power
SUO_186_H_Buea_Boduma-HIS</t>
  </si>
  <si>
    <t>Power status check ongoing groupe whatsapp FoSocTeam please check power SUO_186_H_Buea_Boduma-HIS</t>
  </si>
  <si>
    <t>(04/28/2026 ocm ran 19h): Power status check ongoing..;..;(04/28/2026 ticket): INC-20260428-00014666…2026-04-28 20:19:27…Our is trying to manage the point , by join the guard</t>
  </si>
  <si>
    <t>2026-04-28 20 19 27…Our is trying to manage the point by join the guard</t>
  </si>
  <si>
    <t>(04/28/2026 retour IHS ): Power issue NUR to be checked   ||  (04/28/2026 hourly IHS): Grid outage, No space to deploy MDG // awaiting grid return..;..;(04/28/2026 ocm ran 14h): Power status check ongoing..;..;(04/28/2026 ticket): INC-20260428-00008413</t>
  </si>
  <si>
    <t>Power issue NUR to be checked Grid outage, No space to deploy MDG awaiting grid return.;.;</t>
  </si>
  <si>
    <t>PK19</t>
  </si>
  <si>
    <t>LIT_584</t>
  </si>
  <si>
    <t xml:space="preserve">(04/28/2026 ocm ran 19h): Power status check ongoing  || Presence l'alarm power et il ya une coupure sur la courbe power </t>
  </si>
  <si>
    <t>Power status check ongoing Presence l'alarm power et il ya une coupure sur la courbe power</t>
  </si>
  <si>
    <t>(04/28/2026 retour IHS ): Power issue NUR to be checked   ||  (04/28/2026 hourly IHS): Grid only no space // awaiting grid return..;..;(04/28/2026 cell zte): 28/04/2026 : Power issue || Mail sent to IHS..;..;(04/28/2026 ocm ran 14h): Power status check ongoing..;..;(04/28/2026 ticket): INC-20260428-00008788</t>
  </si>
  <si>
    <t>Power issue NUR to be checked Grid only no space awaiting grid return.;.;(04/28/2026 cell zte) 28/04/2026 Power issue Mail sent to IHS.;.;</t>
  </si>
  <si>
    <t>(04/28/2026 ocm ran 14h): 28.04.26 Technicien sur site travaux sur le GE en cours 
27.04.26: Camusat: innvestigation ongoing / Our FME is trying to reach the level 0..;..;(04/28/2026 com ran 10h): 27.04.26: Camusat: innvestigation ongoing / Our FME is trying to reach the level 0..;..;(04/28/2026 ocm ran 00h): 27.04.26: Camusat: innvestigation ongoing / Our FME is trying to reach the level 0</t>
  </si>
  <si>
    <t>28.04.26 Technicien sur site travaux sur le GE en cours 27.04.26 Camusat innvestigation ongoing Our FME is trying to reach the level 0.;.;(04/28/2026 com ran 10h) 27.04.26 Camusat innvestigation ongoing Our FME is trying to reach the level 0.;.; 27.04.26 Camusat innvestigation ongoing Our FME is trying to reach the level 0</t>
  </si>
  <si>
    <t>(04/28/2026 cell zte): 28/04/2026 : Power issue || Mail sent to Camusat..;..;(04/28/2026 com ran 10h): Power status check ongoing..;..;(04/28/2026 ticket): INC-20260428-00006340…2026-04-28 10:26:10…GRID OUTAGE GRID ONLY SITE / AWATING GRID RETURN…GRID OUTAGE GRID ONLY SITE / AWATING GRID RETURN…Coupure Secteur…GRID OUTAGE GRID ONLY SITE / AWATING GRID RETURN</t>
  </si>
  <si>
    <t>04/28/2026 cell zte) 28/04/2026 Power issue Mail sent to Camusat.;.;(04/28/2026 com ran 10h) 2026-04-28 10 26 10…GRID OUTAGE GRID ONLY SITE AWATING GRID RETURN…GRID OUTAGE GRID ONLY SITE AWATING GRID RETURN…Coupure Secteur…GRID OUTAGE GRID ONLY SITE AWATING GRID RETURN</t>
  </si>
  <si>
    <t>Mbankolo-Camtel-II</t>
  </si>
  <si>
    <t>CTR_680</t>
  </si>
  <si>
    <t>(04/28/2026 com ran 10h): Power status check ongoing..;..;(04/28/2026 ticket): INC-20260428-00006433…2026-04-28 10:23:26…grid outage and gen failed to start because the gen was in manual mode / ok after gen put in AUTO…grid outage and gen failed to start because the gen was in manual mode / ok after gen put in AUTO…Others…grid outage and gen failed to start because the gen was in manual mode / ok after gen put in AUTO</t>
  </si>
  <si>
    <t>04/28/2026 com ran 10h) 2026-04-28 10 23 26…grid outage and gen failed to start because the gen was in manual mode ok after gen put in AUTO…grid outage and gen failed to start because the gen was in manual mode ok after gen put in AUTO…Others…grid outage and gen failed to start because the gen was in manual mode ok after gen put in AUTO</t>
  </si>
  <si>
    <t xml:space="preserve">(04/28/2026 ocm ran 19h): 28/08/2026 fme wily activé ETA=17H28 UTC 
Bo tx: activer le FME sur le site de Danfili-MTN-IHS-ADM_122 pour vérifier le statut du MPR et de la radio et des connectiques...;..;(04/28/2026 ocm ran 14h): 28.04.2026: FME Willy activated is managing ETA=13H
27/04/2026 BTS 4G down fme manage avec le level 0..;..;(04/28/2026 com ran 10h): 28.04.2026: FME Willy activated is managing ETA=13H
27/04/2026 BTS 4G down fme manage avec le level 0..;..;(04/28/2026 ocm ran 00h): 27/04/2026 BTS 4G down fme manage avec le level 0..;..;(04/28/2026 ticket): INC-20260428-00007106…2026-04-28 17:28:02…
28.04.2026: FME Willy actuellement sur site nous remonte que la carte core ne demarre pas commande en cours…carte core faulty </t>
  </si>
  <si>
    <t>28/08/2026 fme wily activé ETA=17H28 UTC Bo tx activer le FME sur le site de Danfili-MTN-IHS-ADM_122 pour vérifier le statut du MPR et de la radio et des connectiques.;.; 28.04.2026 FME Willy activated is managing ETA=13H 27/04/2026 BTS 4G down fme manage avec le level 0.;.;(04/28/2026 com ran 10h) 28.04.2026 FME Willy activated is managing ETA=13H 27/04/2026 BTS 4G down fme manage avec le level 0.;.; 27/04/2026 BTS 4G down fme manage avec le level 0.;.; 2026-04-28 17 28 02… 28.04.2026 FME Willy actuellement sur site nous remonte que la carte core ne demarre pas commande en cours…carte core faulty</t>
  </si>
  <si>
    <t xml:space="preserve">  04/28/2026: hardware issue,  site with GPS issue (alarm : TDD down 09Apr 02pm)</t>
  </si>
  <si>
    <t>04/28/2026 hardware issue, site with GPS issue alarm TDD down 09Apr 02pm)</t>
  </si>
  <si>
    <t xml:space="preserve">(04/28/2026 cell nokia): 28/04/2026 : Forte pluie dans la zone de bertoua || Intervention a faire est sur le pylone ||ETA : 29/04/2026 
27/04/2026 : Check breaker and  interconnection FRGU (sfp, optical fiber) between system and radio module, swap its if needed ||ME Mezazem activer || Action non aboutti avec le vel 0 || FME ira sur site demain 28/04/2026 ..;..;(04/28/2026 cell nokia): 28/04/2026 : Forte pluie dans la zone de bertoua || Intervention a faire est sur le pylone ||ETA : 29/04/2026 
27/04/2026 : Check breaker and  interconnection FRGU (sfp, optical fiber) between system and radio module, swap its if needed ||ME Mezazem activer || Action non aboutti avec le vel 0 || FME ira sur site demain 28/04/2026 ..;..;(04/28/2026 cell nokia): 28/04/2026 : Forte pluie dans la zone de bertoua || Intervention a faire est sur le pylone ||ETA : 29/04/2026 
27/04/2026 : Check breaker and  interconnection FRGU (sfp, optical fiber) between system and radio module, swap its if needed ||ME Mezazem activer || Action non aboutti avec le vel 0 || FME ira sur site demain 28/04/2026 </t>
  </si>
  <si>
    <t>04/28/2026 cell nokia) 28/04/2026 Forte pluie dans la zone de bertoua Intervention a faire est sur le pylone ETA 29/04/2026 27/04/2026 Check breaker and interconnection FRGU sfp, optical fiber) between system and radio module, swap its if needed ME Mezazem activer Action non aboutti avec le vel 0 FME ira sur site demain 28/04/2026 04/28/2026 cell nokia) 28/04/2026 Forte pluie dans la zone de bertoua Intervention a faire est sur le pylone ETA 29/04/2026 27/04/2026 Check breaker and interconnection FRGU sfp, optical fiber) between system and radio module, swap its if needed ME Mezazem activer Action non aboutti avec le vel 0 FME ira sur site demain 28/04/2026 04/28/2026 cell nokia) 28/04/2026 Forte pluie dans la zone de bertoua Intervention a faire est sur le pylone ETA 29/04/2026 27/04/2026 Check breaker and interconnection FRGU sfp, optical fiber) between system and radio module, swap its if needed ME Mezazem activer Action non aboutti avec le vel 0 FME ira sur site demain 28/04/2026</t>
  </si>
  <si>
    <t>04/28/2026: hardware issue,  site with GPS issue (alarm : TDD down 09Apr 02pm)</t>
  </si>
  <si>
    <t>(04/28/2026 ocm ran 14h): 27/04/2026  Nouvel ETR=28.04.26
23.04.26: En attente d'un nouvel ETR de l'ing OCM
20.04.26; Nouvel ETR=22.04.26
13/04/2026 Relance OCM en attente de retour
10.04.26; Nouvel ETR=12.04.26
07.04.26; Site UE relay, nouvel ETR=09.04.26..;..;(04/28/2026 com ran 10h): 27/04/2026  Nouvel ETR=28.04.26
23.04.26: En attente d'un nouvel ETR de l'ing OCM
20.04.26; Nouvel ETR=22.04.26
13/04/2026 Relance OCM en attente de retour
10.04.26; Nouvel ETR=12.04.26
07.04.26; Site UE relay, nouvel ETR=09.04.26..;..;(04/28/2026 ocm ran 00h): 27/04/2026  Nouvel ETR=28.04.26
23.04.26: En attente d'un nouvel ETR de l'ing OCM
20.04.26; Nouvel ETR=22.04.26
13/04/2026 Relance OCM en attente de retour
10.04.26; Nouvel ETR=12.04.26
07.04.26; Site UE relay, nouvel ETR=09.04.26</t>
  </si>
  <si>
    <t>27/04/2026 Nouvel ETR=28.04.26 23.04.26 En attente d'un nouvel ETR de l'ing OCM 20.04.26; Nouvel ETR=22.04.26 13/04/2026 Relance OCM en attente de retour 10.04.26; Nouvel ETR=12.04.26 07.04.26; Site UE relay, nouvel ETR=09.04.26.;.;(04/28/2026 com ran 10h) 27/04/2026 Nouvel ETR=28.04.26 23.04.26 En attente d'un nouvel ETR de l'ing OCM 20.04.26; Nouvel ETR=22.04.26 13/04/2026 Relance OCM en attente de retour 10.04.26; Nouvel ETR=12.04.26 07.04.26; Site UE relay, nouvel ETR=09.04.26.;.; 27/04/2026 Nouvel ETR=28.04.26 23.04.26 En attente d'un nouvel ETR de l'ing OCM 20.04.26; Nouvel ETR=22.04.26 13/04/2026 Relance OCM en attente de retour 10.04.26; Nouvel ETR=12.04.26 07.04.26; Site UE relay, nouvel ETR=09.04.26</t>
  </si>
  <si>
    <t>(04/28/2026 ocm ran 19h):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UTC..;..;(04/28/2026 ocm ran 14h):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UTC..;..;(04/28/2026 com ran 10h): 28.04.2026: Spare dementelee et Expedition en cours vers EDEA ETD=28.04.2026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UTC..;..;(04/28/2026 ocm ran 00h):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</si>
  <si>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28.04.2026 Spare dementelee et Expedition en cours vers EDEA ETD=28.04.2026 ETR=29/04/2026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 28.04.2026 Spare dementelee et Expedition en cours vers EDEA ETD=28.04.2026 ETR=29/04/2026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UTC.;.;(04/28/2026 com ran 10h) 28.04.2026 Spare dementelee et Expedition en cours vers EDEA ETD=28.04.2026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 27/04/2026 ODU en cours de dementelement 27/04/2026 ODU MPT 7-8G 3DB20858AC faulty en attente de retour OCM 26/04/2026 Feedback RM Honore Faulty spare part to be replaced/SPM is managing 25/04/2026 FME en route ETA=12H UTC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</si>
  <si>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Darrack-MTN-IHS</t>
  </si>
  <si>
    <t>EXN_133</t>
  </si>
  <si>
    <t>Darrack</t>
  </si>
  <si>
    <t>(04/28/2026 hourly IHS): Area attaqued by Boko Haram. No one can reach the site now. Awaiting updates. The site no longer appears in the client app</t>
  </si>
  <si>
    <t>Area attaqued by Boko Haram. No one can reach the site now. Awaiting updates. The site no longer appears in the client app</t>
  </si>
  <si>
    <t>(04/28/2026 cell nokia): 23/04/2026 : Relance faite hier 
22/04/2026 : Cable d'alimentation SPM vandaliser
21/04/2026 : Check breaker and  interconnection FXED, FXDB, FRMF (sfp, optical fiber) between system and radio module, swap its if needed || FME Tsafack ervis activer..;..;(04/28/2026 cell nokia): 23/04/2026 : Relance faite hier 
22/04/2026 : Cable d'alimentation SPM vandaliser
21/04/2026 : Check breaker and  interconnection FXED, FXDB, FRMF (sfp, optical fiber) between system and radio module, swap its if needed || FME Tsafack ervis activer..;..;(04/28/2026 cell nokia): 23/04/2026 : Relance faite hier 
22/04/2026 : Cable d'alimentation SPM vandaliser
21/04/2026 : Check breaker and  interconnection FXED, FXDB, FRMF (sfp, optical fiber) between system and radio module, swap its if needed || FME Tsafack ervis activer</t>
  </si>
  <si>
    <t>04/28/2026 cell nokia) 23/04/2026 Relance faite hier 22/04/2026 Cable d'alimentation SPM vandaliser 21/04/2026 Check breaker and interconnection FXED, FXDB, FRMF sfp, optical fiber) between system and radio module, swap its if needed FME Tsafack ervis activer.;.;(04/28/2026 cell nokia) 23/04/2026 Relance faite hier 22/04/2026 Cable d'alimentation SPM vandaliser 21/04/2026 Check breaker and interconnection FXED, FXDB, FRMF sfp, optical fiber) between system and radio module, swap its if needed FME Tsafack ervis activer.;.;(04/28/2026 cell nokia) 23/04/2026 Relance faite hier 22/04/2026 Cable d'alimentation SPM vandaliser 21/04/2026 Check breaker and interconnection FXED, FXDB, FRMF sfp, optical fiber) between system and radio module, swap its if needed FME Tsafack ervis activer</t>
  </si>
  <si>
    <t>(04/28/2026 ocm ran 19h):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"..;..;(04/28/2026 ocm ran 14h):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"..;..;(04/28/2026 com ran 10h):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"..;..;(04/28/2026 ocm ran 00h): 27/06/2026 Access banned by Separatists
24.04.26; Access banned by Separatist
23.04.26: FME en route pour le site, ETA=13H UTC // Red zone 
22.04.26; Besoin d'un FME sur site pour vérifier l'état du FAN du MPR et le remplacer au besoin, PN: 3DB18134BBAD01 FME activé eta asap "</t>
  </si>
  <si>
    <t>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 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 04/28/2026 com ran 10h) 28.04.2026 Site to be visited 30/04/2026 if access possible 27/06/2026 Access banned by Separatists 24.04.26; Access banned by Separatist 23.04.26 FME en route pour le site, ETA=13H UTC Red zone 22.04.26; Besoin d'un FME sur site pour vérifier l'état du FAN du MPR et le remplacer au besoin, PN 3DB18134BBAD01 FME activé eta asap 27/06/2026 Access banned by Separatists 24.04.26; Access banned by Separatist 23.04.26 FME en route pour le site, ETA=13H UTC Red zone 22.04.26; Besoin d'un FME sur site pour vérifier l'état du FAN du MPR et le remplacer au besoin, PN 3DB18134BBAD01 FME activé eta asap</t>
  </si>
  <si>
    <t>(04/28/2026 ocm ran 19h):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L5..;..;(04/28/2026 ocm ran 14h):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L5..;..;(04/28/2026 com ran 10h):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L5..;..;(04/28/2026 ocm ran 00h):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</si>
  <si>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L5.;.;(04/28/2026 com ran 10h)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escalade FM THEOPHILE PLAN TO 17/04/2026 15/04/2026 FME maange avec le level 0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</si>
  <si>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Edea-Ville</t>
  </si>
  <si>
    <t>LIT_078</t>
  </si>
  <si>
    <t>(04/28/2026 retour IHS ): Power issue NUR to be checked   ||  (04/28/2026 hourly IHS): FME is on the way ETA 10:15 PM Benoit informed Escalation done to Vensa..;..;(04/28/2026 cell zte): 28/04/2026 : Power issue || Mail sent to IHS..;..;(04/28/2026 ocm ran 19h): 28/04/2026 IHS: FME is on the way ETA 07:20 PM Benoit informed..;..;(04/28/2026 ticket): INC-20260428-00011477…2026-04-28 23:16:43…Grid outage,  Grid return but site still down due to bad voltage phase // He bypassed ATS</t>
  </si>
  <si>
    <t>Power issue NUR to be checked FME is on the way ETA 10 15 PM Benoit informed Escalation done to Vensa.;.;(04/28/2026 cell zte) 28/04/2026 Power issue Mail sent to IHS.;.; 28/04/2026 IHS FME is on the way ETA 07 20 PM Benoit informed.;.; 2026-04-28 23 16 43…Grid outage, Grid return but site still down due to bad voltage phase He bypassed ATS</t>
  </si>
  <si>
    <t xml:space="preserve"> (04/28/2026 retour IHS ): Power issue NUR to be checked   ||  checker la courbe power sur Imaster , il ya eu une coupure le 28 et il la presence des alarms power </t>
  </si>
  <si>
    <t>Power issue NUR to be checked checker la courbe power sur Imaster il ya eu une coupure le 28 et il la presence des alarms power</t>
  </si>
  <si>
    <t>Maroua-Makabaye</t>
  </si>
  <si>
    <t>EXN_234</t>
  </si>
  <si>
    <t>(04/28/2026 com ran 10h): 28.04.2026: FME try to get level 0
28.04.2026: Power Issue observed from efms view(U=46V). CAMUSAT Activated to share ETR</t>
  </si>
  <si>
    <t>04/28/2026 com ran 10h) 28.04.2026 FME try to get level 0 28.04.2026 Power Issue observed from efms view(U=46V). CAMUSAT Activated to share ETR</t>
  </si>
  <si>
    <t>(04/28/2026 retour IHS ): Power issue NUR to be checked   ||  (04/28/2026 hourly IHS): technician is manged with level zero</t>
  </si>
  <si>
    <t>Power issue NUR to be checked technician is manged with level zero</t>
  </si>
  <si>
    <t>(04/28/2026 ocm ran 19h): 28/04/2026 Site urelay point transmis a OCM ..;..;(04/28/2026 ocm ran 14h): Power status check ongoing..;..;(04/28/2026 ticket): INC-20260428-00008405…2026-04-28 19:25:04…Site U-relay…Site Ue-relay, niveau 0 activé pour effectuer un power reset sur la technologie.</t>
  </si>
  <si>
    <t>28/04/2026 Site urelay point transmis a OCM 2026-04-28 19 25 04…Site U-relay…Site Ue-relay, niveau 0 activé pour effectuer un power reset sur la technologie.</t>
  </si>
  <si>
    <t>(04/28/2026 ocm ran 00h): 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</si>
  <si>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27/04/2026 FME sur site travaux en cours ETR=14H30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</si>
  <si>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Bonamatoumbe-II</t>
  </si>
  <si>
    <t>LIT_364</t>
  </si>
  <si>
    <t>(04/28/2026 retour IHS ): Power issue NUR to be checked   ||  (04/28/2026 hourly IHS): FME is on thenway ETA 08:45 PM// Maxime is informed..;..;(04/28/2026 ocm ran 19h): 28/04/2026 FME is on site// Maxime is informed..;..;(04/28/2026 ocm ran 14h): Power status check ongoing..;..;(04/28/2026 ticket): INC-20260428-00009268…2026-04-28 23:12:13…Grid outage,site went down because Gen is faulty//Deployement of another Gen on site</t>
  </si>
  <si>
    <t>Power issue NUR to be checked FME is on thenway ETA 08 45 PM// Maxime is informed.;.; 28/04/2026 FME is on site// Maxime is informed.;.; 2026-04-28 23 12 13…Grid outage,site went down because Gen is faulty//Deployement of another Gen on site</t>
  </si>
  <si>
    <t>Garoua-Ngalbidje-II</t>
  </si>
  <si>
    <t>NRD_158</t>
  </si>
  <si>
    <t>(04/28/2026 ocm ran 19h): 28/04/2026 CAMUSAT: grid outage and gen failed to start due to gen card alarming gen failed to start..;..;(04/28/2026 ocm ran 14h): Power status check ongoing</t>
  </si>
  <si>
    <t>28/04/2026 CAMUSAT grid outage and gen failed to start due to gen card alarming gen failed to start.;.; Power status check ongoing</t>
  </si>
  <si>
    <t>(04/28/2026 ocm ran 14h): Power status check ongoing..;..;(04/28/2026 ticket): INC-20260428-00018200…2026-04-28 22:48:44…FME try to get level 0</t>
  </si>
  <si>
    <t>2026-04-28 22 48 44…FME try to get level 0</t>
  </si>
  <si>
    <t>Japoma-I</t>
  </si>
  <si>
    <t>LIT_725</t>
  </si>
  <si>
    <t>(04/28/2026 ocm ran 14h): Power status check ongoing..;..;(04/28/2026 ticket): INC-20260428-00008527…2026-04-28 13:43:13…grid outage and gen failed to start /technician is managing</t>
  </si>
  <si>
    <t>2026-04-28 13 43 13…grid outage and gen failed to start technician is managing</t>
  </si>
  <si>
    <t>Bastos-ART</t>
  </si>
  <si>
    <t>CTR_722</t>
  </si>
  <si>
    <t>(04/28/2026 ocm ran 14h): Power status check ongoing</t>
  </si>
  <si>
    <t>Power status check ongoing</t>
  </si>
  <si>
    <t>Obobogo-Paloma</t>
  </si>
  <si>
    <t>CTR_598</t>
  </si>
  <si>
    <t>(04/28/2026 ticket): INC-20260428-00016579…2026-04-28 22:17:01…investigations ongoing / FME is trying to get level0</t>
  </si>
  <si>
    <t>2026-04-28 22 17 01…investigations ongoing FME is trying to get level0</t>
  </si>
  <si>
    <t xml:space="preserve">(04/28/2026 cell zte): 28/04/2026 : Escalade faite au RM || feedback RM attendu
27/04/2026 : Fme a recu la spare ce jour et actuellement pas en sante || Intervention reportee
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..;..;(04/28/2026 cell zte): 28/04/2026 : Escalade faite au RM || Feedback RM : programmé pour aujourd'hui après la pluie on va essayer de remplacer les connecteurs
27/04/2026 : Fme a recu la spare ce jour et actuellement pas en sante || Intervention reportee
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..;..;(04/28/2026 cell zte): 
28/04/2026 : Escalade faite au RM || Feedback RM : programmé pour aujourd'hui après la pluie on va essayer de remplacer les connecteurs || Up apres remplacement du GPS
27/04/2026 : Fme a recu la spare ce jour et actuellement pas en sante || Intervention reportee
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</si>
  <si>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04/28/2026 cell zte) 28/04/2026 Escalade faite au RM feedback RM attendu 27/04/2026 Fme a recu la spare ce jour et actuellement pas en sante Intervention reportee 24/03/2026 Fme en route pour le site ETA 10H Apres troubleshooting entre le fme sur site et le support ZTE il a ete demande de commander un GPS complet Commande en cours 23/04/2026 Test de troobleshooting entre le Fme et le suport ZTE planifie pour demain 22/04/2026 RI en cours de redaction pour envoye a ZTE 21/04/2026 Fme actuellement sur site Intervention en cours Cables remplace mais probleme pas resolu check en cours 16/04/2026 Pas de spare disponible au HW SPMS Commande passee a OCM SPMS 15/04/2026 SPARE non disponible au WH du SBC Cde du RM passee a HW SPMS Feedback HW SPMS attendu 14/04/2026 Fme active ETA 12h Intervention en cours Feedback Fme les actions demandes par le BO RAN ont ete effectuees Prochaine etape remplacement du cable commande en cours 13/04/2026 Besoin d'analyse BO RAN Cell was down due to GPS instability Check GPS status 04/28/2026 cell zte) 28/04/2026 Escalade faite au RM Feedback RM programmé pour aujourd'hui après la pluie on va essayer de remplacer les connecteurs 27/04/2026 Fme a recu la spare ce jour et actuellement pas en sante Intervention reportee 24/03/2026 Fme en route pour le site ETA 10H Apres troubleshooting entre le fme sur site et le support ZTE il a ete demande de commander un GPS complet Commande en cours 23/04/2026 Test de troobleshooting entre le Fme et le suport ZTE planifie pour demain 22/04/2026 RI en cours de redaction pour envoye a ZTE 21/04/2026 Fme actuellement sur site Intervention en cours Cables remplace mais probleme pas resolu check en cours 16/04/2026 Pas de spare disponible au HW SPMS Commande passee a OCM SPMS 15/04/2026 SPARE non disponible au WH du SBC Cde du RM passee a HW SPMS Feedback HW SPMS attendu 14/04/2026 Fme active ETA 12h Intervention en cours Feedback Fme les actions demandes par le BO RAN ont ete effectuees Prochaine etape remplacement du cable commande en cours 13/04/2026 Besoin d'analyse BO RAN Cell was down due to GPS instability Check GPS status 04/28/2026 cell zte) 28/04/2026 Escalade faite au RM Feedback RM programmé pour aujourd'hui après la pluie on va essayer de remplacer les connecteurs Up apres remplacement du GPS 27/04/2026 Fme a recu la spare ce jour et actuellement pas en sante Intervention reportee 24/03/2026 Fme en route pour le site ETA 10H Apres troubleshooting entre le fme sur site et le support ZTE il a ete demande de commander un GPS complet Commande en cours 23/04/2026 Test de troobleshooting entre le Fme et le suport ZTE planifie pour demain 22/04/2026 RI en cours de redaction pour envoye a ZTE 21/04/2026 Fme actuellement sur site Intervention en cours Cables remplace mais probleme pas resolu check en cours 16/04/2026 Pas de spare disponible au HW SPMS Commande passee a OCM SPMS 15/04/2026 SPARE non disponible au WH du SBC Cde du RM passee a HW SPMS Feedback HW SPMS attendu 14/04/2026 Fme active ETA 12h Intervention en cours Feedback Fme les actions demandes par le BO RAN ont ete effectuees Prochaine etape remplacement du cable commande en cours 13/04/2026 Besoin d'analyse BO RAN Cell was down due to GPS instability Check GPS status</t>
  </si>
  <si>
    <t>Oyomabang-II</t>
  </si>
  <si>
    <t>CTR_865</t>
  </si>
  <si>
    <t>(04/28/2026 com ran 10h): Power status check ongoing..;..;(04/28/2026 ticket): INC-20260428-00006459…2026-04-28 11:12:17…grid outage grid only site /awaiting grid return…grid outage grid only site /awaiting grid return…Coupure Secteur…grid outage grid only site /awaiting grid return</t>
  </si>
  <si>
    <t>04/28/2026 com ran 10h) 2026-04-28 11 12 17…grid outage grid only site awaiting grid return…grid outage grid only site awaiting grid return…Coupure Secteur…grid outage grid only site awaiting grid return</t>
  </si>
  <si>
    <t xml:space="preserve">(04/28/2026 hourly IHS): Idriss is informed and managing with L0...;..;(04/28/2026 ocm ran 00h): 27/04/2026 fme hipolite actvé eta asap 
Besoin d'un fme sur site pour verifier le le status du MPR et la chaine antennaire de l ODU 3/1 </t>
  </si>
  <si>
    <t>Idriss is informed and managing with L0.;.; 27/04/2026 fme hipolite actvé eta asap Besoin d'un fme sur site pour verifier le le status du MPR et la chaine antennaire de l ODU 3/1</t>
  </si>
  <si>
    <t>Ndokoti-Carrefour-MTN</t>
  </si>
  <si>
    <t>LIT_684</t>
  </si>
  <si>
    <t>(04/28/2026 ocm ran 19h): Power status check ongoing..;..;(04/28/2026 ticket): INC-20260428-00011937…2026-04-28 18:29:29…Power issue on site</t>
  </si>
  <si>
    <t>2026-04-28 18 29 29…Power issue on site</t>
  </si>
  <si>
    <t>(04/28/2026 retour IHS ): Power issue NUR to be checked   ||  (04/28/2026 hourly IHS): Grid only no space // awaiting grid return..;..;(04/28/2026 ocm ran 14h): Power status check ongoing..;..;(04/28/2026 ticket): INC-20260428-00008691</t>
  </si>
  <si>
    <t>Power issue NUR to be checked Grid only no space awaiting grid return.;.;</t>
  </si>
  <si>
    <t>(04/28/2026 ocm ran 14h): Power status check ongoing..;..;(04/28/2026 com ran 10h): Power status check ongoing..;..;(04/28/2026 ocm ran 00h): power status check ongoing..;..;(04/28/2026 ticket): INC-20260428-00005133…2026-04-28 11:17:04…28.04.2025: Action en remote cote FE(WAZA) Pour remonter le site. Notons egalement qu'il y'a un defaut ODU sur le site. Le FME devra le remplace une fois la spare receptionnee…Others Transmission equipement fault</t>
  </si>
  <si>
    <t>04/28/2026 com ran 10h) 2026-04-28 11 17 04…28.04.2025 Action en remote cote FE(WAZA) Pour remonter le site. Notons egalement qu'il y'a un defaut ODU sur le site. Le FME devra le remplace une fois la spare receptionnee…</t>
  </si>
  <si>
    <t>(04/28/2026 retour IHS ): Power issue NUR to be checked   ||  (04/28/2026 hourly IHS): Fme is informed and managing with L0..;..;(04/28/2026 ocm ran 14h): Power status check ongoing..;..;(04/28/2026 ticket): INC-20260428-00011346…Rectifiers hanging due to MPR faulty. // Rectifiers reset and 1 rectifier added.…Rectifiers hanging due to MPR faulty. // Rectifiers reset and 1 rectifier added.…GE Fault</t>
  </si>
  <si>
    <t>Power issue NUR to be checked Fme is informed and managing with L0.;.; Rectifiers hanging due to MPR faulty. Rectifiers reset and 1 rectifier added.…Rectifiers hanging due to MPR faulty. Rectifiers reset and 1 rectifier added.…GE Fault</t>
  </si>
  <si>
    <t>(04/28/2026 com ran 10h): Power status check ongoing..;..;(04/28/2026 ticket): INC-20260428-00011467…probleme d energie Sur le site, Les equipments ne sont Pas alimentés …Others Transmission equipement fault</t>
  </si>
  <si>
    <t>04/28/2026 com ran 10h) probleme d energie Sur le site, Les equipments ne sont Pas alimentés</t>
  </si>
  <si>
    <t>(04/28/2026 ocm ran 00h): 27.04.26: Camusat:  Our FME is trying to reach the level 0</t>
  </si>
  <si>
    <t>27.04.26 Camusat Our FME is trying to reach the level 0</t>
  </si>
  <si>
    <t>Bafut-Swie-Hill-IHS</t>
  </si>
  <si>
    <t>NRO_102</t>
  </si>
  <si>
    <t>Bafut</t>
  </si>
  <si>
    <t>(04/28/2026 hourly IHS): FME Moses managing with level 0 due to insecurity..;..;(04/28/2026 ocm ran 00h): 27.04.26: IHS: FME Moses is managing with level 0</t>
  </si>
  <si>
    <t>FME Moses managing with level 0 due to insecurity.;.; 27.04.26 IHS FME Moses is managing with level 0</t>
  </si>
  <si>
    <t>(04/28/2026 ocm ran 19h): Power status check ongoing</t>
  </si>
  <si>
    <t>(04/28/2026 cell huawei): 28/04/2026 : ETA 12H || Connecteur d'alimentation faulty || Pas dispo au WH. Cde passee au SPMS HW
27/04/2026 : Besoin d'analyse BO RAN || RRU 71 faulty : RF Unit DC Input Power Failure. Verifier l'alimentation de la RRU 71..;..;(04/28/2026 cell huawei): 28/04/2026 : ETA 12H || Connecteur d'alimentation faulty || Pas dispo au WH. Cde passee au SPMS HW
27/04/2026 : Besoin d'analyse BO RAN || RRU 71 faulty : RF Unit DC Input Power Failure. Verifier l'alimentation de la RRU 71</t>
  </si>
  <si>
    <t>04/28/2026 cell huawei) 28/04/2026 ETA 12H Connecteur d'alimentation faulty Pas dispo au WH. Cde passee au SPMS HW 27/04/2026 Besoin d'analyse BO RAN RRU 71 faulty RF Unit DC Input Power Failure. Verifier l'alimentation de la RRU 71.;.;(04/28/2026 cell huawei) 28/04/2026 ETA 12H Connecteur d'alimentation faulty Pas dispo au WH. Cde passee au SPMS HW 27/04/2026 Besoin d'analyse BO RAN RRU 71 faulty RF Unit DC Input Power Failure. Verifier l'alimentation de la RRU 71</t>
  </si>
  <si>
    <t>(04/28/2026 ocm ran 00h): 27/04/2026 FME HIPOLITE activé eta asap 
Besoin d'un fme sur site de  MPR_GALE  pour verifier le status de L ODU 5/2 ..;..;(04/28/2026 ticket): INC-20260428-00007473…Others Transmission equipement fault</t>
  </si>
  <si>
    <t>27/04/2026 FME HIPOLITE activé eta asap Besoin d'un fme sur site de MPR_GALE pour verifier le status de L ODU 5/2</t>
  </si>
  <si>
    <t>(04/28/2026 com ran 10h): Power status check ongoing..;..;(04/28/2026 ticket): INC-20260428-00006409  | |   04/28/2026: hardware issue,  site with GPS issue (alarm : TDD down 09Apr 02pm)</t>
  </si>
  <si>
    <t>04/28/2026 com ran 10h) 04/28/2026 hardware issue, site with GPS issue alarm TDD down 09Apr 02pm)</t>
  </si>
  <si>
    <t>(04/28/2026 cell nokia): 28/04/206 : FME presentement a GALLE
27/04/2026 : Check breaker and  interconnection FRMF (sfp, optical fiber) between system and radio module, swap its if needed..;..;(04/28/2026 cell nokia): 28/04/206 : FME presentement a GALLE
27/04/2026 : Check breaker and  interconnection FRMF (sfp, optical fiber) between system and radio module, swap its if needed..;..;(04/28/2026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</si>
  <si>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04/28/2026 cell nokia) 28/04/206 FME presentement a GALLE 27/04/2026 Check breaker and interconnection FRMF sfp, optical fiber) between system and radio module, swap its if needed.;.;(04/28/2026 cell nokia) 28/04/206 FME presentement a GALLE 27/04/2026 Check breaker and interconnection FRMF sfp, optical fiber) between system and radio module, swap its if needed.;.;(04/28/2026 cell nokia) 28/04/206 Feedback PM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Check breaker and interconnection FRMF sfp, optical fiber) between system and radio module, swap its if needed</t>
  </si>
  <si>
    <t>(04/28/2026 retour IHS ): Power issue NUR to be checked   ||  (04/28/2026 hourly IHS): Team is on site for work (Refuelling)...;..;(04/28/2026 ocm ran 19h): Power status check ongoing</t>
  </si>
  <si>
    <t>Power issue NUR to be checked Team is on site for work Refuelling).;.; Power status check ongoing</t>
  </si>
  <si>
    <t>(04/28/2026 cell zte): 28/04/2026 : Power issue || Mail sent to Camusat..;..;(04/28/2026 ticket): INC-20260428-00011318</t>
  </si>
  <si>
    <t>04/28/2026 cell zte) 28/04/2026 Power issue Mail sent to Camusat.;.;</t>
  </si>
  <si>
    <t>Nyom-Sud</t>
  </si>
  <si>
    <t>CTR_707</t>
  </si>
  <si>
    <t>(04/28/2026 cell zte): 28/04/2026 : Power issue || Mail sent to camusat || Feedback Camusat : Merci de vérifier à nouveau. Le power est résolu. U=51V Iload=115A.
..;..;(04/28/2026 ticket): INC-20260428-00008055…2026-04-28 12:16:21…The technician is managing with the level 0</t>
  </si>
  <si>
    <t>04/28/2026 cell zte) 28/04/2026 Power issue Mail sent to camusat Feedback Camusat Merci de vérifier à nouveau. Le power est résolu. U=51V Iload=115A. 2026-04-28 12 16 21…The technician is managing with the level 0</t>
  </si>
  <si>
    <t>SAT</t>
  </si>
  <si>
    <t>(04/28/2026 ticket): INC-20260428-00004008…2026-04-28 08:08:45…No power issue Willy  (687714695) of tx is working with the level 0…Site up after physical reset of V-sat Modem…Others Transmission equipement fault</t>
  </si>
  <si>
    <t>2026-04-28 08 08 45…No power issue Willy 687714695) of tx is working with the level 0…Site up after physical reset of V-sat Modem…</t>
  </si>
  <si>
    <t>(04/28/2026 ocm ran 19h): Power status check ongoing || (04/28/2026 top offenders): 28.04.26: Camusat: unknown / Our FME is managing with the level 0 - Escalated to L2</t>
  </si>
  <si>
    <t>Power status check ongoing 28.04.26 Camusat unknown Our FME is managing with the level 0 Escalated to L2</t>
  </si>
  <si>
    <t xml:space="preserve">(04/28/2026 ocm ran 19h):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..;..;(04/28/2026 ocm ran 14h):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..;..;(04/28/2026 com ran 10h):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..;..;(04/28/2026 ocm ran 00h):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</si>
  <si>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04/28/2026 com ran 10h)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t>
  </si>
  <si>
    <t>(04/28/2026 ocm ran 19h):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DG..;..;(04/28/2026 ocm ran 14h):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DG..;..;(04/28/2026 com ran 10h): 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DG..;..;(04/28/2026 ocm ran 00h):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</si>
  <si>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 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DG.;.;(04/28/2026 com ran 10h) 28.04.2026 No way to access this site for now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 27.04.26; Access banned by Separatists 24.04.26; Access banned by Separatist 23.04.26; Access banned by Separatist 22.04.26; Access banned by Separatist 21.04.26; Need FME on site to check BUC, and modem status; Access negociations ongoing, red zone 21.04.26; IHS Team is on site to swap DG Escalated to L4 20.04.26; IHS Team is on site to swap DG Escalated to L4 19.04.26; IHS; Team is on site to swap DG Escalated to L4 18.04.26; IHS; Team is on site to swap DG Escalated to L3 17.04.26; IHS; Team is on site to swap DG</t>
  </si>
  <si>
    <t xml:space="preserve">(04/28/2026 ocm ran 19h): 28.04.2026: Spare pas disponible dans les WH Afro Commande effectuee au SPM. Update dans 20 minutes
27/04/2026 ODU UBT-T 3DB29211ACAA02 faulty commande en cours 
24/04/2026 Besoin d'un fme sur biba pour verifier le status de L ODU 5/1 ..;..;(04/28/2026 ocm ran 14h): 28.04.2026: Spare pas disponible dans les WH Afro Commande effectuee au SPM. Update dans 20 minutes
27/04/2026 ODU UBT-T 3DB29211ACAA02 faulty commande en cours 
24/04/2026 Besoin d'un fme sur biba pour verifier le status de L ODU 5/1 ..;..;(04/28/2026 com ran 10h): 28.04.2026: Spare pas disponible dans les WH Afro Commande effectuee au SPM. Update dans 20 minutes
27/04/2026 ODU UBT-T 3DB29211ACAA02 faulty commande en cours 
24/04/2026 Besoin d'un fme sur biba pour verifier le status de L ODU 5/1 ..;..;(04/28/2026 ocm ran 00h): 27/04/2026 ODU UBT-T 3DB29211ACAA02 faulty commande en cours 
24/04/2026 Besoin d'un fme sur biba pour verifier le status de L ODU 5/1 </t>
  </si>
  <si>
    <t>28.04.2026 Spare pas disponible dans les WH Afro Commande effectuee au SPM. Update dans 20 minutes 27/04/2026 ODU UBT-T 3DB29211ACAA02 faulty commande en cours 24/04/2026 Besoin d'un fme sur biba pour verifier le status de L ODU 5/1 28.04.2026 Spare pas disponible dans les WH Afro Commande effectuee au SPM. Update dans 20 minutes 27/04/2026 ODU UBT-T 3DB29211ACAA02 faulty commande en cours 24/04/2026 Besoin d'un fme sur biba pour verifier le status de L ODU 5/1 04/28/2026 com ran 10h) 28.04.2026 Spare pas disponible dans les WH Afro Commande effectuee au SPM. Update dans 20 minutes 27/04/2026 ODU UBT-T 3DB29211ACAA02 faulty commande en cours 24/04/2026 Besoin d'un fme sur biba pour verifier le status de L ODU 5/1 27/04/2026 ODU UBT-T 3DB29211ACAA02 faulty commande en cours 24/04/2026 Besoin d'un fme sur biba pour verifier le status de L ODU 5/1</t>
  </si>
  <si>
    <t>(04/28/2026 ocm ran 19h): Power status check ongoing..;..;(04/28/2026 ocm ran 14h): Power status check ongoing || (04/28/2026 top offenders): 28.04.26: Camusat: Our technician is managing with the level 0 - Escalated to L2</t>
  </si>
  <si>
    <t>Power status check ongoing 28.04.26 Camusat Our technician is managing with the level 0 Escalated to L2</t>
  </si>
  <si>
    <t xml:space="preserve">(04/28/2026 cell nokia): 27/04/2026 : Need BO RAN analysis || Check and clean jumper, port 2 of FRGU ||..;..;(04/28/2026 cell nokia): 28/04/2026: || Forte pluie  dans la zone||Intervention pour demain 29/04/2026
27/04/2026 : Need BO RAN analysis || Check and clean jumper, port 2 of FRGU ..;..;(04/28/2026 cell nokia): 28/04/2026: || Forte pluie  dans la zone||Intervention pour demain 29/04/2026
27/04/2026 : Need BO RAN analysis || Check and clean jumper, port 2 of FRGU </t>
  </si>
  <si>
    <t>04/28/2026 cell nokia) 27/04/2026 Need BO RAN analysis Check and clean jumper, port 2 of FRGU 04/28/2026 cell nokia) 28/04/2026 Forte pluie dans la zone Intervention pour demain 29/04/2026 27/04/2026 Need BO RAN analysis Check and clean jumper, port 2 of FRGU 04/28/2026 cell nokia) 28/04/2026 Forte pluie dans la zone Intervention pour demain 29/04/2026 27/04/2026 Need BO RAN analysis Check and clean jumper, port 2 of FRGU</t>
  </si>
  <si>
    <t>(04/28/2026 ocm ran 00h): 27/04/2026 Grid outage grid only site /Grid return awaited</t>
  </si>
  <si>
    <t>27/04/2026 Grid outage grid only site Grid return awaited</t>
  </si>
  <si>
    <t>OST_342_H_Foumban-New</t>
  </si>
  <si>
    <t>OST_342</t>
  </si>
  <si>
    <t>OST</t>
  </si>
  <si>
    <t>(04/28/2026 ocm ran 14h): Power status check ongoing..;..;(04/28/2026 com ran 10h): Power status check ongoing</t>
  </si>
  <si>
    <t>04/28/2026 com ran 10h) Power status check ongoing</t>
  </si>
  <si>
    <t>(04/28/2026 cell nokia): 28/04/2026 : Acess issue 
27/04/2026 : Road blocked No traffic 
24/04/2026 : Road blocked No traffic 
23/04/2026 : Feedback RM : Road blocked No traffic 
21/04/2026 : Feedback RM: Road blocked No traffic || Access issue  
20/04/2026 : Ghost town 
18/04/2026 : Check breaker and  interconnection FXDB (sfp, optical fiber) between system and radio module, swap its if neede</t>
  </si>
  <si>
    <t>04/28/2026 cell nokia) 28/04/2026 Acess issue 27/04/2026 Road blocked No traffic 24/04/2026 Road blocked No traffic 23/04/2026 Feedback RM Road blocked No traffic 21/04/2026 Feedback RM Road blocked No traffic Access issue 20/04/2026 Ghost town 18/04/2026 Check breaker and interconnection FXDB sfp, optical fiber) between system and radio module, swap its if neede</t>
  </si>
  <si>
    <t>(04/28/2026 ocm ran 00h): 27.04.26: Camusat: grid only site probable grid outage / FME will check</t>
  </si>
  <si>
    <t>27.04.26 Camusat grid only site probable grid outage FME will check</t>
  </si>
  <si>
    <t>Bonassama</t>
  </si>
  <si>
    <t>LIT_435</t>
  </si>
  <si>
    <t>(04/28/2026 retour IHS ): Power issue NUR to be checked   ||  (04/28/2026 com ran 10h): Power status check ongoing..;..;(04/28/2026 ticket): INC-20260428-00006271</t>
  </si>
  <si>
    <t>Power issue NUR to be checked 04/28/2026 com ran 10h)</t>
  </si>
  <si>
    <t xml:space="preserve">(04/28/2026 cell nokia): 28/04/2026 : FME en route pour le site ETA: 13h
27/04/2026 : Need BO RAN analysis || Check and clean jumper, port 2 &amp; 3 of AHPMDA || FME dominique activer || ETA : 28/04/2026 ..;..;(04/28/2026 cell nokia): 28/04/2026 : FME en route pour le site ETA: 13h
27/04/2026 : Need BO RAN analysis || Check and clean jumper, port 2 &amp; 3 of AHPMDA || FME dominique activer || ETA : 28/04/2026 ..;..;(04/28/2026 cell nokia): 28/04/2026 : FME en route pour le site ETA: 13h || FME Toujours sur site || il travaille avec le BO RAN 
27/04/2026 : Need BO RAN analysis || Check and clean jumper, port 2 &amp; 3 of AHPMDA || FME dominique activer || ETA : 28/04/2026 </t>
  </si>
  <si>
    <t>04/28/2026 cell nokia) 28/04/2026 FME en route pour le site ETA 13h 27/04/2026 Need BO RAN analysis Check and clean jumper, port 2 3 of AHPMDA ETA 28/04/2026 04/28/2026 cell nokia) 28/04/2026 FME en route pour le site ETA 13h 27/04/2026 Need BO RAN analysis Check and clean jumper, port 2 3 of AHPMDA ETA 28/04/2026 04/28/2026 cell nokia) 28/04/2026 FME en route pour le site ETA 13h FME Toujours sur site il travaille avec le BO RAN 27/04/2026 Need BO RAN analysis Check and clean jumper, port 2 3 of AHPMDA ETA 28/04/2026</t>
  </si>
  <si>
    <t>(04/28/2026 retour IHS ): Power issue NUR to be checked   ||  (04/28/2026 hourly IHS): fme Justin is on site (Gen Faulty)..;..;(04/28/2026 ocm ran 14h): Power status check ongoing..;..;(04/28/2026 ticket): INC-20260428-00008528</t>
  </si>
  <si>
    <t>Power issue NUR to be checked fme Justin is on site Gen Faulty).;.;</t>
  </si>
  <si>
    <t xml:space="preserve">(04/28/2026 cell nokia): 28/04/2026 : FME en route pour le site || ETA : 12h 
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..;..;(04/28/2026 cell nokia): 28/04/2026 : FME en route pour le site || ETA : 12h || Intervention en cours
27/04/2026 : FME a recu la SFP ce jour || Intervention prevue pour demain 27/04/2026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</si>
  <si>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04/28/2026 cell nokia) 28/04/2026 FME en route pour le site ETA 12h 27/04/2026 FME a recu la SFP ce jour Intervention prevue pour demain 27/04/2026 24/04/2026 Tickets creer au FME pour la commande de la SFP et la F.O 23/04/2026 Check and replace SFP on FSMF FXDB connection FME activer 22/04/2026 Closed after reset but check and replace SFP on FSMF&lt;&gt;FXDB connection 22/04/2026 FME a remplacer la ABIA hier mais l'alarme persiste. Le point a ete transmis a lexpert MOHAN pour une analyse plus appronfondie 21/04/2026 Intervention ce jour apres YOLA FME presentement a YOLA FME sur site mIntervention en cours 20/04/2026 Intervention apres YOLA ETA 21042026 17/04/2026 Tickets creer au FME pour la commande de la ABIA ABIA faulty 16/04/2026 Interventon ce jour FME etait sur Tikondi il a finit tres tard il interviendra demain sur Yokadouma 15/04/2026 Check breaker and interconnection FXED sfp, optical fiber) between system and radio module, swap its if needed Action avec le level 0 en cours Action avec le Level 0 non abouttis Le FME se rendrs sur site demain matin ETA 16/04/2026 04/28/2026 cell nokia) 28/04/2026 FME en route pour le site ETA 12h Intervention en cours 27/04/2026 FME a recu la SFP ce jour Intervention prevue pour demain 27/04/2026 24/04/2026 Tickets creer au FME pour la commande de la SFP et la F.O 23/04/2026 Check and replace SFP on FSMF FXDB connection FME activer 22/04/2026 Closed after reset but check and replace SFP on FSMF&lt;&gt;FXDB connection 22/04/2026 FME a remplacer la ABIA hier mais l'alarme persiste. Le point a ete transmis a lexpert MOHAN pour une analyse plus appronfondie 21/04/2026 Intervention ce jour apres YOLA FME presentement a YOLA FME sur site mIntervention en cours 20/04/2026 Intervention apres YOLA ETA 21042026 17/04/2026 Tickets creer au FME pour la commande de la ABIA ABIA faulty 16/04/2026 Interventon ce jour FME etait sur Tikondi il a finit tres tard il interviendra demain sur Yokadouma 15/04/2026 Check breaker and interconnection FXED sfp, optical fiber) between system and radio module, swap its if needed Action avec le level 0 en cours Action avec le Level 0 non abouttis Le FME se rendrs sur site demain matin ETA 16/04/2026</t>
  </si>
  <si>
    <t>Lende-Kribi</t>
  </si>
  <si>
    <t>SUD_086</t>
  </si>
  <si>
    <t>(04/28/2026 ticket): INC-20260428-00016999…2026-04-28 22:18:37…FME is managing with level0</t>
  </si>
  <si>
    <t>2026-04-28 22 18 37…FME is managing with level0</t>
  </si>
  <si>
    <t xml:space="preserve">(04/28/2026 cell nokia): 28/04/2026 : FME se rend sur le site de  Yokadouma 
27/04/2026 : Need BO RAN analysis || Check and replace FXDB || FME Hugues activer || Un reset a ete effectuer mais les cellules demeures down || FME ira sur site demain 28/04/2026 ..;..;(04/28/2026 cell nokia): 28/04/2026 : FME se rend sur le site de  Yokadouma || FME a fini tard sur le site de yokadouma || Intervention demain 29/04/2026 
27/04/2026 : Need BO RAN analysis || Check and replace FXDB || FME Hugues activer || Un reset a ete effectuer mais les cellules demeures down || FME ira sur site demain 28/04/2026 </t>
  </si>
  <si>
    <t>04/28/2026 cell nokia) 28/04/2026 FME se rend sur le site de Yokadouma 27/04/2026 Need BO RAN analysis Check and replace FXDB Un reset a ete effectuer mais les cellules demeures down FME ira sur site demain 28/04/2026 04/28/2026 cell nokia) 28/04/2026 FME se rend sur le site de Yokadouma FME a fini tard sur le site de yokadouma Intervention demain 29/04/2026 27/04/2026 Need BO RAN analysis Check and replace FXDB Un reset a ete effectuer mais les cellules demeures down FME ira sur site demain 28/04/2026</t>
  </si>
  <si>
    <t>Port-SUD</t>
  </si>
  <si>
    <t>LIT_640</t>
  </si>
  <si>
    <t>(04/28/2026 ticket): INC-20260428-00004790…2026-04-28 09:15:25…technician on site</t>
  </si>
  <si>
    <t>2026-04-28 09 15 25…technician on site</t>
  </si>
  <si>
    <t>(04/28/2026 hourly IHS): FME Mamoudou is on site, Escalation done until Alphonse T..;..;(04/28/2026 com ran 10h): Power status check ongoing..;..;(04/28/2026 ticket): INC-20260428-00004691…2026-04-28 09:47:35</t>
  </si>
  <si>
    <t>FME Mamoudou is on site, Escalation done until Alphonse T.;.;(04/28/2026 com ran 10h) 2026-04-28 09 47 35</t>
  </si>
  <si>
    <t>PK15-Auberge</t>
  </si>
  <si>
    <t>LIT_728</t>
  </si>
  <si>
    <t>(04/28/2026 ticket): INC-20260428-00008821…2026-04-28 13:17:38…grid outage grid only site /awaiting grid return…grid outage grid only site /awaiting grid return…Coupure Secteur…grid outage grid only site /awaiting grid return</t>
  </si>
  <si>
    <t>2026-04-28 13 17 38…grid outage grid only site awaiting grid return…grid outage grid only site awaiting grid return…Coupure Secteur…grid outage grid only site awaiting grid return</t>
  </si>
  <si>
    <t>Logpom-II</t>
  </si>
  <si>
    <t>LIT_274</t>
  </si>
  <si>
    <t>(04/28/2026 retour IHS ): Power issue NUR to be checked   ||  (04/28/2026 ticket): INC-20260428-00001036…GE Fault</t>
  </si>
  <si>
    <t>Power issue NUR to be checked GE Fault</t>
  </si>
  <si>
    <t>(04/28/2026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,5,6..;..;(04/28/2026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,5,6..;..;(04/28/2026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</si>
  <si>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04/28/2026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5,6.;.;(04/28/2026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5,6.;.;(04/28/2026 cell nokia) 20/04/2026 Check and clean ARPA ant 2,3,4,5,6 09/04/2026 Relance de Jose Penda a l'equipe deploiement OCM ETR attendu du Deploiement OCM 07/04/2026 Feedback deployement OCM J'active le sous-traitant pour corrections En effet nous sommes sur un projet de swap des antennes sur les axes routiers. Je te reviens avec plus de détails 02/04/2026 Feedback FME Il y a eu des travaux sur ce Site les antennes ont été changées et certains port ne sont plus connectés sur recommandation de ORANGE selon le technicien). Essaye de voir avec le client pour que nous soyons fixés stp 01/04/2026 Check and clean jumper on ARPA antenna port 3, 4 5,6</t>
  </si>
  <si>
    <t>(04/28/2026 ocm ran 19h):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managing..;..;(04/28/2026 ocm ran 14h):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managing..;..;(04/28/2026 com ran 10h):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managing..;..;(04/28/2026 ocm ran 00h):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</si>
  <si>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managing.;.;(04/28/2026 com ran 10h)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</si>
  <si>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</si>
  <si>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04/28/2026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analysis.;.;(04/28/2026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analysis.;.;(04/28/2026 cell nokia) 21/04/2026 Relance faite 15/04/2026 Relance faite par Chief SEKA 10/04/2026 Relance faite ce jour a IHS 08/04/2026 Access issue Negociation en cours 07/04/2026 feedback RM Miachael envoye a IHS S'il vous plait nous avons des cellules down sur le site de Zouvoul-IHS_EXN_172 qui necessitent une intervention sur le pylône. Malheureusement nous sommes confrontés à la présence des abeilles sur ce pylône et donc l'intervention ne peut avoir lieu jusqu'a présent. 06/04/2026 Presence d'abeille sur le site Mail enviye a IHS 04/04/2026 Probleme d'access Negociation en cours 30/03/2026 Feedback du P.M FME not available intervention postponed to 01/04/2026 29/03/2026 spare disponible au niveau du FME, FME on another point 27/03/2026 Cde en cours 26/03/2026 Spare pas recu 25/03/2026 Spare quitter Douala pour Maroua 23/03/2026 Fiber faulty cde en cours 21/03/2026 Check SFP, Optical fiber if issue persit 20/03/2026 need BO RAN analysis</t>
  </si>
  <si>
    <t>(04/28/2026 cell nokia): 28/04/2026 : En attente d'analyse BO RAN 
27/04/2027 : Need BO RAN analysis..;..;(04/28/2026 cell nokia): 28/04/2026 : En attente d'analyse BO RAN || Plan on 02.05.2027 ||Closed after reset (unitName=ABIA)
27/04/2027 : Need BO RAN analysis</t>
  </si>
  <si>
    <t>04/28/2026 cell nokia) 28/04/2026 En attente d'analyse BO RAN 27/04/2027 Need BO RAN analysis.;.;(04/28/2026 cell nokia) 28/04/2026 En attente d'analyse BO RAN Plan on 02.05.2027 Closed after reset unitName=ABIA) 27/04/2027 Need BO RAN analysis</t>
  </si>
  <si>
    <t>Limbe-Bimbia-CRTV</t>
  </si>
  <si>
    <t>SUO_081</t>
  </si>
  <si>
    <t>Bad Grid solar + SE</t>
  </si>
  <si>
    <t>(groupe whatsapp ): @+237 6 93 58 87 20 merci de stabiliser l énergie sur le site de SUO_235_H_Limbe-Ngueme
INC-20260428-00019053 
SUO_081_H_Limbe-Bimbia
INC-20260428-00019430</t>
  </si>
  <si>
    <t>groupe whatsapp 237 6 93 58 87 20 merci de stabiliser l énergie sur le site de SUO_235_H_Limbe-Ngueme SUO_081_H_Limbe-Bimbia</t>
  </si>
  <si>
    <t xml:space="preserve">(04/28/2026 com ran 10h): 28.04.2026: To be check by FME 28/04/2026 
27/04/2026 FME stanley activé manage avec le level 0, red zone
Besoi d'un fme pour verifier le status de RTN ..;..;(04/28/2026 ocm ran 00h): 27/04/2026 FME stanley activé manage avec le level 0, red zone
Besoi d'un fme pour verifier le status de RTN </t>
  </si>
  <si>
    <t>04/28/2026 com ran 10h) 28.04.2026 To be check by FME 28/04/2026 27/04/2026 FME stanley activé manage avec le level 0, red zone Besoi d'un fme pour verifier le status de RTN 27/04/2026 FME stanley activé manage avec le level 0, red zone Besoi d'un fme pour verifier le status de RTN</t>
  </si>
  <si>
    <t>(04/28/2026 cell nokia): 28/04/2026 : Check breaker and  interconnection FRGU,FXDB,FRMF,FXED(sfp, optical fiber) between system and radio module, swap its if needed || Feedback RM : Plan on 05.05.2027 || Power issue mail send to HIS</t>
  </si>
  <si>
    <t>04/28/2026 cell nokia) 28/04/2026 Check breaker and interconnection FRGU,FXDB,FRMF,FXED(sfp, optical fiber) between system and radio module, swap its if needed Feedback RM Plan on 05.05.2027 Power issue mail send to HIS</t>
  </si>
  <si>
    <t>(04/28/2026 hourly IHS): Our FME PETER is managing with level zero, Smuel EKOUELLE is informed</t>
  </si>
  <si>
    <t>CTR_181_N_Nanga-Eboko-CRTV</t>
  </si>
  <si>
    <t>CTR_181</t>
  </si>
  <si>
    <t>Nanga-Eboko</t>
  </si>
  <si>
    <t>(04/28/2026 com ran 10h): Power status check ongoing..;..;(04/28/2026 ticket): INC-20260428-00006445…probleme d energie Sur Le site Les equipments ne sont Pas alimentés …Others Transmission equipement fault</t>
  </si>
  <si>
    <t>04/28/2026 com ran 10h) probleme d energie Sur Le site Les equipments ne sont Pas alimentés</t>
  </si>
  <si>
    <t>(04/28/2026 cell huawei): 28/04/2026 : ETA 10H
27/04/2026 : Besoin d'analyse BO RAN || UBBP in slot 5 : need a reset on site</t>
  </si>
  <si>
    <t>04/28/2026 cell huawei) 28/04/2026 ETA 10H 27/04/2026 Besoin d'analyse BO RAN UBBP in slot 5 need a reset on site</t>
  </si>
  <si>
    <t>(04/28/2026 cell nokia): 28/04/2026 : En attente d'analyse BO RAN ..;..;(04/28/2026 cell nokia): 28/04/2026 : En attente d'analyse BO RAN || Check and replace ABIA || Feedback RM : Plan on 30.04.2027</t>
  </si>
  <si>
    <t>04/28/2026 cell nokia) 28/04/2026 En attente d'analyse BO RAN 04/28/2026 cell nokia) 28/04/2026 En attente d'analyse BO RAN Check and replace ABIA Feedback RM Plan on 30.04.2027</t>
  </si>
  <si>
    <t>Ange-raphael-II</t>
  </si>
  <si>
    <t>LIT_696</t>
  </si>
  <si>
    <t xml:space="preserve">(04/28/2026 cell zte): 28/04/2026 : Power issue ||  Mail sent to camusat || Nous avons une insuffisance de redresseurs sur site, besoin de rajouter 2 redresseurs.
ETR 29/04/2026.
</t>
  </si>
  <si>
    <t>04/28/2026 cell zte) 28/04/2026 Power issue Mail sent to camusat Nous avons une insuffisance de redresseurs sur site, besoin de rajouter 2 redresseurs. ETR 29/04/2026.</t>
  </si>
  <si>
    <t>NRO_013</t>
  </si>
  <si>
    <t>(04/28/2026 hourly IHS): FME is informed and managing</t>
  </si>
  <si>
    <t>FME is informed and managing</t>
  </si>
  <si>
    <t>Mendong-Vallee2-MTN-IHS</t>
  </si>
  <si>
    <t>CTR_521</t>
  </si>
  <si>
    <t>(04/28/2026 hourly IHS): Fme Maxime is informed ETA 04:30 PM ZAMBE informed..;..;(04/28/2026 ticket): INC-20260428-00010933…power issues …Others Transmission equipement fault</t>
  </si>
  <si>
    <t>Fme Maxime is informed ETA 04 30 PM ZAMBE informed.;.; power issues</t>
  </si>
  <si>
    <t>Kondengui</t>
  </si>
  <si>
    <t>CTR_040</t>
  </si>
  <si>
    <t>(04/28/2026 com ran 10h): Power status check ongoing..;..;(04/28/2026 ticket): INC-20260428-00006488…Power issue …Others Transmission equipement fault</t>
  </si>
  <si>
    <t>04/28/2026 com ran 10h) Power issue</t>
  </si>
  <si>
    <t>Nkolfoulou-II-IHS</t>
  </si>
  <si>
    <t>CTR_621</t>
  </si>
  <si>
    <t>(04/28/2026 hourly IHS): SS Giresse is on site..;..;(04/28/2026 ticket): INC-20260428-00009196</t>
  </si>
  <si>
    <t>SS Giresse is on site.;.;</t>
  </si>
  <si>
    <t>Meguia</t>
  </si>
  <si>
    <t>OST_029</t>
  </si>
  <si>
    <t>(04/28/2026 ticket): INC-20260428-00002587…power issue on site due to GE. Power team on their way to site …Others Transmission equipement fault</t>
  </si>
  <si>
    <t>power issue on site due to GE. Power team on their way to site</t>
  </si>
  <si>
    <t>(04/28/2026 hourly IHS): Armel is going to site ETA ASAP.</t>
  </si>
  <si>
    <t>Armel is going to site ETA ASAP.</t>
  </si>
  <si>
    <t>Darassalam-IHS</t>
  </si>
  <si>
    <t>ADM_153</t>
  </si>
  <si>
    <t>Darra Salam</t>
  </si>
  <si>
    <t>(04/28/2026 ocm ran 19h): Power status check ongoing..;..;(04/28/2026 ocm ran 14h): Power status check ongoing..;..;(04/28/2026 ticket): INC-20260428-00014279…2026-04-28 21:18:18…28.04.26: Besoin d'un FME sur site pour vérifier le statut de la MRBTS2 et son interco avec le MPR; FME Willy activé pour investigations, update ASAP…plantage de l’odu…Others Transmission equipement fault</t>
  </si>
  <si>
    <t>2026-04-28 21 18 18…28.04.26 Besoin d'un FME sur site pour vérifier le statut de la MRBTS2 et son interco avec le MPR; FME Willy activé pour investigations, update ASAP…plantage de l’odu…</t>
  </si>
  <si>
    <t>Fontem</t>
  </si>
  <si>
    <t>SUO_017</t>
  </si>
  <si>
    <t>(04/28/2026 ticket): INC-20260428-00002847…power instability …Others Transmission equipement fault</t>
  </si>
  <si>
    <t>power instability</t>
  </si>
  <si>
    <t>(04/28/2026 ticket): INC-20260428-00002751…GE Fault</t>
  </si>
  <si>
    <t>Meyo</t>
  </si>
  <si>
    <t>CTR_320</t>
  </si>
  <si>
    <t>(04/28/2026 hourly IHS): FME is on the way ETA 15:30 Zambe is informed..;..;(04/28/2026 ticket): INC-20260428-00010099</t>
  </si>
  <si>
    <t>FME is on the way ETA 15 30 Zambe is informed.;.;</t>
  </si>
  <si>
    <t>(04/28/2026 cell nokia): 28/04206 : FME bernard activer 
27/04/2026 : Need BO RAN analysis || Check and clean jumper, port 1 of FRGU || ETA : 28/04/2026 ..;..;(04/28/2026 cell nokia): 28/04206 : FME bernard activer ||Ticket creer pour la commande du jumper
27/04/2026 : Need BO RAN analysis || Check and clean jumper, port 1 of FRGU || ETA : 28/04/2026 ..;..;(04/28/2026 cell nokia): 28/04/2026: FME currently on another point for the other operator, intervention planned tomorrow ETA 10H
28/04206 : FME bernard activer ||Ticket creer pour la commande du jumper
27/04/2026 : Need BO RAN analysis || Check and clean jumper, port 1 of FRGU || ETA : 28/04/2026 ..;..;(04/28/2026 ticket): INC-20260428-00014008…Others Transmission equipement fault</t>
  </si>
  <si>
    <t>04/28/2026 cell nokia) 28/04206 27/04/2026 Need BO RAN analysis Check and clean jumper, port 1 of FRGU ETA 28/04/2026 04/28/2026 cell nokia) 28/04206 Ticket creer pour la commande du jumper 27/04/2026 Need BO RAN analysis Check and clean jumper, port 1 of FRGU ETA 28/04/2026 04/28/2026 cell nokia) 28/04/2026 FME currently on another point for the other operator, intervention planned tomorrow ETA 10H 28/04206 Ticket creer pour la commande du jumper 27/04/2026 Need BO RAN analysis Check and clean jumper, port 1 of FRGU ETA 28/04/2026</t>
  </si>
  <si>
    <t>(04/28/2026 ticket): INC-20260428-00009087…power Grid outage here the site is only on Grid …Others Transmission equipement fault</t>
  </si>
  <si>
    <t xml:space="preserve">(04/28/2026 cell nokia): 27/04/2026 : Need BO RAN analysis || Check and clean jumper, port 1 of FXDB || Access issue ..;..;(04/28/2026 cell nokia): 
28/04/2026 : Probleme d'acces au site 
27/04/2026 : Need BO RAN analysis || Check and clean jumper, port 1 of FXDB || Access issue ..;..;(04/28/2026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</si>
  <si>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04/28/2026 cell nokia) 27/04/2026 Need BO RAN analysis Check and clean jumper, port 1 of FXDB Access issue 04/28/2026 cell nokia) 28/04/2026 Probleme d'acces au site 27/04/2026 Need BO RAN analysis Check and clean jumper, port 1 of FXDB Access issue 04/28/2026 cell nokia) 28/04/2026 Feedback RM because the site is too far, we should move with spare part, but actually No FXDB at Ngaoundere WH. Command made at Maroua WH and should move tomorrow with Esico) ETA to reach Ngaoundere 03/05/2026, ETA to reach the site W19 05/05/2026) 27/04/2026 Need BO RAN analysis Check and clean jumper, port 1 of FXDB Access issue</t>
  </si>
  <si>
    <t>(04/28/2026 cell nokia): 28/04/206 : FME Hyppolite presentement sur GALLE 
27/04/2026 : Need BO RAN analysis || Check and clean jumper, port 2 of FRGU..;..;(04/28/2026 cell nokia): 28/04/206 : FME Hyppolite presentement sur GALLE 
27/04/2026 : Need BO RAN analysis || Check and clean jumper, port 2 of FRGU..;..;(04/28/2026 cell nokia): 28/04/206 : FME Hyppolite presentement sur GALLE || Feedback RM : FME activé, ETA 29/04/2026 14H apres intervention sur Soukounga 
27/04/2026 : Need BO RAN analysis || Check and clean jumper, port 2 of FRGU</t>
  </si>
  <si>
    <t>04/28/2026 cell nokia) 28/04/206 FME Hyppolite presentement sur GALLE 27/04/2026 Need BO RAN analysis Check and clean jumper, port 2 of FRGU.;.;(04/28/2026 cell nokia) 28/04/206 FME Hyppolite presentement sur GALLE 27/04/2026 Need BO RAN analysis Check and clean jumper, port 2 of FRGU.;.;(04/28/2026 cell nokia) 28/04/206 FME Hyppolite presentement sur GALLE Feedback RM FME activé, ETA 29/04/2026 14H apres intervention sur Soukounga 27/04/2026 Need BO RAN analysis Check and clean jumper, port 2 of FRGU</t>
  </si>
  <si>
    <t>(04/28/2026 hourly IHS): FME is on the way after Champ de Pierre..;..;(04/28/2026 cell huawei): 28/04/2026 : Power instability || Mail sent to HIS</t>
  </si>
  <si>
    <t>FME is on the way after Champ de Pierre.;.;(04/28/2026 cell huawei) 28/04/2026 Power instability Mail sent to HIS</t>
  </si>
  <si>
    <t>H-Princes</t>
  </si>
  <si>
    <t>CTR_044</t>
  </si>
  <si>
    <t>(04/28/2026 hourly IHS): fme Mboua is informed ETA 02:40 PM..;..;(04/28/2026 ticket): INC-20260428-00008931</t>
  </si>
  <si>
    <t>fme Mboua is informed ETA 02 40 PM.;.;</t>
  </si>
  <si>
    <t>Bitoto</t>
  </si>
  <si>
    <t>CTR_315</t>
  </si>
  <si>
    <t>(04/28/2026 ticket): INC-20260428-00017026…Grid outage, site went down because due to Gen (30kva, 370A) overload// He reduced the load and start Gen manualy…GE Fault</t>
  </si>
  <si>
    <t>Grid outage, site went down because due to Gen 30kva, 370A) overload// He reduced the load and start Gen manualy…GE Fault</t>
  </si>
  <si>
    <t>NR-Carrossel</t>
  </si>
  <si>
    <t>CTR_565</t>
  </si>
  <si>
    <t>(04/28/2026 com ran 10h): Power status check ongoing..;..;(04/28/2026 ticket): INC-20260428-00006685…power issue …Others Transmission equipement fault</t>
  </si>
  <si>
    <t>04/28/2026 com ran 10h) power issue</t>
  </si>
  <si>
    <t>Foubarka</t>
  </si>
  <si>
    <t>NRD_153</t>
  </si>
  <si>
    <t>(04/28/2026 cell nokia): 
28/04/2026 : Check breaker and  interconnection FXDB (sfp, optical fiber) between system and radio module, swap its if needed || FME bello activer pour investiguation ..;..;(04/28/2026 ticket): INC-20260428-00018664…2026-04-28 23:53:50…Red zone, intervention on the morning</t>
  </si>
  <si>
    <t>04/28/2026 cell nokia) 28/04/2026 Check breaker and interconnection FXDB sfp, optical fiber) between system and radio module, swap its if needed pour investiguation 2026-04-28 23 53 50…Red zone, intervention on the morning</t>
  </si>
  <si>
    <t>Bamenda-Mile8-IHS</t>
  </si>
  <si>
    <t>NRO_135</t>
  </si>
  <si>
    <t>(04/28/2026 hourly IHS): Moses is informed and managing with L0.</t>
  </si>
  <si>
    <t>Moses is informed and managing with L0.</t>
  </si>
  <si>
    <t>(04/28/2026 hourly IHS): Merlin is on his way ETA 02:15 PM.</t>
  </si>
  <si>
    <t>Merlin is on his way ETA 02 15 PM.</t>
  </si>
  <si>
    <t>(04/28/2026 cell nokia): 28/04/2026 : Escalade faite au RM 
23/04/2026 : Check and replace ABIA || Acess issue || UP After remote reset..;..;(04/28/2026 cell nokia): 28/04/2026 : Escalade faite au RM || Up after remote but we will visited the site tomorrow 29.04.2026 if acces garanted
23/04/2026 : Check and replace ABIA || Acess issue || UP After remote reset..;..;(04/28/2026 ocm ran 14h): Power status check ongoing</t>
  </si>
  <si>
    <t>04/28/2026 cell nokia) 28/04/2026 Escalade faite au RM 23/04/2026 Check and replace ABIA Acess issue UP After remote reset.;.;(04/28/2026 cell nokia) 28/04/2026 Escalade faite au RM Up after remote but we will visited the site tomorrow 29.04.2026 if acces garanted 23/04/2026 Check and replace ABIA Acess issue UP After remote reset.;.; Power status check ongoing</t>
  </si>
  <si>
    <t>Berore-IHS</t>
  </si>
  <si>
    <t>NRO_086</t>
  </si>
  <si>
    <t>Berore</t>
  </si>
  <si>
    <t>(04/28/2026 cell huawei): 28/04/2028 : Check Connectivite entre BBU &amp; RRU/Check FO ou SFP || ETA 13H || FO faulty || Cde en cours..;..;(04/28/2026 cell huawei): 28/04/2028 : Check Connectivite entre BBU &amp; RRU/Check FO ou SFP || ETA 13H || FO faulty || Cde en cours..;..;(04/28/2026 cell huawei): 28/04/2028 : Check Connectivite entre BBU &amp; RRU/Check FO ou SFP || ETA 13H || FO faulty || Cde en cours</t>
  </si>
  <si>
    <t>04/28/2026 cell huawei) 28/04/2028 Check Connectivite entre BBU RRU/Check FO ou SFP ETA 13H FO faulty Cde en cours.;.;(04/28/2026 cell huawei) 28/04/2028 Check Connectivite entre BBU RRU/Check FO ou SFP ETA 13H FO faulty Cde en cours.;.;(04/28/2026 cell huawei) 28/04/2028 Check Connectivite entre BBU RRU/Check FO ou SFP ETA 13H FO faulty Cde en cours</t>
  </si>
  <si>
    <t>(04/28/2026 hourly IHS): Ieng FME , is heading to site ETA 05:20 pm, Francklin is informed..;..;(04/28/2026 cell huawei): 28/04/2026 : Power instability || Escalade envoye au L4 de HIS..;..;(04/28/2026 cell huawei): 28/04/2026 : Power instability || Escalade envoye au L4 de HIS..;..;(04/28/2026 ticket): INC-20260428-00011290…Grid outage, Gen took false low oil pressure alarm. // Grid return.…Grid outage, Gen took false low oil pressure alarm. // Grid return.…GE Fault</t>
  </si>
  <si>
    <t>Ieng FME is heading to site ETA 05 20 pm, Francklin is informed.;.;(04/28/2026 cell huawei) 28/04/2026 Power instability Escalade envoye au L4 de HIS.;.;(04/28/2026 cell huawei) 28/04/2026 Power instability Escalade envoye au L4 de HIS.;.; Grid outage, Gen took false low oil pressure alarm. Grid return.…Grid outage, Gen took false low oil pressure alarm. Grid return.…GE Fault</t>
  </si>
  <si>
    <t>ADM_238_H_NGD-MARZA</t>
  </si>
  <si>
    <t>ADM_238</t>
  </si>
  <si>
    <t>ADM</t>
  </si>
  <si>
    <t>not accepted</t>
  </si>
  <si>
    <t>Ngd-Madagascar-MTN-IHS</t>
  </si>
  <si>
    <t>ADM_084</t>
  </si>
  <si>
    <t>(04/28/2026 hourly IHS): fme yannick is managing with the level zero Richard is informed</t>
  </si>
  <si>
    <t>fme yannick is managing with the level zero Richard is informed</t>
  </si>
  <si>
    <t>(04/28/2026 hourly IHS): FME Eric is on site. Thibault informed..;..;(04/28/2026 ocm ran 14h): Power status check ongoing</t>
  </si>
  <si>
    <t>FME Eric is on site. Thibault informed.;.; Power status check ongoing</t>
  </si>
  <si>
    <t>Buea-Wokoko-IHS</t>
  </si>
  <si>
    <t>SUO_185</t>
  </si>
  <si>
    <t>(04/28/2026 hourly IHS): FME ABDEL is managing with the level zero ETA ASAP currently he is on site of buea ocm wich is alarming..;..;(04/28/2026 ocm ran 19h): Power status check ongoing</t>
  </si>
  <si>
    <t>FME ABDEL is managing with the level zero ETA ASAP currently he is on site of buea ocm wich is alarming.;.; Power status check ongoing</t>
  </si>
  <si>
    <t>Ngd-Universite</t>
  </si>
  <si>
    <t>ADM_003</t>
  </si>
  <si>
    <t>(04/28/2026 hourly IHS): FME Yannick is managing with level 0, Richard is informed</t>
  </si>
  <si>
    <t>FME Yannick is managing with level 0, Richard is informed</t>
  </si>
  <si>
    <t>Poli-Ville-IHS</t>
  </si>
  <si>
    <t>NRD_119</t>
  </si>
  <si>
    <t>Poli</t>
  </si>
  <si>
    <t>(04/28/2026 hourly IHS): Level 0 is on site.</t>
  </si>
  <si>
    <t>Level 0 is on site.</t>
  </si>
  <si>
    <t>(04/28/2026 hourly IHS): Emmanuel is going to site ETA ASAP.</t>
  </si>
  <si>
    <t>Emmanuel is going to site ETA ASAP.</t>
  </si>
  <si>
    <t>Kambolepi-IHS</t>
  </si>
  <si>
    <t>EST_028</t>
  </si>
  <si>
    <t>Kambolepi</t>
  </si>
  <si>
    <t xml:space="preserve">(04/28/2026 cell nokia): 
28/04/2026 : Check breaker and  interconnection AHPMDA (sfp, optical fiber) between system and radio module, swap its if needed || FME Hugues en route presentement pour Yokadouma </t>
  </si>
  <si>
    <t>04/28/2026 cell nokia) 28/04/2026 Check breaker and interconnection AHPMDA sfp, optical fiber) between system and radio module, swap its if needed FME Hugues en route presentement pour Yokadouma</t>
  </si>
  <si>
    <t>Ngousso-IHS</t>
  </si>
  <si>
    <t>CTR_130</t>
  </si>
  <si>
    <t>(04/28/2026 cell zte): 28/04/2026 : Power issue || Mail sent to IHS</t>
  </si>
  <si>
    <t>04/28/2026 cell zte) 28/04/2026 Power issue Mail sent to IHS</t>
  </si>
  <si>
    <t>Mbidou-IHS</t>
  </si>
  <si>
    <t>ADM_079</t>
  </si>
  <si>
    <t>Mbidou</t>
  </si>
  <si>
    <t>(04/28/2026 ticket): INC-20260428-00017182…GRID outage, GEN failed to start for an unknown reason // GRID return ( FME will reach site in the morning for further investigation )…GE Fault</t>
  </si>
  <si>
    <t>GRID outage, GEN failed to start for an unknown reason GRID return FME will reach site in the morning for further investigation GE Fault</t>
  </si>
  <si>
    <t>Minisite-Dubai</t>
  </si>
  <si>
    <t>LIT_662</t>
  </si>
  <si>
    <t>(04/28/2026 ticket): INC-20260428-00015805…2026-04-28 20:39:20…Grid outage and grid only site / Grid return awaited</t>
  </si>
  <si>
    <t>2026-04-28 20 39 20…Grid outage and grid only site Grid return awaited</t>
  </si>
  <si>
    <t>(04/28/2026 ocm ran 14h): Power status check ongoing..;..;(04/28/2026 ticket): INC-20260428-00009994…power issue, gen fail to start.…Others Transmission equipement fault</t>
  </si>
  <si>
    <t>power issue, gen fail to start.…</t>
  </si>
  <si>
    <t>(04/28/2026 cell nokia): 27/04/2026 : Intervention plan for 29/04/2026 
24/04/2026 : Check and clean FRGU ant 5  || FME charlie activer ||Attende du Work Permis ..;..;(04/28/2026 cell nokia): 27/04/2026 : Intervention plan for 29/04/2026 
24/04/2026 : Check and clean FRGU ant 5  || FME charlie activer ||Attende du Work Permis ..;..;(04/28/2026 ticket): INC-20260428-00018967…Others Transmission equipement fault</t>
  </si>
  <si>
    <t>04/28/2026 cell nokia) 27/04/2026 Intervention plan for 29/04/2026 24/04/2026 Check and clean FRGU ant 5 Attende du Work Permis 04/28/2026 cell nokia) 27/04/2026 Intervention plan for 29/04/2026 24/04/2026 Check and clean FRGU ant 5 Attende du Work Permis</t>
  </si>
  <si>
    <t>Boko-Hospital-IHS</t>
  </si>
  <si>
    <t>LIT_632</t>
  </si>
  <si>
    <t>(04/28/2026 hourly IHS): FME manage ETA ASAP</t>
  </si>
  <si>
    <t>FME manage ETA ASAP</t>
  </si>
  <si>
    <t>Widikum</t>
  </si>
  <si>
    <t>NRO_219</t>
  </si>
  <si>
    <t>(04/28/2026 hourly IHS): FME is informed and managing with L0.</t>
  </si>
  <si>
    <t>FME is informed and managing with L0.</t>
  </si>
  <si>
    <t>Pangari-MTN</t>
  </si>
  <si>
    <t>OST_115</t>
  </si>
  <si>
    <t>Pangari</t>
  </si>
  <si>
    <t>(04/28/2026 ticket): INC-20260428-00001432…j'ai échangé avec la ressource iEng à 21h, le site a besoin d'être ravitaillé.
soucis de Power. …Others Transmission equipement fault</t>
  </si>
  <si>
    <t>j'ai échangé avec la ressource iEng à 21h, le site a besoin d'être ravitaillé. soucis de Power.</t>
  </si>
  <si>
    <t>Muyengue-IHS</t>
  </si>
  <si>
    <t>LIT_175</t>
  </si>
  <si>
    <t>Gen only</t>
  </si>
  <si>
    <t>Muyengue</t>
  </si>
  <si>
    <t>(04/28/2026 ticket): INC-20260428-00004154…Power issue managed by third party SBC …Others Transmission equipement fault</t>
  </si>
  <si>
    <t>Power issue managed by third party SBC</t>
  </si>
  <si>
    <t>Mora-Technical-School-MTN-IHS</t>
  </si>
  <si>
    <t>EXN_134</t>
  </si>
  <si>
    <t>(04/28/2026 hourly IHS): FME Brice is managing with level 0,Idrissou is informed</t>
  </si>
  <si>
    <t>FME Brice is managing with level 0,Idrissou is informed</t>
  </si>
  <si>
    <t>(04/28/2026 hourly IHS): Our stephane is managing with level zero</t>
  </si>
  <si>
    <t>Our stephane is managing with level zero</t>
  </si>
  <si>
    <t xml:space="preserve">(04/28/2026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..;..;(04/28/2026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..;..;(04/28/2026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</si>
  <si>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04/28/2026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 04/28/2026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 04/28/2026 cell nokia) 23/04/2026 Jumpeurs pas encore disponible 21/04/2026 Feedback Spare Jumper Not available waiting Update from Huawei team 17/04/2026 Intervention planed today 16/04/2026 FME presentement a Bekondo Il interviendra sur le site Gamokill hill juste apres FME a fini tard sur Bekondo il interviendra demain sur Gamoko 15/04/2026 Intervention prevue pour ce jour Access issue Negociation access en cours 14/04/2026 Intervention ce jour ETA 12H Acees isuue Intervention demain 15042026 13/04/2026 Check and clean jumper ARGA ant 1 Ghost town</t>
  </si>
  <si>
    <t>Bai-Panya-IHS</t>
  </si>
  <si>
    <t>SUO_093</t>
  </si>
  <si>
    <t>Mbongue</t>
  </si>
  <si>
    <t>(04/28/2026 hourly IHS): Team is on site for works (PM)</t>
  </si>
  <si>
    <t>Team is on site for works PM)</t>
  </si>
  <si>
    <t>(04/28/2026 cell nokia): 28/04/2026 : Escalade faite au RM 
27/04/2026 : Check breaker and  interconnection AREA(sfp, optical fiber) between system and radio module, swap its if needed..;..;(04/28/2026 cell nokia): 28/04/2026 : Check breaker and  interconnection AREA(sfp, optical fiber) between system and radio module, swap its if needed || Feedback RM : Plan on 30.04.2028..;..;(04/28/2026 ticket): INC-20260428-00008460…Others Transmission equipement fault</t>
  </si>
  <si>
    <t>04/28/2026 cell nokia) 28/04/2026 Escalade faite au RM 27/04/2026 Check breaker and interconnection AREA(sfp, optical fiber) between system and radio module, swap its if needed.;.;(04/28/2026 cell nokia) 28/04/2026 Check breaker and interconnection AREA(sfp, optical fiber) between system and radio module, swap its if needed Feedback RM Plan on 30.04.2028.;.;</t>
  </si>
  <si>
    <t>(04/28/2026 hourly IHS): Armel is informed and managing.</t>
  </si>
  <si>
    <t>Armel is informed and managing.</t>
  </si>
  <si>
    <t>Mandama-IHS</t>
  </si>
  <si>
    <t>NRD_123</t>
  </si>
  <si>
    <t>Mandama</t>
  </si>
  <si>
    <t>(04/28/2026 hourly IHS): FME is managing with level 0 franklin is informed informed</t>
  </si>
  <si>
    <t>FME is managing with level 0 franklin is informed informed</t>
  </si>
  <si>
    <t>(04/28/2026 hourly IHS): Our FME MOSES is managing with level zero</t>
  </si>
  <si>
    <t>Our FME MOSES is managing with level zero</t>
  </si>
  <si>
    <t xml:space="preserve">(04/28/2026 cell nokia): 28/04/2026 : Check breaker and  interconnection FRGU(sfp, optical fiber) between system and radio module, swap its if needed || ..;..;(04/28/2026 cell nokia): 28/04/2026 : Check breaker and  interconnection FRGU(sfp, optical fiber) between system and radio module, swap its if needed || </t>
  </si>
  <si>
    <t>04/28/2026 cell nokia) 28/04/2026 Check breaker and interconnection FRGU(sfp, optical fiber) between system and radio module, swap its if needed 04/28/2026 cell nokia) 28/04/2026 Check breaker and interconnection FRGU(sfp, optical fiber) between system and radio module, swap its if needed</t>
  </si>
  <si>
    <t>(04/28/2026 cell nokia): 
28/04/2026 : Escalade faite au RM 
27/04/2026 : Need BO RAN analysis || Closed after reset but check and replace SFP..;..;(04/28/2026 cell nokia): 
28/04/2026 : Escalade faite au RM || FME donald || Plan for 30//04/2026 
27/04/2026 : Need BO RAN analysis || Closed after reset but check and replace SFP..;..;(04/28/2026 cell nokia): 
28/04/2026 : Escalade faite au RM || FME donald || Plan for 30//04/2026 
27/04/2026 : Need BO RAN analysis || Closed after reset but check and replace SFP</t>
  </si>
  <si>
    <t>04/28/2026 cell nokia) 28/04/2026 Escalade faite au RM 27/04/2026 Need BO RAN analysis Closed after reset but check and replace SFP.;.;(04/28/2026 cell nokia) 28/04/2026 Escalade faite au RM FME donald Plan for 30//04/2026 27/04/2026 Need BO RAN analysis Closed after reset but check and replace SFP.;.;(04/28/2026 cell nokia) 28/04/2026 Escalade faite au RM FME donald Plan for 30//04/2026 27/04/2026 Need BO RAN analysis Closed after reset but check and replace SFP</t>
  </si>
  <si>
    <t>(04/28/2026 cell nokia): 28/04/2026 : Power issue || Mail sent to IHS ..;..;(04/28/2026 cell nokia): 28/04/2026 : Power issue || Mail sent to HIS || Feedback HIS :|| Team on the Way ||..;..;(04/28/2026 cell nokia): 28/04/2026 : Power issue || Mail sent to ihs || Feedback HIS :|| Team on the Way ||Please Track the Site From 12AM 
RCA : rectifier faulty // Rectifier replaced</t>
  </si>
  <si>
    <t>04/28/2026 cell nokia) 28/04/2026 Power issue Mail sent to IHS 04/28/2026 cell nokia) 28/04/2026 Power issue Mail sent to HIS Feedback HIS Team on the Way 04/28/2026 cell nokia) 28/04/2026 Power issue Mail sent to ihs Feedback HIS Team on the Way Please Track the Site From 12AM RCA rectifier faulty Rectifier replaced</t>
  </si>
  <si>
    <t>(04/28/2026 cell huawei): 28/04/2026 : ETA 11H || UP after SFP replacement
27/04/2026 :  Check Connectivite entre BBU &amp; RRU/Check FO ou SFP</t>
  </si>
  <si>
    <t>04/28/2026 cell huawei) 28/04/2026 ETA 11H UP after SFP replacement 27/04/2026 Check Connectivite entre BBU RRU/Check FO ou SFP</t>
  </si>
  <si>
    <t xml:space="preserve">(04/28/2026 cell nokia):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..;..;(04/28/2026 cell nokia):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..;..;(04/28/2026 cell nokia):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</si>
  <si>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04/28/2026 cell nokia)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04/28/2026 cell nokia)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 04/28/2026 cell nokia) 28/04/2026 Access issue 27/04/2026 Access issue Negociation en cours 23/04/2026 Intervention ce jour Acees issue Negociation en cours 22/04/2026 Fibre pas recue ETD Ce soir Intervention demain 23/04/2026 21/04/2026 Expedition F.O Ce jour de Garoua 20/04/2026 Check and clean FRGU ant 1 pour investigation Investigation en cours avec le level 0 Investigation non aboutti FME ira sur site demain ETA 21042026</t>
  </si>
  <si>
    <t>Bariki-IHS</t>
  </si>
  <si>
    <t>EXN_167</t>
  </si>
  <si>
    <t>Bariki</t>
  </si>
  <si>
    <t>(04/28/2026 hourly IHS): fme ROBERT is managing with level 0</t>
  </si>
  <si>
    <t>fme ROBERT is managing with level 0</t>
  </si>
  <si>
    <t>(04/28/2026 cell nokia): 27/04/2026 : Commande de la FBBC passe || ETA: 29/04/2026 
24/05/2026 : FBBC faulty spare request Ongoing. Planned to be replace on 25.04.2026
23/04/2026 : Access issue 
22/04/2026 : Need BO RAN analysis || Check and replace FBBC if needed..;..;(04/28/2026 cell nokia): 27/04/2026 : Commande de la FBBC passe || ETA: 29/04/2026 
24/05/2026 : FBBC faulty spare request Ongoing. Planned to be replace on 25.04.2026
23/04/2026 : Access issue 
22/04/2026 : Need BO RAN analysis || Check and replace FBBC if needed..;..;(04/28/2026 cell nokia): 27/04/2026 : Commande de la FBBC passe || ETA: 29/04/2026 
24/05/2026 : FBBC faulty spare request Ongoing. Planned to be replace on 25.04.2026
23/04/2026 : Access issue 
22/04/2026 : Need BO RAN analysis || Check and replace FBBC if needed</t>
  </si>
  <si>
    <t>04/28/2026 cell nokia) 27/04/2026 Commande de la FBBC passe ETA 29/04/2026 24/05/2026 FBBC faulty spare request Ongoing. Planned to be replace on 25.04.2026 23/04/2026 Access issue 22/04/2026 Need BO RAN analysis Check and replace FBBC if needed.;.;(04/28/2026 cell nokia) 27/04/2026 Commande de la FBBC passe ETA 29/04/2026 24/05/2026 FBBC faulty spare request Ongoing. Planned to be replace on 25.04.2026 23/04/2026 Access issue 22/04/2026 Need BO RAN analysis Check and replace FBBC if needed.;.;(04/28/2026 cell nokia) 27/04/2026 Commande de la FBBC passe ETA 29/04/2026 24/05/2026 FBBC faulty spare request Ongoing. Planned to be replace on 25.04.2026 23/04/2026 Access issue 22/04/2026 Need BO RAN analysis Check and replace FBBC if needed</t>
  </si>
  <si>
    <t>(04/28/2026 hourly IHS): Grid outage, No space to deploy MDG // awaiting grid return Abdul is informed</t>
  </si>
  <si>
    <t>Grid outage, No space to deploy MDG awaiting grid return Abdul is informed</t>
  </si>
  <si>
    <t>(04/28/2026 hourly IHS): Bodouin is on the site and reported ATS issue</t>
  </si>
  <si>
    <t>(04/28/2026 hourly IHS): FME is on the way ETA 09:15 AM</t>
  </si>
  <si>
    <t>FME is on the way ETA 09 15 AM</t>
  </si>
  <si>
    <t>(04/28/2026 hourly IHS): Jean Paul is informed and manage with level zero, ETA 05:20 AM</t>
  </si>
  <si>
    <t>Jean Paul is informed and manage with level zero, ETA 05 20 AM</t>
  </si>
  <si>
    <t>(04/28/2026 hourly IHS): FME is informed and managing..;..;(04/28/2026 cell nokia): 28/04/2026 : Escalade faite au RM 
23/04/2026 : Check breaker and  interconnection AREA(sfp, optical fiber) between system and radio module, swap its if needed|| ETA : 24/04/2026 || UP After remote reset..;..;(04/28/2026 cell nokia): 28/04/2026 : Escalade faite au RM || Plan for 30/04/2026  || FME donald 
23/04/2026 : Check breaker and  interconnection AREA(sfp, optical fiber) between system and radio module, swap its if needed|| ETA : 24/04/2026 || UP After remote reset..;..;(04/28/2026 cell nokia):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t>
  </si>
  <si>
    <t>FME is informed and managing.;.;(04/28/2026 cell nokia) 28/04/2026 Escalade faite au RM 23/04/2026 Check breaker and interconnection AREA(sfp, optical fiber) between system and radio module, swap its if needed ETA 24/04/2026 UP After remote reset.;.;(04/28/2026 cell nokia) 28/04/2026 Escalade faite au RM Plan for 30/04/2026 FME donald 23/04/2026 Check breaker and interconnection AREA(sfp, optical fiber) between system and radio module, swap its if needed ETA 24/04/2026 UP After remote reset.;.;(04/28/2026 cell nokia) 28/04/2026 Escalade faite au RM Plan for 30/04/2026 FME donald Feedback RM Road blocked No traffic if we can Go as planned on 30.04.2027 23/04/2026 Check breaker and interconnection AREA(sfp, optical fiber) between system and radio module, swap its if needed ETA 24/04/2026 UP After remote reset</t>
  </si>
  <si>
    <t>(04/28/2026 hourly IHS): Fme is informed and managing</t>
  </si>
  <si>
    <t>Fme is informed and managing</t>
  </si>
  <si>
    <t>(04/28/2026 hourly IHS): Emmanuel is going to site ETA 10:30.</t>
  </si>
  <si>
    <t>Emmanuel is going to site ETA 10 30.</t>
  </si>
  <si>
    <t>(04/28/2026 hourly IHS): Armel is going to site ETA 12:20</t>
  </si>
  <si>
    <t>Armel is going to site ETA 12 20</t>
  </si>
  <si>
    <t>(04/28/2026 cell zte): 28/04/2026 : Escalade faite au RM || feedback RM attendu
27/04/2026 : Besoin d'analyse BO RAN || Fme should check and clean port 4 on RRU 52..;..;(04/28/2026 cell zte): 28/04/2026 : Escalade faite au RM || Feedback RM : plusieurs sont bloqués à cause de la pluie après la pluie on verra si c'est possible de travailler dans le cas contraire demain matin
27/04/2026 : Besoin d'analyse BO RAN || Fme should check and clean port 4 on RRU 52..;..;(04/28/2026 cell zte): 28/04/2026 : Escalade faite au RM || Feedback RM : plusieurs sont bloqués à cause de la pluie après la pluie on verra si c'est possible de travailler dans le cas contraire demain matin || Intervention reportee a demain
27/04/2026 : Besoin d'analyse BO RAN || Fme should check and clean port 4 on RRU 52</t>
  </si>
  <si>
    <t>04/28/2026 cell zte) 28/04/2026 Escalade faite au RM feedback RM attendu 27/04/2026 Besoin d'analyse BO RAN Fme should check and clean port 4 on RRU 52.;.;(04/28/2026 cell zte) 28/04/2026 Escalade faite au RM Feedback RM plusieurs sont bloqués à cause de la pluie après la pluie on verra si c'est possible de travailler dans le cas contraire demain matin 27/04/2026 Besoin d'analyse BO RAN Fme should check and clean port 4 on RRU 52.;.;(04/28/2026 cell zte) 28/04/2026 Escalade faite au RM Feedback RM plusieurs sont bloqués à cause de la pluie après la pluie on verra si c'est possible de travailler dans le cas contraire demain matin Intervention reportee a demain 27/04/2026 Besoin d'analyse BO RAN Fme should check and clean port 4 on RRU 52</t>
  </si>
  <si>
    <t xml:space="preserve">(04/28/2026 cell nokia): 28/04/2026 : FME en route pour le site || ETA : 12h
27/04/2026 : Check and replace FRGU || ETA : 28/04/2026 ..;..;(04/28/2026 cell nokia): 28/04/2026 : FME en route pour le site || ETA : 12h||FME sur sokelle||Forte pluie dans la zone|| Intervention renvoyer pour demain 29/04/2026
27/04/2026 : Check and replace FRGU || ETA : 28/04/2026 ..;..;(04/28/2026 cell nokia): 28/04/2026 : FME en route pour le site || ETA : 12h||FME sur sokelle||Forte pluie dans la zone|| Intervention renvoyer pour demain 29/04/2026
27/04/2026 : Check and replace FRGU || ETA : 28/04/2026 </t>
  </si>
  <si>
    <t>04/28/2026 cell nokia) 28/04/2026 FME en route pour le site ETA 12h 27/04/2026 Check and replace FRGU ETA 28/04/2026 04/28/2026 cell nokia) 28/04/2026 FME en route pour le site ETA 12h FME sur sokelle Forte pluie dans la zone Intervention renvoyer pour demain 29/04/2026 27/04/2026 Check and replace FRGU ETA 28/04/2026 04/28/2026 cell nokia) 28/04/2026 FME en route pour le site ETA 12h FME sur sokelle Forte pluie dans la zone Intervention renvoyer pour demain 29/04/2026 27/04/2026 Check and replace FRGU ETA 28/04/2026</t>
  </si>
  <si>
    <t>Kousseri-Ville</t>
  </si>
  <si>
    <t>EXN_064</t>
  </si>
  <si>
    <t>GenOnly</t>
  </si>
  <si>
    <t>(04/28/2026 hourly IHS): FME Yannick is on way. ETA = 02:15 PM IDrissou informed</t>
  </si>
  <si>
    <t>FME Yannick is on way. ETA 02 15 PM IDrissou informed</t>
  </si>
  <si>
    <t>(04/28/2026 hourly IHS): FME Brice is informed and managing</t>
  </si>
  <si>
    <t>(04/28/2026 hourly IHS): FME Albran is on way. ETA = 11:30 PM</t>
  </si>
  <si>
    <t>FME Albran is on way. ETA 11 30 PM</t>
  </si>
  <si>
    <t>(04/28/2026 hourly IHS): Ulrich is going to site ETA 09:30.</t>
  </si>
  <si>
    <t>(04/28/2026 hourly IHS): FME is managing with level 0,</t>
  </si>
  <si>
    <t>FME is managing with level 0,</t>
  </si>
  <si>
    <t>Kousseri-Lacka</t>
  </si>
  <si>
    <t>EXN_094</t>
  </si>
  <si>
    <t>(04/28/2026 hourly IHS): FME Yannick is managing with level 0, Idrissou is informed</t>
  </si>
  <si>
    <t>FME Yannick is managing with level 0, Idrissou is informed</t>
  </si>
  <si>
    <t>(04/28/2026 hourly IHS): fme Bassirou is managing with level 0..;..;(04/28/2026 ocm ran 19h):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ASAP..;..;(04/28/2026 ocm ran 14h):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ASAP..;..;(04/28/2026 com ran 10h):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ASAP..;..;(04/28/2026 ocm ran 00h):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</si>
  <si>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fme Bassirou is managing with level 0.;.;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ASAP.;.;(04/28/2026 com ran 10h)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</si>
  <si>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(04/28/2026 cell nokia): 28/04/2026 : Escalade faite au RM|| FME Derick Sofor 
27/04/2026 : Need BO RAN analysis || Check and clean jumper, port 4 of ARGA..;..;(04/28/2026 cell nokia): 28/04/2026 : Escalade faite au RM|| FME Donald 
27/04/2026 : Need BO RAN analysis || Check and clean jumper, port 4 of ARGA..;..;(04/28/2026 cell nokia): 28/04/2026 : Escalade faite au RM|| FME Donald 
27/04/2026 : Need BO RAN analysis || Check and clean jumper, port 4 of ARGA</t>
  </si>
  <si>
    <t>04/28/2026 cell nokia) 28/04/2026 Escalade faite au RM FME Derick Sofor 27/04/2026 Need BO RAN analysis Check and clean jumper, port 4 of ARGA.;.;(04/28/2026 cell nokia) 28/04/2026 Escalade faite au RM FME Donald 27/04/2026 Need BO RAN analysis Check and clean jumper, port 4 of ARGA.;.;(04/28/2026 cell nokia) 28/04/2026 Escalade faite au RM FME Donald 27/04/2026 Need BO RAN analysis Check and clean jumper, port 4 of ARGA</t>
  </si>
  <si>
    <t>Bogo-Marche</t>
  </si>
  <si>
    <t>EXN_191</t>
  </si>
  <si>
    <t>Bogo</t>
  </si>
  <si>
    <t>(04/28/2026 cell huawei): 28/04/2026 : Check Connectivite entre BBU &amp; RRU/Check FO ou SFP</t>
  </si>
  <si>
    <t>04/28/2026 cell huawei) 28/04/2026 Check Connectivite entre BBU RRU/Check FO ou SFP</t>
  </si>
  <si>
    <t>Makepe-Decharge2-IHS</t>
  </si>
  <si>
    <t>LIT_490</t>
  </si>
  <si>
    <t>(04/28/2026 hourly IHS): Fme will be on site after casmando</t>
  </si>
  <si>
    <t>Fme will be on site after casmando</t>
  </si>
  <si>
    <t xml:space="preserve">(04/28/2026 cell nokia): 27/04/2026 : Intervention plan for 29/04/2026 || La FXED quitte ce jour pour KOUMA 
24/04/2026 : Cde la FXED en cours 
23/04/2026 : Need BO RAN analysis ||Closed after reset but check and replace FXED ||FME  Andre activer ..;..;(04/28/2026 cell nokia): 27/04/2026 : Intervention plan for 29/04/2026 || La FXED quitte ce jour pour KOUMA 
24/04/2026 : Cde la FXED en cours 
23/04/2026 : Need BO RAN analysis ||Closed after reset but check and replace FXED ||FME  Andre activer ..;..;(04/28/2026 cell nokia): 27/04/2026 : Intervention plan for 29/04/2026 || La FXED quitte ce jour pour KOUMA 
24/04/2026 : Cde la FXED en cours 
23/04/2026 : Need BO RAN analysis ||Closed after reset but check and replace FXED ||FME  Andre activer </t>
  </si>
  <si>
    <t>04/28/2026 cell nokia) 27/04/2026 Intervention plan for 29/04/2026 La FXED quitte ce jour pour KOUMA 24/04/2026 Cde la FXED en cours 23/04/2026 Need BO RAN analysis Closed after reset but check and replace FXED 04/28/2026 cell nokia) 27/04/2026 Intervention plan for 29/04/2026 La FXED quitte ce jour pour KOUMA 24/04/2026 Cde la FXED en cours 23/04/2026 Need BO RAN analysis Closed after reset but check and replace FXED 04/28/2026 cell nokia) 27/04/2026 Intervention plan for 29/04/2026 La FXED quitte ce jour pour KOUMA 24/04/2026 Cde la FXED en cours 23/04/2026 Need BO RAN analysis Closed after reset but check and replace FXED</t>
  </si>
  <si>
    <t xml:space="preserve">(04/28/2026 ocm ran 19h): 28.04.2026: FME Seydou is currently at Basheo will be on the site at 16H
27/04/2026 Besoin d'un fme sur site pour verifier l'interco entre le MPR et la BTS S1P1 FME seydou bachirou activé manage avec le levle 0 ..;..;(04/28/2026 ocm ran 14h): 28.04.2026: FME Seydou is currently at Basheo will be on the site at 16H
27/04/2026 Besoin d'un fme sur site pour verifier l'interco entre le MPR et la BTS S1P1 FME seydou bachirou activé manage avec le levle 0 ..;..;(04/28/2026 com ran 10h): 28.04.2026: FME Seydou is currently at Basheo will be on the site at 16H
27/04/2026 Besoin d'un fme sur site pour verifier l'interco entre le MPR et la BTS S1P1 FME seydou bachirou activé manage avec le levle 0 ..;..;(04/28/2026 ocm ran 00h): 27/04/2026 Besoin d'un fme sur site pour verifier l'interco entre le MPR et la BTS S1P1 FME seydou bachirou activé manage avec le levle 0 </t>
  </si>
  <si>
    <t>28.04.2026 FME Seydou is currently at Basheo will be on the site at 16H 27/04/2026 Besoin d'un fme sur site pour verifier l'interco entre le MPR et la BTS S1P1 FME seydou bachirou activé manage avec le levle 0 28.04.2026 FME Seydou is currently at Basheo will be on the site at 16H 27/04/2026 Besoin d'un fme sur site pour verifier l'interco entre le MPR et la BTS S1P1 FME seydou bachirou activé manage avec le levle 0 04/28/2026 com ran 10h) 28.04.2026 FME Seydou is currently at Basheo will be on the site at 16H 27/04/2026 Besoin d'un fme sur site pour verifier l'interco entre le MPR et la BTS S1P1 FME seydou bachirou activé manage avec le levle 0 27/04/2026 Besoin d'un fme sur site pour verifier l'interco entre le MPR et la BTS S1P1 FME seydou bachirou activé manage avec le levle 0</t>
  </si>
  <si>
    <t xml:space="preserve">(04/28/2026 cell nokia): 28/04/2026 : Check breaker and  interconnection FRMF (sfp, optical fiber) between system and radio module, swap its if needed || FME yannick  presentement en route pour le site de logbong ..;..;(04/28/2026 cell nokia): 28/04/2026 : Check breaker and  interconnection FRMF (sfp, optical fiber) between system and radio module, swap its if needed || FME yannick  presentement en route pour le site de logbong|| Forte pluie  dans la zone||Intervention pour demain..;..;(04/28/2026 cell nokia): 28/04/2026 : Check breaker and  interconnection FRMF (sfp, optical fiber) between system and radio module, swap its if needed || FME yannick  presentement en route pour le site de logbong|| Forte pluie  dans la zone||Intervention pour demain 29/04/2026 </t>
  </si>
  <si>
    <t>04/28/2026 cell nokia) 28/04/2026 Check breaker and interconnection FRMF sfp, optical fiber) between system and radio module, swap its if needed FME yannick presentement en route pour le site de logbong 04/28/2026 cell nokia) 28/04/2026 Check breaker and interconnection FRMF sfp, optical fiber) between system and radio module, swap its if needed FME yannick presentement en route pour le site de logbong Forte pluie dans la zone Intervention pour demain.;.;(04/28/2026 cell nokia) 28/04/2026 Check breaker and interconnection FRMF sfp, optical fiber) between system and radio module, swap its if needed FME yannick presentement en route pour le site de logbong Forte pluie dans la zone Intervention pour demain 29/04/2026</t>
  </si>
  <si>
    <t>(04/28/2026 ocm ran 19h):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reconnection)..;..;(04/28/2026 ocm ran 14h):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reconnection)..;..;(04/28/2026 com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reconnection)..;..;(04/28/2026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</si>
  <si>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reconnection).;.;(04/28/2026 com ran 10h)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</si>
  <si>
    <t>(04/28/2026 ocm ran 19h):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status..;..;(04/28/2026 ocm ran 14h):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status..;..;(04/28/2026 com ran 10h):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status..;..;(04/28/2026 ocm ran 00h):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</si>
  <si>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status.;.;(04/28/2026 com ran 10h)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Modem faulty, commande en cours et update ASAP 08.04.26; FME en route pour le site, ETA=13H UTC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t>
  </si>
  <si>
    <t>(04/28/2026 cell zte): 27/04/2026 : Images spare toujours attendu du RM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10042026..;..;(04/28/2026 cell zte): 27/04/2026 : Images spare toujours attendu du RM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10042026..;..;(04/28/2026 cell zte): 27/04/2026 : Images spare toujours attendu du RM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</si>
  <si>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04/28/2026 cell zte) 27/04/2026 Images spare toujours attendu du RM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10042026.;.;(04/28/2026 cell zte) 27/04/2026 Images spare toujours attendu du RM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10042026.;.;(04/28/2026 cell zte) 27/04/2026 Images spare toujours attendu du RM 24/04/2026 Le RM a partage les images de spare attendu Feedback HW SPMS attendu 23/04/2026 Commande en cours Spare pas disponible au magasin Mail envoye a HW SPMS 22/04/2026 Test de trubleshooting ce jour entre le fme sur site et le support ZTE conclusion jumper faulty Validation remplacement jumper attendu de ZTE pour commande de spare Go de ZTE recu commande de spare attendu du Fme 18/04/2026 Relance faite a ZTE ce jour 17/04/2026 Fme sur site ce jour pour effectuer certains tests demandes par ZTE afin de donner le GO pour le remplacement de la RRU 15/04/2026 Relance faite a ZTE ce jour Validation remplacement SPARE toujours attendu de ZTE 14/04/2026 RI envoye a ZTE en attendant le GO pour le remplacement de la RRU 13/03/2026 Commande passe attente validation 11/04/2026 Relance du Fme ce jour ETA attendu Feedback Fme le port 1 de le RRU est faulty Commande en cours 10/04/2026 Fme en route pour le site ETA 11h Feedback Fme jumpers faulty commande en cours Intervention en cours Intervention interrompue pour urgence de restauration d'un site down SOA_Eglise _Catholigue) Suite remplacement de RF Jumper le 11042026 09/04/2026 Besoin d'analyse BO RAN Check and clean jumper, port 1 of RRU 51 Fme active Feedback Fme Noté Les vérifications seront faites demain Il pleut dans la ville ETA 10042026</t>
  </si>
  <si>
    <t>(04/28/2026 ocm ran 19h): New BTS installed and not yet accepted..;..;(04/28/2026 ocm ran 14h): New BTS installed and not yet accepted..;..;(04/28/2026 com ran 10h): New BTS installed and not yet accepted..;..;(04/28/2026 ocm ran 00h): New BTS installed and not yet accepted</t>
  </si>
  <si>
    <t>New BTS installed and not yet accepted.;.; New BTS installed and not yet accepted.;.;(04/28/2026 com ran 10h) New BTS installed and not yet accepted.;.; New BTS installed and not yet accepted</t>
  </si>
  <si>
    <t>Mamfe-Town-IHS</t>
  </si>
  <si>
    <t>SUO_107</t>
  </si>
  <si>
    <t>Mamfe</t>
  </si>
  <si>
    <t>(04/28/2026 hourly IHS): DG FAULTY.</t>
  </si>
  <si>
    <t>DG FAULTY.</t>
  </si>
  <si>
    <t>(04/28/2026 ocm ran 19h): Site en cours de démentelement..;..;(04/28/2026 ocm ran 14h): Site en cours de démentelement..;..;(04/28/2026 com ran 10h): Site en cours de démentelement..;..;(04/28/2026 ocm ran 00h): Site en cours de démentelement</t>
  </si>
  <si>
    <t>Site en cours de démentelement.;.; Site en cours de démentelement.;.;(04/28/2026 com ran 10h) Site en cours de démentelement.;.; Site en cours de démentelement</t>
  </si>
  <si>
    <t xml:space="preserve">(04/28/2026 ocm ran 19h): 28/04/2026 Camusat: Grid outage grid only site / grid return awaited..;..;(04/28/2026 ocm ran 14h): Power status check ongoing..;..;(04/28/2026 ocm ran 00h): 27/04/2026 Bad grid voltage, low solar/ Solar return awaited ESCALADE L3 CAMUSAT
26/04/2026 CAMUSAT feedback : team en route pour verification 
25/04/2026 Bad grid voltage, low solar/ Solar return awaited..;..;(04/28/2026 ticket): INC-20260428-00008704…2026-04-28 12:59:44…Grid outage grid only site / grid return awaited…grid only power issue on site </t>
  </si>
  <si>
    <t>28/04/2026 Camusat Grid outage grid only site grid return awaited.;.; 27/04/2026 Bad grid voltage, low solar/ Solar return awaited ESCALADE L3 CAMUSAT 26/04/2026 CAMUSAT feedback team en route pour verification 25/04/2026 Bad grid voltage, low solar/ Solar return awaited.;.; 2026-04-28 12 59 44…Grid outage grid only site grid return awaited…grid only power issue on site</t>
  </si>
  <si>
    <t>(04/28/2026 hourly IHS): Francis (Dowen // 679332223) is on site for work (swap de la MPR) BATEU and Alphonse DEFFO informed..;..;(04/28/2026 ocm ran 19h): Power status check ongoing..;..;(04/28/2026 ocm ran 00h): 27.04.26: IHS: 42.8 V: MPR Faulty, Escalation done until Bate</t>
  </si>
  <si>
    <t>Francis Dowen 679332223) is on site for work swap de la MPR) BATEU and Alphonse DEFFO informed.;.; 27.04.26 IHS 42.8 V MPR Faulty, Escalation done until Bate</t>
  </si>
  <si>
    <t>(04/28/2026 ocm ran 19h): 28/04/2026  Site down with no power alarms; Need FME on site to check antenna chain of ODU 3.1 FME activé ETA asap ..;..;(04/28/2026 ocm ran 14h): Power status check ongoing</t>
  </si>
  <si>
    <t>28/04/2026 Site down with no power alarms; Need FME on site to check antenna chain of ODU 3.1 FME activé ETA asap Power status check ongoing</t>
  </si>
  <si>
    <t>Ndom</t>
  </si>
  <si>
    <t>SUO_028</t>
  </si>
  <si>
    <t>Grid Gen</t>
  </si>
  <si>
    <t>(04/28/2026 hourly IHS): Fme is on yhe way ETA, 02:30 AM</t>
  </si>
  <si>
    <t>Fme is on yhe way ETA, 02 30 AM</t>
  </si>
  <si>
    <t xml:space="preserve">(04/28/2026 cell nokia): 28/04/2026 : Intervention apres logbong
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..;..;(04/28/2026 cell nokia): 28/04/2026 : Intervention apres logbong||Feedback FME : nous toujours sur sokelle et la pluie ne cesse de freiner dans l’avancement avec le remplacement du module FRMF nous avons fais presque deux abritée dans la voiture car il pleut ici exagérément et le site est à 2km ||  Intervention renvoyer a demain 29/04/2026 
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..;..;(04/28/2026 cell nokia): 28/04/2026 : Intervention apres logbong||Feedback FME : nous toujours sur sokelle et la pluie ne cesse de freiner dans l’avancement avec le remplacement du module FRMF nous avons fais presque deux abritée dans la voiture car il pleut ici exagérément et le site est à 2km ||  Intervention renvoyer a demain 29/04/2026 
27/04/2026 : Intervention plan for tomorrow : 28/04/2026 
24/04/2026 : Intervention prevue pour ce jour || Feedback FME :  FRMF faulty || Cde de la FRMF passer
23/04/2026 : Check breaker and  interconnection FRMF (sfp, optical fiber) between system and radio module, swap its if needed || FME Charlie activer || ETA : deain 24042026 </t>
  </si>
  <si>
    <t>04/28/2026 cell nokia) 28/04/2026 Intervention apres logbong 27/04/2026 Intervention plan for tomorrow 28/04/2026 24/04/2026 Intervention prevue pour ce jour Feedback FME FRMF faulty Cde de la FRMF passer 23/04/2026 Check breaker and interconnection FRMF sfp, optical fiber) between system and radio module, swap its if needed ETA deain 24042026 04/28/2026 cell nokia) 28/04/2026 Intervention apres logbong Feedback FME nous toujours sur sokelle et la pluie ne cesse de freiner dans l’avancement avec le remplacement du module FRMF nous avons fais presque deux abritée dans la voiture car il pleut ici exagérément et le site est à 2km Intervention renvoyer a demain 29/04/2026 27/04/2026 Intervention plan for tomorrow 28/04/2026 24/04/2026 Intervention prevue pour ce jour Feedback FME FRMF faulty Cde de la FRMF passer 23/04/2026 Check breaker and interconnection FRMF sfp, optical fiber) between system and radio module, swap its if needed ETA deain 24042026 04/28/2026 cell nokia) 28/04/2026 Intervention apres logbong Feedback FME nous toujours sur sokelle et la pluie ne cesse de freiner dans l’avancement avec le remplacement du module FRMF nous avons fais presque deux abritée dans la voiture car il pleut ici exagérément et le site est à 2km Intervention renvoyer a demain 29/04/2026 27/04/2026 Intervention plan for tomorrow 28/04/2026 24/04/2026 Intervention prevue pour ce jour Feedback FME FRMF faulty Cde de la FRMF passer 23/04/2026 Check breaker and interconnection FRMF sfp, optical fiber) between system and radio module, swap its if needed ETA deain 24042026</t>
  </si>
  <si>
    <t>Ngoung</t>
  </si>
  <si>
    <t>CTR_115</t>
  </si>
  <si>
    <t>(04/28/2026 hourly IHS): Fme Francklin is informed ETA 05:30 PM ZAMBE informed..;..;(04/28/2026 cell zte): 28/04/2026 : Power issue || Mail sent to IHS</t>
  </si>
  <si>
    <t>Fme Francklin is informed ETA 05 30 PM ZAMBE informed.;.;(04/28/2026 cell zte) 28/04/2026 Power issue Mail sent to IHS</t>
  </si>
  <si>
    <t>(gROUPE WHATSAPP ): SUO_173_H_Jabane -{ 28.04.26: Probable arrêt du site par le BIR, investigations en cours }  ||(04/28/2026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needed..;..;(04/28/2026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needed..;..;(04/28/2026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needed..;..;(04/28/2026 ocm ran 19h): Power status check ongoing..;..;(04/28/2026 com ran 10h): Power status check ongoing..;..;(04/28/2026 ocm ran 00h): 27.04.26: Site probablement en arrêt par le BIR, investigations en cours</t>
  </si>
  <si>
    <t>gROUPE WHATSAPP SUO_173_H_Jabane 28.04.26 Probable arrêt du site par le BIR, investigations en cours 04/28/2026 cell huawei) 22/04/2026 Feeddback BO TX Please could plan a session with all the stakeholders? I mean BIR IT Engineer, BO TX Engineer, BO IP Engineer BO RAN Engineer. During that session, we will be troubleshooting together at the same time 09/04/2026 Analyse de la chaine de routage toujours encours cote BO RAN Projet Huawei 07/04/2026 Feedback BO RAN Projet As check, kindly find below 3G/4G config Note also that config are ok, and ping test from BTS to Gateway is not okay as you can see Please YENE TONER GILLES HENRI, to confirm the root site cluster) of this site and then we need involve IP team to check base on TX feedback if below IP address use for 3G and 4G are correct or not. Suspecting a reparenting done here with misalignment 06/04/2026 Support du BO PRojet Huawei attendu Site down 06/04/2026 Le FME a ete active pour Salle des Fetes d'AKWA pour redemarrer le MPR ETA 11h30 Feedback bo tx apres les actions de ce jour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Cmdant du BIR non joignable pour les acces. Prochaine tentative le 02042026 31/03/2026 Feedback BO TX Probable faulty ODU at Jabane Check antenna line and change ODU AT MPR LIMBE-BIMBA-CRTV if necesarry PN 3DB29108AAAAC04 29/03/2026 need BO RAN analysis 3G and 4G cells down Transmission investigation needed.;.;(04/28/2026 cell huawei) 22/04/2026 Feeddback BO TX Please could plan a session with all the stakeholders? I mean BIR IT Engineer, BO TX Engineer, BO IP Engineer BO RAN Engineer. During that session, we will be troubleshooting together at the same time 09/04/2026 Analyse de la chaine de routage toujours encours cote BO RAN Projet Huawei 07/04/2026 Feedback BO RAN Projet As check, kindly find below 3G/4G config Note also that config are ok, and ping test from BTS to Gateway is not okay as you can see Please YENE TONER GILLES HENRI, to confirm the root site cluster) of this site and then we need involve IP team to check base on TX feedback if below IP address use for 3G and 4G are correct or not. Suspecting a reparenting done here with misalignment 06/04/2026 Support du BO PRojet Huawei attendu Site down 06/04/2026 Le FME a ete active pour Salle des Fetes d'AKWA pour redemarrer le MPR ETA 11h30 Feedback bo tx apres les actions de ce jour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Cmdant du BIR non joignable pour les acces. Prochaine tentative le 02042026 31/03/2026 Feedback BO TX Probable faulty ODU at Jabane Check antenna line and change ODU AT MPR LIMBE-BIMBA-CRTV if necesarry PN 3DB29108AAAAC04 29/03/2026 need BO RAN analysis 3G and 4G cells down Transmission investigation needed.;.;(04/28/2026 cell huawei) 22/04/2026 Feeddback BO TX Please could plan a session with all the stakeholders? I mean BIR IT Engineer, BO TX Engineer, BO IP Engineer BO RAN Engineer. During that session, we will be troubleshooting together at the same time 09/04/2026 Analyse de la chaine de routage toujours encours cote BO RAN Projet Huawei 07/04/2026 Feedback BO RAN Projet As check, kindly find below 3G/4G config Note also that config are ok, and ping test from BTS to Gateway is not okay as you can see Please YENE TONER GILLES HENRI, to confirm the root site cluster) of this site and then we need involve IP team to check base on TX feedback if below IP address use for 3G and 4G are correct or not. Suspecting a reparenting done here with misalignment 06/04/2026 Support du BO PRojet Huawei attendu Site down 06/04/2026 Le FME a ete active pour Salle des Fetes d'AKWA pour redemarrer le MPR ETA 11h30 Feedback bo tx apres les actions de ce jour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Cmdant du BIR non joignable pour les acces. Prochaine tentative le 02042026 31/03/2026 Feedback BO TX Probable faulty ODU at Jabane Check antenna line and change ODU AT MPR LIMBE-BIMBA-CRTV if necesarry PN 3DB29108AAAAC04 29/03/2026 need BO RAN analysis 3G and 4G cells down Transmission investigation needed.;.; 04/28/2026 com ran 10h) 27.04.26 Site probablement en arrêt par le BIR, investigations en cours</t>
  </si>
  <si>
    <t>(04/28/2026 ticket): INC-20260428-00002455…power issu coupure d'électricité dans la zone défaut démarrage GE les équipes power Camusat suivent le point …Others Transmission equipement fault</t>
  </si>
  <si>
    <t>power issu coupure d'électricité dans la zone défaut démarrage GE les équipes power Camusat suivent le point</t>
  </si>
  <si>
    <t>(04/28/2026 cell zte): 28/04/2026 : Malgres les actions du Fme sur site hier l'alarme persiste || Fme ative pour continuer les checks || Feedback RM : le FME ira sur site après la pluie faire le constat nous savons que c'est un problème d'énergie
27/04/2026 : Intervention sur site ce jour || Up apres rearmement des breakers..;..;(04/28/2026 cell zte): 28/04/2026 : Malgres les actions du Fme sur site hier l'alarme persiste || Fme ative pour continuer les checks || Feedback RM : le FME ira sur site après la pluie faire le constat nous savons que c'est un problème d'énergie || Fme en chemin pour le site || Disjoction des breakers, up apres rearmement des breakers
27/04/2026 : Intervention sur site ce jour || Up apres rearmement des breakers</t>
  </si>
  <si>
    <t>04/28/2026 cell zte) 28/04/2026 Malgres les actions du Fme sur site hier l'alarme persiste Fme ative pour continuer les checks Feedback RM le FME ira sur site après la pluie faire le constat nous savons que c'est un problème d'énergie 27/04/2026 Intervention sur site ce jour Up apres rearmement des breakers.;.;(04/28/2026 cell zte) 28/04/2026 Malgres les actions du Fme sur site hier l'alarme persiste Fme ative pour continuer les checks Feedback RM le FME ira sur site après la pluie faire le constat nous savons que c'est un problème d'énergie Fme en chemin pour le site Disjoction des breakers, up apres rearmement des breakers 27/04/2026 Intervention sur site ce jour Up apres rearmement des breakers</t>
  </si>
  <si>
    <t>Loum-Camtel</t>
  </si>
  <si>
    <t>LIT_086</t>
  </si>
  <si>
    <t>(04/28/2026 com ran 10h): 27.04.26: Camusat: FME is managing with level0..;..;(04/28/2026 ocm ran 00h): 27.04.26: Camusat: FME is managing with level0</t>
  </si>
  <si>
    <t>04/28/2026 com ran 10h) 27.04.26 Camusat FME is managing with level0.;.; 27.04.26 Camusat FME is managing with level0</t>
  </si>
  <si>
    <t>(04/28/2026 ocm ran 00h): 23.04.26; BTS en plan sur Netact. Travaux ing en cours</t>
  </si>
  <si>
    <t>23.04.26; BTS en plan sur Netact. Travaux ing en cours</t>
  </si>
  <si>
    <t>Koupa-Matapit-IHS</t>
  </si>
  <si>
    <t>OST_209</t>
  </si>
  <si>
    <t>Koupa-Matapit</t>
  </si>
  <si>
    <t>(04/28/2026 cell huawei): 28/04/2028 :  Check Connectivite entre BBU &amp; RRU/Check FO ou SFP</t>
  </si>
  <si>
    <t>04/28/2026 cell huawei) 28/04/2028 Check Connectivite entre BBU RRU/Check FO ou SFP</t>
  </si>
  <si>
    <t>(04/28/2026 cell zte):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down..;..;(04/28/2026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down..;..;(04/28/2026 cell zte): 28/04/2026 : Relance faite a camusat ce jour || Feedback camusat attendu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</si>
  <si>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04/28/2026 cell zte)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down.;.;(04/28/2026 cell zte) 28/04/2026 Relance faite a camusat ce jour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down.;.;(04/28/2026 cell zte) 28/04/2026 Relance faite a camusat ce jour Feedback camusat attendu 27/04/2026 Retour camusat attendu 23/04/2026 Relance faite a camusat ce jour 22/04/2026 Feedback camusat attendu 21/04/2026 Le RM a partage les evidences des guepes sur Nsimalene Mail envoye a camusat pour support 20/04/2026 Fme actuellement sur esambout pour remplacement de la fibre et sera sur Nsimalene dans l'apres midi ETA 15h Feedback Fme Presence des gepes sur le site 19/04/2026 Check and clean RRU 51,52 18/04/2026 Site down</t>
  </si>
  <si>
    <t>Manjo-PHP</t>
  </si>
  <si>
    <t>LIT_592</t>
  </si>
  <si>
    <t>Manjo</t>
  </si>
  <si>
    <t>(04/28/2026 ocm ran 14h): 28/04/2026 FME actuellement à loum camtel et il s'y rendra après ETA=15H UTC 
28.04.26:  ETA = 12H UTC pour vérification du powercore
27.04.26: Camusat: Our technician is managing the issue with the level 0..;..;(04/28/2026 com ran 10h): 27.04.26: Camusat: Our technician is managing the issue with the level 0..;..;(04/28/2026 ocm ran 00h): 27.04.26: Camusat: Our technician is managing the issue with the level 0</t>
  </si>
  <si>
    <t>28/04/2026 FME actuellement à loum camtel et il s'y rendra après ETA=15H UTC 28.04.26 ETA 12H UTC pour vérification du powercore 27.04.26 Camusat Our technician is managing the issue with the level 0.;.;(04/28/2026 com ran 10h) 27.04.26 Camusat Our technician is managing the issue with the level 0.;.; 27.04.26 Camusat Our technician is managing the issue with the level 0</t>
  </si>
  <si>
    <t>Missole</t>
  </si>
  <si>
    <t>LIT_227</t>
  </si>
  <si>
    <t>(04/28/2026 cell zte): 28/04/2026 : Besoin d'analyse BO RAN || Site unstble Activate FME to Check and clean jumper, port 3 of RRU61..;..;(04/28/2026 cell zte): 28/04/2026 : Besoin d'analyse BO RAN || Site unstble Activate FME to Check and clean jumper, port 3 of RRU61 || Fme actuellement sur Mbonguoen MTN et se rendra sur Missole demain ETA 29042026</t>
  </si>
  <si>
    <t>04/28/2026 cell zte) 28/04/2026 Besoin d'analyse BO RAN Site unstble Activate FME to Check and clean jumper, port 3 of RRU61.;.;(04/28/2026 cell zte) 28/04/2026 Besoin d'analyse BO RAN Site unstble Activate FME to Check and clean jumper, port 3 of RRU61 Fme actuellement sur Mbonguoen MTN et se rendra sur Missole demain ETA 29042026</t>
  </si>
  <si>
    <t>(04/28/2026 cell zte): 28/04/2026 : Fme active ETA attendu
27/04/2026 : Besoin d'analyse BO RAN || Check and clean jumper, port 2 of RRU 61..;..;(04/28/2026 cell zte): 28/04/2026 : Fme active ETA attendu
27/04/2026 : Besoin d'analyse BO RAN || Check and clean jumper, port 2 of RRU 61..;..;(04/28/2026 cell zte): 28/04/2026 : Fme active ETA attendu || Intervention prevu pour demain
27/04/2026 : Besoin d'analyse BO RAN || Check and clean jumper, port 2 of RRU 61</t>
  </si>
  <si>
    <t>04/28/2026 cell zte) 28/04/2026 Fme active ETA attendu 27/04/2026 Besoin d'analyse BO RAN Check and clean jumper, port 2 of RRU 61.;.;(04/28/2026 cell zte) 28/04/2026 Fme active ETA attendu 27/04/2026 Besoin d'analyse BO RAN Check and clean jumper, port 2 of RRU 61.;.;(04/28/2026 cell zte) 28/04/2026 Fme active ETA attendu Intervention prevu pour demain 27/04/2026 Besoin d'analyse BO RAN Check and clean jumper, port 2 of RRU 61</t>
  </si>
  <si>
    <t>(04/28/2026 ocm ran 19h): 28/04/2026 Odu fautlty pas disponible au WH  commande passé a OCM ..;..;(04/28/2026 ocm ran 14h): Power status check ongoing..;..;(04/28/2026 ocm ran 00h): 27.04.26: ODU 7-8 G faulty et commande passée à OCM</t>
  </si>
  <si>
    <t>28/04/2026 Odu fautlty pas disponible au WH commande passé a OCM 27.04.26 ODU 7-8 G faulty et commande passée à OCM</t>
  </si>
  <si>
    <t>(04/28/2026 cell zte): 28/04/2026 : Escalade faite au RM || feedback RM attendu
27/04/2026 : Besoin d'analyse BO RAN || Fme should check connectivity(SFP, Optical fiber) of RRU 51..;..;(04/28/2026 cell zte): 28/04/2026 : Escalade faite au RM || Feedback RM : le FME en route notons qu'il pleut dans la zone || Fme actuellement sur Melem et se rendra sur  Mokom  ETA 17H
27/04/2026 : Besoin d'analyse BO RAN || Fme should check connectivity(SFP, Optical fiber) of RRU 51 || Fme active..;..;(04/28/2026 cell zte): 28/04/2026 : Escalade faite au RM || Feedback RM : le FME en route notons qu'il pleut dans la zone || Fme actuellement sur Melem et se rendra sur  Mokom  ETA 17H
27/04/2026 : Besoin d'analyse BO RAN || Fme should check connectivity(SFP, Optical fiber) of RRU 51 || Fme active</t>
  </si>
  <si>
    <t>04/28/2026 cell zte) 28/04/2026 Escalade faite au RM feedback RM attendu 27/04/2026 Besoin d'analyse BO RAN Fme should check connectivity(SFP, Optical fiber) of RRU 51.;.;(04/28/2026 cell zte) 28/04/2026 Escalade faite au RM Feedback RM le FME en route notons qu'il pleut dans la zone Fme actuellement sur Melem et se rendra sur Mokom ETA 17H 27/04/2026 Besoin d'analyse BO RAN Fme should check connectivity(SFP, Optical fiber) of RRU 51 Fme active.;.;(04/28/2026 cell zte) 28/04/2026 Escalade faite au RM Feedback RM le FME en route notons qu'il pleut dans la zone Fme actuellement sur Melem et se rendra sur Mokom ETA 17H 27/04/2026 Besoin d'analyse BO RAN Fme should check connectivity(SFP, Optical fiber) of RRU 51 Fme active</t>
  </si>
  <si>
    <t>(04/28/2026 ocm ran 19h):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site..;..;(04/28/2026 ocm ran 14h):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site..;..;(04/28/2026 com ran 10h):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site..;..;(04/28/2026 ocm ran 00h):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</si>
  <si>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 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site.;.;(04/28/2026 com ran 10h) 28.04.2026 Site to be visited this weekend depending on access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 27.04.26; Road blocked No traffic if we can Go as planned on 28.04.2026 25/04/2026 Retour fme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Joseph is managing with level 0, on site escalated to L3 IHS 12/04/2026 IHS Feedback Joseph is managing with level 0, on site</t>
  </si>
  <si>
    <t>(04/28/2026 hourly IHS): FME is on the way ETA 11:40 AM</t>
  </si>
  <si>
    <t>(04/28/2026 hourly IHS): (Unstable site) Site went down because rectifier issue Felix BATEU is on site..;..;(04/28/2026 cell zte): 28/04/2026 : Power issue || Mail sent to IHS..;..;(04/28/2026 com ran 10h): Power status check ongoing</t>
  </si>
  <si>
    <t>Unstable site) Site went down because rectifier issue Felix BATEU is on site.;.;(04/28/2026 cell zte) 28/04/2026 Power issue Mail sent to IHS.;.;(04/28/2026 com ran 10h) Power status check ongoing</t>
  </si>
  <si>
    <t>(04/28/2026 cell zte): 
28/04/2026 : Demande de Work_permit par OCM a Camrail || Feedback attendu
27/04/2026 : Besoin d'analyse BO RAN || FME should check Antenna Fider status..;..;(04/28/2026 cell zte): 28/04/2026 : Demande de Work_permit par OCM a Camrail || Feedback camrail attendu attendu
27/04/2026 : Besoin d'analyse BO RAN || FME should check Antenna Fider status..;..;(04/28/2026 cell zte): 28/04/2026 : Demande de Work_permit par OCM a Camrail || Feedback camrail attendu attendu
27/04/2026 : Besoin d'analyse BO RAN || FME should check Antenna Fider status..;..;(04/28/2026 ocm ran 19h): Power status check ongoing</t>
  </si>
  <si>
    <t>04/28/2026 cell zte) 28/04/2026 Demande de Work_permit par OCM a Camrail Feedback attendu 27/04/2026 Besoin d'analyse BO RAN FME should check Antenna Fider status.;.;(04/28/2026 cell zte) 28/04/2026 Demande de Work_permit par OCM a Camrail Feedback camrail attendu attendu 27/04/2026 Besoin d'analyse BO RAN FME should check Antenna Fider status.;.;(04/28/2026 cell zte) 28/04/2026 Demande de Work_permit par OCM a Camrail Feedback camrail attendu attendu 27/04/2026 Besoin d'analyse BO RAN FME should check Antenna Fider status.;.; Power status check ongoing</t>
  </si>
  <si>
    <t xml:space="preserve">(04/28/2026 cell nokia): 28/04/2026 : Escalade faite au RM 
27/04/2026 : Need BO RAN analysis ||FME should reload software || Ghost town ..;..;(04/28/2026 cell nokia): 28/04/2026 : Escalade faite au RM || FME 
27/04/2026 : Need BO RAN analysis ||FME seydou should reload software || Ghost town ..;..;(04/28/2026 cell nokia): 28/04/2026 : Escalade faite au RM || FME 
27/04/2026 : Need BO RAN analysis ||FME seydou should reload software || Ghost town </t>
  </si>
  <si>
    <t>04/28/2026 cell nokia) 28/04/2026 Escalade faite au RM 27/04/2026 Need BO RAN analysis FME should reload software Ghost town 04/28/2026 cell nokia) 28/04/2026 Escalade faite au RM FME 27/04/2026 Need BO RAN analysis FME seydou should reload software Ghost town 04/28/2026 cell nokia) 28/04/2026 Escalade faite au RM FME 27/04/2026 Need BO RAN analysis FME seydou should reload software Ghost town</t>
  </si>
  <si>
    <t>Lolodorf</t>
  </si>
  <si>
    <t>SUD_024</t>
  </si>
  <si>
    <t>(04/28/2026 hourly IHS): FME manage..;..;(04/28/2026 ocm ran 14h): Power status check ongoing</t>
  </si>
  <si>
    <t>FME manage.;.; Power status check ongoing</t>
  </si>
  <si>
    <t>Niete-DG</t>
  </si>
  <si>
    <t>SUD_011</t>
  </si>
  <si>
    <t>Niete</t>
  </si>
  <si>
    <t>(04/28/2026 ocm ran 19h):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ASAP..;..;(04/28/2026 ocm ran 14h):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ASAP..;..;(04/28/2026 com ran 10h):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ASAP..;..;(04/28/2026 ocm ran 00h):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</si>
  <si>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ASAP.;.;(04/28/2026 com ran 10h)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 27/04/2026 ODU en cours de dementelement 21.04.26; Dementellement des ODUs en cours pour MAD à Huawei, update ASAP 08.04.26; ODU MPT 7-8 GHz 3DB20859AB faulty et commande passée à OCM 08.04.26; Besoin d'un FME sur site pour vérifier la chaine antennaire de l'ODU 3.1; FME Rodrigue activé pour investigations, update ASAP</t>
  </si>
  <si>
    <t>(04/28/2026 ocm ran 19h):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UTC..;..;(04/28/2026 ocm ran 14h):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UTC..;..;(04/28/2026 com ran 10h):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UTC..;..;(04/28/2026 ocm ran 00h):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</si>
  <si>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UTC.;.;(04/28/2026 com ran 10h)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</si>
  <si>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(04/28/2026 ocm ran 19h): 28/04/2026 Besoin d'un fme sur site pour verifier le status du MPR fme etiente activé ETA=ASAP ..;..;(04/28/2026 ocm ran 14h): Power status check ongoing</t>
  </si>
  <si>
    <t>28/04/2026 Besoin d'un fme sur site pour verifier le status du MPR fme etiente activé ETA=ASAP Power status check ongoing</t>
  </si>
  <si>
    <t>Mbambou-IHS</t>
  </si>
  <si>
    <t>LIT_143</t>
  </si>
  <si>
    <t>Mbambou</t>
  </si>
  <si>
    <t>(04/28/2026 ocm ran 19h):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ASAP..;..;(04/28/2026 ocm ran 14h):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ASAP..;..;(04/28/2026 com ran 10h):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ASAP..;..;(04/28/2026 ocm ran 00h):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</si>
  <si>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ASAP.;.;(04/28/2026 com ran 10h)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</si>
  <si>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(04/28/2026 ocm ran 19h): 28/04/2026 Activate FME at Loum-Camtel to check ODU 5/2..;..;(04/28/2026 ocm ran 14h): Power status check ongoing</t>
  </si>
  <si>
    <t>28/04/2026 Activate FME at Loum-Camtel to check ODU 5/2.;.; Power status check ongoing</t>
  </si>
  <si>
    <t>Logbessou-II</t>
  </si>
  <si>
    <t>LIT_669</t>
  </si>
  <si>
    <t>28/03/2026 : Besoin d'analyse BO RAN || Transmission investrigation neeeded….28/03/2026 : Besoin d'analyse BO RAN || Transmission investrigation neeeded….28/03/2026 : Besoin d'analyse BO RAN || Transmission investrigation neeeded</t>
  </si>
  <si>
    <t>28/03/2026 Besoin d'analyse BO RAN Transmission investrigation neeeded….28/03/2026 Besoin d'analyse BO RAN Transmission investrigation neeeded….28/03/2026 Besoin d'analyse BO RAN Transmission investrigation neeeded</t>
  </si>
  <si>
    <t>Etam-Bafia</t>
  </si>
  <si>
    <t>CTR_721</t>
  </si>
  <si>
    <t>site down….site down….site down….30/03/2026 Grid outage grid only site /awaiting grid return escalade L3 camusat 
30/03/2026 Grid outage grid only site /awaiting grid return escalade L2 camusat ….30/03/2026 Grid outage grid only site /awaiting grid return….30/03/2026 Grid outage grid only site /awaiting grid return</t>
  </si>
  <si>
    <t>site down….site down….site down….30/03/2026 Grid outage grid only site awaiting grid return escalade L3 camusat 30/03/2026 Grid outage grid only site awaiting grid return escalade L2 camusat 30/03/2026 Grid outage grid only site awaiting grid return….30/03/2026 Grid outage grid only site awaiting grid return</t>
  </si>
  <si>
    <t xml:space="preserve">30/03/2026 30/03/2026 Grid outage grid only site /awaiting grid return escalade L3 camusat 
30/03/2026 Grid outage grid only site /awaiting grid return escalade L2 camusat ….Grid outage grid only site /awaiting grid return….Grid outage grid only site /awaiting grid return….INC-20260330-00001857.,,2026-03-31 06:22:33.,,Transmission Issue U=52,80V, I=51,19A/No Action Done.,,power issu coupure d'électricité dans la zone en attente du retour secteur site Grid Only </t>
  </si>
  <si>
    <t>30/03/2026 30/03/2026 Grid outage grid only site awaiting grid return escalade L3 camusat 30/03/2026 Grid outage grid only site awaiting grid return escalade L2 camusat Grid outage grid only site awaiting grid return….Grid outage grid only site awaiting grid return….,,2026-03-31 06 22 33.,,Transmission Issue U=52,80V, I=51,19A/No Action Done.,,power issu coupure d'électricité dans la zone en attente du retour secteur site Grid Only</t>
  </si>
  <si>
    <t>Site vendaliser</t>
  </si>
  <si>
    <t>exclu</t>
  </si>
  <si>
    <t xml:space="preserve">30/03/2026 : Power issue : Mail sent to HIS || Feedback IHS : Vol de cable….30/03/2026 : Power issue : Mail sent to HIS || Feedback IHS : Vol de cable….30/03/2026 : Power issue : Mail sent to HIS ||  Check connectors and optical fiber of RRU || Site vendaliser
</t>
  </si>
  <si>
    <t>30/03/2026 Power issue Mail sent to HIS Feedback IHS Vol de cable….30/03/2026 Power issue Mail sent to HIS Feedback IHS Vol de cable….30/03/2026 Power issue Mail sent to HIS Check connectors and optical fiber of RRU Site vendaliser</t>
  </si>
  <si>
    <t>site down….site down….site down….30.03.2026 CAMUSAT: Grid outage, Grid only site / continuté du délestage confirmer à 12H(escalade L4)
29.03.2026 CAMUSAT: Grid outage, Grid only site / continuté du délestage confirmer à 12H(escalade L4)
29/03/2026 Grid outage grid only site /awaiting grid return| ESCALATE TO L3
27/03/2026 Grid outage grid only site /awaiting grid return
27.03.26; Power alarms; Camusat feedback awaiting….30.03.2026 CAMUSAT: Grid outage, Grid only site / continuté du délestage confirmer à 12H(escalade L4)
29.03.2026 CAMUSAT: Grid outage, Grid only site / continuté du délestage confirmer à 12H(escalade L4)
29/03/2026 Grid outage grid only site /awaiting grid return| ESCALATE TO L3
27/03/2026 Grid outage grid only site /awaiting grid return
27.03.26; Power alarms; Camusat feedback awaiting</t>
  </si>
  <si>
    <t>site down….site down….site down….30.03.2026 CAMUSAT Grid outage, Grid only site continuté du délestage confirmer à 12H(escalade L4) 29.03.2026 CAMUSAT Grid outage, Grid only site continuté du délestage confirmer à 12H(escalade L4) 29/03/2026 Grid outage grid only site awaiting grid return| ESCALATE TO L3 27/03/2026 Grid outage grid only site awaiting grid return 27.03.26; Power alarms; Camusat feedback awaiting….30.03.2026 CAMUSAT Grid outage, Grid only site continuté du délestage confirmer à 12H(escalade L4) 29.03.2026 CAMUSAT Grid outage, Grid only site continuté du délestage confirmer à 12H(escalade L4) 29/03/2026 Grid outage grid only site awaiting grid return| ESCALATE TO L3 27/03/2026 Grid outage grid only site awaiting grid return 27.03.26; Power alarms; Camusat feedback awaiting</t>
  </si>
  <si>
    <t>CNDH</t>
  </si>
  <si>
    <t>CTR_046</t>
  </si>
  <si>
    <t xml:space="preserve">site down….site down….site down….30/03/2026 CAMUSAT: Grid outage grid only site /awaiting grid return ESCALADE L2 CAMUSAT 
29.03.2026 CAMUSAT: Grid outage grid only site /awaiting grid return  ….30/03/2026 CAMUSAT: Grid outage grid only site /awaiting grid return ESCALADE L2 CAMUSAT 
29.03.2026 CAMUSAT: Grid outage grid only site /awaiting grid return  </t>
  </si>
  <si>
    <t>site down….site down….site down….30/03/2026 CAMUSAT Grid outage grid only site awaiting grid return ESCALADE L2 CAMUSAT 29.03.2026 CAMUSAT Grid outage grid only site awaiting grid return 30/03/2026 CAMUSAT Grid outage grid only site awaiting grid return ESCALADE L2 CAMUSAT 29.03.2026 CAMUSAT Grid outage grid only site awaiting grid return</t>
  </si>
  <si>
    <t>CTR_934_Z_Nkolbisson-II-MTN</t>
  </si>
  <si>
    <t>CTR_934</t>
  </si>
  <si>
    <t>site down….site down….site down….Power status check ongoing….Power status check ongoing….INC-20260330-00004861.,,2026-03-30 23:10:58.,,Site is up
Nous constatons l'indisponibilité de NKOLBISSON-II-MTN dû à un probable souci d'énergie.
Merci de vérifier l'énergie à  NKOLBISSON-II-MTN.
Si énergie ok, dépêcher un FME pour investigation et troubleshooting avec le BO au besoin.</t>
  </si>
  <si>
    <t>site down….site down….site down….Power status check ongoing….Power status check ongoing….,,2026-03-30 23 10 58.,,Site is up Nous constatons l'indisponibilité de NKOLBISSON-II-MTN dû à un probable souci d'énergie. Merci de vérifier l'énergie à NKOLBISSON-II-MTN. Si énergie ok, dépêcher un FME pour investigation et troubleshooting avec le BO au besoin.</t>
  </si>
  <si>
    <t>Indisponibilité des services mobiles Voix &amp; Data dans la zone de CTR_020_Z_Masque et environs</t>
  </si>
  <si>
    <t>Indisponibilité des services mobiles Voix Data dans la zone de CTR_020_Z_Masque et environs</t>
  </si>
  <si>
    <t>Bafia-CRTV</t>
  </si>
  <si>
    <t>CTR_101</t>
  </si>
  <si>
    <t>Bafia</t>
  </si>
  <si>
    <t xml:space="preserve"> Site vendalisé,</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</si>
  <si>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</si>
  <si>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t>
  </si>
  <si>
    <t>Nkongmondo</t>
  </si>
  <si>
    <t>LIT_091</t>
  </si>
  <si>
    <t>site down….site down….site down….site down….30.03.26; IHS; (Unstable) 02 /03 phases mssing (escalade L3)
29.03.26; IHS; (Unstable) 02 /03 phases mssing (escalade L3)
29.03.26; IHS; (Unstable) 02 /03 phases mssing (escalade L2)….29.03.26; IHS; (Unstable) 02 /03 phases mssing (escalade L3)
29.03.26; IHS; (Unstable) 02 /03 phases mssing (escalade L2)….29.03.26; IHS; (Unstable) 02 /03 phases mssing (escalade L3)
29.03.26; IHS; (Unstable) 02 /03 phases mssing (escalade L2)….INC-20260330-00007663.,,2026-03-30 12:47:08.,,30.03.26; IHS; (Unstable) 02 /03 phases mssing (escalade L3).,,Others</t>
  </si>
  <si>
    <t>site down….site down….site down….site down….30.03.26; IHS; Unstable) 02 03 phases mssing escalade L3) 29.03.26; IHS; Unstable) 02 03 phases mssing escalade L3) 29.03.26; IHS; Unstable) 02 03 phases mssing escalade L2)….29.03.26; IHS; Unstable) 02 03 phases mssing escalade L3) 29.03.26; IHS; Unstable) 02 03 phases mssing escalade L2)….29.03.26; IHS; Unstable) 02 03 phases mssing escalade L3) 29.03.26; IHS; Unstable) 02 03 phases mssing escalade L2)….,,2026-03-30 12 47 08.,,30.03.26; IHS; Unstable) 02 03 phases mssing escalade L3).,,Others</t>
  </si>
  <si>
    <t>30/03/2026Feedback Camusat:  tECHNICIAN IS ON THE WAY eta 16h55….Power status check ongoing….INC-20260330-00007632.,,2026-03-31 00:38:15.,,There is a power issue at Bonewonda-III as the Optim Radio Link and MW went down so please to involve the Powerco</t>
  </si>
  <si>
    <t>30/03/2026Feedback Camusat tECHNICIAN IS ON THE WAY eta 16h55….Power status check ongoing….,,2026-03-31 00 38 15.,,There is a power issue at Bonewonda-III as the Optim Radio Link and MW went down so please to involve the Powerco</t>
  </si>
  <si>
    <t>30/03/2026 Grid outage / Grid return awaited….INC-20260330-00009143.,,2026-03-30 15:24:40.,,Grid outage / Grid return awaited.,,Others</t>
  </si>
  <si>
    <t>30/03/2026 Grid outage Grid return awaited….,,2026-03-30 15 24 40.,,Grid outage Grid return awaited.,,Others</t>
  </si>
  <si>
    <t>Ngoumou-Camrail</t>
  </si>
  <si>
    <t>CTR_098</t>
  </si>
  <si>
    <t>Ngoumou</t>
  </si>
  <si>
    <t>29/03/2026 : SWAP en cours….29/03/2026 : SWAP en cours….29/03/2026 : SWAP en cours</t>
  </si>
  <si>
    <t>29/03/2026 SWAP en cours….29/03/2026 SWAP en cours….29/03/2026 SWAP en cours</t>
  </si>
  <si>
    <t xml:space="preserve">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</si>
  <si>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t>
  </si>
  <si>
    <t>Bertoua-Meteo-II</t>
  </si>
  <si>
    <t>EST_124</t>
  </si>
  <si>
    <t>24/03/2026 : Need  BO RAN analysis ….24/03/2026 : Need  BO RAN analysis ….24/03/2026 : Need  BO RAN analysis ….Power status check ongoing….INC-20260330-00014711.,,GE Fault</t>
  </si>
  <si>
    <t>24/03/2026 Need BO RAN analysis 24/03/2026 Need BO RAN analysis 24/03/2026 Need BO RAN analysis Power status check ongoing….,,GE Fault</t>
  </si>
  <si>
    <t>site down….site down….site down….INC-20260330-00004050.,,poteaux électriques renversés sur la ligne du site .,,Others Transmission equipement fault</t>
  </si>
  <si>
    <t>site down….site down….site down….,,poteaux électriques renversés sur la ligne du site</t>
  </si>
  <si>
    <t>Nkolmessing-Abom-II</t>
  </si>
  <si>
    <t>CTR_875</t>
  </si>
  <si>
    <t>Ebolmadzom</t>
  </si>
  <si>
    <t>30/03/2026 : Besoin d'analyse Bo RAN….Power status check ongoing….INC-20260330-00009617.,,2026-03-30 15:33:19.,,FME is managing with level 0.,,GE Fault</t>
  </si>
  <si>
    <t>30/03/2026 Besoin d'analyse Bo RAN….Power status check ongoing….,,2026-03-30 15 33 19.,,FME is managing with level 0.,,GE Fault</t>
  </si>
  <si>
    <t>Bfsam-Bamengoum</t>
  </si>
  <si>
    <t>OST_046</t>
  </si>
  <si>
    <t>30/03/2026 FME on site working link is mislign
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t>
  </si>
  <si>
    <t>30/03/2026 FME on site working link is mislign 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t>
  </si>
  <si>
    <t>Ekounou-Lycee-MTN</t>
  </si>
  <si>
    <t>CTR_726</t>
  </si>
  <si>
    <t>site down….site down….Power status check ongoing….30/03/2026 power issue escalade L2 MTN ….INC-20260330-00012112.,,2026-03-30 18:15:39.,,MTN activated for check power status</t>
  </si>
  <si>
    <t>site down….site down….Power status check ongoing….30/03/2026 power issue escalade L2 MTN 2026-03-30 18 15 39.,,MTN activated for check power status</t>
  </si>
  <si>
    <t>Bibemire</t>
  </si>
  <si>
    <t>NRD_039</t>
  </si>
  <si>
    <t>2703/2026 : En aattente de spare
26/03/2026 : Besoin d'analyse BO RAN || Restauration action ongoing because site was vandalised….2703/2026 : En aattente de spare
26/03/2026 : Besoin d'analyse BO RAN || Restauration action ongoing because site was vandalised</t>
  </si>
  <si>
    <t>2703/2026 En aattente de spare 26/03/2026 Besoin d'analyse BO RAN Restauration action ongoing because site was vandalised….2703/2026 En aattente de spare 26/03/2026 Besoin d'analyse BO RAN Restauration action ongoing because site was vandalised</t>
  </si>
  <si>
    <t>SOA-Vallee</t>
  </si>
  <si>
    <t>CTR_714</t>
  </si>
  <si>
    <t>30/03/2026 : Relance faite a Camusat ce jour
29/03/2026 : Power issue || Mail sent to Camusat….30/03/2026 : Relance faite a Camusat ce jour
29/03/2026 : Power issue || Mail sent to Camusat….30/03/2026 : Relance faite a Camusat ce jour
29/03/2026 : Power issue || Mail sent to Camusat</t>
  </si>
  <si>
    <t>30/03/2026 Relance faite a Camusat ce jour 29/03/2026 Power issue Mail sent to Camusat….30/03/2026 Relance faite a Camusat ce jour 29/03/2026 Power issue Mail sent to Camusat….30/03/2026 Relance faite a Camusat ce jour 29/03/2026 Power issue Mail sent to Camusat</t>
  </si>
  <si>
    <t>23.03.26; UE Relay site, ETR=Mars26….23.03.26; UE Relay site, ETR=Mars26….23.03.26; UE Relay site, ETR=Mars26</t>
  </si>
  <si>
    <t>Bep-Yonyong</t>
  </si>
  <si>
    <t>LIT_092</t>
  </si>
  <si>
    <t>site down….site down….site down</t>
  </si>
  <si>
    <t>Ngd-CRTV</t>
  </si>
  <si>
    <t>ADM_007</t>
  </si>
  <si>
    <t>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ETD = 31/03/2026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</si>
  <si>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ETD 31/03/2026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t>
  </si>
  <si>
    <t>Beka-Hossere-MTN-IHS</t>
  </si>
  <si>
    <t>ADM_132</t>
  </si>
  <si>
    <t>site scelle par la justice</t>
  </si>
  <si>
    <t xml:space="preserve">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t>
  </si>
  <si>
    <t>28.03.2026 Power Issue fuel Outage. Site Scelle suite l'incident(mort d'homme) survenu il y'a deux semaines 27/03/2026 Feedback IHS FME HERVE says that we have access issue 28.03.2026 Power Issue fuel Outage. Site Scelle suite l'incident(mort d'homme) survenu il y'a deux semaines 27/03/2026 Feedback IHS FME HERVE says that we have access issue 28.03.2026 Power Issue fuel Outage. Site Scelle suite l'incident(mort d'homme) survenu il y'a deux semaines 27/03/2026 Feedback IHS FME HERVE says that we have access issue</t>
  </si>
  <si>
    <t>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</si>
  <si>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</si>
  <si>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Logpom-Akanji-Immeuble</t>
  </si>
  <si>
    <t>LIT_618</t>
  </si>
  <si>
    <t>Power Telco</t>
  </si>
  <si>
    <t>Power status check ongoing….INC-20260330-00011281.,,2026-03-30 21:26:56.,,CB rearmed.,,Others.,,Disjonction dans la baie les deux départs de 125A du client down</t>
  </si>
  <si>
    <t>Power status check ongoing….,,2026-03-30 21 26 56.,,CB rearmed.,,Others.,,Disjonction dans la baie les deux départs de 125A du client down</t>
  </si>
  <si>
    <t>INC-20260330-00001050.,,2026-03-29 09:22:09.,,Grid outage, no space to deploy MDG, awaiting grid return.,,No Power Issue Site on grid with UBAIE=54.4 V.,,Others</t>
  </si>
  <si>
    <t>2026-03-29 09 22 09.,,Grid outage, no space to deploy MDG, awaiting grid return.,,No Power Issue Site on grid with UBAIE=54.4 V.,,Others</t>
  </si>
  <si>
    <t>Maroua-Douggoy-II</t>
  </si>
  <si>
    <t>EXN_212</t>
  </si>
  <si>
    <t>30/03/2026 fme activé 
Besoin d'un fme sur site pour verifier le status du MPR et la chaine antennaire de l ODU 3/1 ….Power status check ongoing</t>
  </si>
  <si>
    <t>30/03/2026 fme activé Besoin d'un fme sur site pour verifier le status du MPR et la chaine antennaire de l ODU 3/1 Power status check ongoing</t>
  </si>
  <si>
    <t>site down….site down….Grid outage grid only site /awaiting grid return….INC-20260330-00001977.,,2026-03-30 03:29:55.,,FME is managing.,,GE Fault</t>
  </si>
  <si>
    <t>site down….site down….Grid outage grid only site awaiting grid return….,,2026-03-30 03 29 55.,,FME is managing.,,GE Fault</t>
  </si>
  <si>
    <t>30/03/2026 : Besoin d'analyse Bo RAN….30.03.2026 CAMUSAT: Grid outage, Grid only site (escalade L4)
29.03.2026 CAMUSAT: Grid outage, Grid only site / continuté du délestage confirmer à 12H(escalade L4)
27/03/2026 Grid outage, Grid only site / Grid return (escalade L4)
27/03/2026 Grid outage, Grid only site / Grid return (escalade L3)
26/03/2026 Grid outage, Grid only site / Grid return</t>
  </si>
  <si>
    <t>30/03/2026 Besoin d'analyse Bo RAN….30.03.2026 CAMUSAT Grid outage, Grid only site escalade L4) 29.03.2026 CAMUSAT Grid outage, Grid only site continuté du délestage confirmer à 12H(escalade L4) 27/03/2026 Grid outage, Grid only site Grid return escalade L4) 27/03/2026 Grid outage, Grid only site Grid return escalade L3) 26/03/2026 Grid outage, Grid only site Grid return</t>
  </si>
  <si>
    <t xml:space="preserve">30/03/2026 : Remplacement du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….30/03/2026 : Remplacement du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</si>
  <si>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30/03/2026 Remplacement du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 30/03/2026 Remplacement du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 30/03/2026 Rajout de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t>
  </si>
  <si>
    <t>Nkor</t>
  </si>
  <si>
    <t>NRO_238</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</si>
  <si>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</si>
  <si>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t>
  </si>
  <si>
    <t>INC-20260330-00006047.,,Others Transmission equipement fault</t>
  </si>
  <si>
    <t>Old-Airport-IHS</t>
  </si>
  <si>
    <t>LIT_122</t>
  </si>
  <si>
    <t>site down….site down….site down….30/03/2026  IHS: Grid only site with no space / Grid returned awaited|ESCALADE L3 IHS 
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t>
  </si>
  <si>
    <t>site down….site down….site down….30/03/2026 IHS Grid only site with no space Grid returned awaited|ESCALADE L3 IHS 29.03.2026 IHS Grid only site with no space Grid returned awaited| ESCALATE TO L2 28.03.2026 IHS Grid outage, no space to deploy MDG, awaiting grid return….29.03.2026 IHS Grid only site with no space Grid returned awaited| ESCALATE TO L2 28.03.2026 IHS Grid outage, no space to deploy MDG, awaiting grid return….29.03.2026 IHS Grid only site with no space Grid returned awaited| ESCALATE TO L2 28.03.2026 IHS Grid outage, no space to deploy MDG, awaiting grid return</t>
  </si>
  <si>
    <t>Emombo-2eme-Crf</t>
  </si>
  <si>
    <t>CTR_558</t>
  </si>
  <si>
    <t>Vallee-Bastos</t>
  </si>
  <si>
    <t>CTR_251</t>
  </si>
  <si>
    <t>26/03/2026 : site down….26/03/2026 : site down….26/03/2026 : site down….30/03/2026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</si>
  <si>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26/03/2026 site down….26/03/2026 site down….26/03/2026 site down….30/03/2026 negociation d accès toujours en cours 30/03/2026 29.03.2026 CAMUSAT Accès refuser par la sécurité Residence occupé par les Americains la sécurité demande de passer aux heures de maintenances habituel recherche de solution en cours 29.03.2026 CAMUSAT Accès refuser par la sécurité Residence occupé par les Americains la sécurité demande de passer aux heures de maintenances habituel recherche de solution en cours 27.03.26; Grid outage, Grid only site Grid return awaited escalade L4) 27.03.26; Grid outage, Grid only site Grid return awaited escalade L3) 26.03.26; Grid outage, Grid only site Grid return awaited escalade L2)….30/03/2026 negociation d accès toujours en cours 30/03/2026 29.03.2026 CAMUSAT Accès refuser par la sécurité Residence occupé par les Americains la sécurité demande de passer aux heures de maintenances habituel recherche de solution en cours 29.03.2026 CAMUSAT Accès refuser par la sécurité Residence occupé par les Americains la sécurité demande de passer aux heures de maintenances habituel recherche de solution en cours 27.03.26; Grid outage, Grid only site Grid return awaited escalade L4) 27.03.26; Grid outage, Grid only site Grid return awaited escalade L3) 26.03.26; Grid outage, Grid only site Grid return awaited escalade L2)….30/03/2026 negociation d accès toujours en cours 30/03/2026 29.03.2026 CAMUSAT Accès refuser par la sécurité Residence occupé par les Americains la sécurité demande de passer aux heures de maintenances habituel recherche de solution en cours 29.03.2026 CAMUSAT Accès refuser par la sécurité Residence occupé par les Americains la sécurité demande de passer aux heures de maintenances habituel recherche de solution en cours 27.03.26; Grid outage, Grid only site Grid return awaited escalade L4) 27.03.26; Grid outage, Grid only site Grid return awaited escalade L3) 26.03.26; Grid outage, Grid only site Grid return awaited escalade L2)</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</si>
  <si>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</si>
  <si>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</si>
  <si>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….20/03/2026 : Site down ….20/03/2026 : Site down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</si>
  <si>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20/03/2026 Site down 20/03/2026 Site down 20/03/2026 Site down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</si>
  <si>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Limbe-Coconut-Island-MTN</t>
  </si>
  <si>
    <t>SUO_219</t>
  </si>
  <si>
    <t>28.03.26;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….INC-20260330-00003110.,,power insufficiency, phase problem on site.,,Others Transmission equipement fault</t>
  </si>
  <si>
    <t>28.03.26;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power insufficiency, phase problem on site.,,</t>
  </si>
  <si>
    <t>Shell-NewBell-Carrefour</t>
  </si>
  <si>
    <t>LIT_407</t>
  </si>
  <si>
    <t>INC-20260330-00012517.,,2026-03-31 00:36:13.,,Access issue, Benoit will be on site in morning.,,Others</t>
  </si>
  <si>
    <t>2026-03-31 00 36 13.,,Access issue, Benoit will be on site in morning.,,Others</t>
  </si>
  <si>
    <t>Ndogp-Ecole-Publique</t>
  </si>
  <si>
    <t>LIT_693</t>
  </si>
  <si>
    <t>30/03/2026 Power issue en attente de retour camusat….30/03/2026 Power issue en attente de retour camusat….INC-20260330-00011648.,,2026-03-30 17:46:10.,,Grid outage / Grid return awaited.,,Others Transmission equipement fault</t>
  </si>
  <si>
    <t>30/03/2026 Power issue en attente de retour camusat….30/03/2026 Power issue en attente de retour camusat….,,2026-03-30 17 46 10.,,Grid outage Grid return awaited.,,</t>
  </si>
  <si>
    <t>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0….30/03/2026 ODU recu Ngaoundéré expedition ngaoundal ETD=30/03/2026
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</si>
  <si>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0….30/03/2026 ODU recu Ngaoundéré expedition ngaoundal ETD=30/03/2026 28.03.26;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0….28.03.26;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</si>
  <si>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Rain-forest-School</t>
  </si>
  <si>
    <t>CTR_766</t>
  </si>
  <si>
    <t>site down….site down….INC-20260330-00000654.,,2026-03-30 01:36:43.,,FME is managing with level0.,, cb rearmed.,,GE Fault.,,Disjunction in the TGBT</t>
  </si>
  <si>
    <t>site down….site down….,,2026-03-30 01 36 43.,,FME is managing with level0.,, cb rearmed.,,GE Fault.,,Disjunction in the TGBT</t>
  </si>
  <si>
    <t>Camship</t>
  </si>
  <si>
    <t>LIT_139</t>
  </si>
  <si>
    <t>site down….30/03/2026 Power issue en attente de retour camusat….INC-20260330-00007475.,,GE Fault</t>
  </si>
  <si>
    <t>site down….30/03/2026 Power issue en attente de retour camusat….,,GE Fault</t>
  </si>
  <si>
    <t>Kuruda</t>
  </si>
  <si>
    <t>EXN_208</t>
  </si>
  <si>
    <t>30/03/2026 : need BO RAN analysis || Closed after reset but check and replace ABIA if needed || ETA : 31/08/2026</t>
  </si>
  <si>
    <t>30/03/2026 need BO RAN analysis Closed after reset but check and replace ABIA if needed ETA 31/08/2026</t>
  </si>
  <si>
    <t>Power status check ongoing….INC-20260330-00007507.,,2026-03-30 13:29:50.,,Others</t>
  </si>
  <si>
    <t>Power status check ongoing….,,2026-03-30 13 29 50.,,Others</t>
  </si>
  <si>
    <t>Bobongo</t>
  </si>
  <si>
    <t>LIT_250</t>
  </si>
  <si>
    <t>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</si>
  <si>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28/03/2026 Intervention en cours ce jour Feedback IHS swap the board's position between slot6 and slot 8 and observe.’’ La recommandation du BO a été exécutée par le FME sur site 27/03/2026 Instabilite power, bloquant le remplacement de la carte Mail de stabilisation power envoye a IHS Feedback IHS Le generateur sur ce site est overloaded et sera remplacé en W14. Observations Site was unstable due to power because of Generator Overload but actually stable. Blink of board VBP_1_8(PN 130000207923) due to Board communication link interrupted alarm Action FME was on site to implement these below actions the 2026/03/24 Reset of board VBP_1_8(PN 130000207923) NOK Plug OUT/Plug board Still NOK after execution Next Step FME will replace the board VBP_1_8(PN 130000207923 Feeback ZTE Before replacement, kindly swap the board's position between slot6 and slot 8 and observe. Feedback IHS This operation was performed and no change was observed, hence the need for replacement. Feedback ZTE According to history alarm, that operation has not been performed. Kindly do it, to confirm whether board requires replacement or not 26/03/2026 Apres intervention ce jour la carte VBPe1P est faulty 25/03/2026 Power issue 24/03/2026 F.O faulty FME active ETA 13H Intervention en cours Power issue 23/03/2026 Need BORAN analysis Check VBPe1P connectivity….28/03/2026 Intervention en cours ce jour Feedback IHS swap the board's position between slot6 and slot 8 and observe.’’ La recommandation du BO a été exécutée par le FME sur site 27/03/2026 Instabilite power, bloquant le remplacement de la carte Mail de stabilisation power envoye a IHS Feedback IHS Le generateur sur ce site est overloaded et sera remplacé en W14. Observations Site was unstable due to power because of Generator Overload but actually stable. Blink of board VBP_1_8(PN 130000207923) due to Board communication link interrupted alarm Action FME was on site to implement these below actions the 2026/03/24 Reset of board VBP_1_8(PN 130000207923) NOK Plug OUT/Plug board Still NOK after execution Next Step FME will replace the board VBP_1_8(PN 130000207923 Feeback ZTE Before replacement, kindly swap the board's position between slot6 and slot 8 and observe. Feedback IHS This operation was performed and no change was observed, hence the need for replacement. Feedback ZTE According to history alarm, that operation has not been performed. Kindly do it, to confirm whether board requires replacement or not 26/03/2026 Apres intervention ce jour la carte VBPe1P est faulty 25/03/2026 Power issue 24/03/2026 F.O faulty FME active ETA 13H Intervention en cours Power issue 23/03/2026 Need BORAN analysis Check VBPe1P connectivity….28/03/2026 Intervention en cours ce jour Feedback IHS swap the board's position between slot6 and slot 8 and observe.’’ La recommandation du BO a été exécutée par le FME sur site 27/03/2026 Instabilite power, bloquant le remplacement de la carte Mail de stabilisation power envoye a IHS Feedback IHS Le generateur sur ce site est overloaded et sera remplacé en W14. Observations Site was unstable due to power because of Generator Overload but actually stable. Blink of board VBP_1_8(PN 130000207923) due to Board communication link interrupted alarm Action FME was on site to implement these below actions the 2026/03/24 Reset of board VBP_1_8(PN 130000207923) NOK Plug OUT/Plug board Still NOK after execution Next Step FME will replace the board VBP_1_8(PN 130000207923 Feeback ZTE Before replacement, kindly swap the board's position between slot6 and slot 8 and observe. Feedback IHS This operation was performed and no change was observed, hence the need for replacement. Feedback ZTE According to history alarm, that operation has not been performed. Kindly do it, to confirm whether board requires replacement or not 26/03/2026 Apres intervention ce jour la carte VBPe1P est faulty 25/03/2026 Power issue 24/03/2026 F.O faulty FME active ETA 13H Intervention en cours Power issue 23/03/2026 Need BORAN analysis Check VBPe1P connectivity</t>
  </si>
  <si>
    <t>Yagoua-Quinf</t>
  </si>
  <si>
    <t>EXN_069</t>
  </si>
  <si>
    <t>Yagoua</t>
  </si>
  <si>
    <t>INSECURITY</t>
  </si>
  <si>
    <t>INC-20260330-00012700.,,2026-03-31 00:40:20.,,IHS; Severin is on site to swap motor block (escalated to L2).,,Auto TT closure RCA.,,GE Fault</t>
  </si>
  <si>
    <t>2026-03-31 00 40 20.,,IHS; Severin is on site to swap motor block escalated to L2).,,Auto TT closure RCA.,,GE Fault</t>
  </si>
  <si>
    <t>Mbanga-Bakoko-SIC</t>
  </si>
  <si>
    <t>LIT_614</t>
  </si>
  <si>
    <t xml:space="preserve">INC-20260330-00011605.,,2026-03-30 17:39:39.,,MTN activated for check power status.,,Power issue, generator failure </t>
  </si>
  <si>
    <t>2026-03-30 17 39 39.,,MTN activated for check power status.,,Power issue, generator failure</t>
  </si>
  <si>
    <t>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town….INC-20260330-00010508.,,Others Transmission equipement fault</t>
  </si>
  <si>
    <t>30/03/2026 Check breaker and interconnection(sfp, optical fiber) between system and radio module, swap its if needed Ghost town….30/03/2026 Check breaker and interconnection(sfp, optical fiber) between system and radio module, swap its if needed Ghost town….30/03/2026 Check breaker and interconnection(sfp, optical fiber) between system and radio module, swap its if needed Ghost town….30/03/2026 Check breaker and interconnection(sfp, optical fiber) between system and radio module, swap its if needed Ghost town….,,</t>
  </si>
  <si>
    <t>INC-20260330-00002769.,,2026-03-30 06:17:43.,,Feedback IHS : fme Magloire is heading to site, ETA 07:10AM.,,power issue.
échec de démarrage du GE après départ Eneo.
ihs à résolu le problème .,,Others Transmission equipement fault</t>
  </si>
  <si>
    <t>2026-03-30 06 17 43.,,Feedback IHS fme Magloire is heading to site, ETA 07 10AM.,,power issue. échec de démarrage du GE après départ Eneo. ihs à résolu le problème</t>
  </si>
  <si>
    <t>Bfsam-Tayim-II</t>
  </si>
  <si>
    <t>OST_291</t>
  </si>
  <si>
    <t>INC-20260330-00013402.,,Auto TT closure RCA.,,GE Fault</t>
  </si>
  <si>
    <t>Auto TT closure RCA.,,GE Fault</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</si>
  <si>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</si>
  <si>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t>
  </si>
  <si>
    <t xml:space="preserve">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t>
  </si>
  <si>
    <t>30/03/2026 Ghost town 29/03/2026 Check breaker and interconnection(sfp, optical fiber) between system and radio module, swap its if needed Negoiation d'access en cours 30/03/2026 Ghost town 29/03/2026 Check breaker and interconnection(sfp, optical fiber) between system and radio module, swap its if needed Negoiation d'access en cours 30/03/2026 Ghost town 29/03/2026 Check breaker and interconnection(sfp, optical fiber) between system and radio module, swap its if needed Negoiation d'access en cours 30/03/2026 Ghost town 29/03/2026 Check breaker and interconnection(sfp, optical fiber) between system and radio module, swap its if needed Negoiation d'access en cours</t>
  </si>
  <si>
    <t>Binka-IHS</t>
  </si>
  <si>
    <t>NRO_023</t>
  </si>
  <si>
    <t>Binka</t>
  </si>
  <si>
    <t>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insecurity….30.03.2026: FME Donald activated Ghost town today
29.03.2026: FME Donald activated is managing. No ETA Site Under NOSO Area
29.03.2026: MRBTS_L18L8L26 DOwn. Need FME on the site to check his status and interco with MPR(S1P2)
28.03.2026 IHS: FME Roland managing with level 0 due to insecurity….29.03.2026: FME Donald activated is managing. No ETA Site Under NOSO Area
29.03.2026: MRBTS_L18L8L26 DOwn. Need FME on the site to check his status and interco with MPR(S1P2)
28.03.2026 IHS: FME Roland managing with level 0 due to insecurity….INC-20260330-00014827.,,GE Fault</t>
  </si>
  <si>
    <t>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insecurity….30.03.2026 FME Donald activated Ghost town today 29.03.2026 FME Donald activated is managing. No ETA Site Under NOSO Area 29.03.2026 MRBTS_L18L8L26 DOwn. Need FME on the site to check his status and interco with MPR(S1P2) 28.03.2026 IHS FME Roland managing with level 0 due to insecurity….29.03.2026 FME Donald activated is managing. No ETA Site Under NOSO Area 29.03.2026 MRBTS_L18L8L26 DOwn. Need FME on the site to check his status and interco with MPR(S1P2) 28.03.2026 IHS FME Roland managing with level 0 due to insecurity….,,GE Fault</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</si>
  <si>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t>
  </si>
  <si>
    <t>28/03/2026 Check breaker and interconnection(sfp, optical fiber) between system and radio module, swap its if needed….28/03/2026 Check breaker and interconnection(sfp, optical fiber) between system and radio module, swap its if needed….28/03/2026 Check breaker and interconnection(sfp, optical fiber) between system and radio module, swap its if needed….28/03/2026 Check breaker and interconnection(sfp, optical fiber) between system and radio module, swap its if needed</t>
  </si>
  <si>
    <t>Bamenda-Bayelle-MTN</t>
  </si>
  <si>
    <t>NRO_112</t>
  </si>
  <si>
    <t xml:space="preserve">Power status check ongoing….INC-20260330-00002893.,,2026-03-30 06:28:11.,,Power issue on site, MTN is activated to solve issue.,,power instability on site. power team is informed </t>
  </si>
  <si>
    <t>Power status check ongoing….,,2026-03-30 06 28 11.,,Power issue on site, MTN is activated to solve issue.,,power instability on site. power team is informed</t>
  </si>
  <si>
    <t>30/03/2026 FME activé eta asap
Besoin d'un fme sur site sur BIBA_MTN pour verifier l ODU direction CTR_860_N_Mvam-Yetom….30/03/2026 FME activé eta asap
Besoin d'un fme sur site sur BIBA_MTN pour verifier l ODU direction CTR_860_N_Mvam-Yetom….Power status check ongoing</t>
  </si>
  <si>
    <t>30/03/2026 FME activé eta asap Besoin d'un fme sur site sur BIBA_MTN pour verifier l ODU direction CTR_860_N_Mvam-Yetom….30/03/2026 FME activé eta asap Besoin d'un fme sur site sur BIBA_MTN pour verifier l ODU direction CTR_860_N_Mvam-Yetom….Power status check ongoing</t>
  </si>
  <si>
    <t>Korek-Djarengol-II</t>
  </si>
  <si>
    <t>EXN_235</t>
  </si>
  <si>
    <t>Power status check ongoing….Power status check ongoing….Power status check ongoing….INC-20260330-00009942.,,GE Fault</t>
  </si>
  <si>
    <t>Power status check ongoing….Power status check ongoing….Power status check ongoing….,,GE Fault</t>
  </si>
  <si>
    <t>Fraternite-Adama_Ekombitie-III</t>
  </si>
  <si>
    <t>CTR_849</t>
  </si>
  <si>
    <t>INC-20260330-00013883.,,2026-03-30 20:40:59.,,Grid outage, Grid only site / Grid return awaited</t>
  </si>
  <si>
    <t>2026-03-30 20 40 59.,,Grid outage, Grid only site Grid return awaited</t>
  </si>
  <si>
    <t>GP-Etoudi</t>
  </si>
  <si>
    <t>CTR_735</t>
  </si>
  <si>
    <t>Power status check ongoing….Power status check ongoing….INC-20260330-00016103.,,2026-03-31 00:26:40.,,Grid outage, Grid only site / Grid return awaited.,,Others Transmission equipement fault</t>
  </si>
  <si>
    <t>Power status check ongoing….Power status check ongoing….,,2026-03-31 00 26 40.,,Grid outage, Grid only site Grid return awaited.,,</t>
  </si>
  <si>
    <t>Koza-MTN</t>
  </si>
  <si>
    <t>EXN_043</t>
  </si>
  <si>
    <t>Koza</t>
  </si>
  <si>
    <t>30/03/2026 : need BO RAN analysis ||  Closed after reset but Power check requested….Power status check ongoing….INC-20260330-00008804.,,2026-03-30 16:49:04.,,No Power Issue on Site U = 53.9V and site is on Grid. TX FME Abbis 690677017 / Huawei is informed..,,GE Fault</t>
  </si>
  <si>
    <t>30/03/2026 need BO RAN analysis Closed after reset but Power check requested….Power status check ongoing….,,2026-03-30 16 49 04.,,No Power Issue on Site U 53.9V and site is on Grid. TX FME Abbis 690677017 Huawei is informed.,,GE Fault</t>
  </si>
  <si>
    <t>Buea-Bakwere-Town-MTN</t>
  </si>
  <si>
    <t>SUO_222</t>
  </si>
  <si>
    <t>26/03/2026 : PWC faulty
23/03/2026 : Power instability || Mail sent to MTN….26/03/2026 : PWC faulty
23/03/2026 : Power instability || Mail sent to MTN</t>
  </si>
  <si>
    <t>26/03/2026 PWC faulty 23/03/2026 Power instability Mail sent to MTN….26/03/2026 PWC faulty 23/03/2026 Power instability Mail sent to MTN</t>
  </si>
  <si>
    <t xml:space="preserve">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t>
  </si>
  <si>
    <t>30/03/2026 Intervention ce jour 29/03/2026 FME active 28/03/2026 Check breaker and interconnection(sfp, optical fiber) between system and radio module, swap its if needed FME active intervention apres Nyanon 30/03/2026 Intervention ce jour 29/03/2026 FME active 28/03/2026 Check breaker and interconnection(sfp, optical fiber) between system and radio module, swap its if needed FME active intervention apres Nyanon 30/03/2026 Intervention ce jour 29/03/2026 FME active 28/03/2026 Check breaker and interconnection(sfp, optical fiber) between system and radio module, swap its if needed FME active intervention apres Nyanon 30/03/2026 Intervention ce jour 29/03/2026 FME active 28/03/2026 Check breaker and interconnection(sfp, optical fiber) between system and radio module, swap its if needed FME active intervention apres Nyanon</t>
  </si>
  <si>
    <t>Power status check ongoing….INC-20260330-00004679.,,GE Fault</t>
  </si>
  <si>
    <t>Power status check ongoing….,,GE Fault</t>
  </si>
  <si>
    <t>Nkambe-Entrance-IHS</t>
  </si>
  <si>
    <t>NRO_090</t>
  </si>
  <si>
    <t>INC-20260330-00015124.,,Others Transmission equipement fault</t>
  </si>
  <si>
    <t>Buea-Bomaka-III-MTN</t>
  </si>
  <si>
    <t>SUO_169</t>
  </si>
  <si>
    <t>Power status check ongoing….INC-20260330-00010747.,,2026-03-30 17:17:17.,,MTN, plz check the power status.,,Grid outage, no backup available. .,,Others</t>
  </si>
  <si>
    <t>Power status check ongoing….,,2026-03-30 17 17 17.,,MTN, plz check the power status.,,Grid outage, no backup available. Others</t>
  </si>
  <si>
    <t>INC-20260330-00016124.,,2026-03-30 23:59:54.,,Grid outage, Grid only site / Grid return awaited.,,Others</t>
  </si>
  <si>
    <t>2026-03-30 23 59 54.,,Grid outage, Grid only site Grid return awaited.,,Others</t>
  </si>
  <si>
    <t>LIT_871_Z_Bonamatoumbe-III-IHS</t>
  </si>
  <si>
    <t>LIT_871</t>
  </si>
  <si>
    <t>INC-20260330-00002545.,,2026-03-30 04:21:53.,,ETA 06:10 AM.,,GE Fault</t>
  </si>
  <si>
    <t>2026-03-30 04 21 53.,,ETA 06 10 AM.,,GE Fault</t>
  </si>
  <si>
    <t>CTR_922_Z_Ekong</t>
  </si>
  <si>
    <t>CTR_922</t>
  </si>
  <si>
    <t>Good Grid Solar + GE</t>
  </si>
  <si>
    <t>Leboudi</t>
  </si>
  <si>
    <t>30/03/2026 :  Power issue || Mail sent to Camusat….Power status check ongoing</t>
  </si>
  <si>
    <t>30/03/2026 Power issue Mail sent to Camusat….Power status check ongoing</t>
  </si>
  <si>
    <t>30/03/2026 : need BO RAN analysis ||: Disjunction of radio module =&gt; Check FPFC/FPFH module, Power cable, SFP, Optical fiber….30/03/2026 : Check breaker and  interconnection(sfp, optical fiber) between system and radio module, swap its if needed ….30/03/2026 : Check breaker and  interconnection(sfp, optical fiber) between system and radio module, swap its if needed ….Power status check ongoing….Power status check ongoing….INC-20260330-00010559.,,2026-03-30 20:24:10.,,Lien Tchevi&lt;&gt;Mazavou à réaligner pour un gain de 25 dbm; FME informé Ervice, update ASAP.,,instabilité de la liaison dû au feding.,,Others Transmission equipement fault</t>
  </si>
  <si>
    <t>30/03/2026 need BO RAN analysis Disjunction of radio module Check FPFC/FPFH module, Power cable, SFP, Optical fiber….30/03/2026 Check breaker and interconnection(sfp, optical fiber) between system and radio module, swap its if needed 30/03/2026 Check breaker and interconnection(sfp, optical fiber) between system and radio module, swap its if needed Power status check ongoing….Power status check ongoing….,,2026-03-30 20 24 10.,,Lien Tchevi&lt;&gt;Mazavou à réaligner pour un gain de 25 dbm; FME informé Ervice, update ASAP.,,instabilité de la liaison dû au feding.,,</t>
  </si>
  <si>
    <t>Mimboman-Don-Bosco</t>
  </si>
  <si>
    <t>CTR_654</t>
  </si>
  <si>
    <t>INC-20260330-00009662.,,GE Fault</t>
  </si>
  <si>
    <t>Goulfey</t>
  </si>
  <si>
    <t>EXN_021</t>
  </si>
  <si>
    <t>INC-20260330-00003159.,,Others Transmission equipement fault</t>
  </si>
  <si>
    <t>Nkolo2-MTN-IHS</t>
  </si>
  <si>
    <t>CTR_469</t>
  </si>
  <si>
    <t>INC-20260330-00013700.,,feedback ongoing.,,feedback ongoing.,,GE Fault</t>
  </si>
  <si>
    <t>feedback ongoing.,,feedback ongoing.,,GE Fault</t>
  </si>
  <si>
    <t xml:space="preserve">INC-20260330-00005894.,,reconfiguration  du MPR  
reconfiguration  de la supervision  
sur la fibre .,,Transmission.,,reconfiguration  du MPR  
reconfiguration  de la supervision  
sur la fibre </t>
  </si>
  <si>
    <t>reconfiguration du MPR reconfiguration de la supervision sur la fibre Transmission.,,reconfiguration du MPR reconfiguration de la supervision sur la fibre</t>
  </si>
  <si>
    <t>Satcom</t>
  </si>
  <si>
    <t>CTR_199</t>
  </si>
  <si>
    <t>INC-20260330-00016131.,,2026-03-30 23:59:54.,,Grid outage, Grid only site / Grid return awaited.,,instabilité AOF.,,Others</t>
  </si>
  <si>
    <t>2026-03-30 23 59 54.,,Grid outage, Grid only site Grid return awaited.,,instabilité AOF.,,Others</t>
  </si>
  <si>
    <t>30/03/2029 : Besoin d'analyse BO RAN….30/03/2029 : Besoin d'analyse BO RAN….30/03/2029 : Besoin d'analyse BO RAN || Check GPS connectivity || Fme active : intervention en cours</t>
  </si>
  <si>
    <t>30/03/2029 Besoin d'analyse BO RAN….30/03/2029 Besoin d'analyse BO RAN….30/03/2029 Besoin d'analyse BO RAN Check GPS connectivity Fme active intervention en cours</t>
  </si>
  <si>
    <t>26/03/2026 : Travaux equipe projet en cours || ETA :  Ce jour || Intervention en cours  
25/03/2026 : ARMA faulty || commande faulty || ETR : 26/03/2026
23/03/2026 : ETD 24032026
21/03/2026 : Cde en cours 
20/03/2026 : SFP faulty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….Power status check ongoing….INC-20260330-00011405</t>
  </si>
  <si>
    <t>26/03/2026 Travaux equipe projet en cours ETA Ce jour Intervention en cours 25/03/2026 ARMA faulty commande faulty ETR 26/03/2026 23/03/2026 ETD 24032026 21/03/2026 Cde en cours 20/03/2026 SFP faulty 26/03/2026 Travaux equipe projet en cours ETA Ce jour Intervention en cours 25/03/2026 ARMA faulty commande faulty ETR 26/03/2026 23/03/2026 ETD 24032026 21/03/2026 Cde en cours 20/03/2026 SFP faulty 30/03/2026 Feedback du P.M despite ARMA module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Travaux equipe projet en cours ETA Ce jour Intervention en cours 25/03/2026 ARMA faulty commande faulty ETR 26/03/2026 23/03/2026 ETD 24032026 21/03/2026 Cde en cours 20/03/2026 SFP faulty 30/03/2026 Feedback du P.M despite ARMA module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Travaux equipe projet en cours ETA Ce jour Intervention en cours 25/03/2026 ARMA faulty commande faulty ETR 26/03/2026 23/03/2026 ETD 24032026 21/03/2026 Cde en cours 20/03/2026 SFP faulty Power status check ongoing….</t>
  </si>
  <si>
    <t>Kapanyaye-IHS</t>
  </si>
  <si>
    <t>NRD_109</t>
  </si>
  <si>
    <t>Kapanyaye</t>
  </si>
  <si>
    <t>30/03/2026 : Check breaker and  interconnection(sfp, optical fiber) between system and radio module, swap its if needed….30/03/2026 : Check breaker and  interconnection(sfp, optical fiber) between system and radio module, swap its if needed….30/03/2026 : Check breaker and  interconnection(sfp, optical fiber) between system and radio module, swap its if needed || L0 activated to perform Hard reset of the Airscale, suspecting ABIA Board damage will be replaced during our next PM on site….30/03/2026 : Check breaker and  interconnection(sfp, optical fiber) between system and radio module, swap its if needed || L0 activated to perform Hard reset of the Airscale, suspecting ABIA Board damage will be replaced during our next PM on site….INC-20260330-00006417.,,2026-03-30 11:05:47.,,GE Fault</t>
  </si>
  <si>
    <t>30/03/2026 Check breaker and interconnection(sfp, optical fiber) between system and radio module, swap its if needed….30/03/2026 Check breaker and interconnection(sfp, optical fiber) between system and radio module, swap its if needed….30/03/2026 Check breaker and interconnection(sfp, optical fiber) between system and radio module, swap its if needed L0 activated to perform Hard reset of the Airscale, suspecting ABIA Board damage will be replaced during our next PM on site….30/03/2026 Check breaker and interconnection(sfp, optical fiber) between system and radio module, swap its if needed L0 activated to perform Hard reset of the Airscale, suspecting ABIA Board damage will be replaced during our next PM on site….,,2026-03-30 11 05 47.,,GE Fault</t>
  </si>
  <si>
    <t>INC-20260330-00001991.,,power issue on site .,,Others Transmission equipement fault</t>
  </si>
  <si>
    <t>power issue on site</t>
  </si>
  <si>
    <t>Aguli-MTN</t>
  </si>
  <si>
    <t>NRO_256</t>
  </si>
  <si>
    <t>Aguli</t>
  </si>
  <si>
    <t>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t>
  </si>
  <si>
    <t>30/03/2026 Ghost town 29/03/2026 Negociation d'access en cours 28/03/2026 Apres action du level 0 ce jour l'alarme reste presente 27/03/2026 heck breaker and interconnection(sfp, optical fiber) between system and radio module, swap its if needed FME active ETA 16h….30/03/2026 Ghost town 29/03/2026 Negociation d'access en cours 28/03/2026 Apres action du level 0 ce jour l'alarme reste presente 27/03/2026 heck breaker and interconnection(sfp, optical fiber) between system and radio module, swap its if needed FME active ETA 16h….30/03/2026 Ghost town 29/03/2026 Negociation d'access en cours 28/03/2026 Apres action du level 0 ce jour l'alarme reste presente 27/03/2026 heck breaker and interconnection(sfp, optical fiber) between system and radio module, swap its if needed FME active ETA 16h….30/03/2026 Ghost town 29/03/2026 Negociation d'access en cours 28/03/2026 Apres action du level 0 ce jour l'alarme reste presente 27/03/2026 heck breaker and interconnection(sfp, optical fiber) between system and radio module, swap its if needed FME active ETA 16h</t>
  </si>
  <si>
    <t>Edea-Nkakanzock</t>
  </si>
  <si>
    <t>LIT_314</t>
  </si>
  <si>
    <t>INC-20260330-00010396.,,GE Fault</t>
  </si>
  <si>
    <t>27/03/2026 : Cde en cours 
26/03/2026 : Spare pas recu 
25/03/2026 : Spare quitter de maroua pour Douala 
23/03/2026 : Fiber faulty || cde en cours
21/03/2026 : Check SFP, Optical fiber if issue persit
20/03/2026 : need BO RAN analysis….27/03/2026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</si>
  <si>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27/03/2026 Cde en cours 26/03/2026 Spare pas recu 25/03/2026 Spare quitter de maroua pour Douala 23/03/2026 Fiber faulty cde en cours 21/03/2026 Check SFP, Optical fiber if issue persit 20/03/2026 need BO RAN analysis….27/03/2026 Cde en cours 26/03/2026 Spare pas recu 25/03/2026 Spare quitter de maroua pour Douala 23/03/2026 Fiber faulty cde en cours 21/03/2026 Check SFP, Optical fiber if issue persit 20/03/2026 need BO RAN analysis….30/03/2026 Feedback du P.M FME not available intervention postponed to 01/04/2026 29/03/2026 spare disponible au niveau du FME, FME on another point 27/03/2026 Cde en cours 26/03/2026 Spare pas recu 25/03/2026 Spare quitter de maroua pour Douala 23/03/2026 Fiber faulty cde en cours 21/03/2026 Check SFP, Optical fiber if issue persit 20/03/2026 need BO RAN analysis….30/03/2026 Feedback du P.M FME not available intervention postponed to 01/04/2026 29/03/2026 spare disponible au niveau du FME, FME on another point 27/03/2026 Cde en cours 26/03/2026 Spare pas recu 25/03/2026 Spare quitter de maroua pour Douala 23/03/2026 Fiber faulty cde en cours 21/03/2026 Check SFP, Optical fiber if issue persit 20/03/2026 need BO RAN analysis</t>
  </si>
  <si>
    <t>Otele-Camrail</t>
  </si>
  <si>
    <t>CTR_452</t>
  </si>
  <si>
    <t>30/03/2026 : Besoin d'analyse Bo RAN….INC-20260330-00006486.,,Others Transmission equipement fault</t>
  </si>
  <si>
    <t>30/03/2026 Besoin d'analyse Bo RAN….,,</t>
  </si>
  <si>
    <t>Bertoua-Force-Tyre</t>
  </si>
  <si>
    <t>EST_120</t>
  </si>
  <si>
    <t>INC-20260330-00012341.,,GE Fault</t>
  </si>
  <si>
    <t>30/03/2026 :Ghost town
27/03/2026 :probleme d'access
26/03/2026 : check ABIA needed….30/03/2026 :Ghost town
27/03/2026 :probleme d'access
26/03/2026 : check ABIA needed….30/03/2026 :Ghost town
27/03/2026 :probleme d'access
26/03/2026 : check ABIA needed….30/03/2026 :Ghost town
27/03/2026 :probleme d'access
26/03/2026 : check ABIA needed</t>
  </si>
  <si>
    <t>30/03/2026 Ghost town 27/03/2026 probleme d'access 26/03/2026 check ABIA needed….30/03/2026 Ghost town 27/03/2026 probleme d'access 26/03/2026 check ABIA needed….30/03/2026 Ghost town 27/03/2026 probleme d'access 26/03/2026 check ABIA needed….30/03/2026 Ghost town 27/03/2026 probleme d'access 26/03/2026 check ABIA needed</t>
  </si>
  <si>
    <t>UE Relay</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</si>
  <si>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</si>
  <si>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t>
  </si>
  <si>
    <t>30/03/2026 FME en route ETA=12H30 UTC // FME sur site 
29.03.2026 FME : Still troubleshooting with the level 0
29.03.2026: FME Frank activated is managing
29.03.2026: Need FME on the site to check Idirect and IBUC status….30/03/2026 FME en route ETA=12H30 UTC // FME sur site 
29.03.2026 FME : Still troubleshooting with the level 0
29.03.2026: FME Frank activated is managing
29.03.2026: Need FME on the site to check Idirect and IBUC status….30/03/2026 FME en route ETA=12H30 UTC 
29.03.2026 FME : Still troubleshooting with the level 0
29.03.2026: FME Frank activated is managing
29.03.2026: Need FME on the site to check Idirect and IBUC status</t>
  </si>
  <si>
    <t>30/03/2026 FME en route ETA=12H30 UTC FME sur site 29.03.2026 FME Still troubleshooting with the level 0 29.03.2026 FME Frank activated is managing 29.03.2026 Need FME on the site to check Idirect and IBUC status….30/03/2026 FME en route ETA=12H30 UTC FME sur site 29.03.2026 FME Still troubleshooting with the level 0 29.03.2026 FME Frank activated is managing 29.03.2026 Need FME on the site to check Idirect and IBUC status….30/03/2026 FME en route ETA=12H30 UTC 29.03.2026 FME Still troubleshooting with the level 0 29.03.2026 FME Frank activated is managing 29.03.2026 Need FME on the site to check Idirect and IBUC status</t>
  </si>
  <si>
    <t>Power status check ongoing….INC-20260330-00007474.,,GE Fault</t>
  </si>
  <si>
    <t>Malende-IHS</t>
  </si>
  <si>
    <t>LIT_462</t>
  </si>
  <si>
    <t>Grid -Gen</t>
  </si>
  <si>
    <t>Malende</t>
  </si>
  <si>
    <t>INC-20260330-00002557.,,power issue managed by third party SBC .,,Others Transmission equipement fault</t>
  </si>
  <si>
    <t>power issue managed by third party SBC</t>
  </si>
  <si>
    <t>New-Town-Aeroport-IHS</t>
  </si>
  <si>
    <t>LIT_428</t>
  </si>
  <si>
    <t>INC-20260330-00006745.,,Others Transmission equipement fault</t>
  </si>
  <si>
    <t>INC-20260330-00015426.,,Others Transmission equipement fault</t>
  </si>
  <si>
    <t>Soa-UNIV-MTN</t>
  </si>
  <si>
    <t>CTR_431</t>
  </si>
  <si>
    <t>28/03/2026 : Besoin d'analyse BO RAN  || Site unstable due to transmission….28/03/2026 : Besoin d'analyse BO RAN  || Site unstable due to transmission….28/03/2026 : Besoin d'analyse BO RAN  || Site unstable due to transmission….Power status check ongoing….INC-20260330-00005815.,,CB fallen in DC box IHD.,,Others Transmission equipement fault</t>
  </si>
  <si>
    <t>28/03/2026 Besoin d'analyse BO RAN Site unstable due to transmission….28/03/2026 Besoin d'analyse BO RAN Site unstable due to transmission….28/03/2026 Besoin d'analyse BO RAN Site unstable due to transmission….Power status check ongoing….,,CB fallen in DC box IHD.,,</t>
  </si>
  <si>
    <t>Fondjanti</t>
  </si>
  <si>
    <t>OST_158</t>
  </si>
  <si>
    <t>INC-20260330-00007814.,,GE Fault</t>
  </si>
  <si>
    <t>Ntumbaw</t>
  </si>
  <si>
    <t>NRO_245</t>
  </si>
  <si>
    <t>Power status check ongoing….INC-20260330-00010443.,,Others Transmission equipement fault</t>
  </si>
  <si>
    <t>Power status check ongoing….,,</t>
  </si>
  <si>
    <t>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needed….INC-20260330-00003154.,,Others Transmission equipement fault</t>
  </si>
  <si>
    <t>30/03/2026 Check and replace FAN,FXDB if needed 29/03/2026 need BO RAN analysis Closed after reset but FME should check and replace FAN, FXDB if needed….30/03/2026 Check and replace FAN,FXDB if needed 29/03/2026 need BO RAN analysis Closed after reset but FME should check and replace FAN, FXDB if needed….30/03/2026 Check and replace FAN,FXDB if needed 29/03/2026 need BO RAN analysis Closed after reset but FME should check and replace FAN, FXDB if needed….30/03/2026 Check and replace FAN,FXDB if needed 29/03/2026 need BO RAN analysis Closed after reset but FME should check and replace FAN, FXDB if needed….,,</t>
  </si>
  <si>
    <t>Roua</t>
  </si>
  <si>
    <t>EXN_108</t>
  </si>
  <si>
    <t>Power status check ongoing….INC-20260330-00013950.,,GE Fault</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</si>
  <si>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</si>
  <si>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16/03/2026 Acces bloque cote Camrail 16/03/2026 Mail envoye a Camrail pour la demande de work permit 14/03/2026 nee d BO RAN analysis check and clean jumper on FXDB FRGU antenna port 3 and 6….16/03/2026 Acces bloque cote Camrail 16/03/2026 Mail envoye a Camrail pour la demande de work permit 14/03/2026 nee d BO RAN analysis check and clean jumper on FXDB FRGU antenna port 3 and 6….16/03/2026 Acces bloque cote Camrail 16/03/2026 Mail envoye a Camrail pour la demande de work permit 14/03/2026 nee d BO RAN analysis check and clean jumper on FXDB FRGU antenna port 3 and 6….16/03/2026 Acces bloque cote Camrail 16/03/2026 Mail envoye a Camrail pour la demande de work permit 14/03/2026 nee d BO RAN analysis check and clean jumper on FXDB FRGU antenna port 3 and 6</t>
  </si>
  <si>
    <t>Port_Autonome_Kribi</t>
  </si>
  <si>
    <t>SUD_092</t>
  </si>
  <si>
    <t>30/03/2026 Demande d'accès en cours au port ETA=40 MIN escalade L3 CAMUSAT 
29.03.2026: Le minisite est alimenté par le biais d'une prise murale du port de kribi/ Intervention possible uniquement lundi car le port n'est pas en service en week-end selon le fme escalade L2 camusat….30/03/2026 Demande d'accès en cours au port ETA=40 MIN
29.03.2026: Le minisite est alimenté par le biais d'une prise murale du port de kribi/ Intervention possible uniquement lundi car le port n'est pas en service en week-end selon le fme….30/03/2026 Demande d'accès en cours au port ETA=40 MIN
29.03.2026: Le minisite est alimenté par le biais d'une prise murale du port de kribi/ Intervention possible uniquement lundi car le port n'est pas en service en week-end selon le fme</t>
  </si>
  <si>
    <t>30/03/2026 Demande d'accès en cours au port ETA=40 MIN escalade L3 CAMUSAT 29.03.2026 Le minisite est alimenté par le biais d'une prise murale du port de kribi/ Intervention possible uniquement lundi car le port n'est pas en service en week-end selon le fme escalade L2 camusat….30/03/2026 Demande d'accès en cours au port ETA=40 MIN 29.03.2026 Le minisite est alimenté par le biais d'une prise murale du port de kribi/ Intervention possible uniquement lundi car le port n'est pas en service en week-end selon le fme….30/03/2026 Demande d'accès en cours au port ETA=40 MIN 29.03.2026 Le minisite est alimenté par le biais d'une prise murale du port de kribi/ Intervention possible uniquement lundi car le port n'est pas en service en week-end selon le fme</t>
  </si>
  <si>
    <t>30/03/2026 : Besoin d'analyse Bo RAN….INC-20260330-00013742.,,2026-03-30 20:38:14.,,Grid outage, Grid only site / Grid return awaited.,,Others Transmission equipement fault</t>
  </si>
  <si>
    <t>30/03/2026 Besoin d'analyse Bo RAN….,,2026-03-30 20 38 14.,,Grid outage, Grid only site Grid return awaited.,,</t>
  </si>
  <si>
    <t>Ebolowa-SIM</t>
  </si>
  <si>
    <t>SUD_097</t>
  </si>
  <si>
    <t>INC-20260330-00001017.,,2026-03-30 01:49:19.,,FME is managing with level0.,,Auto TT closure RCA.,,GE Fault</t>
  </si>
  <si>
    <t>2026-03-30 01 49 19.,,FME is managing with level0.,,Auto TT closure RCA.,,GE Fault</t>
  </si>
  <si>
    <t>Nitob-IHS</t>
  </si>
  <si>
    <t>NRO_122</t>
  </si>
  <si>
    <t>INC-20260330-00004044.,,Others Transmission equipement fault</t>
  </si>
  <si>
    <t>Galim-Tignere</t>
  </si>
  <si>
    <t>ADM_024</t>
  </si>
  <si>
    <t>INC-20260330-00016069.,,Others Transmission equipement fault</t>
  </si>
  <si>
    <t>Bpriso-Vanitex-New</t>
  </si>
  <si>
    <t>LIT_410</t>
  </si>
  <si>
    <t>INC-20260330-00009330.,,GE Fault</t>
  </si>
  <si>
    <t>Ngd-Bamyangal-rural</t>
  </si>
  <si>
    <t>ADM_151</t>
  </si>
  <si>
    <t>Power status check ongoing….INC-20260330-00014377.,,Auto TT closure RCA.,,GE Fault</t>
  </si>
  <si>
    <t>Power status check ongoing….,,Auto TT closure RCA.,,GE Fault</t>
  </si>
  <si>
    <t>Nkolfoulou-ENIA-MTN</t>
  </si>
  <si>
    <t>CTR_837</t>
  </si>
  <si>
    <t>site down….site down….INC-20260330-00003789.,,Power issue (GE fail to start after grid outage)</t>
  </si>
  <si>
    <t>site down….site down….,,Power issue GE fail to start after grid outage)</t>
  </si>
  <si>
    <t>Bertoua-Tigaza</t>
  </si>
  <si>
    <t>EST_079</t>
  </si>
  <si>
    <t>INC-20260330-00002203.,,2026-03-30 04:24:39.,,AOF BERTOUA &lt;&gt; BERTOUA TIGAZA DOWN.,,Reroutage du trafic sur le FH.,,AOF Cut.,,COUPURE LIAISON OPTIM RADIO BERTOUA &lt;&gt; BERTOUA TIGAZA</t>
  </si>
  <si>
    <t>2026-03-30 04 24 39.,,AOF BERTOUA BERTOUA TIGAZA DOWN.,,Reroutage du trafic sur le FH.,,AOF Cut.,,COUPURE LIAISON OPTIM RADIO BERTOUA BERTOUA TIGAZA</t>
  </si>
  <si>
    <t>Ebogo</t>
  </si>
  <si>
    <t>CTR_313</t>
  </si>
  <si>
    <t>site down….INC-20260330-00006289.,,2026-03-30 10:59:00.,,Grid outage gen failed to start due to card GE dysfunctionning //We reset card GE and gen manually started.,,Power issue (GE fall to start after grid outage).,,Others Transmission equipement fault</t>
  </si>
  <si>
    <t>site down….,,2026-03-30 10 59 00.,,Grid outage gen failed to start due to card GE dysfunctionning We reset card GE and gen manually started.,,Power issue GE fall to start after grid outage).,,</t>
  </si>
  <si>
    <t>Moloundou</t>
  </si>
  <si>
    <t>EST_015</t>
  </si>
  <si>
    <t>29/03/2026 : Radio recue || ETA : 2/04/2026
27/03/2026 : Cde en cours 
 26/03/2026 : cde de la FRGU en cours 
25/03/2026 : FRGU faulty || cde en cours
24/03/2026 : Action avec le level 0 
23/03/2026 : need BO RAN analysis || Check and replace module if needed….29/03/2026 : Radio recue || ETA : 2/04/2026
27/03/2026 : Cde en cours 
 26/03/2026 : cde de la FRGU en cours 
25/03/2026 : FRGU faulty || cde en cours
24/03/2026 : Action avec le level 0 
23/03/2026 : need BO RAN analysis || Check and replace module if needed….29/03/2026 : Radio recue || ETA : 2/04/2026
27/03/2026 : Cde en cours 
 26/03/2026 : cde de la FRGU en cours 
25/03/2026 : FRGU faulty || cde en cours
24/03/2026 : Action avec le level 0 
23/03/2026 : need BO RAN analysis || Check and replace module if needed….INC-20260330-00011966.,,Others Transmission equipement fault</t>
  </si>
  <si>
    <t>29/03/2026 Radio recue ETA 2/04/2026 27/03/2026 Cde en cours 26/03/2026 cde de la FRGU en cours 25/03/2026 FRGU faulty cde en cours 24/03/2026 Action avec le level 0 23/03/2026 need BO RAN analysis Check and replace module if needed….29/03/2026 Radio recue ETA 2/04/2026 27/03/2026 Cde en cours 26/03/2026 cde de la FRGU en cours 25/03/2026 FRGU faulty cde en cours 24/03/2026 Action avec le level 0 23/03/2026 need BO RAN analysis Check and replace module if needed….29/03/2026 Radio recue ETA 2/04/2026 27/03/2026 Cde en cours 26/03/2026 cde de la FRGU en cours 25/03/2026 FRGU faulty cde en cours 24/03/2026 Action avec le level 0 23/03/2026 need BO RAN analysis Check and replace module if needed….,,</t>
  </si>
  <si>
    <t>Bangolan</t>
  </si>
  <si>
    <t>NRO_050</t>
  </si>
  <si>
    <t>INC-20260330-00001847.,,Others Transmission equipement fault</t>
  </si>
  <si>
    <t>28/03/2027 :  Nous allons clos le problème le 30/03/2026 en remplaçant les rectifiers….30/03/2026  : Relance faite ce jour a HIS || Feedback HIS : Nous avons eu un probleme de base connector sur le MPR de ce site ceci est due aux mauvaises tensions Eneo et nous compte résoudre cela le 04/04/2026.
28/03/2027 :  Nous allons clos le problème le 30/03/2026 en remplaçant les rectifiers</t>
  </si>
  <si>
    <t>28/03/2027 Nous allons clos le problème le 30/03/2026 en remplaçant les rectifiers….30/03/2026 Relance faite ce jour a HIS Feedback HIS Nous avons eu un probleme de base connector sur le MPR de ce site ceci est due aux mauvaises tensions Eneo et nous compte résoudre cela le 04/04/2026. 28/03/2027 Nous allons clos le problème le 30/03/2026 en remplaçant les rectifiers</t>
  </si>
  <si>
    <t>INC-20260330-00015004.,, Access Issue during the Night because the Landlord prohibits the access to the site after 6:30 PM.,,Grid return.,,GE Fault</t>
  </si>
  <si>
    <t>Access Issue during the Night because the Landlord prohibits the access to the site after 6 30 PM.,,Grid return.,,GE Fault</t>
  </si>
  <si>
    <t>INC-20260330-00010345.,,Others</t>
  </si>
  <si>
    <t>Others</t>
  </si>
  <si>
    <t>Missoke-Chefferie</t>
  </si>
  <si>
    <t>LIT_732</t>
  </si>
  <si>
    <t>INC-20260330-00011344.,,Others Transmission equipement fault</t>
  </si>
  <si>
    <t>Ebogo-II</t>
  </si>
  <si>
    <t>CTR_867</t>
  </si>
  <si>
    <t>INC-20260330-00006288.,,Power issue (GE fall to start after grid outage).,,Others Transmission equipement fault</t>
  </si>
  <si>
    <t>Power issue GE fall to start after grid outage).,,</t>
  </si>
  <si>
    <t>Baaba-II</t>
  </si>
  <si>
    <t>CTR_879</t>
  </si>
  <si>
    <t>Baaba</t>
  </si>
  <si>
    <t>INC-20260330-00006290.,,GE Fault</t>
  </si>
  <si>
    <t>Emombo</t>
  </si>
  <si>
    <t>CTR_212</t>
  </si>
  <si>
    <t>INC-20260330-00014069.,,GE Fault</t>
  </si>
  <si>
    <t>Power status check ongoing….INC-20260330-00014961.,,Others Transmission equipement fault</t>
  </si>
  <si>
    <t>Maroua-Ouro-Tchede</t>
  </si>
  <si>
    <t>EXN_092</t>
  </si>
  <si>
    <t>30/03/2026 : Power issue || Mail sent to HIS</t>
  </si>
  <si>
    <t>30/03/2026 Power issue Mail sent to HIS</t>
  </si>
  <si>
    <t>Agape</t>
  </si>
  <si>
    <t>LIT_609</t>
  </si>
  <si>
    <t>Power status check ongoing….INC-20260330-00011108.,,Others Transmission equipement fault</t>
  </si>
  <si>
    <t>Maroua-Boulore</t>
  </si>
  <si>
    <t>EXN_237</t>
  </si>
  <si>
    <t>INC-20260330-00009013.,,2026-03-30 15:12:16.,,Others Transmission equipement fault</t>
  </si>
  <si>
    <t>2026-03-30 15 12 16.,,</t>
  </si>
  <si>
    <t>Bamengwi-IHS</t>
  </si>
  <si>
    <t>NRO_093</t>
  </si>
  <si>
    <t>Bamengwi</t>
  </si>
  <si>
    <t xml:space="preserve">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t>
  </si>
  <si>
    <t>29/03/2026 FME active ETA 31/03/2026 26/03/2026 need BO RAN analysis FME should check and clean jumper, port 4…. 29/03/2026 FME active ETA 31/03/2026 26/03/2026 need BO RAN analysis FME should check and clean jumper, port 4…. 29/03/2026 FME active ETA 31/03/2026 26/03/2026 need BO RAN analysis FME should check and clean jumper, port 4…. 29/03/2026 FME active ETA 31/03/2026 26/03/2026 need BO RAN analysis FME should check and clean jumper, port 4</t>
  </si>
  <si>
    <t>30/03/2026 : Check and clean jumper  on  FXDB antenna port 1 || FME active….30/03/2026 : Check and clean jumper  on  FXDB antenna port 1 || FME active….30/03/2026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</si>
  <si>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30/03/2026 Check and clean jumper on FXDB antenna port 1 FME active….30/03/2026 Check and clean jumper on FXDB antenna port 1 FME active….30/03/2026 Check and clean jumper on FXDB antenna port 1 Feedback du P.M FME revient de ce site ce matin apres sa PM, aucun souci trouvé sur site, nous prenons le point mais l'intervention n'est pas encore planifiée….30/03/2026 Check and clean jumper on FXDB antenna port 1 Feedback du P.M FME revient de ce site ce matin apres sa PM, aucun souci trouvé sur site, nous prenons le point mais l'intervention n'est pas encore planifiée</t>
  </si>
  <si>
    <t>Power status check ongoing….INC-20260330-00005778.,,2026-03-30 10:20:24.,,supervisor Michel is on site for works(MPR Swap)/ End of work.,,supervisor Michel is on site for works(MPR Swap)/ End of work.,,GE Fault</t>
  </si>
  <si>
    <t>Power status check ongoing….,,2026-03-30 10 20 24.,,supervisor Michel is on site for works(MPR Swap)/ End of work.,,supervisor Michel is on site for works(MPR Swap)/ End of work.,,GE Fault</t>
  </si>
  <si>
    <t>Sohock-IHS</t>
  </si>
  <si>
    <t>LIT_501</t>
  </si>
  <si>
    <t>Sohock</t>
  </si>
  <si>
    <t>INC-20260330-00002184.,,The system is up without my intervention; I called the back office for confirmation. .,,Others Transmission equipement fault</t>
  </si>
  <si>
    <t>The system is up without my intervention; I called the back office for confirmation.</t>
  </si>
  <si>
    <t>INC-20260330-00014581.,,GE Fault</t>
  </si>
  <si>
    <t>Power status check ongoing….INC-20260330-00015407.,,Others Transmission equipement fault</t>
  </si>
  <si>
    <t>INC-20260330-00012864.,,Auto TT closure RCA.,,GE Fault</t>
  </si>
  <si>
    <t>29/03/2026 : FME active 
28/03/2026 : Check and clean jumper  on  FXDB antenna port 4, 5  and FRGU antenna port 2 || FME active….29/03/2026 : FME active 
28/03/2026 : Check and clean jumper  on  FXDB antenna port 4, 5  and FRGU antenna port 2 || FME active….29/03/2026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</si>
  <si>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29/03/2026 FME active 28/03/2026 Check and clean jumper on FXDB antenna port 4, 5 and FRGU antenna port 2 FME active….29/03/2026 FME active 28/03/2026 Check and clean jumper on FXDB antenna port 4, 5 and FRGU antenna port 2 FME active….29/03/2026 FME active 28/03/2026 Check and clean jumper on FXDB antenna port 4, 5 and FRGU antenna port 2 FME active Feedback du P.M need RF jumper and FXDB, commande passée ETA to reach the site 02/04/2026….29/03/2026 FME active 28/03/2026 Check and clean jumper on FXDB antenna port 4, 5 and FRGU antenna port 2 FME active Feedback du P.M need RF jumper and FXDB, commande passée ETA to reach the site 02/04/2026</t>
  </si>
  <si>
    <t xml:space="preserve">30/03/2026 : Check breaker and  interconnection(sfp, optical fiber) between system and radio module, swap its if needed ….30/03/2026 : Check breaker and  interconnection(sfp, optical fiber) between system and radio module, swap its if needed </t>
  </si>
  <si>
    <t>30/03/2026 Check breaker and interconnection(sfp, optical fiber) between system and radio module, swap its if needed 30/03/2026 Check breaker and interconnection(sfp, optical fiber) between system and radio module, swap its if needed</t>
  </si>
  <si>
    <t>Misaje</t>
  </si>
  <si>
    <t>NRO_237</t>
  </si>
  <si>
    <t>INC-20260330-00001992.,,generator issue on site .,,Others Transmission equipement fault</t>
  </si>
  <si>
    <t>generator issue on site</t>
  </si>
  <si>
    <t>Sodiko-III-MTN</t>
  </si>
  <si>
    <t>LIT_741</t>
  </si>
  <si>
    <t>30/03/2026 : Power issue :  Besoin d'analyse BO RAN || Site down affected by power….30/03/2026 : Power issue :  Besoin d'analyse BO RAN || Site down affected by power</t>
  </si>
  <si>
    <t>30/03/2026 Power issue Besoin d'analyse BO RAN Site down affected by power….30/03/2026 Power issue Besoin d'analyse BO RAN Site down affected by power</t>
  </si>
  <si>
    <t>Bipaga</t>
  </si>
  <si>
    <t>SUD_001</t>
  </si>
  <si>
    <t>INC-20260330-00002181.,,Others Transmission equipement fault</t>
  </si>
  <si>
    <t>Kribi-LONDJI</t>
  </si>
  <si>
    <t>SUD_079</t>
  </si>
  <si>
    <t>INC-20260330-00002195.,,Others Transmission equipement fault</t>
  </si>
  <si>
    <t>Kribi-Mpala</t>
  </si>
  <si>
    <t>SUD_053</t>
  </si>
  <si>
    <t>INC-20260330-00002179.,,Others Transmission equipement fault</t>
  </si>
  <si>
    <t>Mpoloungoue</t>
  </si>
  <si>
    <t>SUD_021</t>
  </si>
  <si>
    <t>INC-20260330-00002185.,,Others Transmission equipement fault</t>
  </si>
  <si>
    <t>Garoua-Hodango</t>
  </si>
  <si>
    <t>NRD_160</t>
  </si>
  <si>
    <t>INC-20260330-00009222.,,GE Fault</t>
  </si>
  <si>
    <t>INC-20260330-00001713.,,2026-03-30 02:26:43.,,probable TX issue / investigations ongoing.,,Others Transmission equipement fault</t>
  </si>
  <si>
    <t>2026-03-30 02 26 43.,,probable TX issue investigations ongoing.,,</t>
  </si>
  <si>
    <t>Wadjiri-IHS</t>
  </si>
  <si>
    <t>ADM_103</t>
  </si>
  <si>
    <t>Wadjiri</t>
  </si>
  <si>
    <t>INC-20260330-00015838.,,Others Transmission equipement fault</t>
  </si>
  <si>
    <t>Ngaoui</t>
  </si>
  <si>
    <t>ADM_037</t>
  </si>
  <si>
    <t>INC-20260330-00014893.,,2026-03-31 00:42:47.,,FME is on site working.,,Others Transmission equipement fault</t>
  </si>
  <si>
    <t>2026-03-31 00 42 47.,,FME is on site working.,,</t>
  </si>
  <si>
    <t>Pang-Camtel</t>
  </si>
  <si>
    <t>ADM_038</t>
  </si>
  <si>
    <t>Pang</t>
  </si>
  <si>
    <t>INC-20260330-00015057.,,2026-03-30 22:46:07.,,Feedbaclk Camusat : FME a pris le point et manage avec le level 0, en attente de son feedback.,,RCA attendu de CAMUSAT.,,Others Transmission equipement fault.,,Probleme d'energie</t>
  </si>
  <si>
    <t>2026-03-30 22 46 07.,,Feedbaclk Camusat FME a pris le point et manage avec le level 0, en attente de son feedback.,,RCA attendu de CAMUSAT.,,.,,Probleme d'energie</t>
  </si>
  <si>
    <t>Dourbeye</t>
  </si>
  <si>
    <t>NRD_057</t>
  </si>
  <si>
    <t>INC-20260330-00009834.,,Others Transmission equipement fault</t>
  </si>
  <si>
    <t>Gari-Gombo</t>
  </si>
  <si>
    <t>EST_048</t>
  </si>
  <si>
    <t>INC-20260330-00015035.,,Power issue on site.,,Others</t>
  </si>
  <si>
    <t>Power issue on site.,,Others</t>
  </si>
  <si>
    <t>INC-20260330-00015568.,,Others Transmission equipement fault</t>
  </si>
  <si>
    <t>INC-20260330-00009435.,,Others Transmission equipement fault</t>
  </si>
  <si>
    <t>Moumee-New</t>
  </si>
  <si>
    <t>OST_224</t>
  </si>
  <si>
    <t>Moumee</t>
  </si>
  <si>
    <t>Power status check ongoing….INC-20260330-00006133.,,Others Transmission equipement fault</t>
  </si>
  <si>
    <t>Mindourou</t>
  </si>
  <si>
    <t>EST_012</t>
  </si>
  <si>
    <t>INC-20260330-00014208.,,Site Up sans intervention.,,Others Transmission equipement fault</t>
  </si>
  <si>
    <t>Site Up sans intervention.,,</t>
  </si>
  <si>
    <t>INC-20260330-00002971.,,GE Fault</t>
  </si>
  <si>
    <t>INC-20260330-00000981.,,Others Transmission equipement fault</t>
  </si>
  <si>
    <t>INC-20260330-00002355.,,Others Transmission equipement fault</t>
  </si>
  <si>
    <t>INC-20260330-00012741.,,2026-03-30 21:27:36.,,Grid outage, Grid only site / Grid return awaited.,,grid only power issue on site.,,Others</t>
  </si>
  <si>
    <t>2026-03-30 21 27 36.,,Grid outage, Grid only site Grid return awaited.,,grid only power issue on site.,,Others</t>
  </si>
  <si>
    <t>INC-20260330-00001253.,,Others Transmission equipement fault</t>
  </si>
  <si>
    <t>Nyazoro-MTN-IHS</t>
  </si>
  <si>
    <t>CTR_169</t>
  </si>
  <si>
    <t>Nyazoro</t>
  </si>
  <si>
    <t>INC-20260330-00016066.,,Others Transmission equipement fault</t>
  </si>
  <si>
    <t>Doualayel-MTN</t>
  </si>
  <si>
    <t>ADM_067</t>
  </si>
  <si>
    <t>Doualayel</t>
  </si>
  <si>
    <t>INC-20260330-00014536.,,GE Fault</t>
  </si>
  <si>
    <t>Koba-MTN</t>
  </si>
  <si>
    <t>ADM_064</t>
  </si>
  <si>
    <t>Koba</t>
  </si>
  <si>
    <t>INC-20260330-00014979.,,Others Transmission equipement fault</t>
  </si>
  <si>
    <t>Guili-Centre-IHS</t>
  </si>
  <si>
    <t>EXN_173</t>
  </si>
  <si>
    <t>Guili</t>
  </si>
  <si>
    <t>INC-20260330-00009768.,,GE Fault</t>
  </si>
  <si>
    <t>Mbanga-Bakoko-IHS</t>
  </si>
  <si>
    <t>LIT_164</t>
  </si>
  <si>
    <t>INC-20260330-00007051.,,Others Transmission equipement fault</t>
  </si>
  <si>
    <t>Fio-MTN</t>
  </si>
  <si>
    <t>EST_084</t>
  </si>
  <si>
    <t>Fio</t>
  </si>
  <si>
    <t>INC-20260330-00001674.,,Others Transmission equipement fault</t>
  </si>
  <si>
    <t>Akwa-Palace-Micro</t>
  </si>
  <si>
    <t>LIT_705</t>
  </si>
  <si>
    <t xml:space="preserve">INC-20260330-00005902.,,2026-03-30 10:16:23.,,reconfiguration  du MPR  
reconfiguration  de la supervision  
sur la fibre .,,Transmission.,,reconfiguration  du MPR  
reconfiguration  de la supervision  
sur la fibre </t>
  </si>
  <si>
    <t>2026-03-30 10 16 23.,,reconfiguration du MPR reconfiguration de la supervision sur la fibre Transmission.,,reconfiguration du MPR reconfiguration de la supervision sur la fibre</t>
  </si>
  <si>
    <t>Limbe-Ngueme</t>
  </si>
  <si>
    <t>SUO_235</t>
  </si>
  <si>
    <t>INC-20260330-00009941.,,Others Transmission equipement fault</t>
  </si>
  <si>
    <t>So-Djay-IHS</t>
  </si>
  <si>
    <t>NRD_125</t>
  </si>
  <si>
    <t>So-Djay</t>
  </si>
  <si>
    <t>INC-20260330-00013403.,,Others Transmission equipement fault</t>
  </si>
  <si>
    <t>Matafal</t>
  </si>
  <si>
    <t>EXN_207</t>
  </si>
  <si>
    <t>Power status check ongoing….INC-20260330-00008740.,,GE Fault</t>
  </si>
  <si>
    <t>Boukoula-IHS</t>
  </si>
  <si>
    <t>NRD_014</t>
  </si>
  <si>
    <t>Boukoula</t>
  </si>
  <si>
    <t>INC-20260330-00009371.,,Others Transmission equipement fault</t>
  </si>
  <si>
    <t>INC-20260330-00002137.,,No Power Issue on Site U = 55.8V and site is on Gen. TX FME Jeremiah 698674799 / Huawei is informed..,,GE Fault</t>
  </si>
  <si>
    <t>No Power Issue on Site U 55.8V and site is on Gen. TX FME Jeremiah 698674799 Huawei is informed.,,GE Fault</t>
  </si>
  <si>
    <t>Nkwein-Clinic-St-Louis-MTN</t>
  </si>
  <si>
    <t>NRO_244</t>
  </si>
  <si>
    <t>Power status check ongoing….Power status check ongoing….Power status check ongoing….INC-20260330-00015864.,,Others Transmission equipement fault</t>
  </si>
  <si>
    <t>Power status check ongoing….Power status check ongoing….Power status check ongoing….,,</t>
  </si>
  <si>
    <t>Buea-GRA-HIS</t>
  </si>
  <si>
    <t>SUO_242</t>
  </si>
  <si>
    <t>Power status check ongoing….INC-20260330-00009574.,,2026-03-30 15:45:44.,,Nationwide issue affecting the OAM, handled by the relevant team .,,Others Transmission equipement fault</t>
  </si>
  <si>
    <t>Power status check ongoing….,,2026-03-30 15 45 44.,,Nationwide issue affecting the OAM, handled by the relevant team</t>
  </si>
  <si>
    <t>Magada-IHS</t>
  </si>
  <si>
    <t>EXN_128</t>
  </si>
  <si>
    <t>Magada</t>
  </si>
  <si>
    <t>Power status check ongoing….INC-20260330-00008700.,,Others Transmission equipement fault</t>
  </si>
  <si>
    <t>INC-20260330-00009927.,,2026-03-30 16:32:38.,,Le site est présentement UP mais il y a une dégradation des valeurs RSL du lien MW MOUDE_2---MAZAVOU.
Merci de dépêcher un FME pour un réalignement afin d'améliorer les valeurs RSL et stabiliser le lien..,,Others</t>
  </si>
  <si>
    <t>2026-03-30 16 32 38.,,Le site est présentement UP mais il y a une dégradation des valeurs RSL du lien MW MOUDE_2---MAZAVOU. Merci de dépêcher un FME pour un réalignement afin d'améliorer les valeurs RSL et stabiliser le lien.,,Others</t>
  </si>
  <si>
    <t>Mbang</t>
  </si>
  <si>
    <t>EST_011</t>
  </si>
  <si>
    <t>INC-20260330-00002544.,,Others Transmission equipement fault</t>
  </si>
  <si>
    <t>Nkomedzap-Camtel</t>
  </si>
  <si>
    <t>SUD_088</t>
  </si>
  <si>
    <t>Nkomedzap</t>
  </si>
  <si>
    <t>INC-20260330-00002293.,,Others Transmission equipement fault</t>
  </si>
  <si>
    <t>Home-IHS</t>
  </si>
  <si>
    <t>ADM_112</t>
  </si>
  <si>
    <t>Home</t>
  </si>
  <si>
    <t>INC-20260330-00012004.,,Others Transmission equipement fault</t>
  </si>
  <si>
    <t>Foumbot-Centre-Ville-II</t>
  </si>
  <si>
    <t>OST_227</t>
  </si>
  <si>
    <t>Foumbot</t>
  </si>
  <si>
    <t>30/03/2026 : FME active
28/03/2026 : Besoin d'analyse BO RAN || Check and clean jumper, port 2 of RRU 81….30/03/2026 : FME active
28/03/2026 : Besoin d'analyse BO RAN || Check and clean jumper, port 2 of RRU 81….INC-20260330-00005006.,,GE Fault</t>
  </si>
  <si>
    <t>30/03/2026 FME active 28/03/2026 Besoin d'analyse BO RAN Check and clean jumper, port 2 of RRU 81….30/03/2026 FME active 28/03/2026 Besoin d'analyse BO RAN Check and clean jumper, port 2 of RRU 81….,,GE Fault</t>
  </si>
  <si>
    <t>Kong-Kong-IHS</t>
  </si>
  <si>
    <t>NRD_070</t>
  </si>
  <si>
    <t>KongKong</t>
  </si>
  <si>
    <t>Power status check ongoing….INC-20260330-00009155.,,Others Transmission equipement fault</t>
  </si>
  <si>
    <t>Power status check ongoing….INC-20260330-00015940.,,Others Transmission equipement fault</t>
  </si>
  <si>
    <t>Kanje-I</t>
  </si>
  <si>
    <t>ADM_041</t>
  </si>
  <si>
    <t>Power status check ongoing….INC-20260330-00015893.,,Others Transmission equipement fault</t>
  </si>
  <si>
    <t>Mbong</t>
  </si>
  <si>
    <t>ADM_042</t>
  </si>
  <si>
    <t>Power status check ongoing….INC-20260330-00015916.,,Others Transmission equipement fault</t>
  </si>
  <si>
    <t>Ngoum-II-MTN</t>
  </si>
  <si>
    <t>CTR_367</t>
  </si>
  <si>
    <t>Ngoum-II</t>
  </si>
  <si>
    <t>INC-20260330-00001261.,,Others Transmission equipement fault</t>
  </si>
  <si>
    <t>Febadi-MTN</t>
  </si>
  <si>
    <t>ADM_063</t>
  </si>
  <si>
    <t>Febadi</t>
  </si>
  <si>
    <t>Power status check ongoing….INC-20260330-00015975.,,Others Transmission equipement fault</t>
  </si>
  <si>
    <t>Hile-Alifa-IHS</t>
  </si>
  <si>
    <t>EXN_224</t>
  </si>
  <si>
    <t>Hile-Alifa</t>
  </si>
  <si>
    <t>INC-20260330-00011007.,,Others Transmission equipement fault</t>
  </si>
  <si>
    <t>INC-20260330-00015531.,,Others Transmission equipement fault</t>
  </si>
  <si>
    <t>INC-20260330-00013299.,,No power issue on site Ubaie = 50V site on BATTERY (Threshold 47.1V). VSAT issue. TX FME Hugues (651514691 / Huawei) is informed..,,No power issue on site Ubaie = 50V site on BATTERY (Threshold 47.1V). VSAT issue. TX FME Hugues (651514691 / Huawei) is informed..,,GE Fault</t>
  </si>
  <si>
    <t>No power issue on site Ubaie 50V site on BATTERY Threshold 47.1V). VSAT issue. TX FME Hugues 651514691 Huawei) is informed.,,No power issue on site Ubaie 50V site on BATTERY Threshold 47.1V). VSAT issue. TX FME Hugues 651514691 Huawei) is informed.,,GE Fault</t>
  </si>
  <si>
    <t>Nkan</t>
  </si>
  <si>
    <t>LIT_514</t>
  </si>
  <si>
    <t>INC-20260330-00012506.,,Others Transmission equipement fault</t>
  </si>
  <si>
    <t>29/03/2026 : Nous avons un délestage fréquent dans la zone et la génératrice du GE est en faute,
Le remplacement est prévue en WEEK 14.….29/03/2026 : Nous avons un délestage fréquent dans la zone et la génératrice du GE est en faute,
Le remplacement est prévue en WEEK 14.</t>
  </si>
  <si>
    <t>29/03/2026 Nous avons un délestage fréquent dans la zone et la génératrice du GE est en faute, Le remplacement est prévue en WEEK 14.….29/03/2026 Nous avons un délestage fréquent dans la zone et la génératrice du GE est en faute, Le remplacement est prévue en WEEK 14.</t>
  </si>
  <si>
    <t>INC-20260330-00012473.,,Others Transmission equipement fault</t>
  </si>
  <si>
    <t>Ngonga</t>
  </si>
  <si>
    <t>LIT_135</t>
  </si>
  <si>
    <t>INC-20260330-00009726.,,Others Transmission equipement fault</t>
  </si>
  <si>
    <t>INC-20260330-00002392.,,Others Transmission equipement fault</t>
  </si>
  <si>
    <t>INC-20260330-00009144.,,Others Transmission equipement fault</t>
  </si>
  <si>
    <t>INC-20260330-00007482.,,Others Transmission equipement fault</t>
  </si>
  <si>
    <t>Mogode</t>
  </si>
  <si>
    <t>EXN_024</t>
  </si>
  <si>
    <t>INC-20260330-00015784.,,power issue .,,Others Transmission equipement fault</t>
  </si>
  <si>
    <t>Memve-ele-CAMTEL</t>
  </si>
  <si>
    <t>SUD_257</t>
  </si>
  <si>
    <t>Memve-ele</t>
  </si>
  <si>
    <t>INC-20260330-00002141.,,Others Transmission equipement fault</t>
  </si>
  <si>
    <t>Hamalade-IHS</t>
  </si>
  <si>
    <t>NRD_111</t>
  </si>
  <si>
    <t>Hamalade</t>
  </si>
  <si>
    <t>INC-20260330-00010354.,,Others Transmission equipement fault</t>
  </si>
  <si>
    <t>INC-20260330-00006802.,,Others Transmission equipement fault</t>
  </si>
  <si>
    <t>Bagarao</t>
  </si>
  <si>
    <t>EXN_202</t>
  </si>
  <si>
    <t>INC-20260330-00012408.,,Others Transmission equipement fault</t>
  </si>
  <si>
    <t>INC-20260330-00004568.,,Others Transmission equipement fault</t>
  </si>
  <si>
    <t>INC-20260330-00004663.,,NO POWER ISSUE SITE ON GRID 52.3V.,,NO POWER ISSUE SITE ON GRID 52.3V.,,GE Fault</t>
  </si>
  <si>
    <t>NO POWER ISSUE SITE ON GRID 52.3V.,,NO POWER ISSUE SITE ON GRID 52.3V.,,GE Fault</t>
  </si>
  <si>
    <t>Mayo-Nonde-IHS</t>
  </si>
  <si>
    <t>NRD_106</t>
  </si>
  <si>
    <t>Mayo-Nonde</t>
  </si>
  <si>
    <t>INC-20260330-00010362.,,Others Transmission equipement fault</t>
  </si>
  <si>
    <t>Wada-MTN-IHS</t>
  </si>
  <si>
    <t>ADM_099</t>
  </si>
  <si>
    <t>Wada</t>
  </si>
  <si>
    <t>INC-20260330-00005667.,,Others Transmission equipement fault</t>
  </si>
  <si>
    <t>Mambine</t>
  </si>
  <si>
    <t>CTR_097</t>
  </si>
  <si>
    <t>INC-20260330-00005945.,,Others Transmission equipement fault</t>
  </si>
  <si>
    <t>Blangoua</t>
  </si>
  <si>
    <t>EXN_041</t>
  </si>
  <si>
    <t>Power status check ongoing….INC-20260330-00012216.,,Others Transmission equipement fault</t>
  </si>
  <si>
    <t xml:space="preserve">27/03/2026 : Projet en cours ….27/03/2026 : Projet en cours ….27/03/2026 : Projet en cours ….27/03/2026 : Projet en cours </t>
  </si>
  <si>
    <t>27/03/2026 Projet en cours 27/03/2026 Projet en cours 27/03/2026 Projet en cours 27/03/2026 Projet en cours</t>
  </si>
  <si>
    <t>30/03/2026 : Check breaker and  interconnection(sfp, optical fiber) between system and radio module, swap its if needed ||Ghost town….30/03/2026 : Check breaker and  interconnection(sfp, optical fiber) between system and radio module, swap its if needed ||Ghost town</t>
  </si>
  <si>
    <t>30/03/2026 Check breaker and interconnection(sfp, optical fiber) between system and radio module, swap its if needed Ghost town….30/03/2026 Check breaker and interconnection(sfp, optical fiber) between system and radio module, swap its if needed Ghost town</t>
  </si>
  <si>
    <t>Mayo-Tolere-I</t>
  </si>
  <si>
    <t>ADM_043</t>
  </si>
  <si>
    <t>Mayo-Tolere</t>
  </si>
  <si>
    <t>INC-20260330-00005662.,,Others Transmission equipement fault</t>
  </si>
  <si>
    <t>Mbiame</t>
  </si>
  <si>
    <t>NRO_236</t>
  </si>
  <si>
    <t>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t>
  </si>
  <si>
    <t>30/03/2026 Check breaker and interconnection(sfp, optical fiber) between system and radio module, swap its if needed Ghost town….30/03/2026 Check breaker and interconnection(sfp, optical fiber) between system and radio module, swap its if needed Ghost town….30/03/2026 Check breaker and interconnection(sfp, optical fiber) between system and radio module, swap its if needed Ghost town</t>
  </si>
  <si>
    <t>Sambo-Labo-IHS</t>
  </si>
  <si>
    <t>ADM_144</t>
  </si>
  <si>
    <t>Sambo Lambo</t>
  </si>
  <si>
    <t>INC-20260330-00015093.,,Others Transmission equipement fault</t>
  </si>
  <si>
    <t>Rhumsiki</t>
  </si>
  <si>
    <t>EXN_139</t>
  </si>
  <si>
    <t>INC-20260330-00006686.,,Others Transmission equipement fault</t>
  </si>
  <si>
    <t>CTR_547_N_Elig-Mfomo-New</t>
  </si>
  <si>
    <t>CTR_547</t>
  </si>
  <si>
    <t>Elig-Mfomo</t>
  </si>
  <si>
    <t>INC-20260330-00015179.,,Others Transmission equipement fault</t>
  </si>
  <si>
    <t xml:space="preserve">27/03/2026 : Huawei projet ….27/03/2026 : Huawei projet ….27/03/2026 : Huawei projet ….27/03/2026 : Huawei projet </t>
  </si>
  <si>
    <t>27/03/2026 Huawei projet 27/03/2026 Huawei projet 27/03/2026 Huawei projet 27/03/2026 Huawei projet</t>
  </si>
  <si>
    <t>IPD</t>
  </si>
  <si>
    <t>LIT_100</t>
  </si>
  <si>
    <t>Ebeba</t>
  </si>
  <si>
    <t>CTR_116</t>
  </si>
  <si>
    <t>Safacam</t>
  </si>
  <si>
    <t>LIT_040</t>
  </si>
  <si>
    <t xml:space="preserve">Not accepted….Not accepted….Not accepted….30.03.2026 CAMUSAT: Rectifier issue , no capex / fme is calling guard ESCALADE L3 CAMUSAT ETR 30/03/2026 
29.03.2026 CAMUSAT: Rectifier issue , no capex / fme is calling guard ESCALADE L2 CAMUSAT </t>
  </si>
  <si>
    <t>Not accepted….Not accepted….Not accepted….30.03.2026 CAMUSAT Rectifier issue no capex fme is calling guard ESCALADE L3 CAMUSAT ETR 30/03/2026 29.03.2026 CAMUSAT Rectifier issue no capex fme is calling guard ESCALADE L2 CAMUSAT</t>
  </si>
  <si>
    <t>not accepted….not accepted….not accepted</t>
  </si>
  <si>
    <t>Nkoteng-IHS</t>
  </si>
  <si>
    <t>CTR_152</t>
  </si>
  <si>
    <t>30/03/2026 : Power issue  || mail sent to HIS || Feedback HIS :    Power issue resolved ;RCA  :  Power Cabinet malfunctioning // Site leave on 3 reticfiers. (  site stabilized ) 
….Power status check ongoing….INC-20260330-00005083.,,2026-03-30 10:34:33.,,FME Felix Bateu is on site, investigations till ongoing..,,probleme d energie Les equipments ne sont Pas alimentés .,,GE Fault</t>
  </si>
  <si>
    <t>30/03/2026 Power issue mail sent to HIS Feedback HIS Power issue resolved RCA Power Cabinet malfunctioning Site leave on 3 reticfiers. site stabilized Power status check ongoing….,,2026-03-30 10 34 33.,,FME Felix Bateu is on site, investigations till ongoing.,,probleme d energie Les equipments ne sont Pas alimentés GE Fault</t>
  </si>
  <si>
    <t>Minisite_Crf-Nkoabang</t>
  </si>
  <si>
    <t>CTR_881</t>
  </si>
  <si>
    <t>Grid + Solar</t>
  </si>
  <si>
    <t>INC-20260330-00014874.,,2026-03-31 00:41:11.,,30.03.26; IHS; Solar only site//awaiting Sun shine return (escalated to L2).,,Others</t>
  </si>
  <si>
    <t>2026-03-31 00 41 11.,,30.03.26; IHS; Solar only site//awaiting Sun shine return escalated to L2).,,Others</t>
  </si>
  <si>
    <t>INC-20260330-00012490.,,Others Transmission equipement fault</t>
  </si>
  <si>
    <t>INC-20260330-00005823.,,Others Transmission equipement fault</t>
  </si>
  <si>
    <t>30/03/2026 : Not accepted</t>
  </si>
  <si>
    <t>30/03/2026 Not accepted</t>
  </si>
  <si>
    <t>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t>
  </si>
  <si>
    <t>30/03/2026 FME ctive 29/03/2026 FME active 28/03/2026 Check breaker and interconnection(sfp, optical fiber) between system and radio module, swap its if needed….30/03/2026 FME ctive 29/03/2026 FME active 28/03/2026 Check breaker and interconnection(sfp, optical fiber) between system and radio module, swap its if needed….30/03/2026 FME ctive 29/03/2026 FME active 28/03/2026 Check breaker and interconnection(sfp, optical fiber) between system and radio module, swap its if needed….30/03/2026 FME ctive 29/03/2026 FME active 28/03/2026 Check breaker and interconnection(sfp, optical fiber) between system and radio module, swap its if needed</t>
  </si>
  <si>
    <t>SFID-Ndeng-MTN-IHS</t>
  </si>
  <si>
    <t>EST_102</t>
  </si>
  <si>
    <t>Deng</t>
  </si>
  <si>
    <t>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t>
  </si>
  <si>
    <t>30/03/2026 FME active 29/03/2026 ETA 30/03/2026 27/03/2026 Need BO RAN analysis Feedback BO RAN FME should check and replace it needed SFP, Optical fiber Commande de la fibre en cours 26/03/2026 need BO RAN analysis Fake alarm and already closed….30/03/2026 FME active 29/03/2026 ETA 30/03/2026 27/03/2026 Need BO RAN analysis Feedback BO RAN FME should check and replace it needed SFP, Optical fiber Commande de la fibre en cours 26/03/2026 need BO RAN analysis Fake alarm and already closed….30/03/2026 FME active 29/03/2026 ETA 30/03/2026 27/03/2026 Need BO RAN analysis Feedback BO RAN FME should check and replace it needed SFP, Optical fiber Commande de la fibre en cours 26/03/2026 need BO RAN analysis Fake alarm and already closed….30/03/2026 FME active 29/03/2026 ETA 30/03/2026 27/03/2026 Need BO RAN analysis Feedback BO RAN FME should check and replace it needed SFP, Optical fiber Commande de la fibre en cours 26/03/2026 need BO RAN analysis Fake alarm and already closed</t>
  </si>
  <si>
    <t>Mbantinbang-FH</t>
  </si>
  <si>
    <t>ADM_055</t>
  </si>
  <si>
    <t>Mbantinbang</t>
  </si>
  <si>
    <t>30/03/2026 : FME active || Fake il ya pas de 3G
29/03/2026 : Check breaker and  interconnection(sfp, optical fiber) between system and radio module, swap its if needed….30/03/2026 : FME active || Fake il ya pas de 3G
29/03/2026 : Check breaker and  interconnection(sfp, optical fiber) between system and radio module, swap its if needed….30/03/2026 : FME active || Fake il ya pas de 3G
29/03/2026 : Check breaker and  interconnection(sfp, optical fiber) between system and radio module, swap its if needed….INC-20260330-00005712.,,Others Transmission equipement fault</t>
  </si>
  <si>
    <t>30/03/2026 FME active Fake il ya pas de 3G 29/03/2026 Check breaker and interconnection(sfp, optical fiber) between system and radio module, swap its if needed….30/03/2026 FME active Fake il ya pas de 3G 29/03/2026 Check breaker and interconnection(sfp, optical fiber) between system and radio module, swap its if needed….30/03/2026 FME active Fake il ya pas de 3G 29/03/2026 Check breaker and interconnection(sfp, optical fiber) between system and radio module, swap its if needed….,,</t>
  </si>
  <si>
    <t>Nguibassal</t>
  </si>
  <si>
    <t>CTR_858</t>
  </si>
  <si>
    <t>30/03/2026 : Power issue : Mail sent to Camusat….Power status check ongoing</t>
  </si>
  <si>
    <t>30.03.2026 CAMUSAT: Grid outage grid only site ESCALADE L3 CAMUSAT : probleme de dijoncteur sur site ETR=12H 
29.03.2026 CAMUSAT: Grid outage grid only site / vérification de la continuté ETR 30min escalade L2 CAMUSAT 
29.03.2026 CAMUSAT: Grid outage grid only site /awaiting grid return….30.03.2026 CAMUSAT: Grid outage grid only site ESCALADE L3 CAMUSAT : probleme de dijoncteur sur site ETR=12H 
29.03.2026 CAMUSAT: Grid outage grid only site / vérification de la continuté ETR 30min escalade L2 CAMUSAT 
29.03.2026 CAMUSAT: Grid outage grid only site /awaiting grid return….30.03.2026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</si>
  <si>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30.03.2026 CAMUSAT Grid outage grid only site ESCALADE L3 CAMUSAT probleme de dijoncteur sur site ETR=12H 29.03.2026 CAMUSAT Grid outage grid only site vérification de la continuté ETR 30min escalade L2 CAMUSAT 29.03.2026 CAMUSAT Grid outage grid only site awaiting grid return….30.03.2026 CAMUSAT Grid outage grid only site ESCALADE L3 CAMUSAT probleme de dijoncteur sur site ETR=12H 29.03.2026 CAMUSAT Grid outage grid only site vérification de la continuté ETR 30min escalade L2 CAMUSAT 29.03.2026 CAMUSAT Grid outage grid only site awaiting grid return….30.03.2026 CAMUSAT Grid outage grid only site ESCALADE L3 CAMUSAT probleme de dijoncteur sur site ETR=12H 29.03.2026 CAMUSAT Grid outage grid only site vérification de la continuté ETR 30min escalade L2 CAMUSAT 29.03.2026 CAMUSAT Grid outage grid only site awaiting grid return</t>
  </si>
  <si>
    <t>Bayangam</t>
  </si>
  <si>
    <t>OST_051</t>
  </si>
  <si>
    <t>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</si>
  <si>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28/03/2026 suite d'intervention ce jour 1/3 RRU UP après swap du SFP côté BBU. Le deux autres restent down après swap des SFP. Impossible pour nous d'investiguer sur le pylône actuellement pour cause de pluie. La suite de l'intervention se fera demain matin premières heures. 27/03/2026 FME active Suite d'intervention demain pour check en hauteur 26/03/2026 Besoin d'analyse BO RAN FME should check Connectivity between BBU and RRU 60/61/80/81….28/03/2026 suite d'intervention ce jour 1/3 RRU UP après swap du SFP côté BBU. Le deux autres restent down après swap des SFP. Impossible pour nous d'investiguer sur le pylône actuellement pour cause de pluie. La suite de l'intervention se fera demain matin premières heures. 27/03/2026 FME active Suite d'intervention demain pour check en hauteur 26/03/2026 Besoin d'analyse BO RAN FME should check Connectivity between BBU and RRU 60/61/80/81</t>
  </si>
  <si>
    <t>30/03/2026 : FME active….30/03/2026 : FME active</t>
  </si>
  <si>
    <t>30/03/2026 FME active….30/03/2026 FME active</t>
  </si>
  <si>
    <t>Menganme-Camtel</t>
  </si>
  <si>
    <t>CTR_142</t>
  </si>
  <si>
    <t>Menganme</t>
  </si>
  <si>
    <t>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t>
  </si>
  <si>
    <t>30/03/2026 Relance faite ce matin au Fme Feedback du Fme Forte pluie actuellement dans toute la zone de NANGA EBOKO Evidence partage 29/03/2026 Besoin d'analyse BO RAN Check and clean jumper, port 1 of RRU 61 Fme active Point pris, intervention planifiée pour demain matin ETA 30032026….30/03/2026 Relance faite ce matin au Fme Feedback du Fme Forte pluie actuellement dans toute la zone de NANGA EBOKO Evidence partage 29/03/2026 Besoin d'analyse BO RAN Check and clean jumper, port 1 of RRU 61 Fme active Point pris, intervention planifiée pour demain matin ETA 30032026….30/03/2026 Relance faite ce matin au Fme Feedback du Fme Forte pluie actuellement dans toute la zone de NANGA EBOKO Evidence partage 29/03/2026 Besoin d'analyse BO RAN Check and clean jumper, port 1 of RRU 61 Fme active Point pris, intervention planifiée pour demain matin ETA 30032026</t>
  </si>
  <si>
    <t>Djangane</t>
  </si>
  <si>
    <t>EST_008</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</si>
  <si>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</si>
  <si>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t>
  </si>
  <si>
    <t>Bantoum-II-IHS</t>
  </si>
  <si>
    <t>OST_301</t>
  </si>
  <si>
    <t>Bantoum</t>
  </si>
  <si>
    <t>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</si>
  <si>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En attente de spare Mail sent to OCM 25/03/2026 Power instability Mail sent to HIS Site vandalise….27/03/2026 En attente de spare Mail sent to OCM 25/03/2026 Power instability Mail sent to HIS Site vandalise….22.03.26;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t>
  </si>
  <si>
    <t>Ma</t>
  </si>
  <si>
    <t>NRO_021</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</si>
  <si>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</si>
  <si>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27/03/2026 26/03/2026 Access clearance on site negotiation ongoing. Intervention planned on 28/03/2026 26/03/2026 Travaux equipe projet en cours 25/03/2026 negociation d'acces en cours 23/03/2026 Ghost town 19/03/2026 Negociation d'acces en cours ETA 20032026 17/03/2026 Negociation d'acces en cours 16/03/2026 need BO RAN analysis Closed after reset but check and replace FXED module….27/03/2026 26/03/2026 Access clearance on site negotiation ongoing. Intervention planned on 28/03/2026 26/03/2026 Travaux equipe projet en cours 25/03/2026 negociation d'acces en cours 23/03/2026 Ghost town 19/03/2026 Negociation d'acces en cours ETA 20032026 17/03/2026 Negociation d'acces en cours 16/03/2026 need BO RAN analysis Closed after reset but check and replace FXED module….27/03/2026 26/03/2026 Access clearance on site negotiation ongoing. Intervention planned on 28/03/2026 26/03/2026 Travaux equipe projet en cours 25/03/2026 negociation d'acces en cours 23/03/2026 Ghost town 19/03/2026 Negociation d'acces en cours ETA 20032026 17/03/2026 Negociation d'acces en cours 16/03/2026 need BO RAN analysis Closed after reset but check and replace FXED module….27/03/2026 26/03/2026 Access clearance on site negotiation ongoing. Intervention planned on 28/03/2026 26/03/2026 Travaux equipe projet en cours 25/03/2026 negociation d'acces en cours 23/03/2026 Ghost town 19/03/2026 Negociation d'acces en cours ETA 20032026 17/03/2026 Negociation d'acces en cours 16/03/2026 need BO RAN analysis Closed after reset but check and replace FXED module</t>
  </si>
  <si>
    <t>Mbot</t>
  </si>
  <si>
    <t>NRO_246</t>
  </si>
  <si>
    <t xml:space="preserve">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t>
  </si>
  <si>
    <t>26/03/2026 Travaux equipe projet en cours ETA Ce jour 25/03/2026 check FRGU needed 26/03/2026 Travaux equipe projet en cours ETA Ce jour 25/03/2026 check FRGU needed 26/03/2026 Travaux equipe projet en cours ETA Ce jour 25/03/2026 check FRGU needed 26/03/2026 Travaux equipe projet en cours ETA Ce jour 25/03/2026 check FRGU needed</t>
  </si>
  <si>
    <t>29.03.2026: RM informed and managing to send FME on the site. Note that the site is located under red area
29.03.2026: Power Issue solved but site still down. Need FME on the site to check MPR status as it's not supervised
27/03/2026 FME a pris le point et manage, ETA en attente….30.03.2026: red area negociation escort ongoing
29.03.2026: RM informed and managing to send FME on the site. Note that the site is located under red area
29.03.2026: Power Issue solved but site still down. Need FME on the site to check MPR status as it's not supervised
27/03/2026 FME a pris le point et manage, ETA en attente….29.03.2026: RM informed and managing to send FME on the site. Note that the site is located under red area
29.03.2026: Power Issue solved but site still down. Need FME on the site to check MPR status as it's not supervised
27/03/2026 FME a pris le point et manage, ETA en attente</t>
  </si>
  <si>
    <t>29.03.2026 RM informed and managing to send FME on the site. Note that the site is located under red area 29.03.2026 Power Issue solved but site still down. Need FME on the site to check MPR status as it's not supervised 27/03/2026 FME a pris le point et manage, ETA en attente….30.03.2026 red area negociation escort ongoing 29.03.2026 RM informed and managing to send FME on the site. Note that the site is located under red area 29.03.2026 Power Issue solved but site still down. Need FME on the site to check MPR status as it's not supervised 27/03/2026 FME a pris le point et manage, ETA en attente….29.03.2026 RM informed and managing to send FME on the site. Note that the site is located under red area 29.03.2026 Power Issue solved but site still down. Need FME on the site to check MPR status as it's not supervised 27/03/2026 FME a pris le point et manage, ETA en attente</t>
  </si>
  <si>
    <t>Ekata-IHS</t>
  </si>
  <si>
    <t>SUO_266</t>
  </si>
  <si>
    <t>Bavenga</t>
  </si>
  <si>
    <t xml:space="preserve">30/03/2026 IHS:  ACCESS DENIED BY LOCAL BOYS. Escalade L3 IHS 
29.03.2026 IHS: FME Gerald is unreachable; IENG Ibrahim is managing. Escalade L2 IHS ….30/03/2026 IHS:  ACCESS DENIED BY LOCAL BOYS. Escalade L3 IHS 
29.03.2026 IHS: FME Gerald is unreachable; IENG Ibrahim is managing. Escalade L2 IHS ….30/03/2026 IHS:  ACCESS DENIED BY LOCAL BOYS. Escalade L3 IHS 
29.03.2026 IHS: FME Gerald is unreachable; IENG Ibrahim is managing. Escalade L2 IHS </t>
  </si>
  <si>
    <t>30/03/2026 IHS ACCESS DENIED BY LOCAL BOYS. Escalade L3 IHS 29.03.2026 IHS FME Gerald is unreachable; IENG Ibrahim is managing. Escalade L2 IHS 30/03/2026 IHS ACCESS DENIED BY LOCAL BOYS. Escalade L3 IHS 29.03.2026 IHS FME Gerald is unreachable; IENG Ibrahim is managing. Escalade L2 IHS 30/03/2026 IHS ACCESS DENIED BY LOCAL BOYS. Escalade L3 IHS 29.03.2026 IHS FME Gerald is unreachable; IENG Ibrahim is managing. Escalade L2 IHS</t>
  </si>
  <si>
    <t>30/03/2026 ghost town / technician will be on site tomorrown….Power status check ongoing</t>
  </si>
  <si>
    <t>30/03/2026 ghost town technician will be on site tomorrown….Power status check ongoing</t>
  </si>
  <si>
    <t xml:space="preserve">
30/03/2026 :Ghost town
28/03/2026 : Probleme d'access
27/03/2026  : Access not granted for now we keep trying
26/03/2026 : Check breaker and  interconnection(sfp, optical fiber) between system and radio module, swap its if needed || || Pas d'access, et de visisbilite ….
30/03/2026 :Ghost town
28/03/2026 : Probleme d'access
27/03/2026  : Access not granted for now we keep trying
26/03/2026 : Check breaker and  interconnection(sfp, optical fiber) between system and radio module, swap its if needed || Pas d'access, et de visisbilite ….
30/03/2026 :Ghost town
28/03/2026 : Probleme d'access
27/03/2026  : Access not granted for now we keep trying
26/03/2026 : Check breaker and  interconnection(sfp, optical fiber) between system and radio module, swap its if needed || || Pas d'access, et de visisbilite ….
30/03/2026 :Ghost town
28/03/2026 : Probleme d'access
27/03/2026  : Access not granted for now we keep trying
26/03/2026 : Check breaker and  interconnection(sfp, optical fiber) between system and radio module, swap its if needed || || Pas d'access, et de visisbilite </t>
  </si>
  <si>
    <t>30/03/2026 Ghost town 28/03/2026 Probleme d'access 27/03/2026 Access not granted for now we keep trying 26/03/2026 Check breaker and interconnection(sfp, optical fiber) between system and radio module, swap its if needed Pas d'access, et de visisbilite 30/03/2026 Ghost town 28/03/2026 Probleme d'access 27/03/2026 Access not granted for now we keep trying 26/03/2026 Check breaker and interconnection(sfp, optical fiber) between system and radio module, swap its if needed Pas d'access, et de visisbilite 30/03/2026 Ghost town 28/03/2026 Probleme d'access 27/03/2026 Access not granted for now we keep trying 26/03/2026 Check breaker and interconnection(sfp, optical fiber) between system and radio module, swap its if needed Pas d'access, et de visisbilite 30/03/2026 Ghost town 28/03/2026 Probleme d'access 27/03/2026 Access not granted for now we keep trying 26/03/2026 Check breaker and interconnection(sfp, optical fiber) between system and radio module, swap its if needed Pas d'access, et de visisbilite</t>
  </si>
  <si>
    <t>SONGKOLONG-IHS</t>
  </si>
  <si>
    <t>NRO_094</t>
  </si>
  <si>
    <t>Songkolong</t>
  </si>
  <si>
    <t>INC-20260330-00005702.,,Others Transmission equipement fault</t>
  </si>
  <si>
    <t>ADM_098_N_Maakola-MTN-IHS</t>
  </si>
  <si>
    <t>ADM_098</t>
  </si>
  <si>
    <t>Maakola</t>
  </si>
  <si>
    <t>INC-20260330-00005664.,,Others Transmission equipement fault</t>
  </si>
  <si>
    <t xml:space="preserve">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t>
  </si>
  <si>
    <t>30/03/2026 need BO RAN analysis Check and replace FBBC module if needed Ghost town 30/03/2026 need BO RAN analysis Check and replace FBBC module if needed Ghost town 30/03/2026 need BO RAN analysis Check and replace FBBC module if needed Ghost town 30/03/2026 need BO RAN analysis Check and replace FBBC module if needed Ghost town</t>
  </si>
  <si>
    <t>site down….site down….site down….Power status check ongoing….INC-20260330-00009069.,,2026-03-30 14:43:06.,,Power issue sur le site, le site est remonté après une intervention de la ressource IHS ..,,Others Transmission equipement fault</t>
  </si>
  <si>
    <t>site down….site down….site down….Power status check ongoing….,,2026-03-30 14 43 06.,,Power issue sur le site, le site est remonté après une intervention de la ressource IHS</t>
  </si>
  <si>
    <t>Endom</t>
  </si>
  <si>
    <t>CTR_225</t>
  </si>
  <si>
    <t>Power status check ongoing….INC-20260330-00009235.,,2026-03-30 14:57:18.,,Merci de dépêcher un FME à ENDOM pour vérifier l'environnement du site, le statut MPR et la chaine antenaire.,,Site instable depuis le début des pluies, la cause de l'indisponibilité reste inconnue, une investigation est en cours pour comprendre l'origine de l'indisponibilité..,,Others Transmission equipement fault</t>
  </si>
  <si>
    <t>Power status check ongoing….,,2026-03-30 14 57 18.,,Merci de dépêcher un FME à ENDOM pour vérifier l'environnement du site, le statut MPR et la chaine antenaire.,,Site instable depuis le début des pluies, la cause de l'indisponibilité reste inconnue, une investigation est en cours pour comprendre l'origine de l'indisponibilité.,,</t>
  </si>
  <si>
    <t>Mamfe-Camtel</t>
  </si>
  <si>
    <t>SUO_245</t>
  </si>
  <si>
    <t>INC-20260330-00012922.,,Others Transmission equipement fault</t>
  </si>
  <si>
    <t>Obokoue-I</t>
  </si>
  <si>
    <t>CTR_906</t>
  </si>
  <si>
    <t>30/03/2026 : Power issue : Mail sent to Camusat….30/03/2026 : Power issue : Mail sent to Camusat</t>
  </si>
  <si>
    <t>30/03/2026 Power issue Mail sent to Camusat….30/03/2026 Power issue Mail sent to Camusat</t>
  </si>
  <si>
    <t>Mankouotmbou</t>
  </si>
  <si>
    <t>OST_245</t>
  </si>
  <si>
    <t>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t>
  </si>
  <si>
    <t>30/03/2026 FME active Intervention ce jour 29/03/2029 Commande de la F.O passe ETA Ce jour 27/03/2026 ETD ce jour 26/03/2026 Apres intervention hier F.O faulty FME active 25/03/2026 ETA 14h 24//03/2026 FRGU faulty cde en cours….30/03/2026 FME active Intervention ce jour 29/03/2029 Commande de la F.O passe ETA Ce jour 27/03/2026 ETD ce jour 26/03/2026 Apres intervention hier F.O faulty FME active 25/03/2026 ETA 14h 24//03/2026 FRGU faulty cde en cours….30/03/2026 FME active Intervention ce jour 29/03/2029 Commande de la F.O passe ETA Ce jour 27/03/2026 ETD ce jour 26/03/2026 Apres intervention hier F.O faulty FME active 25/03/2026 ETA 14h 24//03/2026 FRGU faulty cde en cours….30/03/2026 FME active Intervention ce jour 29/03/2029 Commande de la F.O passe ETA Ce jour 27/03/2026 ETD ce jour 26/03/2026 Apres intervention hier F.O faulty FME active 25/03/2026 ETA 14h 24//03/2026 FRGU faulty cde en cours</t>
  </si>
  <si>
    <t>29/03/2026 : need BO RAN analysis || 3G and 4G cells down =&gt; Transmission investigation needed….29/03/2026 : need BO RAN analysis || 3G and 4G cells down =&gt; Transmission investigation needed</t>
  </si>
  <si>
    <t>29/03/2026 need BO RAN analysis 3G and 4G cells down Transmission investigation needed….29/03/2026 need BO RAN analysis 3G and 4G cells down Transmission investigation needed</t>
  </si>
  <si>
    <t>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t>
  </si>
  <si>
    <t>30/03/2026 Check and clean jumper on FXDB antenna port 5 and ARGA antenna port 1 Ghost town….30/03/2026 Check and clean jumper on FXDB antenna port 5 and ARGA antenna port 1 Ghost town….30/03/2026 Check and clean jumper on FXDB antenna port 5 and ARGA antenna port 1 Ghost town….30/03/2026 Check and clean jumper on FXDB antenna port 5 and ARGA antenna port 1 Ghost town</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</si>
  <si>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</si>
  <si>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</si>
  <si>
    <t>NRO_147_H_Bambili-Campus-two-IHS</t>
  </si>
  <si>
    <t>NRO_147</t>
  </si>
  <si>
    <t>Hybrid Gen</t>
  </si>
  <si>
    <t>NRO</t>
  </si>
  <si>
    <t>Tubah</t>
  </si>
  <si>
    <t>INC-20260330-00015914.,,2026-03-31 02:40:11.,,FME is managing with the level zero Insecurity area.,,Auto TT closure RCA.,,GE Fault</t>
  </si>
  <si>
    <t>2026-03-31 02 40 11.,,FME is managing with the level zero Insecurity area.,,Auto TT closure RCA.,,GE Fault</t>
  </si>
  <si>
    <t>Bberi-Abattoir</t>
  </si>
  <si>
    <t>LIT_346</t>
  </si>
  <si>
    <t xml:space="preserve">INC-20260330-00011474.,,2026-03-30 23:47:13.,,Zone insécurisé, le FME se rendra sur site a la première heure le matin.,,Power issue 
Équipe Camusat suit le point </t>
  </si>
  <si>
    <t>2026-03-30 23 47 13.,,Zone insécurisé, le FME se rendra sur site a la première heure le matin.,,Power issue Équipe Camusat suit le point</t>
  </si>
  <si>
    <t>Kosseoua</t>
  </si>
  <si>
    <t>EXN_244</t>
  </si>
  <si>
    <t>30/03/2026 : Power issue ||Camusat sent to HIS</t>
  </si>
  <si>
    <t>30/03/2026 Power issue Camusat sent to HIS</t>
  </si>
  <si>
    <t>Meidjamba-MTN</t>
  </si>
  <si>
    <t>ADM_054</t>
  </si>
  <si>
    <t>Meidjamba</t>
  </si>
  <si>
    <t>INC-20260330-00014790.,,generator refuse to start .,,Others Transmission equipement fault</t>
  </si>
  <si>
    <t>generator refuse to start</t>
  </si>
  <si>
    <t>Dziguilao</t>
  </si>
  <si>
    <t>EXN_074</t>
  </si>
  <si>
    <t>29/03/2026 : need BO RAN analysis ||  FME should check and clean jumper, port 0 of RRU 71….29/03/2026 : need BO RAN analysis ||  FME should check and clean jumper, port 0 of RRU 71</t>
  </si>
  <si>
    <t>29/03/2026 need BO RAN analysis FME should check and clean jumper, port 0 of RRU 71….29/03/2026 need BO RAN analysis FME should check and clean jumper, port 0 of RRU 71</t>
  </si>
  <si>
    <t>INC-20260330-00009030.,,2026-03-30 15:29:52.,,Nous constatons l'indisponibilité de APOUH dû à un probable souci d'énergie.
Merci de vérifier l'énergie à APOUH.
Si énergie ok, dépêcher un FME pour investigation sur site et troubleshooting au besoin avec le BO..,,power issue observed IHS support is managing it we are following up .,,Others Transmission equipement fault</t>
  </si>
  <si>
    <t>2026-03-30 15 29 52.,,Nous constatons l'indisponibilité de APOUH dû à un probable souci d'énergie. Merci de vérifier l'énergie à APOUH. Si énergie ok, dépêcher un FME pour investigation sur site et troubleshooting au besoin avec le BO.,,power issue observed IHS support is managing it we are following up</t>
  </si>
  <si>
    <t>Badjouma</t>
  </si>
  <si>
    <t>NRD_026</t>
  </si>
  <si>
    <t xml:space="preserve"> 30/03/2026 : Check Connectivite entre BBU &amp; RRU/Check FO ou SFP</t>
  </si>
  <si>
    <t>30/03/2026 Check Connectivite entre BBU RRU/Check FO ou SFP</t>
  </si>
  <si>
    <t>MENGUE-BIBEY-IHS</t>
  </si>
  <si>
    <t>CTR_870</t>
  </si>
  <si>
    <t>Mengue Bibey</t>
  </si>
  <si>
    <t xml:space="preserve">INC-20260330-00007960.,,2026-03-30 13:14:21.,,besoin d'un fme sur pour verifier le status du BBU fme activé ETA asap.,,probleme d energie Les equipments ne sont Pas alimentés </t>
  </si>
  <si>
    <t>2026-03-30 13 14 21.,,besoin d'un fme sur pour verifier le status du BBU fme activé ETA asap.,,probleme d energie Les equipments ne sont Pas alimentés</t>
  </si>
  <si>
    <t>Elogbatindi</t>
  </si>
  <si>
    <t>SUO_037</t>
  </si>
  <si>
    <t>30/03/2026 : Power issue || Mail sent to HIS || Feedback IHS : Investigation encours , on vous reviens avec plus de details dans un moment….INC-20260330-00006259.,,end of work.,,GE Fault.,,GRID outage, fme was on site for MP</t>
  </si>
  <si>
    <t>30/03/2026 Power issue Mail sent to HIS Feedback IHS Investigation encours on vous reviens avec plus de details dans un moment….,,end of work.,,GE Fault.,,GRID outage, fme was on site for MP</t>
  </si>
  <si>
    <t>Ndjole</t>
  </si>
  <si>
    <t>CTR_893</t>
  </si>
  <si>
    <t>30/03/2029 : Besoin d'analyse BO RAN….30/03/2029 : Besoin d'analyse BO RAN….30/03/2029 : Besoin d'analyse BO RAN || Check and clean jumper, port 7 of RRU 61</t>
  </si>
  <si>
    <t>30/03/2029 Besoin d'analyse BO RAN….30/03/2029 Besoin d'analyse BO RAN….30/03/2029 Besoin d'analyse BO RAN Check and clean jumper, port 7 of RRU 61</t>
  </si>
  <si>
    <t>Minisite-Soa</t>
  </si>
  <si>
    <t>CTR_689</t>
  </si>
  <si>
    <t>INC-20260330-00012921.,,Others Transmission equipement fault</t>
  </si>
  <si>
    <t>LIT_029</t>
  </si>
  <si>
    <t>INC-20260330-00006581.,, tuyau à remplacer.,,GE Fault.,,prise d'air, tuyau flexible percé</t>
  </si>
  <si>
    <t>tuyau à remplacer.,,GE Fault.,,prise d'air, tuyau flexible percé</t>
  </si>
  <si>
    <t>4/31/2026</t>
  </si>
  <si>
    <t>site down..;site down..;site down..;31/03/2026 Micro SD faulty en attente de la licence 
31/03/2026 FME activé ETA = 11H UTC || FME BEAUCLAIR sur site travaux en cours avec le BO DAYAN NARCISSE 
30/03/2026Feedback Camusat:  TECHNICIAN IS ON THE WAY eta 16h55..;31/03/2026 Micro SD faulty 
31/03/2026 FME activé ETA = 11H UTC || FME BEAUCLAIR sur site travaux en cours avec le BO DAYAN NARCISSE 
30/03/2026Feedback Camusat:  TECHNICIAN IS ON THE WAY eta 16h55..;31/03/2026 FME activé ETA = 11H UTC 
30/03/2026Feedback Camusat:  TECHNICIAN IS ON THE WAY eta 16h55..;INC-20260331-00013899...2026-03-31 23:42:43...BO Tx Analysis ongoing
Power issue resolved U=48V load=54.99A/No action done...fme on  site working .
site down. 
micro sm replacement ongoing .
power on site not good.
generator not good.
Eneo not good.</t>
  </si>
  <si>
    <t>site down.;site down.;site down.;31/03/2026 Micro SD faulty en attente de la licence 31/03/2026 FME activé ETA 11H UTC FME BEAUCLAIR sur site travaux en cours avec le BO DAYAN NARCISSE 30/03/2026Feedback Camusat TECHNICIAN IS ON THE WAY eta 16h55.;31/03/2026 Micro SD faulty 31/03/2026 FME activé ETA 11H UTC FME BEAUCLAIR sur site travaux en cours avec le BO DAYAN NARCISSE 30/03/2026Feedback Camusat TECHNICIAN IS ON THE WAY eta 16h55.;31/03/2026 FME activé ETA 11H UTC 30/03/2026Feedback Camusat TECHNICIAN IS ON THE WAY eta 16h55.;.2026-03-31 23 42 43.BO Tx Analysis ongoing Power issue resolved U=48V load=54.99A/No action done.fme on site working site down. micro sm replacement ongoing power on site not good. generator not good. Eneo not good.</t>
  </si>
  <si>
    <t>site down..;site down..;30/03/2026 Camusat: Grid outage, Grid only site / Grid return awaited..;30/03/2026 Camusat; Grid outage / Grid return awaited..;30/03/2026 Camusat; Grid outage / Grid return awaited..;INC-20260331-00004559...2026-03-31 09:23:30...Grid outage, Grid only site / Grid return awaited</t>
  </si>
  <si>
    <t>site down.;site down.;30/03/2026 Camusat Grid outage, Grid only site Grid return awaited.;30/03/2026 Camusat; Grid outage Grid return awaited.;30/03/2026 Camusat; Grid outage Grid return awaited.;.2026-03-31 09 23 30.Grid outage, Grid only site Grid return awaited</t>
  </si>
  <si>
    <t>01/04/2026 : grid outage
30/03/2026 : Besoin d'analyse BO RAN
28/03/2026 : Besoin d'analyse BO RAN || Transmission investrigation neeeded..;31/03/2026 : Besoin d'analyse BO RAN</t>
  </si>
  <si>
    <t>01/04/2026 grid outage 30/03/2026 Besoin d'analyse BO RAN 28/03/2026 Besoin d'analyse BO RAN Transmission investrigation neeeded.;31/03/2026 Besoin d'analyse BO RAN</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</si>
  <si>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</si>
  <si>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30/03/2026 Power issue Mail sent to HIS Check connectors and optical fiber of RRU Site vendaliser 30/03/2026 Power issue Mail sent to HIS Check connectors and optical fiber of RRU Site vendaliser 30/03/2026 Power issue Mail sent to HIS Check connectors and optical fiber of RRU Site vendaliser</t>
  </si>
  <si>
    <t>01/04/2026 grid ouatge grid only site no space awaited grid return     site down..;site down</t>
  </si>
  <si>
    <t>01/04/2026 grid ouatge grid only site no space awaited grid return site down.;site down</t>
  </si>
  <si>
    <t>26/03/2026 : site down..;26/03/2026 : site down..;31/03/2026 negociation d 'accès toujours en cours 
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L2)..;31/03/2026 negociation d 'accès toujours en cours 
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</si>
  <si>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26/03/2026 site down.;26/03/2026 site down.;31/03/2026 negociation d accès toujours en cours 30/03/2026 negociation d accès toujours en cours 30/03/2026 29.03.2026 CAMUSAT Accès refuser par la sécurité Residence occupé par les Americains la sécurité demande de passer aux heures de maintenances habituel recherche de solution en cours 29.03.2026 CAMUSAT Accès refuser par la sécurité Residence occupé par les Americains la sécurité demande de passer aux heures de maintenances habituel recherche de solution en cours 27.03.26; Grid outage, Grid only site Grid return awaited escalade L4) 27.03.26; Grid outage, Grid only site Grid return awaited escalade L3) 26.03.26; Grid outage, Grid only site Grid return awaited escalade L2).;31/03/2026 negociation d accès toujours en cours 30/03/2026 negociation d accès toujours en cours 30/03/2026 29.03.2026 CAMUSAT Accès refuser par la sécurité Residence occupé par les Americains la sécurité demande de passer aux heures de maintenances habituel recherche de solution en cours 29.03.2026 CAMUSAT Accès refuser par la sécurité Residence occupé par les Americains la sécurité demande de passer aux heures de maintenances habituel recherche de solution en cours 27.03.26; Grid outage, Grid only site Grid return awaited escalade L4) 27.03.26; Grid outage, Grid only site Grid return awaited escalade L3) 26.03.26; Grid outage, Grid only site Grid return awaited escalade L2)</t>
  </si>
  <si>
    <t>Brazzaville</t>
  </si>
  <si>
    <t>LIT_081</t>
  </si>
  <si>
    <t xml:space="preserve">31/03/2026 Carte EAC  (3DB19417AA ) faulty commande passé UPDATE dans 1H 
31/03/2026 FME à l'entrée du site problème d'acces escaladé à Romuald IHS ..;31/03/2026 FME à l'entrée du site problème d'acces escaladé à Romuald IHS ..;Power status check ongoing..;INC-20260331-00005490...2026-04-01 08:28:21...01/04/2026 Carte EAC  (3DB19417AA ) non disponible au warehouse expedition depuis Yaounde aujourd'hui ETD = 02/04/2026...power Grid outage here the power guy taken point </t>
  </si>
  <si>
    <t>31/03/2026 Carte EAC 3DB19417AA faulty commande passé UPDATE dans 1H 31/03/2026 FME à l'entrée du site problème d'acces escaladé à Romuald IHS 31/03/2026 FME à l'entrée du site problème d'acces escaladé à Romuald IHS 2026-04-01 08 28 21.01/04/2026 Carte EAC 3DB19417AA non disponible au warehouse expedition depuis Yaounde aujourd'hui ETD 02/04/2026.power Grid outage here the power guy taken point</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</si>
  <si>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</si>
  <si>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51.;25/03/2026 En attente de spare 21/03/2026 Commande en cours 19/03/2026 SPMS attendues de OCM 18/03/2026 Relance faite 17/03/2026 Point transmis a OCM par le SPM 16/03/2026 Site vandalise 15/03/2026 FME active ETA 13H intervention en cours remplacement des cables power vandalise 14/03/2026 Check RRU 51</t>
  </si>
  <si>
    <t>DEIDO-MARCHE</t>
  </si>
  <si>
    <t>LIT_651</t>
  </si>
  <si>
    <t>site down..;site down..;31/03/2026 Grid outage, Grid only site / Grid return awaited..;Grid outage, Grid only site / Grid return awaited..;Power status check ongoing..;INC-20260331-00006133...2026-03-31 11:16:19...Grid outage, Grid only site / Grid return awaited</t>
  </si>
  <si>
    <t>site down.;site down.;31/03/2026 Grid outage, Grid only site Grid return awaited.;Grid outage, Grid only site Grid return awaited.;.2026-03-31 11 16 19.Grid outage, Grid only site Grid return awaited</t>
  </si>
  <si>
    <t>site down..;site down..;31/03/2026 Grid outage, Grid only site / Grid return awaited..;Grid outage, Grid only site / Grid return awaited..;Power status check ongoing..;INC-20260331-00006257...2026-03-31 23:30:58...BO Tx Analysis ongoing
Grid return since 17:25 but site is still down. please sent TX technician on site</t>
  </si>
  <si>
    <t>site down.;site down.;31/03/2026 Grid outage, Grid only site Grid return awaited.;Grid outage, Grid only site Grid return awaited.;.2026-03-31 23 30 58.BO Tx Analysis ongoing Grid return since 17 25 but site is still down. please sent TX technician on site</t>
  </si>
  <si>
    <t>site down..;INC-20260331-00012624...2026-03-31 18:49:30...Grid outage, Grid only site / Grid return awaited</t>
  </si>
  <si>
    <t>site down.;.2026-03-31 18 49 30.Grid outage, Grid only site Grid return awaited</t>
  </si>
  <si>
    <t>INC-20260331-00012579...2026-03-31 23:18:19...Grid only, No space // FME will be on site in the morning...Others</t>
  </si>
  <si>
    <t>2026-03-31 23 18 19.Grid only, No space FME will be on site in the morning.Others</t>
  </si>
  <si>
    <t>site down..;Power status check ongoing..;31.03.26; IHS; (Unstable) 02 /03 phases mssing (escalade L4)
30.03.26; IHS; (Unstable) 02 /03 phases mssing (escalade L3)
29.03.26; IHS; (Unstable) 02 /03 phases mssing (escalade L3)
29.03.26; IHS; (Unstable) 02 /03 phases mssing (escalade L2)..;31.03.26; IHS; (Unstable) 02 /03 phases mssing (escalade L4)
30.03.26; IHS; (Unstable) 02 /03 phases mssing (escalade L3)
29.03.26; IHS; (Unstable) 02 /03 phases mssing (escalade L3)
29.03.26; IHS; (Unstable) 02 /03 phases mssing (escalade L2)..;INC-20260331-00010993...2026-03-31 23:17:18...Grid only, No space // Awaiting grid return...power issue here we have Bad voltage here ...Others Transmission equipement fault</t>
  </si>
  <si>
    <t>site down.;Power status check ongoing.;31.03.26; IHS; Unstable) 02 03 phases mssing escalade L4) 30.03.26; IHS; Unstable) 02 03 phases mssing escalade L3) 29.03.26; IHS; Unstable) 02 03 phases mssing escalade L3) 29.03.26; IHS; Unstable) 02 03 phases mssing escalade L2).;31.03.26; IHS; Unstable) 02 03 phases mssing escalade L4) 30.03.26; IHS; Unstable) 02 03 phases mssing escalade L3) 29.03.26; IHS; Unstable) 02 03 phases mssing escalade L3) 29.03.26; IHS; Unstable) 02 03 phases mssing escalade L2).;.2026-03-31 23 17 18.Grid only, No space Awaiting grid return.power issue here we have Bad voltage here</t>
  </si>
  <si>
    <t>31/03/2026 : Power issue || Mail sent to IHS..;31/03/2026 : Power issue || Mail sent to IHS..;31/03/2026 : Power issue || Mail sent to IHS..;31/03/2026 Feedback IHS :Solar Only, Solar return is awaited..;Power status check ongoing..;INC-20260331-00008435...2026-03-31 14:26:02...Grid outage awaiting grid returned...Others</t>
  </si>
  <si>
    <t>31/03/2026 Power issue Mail sent to IHS.;31/03/2026 Power issue Mail sent to IHS.;31/03/2026 Power issue Mail sent to IHS.;31/03/2026 Feedback IHS Solar Only, Solar return is awaited.;.2026-03-31 14 26 02.Grid outage awaiting grid returned.Others</t>
  </si>
  <si>
    <t xml:space="preserve">31/03/2026  grid outage awaiting grid returned..;grid outage awaiting grid returned..;INC-20260331-00008274...2026-03-31 21:30:09...AOF LIT_095_Z_Newb-Srce-Quartier&lt;&gt;LIT_053_Z_Shell-Newbell down, CDS activé pour restauration, update ASAP...SD card has problem we are manage to change </t>
  </si>
  <si>
    <t>31/03/2026 grid outage awaiting grid returned.;grid outage awaiting grid returned.;.2026-03-31 21 30 09.AOF LIT_095_Z_Newb-Srce-Quartier&lt;&gt;LIT_053_Z_Shell-Newbell down, CDS activé pour restauration, update ASAP.SD card has problem we are manage to change</t>
  </si>
  <si>
    <t>PK17-University-IHS</t>
  </si>
  <si>
    <t>LIT_234</t>
  </si>
  <si>
    <t xml:space="preserve">AOF DOWN UP APRES RACCORDEMENT </t>
  </si>
  <si>
    <t>AOF DOWN UP APRES RACCORDEMENT</t>
  </si>
  <si>
    <t xml:space="preserve">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 expedition de l ODU 3DB29118AB EN cours ETD=31/03/2026  || FME sur site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..;31/03/2026expedition de l ODU 3DB29118AB EN cours ETD=31/03/2026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</si>
  <si>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31/03/2026 expedition de l ODU 3DB29118AB EN cours ETD=31/03/2026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 expedition de l ODU 3DB29118AB EN cours ETD=31/03/2026 FME sur site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31/03/2026expedition de l ODU 3DB29118AB EN cours ETD=31/03/2026 30/03/2026 expedition de l ODU 3DB29118AB EN cours ETD=30/03/2026 29.03.2026 FME on the site after investigation repport ODU Faulty Commande en cours 28.03.2026 Power Issue solved but site remain down. Need FME on the site for troubleshooting 27/03/2026 Power issue en attente de retour IHS</t>
  </si>
  <si>
    <t>01/04/2026 powr issue ….Power status check ongoing</t>
  </si>
  <si>
    <t>01/04/2026 powr issue Power status check ongoing</t>
  </si>
  <si>
    <t>24/03/2026 : Need  BO RAN analysis ..;24/03/2026 : Need  BO RAN analysis ..;24/03/2026 : Need  BO RAN analysis ..;Power status check ongoing..;Power status check ongoing..;INC-20260331-00014308...GE Fault</t>
  </si>
  <si>
    <t>24/03/2026 Need BO RAN analysis 24/03/2026 Need BO RAN analysis 24/03/2026 Need BO RAN analysis Power status check ongoing.;.GE Fault</t>
  </si>
  <si>
    <t>site down..;site down..;31.03.2026 CAMUSAT: Grid outage no space. Awaiting grid return</t>
  </si>
  <si>
    <t>site down.;site down.;31.03.2026 CAMUSAT Grid outage no space. Awaiting grid return</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</si>
  <si>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needed..;INC-20260331-00002820...Others Transmission equipement fault</t>
  </si>
  <si>
    <t>31/03/2026 Check breaker and interconnection(sfp, optical fiber) between system and radio module, swap its if needed.;31/03/2026 Check breaker and interconnection(sfp, optical fiber) between system and radio module, swap its if needed.;31/03/2026 Check breaker and interconnection(sfp, optical fiber) between system and radio module, swap its if needed.;.</t>
  </si>
  <si>
    <t>OST_406_H_Chefferie-Bangangte</t>
  </si>
  <si>
    <t>OST_406</t>
  </si>
  <si>
    <t>Bangante</t>
  </si>
  <si>
    <t>OST_406_H_Chefferie-Bangangte: tx issue reset MPR</t>
  </si>
  <si>
    <t>OST_406_H_Chefferie-Bangangte tx issue reset MPR</t>
  </si>
  <si>
    <t xml:space="preserve">grid ouatge grid only site no space awaited grid return </t>
  </si>
  <si>
    <t>grid ouatge grid only site no space awaited grid return</t>
  </si>
  <si>
    <t>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t>
  </si>
  <si>
    <t>2703/2026 En aattente de spare 26/03/2026 Besoin d'analyse BO RAN Restauration action ongoing because site was vandalised.;31/03/2026 SFP faulty Acces site bloque par HIS pour remplacement de la SPARE 2703/2026 En aattente de spare 26/03/2026 Besoin d'analyse BO RAN Restauration action ongoing because site was vandalised.;31/03/2026 SFP faulty Acces site bloque par HIS pour remplacement de la SPARE 2703/2026 En aattente de spare 26/03/2026 Besoin d'analyse BO RAN Restauration action ongoing because site was vandalised.;31/03/2026 SFP faulty Acces site bloque par HIS pour remplacement de la SPARE 2703/2026 En aattente de spare 26/03/2026 Besoin d'analyse BO RAN Restauration action ongoing because site was vandalised</t>
  </si>
  <si>
    <t>MUTENGUENE BAGDAD-MTN</t>
  </si>
  <si>
    <t>SUO_225</t>
  </si>
  <si>
    <t>01/04/2026 : : instabilité power point chez MTN…..Power status check ongoing</t>
  </si>
  <si>
    <t>01/04/2026 instabilité power point chez MTN….Power status check ongoing</t>
  </si>
  <si>
    <t>01/04/2026 : : grid outage  …..31/03/2026 : Besoin d'analyse BO RAN</t>
  </si>
  <si>
    <t>01/04/2026 grid outage 31/03/2026 Besoin d'analyse BO RAN</t>
  </si>
  <si>
    <t>23.03.26; UE Relay site, ETR=Mars26..;23.03.26; UE Relay site, ETR=Mars26..;23.03.26; UE Relay site, ETR=Mars26</t>
  </si>
  <si>
    <t>23.03.26; UE Relay site, ETR=Mars26.;23.03.26; UE Relay site, ETR=Mars26.;23.03.26; UE Relay site, ETR=Mars26</t>
  </si>
  <si>
    <t>Bfsam-Bamendzi-II</t>
  </si>
  <si>
    <t>OST_135</t>
  </si>
  <si>
    <t>01/04/2026   grid outage</t>
  </si>
  <si>
    <t>01/04/2026 grid outage</t>
  </si>
  <si>
    <t>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</si>
  <si>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remplacement de L ODU sur site de NGD_CRTV en cours 19.03.2026 Le second ODU a ete recu remplacement en cours sur le site de Trouamala 17/03/2026 ODU 3DB29180AB expedition de Maroua a destination Ngaoundere ETD 19.March.2026 17.03.2026 ODU 3DB29171AA) disponible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 00 PM UTC 10/02/2026 FME sur site power issue escalde L2 camusat 10.02.26; FME en route pour le site, ETA=18H UTC 10.02.26; FME pour vérifier le status de la radio 5.3 et la ligne antenaire à NGD-Trouamala-ADM_058; FME Ndewa activé pour investigations, update ASAP</t>
  </si>
  <si>
    <t>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ASAP..;31.03.2026: FME Seydou will be on the site at 01:00 PM
30.03.26; Besoin d'un FME sur site pour vérifier la chaine antennaire de l'ODU 3.1; CM-20260330-00005550; FME Seydou activé pour investigations, update ASAP..;31.03.2026: FME Seydou will be on the site at 01:00 PM
30.03.26; Besoin d'un FME sur site pour vérifier la chaine antennaire de l'ODU 3.1; CM-20260330-00005550; FME Seydou activé pour investigations, update ASAP</t>
  </si>
  <si>
    <t>31.03.2026 Point ESCALADE au L3 Romuald pour support 31.03.2026 FME Armel nous remonte un souci d'acces sur le site. ESCALADE vers IHS en cours 31.03.2026 FME Seydou will be on the site at 01 00 PM 30.03.26; Besoin d'un FME sur site pour vérifier la chaine antennaire de l'ODU 3.1; FME Seydou activé pour investigations, update ASAP.;31.03.2026 FME Seydou will be on the site at 01 00 PM 30.03.26; Besoin d'un FME sur site pour vérifier la chaine antennaire de l'ODU 3.1; FME Seydou activé pour investigations, update ASAP.;31.03.2026 FME Seydou will be on the site at 01 00 PM 30.03.26; Besoin d'un FME sur site pour vérifier la chaine antennaire de l'ODU 3.1; FME Seydou activé pour investigations, update ASAP</t>
  </si>
  <si>
    <t>01/04/2026 : : 	SITE VANDALISE EN ATTENTE DU MATERIELv.......25.03.26;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</si>
  <si>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01/04/2026 SITE VANDALISE EN ATTENTE DU MATERIELv.25.03.26;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</si>
  <si>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site down..;site down..;31/03/2026 Grid outage, no space to deploy MDG, awaiting grid return..;Power status check ongoing..;INC-20260331-00005524...Others</t>
  </si>
  <si>
    <t>site down.;site down.;31/03/2026 Grid outage, no space to deploy MDG, awaiting grid return.;.Others</t>
  </si>
  <si>
    <t xml:space="preserve">18/03/2026 :Besoin d'analyse BO RAN || Désactivation du pooling des sites (4G) du grand Nord vers Douala et Yaoundé (Huawei) a la demande d'OCM..;Power status check ongoing..;28.03.2026: Power Issue fuel Outage. Site Scelle suite l'incident(mort d'homme) survenu il y'a deux semaines 
27/03/2026 Feedback IHS : FME HERVE says that we have access issue </t>
  </si>
  <si>
    <t>18/03/2026 Besoin d'analyse BO RAN Désactivation du pooling des sites 4G) du grand Nord vers Douala et Yaoundé Huawei) a la demande d'OCM.;Power status check ongoing.;28.03.2026 Power Issue fuel Outage. Site Scelle suite l'incident(mort d'homme) survenu il y'a deux semaines 27/03/2026 Feedback IHS FME HERVE says that we have access issue</t>
  </si>
  <si>
    <t>31.03.2026IHS: fme MAXIM is on site for work (swap MPR) Point ESCALADE AU L2
31.03.2026 IHS: fme MAXIM is on site for work (swap MPR)..;31.03.2026 IHS: fme MAXIM is on site for work (swap MPR)..;31.03.2026 IHS: fme MAXIM is on site for work (swap MPR)..;INC-20260331-00000774...2026-03-31 21:09:37...IHS; Team is still working on site (escalade L3)...incident power sur le site suite à un raté de démarrage du GE</t>
  </si>
  <si>
    <t>31.03.2026IHS fme MAXIM is on site for work swap MPR) Point ESCALADE AU L2 31.03.2026 IHS fme MAXIM is on site for work swap MPR).;31.03.2026 IHS fme MAXIM is on site for work swap MPR).;31.03.2026 IHS fme MAXIM is on site for work swap MPR).;.2026-03-31 21 09 37.IHS; Team is still working on site escalade L3).incident power sur le site suite à un raté de démarrage du GE</t>
  </si>
  <si>
    <t>site down..;site down..;31/03/2026 GRID ONLY NO SPACE AWAITING GRID RETURN..;Power status check ongoing..;INC-20260331-00005283...2026-03-31 11:53:10...
GRID ONLY NO SPACE AWAITING GRID RETURN...Others</t>
  </si>
  <si>
    <t>site down.;site down.;31/03/2026 GRID ONLY NO SPACE AWAITING GRID RETURN.;.2026-03-31 11 53 10. GRID ONLY NO SPACE AWAITING GRID RETURN.Others</t>
  </si>
  <si>
    <t>31/03/2026 : Besoin d'analyse BO RAN..;31/03/2026 : Besoin d'analyse BO RAN || FME should check connectivity of RRU 63 and 71 || FME active..;31/03/2026 : Besoin d'analyse BO RAN || FME should check connectivity of RRU 63 and 71 || FME active ETA: 18H</t>
  </si>
  <si>
    <t>31/03/2026 Besoin d'analyse BO RAN.;31/03/2026 Besoin d'analyse BO RAN FME should check connectivity of RRU 63 and 71 FME active.;31/03/2026 Besoin d'analyse BO RAN FME should check connectivity of RRU 63 and 71 FME active ETA 18H</t>
  </si>
  <si>
    <t>Power status check ongoing..;INC-20260331-00012814...2026-03-31 20:59:54...Grid outage, Grid only site / Grid return awaited...B2B...Others Transmission equipement fault</t>
  </si>
  <si>
    <t>2026-03-31 20 59 54.Grid outage, Grid only site Grid return awaited.B2B.</t>
  </si>
  <si>
    <t>Bfsam-Tamdja</t>
  </si>
  <si>
    <t>OST_019</t>
  </si>
  <si>
    <t>01/04/2026:OST_019 power issue …....Power status check ongoing</t>
  </si>
  <si>
    <t>01/04/2026 OST_019 power issue Power status check ongoing</t>
  </si>
  <si>
    <t xml:space="preserve">31/03/2026 Feedback IHS: 31.7 V	Grid outage, no space to deploy MDG, awaiting grid return..;INC-20260331-00009648...2026-03-31 21:36:00...Besoin d'un FME sur site pour vérifier le statut du MPR; CM-20260331-00005669; FME Eloundou activé pour investigations, update ASAP...no visite </t>
  </si>
  <si>
    <t>31/03/2026 Feedback IHS 31.7 V Grid outage, no space to deploy MDG, awaiting grid return.;.2026-03-31 21 36 00.Besoin d'un FME sur site pour vérifier le statut du MPR; FME Eloundou activé pour investigations, update ASAP.no visite</t>
  </si>
  <si>
    <t>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S1P1&amp;S1P2)..;31/03/2026 Zone rouge negocitaion d acès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</si>
  <si>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S1P1&amp;S1P2).;31/03/2026 Zone rouge negocitaion d acès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S1P1&amp;S1P2)</t>
  </si>
  <si>
    <t>Essu</t>
  </si>
  <si>
    <t>NRO_234</t>
  </si>
  <si>
    <t>ESSU</t>
  </si>
  <si>
    <t>01/04/2026: GRID OUTAGE</t>
  </si>
  <si>
    <t>01/04/2026 GRID OUTAGE</t>
  </si>
  <si>
    <t>01/04/2026: instabilité VSAT …...INC-20260331-00009374...Others Transmission equipement fault</t>
  </si>
  <si>
    <t>01/04/2026 instabilité VSAT</t>
  </si>
  <si>
    <t>Garoua-Roum-Adja-Camp-Sic</t>
  </si>
  <si>
    <t>NRD_084</t>
  </si>
  <si>
    <t>01/04/2026:: grid outage…...31/03/2026 : Site down..;Power status check ongoing..;Power status check ongoing..;Power status check ongoing..;INC-20260331-00014418...Others Transmission equipement fault</t>
  </si>
  <si>
    <t>01/04/2026 grid outage….31/03/2026 Site down.;Power status check ongoing.;Power status check ongoing.;.</t>
  </si>
  <si>
    <t xml:space="preserve">site down..;site down..;site down..;31/03/2026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t>
  </si>
  <si>
    <t>site down.;site down.;site down.;31/03/2026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</si>
  <si>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</si>
  <si>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</si>
  <si>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..;20/03/2026 : Site down ..;20/03/2026 : Site down ..;31/03/2026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</si>
  <si>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20/03/2026 Site down 20/03/2026 Site down 20/03/2026 Site down 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24.03.26; Soucis avec la ligne Eneo Compteur Eneo HS) et impossible de continuer de déployer un GEM de 8H à 18H suite au refus catégorique du bailleur, update ASAP 23.03.26; Soucis avec la ligne Eneo, update ASAP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</si>
  <si>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Indoor-BEAC</t>
  </si>
  <si>
    <t>CTR_878</t>
  </si>
  <si>
    <t>01/04/2026:grid outage ….....Power status check ongoing..;INC-20260331-00000800...Auto TT closure RCA...Others</t>
  </si>
  <si>
    <t>01/04/2026 grid outage Auto TT closure RCA.Others</t>
  </si>
  <si>
    <t>CTR_942_Z_Mbankolo-II</t>
  </si>
  <si>
    <t>CTR_942</t>
  </si>
  <si>
    <t>01/04/2026:_Z_Mbankolo-II: grid outage….....site down..;site down..;site down</t>
  </si>
  <si>
    <t>01/04/2026 _Z_Mbankolo-II grid outage….site down.;site down.;site down</t>
  </si>
  <si>
    <t>31.03.26;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..;INC-20260331-00006736...2026-03-31 11:49:13...phase problem on site...Others Transmission equipement fault</t>
  </si>
  <si>
    <t>31.03.26;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2026-03-31 11 49 13.phase problem on site.</t>
  </si>
  <si>
    <t>site down..;Power status check ongoing..;INC-20260331-00009253...2026-03-31 15:20:20...Grid outage, Grid only site / Grid return awaited...Others</t>
  </si>
  <si>
    <t>site down.;.2026-03-31 15 20 20.Grid outage, Grid only site Grid return awaited.Others</t>
  </si>
  <si>
    <t>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</si>
  <si>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</si>
  <si>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19/03/2026 : Feedback BO Projet : Site down, need check power and ODU. After site restored, need check all RRU status
NEW SITE..;Power status check ongoing</t>
  </si>
  <si>
    <t>19/03/2026 Feedback BO Projet Site down, need check power and ODU. After site restored, need check all RRU status NEW SITE.;Power status check ongoing</t>
  </si>
  <si>
    <t>01/04/2026 grid ouatge grid only site no space awaited grid return ….site down..;Power status check ongoing..;INC-20260331-00006157...2026-03-31 12:45:51...Others</t>
  </si>
  <si>
    <t>01/04/2026 grid ouatge grid only site no space awaited grid return site down.;.2026-03-31 12 45 51.Others</t>
  </si>
  <si>
    <t>01/04/2026 : grid outage Power status check ongoing</t>
  </si>
  <si>
    <t>01/04/2026 grid outage Power status check ongoing</t>
  </si>
  <si>
    <t>Logpom-Denver-City</t>
  </si>
  <si>
    <t>LIT_440</t>
  </si>
  <si>
    <t>Power status check ongoing..;INC-20260331-00009935...2026-03-31 23:18:06...Impossible d'accéder au site dans la nuit, intervention ce 01.04.26...d'après les analyses du bo, le problème serait au Far End a Logbessou Sodikombo... un autre collègue a pris le point car, je suis occupé a restaurer le site de Bonewonda 3 qui est coupé en ce moment.</t>
  </si>
  <si>
    <t>2026-03-31 23 18 06.Impossible d'accéder au site dans la nuit, intervention ce 01.04.26.d'après les analyses du bo, le problème serait au Far End a Logbessou Sodikombo. un autre collègue a pris le point car, je suis occupé a restaurer le site de Bonewonda 3 qui est coupé en ce moment.</t>
  </si>
  <si>
    <t>Nkong-8Bis-MTN</t>
  </si>
  <si>
    <t>LIT_288</t>
  </si>
  <si>
    <t>Nkongsamba</t>
  </si>
  <si>
    <t xml:space="preserve">01/04/2026: travaux IHS sur site ...... Power status check ongoing..;INC-20260331-00012096...2026-03-31 20:17:29...Besoin d'un FME sur site pour vérifier le statut du MPR et la chaine antennaire de l'ODU 3.1; CM-20260331-00004664; FME Yannick activé pour investigations, update ASAP...Power issue on site managing by IHS </t>
  </si>
  <si>
    <t>01/04/2026 travaux IHS sur site 2026-03-31 20 17 29.Besoin d'un FME sur site pour vérifier le statut du MPR et la chaine antennaire de l'ODU 3.1; FME Yannick activé pour investigations, update ASAP.Power issue on site managing by IHS</t>
  </si>
  <si>
    <t xml:space="preserve">Power status check ongoing..;Power status check ongoing..;INC-20260331-00010670...power </t>
  </si>
  <si>
    <t>Power status check ongoing.;.power</t>
  </si>
  <si>
    <t>Meskin-MTN-IHS</t>
  </si>
  <si>
    <t>EXN_157</t>
  </si>
  <si>
    <t>01/04/2026: Tx issue reset BOARD ...Power status check ongoing..;Power status check ongoing</t>
  </si>
  <si>
    <t>01/04/2026 Tx issue reset BOARD Power status check ongoing.;Power status check ongoing</t>
  </si>
  <si>
    <t>01/04/2026 Tx issue reset BOARD ….Power status check ongoing..;Power status check ongoing..;INC-20260331-00013761...Others Transmission equipement fault</t>
  </si>
  <si>
    <t>01/04/2026 Tx issue reset BOARD Power status check ongoing.;.</t>
  </si>
  <si>
    <t xml:space="preserve">31/03/2026 :  02 redresseurs ajoutés ( 10KW disponible) ||  remplacement effectif Hier || Besoin d'analyse BO RAN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</si>
  <si>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31/03/2026 02 redresseurs ajoutés 10KW disponible) remplacement effectif Hier Besoin d'analyse BO RAN 30/03/2026 Rajout de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 31/03/2026 02 redresseurs ajoutés 10KW disponible) remplacement effectif Hier Besoin d'analyse BO RAN Feedback BO RAN Fme should Plug In Plug Out board VBP_1_8 and observe during 30 min; if NOK Swap board VBP_1_8 with VBP_1_6 and observe during 30min; if still NOK replace faulty board 30/03/2026 Rajout de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 31/03/2026 02 redresseurs ajoutés 10KW disponible) remplacement effectif Hier Besoin d'analyse BO RAN Feedback BO RAN Fme should Plug In Plug Out board VBP_1_8 and observe during 30 min; if NOK Swap board VBP_1_8 with VBP_1_6 and observe during 30min; if still NOK replace faulty board 30/03/2026 Rajout de redresseur ce jour 28/03/2026 Relance faite a camusat ce jour 25/03/2026 Power issue ETR 28032026 24/03/3036 Insuffisance de redresseurs 21/03/2026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Power issue 19/03/2026 Power issue 18/03/2026 Relance faite a camusat Feedback camusat Sur institut samba nous avons des problèmes de Phases récurrente sur site,Entrainant la perte de 4 modules redresseurs, les Redresseurs sont arrivés à YAOUNDE, et le remplacement est prévue pour aujourd’hui. 17/03/2026 Power issue point escalade a OCM 16/03/2026 Relance faite 15/03/2026 Point suivi par le 3PP 14/03/2026 Relance faite Les perturbations de phases sont les causes de ces instabilités sur site perte de phases, baisses de tensions, fluctuations de tensions) Courant de sortie réduit baisse de la tension DC. Surcharge possible des redresseurs restant redresseurs alarmés charge incomplète ou décharge rapide des batteries Le point est escaladé et suivi auprès de ENEO pour normalisation. Par ailleurs pas d’espace disponible pour poser un GE mobile. 13/03/2026 power issue escalade du 3 PP au niveau de Mr. Theophile 12/03/2026 FME active check VBPe1p du slot 6 et 8 ETA 13H Power issue point suivi par le 3PP 07/03/2026 Grid outage, Grid only site Grid restoration awaited. 06/03/2026 power issue mail send to CAMUSAT</t>
  </si>
  <si>
    <t>01/04/2026: grid outage grid only….31/03/2026 : Besoin d'analyse BO RAN</t>
  </si>
  <si>
    <t>01/04/2026 grid outage grid only….31/03/2026 Besoin d'analyse BO RAN</t>
  </si>
  <si>
    <t>H-Progres</t>
  </si>
  <si>
    <t>CTR_017</t>
  </si>
  <si>
    <t>Power status check ongoing..;INC-20260331-00010818...Grid outage // Awaiting grid return...Others</t>
  </si>
  <si>
    <t>Grid outage Awaiting grid return.Others</t>
  </si>
  <si>
    <t>30/03/2026 : Check breaker and  interconnection(sfp, optical fiber) between system and radio module, swap its if needed ||Ghost town..;30/03/2026 : Check breaker and  interconnection(sfp, optical fiber) between system and radio module, swap its if needed ||Ghost town</t>
  </si>
  <si>
    <t>30/03/2026 Check breaker and interconnection(sfp, optical fiber) between system and radio module, swap its if needed Ghost town.;30/03/2026 Check breaker and interconnection(sfp, optical fiber) between system and radio module, swap its if needed Ghost town</t>
  </si>
  <si>
    <t>30/03/2026 : Check breaker and  interconnection(sfp, optical fiber) between system and radio module, swap its if needed ..;30/03/2026 : Check breaker and  interconnection(sfp, optical fiber) between system and radio module, swap its if needed ..;30/03/2026 : Check breaker and  interconnection(sfp, optical fiber) between system and radio module, swap its if needed ..;Power status check ongoing..;INC-20260331-00013045...2026-03-31 21:55:31...Besoin d'un FME sur site pour reset du MPR et si NOK, tshoot avec le BO TX; CM-20260331-00005042; FME Ervice activé pour investigations, update ASAP...fluctuation du site dû au feding...Others</t>
  </si>
  <si>
    <t>30/03/2026 Check breaker and interconnection(sfp, optical fiber) between system and radio module, swap its if needed 30/03/2026 Check breaker and interconnection(sfp, optical fiber) between system and radio module, swap its if needed 30/03/2026 Check breaker and interconnection(sfp, optical fiber) between system and radio module, swap its if needed 2026-03-31 21 55 31.Besoin d'un FME sur site pour reset du MPR et si NOK, tshoot avec le BO TX; FME Ervice activé pour investigations, update ASAP.fluctuation du site dû au feding.Others</t>
  </si>
  <si>
    <t>01/04/2026  site vandalisé par les boko haram....13.02.26: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</si>
  <si>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01/04/2026 site vandalisé par les boko haram.13.02.26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ESCALTION Done to L4 26.01.2026 Retour Romuald As you can read in the comment That area has been attacked by the BOKO HARAM and the area is became insecure 26.01.2026 IHS Area attaqued by Boko Haram. No one can reach the site now. Awaiting updates.</t>
  </si>
  <si>
    <t>29/03/2026 : Feedback IHS : There is no power issue on site || FME investigation 
27/03/2026 :Feedback BO RAN : Site affected by insuficient rectifier(Power issue)
26/03/2026 : need BO RAN analysis</t>
  </si>
  <si>
    <t>29/03/2026 Feedback IHS There is no power issue on site FME investigation 27/03/2026 Feedback BO RAN Site affected by insuficient rectifier(Power issue) 26/03/2026 need BO RAN analysis</t>
  </si>
  <si>
    <t>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insecurity..;INC-20260331-00014357...Others Transmission equipement fault</t>
  </si>
  <si>
    <t>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t>
  </si>
  <si>
    <t>Eyumojock</t>
  </si>
  <si>
    <t>SUO_016</t>
  </si>
  <si>
    <t>01/04/2026: point chez le projet en attente swap TX</t>
  </si>
  <si>
    <t>01/04/2026 point chez le projet en attente swap TX</t>
  </si>
  <si>
    <t xml:space="preserve">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t>
  </si>
  <si>
    <t>31/03/2026 : Rapport d'intervention en cours de redaction ETA 11h
30/03/2029 : Besoin d'analyse BO RAN || Check GPS connectivity || Fme active : intervention en cours..;31/03/2026 : Rapport d'intervention en cours de redaction ETA 11h
30/03/2029 : Besoin d'analyse BO RAN || Check GPS connectivity || Fme active : intervention en cours..;31/03/2026 : Rapport d'intervention en cours de redaction ETA 11h
30/03/2029 : Besoin d'analyse BO RAN || Check GPS connectivity || Fme active : intervention en cours</t>
  </si>
  <si>
    <t>31/03/2026 Rapport d'intervention en cours de redaction ETA 11h 30/03/2029 Besoin d'analyse BO RAN Check GPS connectivity Fme active intervention en cours.;31/03/2026 Rapport d'intervention en cours de redaction ETA 11h 30/03/2029 Besoin d'analyse BO RAN Check GPS connectivity Fme active intervention en cours.;31/03/2026 Rapport d'intervention en cours de redaction ETA 11h 30/03/2029 Besoin d'analyse BO RAN Check GPS connectivity Fme active intervention en cours</t>
  </si>
  <si>
    <t>INC-20260331-00000771...Power issue onsite already fixed by IHS....Others Transmission equipement fault</t>
  </si>
  <si>
    <t>Power issue onsite already fixed by IHS.</t>
  </si>
  <si>
    <t>Bfsam-Tayim-IHS</t>
  </si>
  <si>
    <t>OST_213</t>
  </si>
  <si>
    <t xml:space="preserve">01/04/2026:  grid outage </t>
  </si>
  <si>
    <t>Pitoa-II</t>
  </si>
  <si>
    <t>NRD_183</t>
  </si>
  <si>
    <t>31/03/2026 : Site down..;Power status check ongoing..;Power status check ongoing..;INC-20260331-00010283...2026-03-31 19:54:48...Grid outage ,Access issue due to landlord / awaiting grid restoration (escalated to L2)...Power issue Eneo outtage ...Others</t>
  </si>
  <si>
    <t>31/03/2026 Site down.;Power status check ongoing.;.2026-03-31 19 54 48.Grid outage Access issue due to landlord awaiting grid restoration escalated to L2).Power issue Eneo outtage Others</t>
  </si>
  <si>
    <t>Power status check ongoing..;INC-20260331-00014595...2026-03-31 22:04:23...Grid outage, Grid only site / Grid return awaited...Others</t>
  </si>
  <si>
    <t>2026-03-31 22 04 23.Grid outage, Grid only site Grid return awaited.Others</t>
  </si>
  <si>
    <t>INC-20260331-00012657...GE Fault</t>
  </si>
  <si>
    <t>INC-20260331-00007846...2026-03-31 14:20:05...Grid oputage awaiting grid return...Others</t>
  </si>
  <si>
    <t>2026-03-31 14 20 05.Grid oputage awaiting grid return.Others</t>
  </si>
  <si>
    <t>OST_360_H_Bandjoun-Yom-V</t>
  </si>
  <si>
    <t>OST_360</t>
  </si>
  <si>
    <t>Bandjoun</t>
  </si>
  <si>
    <t>1/4/2026 tx issue reset board</t>
  </si>
  <si>
    <t>Power status check ongoing..;INC-20260331-00014608...pas problème radio sur ce site mais nous notons une instabilité AOF ...Others Transmission equipement fault</t>
  </si>
  <si>
    <t>pas problème radio sur ce site mais nous notons une instabilité AOF</t>
  </si>
  <si>
    <t>Garoua-Sabongari-Lainde-IHS</t>
  </si>
  <si>
    <t>NRD_083</t>
  </si>
  <si>
    <t>01/04/2026 : grid outage...Power status check ongoing</t>
  </si>
  <si>
    <t>01/04/2026 grid outage.Power status check ongoing</t>
  </si>
  <si>
    <t>INC-20260331-00003000...power issue ...Others Transmission equipement fault</t>
  </si>
  <si>
    <t>site down..;GRID ONLY NO SPACE /AWAITING GRID RETURN...;INC-20260331-00007596...2026-03-31 13:25:12...GRID ONLY NO SPACE /AWAITING GRID RETURN....Others</t>
  </si>
  <si>
    <t>site down.;GRID ONLY NO SPACE AWAITING GRID RETURN.;.2026-03-31 13 25 12.GRID ONLY NO SPACE AWAITING GRID RETURN.Others</t>
  </si>
  <si>
    <t>Mvengue</t>
  </si>
  <si>
    <t>SUD_226</t>
  </si>
  <si>
    <t>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Retour FME : Souci Power sur ce site. Pas d'ENEO, et faible Batterie Backup. Je relance mon vis-a-vis Simon de CAMUSAT pour avoir un update
31.03.2026: Need FME on the site to check iDirect and IBUC status..;INC-20260331-00002165...2026-03-31 16:59:47...31/03/2026 Apres la resolution du power et travaux du FME il en ressort que le BUC est faulty commande en cours...Problème d'énergie sur le site, la batterie du GE est HS et en cas de coupure d'ENEO, le GE reste éteint jusqu'à la décharge des batteries de la baie Camusat.</t>
  </si>
  <si>
    <t>31/03/2026 Apres la resolution du power et travaux du FME il en ressort que le BUC est faulty commande en cours 31/03/2026 CAMUSAT FME en route pour le site est actuellement injoignable. Nous insistons. 31.03.2026 Retour FME Souci Power sur ce site. Pas d'ENEO, et faible Batterie Backup. Je relance mon vis-a-vis Simon de CAMUSAT pour avoir un update 31.03.2026 Need FME on the site to check iDirect and IBUC status.;31/03/2026 CAMUSAT FME en route pour le site est actuellement injoignable. Nous insistons. 31.03.2026 Retour FME Souci Power sur ce site. Pas d'ENEO, et faible Batterie Backup. Je relance mon vis-a-vis Simon de CAMUSAT pour avoir un update 31.03.2026 Need FME on the site to check iDirect and IBUC status.;31.03.2026 Retour FME Souci Power sur ce site. Pas d'ENEO, et faible Batterie Backup. Je relance mon vis-a-vis Simon de CAMUSAT pour avoir un update 31.03.2026 Need FME on the site to check iDirect and IBUC status.;.2026-03-31 16 59 47.31/03/2026 Apres la resolution du power et travaux du FME il en ressort que le BUC est faulty commande en cours.Problème d'énergie sur le site, la batterie du GE est HS et en cas de coupure d'ENEO, le GE reste éteint jusqu'à la décharge des batteries de la baie Camusat.</t>
  </si>
  <si>
    <t>Notre-Dame-de-Yassa</t>
  </si>
  <si>
    <t>LIT_620</t>
  </si>
  <si>
    <t>INC-20260331-00013193...2026-03-31 23:00:47...Access issue at night the technician will return on the morning...RCA attendu de CAMUSAT...Others...Probleme d'energie</t>
  </si>
  <si>
    <t>2026-03-31 23 00 47.Access issue at night the technician will return on the morning.RCA attendu de CAMUSAT.Others.Probleme d'energie</t>
  </si>
  <si>
    <t>Garoua-Bockle-II</t>
  </si>
  <si>
    <t>NRD_186</t>
  </si>
  <si>
    <t>INC-20260331-00014696...Auto TT closure RCA...GE Fault</t>
  </si>
  <si>
    <t>Auto TT closure RCA.GE Fault</t>
  </si>
  <si>
    <t>site down..;Power status check ongoing..;INC-20260331-00009451...2026-03-31 16:15:35...	DG Neutral Cable burnt due to lightning // FME replaced burnt DG Neutral Cable....Others Transmission equipement fault</t>
  </si>
  <si>
    <t>site down.;.2026-03-31 16 15 35. DG Neutral Cable burnt due to lightning FME replaced burnt DG Neutral Cable.</t>
  </si>
  <si>
    <t>Power status check ongoing..;INC-20260331-00010751...Grid outage // Grid returned...Others</t>
  </si>
  <si>
    <t>Grid outage Grid returned.Others</t>
  </si>
  <si>
    <t>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</si>
  <si>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31/03/2026 Remplacement de la carte ce jour ETA 12h 30/03/2026 According to this last test, kindly proceed to replacement ETA 31032026 28/03/2026 Intervention en cours ce jour Feedback IHS swap the board's position between slot6 and slot 8 and observe.’’ La recommandation du BO a été exécutée par le FME sur site 27/03/2026 Instabilite power, bloquant le remplacement de la carte Mail de stabilisation power envoye a IHS Feedback IHS Le generateur sur ce site est overloaded et sera remplacé en W14. Observations Site was unstable due to power because of Generator Overload but actually stable. Blink of board VBP_1_8(PN 130000207923) due to Board communication link interrupted alarm Action FME was on site to implement these below actions the 2026/03/24 Reset of board VBP_1_8(PN 130000207923) NOK Plug OUT/Plug board Still NOK after execution Next Step FME will replace the board VBP_1_8(PN 130000207923 Feeback ZTE Before replacement, kindly swap the board's position between slot6 and slot 8 and observe. Feedback IHS This operation was performed and no change was observed, hence the need for replacement. Feedback ZTE According to history alarm, that operation has not been performed. Kindly do it, to confirm whether board requires replacement or not 26/03/2026 Apres intervention ce jour la carte VBPe1P est faulty 25/03/2026 Power issue 24/03/2026 F.O faulty FME active ETA 13H Intervention en cours Power issue 23/03/2026 Need BORAN analysis Check VBPe1P connectivity.;31/03/2026 Remplacement de la carte ce jour ETA 12h 30/03/2026 According to this last test, kindly proceed to replacement ETA 31032026 28/03/2026 Intervention en cours ce jour Feedback IHS swap the board's position between slot6 and slot 8 and observe.’’ La recommandation du BO a été exécutée par le FME sur site 27/03/2026 Instabilite power, bloquant le remplacement de la carte Mail de stabilisation power envoye a IHS Feedback IHS Le generateur sur ce site est overloaded et sera remplacé en W14. Observations Site was unstable due to power because of Generator Overload but actually stable. Blink of board VBP_1_8(PN 130000207923) due to Board communication link interrupted alarm Action FME was on site to implement these below actions the 2026/03/24 Reset of board VBP_1_8(PN 130000207923) NOK Plug OUT/Plug board Still NOK after execution Next Step FME will replace the board VBP_1_8(PN 130000207923 Feeback ZTE Before replacement, kindly swap the board's position between slot6 and slot 8 and observe. Feedback IHS This operation was performed and no change was observed, hence the need for replacement. Feedback ZTE According to history alarm, that operation has not been performed. Kindly do it, to confirm whether board requires replacement or not 26/03/2026 Apres intervention ce jour la carte VBPe1P est faulty 25/03/2026 Power issue 24/03/2026 F.O faulty FME active ETA 13H Intervention en cours Power issue 23/03/2026 Need BORAN analysis Check VBPe1P connectivity</t>
  </si>
  <si>
    <t>26/03/2026 : PWC faulty
23/03/2026 : Power instability || Mail sent to MTN..;31/03/2026 : Relance faite ce jour a MTN || Feedback attendu
26/03/2026 : PWC faulty
23/03/2026 : Power instability || Mail sent to MTN..;31/03/2026 : Relance faite ce jour a MTN || Feedback attendu
26/03/2026 : PWC faulty
23/03/2026 : Power instability || Mail sent to MTN..;31/03/2026 : Relance faite ce jour a MTN || Feedback attendu
26/03/2026 : PWC faulty
23/03/2026 : Power instability || Mail sent to MTN</t>
  </si>
  <si>
    <t>26/03/2026 PWC faulty 23/03/2026 Power instability Mail sent to MTN.;31/03/2026 Relance faite ce jour a MTN Feedback attendu 26/03/2026 PWC faulty 23/03/2026 Power instability Mail sent to MTN.;31/03/2026 Relance faite ce jour a MTN Feedback attendu 26/03/2026 PWC faulty 23/03/2026 Power instability Mail sent to MTN.;31/03/2026 Relance faite ce jour a MTN Feedback attendu 26/03/2026 PWC faulty 23/03/2026 Power instability Mail sent to MTN</t>
  </si>
  <si>
    <t>INC-20260331-00007707...Others</t>
  </si>
  <si>
    <t>31.03.2026: DG faulty // DG to be replace..;Power status check ongoing</t>
  </si>
  <si>
    <t>31.03.2026 DG faulty DG to be replace.;Power status check ongoing</t>
  </si>
  <si>
    <t>Nkolso-MTN-IHS</t>
  </si>
  <si>
    <t>CTR_471</t>
  </si>
  <si>
    <t>site down..;Power status check ongoing..;INC-20260331-00009911...GE Fault</t>
  </si>
  <si>
    <t>site down.;.GE Fault</t>
  </si>
  <si>
    <t>Ngoura-IHS</t>
  </si>
  <si>
    <t>EST_021</t>
  </si>
  <si>
    <t>Ngoura</t>
  </si>
  <si>
    <t>31/03/2026 FME Frank MEZAZEM Activated for intervention is managing with level 0 ETA=02:00 PM..;INC-20260331-00000402...2026-03-31 08:22:27...
FME Frank MEZAZEM Activated for intervention is managing with level 0 ETA=02:00 PM...power issue.
as discuss with ihs, one Guy on thé way to thé site for résolution....Others Transmission equipement fault</t>
  </si>
  <si>
    <t>31/03/2026 FME Frank MEZAZEM Activated for intervention is managing with level 0 ETA=02 00 PM.;.2026-03-31 08 22 27. FME Frank MEZAZEM Activated for intervention is managing with level 0 ETA=02 00 PM.power issue. as discuss with ihs, one Guy on thé way to thé site for résolution.</t>
  </si>
  <si>
    <t>30/03/2026 : Check and replace FAN,FXDB if needed
29/03/2026 : need BO RAN analysis ||Closed after reset but FME should check and replace FAN, FXDB if needed..;31/03/2026 : Need BO RAN analysis ||Replace faulty FXDB || Pas d'access..;31/03/2026 : Need BO RAN analysis ||Replace faulty FXDB || Pas d'access..;31/03/2026 : Need BO RAN analysis ||Replace faulty FXDB || Pas d'access..;INC-20260331-00001100...2026-03-31 08:36:21...
31.03.2026: Possible Plantage de l'ODU A WAZA. Remote actions en cours. Update ASAP...Others Transmission equipement fault</t>
  </si>
  <si>
    <t>30/03/2026 Check and replace FAN,FXDB if needed 29/03/2026 need BO RAN analysis Closed after reset but FME should check and replace FAN, FXDB if needed.;31/03/2026 Need BO RAN analysis Replace faulty FXDB Pas d'access.;31/03/2026 Need BO RAN analysis Replace faulty FXDB Pas d'access.;31/03/2026 Need BO RAN analysis Replace faulty FXDB Pas d'access.;.2026-03-31 08 36 21. 31.03.2026 Possible Plantage de l'ODU A WAZA. Remote actions en cours. Update ASAP.</t>
  </si>
  <si>
    <t>Yagoua-Ville</t>
  </si>
  <si>
    <t>EXN_096</t>
  </si>
  <si>
    <t>INC-20260331-00016736...2026-04-01 00:31:59...site up...Auto TT closure RCA...GE Fault</t>
  </si>
  <si>
    <t>2026-04-01 00 31 59.site up.Auto TT closure RCA.GE Fault</t>
  </si>
  <si>
    <t>Grid outage, Grid only site / Grid return awaited..;Power status check ongoing..;INC-20260331-00004564...2026-03-31 09:25:42...Grid outage, Grid only site / Grid return awaited...site up power fluctuation on site ...Others Transmission equipement fault</t>
  </si>
  <si>
    <t>Grid outage, Grid only site Grid return awaited.;.2026-03-31 09 25 42.Grid outage, Grid only site Grid return awaited.site up power fluctuation on site</t>
  </si>
  <si>
    <t>Simbock-II</t>
  </si>
  <si>
    <t>CTR_716</t>
  </si>
  <si>
    <t>Power status check ongoing..;INC-20260331-00004354...2026-03-31 09:22:05...Fme is on the way, ETA 11:10... Bridge done...GE Fault...Instability of GRID</t>
  </si>
  <si>
    <t>2026-03-31 09 22 05.Fme is on the way, ETA 11 10. Bridge done.GE Fault.Instability of GRID</t>
  </si>
  <si>
    <t>Ndobo3-MTN</t>
  </si>
  <si>
    <t>LIT_624</t>
  </si>
  <si>
    <t>grid + Gen</t>
  </si>
  <si>
    <t>INC-20260331-00008685...POWER issue 
Technicien power suit le point ...Others Transmission equipement fault</t>
  </si>
  <si>
    <t>POWER issue Technicien power suit le point</t>
  </si>
  <si>
    <t>Power status check ongoing..;INC-20260331-00007553...gen started automatically...GE Fault...Grid outage, poor battery backup</t>
  </si>
  <si>
    <t>gen started automatically.GE Fault.Grid outage, poor battery backup</t>
  </si>
  <si>
    <t>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</si>
  <si>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27/03/2026 Cde en cours 26/03/2026 Spare pas recu 25/03/2026 Spare quitter de maroua pour Douala 23/03/2026 Fiber faulty cde en cours 21/03/2026 Check SFP, Optical fiber if issue persit 20/03/2026 need BO RAN analysis.;30/03/2026 Feedback du P.M FME not available intervention postponed to 01/04/2026 29/03/2026 spare disponible au niveau du FME, FME on another point 27/03/2026 Cde en cours 26/03/2026 Spare pas recu 25/03/2026 Spare quitter de maroua pour Douala 23/03/2026 Fiber faulty cde en cours 21/03/2026 Check SFP, Optical fiber if issue persit 20/03/2026 need BO RAN analysis.;30/03/2026 Feedback du P.M FME not available intervention postponed to 01/04/2026 29/03/2026 spare disponible au niveau du FME, FME on another point 27/03/2026 Cde en cours 26/03/2026 Spare pas recu 25/03/2026 Spare quitter de maroua pour Douala 23/03/2026 Fiber faulty cde en cours 21/03/2026 Check SFP, Optical fiber if issue persit 20/03/2026 need BO RAN analysis.;30/03/2026 Feedback du P.M FME not available intervention postponed to 01/04/2026 29/03/2026 spare disponible au niveau du FME, FME on another point 27/03/2026 Cde en cours 26/03/2026 Spare pas recu 25/03/2026 Spare quitter de maroua pour Douala 23/03/2026 Fiber faulty cde en cours 21/03/2026 Check SFP, Optical fiber if issue persit 20/03/2026 need BO RAN analysis</t>
  </si>
  <si>
    <t>Foumban-Njinka</t>
  </si>
  <si>
    <t>OST_101</t>
  </si>
  <si>
    <t xml:space="preserve">17/03/2026 : Week 12
14/03/2026 : Swape en cours </t>
  </si>
  <si>
    <t>17/03/2026 Week 12 14/03/2026 Swape en cours</t>
  </si>
  <si>
    <t>Bafang</t>
  </si>
  <si>
    <t>OST_015</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</si>
  <si>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</si>
  <si>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16/03/2026 Feedback BO RAN attendu pour la suite des actions 14/03/2026 Intervention en cours 13/03/2026 Relance faite au BO RAN 10/03/2026 Feedback FME apres intervention D’apres le constat terrain fait, le VSWR present sur ce site est lie au port non utilise. A la lecture de la photo en Pj, le Port A n’est pas en service BO RAN interpele pour analyse approfondie 08/03/2026 Port non utiliser Evidence partager 06/03/2026 Besoin d'analyse BO RAN check and clean jumper, port of rru 71(sector 2) FME active ETA a partage</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</si>
  <si>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</si>
  <si>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VSAT.;12.03.26; Site à basculer en terrestre. Le chemin en E2E sera Bardake Nokia site) Ouro-dadjam-kolere New rural site to built) Nakong Nokia site). Le site de Bardake sera reparenté sur le même cluster que Nakong qui est un site existant. Mise on Air du site MW Nakong_Ouro-dadjam-kolere le 16Mars et ETR migration TX le 20Mars 2026 09.03.2026 Site à basculer en terrestre. Le chemin en E2E sera Bardake Nokia site) Ouro-dadjam-kolere new rural site to built) Nakong Nokia site). Le site de Bardake sera reparenté sur le même cluster que Nakong qui est un site existant. Mise on Air du site MW Nakong_Ouro-dadjam-kolere le 10Mars 2026.ETR 10Mars 2026 05/03/2026 Le chemin en E2E sera Bardake Nokia site) Ouro-dadjam-kolere new rural site to built) Nakong Nokia site) Donc le site de Bardake sera reparenté sur le même cluster que Nakong qui est un site existant. Mise on Air du site MW Nakong_Ouro-dadjam-kolere le 10Mars 2026. Site UE Relay en attente de swap en VSAT</t>
  </si>
  <si>
    <t>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status..;31.03.2026: BUC Faulty commande en cours 
31.03.2026: Suite de l'intervention ce Jour. FME en route ETA=1H30
30/03/2026 FME en route ETA=12H30 UTC // FME sur site 
29.03.2026 FME : Still troubleshooting with the level 0
29.03.2026: FME Frank activated is managing
29.03.2026: Need FME on the site to check Idirect and IBUC status..;31.03.2026: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</si>
  <si>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LNB Faulty. Commande passe au WH de Yaounde et l'expedition est en cours ETD=03.04.2026 31.03.2026 FME Sur site travaux en cours. Update ASAP 31.03.2026 Suite de l'intervention ce Jour. FME en route ETA=1H30 30/03/2026 FME en route ETA=12H30 UTC FME sur site 29.03.2026 FME Still troubleshooting with the level 0 29.03.2026 FME Frank activated is managing 29.03.2026 Need FME on the site to check Idirect and IBUC status.;31.03.2026 BUC Faulty commande en cours 31.03.2026 Suite de l'intervention ce Jour. FME en route ETA=1H30 30/03/2026 FME en route ETA=12H30 UTC FME sur site 29.03.2026 FME Still troubleshooting with the level 0 29.03.2026 FME Frank activated is managing 29.03.2026 Need FME on the site to check Idirect and IBUC status.;31.03.2026 Suite de l'intervention ce Jour. FME en route ETA=1H30 30/03/2026 FME en route ETA=12H30 UTC FME sur site 29.03.2026 FME Still troubleshooting with the level 0 29.03.2026 FME Frank activated is managing 29.03.2026 Need FME on the site to check Idirect and IBUC status</t>
  </si>
  <si>
    <t>Laquintinie-Camtel</t>
  </si>
  <si>
    <t>LIT_644</t>
  </si>
  <si>
    <t>Power status check ongoing..;INC-20260331-00010901...2026-03-31 17:32:37...Grid outage, Grid only site / Grid return awaited...Others</t>
  </si>
  <si>
    <t>2026-03-31 17 32 37.Grid outage, Grid only site Grid return awaited.Others</t>
  </si>
  <si>
    <t>Stade-Abega</t>
  </si>
  <si>
    <t>CTR_274</t>
  </si>
  <si>
    <t>Power status check ongoing..;INC-20260331-00011673...2026-03-31 18:06:30...Investigation ongoing /Fme is managing with level zero...power issue ...Others Transmission equipement fault</t>
  </si>
  <si>
    <t>2026-03-31 18 06 30.Investigation ongoing Fme is managing with level zero.power issue</t>
  </si>
  <si>
    <t>Olembe-MTN</t>
  </si>
  <si>
    <t>CTR_778</t>
  </si>
  <si>
    <t xml:space="preserve">site down..;Power status check ongoing..;INC-20260331-00010923...2026-03-31 16:42:00...MTN activated for check power status...power issue in site. GE not started </t>
  </si>
  <si>
    <t>site down.;.2026-03-31 16 42 00.MTN activated for check power status.power issue in site. GE not started</t>
  </si>
  <si>
    <t>Yagoua-Quinf-II</t>
  </si>
  <si>
    <t>EXN_236</t>
  </si>
  <si>
    <t>INC-20260331-00003004...power issue ...Others Transmission equipement fault</t>
  </si>
  <si>
    <t>27/03/2026 : Under PROJECT WORK
23/03/2026 : check FXED and FAN needed..;27/03/2026 : Under PROJECT WORK
23/03/2026 : check FXED and FAN needed..;27/03/2026 : Under PROJECT WORK
23/03/2026 : check FXED and FAN needed..;INC-20260331-00006623...Others Transmission equipement fault</t>
  </si>
  <si>
    <t>27/03/2026 Under PROJECT WORK 23/03/2026 check FXED and FAN needed.;27/03/2026 Under PROJECT WORK 23/03/2026 check FXED and FAN needed.;27/03/2026 Under PROJECT WORK 23/03/2026 check FXED and FAN needed.;.</t>
  </si>
  <si>
    <t>Madagascar-Yde-New</t>
  </si>
  <si>
    <t>CTR_217</t>
  </si>
  <si>
    <t>INC-20260331-00015297...2026-03-31 21:53:09...Grid only, No space // Awaiting grid return</t>
  </si>
  <si>
    <t>2026-03-31 21 53 09.Grid only, No space Awaiting grid return</t>
  </si>
  <si>
    <t>Nkoulou-carriere</t>
  </si>
  <si>
    <t>CTR_897</t>
  </si>
  <si>
    <t xml:space="preserve">Power status check ongoing..;INC-20260331-00012824...2026-03-31 18:47:14...MTN activated for check power status...power.   problème d'autonomie. de batteries sur ce site </t>
  </si>
  <si>
    <t>2026-03-31 18 47 14.MTN activated for check power status.power. problème d'autonomie. de batteries sur ce site</t>
  </si>
  <si>
    <t>H-Astoria</t>
  </si>
  <si>
    <t>LIT_244</t>
  </si>
  <si>
    <t>Power status check ongoing..;INC-20260331-00011502...2026-03-31 18:12:50...Grid outage // awaiting grid returned...Others Transmission equipement fault</t>
  </si>
  <si>
    <t>2026-03-31 18 12 50.Grid outage awaiting grid returned.</t>
  </si>
  <si>
    <t>31.03.2026: Possible Plantage de l'ODU A Biba-MTN. Remote actions en cours. Update ASAP</t>
  </si>
  <si>
    <t>31.03.2026 Possible Plantage de l'ODU A Biba-MTN. Remote actions en cours. Update ASAP</t>
  </si>
  <si>
    <t>Sky-Way-Hotel-IHS</t>
  </si>
  <si>
    <t>LIT_141</t>
  </si>
  <si>
    <t>INC-20260331-00000316...GE Fault</t>
  </si>
  <si>
    <t>30/03/2026 :Ghost town
27/03/2026 :probleme d'access
26/03/2026 : check ABIA needed..;30/03/2026 :Ghost town
27/03/2026 :probleme d'access
26/03/2026 : check ABIA needed..;30/03/2026 :Ghost town
27/03/2026 :probleme d'access
26/03/2026 : check ABIA needed..;30/03/2026 :Ghost town
27/03/2026 :probleme d'access
26/03/2026 : check ABIA needed..;INC-20260331-00011839...GE Fault</t>
  </si>
  <si>
    <t>30/03/2026 Ghost town 27/03/2026 probleme d'access 26/03/2026 check ABIA needed.;30/03/2026 Ghost town 27/03/2026 probleme d'access 26/03/2026 check ABIA needed.;30/03/2026 Ghost town 27/03/2026 probleme d'access 26/03/2026 check ABIA needed.;30/03/2026 Ghost town 27/03/2026 probleme d'access 26/03/2026 check ABIA needed.;.GE Fault</t>
  </si>
  <si>
    <t>Yassa-Pesage-IHS</t>
  </si>
  <si>
    <t>LIT_563</t>
  </si>
  <si>
    <t>INC-20260331-00013143...Power issue already fixed ...Others Transmission equipement fault</t>
  </si>
  <si>
    <t>Power issue already fixed</t>
  </si>
  <si>
    <t>INC-20260331-00015131...2026-03-31 21:56:56...Transmission issue U=53.,1V Load=100,3A evidences...Circuit breaker fallen in IHS DC box (need to be replace by team powerco)...GE Fault</t>
  </si>
  <si>
    <t>2026-03-31 21 56 56.Transmission issue U=53.,1V Load=100,3A evidences.Circuit breaker fallen in IHS DC box need to be replace by team powerco).GE Fault</t>
  </si>
  <si>
    <t>site down..;INC-20260331-00003953...GE Fault</t>
  </si>
  <si>
    <t>Power status check ongoing..;Power status check ongoing..;INC-20260331-00014503...GE Fault</t>
  </si>
  <si>
    <t>Power status check ongoing.;.GE Fault</t>
  </si>
  <si>
    <t>Buea-Low-Boduma-MTN</t>
  </si>
  <si>
    <t>SUO_170</t>
  </si>
  <si>
    <t>INC-20260331-00000769...Power issue onsite already fixed by IHS.</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</si>
  <si>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</si>
  <si>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16/03/2026 Acces bloque cote Camrail 16/03/2026 Mail envoye a Camrail pour la demande de work permit 14/03/2026 nee d BO RAN analysis check and clean jumper on FXDB FRGU antenna port 3 and 6.;16/03/2026 Acces bloque cote Camrail 16/03/2026 Mail envoye a Camrail pour la demande de work permit 14/03/2026 nee d BO RAN analysis check and clean jumper on FXDB FRGU antenna port 3 and 6.;16/03/2026 Acces bloque cote Camrail 16/03/2026 Mail envoye a Camrail pour la demande de work permit 14/03/2026 nee d BO RAN analysis check and clean jumper on FXDB FRGU antenna port 3 and 6</t>
  </si>
  <si>
    <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</si>
  <si>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</si>
  <si>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Bertoua-Mokolo</t>
  </si>
  <si>
    <t>EST_060</t>
  </si>
  <si>
    <t>INC-20260331-00000788...2026-03-31 01:50:05... FME is on the way to the site, eta : 02:55 am...GE Fault</t>
  </si>
  <si>
    <t>2026-03-31 01 50 05. FME is on the way to the site, eta 02 55 am.GE Fault</t>
  </si>
  <si>
    <t>BTS-Mobile-Marche-Central</t>
  </si>
  <si>
    <t>LIT_763</t>
  </si>
  <si>
    <t>INC-20260331-00010291...2026-03-31 17:48:57...No power issue on site T50v,load 28 A...GE Fault</t>
  </si>
  <si>
    <t>2026-03-31 17 48 57.No power issue on site T50v,load 28 A.GE Fault</t>
  </si>
  <si>
    <t>29/03/2026 : FME active 
28/03/2026 : Check and clean jumper  on  FXDB antenna port 4, 5  and FRGU antenna port 2 || FME active..;29/03/2026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</si>
  <si>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29/03/2026 FME active 28/03/2026 Check and clean jumper on FXDB antenna port 4, 5 and FRGU antenna port 2 FME active.;29/03/2026 FME active 28/03/2026 Check and clean jumper on FXDB antenna port 4, 5 and FRGU antenna port 2 FME active Feedback du P.M need RF jumper and FXDB, commande passée ETA to reach the site 02/04/2026.;29/03/2026 FME active 28/03/2026 Check and clean jumper on FXDB antenna port 4, 5 and FRGU antenna port 2 FME active Feedback du P.M need RF jumper and FXDB, commande passée ETA to reach the site 02/04/2026.;29/03/2026 FME active 28/03/2026 Check and clean jumper on FXDB antenna port 4, 5 and FRGU antenna port 2 FME active Feedback du P.M need RF jumper and FXDB, commande passée ETA to reach the site 02/04/2026</t>
  </si>
  <si>
    <t>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..;INC-20260331-00013127...GE Fault</t>
  </si>
  <si>
    <t>31/03/2026 Check breaker and interconnection(sfp, optical fiber) between system and radio module, swap its if needed FME active FME ne peut pas intervenir access bloque par IHS 31/03/2026 Check breaker and interconnection(sfp, optical fiber) between system and radio module, swap its if needed FME active FME ne peut pas intervenir access bloque par IHS 31/03/2026 Check breaker and interconnection(sfp, optical fiber) between system and radio module, swap its if needed FME active FME ne peut pas intervenir access bloque par IHS GE Fault</t>
  </si>
  <si>
    <t>Letta-MTN</t>
  </si>
  <si>
    <t>EST_063</t>
  </si>
  <si>
    <t>Letta</t>
  </si>
  <si>
    <t>Power status check ongoing..;INC-20260331-00012827...2026-03-31 20:42:40...Besoin d'un FME sur site pour vérifier le statut du MPR et la chaine antennaire de l'ODU 3.1; CM-20260331-00005407; FME Franck Mezazem activé pour investigations, update ASAP...Others</t>
  </si>
  <si>
    <t>2026-03-31 20 42 40.Besoin d'un FME sur site pour vérifier le statut du MPR et la chaine antennaire de l'ODU 3.1; FME Franck Mezazem activé pour investigations, update ASAP.Others</t>
  </si>
  <si>
    <t>Nkolfoulou</t>
  </si>
  <si>
    <t>CTR_214</t>
  </si>
  <si>
    <t>INC-20260331-00015127...2026-03-31 21:56:56...	Site went down due to double disjunction in PWC//CB are rearmed...	Site went down due to double disjunction in PWC//CB are rearmed...GE Fault...Probleme d'energie</t>
  </si>
  <si>
    <t>2026-03-31 21 56 56. Site went down due to double disjunction in PWC//CB are rearmed. Site went down due to double disjunction in PWC//CB are rearmed.GE Fault.Probleme d'energie</t>
  </si>
  <si>
    <t>30/03/2026 : need BO RAN analysis || Closed after reset but check and replace ABIA if needed || ETA : 31/08/2026..;INC-20260331-00015623...Others Transmission equipement fault</t>
  </si>
  <si>
    <t>30/03/2026 need BO RAN analysis Closed after reset but check and replace ABIA if needed ETA 31/08/2026.;.</t>
  </si>
  <si>
    <t>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t>
  </si>
  <si>
    <t>31/03/2026 Feedback HIS Nous avons eu un probleme de base connector sur le MPR de ce site ceci est due aux mauvaises tensions Eneo et nous compte résoudre cela le 04/04/2026.;31/03/2026 Feedback HIS Nous avons eu un probleme de base connector sur le MPR de ce site ceci est due aux mauvaises tensions Eneo et nous compte résoudre cela le 04/04/2026.;31/03/2026 Feedback HIS Nous avons eu un probleme de base connector sur le MPR de ce site ceci est due aux mauvaises tensions Eneo et nous compte résoudre cela le 04/04/2026.</t>
  </si>
  <si>
    <t>INC-20260331-00003532...Problème d'énergie, quand le CIE part, les équipements redémarrent...Others Transmission equipement fault</t>
  </si>
  <si>
    <t>Problème d'énergie, quand le CIE part, les équipements redémarrent.</t>
  </si>
  <si>
    <t>EXN_011</t>
  </si>
  <si>
    <t>INC-20260331-00014910...GE Fault</t>
  </si>
  <si>
    <t>PK13-Sitabac-New</t>
  </si>
  <si>
    <t>LIT_667</t>
  </si>
  <si>
    <t>Power status check ongoing..;INC-20260331-00009429...2026-03-31 15:10:31...Grid outage,gen fails to start / Fme is on the way eta 16h45...GE Fault</t>
  </si>
  <si>
    <t>2026-03-31 15 10 31.Grid outage,gen fails to start Fme is on the way eta 16h45.GE Fault</t>
  </si>
  <si>
    <t>Bafia-Market-MTN</t>
  </si>
  <si>
    <t>CTR_830</t>
  </si>
  <si>
    <t xml:space="preserve">INC-20260331-00011876...2026-03-31 17:39:12...MTN activated for check power status...power issue restored by power team </t>
  </si>
  <si>
    <t>2026-03-31 17 39 12.MTN activated for check power status.power issue restored by power team</t>
  </si>
  <si>
    <t>INC-20260331-00015134...2026-03-31 21:56:56...Transmission issue U=53.,1V Load=100,3A evidences...GE Fault</t>
  </si>
  <si>
    <t>2026-03-31 21 56 56.Transmission issue U=53.,1V Load=100,3A evidences.GE Fault</t>
  </si>
  <si>
    <t>DEfaut GE &amp; Power Cabinet</t>
  </si>
  <si>
    <t>Power status check ongoing..;Power status check ongoing..;Power status check ongoing..;INC-20260331-00009499...fluctuation du site suite au plantage des redresseurs...Others Transmission equipement fault</t>
  </si>
  <si>
    <t>Power status check ongoing.;Power status check ongoing.;.fluctuation du site suite au plantage des redresseurs.</t>
  </si>
  <si>
    <t>NRD_255_H_Garoua-Universite</t>
  </si>
  <si>
    <t>NRD_255</t>
  </si>
  <si>
    <t>NRD</t>
  </si>
  <si>
    <t>31/03/2026 : Power instability || Mail sent to Camusat</t>
  </si>
  <si>
    <t>31/03/2026 Power instability Mail sent to Camusat</t>
  </si>
  <si>
    <t>INC-20260331-00004349...GE Fault</t>
  </si>
  <si>
    <t>Bonamoutongo</t>
  </si>
  <si>
    <t>LIT_020</t>
  </si>
  <si>
    <t>INC-20260331-00015853...2026-03-31 22:52:57...FME is on the way ETA 00:30 AM...GE Fault</t>
  </si>
  <si>
    <t>2026-03-31 22 52 57.FME is on the way ETA 00 30 AM.GE Fault</t>
  </si>
  <si>
    <t>Melen-Baaba</t>
  </si>
  <si>
    <t>CTR_594</t>
  </si>
  <si>
    <t>Ba'aba</t>
  </si>
  <si>
    <t>INC-20260331-00015104...Grid outage and no good backup battery before start of GE...Others Transmission equipement fault</t>
  </si>
  <si>
    <t>Grid outage and no good backup battery before start of GE.</t>
  </si>
  <si>
    <t>INC-20260331-00010166...2026-03-31 16:20:38...technician will be on site around 06:20PM...Auto TT closure RCA...GE Fault</t>
  </si>
  <si>
    <t>2026-03-31 16 20 38.technician will be on site around 06 20PM.Auto TT closure RCA.GE Fault</t>
  </si>
  <si>
    <t xml:space="preserve">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t>
  </si>
  <si>
    <t>29/03/2026 FME active ETA 31/03/2026 26/03/2026 need BO RAN analysis FME should check and clean jumper, port 4.; 29/03/2026 FME active ETA 31/03/2026 26/03/2026 need BO RAN analysis FME should check and clean jumper, port 4.; 29/03/2026 FME active ETA 31/03/2026 26/03/2026 need BO RAN analysis FME should check and clean jumper, port 4.; 29/03/2026 FME active ETA 31/03/2026 26/03/2026 need BO RAN analysis FME should check and clean jumper, port 4</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</si>
  <si>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</si>
  <si>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30/03/2026 Check and clean jumper on FXDB antenna port 1 Feedback du P.M FME revient de ce site ce matin apres sa PM, aucun souci trouvé sur site, nous prenons le point mais l'intervention n'est pas encore planifiée.;30/03/2026 Check and clean jumper on FXDB antenna port 1 Feedback du P.M FME revient de ce site ce matin apres sa PM, aucun souci trouvé sur site, nous prenons le point mais l'intervention n'est pas encore planifiée.;30/03/2026 Check and clean jumper on FXDB antenna port 1 Feedback du P.M FME revient de ce site ce matin apres sa PM, aucun souci trouvé sur site, nous prenons le point mais l'intervention n'est pas encore planifiée</t>
  </si>
  <si>
    <t>INC-20260331-00001047...Auto TT closure RCA...GE Fault</t>
  </si>
  <si>
    <t>Abome-II</t>
  </si>
  <si>
    <t>CTR_662</t>
  </si>
  <si>
    <t>INC-20260331-00011654...GE Fault</t>
  </si>
  <si>
    <t>INC-20260331-00014767...GE Fault</t>
  </si>
  <si>
    <t>INC-20260331-00003452...up après avoir fait le reset de la bts et confirmé par le GNOC ...Others Transmission equipement fault</t>
  </si>
  <si>
    <t>up après avoir fait le reset de la bts et confirmé par le GNOC</t>
  </si>
  <si>
    <t>31/03/2026 : Need BO RAN analysis || Check and replace faulty SFP between FSMF and FRGU..;31/03/2026 : Need BO RAN analysis || Check and replace faulty SFP between FSMF and FRGU..;31/03/2026 : Need BO RAN analysis || Check and replace faulty SFP between FSMF and FRGU..;INC-20260331-00002982</t>
  </si>
  <si>
    <t>31/03/2026 Need BO RAN analysis Check and replace faulty SFP between FSMF and FRGU.;31/03/2026 Need BO RAN analysis Check and replace faulty SFP between FSMF and FRGU.;31/03/2026 Need BO RAN analysis Check and replace faulty SFP between FSMF and FRGU.;</t>
  </si>
  <si>
    <t>Boussa-IHS</t>
  </si>
  <si>
    <t>NRD_129</t>
  </si>
  <si>
    <t>Boussa</t>
  </si>
  <si>
    <t>INC-20260331-00002598...power issue générateur en défaut ...Others Transmission equipement fault</t>
  </si>
  <si>
    <t>power issue générateur en défaut</t>
  </si>
  <si>
    <t>INC-20260331-00000663...generator refuse to star ...Others Transmission equipement fault</t>
  </si>
  <si>
    <t>generator refuse to star</t>
  </si>
  <si>
    <t>INC-20260331-00015345...2026-03-31 23:31:40...Camusat; Grid outage GEN issue awaiting grid return (escalated to L2)...Auto TT closure RCA...GE Fault</t>
  </si>
  <si>
    <t>2026-03-31 23 31 40.Camusat; Grid outage GEN issue awaiting grid return escalated to L2).Auto TT closure RCA.GE Fault</t>
  </si>
  <si>
    <t>INC-20260331-00000302...GE Fault</t>
  </si>
  <si>
    <t>INC-20260331-00003469...fluctuations d'énergie 
équipe power informé à fin de stabiliser la tension ...Others Transmission equipement fault</t>
  </si>
  <si>
    <t>fluctuations d'énergie équipe power informé à fin de stabiliser la tension</t>
  </si>
  <si>
    <t>INC-20260331-00003019...services up after hard reset MPR ...Others Transmission equipement fault</t>
  </si>
  <si>
    <t>services up after hard reset MPR</t>
  </si>
  <si>
    <t>Memve-Ele-IHS</t>
  </si>
  <si>
    <t>SUD_056</t>
  </si>
  <si>
    <t>Memve-Ele</t>
  </si>
  <si>
    <t>INC-20260331-00010557...site already up without any action , confirm by gnock...Others Transmission equipement fault</t>
  </si>
  <si>
    <t>site already up without any action confirm by gnock.</t>
  </si>
  <si>
    <t>INC-20260331-00000299...Others Transmission equipement fault</t>
  </si>
  <si>
    <t>Ebolowa-Elat-II</t>
  </si>
  <si>
    <t>SUD_100</t>
  </si>
  <si>
    <t>INC-20260331-00016104...2026-03-31 23:31:50...The technician is managing with the level 0...GE Fault</t>
  </si>
  <si>
    <t>2026-03-31 23 31 50.The technician is managing with the level 0.GE Fault</t>
  </si>
  <si>
    <t>Tadu-IHS</t>
  </si>
  <si>
    <t>NRO_018</t>
  </si>
  <si>
    <t>Tadu</t>
  </si>
  <si>
    <t>INC-20260331-00002234...power ...Others Transmission equipement fault</t>
  </si>
  <si>
    <t>power</t>
  </si>
  <si>
    <t>Ndiguina</t>
  </si>
  <si>
    <t>EXN_275</t>
  </si>
  <si>
    <t>Waza</t>
  </si>
  <si>
    <t>31/03/2026 : Need BO RAN analysis ||Replace faulty FXDB || Pas d'access</t>
  </si>
  <si>
    <t>31/03/2026 Need BO RAN analysis Replace faulty FXDB Pas d'access</t>
  </si>
  <si>
    <t>31/03/2026 : Power instability || Mail sent to Camusat..;31/03/2026 : Power instability || Mail sent to Camusat</t>
  </si>
  <si>
    <t>31/03/2026 Power instability Mail sent to Camusat.;31/03/2026 Power instability Mail sent to Camusat</t>
  </si>
  <si>
    <t>Cite-Berge-EPC</t>
  </si>
  <si>
    <t>LIT_656</t>
  </si>
  <si>
    <t>INC-20260331-00008583...GE Fault</t>
  </si>
  <si>
    <t>INC-20260331-00001395...power issue ...Others Transmission equipement fault</t>
  </si>
  <si>
    <t>INC-20260331-00005373...GE Fault</t>
  </si>
  <si>
    <t>MOLYKO-CHIEF-STREET-MTN</t>
  </si>
  <si>
    <t>SUO_228</t>
  </si>
  <si>
    <t>19/03/2026: Relance faite a MTN ce jour || Escalade faite a silvain
18/03/2026 : Power instability || Mail sent to MTN</t>
  </si>
  <si>
    <t>19/03/2026 Relance faite a MTN ce jour Escalade faite a silvain 18/03/2026 Power instability Mail sent to MTN</t>
  </si>
  <si>
    <t>Kouedjou-IHS</t>
  </si>
  <si>
    <t>LIT_502</t>
  </si>
  <si>
    <t>Kouedjou</t>
  </si>
  <si>
    <t>INC-20260331-00015717...2026-03-31 23:15:09...	Cylinder head gasket pierced // cylinder head gasket colmated...There's a power issue on the site, confirmed by the power team, and they're taking steps to get the site back up and running. Tel: 699115050...Others</t>
  </si>
  <si>
    <t>2026-03-31 23 15 09. Cylinder head gasket pierced cylinder head gasket colmated.There's a power issue on the site, confirmed by the power team, and they're taking steps to get the site back up and running. Tel 699115050.Others</t>
  </si>
  <si>
    <t>Ngd-Dang</t>
  </si>
  <si>
    <t>ADM_017</t>
  </si>
  <si>
    <t>INC-20260331-00012504...GE Fault</t>
  </si>
  <si>
    <t>Kumba-Mbo-Street-IHS</t>
  </si>
  <si>
    <t>SUO_116</t>
  </si>
  <si>
    <t>INC-20260331-00006589...GE Fault</t>
  </si>
  <si>
    <t>INC-20260331-00014578...GE Fault</t>
  </si>
  <si>
    <t>31/03/2026 : ETA 14h
30/03/2026 : FME active
28/03/2026 : Besoin d'analyse BO RAN || Check and clean jumper, port 2 of RRU 81..;31/03/2026 : ETA 14h || RF Jumper MQ5 faulty || Cde en cours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</si>
  <si>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31/03/2026 ETA 14h 30/03/2026 FME active 28/03/2026 Besoin d'analyse BO RAN Check and clean jumper, port 2 of RRU 81.;31/03/2026 ETA 14h RF Jumper MQ5 faulty Cde en cours 30/03/2026 FME active 28/03/2026 Besoin d'analyse BO RAN Check and clean jumper, port 2 of RRU 81.;31/03/2026 ETA 14h RF Jumper MQ5 faulty Cde passee a HW SPMS Besoin envoye a a Huawei Projet 30/03/2026 FME active 28/03/2026 Besoin d'analyse BO RAN Check and clean jumper, port 2 of RRU 81.;31/03/2026 ETA 14h RF Jumper MQ5 faulty Cde passee a HW SPMS Besoin envoye a a Huawei Projet 30/03/2026 FME active 28/03/2026 Besoin d'analyse BO RAN Check and clean jumper, port 2 of RRU 81</t>
  </si>
  <si>
    <t>Bourha</t>
  </si>
  <si>
    <t>EXN_019</t>
  </si>
  <si>
    <t>Bourrah</t>
  </si>
  <si>
    <t>INC-20260331-00001295...GE Fault</t>
  </si>
  <si>
    <t>INC-20260331-00001992...power issue ...Others Transmission equipement fault</t>
  </si>
  <si>
    <t xml:space="preserve">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t>
  </si>
  <si>
    <t>26/03/2026 Travaux equipe projet en cours ETA Ce jour Intervention en cours 25/03/2026 ARMA faulty commande faulty ETR 26/03/2026 23/03/2026 ETD 24032026 21/03/2026 Cde en cours 20/03/2026 SFP faulty 30/03/2026 Feedback du P.M despite ARMA module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Travaux equipe projet en cours ETA Ce jour Intervention en cours 25/03/2026 ARMA faulty commande faulty ETR 26/03/2026 23/03/2026 ETD 24032026 21/03/2026 Cde en cours 20/03/2026 SFP faulty 30/03/2026 Feedback du P.M despite ARMA module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Travaux equipe projet en cours ETA Ce jour Intervention en cours 25/03/2026 ARMA faulty commande faulty ETR 26/03/2026 23/03/2026 ETD 24032026 21/03/2026 Cde en cours 20/03/2026 SFP faulty 30/03/2026 Feedback du P.M despite ARMA module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Travaux equipe projet en cours ETA Ce jour Intervention en cours 25/03/2026 ARMA faulty commande faulty ETR 26/03/2026 23/03/2026 ETD 24032026 21/03/2026 Cde en cours 20/03/2026 SFP faulty</t>
  </si>
  <si>
    <t xml:space="preserve">27/03/2026 : Projet en cours ..;27/03/2026 : Projet en cours ..;27/03/2026 : Projet en cours ..;27/03/2026 : Projet en cours </t>
  </si>
  <si>
    <t>31/03/2026 : Check breaker and  interconnection(sfp, optical fiber) between system and radio module, swap its if needed</t>
  </si>
  <si>
    <t>31/03/2026 Check breaker and interconnection(sfp, optical fiber) between system and radio module, swap its if needed</t>
  </si>
  <si>
    <t>INC-20260331-00004142...Others Transmission equipement fault</t>
  </si>
  <si>
    <t>INC-20260331-00014000...GE Fault</t>
  </si>
  <si>
    <t>Mberem-Ngop</t>
  </si>
  <si>
    <t>ADM_133</t>
  </si>
  <si>
    <t>Nganha</t>
  </si>
  <si>
    <t>INC-20260331-00011504...Others Transmission equipement fault</t>
  </si>
  <si>
    <t>Bamenda-Foncha-Street-IHS</t>
  </si>
  <si>
    <t>NRO_121</t>
  </si>
  <si>
    <t xml:space="preserve">Power status check ongoing..;Power status check ongoing..;INC-20260331-00016637...power instability on site. power team is informed </t>
  </si>
  <si>
    <t>Power status check ongoing.;.power instability on site. power team is informed</t>
  </si>
  <si>
    <t>30/03/2026 : need BO RAN analysis ||  Closed after reset but Power check requested</t>
  </si>
  <si>
    <t>30/03/2026 need BO RAN analysis Closed after reset but Power check requested</t>
  </si>
  <si>
    <t>Djaba-IHS</t>
  </si>
  <si>
    <t>NRD_128</t>
  </si>
  <si>
    <t>Djaba</t>
  </si>
  <si>
    <t>Power status check ongoing..;INC-20260331-00009504...GE Fault</t>
  </si>
  <si>
    <t>30/03/2026 :Ghost town
29/03/2026 : Negociation d'access en cours 
28/03/2026 : Apres action du level 0 ce jour l'alarme reste presente
27/03/2026 : heck breaker and  interconnection(sfp, optical fiber) between system and radio module, swap its if needed ||  FME active || ETA : 16h</t>
  </si>
  <si>
    <t>30/03/2026 Ghost town 29/03/2026 Negociation d'access en cours 28/03/2026 Apres action du level 0 ce jour l'alarme reste presente 27/03/2026 heck breaker and interconnection(sfp, optical fiber) between system and radio module, swap its if needed FME active ETA 16h</t>
  </si>
  <si>
    <t>Bda-Mulang</t>
  </si>
  <si>
    <t>NRO_243</t>
  </si>
  <si>
    <t>18/03/2026 :Besoin d'analyse BO RAN || Désactivation du pooling des sites (4G) du grand Nord vers Douala et Yaoundé (Huawei) a la demande d'OCM</t>
  </si>
  <si>
    <t>18/03/2026 Besoin d'analyse BO RAN Désactivation du pooling des sites 4G) du grand Nord vers Douala et Yaoundé Huawei) a la demande d'OCM</t>
  </si>
  <si>
    <t xml:space="preserve">27/03/2026 : Huawei projet ..;27/03/2026 : Huawei projet ..;27/03/2026 : Huawei projet ..;27/03/2026 : Huawei projet </t>
  </si>
  <si>
    <t>site down..;site down..;site down</t>
  </si>
  <si>
    <t>site down.;site down.;site down</t>
  </si>
  <si>
    <t>Mbomela-IHS</t>
  </si>
  <si>
    <t>SUD_105</t>
  </si>
  <si>
    <t>Mbomela</t>
  </si>
  <si>
    <t>site down..;site down..;31.03.2026: FME Dominique will have a look after MINTOM-MTN_SUD_246 P1 Incident ETA=02:00 PM
31.03.2026:  Need FME on the site to check MPR Status as it's not supervised..;INC-20260331-00000864...2026-03-31 08:31:08...
31.03.2026: FME Dominique will have a look after MINTOM-MTN_SUD_246 P1 Incident ETA=02:00 PM...Others</t>
  </si>
  <si>
    <t>site down.;site down.;31.03.2026 FME Dominique will have a look after MINTOM-MTN_SUD_246 P1 Incident ETA=02 00 PM 31.03.2026 Need FME on the site to check MPR Status as it's not supervised.;.2026-03-31 08 31 08. 31.03.2026 FME Dominique will have a look after MINTOM-MTN_SUD_246 P1 Incident ETA=02 00 PM.Others</t>
  </si>
  <si>
    <t>site down..;Power status check ongoing..;INC-20260331-00003839...2026-03-31 08:27:13...le niveau 0 à été activé pour investigation afin de déterminer la cause de l'indisponibilité....GE Fault</t>
  </si>
  <si>
    <t>site down.;.2026-03-31 08 27 13.le niveau 0 à été activé pour investigation afin de déterminer la cause de l'indisponibilité.GE Fault</t>
  </si>
  <si>
    <t>Foumbot-Mangoum</t>
  </si>
  <si>
    <t>OST_136</t>
  </si>
  <si>
    <t>not accepted..;not accepted..;not accepted</t>
  </si>
  <si>
    <t>not accepted.;not accepted.;not accepted</t>
  </si>
  <si>
    <t>INC-20260331-00015766...GE Fault</t>
  </si>
  <si>
    <t>INC-20260331-00014174...2026-03-31 23:18:55...Solar Only, site went down due to sunset...Others</t>
  </si>
  <si>
    <t>2026-03-31 23 18 55.Solar Only, site went down due to sunset.Others</t>
  </si>
  <si>
    <t>INC-20260331-00004737...2026-03-31 09:52:33...Grid outage, Grid only site / Grid return awaited...GE Fault</t>
  </si>
  <si>
    <t>2026-03-31 09 52 33.Grid outage, Grid only site Grid return awaited.GE Fault</t>
  </si>
  <si>
    <t>INC-20260331-00001823...Auto TT closure RCA...GE Fault</t>
  </si>
  <si>
    <t>31/03/2029 : Besoin d'analyse BO RAN || Check and clean jumper, port 7 of RRU 61 ||  Fme active ..;31/03/2029 : Besoin d'analyse BO RAN || Check and clean jumper, port 7 of RRU 61 ||  Fme active ..;31/03/2029 : Besoin d'analyse BO RAN || Check and clean jumper, port 7 of RRU 61 ||  Fme active ..;31/03/2026 Investigation ongoing / Fme had and issue with his car, is on the way 20h20
31/03/2026 Power issue en attente de retour camusat..;Power status check ongoing</t>
  </si>
  <si>
    <t>31/03/2029 Besoin d'analyse BO RAN Check and clean jumper, port 7 of RRU 61 Fme active 31/03/2029 Besoin d'analyse BO RAN Check and clean jumper, port 7 of RRU 61 Fme active 31/03/2029 Besoin d'analyse BO RAN Check and clean jumper, port 7 of RRU 61 Fme active 31/03/2026 Investigation ongoing Fme had and issue with his car, is on the way 20h20 31/03/2026 Power issue en attente de retour camusat.;Power status check ongoing</t>
  </si>
  <si>
    <t>Mintom-MTN</t>
  </si>
  <si>
    <t>SUD_246</t>
  </si>
  <si>
    <t>31/03/2026 Le FME a récupéré le matériel et est en route pour le site ETA : 01H30 min
30/03/2026 La FO est coupé à koungoulou ..;INC-20260331-00009131...2026-03-31 14:50:55...WE suspect a Power issue on AKOM-CENTRE-HILL Site...Les sites sont UP actuellement sans actions cote TX 
Les investigations sont en cours...Other...A determiner</t>
  </si>
  <si>
    <t>31/03/2026 Le FME a récupéré le matériel et est en route pour le site ETA 01H30 min 30/03/2026 La FO est coupé à koungoulou 2026-03-31 14 50 55.WE suspect a Power issue on AKOM-CENTRE-HILL Site.Les sites sont UP actuellement sans actions cote TX Les investigations sont en cours.Other.A determiner</t>
  </si>
  <si>
    <t>Canal-Olympia-1</t>
  </si>
  <si>
    <t>LIT_674</t>
  </si>
  <si>
    <t xml:space="preserve">31/03/2026 Grid only site ,Grid outage / awaiting grid restoration
31/03/2026 CAMUSAT activé Power status check ongoing..;CAMUSAT activé Power status check ongoing..;INC-20260331-00006612...site up fluctuations d énergie </t>
  </si>
  <si>
    <t>31/03/2026 Grid only site Grid outage awaiting grid restoration 31/03/2026 CAMUSAT activé Power status check ongoing.;CAMUSAT activé site up fluctuations d énergie</t>
  </si>
  <si>
    <t>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</si>
  <si>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31/03/2026 Besoin d'un fme sur site pour verifier l'interco entre le MPR et LE BTS 4G S1P4 FME armand activé 31/03/2026 CAMUSAT Grid outage grid only site ESCALADE L4 CAMUSAT 30.03.2026 CAMUSAT Grid outage grid only site ESCALADE L3 CAMUSAT probleme de dijoncteur sur site ETR=12H 29.03.2026 CAMUSAT Grid outage grid only site vérification de la continuté ETR 30min escalade L2 CAMUSAT 29.03.2026 CAMUSAT Grid outage grid only site awaiting grid return.;31/03/2026 Besoin d'un fme sur site pour verifier l'interco entre le MPR et LE BTS 4G S1P4 FME armand activé 31/03/2026 CAMUSAT Grid outage grid only site ESCALADE L4 CAMUSAT 30.03.2026 CAMUSAT Grid outage grid only site ESCALADE L3 CAMUSAT probleme de dijoncteur sur site ETR=12H 29.03.2026 CAMUSAT Grid outage grid only site vérification de la continuté ETR 30min escalade L2 CAMUSAT 29.03.2026 CAMUSAT Grid outage grid only site awaiting grid return.;31/03/2026 CAMUSAT Grid outage grid only site ESCALADE L4 CAMUSAT 30.03.2026 CAMUSAT Grid outage grid only site ESCALADE L3 CAMUSAT probleme de dijoncteur sur site ETR=12H 29.03.2026 CAMUSAT Grid outage grid only site vérification de la continuté ETR 30min escalade L2 CAMUSAT 29.03.2026 CAMUSAT Grid outage grid only site awaiting grid return</t>
  </si>
  <si>
    <t>Amchide</t>
  </si>
  <si>
    <t>EXN_007</t>
  </si>
  <si>
    <t>31/03/2026 : SWAP le 25 Fevrier 2026  || Pas encore accepte</t>
  </si>
  <si>
    <t>31/03/2026 SWAP le 25 Fevrier 2026 Pas encore accepte</t>
  </si>
  <si>
    <t>Tokombere</t>
  </si>
  <si>
    <t>EXN_015</t>
  </si>
  <si>
    <t>31/03/2026 : SWAP le 18 Fevrier 2026  || Pas encore accepte</t>
  </si>
  <si>
    <t>31/03/2026 SWAP le 18 Fevrier 2026 Pas encore accepte</t>
  </si>
  <si>
    <t>Kar-Hay</t>
  </si>
  <si>
    <t>EXN_022</t>
  </si>
  <si>
    <t>31/03/2026 : SWAP le 08 Fevrier || Pas encore accepte</t>
  </si>
  <si>
    <t>31/03/2026 SWAP le 08 Fevrier Pas encore accepte</t>
  </si>
  <si>
    <t>Obili-New</t>
  </si>
  <si>
    <t>CTR_540</t>
  </si>
  <si>
    <t>31/03/2026 : Power issue || mail sent to IHS</t>
  </si>
  <si>
    <t>31/03/2026 Power issue mail sent to IHS</t>
  </si>
  <si>
    <t>31/03/2026 : ETA : 01/03/2026 || FME sur cite vandalise intervention demain matin 10H
30/03/2026 :FME active || Intervention ce jour 
29/03/2029 :  Commande de la F.O passe || ETA : Ce jour 
27/03/2026 : ETD ce jour
26/03/2026 : Apres intervention hier F.O faulty || FME active 
25/03/2026 : ETA 14h
24//03/2026 : FRGU faulty || cde en cours..;31/03/2026 : ETA : 01/03/2026 || FME sur cite vandalise intervention demain matin 10H || ETA :  01/04/202026. 10:00 AM
30/03/2026 :FME active || Intervention ce jour 
29/03/2029 :  Commande de la F.O passe || ETA : Ce jour 
27/03/2026 : ETD ce jour
26/03/2026 : Apres intervention hier F.O faulty || FME active 
25/03/2026 : ETA 14h
24//03/2026 : FRGU faulty || cde en cours..;31/03/2026 : ETA : 01/03/2026 || FME sur cite vandalise intervention demain matin 10H
30/03/2026 :FME active || Intervention ce jour 
29/03/2029 :  Commande de la F.O passe || ETA : Ce jour 
27/03/2026 : ETD ce jour
26/03/2026 : Apres intervention hier F.O faulty || FME active 
25/03/2026 : ETA 14h
24//03/2026 : FRGU faulty || cde en cours</t>
  </si>
  <si>
    <t>31/03/2026 ETA 01/03/2026 FME sur cite vandalise intervention demain matin 10H 30/03/2026 FME active Intervention ce jour 29/03/2029 Commande de la F.O passe ETA Ce jour 27/03/2026 ETD ce jour 26/03/2026 Apres intervention hier F.O faulty FME active 25/03/2026 ETA 14h 24//03/2026 FRGU faulty cde en cours.;31/03/2026 ETA 01/03/2026 FME sur cite vandalise intervention demain matin 10H ETA 01/04/202026. 10 00 AM 30/03/2026 FME active Intervention ce jour 29/03/2029 Commande de la F.O passe ETA Ce jour 27/03/2026 ETD ce jour 26/03/2026 Apres intervention hier F.O faulty FME active 25/03/2026 ETA 14h 24//03/2026 FRGU faulty cde en cours.;31/03/2026 ETA 01/03/2026 FME sur cite vandalise intervention demain matin 10H 30/03/2026 FME active Intervention ce jour 29/03/2029 Commande de la F.O passe ETA Ce jour 27/03/2026 ETD ce jour 26/03/2026 Apres intervention hier F.O faulty FME active 25/03/2026 ETA 14h 24//03/2026 FRGU faulty cde en cours</t>
  </si>
  <si>
    <t>31/03/2026 : Check breaker and  interconnection(sfp, optical fiber) between system and radio module, swap its if needed || HUAWEI projet intervention ce jour ..;31/03/2026 technician is informed and managing..;Power status check ongoing..;INC-20260331-00009091...2026-03-31 15:14:13...technician is informed and managing...power instability ...Others Transmission equipement fault</t>
  </si>
  <si>
    <t>31/03/2026 Check breaker and interconnection(sfp, optical fiber) between system and radio module, swap its if needed HUAWEI projet intervention ce jour 31/03/2026 technician is informed and managing.;.2026-03-31 15 14 13.technician is informed and managing.power instability</t>
  </si>
  <si>
    <t>Ndjokloumbe-IHS</t>
  </si>
  <si>
    <t>LIT_500</t>
  </si>
  <si>
    <t>Ndjokloumbe</t>
  </si>
  <si>
    <t>31/03/2026 : Check and clean jumper  on  FRGU antenna port 3  and FRGU || FME active ||ETA : 01/03/2026..;31/03/2026 : Check and clean jumper  on  FRGU antenna port 3  and FRGU || FME active ||ETA : 01/03/2026..;31/03/2026 : Check and clean jumper  on  FRGU antenna port 3  and FRGU || FME active ||ETA : 01/03/2026</t>
  </si>
  <si>
    <t>31/03/2026 Check and clean jumper on FRGU antenna port 3 and FRGU FME active ETA 01/03/2026.;31/03/2026 Check and clean jumper on FRGU antenna port 3 and FRGU FME active ETA 01/03/2026.;31/03/2026 Check and clean jumper on FRGU antenna port 3 and FRGU FME active ETA 01/03/2026</t>
  </si>
  <si>
    <t>31/03/2026 : Besoin d'analyse BO RAN..;not accepted..;not accepted</t>
  </si>
  <si>
    <t>31/03/2026 Besoin d'analyse BO RAN.;not accepted.;not accepted</t>
  </si>
  <si>
    <t>31/03/2026 : Besoin d'analyse BO RAN..;31/03/2026 : Besoin d'analyse BO RAN || Site unstable affected by power &amp; Check and clean jumper, port 6 of RRU 61..;31/03/2026 : Besoin d'analyse BO RAN || Site unstable affected by power &amp; Check and clean jumper, port 6 of RRU 61 || Fme active</t>
  </si>
  <si>
    <t>31/03/2026 Besoin d'analyse BO RAN.;31/03/2026 Besoin d'analyse BO RAN Site unstable affected by power Check and clean jumper, port 6 of RRU 61.;31/03/2026 Besoin d'analyse BO RAN Site unstable affected by power Check and clean jumper, port 6 of RRU 61 Fme active</t>
  </si>
  <si>
    <t>Mamfe-Brasserie</t>
  </si>
  <si>
    <t>SUO_073</t>
  </si>
  <si>
    <t>30/03/2026 : SWAP le 20 Mars</t>
  </si>
  <si>
    <t>30/03/2026 SWAP le 20 Mars</t>
  </si>
  <si>
    <t>30/03/2026 : Not accepted..;30/03/2026 : Not accepted..;30/03/2026 : Not accepted</t>
  </si>
  <si>
    <t>30/03/2026 Not accepted.;30/03/2026 Not accepted.;30/03/2026 Not accepted</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</si>
  <si>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</si>
  <si>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30/03/2026 FO faulty sur la Load Bande S1. Connector RRU sur la meed bande S1 et la SFP faulty au S2 FO, SFP remplacee et refection connectique 28/03/2026 suite d'intervention ce jour 1/3 RRU UP après swap du SFP côté BBU. Le deux autres restent down après swap des SFP. Impossible pour nous d'investiguer sur le pylône actuellement pour cause de pluie. La suite de l'intervention se fera demain matin premières heures. 27/03/2026 FME active Suite d'intervention demain pour check en hauteur 26/03/2026 Besoin d'analyse BO RAN FME should check Connectivity between BBU and RRU 60/61/80/81</t>
  </si>
  <si>
    <t>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t>
  </si>
  <si>
    <t>30/03/2026 Check breaker and interconnection(sfp, optical fiber) between system and radio module, swap its if needed Ghost town.;30/03/2026 Check breaker and interconnection(sfp, optical fiber) between system and radio module, swap its if needed Ghost town.;30/03/2026 Check breaker and interconnection(sfp, optical fiber) between system and radio module, swap its if needed Ghost town</t>
  </si>
  <si>
    <t>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town..;INC-20260331-00014164...Others Transmission equipement fault</t>
  </si>
  <si>
    <t>30/03/2026 Check and clean jumper on FXDB antenna port 5 and ARGA antenna port 1 Ghost town.;30/03/2026 Check and clean jumper on FXDB antenna port 5 and ARGA antenna port 1 Ghost town.;30/03/2026 Check and clean jumper on FXDB antenna port 5 and ARGA antenna port 1 Ghost town.;30/03/2026 Check and clean jumper on FXDB antenna port 5 and ARGA antenna port 1 Ghost town.;.</t>
  </si>
  <si>
    <t>29/03/2026 : SWAP en cours..;29/03/2026 : SWAP en cours..;29/03/2026 : SWAP en cours</t>
  </si>
  <si>
    <t>29/03/2026 SWAP en cours.;29/03/2026 SWAP en cours.;29/03/2026 SWAP en cours</t>
  </si>
  <si>
    <t>29/03/2026 : need BO RAN analysis || 3G and 4G cells down =&gt; Transmission investigation needed..;29/03/2026 : need BO RAN analysis || 3G and 4G cells down =&gt; Transmission investigation needed..;31/03/2026 : Feedback BO TX : Probable faulty ODU at Jabane || Check antenna line and change ODU AT MPR LIMBE-BIMBA-CRTV if necesarry PN: 3DB29108AAAAC04
29/03/2026 : need BO RAN analysis || 3G and 4G cells down =&gt; Transmission investigation needed..;31/03/2026 : Feedback BO TX : Probable faulty ODU at Jabane || Check antenna line and change ODU AT MPR LIMBE-BIMBA-CRTV if necesarry PN: 3DB29108AAAAC04
29/03/2026 : need BO RAN analysis || 3G and 4G cells down =&gt; Transmission investigation needed..;31/03/2026 Arret des equipement par le BIR pour mauvais temps
30.03.26; Probable power issue; Awaitng Camusat feedback</t>
  </si>
  <si>
    <t>29/03/2026 need BO RAN analysis 3G and 4G cells down Transmission investigation needed.;29/03/2026 need BO RAN analysis 3G and 4G cells down Transmission investigation needed.;31/03/2026 Feedback BO TX Probable faulty ODU at Jabane Check antenna line and change ODU AT MPR LIMBE-BIMBA-CRTV if necesarry PN 3DB29108AAAAC04 29/03/2026 need BO RAN analysis 3G and 4G cells down Transmission investigation needed.;31/03/2026 Feedback BO TX Probable faulty ODU at Jabane Check antenna line and change ODU AT MPR LIMBE-BIMBA-CRTV if necesarry PN 3DB29108AAAAC04 29/03/2026 need BO RAN analysis 3G and 4G cells down Transmission investigation needed.;31/03/2026 Arret des equipement par le BIR pour mauvais temps 30.03.26; Probable power issue; Awaitng Camusat feedback</t>
  </si>
  <si>
    <t>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t>
  </si>
  <si>
    <t>29/03/2026 need BO RAN analysis FME should check and clean jumper, port 0 of RRU 71 ETA 31032026.;29/03/2026 need BO RAN analysis FME should check and clean jumper, port 0 of RRU 71 ETA 31032026.;29/03/2026 need BO RAN analysis FME should check and clean jumper, port 0 of RRU 71 ETA 31032026.;29/03/2026 need BO RAN analysis FME should check and clean jumper, port 0 of RRU 71 ETA 31032026</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</si>
  <si>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</si>
  <si>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4v.;27/03/2026 Need BO RAN analysis FME should check and replace FRGU on sites commande faite a ocm depuis le 17/03/2026 Nous sollicitons l’obtention du câble FPFC pour stabiliser les Cellules sur le site de Djangane EST_008, l’objectif est de passer un 2nd départ pour réduire les pertes de l’ordre de 4v</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</si>
  <si>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</si>
  <si>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En attente de spare Mail sent to OCM 25/03/2026 Power instability Mail sent to HIS Site vandalise.;27/03/2026 En attente de spare Mail sent to OCM 25/03/2026 Power instability Mail sent to HIS Site vandalise.;27/03/2026 En attente de spare Mail sent to OCM 25/03/2026 Power instability Mail sent to HIS Site vandalise.;27/03/2026 En attente de spare Mail sent to OCM 25/03/2026 Power instability Mail sent to HIS Site vandalise.;22.03.26;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ASAP.;22.03.26; Site vendalisé, 6 câble de 2*16mm enlevés avec leur mise à la terre, commande passée à OCM 22.03.26; All RMODs are down. Need FME on site to check any disjunction; FME Patrick activé pour investigations mais injoignable, escalade faite au PM 21.03.26; All RMODs are down. Need FME on site to check any disjunction; FME Patrick activé pour investigations, update ASAP</t>
  </si>
  <si>
    <t>Djabi-IHS</t>
  </si>
  <si>
    <t>NRD_069</t>
  </si>
  <si>
    <t>Djabi</t>
  </si>
  <si>
    <t>25/03/2026 : SWAP le 13 fevrier</t>
  </si>
  <si>
    <t>25/03/2026 SWAP le 13 fevrier</t>
  </si>
  <si>
    <t>Koutaba-IHS</t>
  </si>
  <si>
    <t>OST_138</t>
  </si>
  <si>
    <t>Koutaba</t>
  </si>
  <si>
    <t>25/03/2026 : SWAP le  13 Fevrier..;Power status check ongoing</t>
  </si>
  <si>
    <t>25/03/2026 SWAP le 13 Fevrier.;Power status check ongoing</t>
  </si>
  <si>
    <t>Bfsam-Tougang-EEC</t>
  </si>
  <si>
    <t>OST_077</t>
  </si>
  <si>
    <t>24/03/2026: Verifier l'etat de la RRU</t>
  </si>
  <si>
    <t>24/03/2026 Verifier l'etat de la RRU</t>
  </si>
  <si>
    <t>Guidiguis</t>
  </si>
  <si>
    <t>EXN_018</t>
  </si>
  <si>
    <t>19/03/2026 : SWAP le 17 Fevrier</t>
  </si>
  <si>
    <t>19/03/2026 SWAP le 17 Fevrier</t>
  </si>
  <si>
    <t xml:space="preserve">18/03/2026 :Besoin d'analyse BO RAN || Désactivation du pooling des sites (4G) du grand Nord vers Douala et Yaoundé (Huawei) a la demande d'OCM..;31/03/2026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t>
  </si>
  <si>
    <t>18/03/2026 Besoin d'analyse BO RAN Désactivation du pooling des sites 4G) du grand Nord vers Douala et Yaoundé Huawei) a la demande d'OCM.;31/03/2026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t>
  </si>
  <si>
    <t>Muyuka</t>
  </si>
  <si>
    <t>SUO_012</t>
  </si>
  <si>
    <t>18/03/2026 :Besoin d'analyse BO RAN || Désactivation du pooling des sites (4G) du grand Nord vers Douala et Yaoundé (Huawei) a la demande d'OCM..;31/03/2026 fme activé eta asap 
 Nous constatons l'indisponibilité de MUYUKA dû à une déconnexion entre MPR et RTN à GBHS-MUYUKA au port 1/3.
Merci de dépêcher un FME à GBHS-MUYUKA  pour vérifier le statut de la RTN et l'interco entre MPR et RTN au port 1/3...;Power status check ongoing</t>
  </si>
  <si>
    <t>18/03/2026 Besoin d'analyse BO RAN Désactivation du pooling des sites 4G) du grand Nord vers Douala et Yaoundé Huawei) a la demande d'OCM.;31/03/2026 fme activé eta asap Nous constatons l'indisponibilité de MUYUKA dû à une déconnexion entre MPR et RTN à GBHS-MUYUKA au port 1/3. Merci de dépêcher un FME à GBHS-MUYUKA pour vérifier le statut de la RTN et l'interco entre MPR et RTN au port 1/3.;Power status check ongoing</t>
  </si>
  <si>
    <t>Yoke</t>
  </si>
  <si>
    <t>SUO_070</t>
  </si>
  <si>
    <t>18/03/2026 :Besoin d'analyse BO RAN || Désactivation du pooling des sites (4G) du grand Nord vers Douala et Yaoundé (Huawei) a la demande d'OCM..;31/03/2026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</si>
  <si>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18/03/2026 Besoin d'analyse BO RAN Désactivation du pooling des sites 4G) du grand Nord vers Douala et Yaoundé Huawei) a la demande d'OCM.;31/03/2026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</si>
  <si>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Limbe-UQ</t>
  </si>
  <si>
    <t>SUO_003</t>
  </si>
  <si>
    <t>Mbonge</t>
  </si>
  <si>
    <t>SUO_134</t>
  </si>
  <si>
    <t>Ekondo-Nege-MTN</t>
  </si>
  <si>
    <t>SUO_047</t>
  </si>
  <si>
    <t>Ekondo-Nege</t>
  </si>
  <si>
    <t>Bamendou-II</t>
  </si>
  <si>
    <t>OST_310</t>
  </si>
  <si>
    <t>Bamendou</t>
  </si>
  <si>
    <t>Bamendjing-IHS</t>
  </si>
  <si>
    <t>OST_030</t>
  </si>
  <si>
    <t>Bamendjing</t>
  </si>
  <si>
    <t>Bamendjing-MTN-IHS</t>
  </si>
  <si>
    <t>OST_221</t>
  </si>
  <si>
    <t>OST_056</t>
  </si>
  <si>
    <t>Muyuka-Beach-Bush-IHS</t>
  </si>
  <si>
    <t>SUO_255</t>
  </si>
  <si>
    <t>Guirvidig</t>
  </si>
  <si>
    <t>EXN_098</t>
  </si>
  <si>
    <t>18/03/2026 : SWAP le 22 Fevrier 2026</t>
  </si>
  <si>
    <t>18/03/2026 SWAP le 22 Fevrier 2026</t>
  </si>
  <si>
    <t>Bambili</t>
  </si>
  <si>
    <t>SUO_010</t>
  </si>
  <si>
    <t>18/03/2026 : SWAP en cours ce jour</t>
  </si>
  <si>
    <t>18/03/2026 SWAP en cours ce jour</t>
  </si>
  <si>
    <t>Kossehone</t>
  </si>
  <si>
    <t>EXN_243</t>
  </si>
  <si>
    <t>KOSSEHONE</t>
  </si>
  <si>
    <t>17/03/2026 : Week 12
16/03/2026 : SWAP le 15 Mars 2026</t>
  </si>
  <si>
    <t>17/03/2026 Week 12 16/03/2026 SWAP le 15 Mars 2026</t>
  </si>
  <si>
    <t>Ngd-Agence</t>
  </si>
  <si>
    <t>ADM_026</t>
  </si>
  <si>
    <t>17/03/2026 : Week 12
16/03/2026 : Swap le 13 Mars 2026</t>
  </si>
  <si>
    <t>17/03/2026 Week 12 16/03/2026 Swap le 13 Mars 2026</t>
  </si>
  <si>
    <t>FOSSET</t>
  </si>
  <si>
    <t>OST_264</t>
  </si>
  <si>
    <t>17/03/2026 : Week 12
14/03/2026 : Besoin d'analyse BO RAN ||Power stability / good breaker  ratings require onsite || Site vandalise</t>
  </si>
  <si>
    <t>17/03/2026 Week 12 14/03/2026 Besoin d'analyse BO RAN Power stability good breaker ratings require onsite Site vandalise</t>
  </si>
  <si>
    <t>Ilor-MTN</t>
  </si>
  <si>
    <t>SUO_046</t>
  </si>
  <si>
    <t>Ilor</t>
  </si>
  <si>
    <t>17/03/2026 : Week 12
13/03/2026 :  SWAP le 01 Fevrier 2026</t>
  </si>
  <si>
    <t>17/03/2026 Week 12 13/03/2026 SWAP le 01 Fevrier 2026</t>
  </si>
  <si>
    <t>Zidim-IHS</t>
  </si>
  <si>
    <t>EXN_154</t>
  </si>
  <si>
    <t>Zidim</t>
  </si>
  <si>
    <t>17/03/2026 : Week 12
12/03/2026 : SWAP le 20 Fevrier 2026</t>
  </si>
  <si>
    <t>17/03/2026 Week 12 12/03/2026 SWAP le 20 Fevrier 2026</t>
  </si>
  <si>
    <t>Hina</t>
  </si>
  <si>
    <t>EXN_047</t>
  </si>
  <si>
    <t>17/03/2026 : Week 12
12/03/2026 : SWAP le 17 Fevrier 2026</t>
  </si>
  <si>
    <t>17/03/2026 Week 12 12/03/2026 SWAP le 17 Fevrier 2026</t>
  </si>
  <si>
    <t>Malanden</t>
  </si>
  <si>
    <t>OST_275</t>
  </si>
  <si>
    <t>Tongo-IHS</t>
  </si>
  <si>
    <t>NRD_112</t>
  </si>
  <si>
    <t>Tongo</t>
  </si>
  <si>
    <t>17/03/2026 : Week 12
12/03/2026 : SWAP le 15 Fevrier 2026</t>
  </si>
  <si>
    <t>17/03/2026 Week 12 12/03/2026 SWAP le 15 Fevrier 2026</t>
  </si>
  <si>
    <t>Meri</t>
  </si>
  <si>
    <t>EXN_023</t>
  </si>
  <si>
    <t>17/03/2026 : Week 12
12/03/2026 : SWAP le 14 Fevrier 2026</t>
  </si>
  <si>
    <t>17/03/2026 Week 12 12/03/2026 SWAP le 14 Fevrier 2026</t>
  </si>
  <si>
    <t>17/03/2026 : Week 12
12/03/2026 : SWAP le 12 Fevrier 2026</t>
  </si>
  <si>
    <t>17/03/2026 Week 12 12/03/2026 SWAP le 12 Fevrier 2026</t>
  </si>
  <si>
    <t>Bandja</t>
  </si>
  <si>
    <t>OST_022</t>
  </si>
  <si>
    <t>17/03/2026 : Week 12
12/03/2026 : SWAP le 05 Fevrier 2026</t>
  </si>
  <si>
    <t>17/03/2026 Week 12 12/03/2026 SWAP le 05 Fevrier 2026</t>
  </si>
  <si>
    <t>Taram-FH</t>
  </si>
  <si>
    <t>OST_092</t>
  </si>
  <si>
    <t>Taram</t>
  </si>
  <si>
    <t>17/03/2026 : Week 12
12/03/2026 : SWAP ce jour 12032026</t>
  </si>
  <si>
    <t>17/03/2026 Week 12 12/03/2026 SWAP ce jour 12032026</t>
  </si>
  <si>
    <t>Mindif</t>
  </si>
  <si>
    <t>EXN_037</t>
  </si>
  <si>
    <t>17/03/2026 : Week 12
08/03/2026 : SWAP le 19 Fevrier 2026</t>
  </si>
  <si>
    <t>17/03/2026 Week 12 08/03/2026 SWAP le 19 Fevrier 2026</t>
  </si>
  <si>
    <t>Kumbo</t>
  </si>
  <si>
    <t>NRO_037</t>
  </si>
  <si>
    <t>17/03/2026 : SWAP en cours ce jour</t>
  </si>
  <si>
    <t>17/03/2026 SWAP en cours ce jour</t>
  </si>
  <si>
    <t>Fokoue-IHS</t>
  </si>
  <si>
    <t>OST_139</t>
  </si>
  <si>
    <t>Fokoue</t>
  </si>
  <si>
    <t>16/03/2026 : SWAP le 20 Fevrier 2026..;Power status check ongoing</t>
  </si>
  <si>
    <t>16/03/2026 SWAP le 20 Fevrier 2026.;Power status check ongoing</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</si>
  <si>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</si>
  <si>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</si>
  <si>
    <t xml:space="preserve">
30/03/2026 :Ghost town
28/03/2026 : Probleme d'access
27/03/2026  : Access not granted for now we keep trying
26/03/2026 : Check breaker and  interconnection(sfp, optical fiber) between system and radio module, swap its if needed ||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t>
  </si>
  <si>
    <t>30/03/2026 Ghost town 28/03/2026 Probleme d'access 27/03/2026 Access not granted for now we keep trying 26/03/2026 Check breaker and interconnection(sfp, optical fiber) between system and radio module, swap its if needed Pas d'access, et de visisbilite 31/03/2026 Relance faite 30/03/2026 Ghost town 28/03/2026 Probleme d'access 27/03/2026 Access not granted for now we keep trying 26/03/2026 Check breaker and interconnection(sfp, optical fiber) between system and radio module, swap its if needed Pas d'access, et de visisbilite 31/03/2026 Relance faite 30/03/2026 Ghost town 28/03/2026 Probleme d'access 27/03/2026 Access not granted for now we keep trying 26/03/2026 Check breaker and interconnection(sfp, optical fiber) between system and radio module, swap its if needed Pas d'access, et de visisbilite 31/03/2026 Relance faite 30/03/2026 Ghost town 28/03/2026 Probleme d'access 27/03/2026 Access not granted for now we keep trying 26/03/2026 Check breaker and interconnection(sfp, optical fiber) between system and radio module, swap its if needed Pas d'access, et de visisbilite</t>
  </si>
  <si>
    <t>Malantouen</t>
  </si>
  <si>
    <t>OST_039</t>
  </si>
  <si>
    <t xml:space="preserve">
29/03/2026 : SWAP le O5 mars 2026</t>
  </si>
  <si>
    <t>29/03/2026 SWAP le O5 mars 2026</t>
  </si>
  <si>
    <t xml:space="preserve">
28/03/2026 : SWAP le 19 Fevrier 2026..;31/03/2026 Camusat: technicien sur site 
30/03/2026 Ghost town / technician will be on site tomorrown (escalated to L2)..;31/03/2026 Camusat: technicien sur site 
30/03/2026 Ghost town / technician will be on site tomorrown (escalated to L2)..;31/03/2026 Camusat: technicien sur site 
30/03/2026 Ghost town / technician will be on site tomorrown (escalated to L2)</t>
  </si>
  <si>
    <t>28/03/2026 SWAP le 19 Fevrier 2026.;31/03/2026 Camusat technicien sur site 30/03/2026 Ghost town technician will be on site tomorrown escalated to L2).;31/03/2026 Camusat technicien sur site 30/03/2026 Ghost town technician will be on site tomorrown escalated to L2).;31/03/2026 Camusat technicien sur site 30/03/2026 Ghost town technician will be on site tomorrown escalated to L2)</t>
  </si>
  <si>
    <t>Rd-Pt-Longkak</t>
  </si>
  <si>
    <t>CTR_449</t>
  </si>
  <si>
    <t>ZTE</t>
  </si>
  <si>
    <t>(04/29/2026 ocm ran 00h): Impacted by CTR_197_Z_Charles-Atangana (Power issue)..;..;(04/29/2026 com ran 17h): Impacted by CTR_197_Z_Charles-Atangana (Power issue)..;..;(04/29/2026 com ran 18h): Impacted by CTR_197_Z_Charles-Atangana (Power issue) ||04/29/2026: hardware issue,  site with GPS issue (alarm : TDD down 09Apr 02pm)</t>
  </si>
  <si>
    <t>(04/29/2026 ocm ran 00h): 28.04.26: Impacté par la coupure AOF CTR_799_Z_Pont-Emana-MTN&lt;&gt;Okolo, d'après le BO TX
27.04.26: IHS: Access issue ,Grid outage, site down because site behaves as Grid only site (Gen Noise)</t>
  </si>
  <si>
    <t>(04/29/2026 retour IHS): Power issue NUR to be checked   ||   (04/29/2026 hourly IHS): FME Ahanda is informed and will manage after Messassi MTN..;..;(04/29/2026 ocm ran 00h): Impacted by CTR_160_Z_Emana-Bilick-IHS (Power issue)</t>
  </si>
  <si>
    <t>(04/29/2026 incident ): impacted by  CTR_773_Z_Efoulan-Pont(CTR-773), soucis d'energie || Action : en ettente RCA CAMSUSAT..;..;(04/29/2026 cell zte): 29/04/2026 : Besoin d'analyse BO RAN..;..;(04/29/2026 ocm ran 00h): 28.04.26: Camusat: investigations ongoing / FME is trying to get level0 - Escalated to L2..;..;(04/29/2026 ticket): INC-20260429-00007383  ;  intervention en cours   ;  Others Transmission equipement fault</t>
  </si>
  <si>
    <t>Moulanga</t>
  </si>
  <si>
    <t>LIT_670</t>
  </si>
  <si>
    <t xml:space="preserve">(04/29/2026 ocm ran 00h): Impacted by SUO_061_Z_Bekoko-MTN (TX issue) || (groupe whatsapp incident ):SUO_061_Z_Bekoko-MTN(SUO-061) -{ 28.04.26: Besoin d'un FME sur site pour vérifier la chaine antennaire de l'ODU 3.1; FME Pascal activé pour investigations, update ASAP } </t>
  </si>
  <si>
    <t>Huawei</t>
  </si>
  <si>
    <t>IP &amp; VLAN</t>
  </si>
  <si>
    <t>(04/29/2026 incident ): impacted by SUO_066_H_Berunda-MTN ,  RCA: Lien Optim Radio Berunda-MTN_Buea - Signal-Hill DOWN / Reroutage du trafic sur le FH</t>
  </si>
  <si>
    <t xml:space="preserve">(04/29/2026 com ran 17h): Impacted by LIT_695_Z_Mabanda-CIMAF(LIT-695)..;..;(04/29/2026 com ran 18h): Impacted by LIT_695_Z_Mabanda-CIMAF(LIT-695)..;..;(04/29/2026 ticket): INC-20260429-00020771 || (groupe whatsapp incident): LIT_695_Z_Mabanda-CIMAF(LIT-695) -{ Besoin d'un fme sur site pour verifier le status du MPR FME BORIS activé escalade RM Honore } </t>
  </si>
  <si>
    <t>(04/29/2026 incident ): impacted by   NRD_009_H_Garoua-Lainde , RCA: Power issue / En attente RCA IHS..;..;(04/29/2026 ocm ran 00h): 28/04/2026 CAMUSAT: grid outage and gen failed to start due to gen card alarming gen failed to start - Escalated to L2..;..;(04/29/2026 com ran 17h): Power status check ongoing..;..;(04/29/2026 com ran 18h): Power status check ongoing</t>
  </si>
  <si>
    <t>(04/29/2026 incident ): impacted by  SUO_023_H_Buea-Signal-Hill  Souci d'energie defaut GE || Action  En attente RCA  de OCM..;..;(04/29/2026 ocm ran 00h): 27/04/2026 Generateur vendalisé restauration en cours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</si>
  <si>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Muea</t>
  </si>
  <si>
    <t>SUO_038</t>
  </si>
  <si>
    <t>(04/29/2026 incident ): impacted by SUO_007_H_Buea-Orange, Plantage de l'ODU 5.1A Buea -signal-Hill  || Action site up after physique reset of ODU 5.1A Buea -signal-Hill</t>
  </si>
  <si>
    <t>Bonakanda</t>
  </si>
  <si>
    <t>SUO_132</t>
  </si>
  <si>
    <t>Bokova-IHS</t>
  </si>
  <si>
    <t>SUO_254</t>
  </si>
  <si>
    <t>Sites strategiques &amp; DataCenter</t>
  </si>
  <si>
    <t>(04/29/2026 incident ): impacted by  SUO_023_H_Buea-Signal-Hill  Souci d'energie defaut GE || Action  En attente RCA  de OCM..;..;(04/29/2026 ocm ran 00h): 28/04/2026 Besoin d'un fm sur site pour verifier le status du MPR et la chaine antennaire de l ODU; FME Fabien activé pour investigations, update ASAP</t>
  </si>
  <si>
    <t>Buea-UB-Lamp-IHS</t>
  </si>
  <si>
    <t>SUO_200</t>
  </si>
  <si>
    <t>(04/29/2026 incident ): impacted by  SUO_801_H_BUEA-AGENCE, souci d'energie reporter a notre FME (Huawei ) sur site . OCM activer pour intervention. Update ASAP..;..;(04/29/2026 com ran 17h): Impactd by SUO_801_H_BUEA-AGENCE..;..;(04/29/2026 com ran 18h): Impactd by SUO_801_H_BUEA-AGENCE</t>
  </si>
  <si>
    <t>Buea-Dirty-South-HIS</t>
  </si>
  <si>
    <t>SUO_260</t>
  </si>
  <si>
    <t>Buea-Service-Center-IHS</t>
  </si>
  <si>
    <t>SUO_182</t>
  </si>
  <si>
    <t>NRD_262_H_Gra-Doualare-Ancien-LAWANAT</t>
  </si>
  <si>
    <t>NRD_262</t>
  </si>
  <si>
    <t>(04/29/2026 incident ): impacted by   NRD_009_H_Garoua-Lainde , RCA: Power issue / En attente RCA IHS</t>
  </si>
  <si>
    <t>Buea-Orange</t>
  </si>
  <si>
    <t>SUO_007</t>
  </si>
  <si>
    <t>Kanga</t>
  </si>
  <si>
    <t>LIT_510</t>
  </si>
  <si>
    <t>Massock-Songloulou</t>
  </si>
  <si>
    <t>NOKIA</t>
  </si>
  <si>
    <t>(04/29/2026 hourly IHS): Marcel is on site..;..;(04/29/2026 ocm ran 00h): Impacted by Songloulou-IHS_LIT_200 (TX issue)..;..;(04/29/2026 com ran 17h): Impacted by Songloulou-IHS_LIT_200 (TX issue)..;..;(04/29/2026 com ran 18h): Impacted by Songloulou-IHS_LIT_200 (TX issue)  || (roupe whatsapp incident mgmt ):Songloulou-IHS_G9U9U21_LIT_200: 28.04.2026: Spare dementelee et Expedition en cours vers EDEA ETD=28.04.2026 ETR=29/04/2026</t>
  </si>
  <si>
    <t>Tatum</t>
  </si>
  <si>
    <t>NRO_073</t>
  </si>
  <si>
    <t>(04/29/2026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arrivés..;..;(04/29/2026 com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arrivés..;..;(04/29/2026 com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</si>
  <si>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   (04/29/2026 incident ): impacted by   Tibati_2_ADM_044  , soucis d'energie || Action : en ettente RCA HIS ..;..;(04/29/2026 cell nokia): 29/04/2026 : Check breaker and  interconnection FRMF, FRGU, FXDB(sfp, optical fiber) between system and radio module, swap its if needed ||power issue ||Email to send IHS  ..;..;(04/29/2026 cell nokia): 29/04/2026 : Check breaker and  interconnection FRMF, FRGU, FXDB(sfp, optical fiber) between system and radio module, swap its if needed ||power issue ||Email to send IHS  ..;..;(04/29/2026 ticket): INC-20260429-00010132  ;  Others Transmission equipement fault</t>
  </si>
  <si>
    <t>Ngo-Njo-II</t>
  </si>
  <si>
    <t>LIT_585</t>
  </si>
  <si>
    <t>(04/29/2026 ticket): INC-20260429-00016625 || (04/29/2026 retour CAMUSAT): Impacté par Bonamoutongo-III</t>
  </si>
  <si>
    <t>Mile16-Bolifamba-IHS</t>
  </si>
  <si>
    <t>SUO_220</t>
  </si>
  <si>
    <t xml:space="preserve">   (04/29/2026 incident ): impacted by   Tibati_2_ADM_044  , soucis d'energie || Action : en ettente RCA HIS ..;..;(04/29/2026 ticket): INC-20260429-00017928  ;  2026-04-30 00:05:58  ;  Grid outage and grid only site / Grid return awaited  ;  user:OCM_NOC.CAMUSAT</t>
  </si>
  <si>
    <t>(04/29/2026 retour IHS): Power issue NUR to be checked   ||   (04/29/2026 incident ): impacted by   NRD_009_H_Garoua-Lainde , RCA: Power issue / En attente RCA IHS..;..;(04/29/2026 hourly IHS): fme merlin is on site..;..;(04/29/2026 com ran 17h): Power status check ongoing..;..;(04/29/2026 com ran 18h): Power status check ongoing..;..;(04/29/2026 ticket): INC-20260429-00016356  ;  Others Transmission equipement fault</t>
  </si>
  <si>
    <t>(04/29/2026 ocm ran 00h): Impacted by Febadi-MTN_G9U9L8L7_ADM_063..;..;(04/29/2026 com ran 17h): Impacted by Febadi-MTN_G9U9L8L7_ADM_063..;..;(04/29/2026 com ran 18h): Impacted by Febadi-MTN_G9U9L8L7_ADM_063|| (04/29/2026 top offenders): Impacted by ADM_122_N_Danfili-MTN-IHS  || (groupe whatsapp incident ): "Danfili-MTN-IHS_L8_ADM_122 -{ 28/08/2026 fme wily activé ETA=17H28 UTC 
Bo tx: activer le FME sur le site de Danfili-MTN-IHS-ADM_122 pour vérifier le statut du MPR et de la radio et des connectiques. } "</t>
  </si>
  <si>
    <t>Bokwai-IHS</t>
  </si>
  <si>
    <t>SUO_197</t>
  </si>
  <si>
    <t>BOVA-II-IHS</t>
  </si>
  <si>
    <t>SUO_221</t>
  </si>
  <si>
    <t>Berunda-MTN</t>
  </si>
  <si>
    <t>SUO_066</t>
  </si>
  <si>
    <t>LIT_838_Z_Logpom-Bagam</t>
  </si>
  <si>
    <t>LIT_838</t>
  </si>
  <si>
    <t>(04/29/2026 ocm ran 00h): Impacted by LIT_841_Z_PK12-BASSA-SODIKOMBO (Power issue)..;..;(04/29/2026 com ran 17h): Power status check ongoing..;..;(04/29/2026 com ran 18h): Power status check ongoing</t>
  </si>
  <si>
    <t>(04/29/2026 retour IHS): Power issue NUR to be checked   ||   (04/29/2026 com ran 17h): Impacted by Magba_G_OST_023..;..;(04/29/2026 com ran 18h): Impacted by Magba_G_OST_023..;..;(04/29/2026 ticket): INC-20260429-00018300  ;  Others Transmission equipement fault</t>
  </si>
  <si>
    <t>(04/29/2026 incident ): impacted by  ADM_127_H_Ngd-University-II-HIS..;..;(04/29/2026 com ran 17h): Power status check ongoing..;..;(04/29/2026 com ran 18h): Power status check ongoing || (04/29/2026 retour CAMUSAT): Batterie GE faulty</t>
  </si>
  <si>
    <t>Kay-Kay</t>
  </si>
  <si>
    <t>EXN_050</t>
  </si>
  <si>
    <t>HUAWEI</t>
  </si>
  <si>
    <t>(04/29/2026 incident ): impacted by  Bagarao_G_EXN_202  ,Power issue observed from efms. Voltage  Drop (From 53v to 46v). CAMUSAT As disucussed please for support || Nouvelle ETA depasse ESCALADE faite au L2 SAMBA . Update ASAP..;..;(04/29/2026 com ran 17h): Impacted by Bagarao_G9U9U21_EXN_202..;..;(04/29/2026 com ran 18h): Impacted by Bagarao_G9U9U21_EXN_202</t>
  </si>
  <si>
    <t>Doreissou-IHS</t>
  </si>
  <si>
    <t>EXN_118</t>
  </si>
  <si>
    <t>Doreissou</t>
  </si>
  <si>
    <t>Kotto-Village</t>
  </si>
  <si>
    <t>LIT_726</t>
  </si>
  <si>
    <t>(04/29/2026 ticket): INC-20260429-00005474  ;  2026-04-29 09:39:43  ;  Site impacted by NKOMENKUI CTR_696.
FME is on the way to the site, ETA : 11:10 AM.  ;  Others Transmission equipement fault  ;  user:ABANDA	Jean Roland || (04/29/2026 retour CAMUSAT): Carte GE alarmée</t>
  </si>
  <si>
    <t>Meiganga</t>
  </si>
  <si>
    <t>ADM_004</t>
  </si>
  <si>
    <t>(04/29/2026 incident ): impacted by    Magba_G_OST_023 , RCA: Power issue / En attente RCA CAMUSAT..;..;(04/29/2026 cell huawei): 29/04/2026 : Power instability || Mail sent to Camusat..;..;(04/29/2026 com ran 17h): Power status check ongoing..;..;(04/29/2026 com ran 18h): Power status check ongoing</t>
  </si>
  <si>
    <t xml:space="preserve">   (04/29/2026 incident ): impacted by   Tibati_2_ADM_044  , soucis d'energie || Action : en ettente RCA HIS ..;..;(04/29/2026 ocm ran 00h): 28.04.26: Besoin d'un FME sur site pour vérifier le statut de la MRBTS2 et son interco avec le MPR; FME Willy activé pour investigations, update ASAP..;..;(04/29/2026 com ran 17h): 29/04/2026 Module fsmf faulty commande ne cours 
28.04.26: Besoin d'un FME sur site pour vérifier le statut de la MRBTS2 et son interco avec le MPR; FME Willy activé pour investigations, update ASAP..;..;(04/29/2026 com ran 18h): 29/04/2026 Module fsmf faulty commande ne cours 
28.04.26: Besoin d'un FME sur site pour vérifier le statut de la MRBTS2 et son interco avec le MPR; FME Willy activé pour investigations, update ASAP..;..;(04/29/2026 ticket): INC-20260429-00012160  ;  Others Transmission equipement fault</t>
  </si>
  <si>
    <t>(04/29/2026 groupe whatsapp incident mgmt  ):   Deconnextion cable ethernet  , Action : apres le sertissage du cable radio ethernet ||    (04/29/2026 incident ): impacted by  CTR_301_N_Matsari ,UPDATE 3: ODU Matsari dir Yoko ne reagit pas après check avec le level 0, check en aérien du FME des l'aube sur site..;..;(04/29/2026 com ran 17h): Power status check ongoing..;..;(04/29/2026 com ran 18h): Power status check ongoing..;..;(04/29/2026 ticket): INC-20260429-00006738  ;  2026-04-29 10:13:04  ;  
FME Willy activer ETA=45 Minute(12H UTC +1)  ;  
En Attente RCA IHS  ;  Other  ;  
Souci Energie  ;  user:ABANDA	Jean Roland</t>
  </si>
  <si>
    <t>Ngouetou</t>
  </si>
  <si>
    <t>CTR_300</t>
  </si>
  <si>
    <t>(04/29/2026 groupe whatsapp incident mgmt  ):   Deconnextion cable ethernet  , Action : apres le sertissage du cable radio ethernet ||   (04/29/2026 incident ): impacted by  CTR_301_N_Matsari ,UPDATE 3: ODU Matsari dir Yoko ne reagit pas après check avec le level 0, check en aérien du FME des l'aube sur site..;..;(04/29/2026 com ran 17h): Impacted by Magba_G_OST_023..;..;(04/29/2026 com ran 18h): Impacted by Magba_G_OST_023..;..;(04/29/2026 ticket): INC-20260429-00006774  ;  2026-04-29 10:13:04  ;  
FME Willy activer ETA=45 Minute(12H UTC +1)  ;  
En Attente RCA IHS  ;  Other  ;  
Souci Energie  ;  user:ABANDA	Jean Roland</t>
  </si>
  <si>
    <t>Poumpoumrey-II</t>
  </si>
  <si>
    <t>NRD_148</t>
  </si>
  <si>
    <t>Pitoa-Ville-IHS</t>
  </si>
  <si>
    <t>NRD_096</t>
  </si>
  <si>
    <t>Pitoa-Entree</t>
  </si>
  <si>
    <t>NRD_133</t>
  </si>
  <si>
    <t>(04/29/2026 incident ): impacted by   NRD_009_H_Garoua-Lainde , RCA: Power issue / En attente RCA HIS</t>
  </si>
  <si>
    <t>Pitoa</t>
  </si>
  <si>
    <t>NRD_013</t>
  </si>
  <si>
    <t>(04/29/2026 incident ): impacted by   NRD_009_H_Garoua-Lainde , RCA: Power issue / En attente RCA IHS..;..;(04/29/2026 hourly IHS): FME RUBAIN is managing with the level zero (idrissou is informed )..;..;(04/29/2026 ticket): INC-20260429-00014728  ;  GE Fault</t>
  </si>
  <si>
    <t>Fin-goudron-Mbangue</t>
  </si>
  <si>
    <t>LIT_844</t>
  </si>
  <si>
    <t>Bad-Grid-GE</t>
  </si>
  <si>
    <t>(04/29/2026 retour CAMUSAT): Impacté par Kotto Denver (Grid only site)</t>
  </si>
  <si>
    <t>Sabongari-NRO</t>
  </si>
  <si>
    <t>NRO_230</t>
  </si>
  <si>
    <t>Sabongari</t>
  </si>
  <si>
    <t>(04/29/2026 hourly IHS): FME is managing with the level 0..;..;(04/29/2026 cell nokia): 29/04/2026: Need BO RAN analysis ..;..;(04/29/2026 cell nokia): 29/04/2026: Need BO RAN analysis ..;..;(04/29/2026 com ran 17h): Impacted by Magba_G_OST_023..;..;(04/29/2026 com ran 18h): Impacted by Magba_G_OST_023..;..;(04/29/2026 ticket): INC-20260429-00012965</t>
  </si>
  <si>
    <t>Buea-Signal-Hill</t>
  </si>
  <si>
    <t>SUO_023</t>
  </si>
  <si>
    <t>(04/29/2026 incident ): impacted by  SUO_023_H_Buea-Signal-Hill  Souci d'energie defaut GE || Action  En attente RCA  de OCM..;..;(04/29/2026 ticket): INC-20260429-00009049  ;  issue resolved   ;  Others Transmission equipement fault</t>
  </si>
  <si>
    <t>Bankim</t>
  </si>
  <si>
    <t>ADM_012</t>
  </si>
  <si>
    <t>(04/29/2026 incident ): impacted by    Magba_G_OST_023 , RCA: Power issue / En attente RCA CAMUSAT..;..;(04/29/2026 com ran 17h): Impacted by Magba_G_OST_023..;..;(04/29/2026 com ran 18h): Impacted by Magba_G_OST_023</t>
  </si>
  <si>
    <t>(04/29/2026 incident ): impacted by  Bagarao_G_EXN_202  ,Power issue observed from efms. Voltage  Drop (From 53v to 46v). CAMUSAT As disucussed please for support || Nouvelle ETA depasse ESCALADE faite au L2 SAMBA . Update ASAP..;..;(04/29/2026 com ran 17h): 29/04/2026 The level 0 is on the way to the site ETA 15h30..;..;(04/29/2026 com ran 18h): 29/04/2026 The level 0 is on the way to the site ETA 15h30..;..;(04/29/2026 ticket): INC-20260429-00009531</t>
  </si>
  <si>
    <t>Limbe-Mile4-IHS</t>
  </si>
  <si>
    <t>SUO_212</t>
  </si>
  <si>
    <t>(04/29/2026 incident ): impacted by  SUO_023_H_Buea-Signal-Hill  Souci d'energie defaut GE || Action  En attente RCA  de OCM</t>
  </si>
  <si>
    <t>Mbamti-Katarko</t>
  </si>
  <si>
    <t>ADM_163</t>
  </si>
  <si>
    <t>Mbamti</t>
  </si>
  <si>
    <t xml:space="preserve">   (04/29/2026 incident ): impacted by   Tibati_2_ADM_044  , soucis d'energie || Action : en ettente RCA HIS </t>
  </si>
  <si>
    <t>Magba</t>
  </si>
  <si>
    <t>OST_023</t>
  </si>
  <si>
    <t>CTR_406_N_Mbimbim-MTN</t>
  </si>
  <si>
    <t>CTR_406</t>
  </si>
  <si>
    <t>Mbimbim</t>
  </si>
  <si>
    <t>(04/29/2026 groupe whatsapp incident mgmt  ):   Deconnextion cable ethernet  , Action : apres le sertissage du cable radio ethernet ||    (04/29/2026 incident ): impacted by  CTR_301_N_Matsari ,UPDATE 3: ODU Matsari dir Yoko ne reagit pas après check avec le level 0, check en aérien du FME des l'aube sur site..;..;(04/29/2026 com ran 17h): Impacted by Magba_G_OST_023..;..;(04/29/2026 com ran 18h): Impacted by Magba_G_OST_023..;..;(04/29/2026 ticket): INC-20260429-00006419  ;  2026-04-29 10:13:04  ;  
FME Willy activer ETA=45 Minute(12H UTC +1)  ;  
En Attente RCA IHS  ;  Other  ;  
Souci Energie  ;  user:ABANDA	Jean Roland</t>
  </si>
  <si>
    <t>Buea-Universite</t>
  </si>
  <si>
    <t>SUO_062</t>
  </si>
  <si>
    <t>(04/29/2026 incident ): impacted by  SUO_023_H_Buea-Signal-Hill  Souci d'energie defaut GE || Action  En attente RCA  de OCM..;..;(04/29/2026 hourly IHS): fme abdel will be on site at 03:35PM</t>
  </si>
  <si>
    <t>(04/29/2026 incident ): impacted by  Bagarao_G_EXN_202  ,Power issue observed from efms. Voltage  Drop (From 53v to 46v). CAMUSAT As disucussed please for support || Nouvelle ETA depasse ESCALADE faite au L2 SAMBA . Update ASAP..;..;(04/29/2026 com ran 17h): Impacted by Bagarao_G9U9U21_EXN_202..;..;(04/29/2026 com ran 18h): Impacted by Bagarao_G9U9U21_EXN_202..;..;(04/29/2026 ticket): INC-20260429-00011199</t>
  </si>
  <si>
    <t>Garoua-Lainde-II</t>
  </si>
  <si>
    <t>NRD_145</t>
  </si>
  <si>
    <t>Molyko-Paramount-Street-IHS</t>
  </si>
  <si>
    <t>SUO_179</t>
  </si>
  <si>
    <t>Hopital-General-Garoua</t>
  </si>
  <si>
    <t>NRD_189</t>
  </si>
  <si>
    <t>Efoulan</t>
  </si>
  <si>
    <t>CTR_209</t>
  </si>
  <si>
    <t>(04/29/2026 incident ): impacted by  CTR_773_Z_Efoulan-Pont(CTR-773), soucis d'energie || Action : en ettente RCA CAMSUSAT..;..;(04/29/2026 ticket): INC-20260429-00007543  ;  power   ;  Others Transmission equipement fault</t>
  </si>
  <si>
    <t xml:space="preserve"> not accepted</t>
  </si>
  <si>
    <t>Poumpoumrey</t>
  </si>
  <si>
    <t>NRD_038</t>
  </si>
  <si>
    <t>Garoua-Stade</t>
  </si>
  <si>
    <t>NRD_143</t>
  </si>
  <si>
    <t>Marouare-New</t>
  </si>
  <si>
    <t>NRD_130</t>
  </si>
  <si>
    <t>GSS-BUEA-TOWN-IHS</t>
  </si>
  <si>
    <t>SUO_184</t>
  </si>
  <si>
    <t>Garoua-Sonayo</t>
  </si>
  <si>
    <t>NRD_162</t>
  </si>
  <si>
    <t>Buea-Salvation-Pharmacy-HIS</t>
  </si>
  <si>
    <t>SUO_259</t>
  </si>
  <si>
    <t>Buea-David-Square</t>
  </si>
  <si>
    <t>SUO_077</t>
  </si>
  <si>
    <t>Tole-Tea-IHS</t>
  </si>
  <si>
    <t>SUO_152</t>
  </si>
  <si>
    <t>Molyko-Buea-SC2</t>
  </si>
  <si>
    <t>SUO_213</t>
  </si>
  <si>
    <t>Mountain-Hotel-IHS</t>
  </si>
  <si>
    <t>SUO_202</t>
  </si>
  <si>
    <t>(04/29/2026 incident ): impacted by  SUO_023_H_Buea-Signal-Hill  Souci d'energie defaut GE || Action  En attente RCA  de OCM..;..;(04/29/2026 ticket): INC-20260429-00009048  ;  Others Transmission equipement fault</t>
  </si>
  <si>
    <t>Buea-Entree</t>
  </si>
  <si>
    <t>SUO_033</t>
  </si>
  <si>
    <t>Efoulan-Pont</t>
  </si>
  <si>
    <t>CTR_773</t>
  </si>
  <si>
    <t xml:space="preserve">(04/29/2026 incident ): impacted by  CTR_773_Z_Efoulan-Pont(CTR-773), soucis d'energie || Action : en ettente RCA CAMSUSAT..;..;(04/29/2026 cell zte): 29/04/2026 : Besoin d'analyse BO RAN..;..;(04/29/2026 ticket): INC-20260429-00007470  ;  2026-04-29 11:02:35  ;  MTN activated for check power status  ;  user:NIONAN VENCESLA EBENEZER </t>
  </si>
  <si>
    <t>Buea-Street2</t>
  </si>
  <si>
    <t>SUO_240</t>
  </si>
  <si>
    <t>Buea-Sandpit-IHS</t>
  </si>
  <si>
    <t>SUO_180</t>
  </si>
  <si>
    <t>Buea-Bomaka-II-IHS</t>
  </si>
  <si>
    <t>SUO_201</t>
  </si>
  <si>
    <t>Garoua-Katasko-MTN-IHS</t>
  </si>
  <si>
    <t>NRD_116</t>
  </si>
  <si>
    <t>Buea-Soppo-University-IHS</t>
  </si>
  <si>
    <t>SUO_199</t>
  </si>
  <si>
    <t>Great-Soppo-IHS</t>
  </si>
  <si>
    <t>SUO_181</t>
  </si>
  <si>
    <t>Mile14-IHS</t>
  </si>
  <si>
    <t>SUO_079</t>
  </si>
  <si>
    <t>(04/29/2026 incident ): impacted by  SUO_023_H_Buea-Signal-Hill  Souci d'energie defaut GE || Action  En attente RCA  de OCM..;..;(04/29/2026 ticket): INC-20260429-00011041  ;  Others Transmission equipement fault</t>
  </si>
  <si>
    <t>Buea-Kouma-IHS</t>
  </si>
  <si>
    <t>SUO_215</t>
  </si>
  <si>
    <t>Molyko-IHS</t>
  </si>
  <si>
    <t>SUO_183</t>
  </si>
  <si>
    <t>Buea-Centre-Ville</t>
  </si>
  <si>
    <t>SUO_063</t>
  </si>
  <si>
    <t>Buea-Hospital</t>
  </si>
  <si>
    <t>SUO_163</t>
  </si>
  <si>
    <t>Tole-II-IHS</t>
  </si>
  <si>
    <t>SUO_190</t>
  </si>
  <si>
    <t>Mile16-Buea-HIS</t>
  </si>
  <si>
    <t>SUO_243</t>
  </si>
  <si>
    <t>Buea-Camtel</t>
  </si>
  <si>
    <t>SUO_226</t>
  </si>
  <si>
    <t>(04/29/2026 incident ): impacted by  CTR_773_Z_Efoulan-Pont(CTR-773), soucis d'energie || Action : en ettente RCA CAMSUSAT..;..;(04/29/2026 ticket): INC-20260429-00007807</t>
  </si>
  <si>
    <t>Nassarao</t>
  </si>
  <si>
    <t>NRD_037</t>
  </si>
  <si>
    <t>Garoua-Ouro-Lawan-II</t>
  </si>
  <si>
    <t>NRD_146</t>
  </si>
  <si>
    <t>Garoua-Ouro-Lawan</t>
  </si>
  <si>
    <t>NRD_054</t>
  </si>
  <si>
    <t>Nassarao-II</t>
  </si>
  <si>
    <t>NRD_147</t>
  </si>
  <si>
    <t>Mayo-Djinga-FH</t>
  </si>
  <si>
    <t>OST_093</t>
  </si>
  <si>
    <t>Mayo-Djinga</t>
  </si>
  <si>
    <t>(04/29/2026 incident ): impacted by    Magba_G_OST_023 , RCA: Power issue / En attente RCA CAMUSAT..;..;(04/29/2026 com ran 17h): Impacted by Magba_G_OST_023..;..;(04/29/2026 com ran 18h): Impacted by Magba_G_OST_023..;..;(04/29/2026 ticket): INC-20260429-00013819</t>
  </si>
  <si>
    <t>Abattoir</t>
  </si>
  <si>
    <t>CTR_104</t>
  </si>
  <si>
    <t>(04/29/2026 incident ): impacted by  CTR_773_Z_Efoulan-Pont(CTR-773), soucis d'energie || Action : en ettente RCA CAMSUSAT</t>
  </si>
  <si>
    <t>Mantoum-Ville</t>
  </si>
  <si>
    <t>OST_201</t>
  </si>
  <si>
    <t>Mantoum</t>
  </si>
  <si>
    <t>(04/29/2026 com ran 17h): Impacted by Magba_G_OST_023..;..;(04/29/2026 com ran 18h): Impacted by Magba_G_OST_023..;..;(04/29/2026 ticket): INC-20260429-00012952  ;  remontée des sites Mayo DJINGA, mayo Darle, Pangari après un reset physique du MPR qui porte ces directions.  ;  Transmission  ;  remontée des sites Mayo DJINGA, mayo Darle, Pangari après un reset physique du MPR qui porte ces directions.</t>
  </si>
  <si>
    <t>Mantoum-Village</t>
  </si>
  <si>
    <t>OST_200</t>
  </si>
  <si>
    <t xml:space="preserve">(04/29/2026 incident ): impacted by    Magba_G_OST_023 , RCA: Power issue / En attente RCA CAMUSAT..;..;(04/29/2026 com ran 17h): Impacted by Magba_G_OST_023..;..;(04/29/2026 com ran 18h): Impacted by Magba_G_OST_023..;..;(04/29/2026 ticket): INC-20260429-00006903  ;  2026-04-29 14:19:29  ;  
	No power issue, U=49.5V site on GEN, FME TX Honore 677551851 / HUAWEI is informed.  ;  	No power issue, U=49.5V site on GEN, FME TX Honore 677551851 / HUAWEI is informed.  ;  Equipement crash (Plantage)  ;  	No power issue, U=49.5V site on GEN, FME TX Honore 677551851 / HUAWEI is informed.  ;  user:TCHOUPOU BAUDOIN VALDAS </t>
  </si>
  <si>
    <t>Mayo-Baleo-IHS</t>
  </si>
  <si>
    <t>ADM_075</t>
  </si>
  <si>
    <t>Mayo-Baleo</t>
  </si>
  <si>
    <t>(04/29/2026 hourly IHS): Supervisor is informed and managing ( Ali Abakar is informed )..;..;(04/29/2026 ticket): INC-20260429-00000745  ;  2026-04-29 03:34:30  ;  IMPACTED BY Mayo-Baleo  ;  power issue in the parent site of Mayo Baleo   ;  Others Transmission equipement fault  ;  user:OCM_NOC.IHS</t>
  </si>
  <si>
    <t>Lamape</t>
  </si>
  <si>
    <t>OST_027</t>
  </si>
  <si>
    <t>Tole-HIS</t>
  </si>
  <si>
    <t>SUO_196</t>
  </si>
  <si>
    <t>Doumofe-MTN</t>
  </si>
  <si>
    <t>OST_116</t>
  </si>
  <si>
    <t>Doumofe</t>
  </si>
  <si>
    <t>(04/29/2026 com ran 17h): Impacted by Magba_G_OST_023..;..;(04/29/2026 com ran 18h): Impacted by Magba_G_OST_023..;..;(04/29/2026 ticket): INC-20260429-00013931  ;  Others Transmission equipement fault</t>
  </si>
  <si>
    <t>(04/29/2026 com ran 17h): Impacted by Magba_G_OST_023..;..;(04/29/2026 com ran 18h): Impacted by Magba_G_OST_023..;..;(04/29/2026 ticket): INC-20260429-00005286  ;  2026-04-29 10:01:38  ;  No power issue on site Ubaie: 52 V Site on Grid. Brice (+237 674016397/ Huawei) is informed. Site up without intervention.  ;  user:OCM_NOC.IHS</t>
  </si>
  <si>
    <t>Garoua-Lainde</t>
  </si>
  <si>
    <t>NRD_009</t>
  </si>
  <si>
    <t>(04/29/2026 incident ): impacted by   NRD_009_H_Garoua-Lainde , RCA: Power issue / En attente RCA IHS..;..;(04/29/2026 hourly IHS): FME is on the way , ETA ASAP ( Franklin is informed )</t>
  </si>
  <si>
    <t>Wotutu-IHS</t>
  </si>
  <si>
    <t>SUO_127</t>
  </si>
  <si>
    <t>Wotutu</t>
  </si>
  <si>
    <t xml:space="preserve">   (04/29/2026 incident ): impacted by   Tibati_2_ADM_044  , soucis d'energie || Action : en ettente RCA HIS ..;..;(04/29/2026 ticket): INC-20260429-00006638  ;  Others Transmission equipement fault</t>
  </si>
  <si>
    <t>(04/29/2026 incident ): impacted by    Magba_G_OST_023 , RCA: Power issue / En attente RCA CAMUSAT..;..;(04/29/2026 com ran 17h): Impacted by Magba_G_OST_023..;..;(04/29/2026 com ran 18h): Impacted by Magba_G_OST_023..;..;(04/29/2026 ticket): INC-20260429-00011468  ;  Others Transmission equipement fault</t>
  </si>
  <si>
    <t xml:space="preserve">   (04/29/2026 incident ): impacted by   Tibati_2_ADM_044  , soucis d'energie || Action : en ettente RCA HIS ..;..;(04/29/2026 ticket): INC-20260429-00006900  ;  Others Transmission equipement fault</t>
  </si>
  <si>
    <t xml:space="preserve">   (04/29/2026 incident ): impacted by   Tibati_2_ADM_044  , soucis d'energie || Action : en ettente RCA HIS ..;..;(04/29/2026 ticket): INC-20260429-00006444  ;  2026-04-29 10:13:04  ;  
FME Willy activer ETA=45 Minute(12H UTC +1)  ;  
En Attente RCA IHS  ;  Other  ;  
Souci Energie  ;  user:ABANDA	Jean Roland</t>
  </si>
  <si>
    <t>Tibati-Market-MTN-IHS</t>
  </si>
  <si>
    <t>ADM_105</t>
  </si>
  <si>
    <t>Tibati</t>
  </si>
  <si>
    <t xml:space="preserve">   (04/29/2026 incident ): impacted by   Tibati_2_ADM_044  , soucis d'energie || Action : en ettente RCA HIS ..;..;(04/29/2026 ticket): INC-20260429-00006796  ;  Others Transmission equipement fault</t>
  </si>
  <si>
    <t xml:space="preserve">   (04/29/2026 incident ): impacted by   Tibati_2_ADM_044  , soucis d'energie || Action : en ettente RCA HIS ..;..;(04/29/2026 ticket): INC-20260429-00006930  ;  Others Transmission equipement fault</t>
  </si>
  <si>
    <t>Tibati-II</t>
  </si>
  <si>
    <t>ADM_044</t>
  </si>
  <si>
    <t>Tignere</t>
  </si>
  <si>
    <t>ADM_011</t>
  </si>
  <si>
    <t>CTR_302_N_Doume-Centre</t>
  </si>
  <si>
    <t>CTR_302</t>
  </si>
  <si>
    <t>Doume</t>
  </si>
  <si>
    <t xml:space="preserve">   (04/29/2026 incident ): impacted by   Tibati_2_ADM_044  , soucis d'energie || Action : en ettente RCA HIS ..;..;(04/29/2026 ticket): INC-20260429-00006477  ;  2026-04-29 10:13:04  ;  
FME Willy activer ETA=45 Minute(12H UTC +1)  ;  
En Attente RCA IHS  ;  Other  ;  
Souci Energie  ;  user:ABANDA	Jean Roland</t>
  </si>
  <si>
    <t xml:space="preserve">   (04/29/2026 incident ): impacted by   Tibati_2_ADM_044  , soucis d'energie || Action : en ettente RCA HIS ..;..;(04/29/2026 ticket): INC-20260429-00006413  ;  Others Transmission equipement fault</t>
  </si>
  <si>
    <t>(04/29/2026 com ran 17h): Impacted by Magba_G_OST_023..;..;(04/29/2026 com ran 18h): Impacted by Magba_G_OST_023..;..;(04/29/2026 ticket): INC-20260429-00014028  ;  GE Fault</t>
  </si>
  <si>
    <t xml:space="preserve">   (04/29/2026 incident ): impacted by   Tibati_2_ADM_044  , soucis d'energie || Action : en ettente RCA HIS ..;..;(04/29/2026 ticket): INC-20260429-00006491  ;  Others Transmission equipement fault</t>
  </si>
  <si>
    <t>Mbamti-New</t>
  </si>
  <si>
    <t>ADM_154</t>
  </si>
  <si>
    <t xml:space="preserve">   (04/29/2026 incident ): impacted by   Tibati_2_ADM_044  , soucis d'energie || Action : en ettente RCA HIS ..;..;(04/29/2026 ticket): INC-20260429-00006649  ;  Others Transmission equipement fault</t>
  </si>
  <si>
    <t xml:space="preserve">   (04/29/2026 incident ): impacted by   Tibati_2_ADM_044  , soucis d'energie || Action : en ettente RCA HIS ..;..;(04/29/2026 ticket): INC-20260429-00006894  ;  Others Transmission equipement fault</t>
  </si>
  <si>
    <t>Djoa-IHS</t>
  </si>
  <si>
    <t>ADM_187</t>
  </si>
  <si>
    <t>Ngd-Trouamala</t>
  </si>
  <si>
    <t>ADM_058</t>
  </si>
  <si>
    <t>(04/29/2026 incident ): impacted by    Magba_G_OST_023 , RCA: Power issue / En attente RCA CAMUSAT..;..;(04/29/2026 hourly IHS): Yannick is informed and managing (Richarr is informed</t>
  </si>
  <si>
    <t xml:space="preserve">   (04/29/2026 incident ): impacted by   Tibati_2_ADM_044  , soucis d'energie || Action : en ettente RCA HIS ..;..;(04/29/2026 ticket): INC-20260429-00006907  ;  Others Transmission equipement fault</t>
  </si>
  <si>
    <t xml:space="preserve">   (04/29/2026 incident ): impacted by   Tibati_2_ADM_044  , soucis d'energie || Action : en ettente RCA HIS ..;..;(04/29/2026 ticket): INC-20260429-00006805</t>
  </si>
  <si>
    <t>Mile4</t>
  </si>
  <si>
    <t>SUO_021</t>
  </si>
  <si>
    <t xml:space="preserve">   (04/29/2026 incident ): impacted by   Tibati_2_ADM_044  , soucis d'energie || Action : en ettente RCA HIS ..;..;(04/29/2026 ticket): INC-20260429-00006151  ;  power Grid outage here the site is only on Grid   ;  Others Transmission equipement fault</t>
  </si>
  <si>
    <t xml:space="preserve">   (04/29/2026 incident ): impacted by   Tibati_2_ADM_044  , soucis d'energie || Action : en ettente RCA HIS ..;..;(04/29/2026 ticket): INC-20260429-00006797  ;  Others Transmission equipement fault</t>
  </si>
  <si>
    <t xml:space="preserve">   (04/29/2026 incident ): impacted by   Tibati_2_ADM_044  , soucis d'energie || Action : en ettente RCA HIS ..;..;(04/29/2026 ticket): INC-20260429-00006481  ;  2026-04-29 10:13:04  ;  
FME Willy activer ETA=45 Minute(12H UTC +1)  ;  
En Attente RCA IHS  ;  Other  ;  
Souci Energie  ;  user:ABANDA	Jean Roland</t>
  </si>
  <si>
    <t>(04/29/2026 incident ): impacted by Mbankomo-Okoa-Maria_Z_CTR_541, RCA: Plantage ODU à Nomayos / Soft reset ODU 3/1 à Nomayos..;..;(04/29/2026 ticket): INC-20260429-00012891</t>
  </si>
  <si>
    <t>Koundoum</t>
  </si>
  <si>
    <t>OST_252</t>
  </si>
  <si>
    <t>(04/29/2026 incident ): impacted by    Magba_G_OST_023 , RCA: Power issue / En attente RCA CAMUSAT</t>
  </si>
  <si>
    <t xml:space="preserve">   (04/29/2026 incident ): impacted by   Tibati_2_ADM_044  , soucis d'energie || Action : en ettente RCA HIS ..;..;(04/29/2026 ticket): INC-20260429-00006442  ;  Others Transmission equipement fault</t>
  </si>
  <si>
    <t>Ngd-Chateau</t>
  </si>
  <si>
    <t>ADM_001</t>
  </si>
  <si>
    <t>Mbankomo-Okoa-Maria</t>
  </si>
  <si>
    <t>CTR_541</t>
  </si>
  <si>
    <t>(04/29/2026 incident ): impacted by Mbankomo-Okoa-Maria_Z_CTR_541, RCA: Plantage ODU à Nomayos / Soft reset ODU 3/1 à Nomayos</t>
  </si>
  <si>
    <t>Nji-Camtel</t>
  </si>
  <si>
    <t>CTR_139</t>
  </si>
  <si>
    <t>Nji</t>
  </si>
  <si>
    <t>(04/29/2026 incident ): impacted by EST_076_N_Diang-MTN</t>
  </si>
  <si>
    <t>Nguelemendouka-FH</t>
  </si>
  <si>
    <t>EST_024</t>
  </si>
  <si>
    <t>Nguelemendouka</t>
  </si>
  <si>
    <t>Nguem-MTN</t>
  </si>
  <si>
    <t>EST_077</t>
  </si>
  <si>
    <t>Nguem</t>
  </si>
  <si>
    <t>Andom</t>
  </si>
  <si>
    <t>EST_150</t>
  </si>
  <si>
    <t>Meba-CAMTEL</t>
  </si>
  <si>
    <t>CTR_407</t>
  </si>
  <si>
    <t>Meba</t>
  </si>
  <si>
    <t>(04/29/2026 ocm ran 00h): 28/04/2026 Impacted by CTR_197_Z_Charles-Atangana (Power issue)
28/04/2026Power issue resolved FME activated to check MPR STATUS ETA ASAP
27/04/2026 grid only site, grid outage / grid return awaited..;..;(04/29/2026 com ran 17h): 28/04/2026 Impacted by CTR_197_Z_Charles-Atangana (Power issue)
28/04/2026Power issue resolved FME activated to check MPR STATUS ETA ASAP
27/04/2026 grid only site, grid outage / grid return awaited..;..;(04/29/2026 com ran 18h): 28/04/2026 Impacted by CTR_197_Z_Charles-Atangana (Power issue)
28/04/2026Power issue resolved FME activated to check MPR STATUS ETA ASAP
27/04/2026 grid only site, grid outage / grid return awaited</t>
  </si>
  <si>
    <t>LIT_857_Z_Bois-des-Singes-III-IHS</t>
  </si>
  <si>
    <t>LIT_857</t>
  </si>
  <si>
    <t>(04/29/2026 ocm ran 00h): Impacted by LIT_568_Z_Bobongo-II (Power issue)..;..;(04/29/2026 com ran 17h): Impacted by LIT_568_Z_Bobongo-II (Power issue)..;..;(04/29/2026 com ran 18h): Impacted by LIT_568_Z_Bobongo-II (Power issue)..;..;(04/29/2026 ticket): INC-20260429-00020041  ;  2026-04-30 00:57:34  ;  investigation ongoing / Our FME is trying to reach the security guard.
We will revert back to you  ;  user:OCM_NOC.CAMUSAT</t>
  </si>
  <si>
    <t>Mbongo-IHS</t>
  </si>
  <si>
    <t>LIT_480</t>
  </si>
  <si>
    <t>Mbongo</t>
  </si>
  <si>
    <t>(04/29/2026 incident ): impacted by  LIT_480_Z_Mbongo-IHS(LIT-480), ODU en perte de rendement   || plusieur s reset ODU . Notons egalement pour stabiliser le site , le FME EST EN ROUTE POUR canibaliser l 'ODU  de mbonguen . ETA =1H  pour son arriver a Mbonguen</t>
  </si>
  <si>
    <t>Abuh</t>
  </si>
  <si>
    <t>NRO_079</t>
  </si>
  <si>
    <t>(04/29/2026 ocm ran 00h):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0..;..;(04/29/2026 com ran 17h): 29/04/2026 |plan for this weekend if access possible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0..;..;(04/29/2026 com ran 18h): 29/04/2026 |plan for this weekend if access possible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</si>
  <si>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Manoka-IHS</t>
  </si>
  <si>
    <t>LIT_497</t>
  </si>
  <si>
    <t>Manoka</t>
  </si>
  <si>
    <t>(04/29/2026 incident ): impacted by  LIT_480_Z_Mbongo-IHS(LIT-480), ODU en perte de rendement   || plusieur s reset ODU . Notons egalement pour stabiliser le site , le FME EST EN ROUTE POUR canibaliser l 'ODU  de mbonguen . ETA =1H  pour son arriver a Mbonguen..;..;(04/29/2026 ocm ran 00h): Impacted by LIT_480_Z_Mbongo-IHS (ODU en perte de rendement)..;..;(04/29/2026 com ran 17h): Power status check ongoing..;..;(04/29/2026 com ran 18h): Power status check ongoing</t>
  </si>
  <si>
    <t>Mbankomo-IHS</t>
  </si>
  <si>
    <t>CTR_528</t>
  </si>
  <si>
    <t>Angongo</t>
  </si>
  <si>
    <t>CTR_358</t>
  </si>
  <si>
    <t>Nkongtock-IHS</t>
  </si>
  <si>
    <t>CTR_733</t>
  </si>
  <si>
    <t>Nkongtock</t>
  </si>
  <si>
    <t>Mandoumba</t>
  </si>
  <si>
    <t>CTR_066</t>
  </si>
  <si>
    <t>Solar-Grid-Gen-Lithium</t>
  </si>
  <si>
    <t>Nkenglikok</t>
  </si>
  <si>
    <t>CTR_060</t>
  </si>
  <si>
    <t>Nkeng-likok</t>
  </si>
  <si>
    <t>(04/27/2026 ocm ran 17h):-Impacted by CTR_197_Z_Charles-Atangana(CTR-197)..;..;(04/27/2026 ocm ran 11h):-Impacted by CTR_197_Z_Charles-Atangana(CTR-197)..;..;(04/27/2026 ticket):-INC-20260427-00002062…2026-04-27 19:15:19…Site impacted by CTR_197_Z_Charles-Atangana(CTR-197)  //  En attente de retour ENEO sur CTR_197_Z_Charles-Atangana(CTR-197)…power issues responsabilité ihs  || 04/27/2026: hardware issue,  site with GPS issue (alarm : TDD down 09Apr 02pm)</t>
  </si>
  <si>
    <t>Mboppi-New</t>
  </si>
  <si>
    <t>LIT_736</t>
  </si>
  <si>
    <t>(04/27/2026 incident ) :impacted by  LIT_736_Z_Mboppi-New  ,Grid outage et batterie frelon dechargee  || Actrion :installation de la betterie Frelon..;..;(04/27/2026 cell zte):-23/04/2026 : Site down..;..;(04/27/2026 ocm ran 11h):-26/04/2026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</si>
  <si>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Babylone-dispensaire</t>
  </si>
  <si>
    <t>LIT_648</t>
  </si>
  <si>
    <t>(04/27/2026 cell zte):-27/04/2026 : Site down..;..;(04/27/2026 ocm ran 17h):-Impacter par LIT_616_Z_Buca-Voyage(LIT-616)..;..;(04/27/2026 ticket):-INC-20260427-00010419…2026-04-27 19:56:59…Grid outage and Grid only site / Grid return awaited</t>
  </si>
  <si>
    <t>Makepe-Nodal</t>
  </si>
  <si>
    <t>LIT_103</t>
  </si>
  <si>
    <t>(04/27/2026 incident ) :impacted by impacted by  LIT_666_Z_Parcours-Vita(LIT-666), probleme d'energie || Action : RCA CAMUSAT attentdu..;..;(04/27/2026 cell zte):-27/04/2026 : Besoin d'analyse BO RAN</t>
  </si>
  <si>
    <t>(04/27/2026 ocm ran 17h):-27/04/2026 besoin d'un fme sur site pour verifier le status du MPR FME brice tsague activé ..;..;(04/27/2026 ticket):-INC-20260427-00010262…impacté par entré cité verte qui à un problème de power.…Others Transmission equipement fault</t>
  </si>
  <si>
    <t>(04/27/2026 incident ) :impacted by   NRO_100_H_Bambalang ,   souci de connu , de redresseur . Point deja escaladera HIS par aocm (IHS remonre un probleme d'access du a l'insecurity..;..;(04/27/2026 ocm ran 17h):-power status check ongoing..;..;(04/27/2026 ocm ran 11h):-power status check ongoing</t>
  </si>
  <si>
    <t>Mboppi-Market-IHS</t>
  </si>
  <si>
    <t>LIT_761</t>
  </si>
  <si>
    <t xml:space="preserve">Grid Gen </t>
  </si>
  <si>
    <t>(04/27/2026 incident ) :impacted by  LIT_736_Z_Mboppi-New  ,Grid outage et batterie frelon dechargee  || Actrion :installation de la betterie Frelon</t>
  </si>
  <si>
    <t>Nkongoa-Mfou</t>
  </si>
  <si>
    <t>CTR_896</t>
  </si>
  <si>
    <t>(04/27/2026 ocm ran 17h):-Impacted by CTR_629_Z_Nkongoa(CTR-629)..;..;(04/27/2026 ocm ran 11h):-Impacted by CTR_629_Z_Nkongoa(CTR-629)</t>
  </si>
  <si>
    <t>(04/27/2026 ocm ran 17h):-Impacted by Songloulou-IHS_LIT_200 (TX issue)..;..;(04/27/2026 ocm ran 11h):-Impacted by Songloulou-IHS_LIT_200 (TX issue)</t>
  </si>
  <si>
    <t>(04/27/2026 cell nokia):-23/04/2026 : Relance faite hier 
22/04/2026 : Cable d'alimentation SPM vandaliser
21/04/2026 : Check breaker and  interconnection FXED, FXDB, FRMF (sfp, optical fiber) between system and radio module, swap its if needed || FME Tsafack ervis activer..;..;(04/27/2026 cell nokia):-23/04/2026 : Relance faite hier 
22/04/2026 : Cable d'alimentation SPM vandaliser
21/04/2026 : Check breaker and  interconnection FXED, FXDB, FRMF (sfp, optical fiber) between system and radio module, swap its if needed || FME Tsafack ervis activer..;..;(04/27/2026 ticket):-INC-20260427-00001240…impacté par mazavou…Others Transmission equipement fault</t>
  </si>
  <si>
    <t>(04/27/2026 ocm ran 17h):-21.04.26;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arrivés..;..;(04/27/2026 ocm ran 11h):-21.04.26;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</si>
  <si>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Entree-Cite-Verte-IHS</t>
  </si>
  <si>
    <t>CTR_519</t>
  </si>
  <si>
    <t>(04/27/2026 ocm ran 17h):-Impacted by CTR_519_Z_Entree-Cite-Verte-IHS(CTR-519)..;..;(04/27/2026 ticket):-INC-20260427-00010264…2026-04-27 20:22:29…Bo Trans analyse en cours…power issue (grid outage)…Others Transmission equipement fault</t>
  </si>
  <si>
    <t>Crf-Patrick-Mboma</t>
  </si>
  <si>
    <t>LIT_697</t>
  </si>
  <si>
    <t>(04/27/2026 incident ) :impacted by impacted by  LIT_666_Z_Parcours-Vita(LIT-666), probleme d'energie || Action : RCA CAMUSAT attentdu..;..;(04/27/2026 ticket):-INC-20260427-00010682…Site impacté par makepe parcours vita qui est un site Grid only.…Others Transmission equipement fault</t>
  </si>
  <si>
    <t>Parcours-Vita</t>
  </si>
  <si>
    <t>LIT_666</t>
  </si>
  <si>
    <t>(04/27/2026 incident ) :impacted by impacted by  LIT_666_Z_Parcours-Vita(LIT-666), probleme d'energie || Action : RCA CAMUSAT attentdu..;..;(04/27/2026 cell zte):-27/04/2026 : Besoin d'analyse BO RAN..;..;(04/27/2026 ticket):-INC-20260427-00010684…2026-04-27 16:07:27…Remplacement du démarreur GE…Remplacement du démarreur GE par notre technicien…Others…le démarreur du GE est passé HS ce qui à cause l'arret du GE</t>
  </si>
  <si>
    <t>(04/27/2026 incident ) :impacted by  LIT_138_Z_Sackbayeme(LIT-138) ,defaut , Disjoncteur dans la baie TX  || Action : remplacement ..;..;(04/27/2026 ocm ran 11h):-power status check ongoing..;..;(04/27/2026 ticket):-INC-20260427-00005917…we check the power issue on site to Sackbayeme…Others Transmission equipement fault</t>
  </si>
  <si>
    <t>(04/27/2026 incident ) :impacted by bagaroa__G_EXN_202, souci d'energie || Action en attente RCA camusat</t>
  </si>
  <si>
    <t>Torock-IHS</t>
  </si>
  <si>
    <t>EXN_178</t>
  </si>
  <si>
    <t>Torock</t>
  </si>
  <si>
    <t>(04/27/2026 incident ) :impacted by EXN_011_N_Kaele  , probleme d'energie , chute de tenssion  U=46v  || Action RCA attendu</t>
  </si>
  <si>
    <t>Bsadi-ZoneA-New</t>
  </si>
  <si>
    <t>LIT_277</t>
  </si>
  <si>
    <t>(04/27/2026 incident ) :impacted by impacted by  LIT_666_Z_Parcours-Vita(LIT-666), probleme d'energie || Action : RCA CAMUSAT attentdu..;..;(04/27/2026 ticket):-INC-20260427-00010679…power issue grid outage no backup awaiting grid return …Others Transmission equipement fault</t>
  </si>
  <si>
    <t>Makepe-Ecole-Sira</t>
  </si>
  <si>
    <t>LIT_167</t>
  </si>
  <si>
    <t>(04/27/2026 incident ) :impacted by impacted by  LIT_666_Z_Parcours-Vita(LIT-666), probleme d'energie || Action : RCA CAMUSAT attentdu..;..;(04/27/2026 ticket):-INC-20260427-00010503…Site impacté par makepe parcours vita qui est un site Grid only.…Others Transmission equipement fault</t>
  </si>
  <si>
    <t>Makepe-AES</t>
  </si>
  <si>
    <t>LIT_357</t>
  </si>
  <si>
    <t>(04/27/2026 incident ) :impacted by impacted by  LIT_666_Z_Parcours-Vita(LIT-666), probleme d'energie || Action : RCA CAMUSAT attentdu..;..;(04/27/2026 ticket):-INC-20260427-00010687…Site impacté par makepe parcours vita qui est un site Grid only.…Others Transmission equipement fault</t>
  </si>
  <si>
    <t>(04/27/2026 incident ) :impacted by EXN_011_N_Kaele  , probleme d'energie , chute de tenssion  U=46v  || Action RCA attendu..;..;(04/27/2026 ocm ran 17h):-power status check ongoing..;..;(04/27/2026 ticket):-INC-20260427-00013206…Others Transmission equipement fault</t>
  </si>
  <si>
    <t>Ashum-MTN</t>
  </si>
  <si>
    <t>SUO_089</t>
  </si>
  <si>
    <t>Ashum</t>
  </si>
  <si>
    <t>(04/27/2026 ocm ran 17h):-Impacted by SUO_040_H_Tinto..;..;(04/27/2026 ocm ran 11h):-power status check ongoing</t>
  </si>
  <si>
    <t>(04/27/2026 ticket):-INC-20260427-00001155…impacté par mazavou…Others Transmission equipement fault</t>
  </si>
  <si>
    <t>(04/27/2026 incident ) :impacted by..;..;(04/27/2026 ticket):-INC-20260427-00001161…impacté par mazavou…Others Transmission equipement fault || Hello Victorine.
FME manage avec le level 0 qui est sur site et en parallèle il est aussi en chemin ETA 09 :00.…RCA attendu de CAMUSAT…Others…Probleme d'energie</t>
  </si>
  <si>
    <t>(04/27/2026 ticket):-INC-20260427-00001160…impacté par mazavou…Others Transmission equipement fault</t>
  </si>
  <si>
    <t>(04/27/2026 ticket):-INC-20260427-00011232…IMPACTED BY OLEMBE CTR_080…GE Fault</t>
  </si>
  <si>
    <t>(04/27/2026 incident ) :impacted by   NRO_100_H_Bambalang ,   souci de connu , de redresseur . Point deja escaladera HIS par aocm (IHS remonre un probleme d'access du a l'insecurity..;..;(04/27/2026 ticket):-INC-20260427-00013651</t>
  </si>
  <si>
    <t>Boudva-IHS</t>
  </si>
  <si>
    <t>NRD_092</t>
  </si>
  <si>
    <t>Boudva</t>
  </si>
  <si>
    <t>(04/27/2026 incident ) :impacted by  LIT_138_Z_Sackbayeme(LIT-138) ,defaut , Disjoncteur dans la baie TX  || Action : remplacement ..;..;(04/27/2026 cell nokia):-27/04/2026 : Check and replace FRGU || ETA : 28/04/2026 ..;..;(04/27/2026 ocm ran 11h):-power status check ongoing..;..;(04/27/2026 ticket):-INC-20260427-00005633…we check the power issue on site to Sackbayeme…Others Transmission equipement fault</t>
  </si>
  <si>
    <t>Fotokol-Town-IHS</t>
  </si>
  <si>
    <t>EXN_259</t>
  </si>
  <si>
    <t>Fotokol</t>
  </si>
  <si>
    <t>(04/27/2026 incident ) :impacted by  EXN_013_H_Fotokol, Solar Gen site ,solar outage and DG was is manuel mode  || Action DG start manuely</t>
  </si>
  <si>
    <t>(04/27/2026 incident ) :impacted by EXN_011_N_Kaele  , probleme d'energie , chute de tenssion  U=46v  || Action RCA attendu..;..;(04/27/2026 ticket):-INC-20260427-00013172…Others Transmission equipement fault</t>
  </si>
  <si>
    <t>(04/27/2026 incident ) :impacted by EXN_011_N_Kaele  , probleme d'energie , chute de tenssion  U=46v  || Action RCA attendu..;..;(04/27/2026 ticket):-INC-20260427-00013035…2026-04-27 18:56:06…	Bad grid voltage, Gen failed to start. // Grid switched off and Manual start of Gen.…IHS…Others…Probleme energie, chute de tension, U:46V</t>
  </si>
  <si>
    <t>(04/27/2026 incident ) :impacted by EXN_011_N_Kaele  , probleme d'energie , chute de tenssion  U=46v  || Action RCA attendu..;..;(04/27/2026 ticket):-INC-20260427-00013040…Others Transmission equipement fault</t>
  </si>
  <si>
    <t>(04/27/2026 incident ) :impacted by EXN_011_N_Kaele  , probleme d'energie , chute de tenssion  U=46v  || Action RCA attendu..;..;(04/27/2026 ocm ran 17h):-power status check ongoing</t>
  </si>
  <si>
    <t>(04/27/2026 incident ) :impacted by EXN_011_N_Kaele  , probleme d'energie , chute de tenssion  U=46v  || Action RCA attendu..;..;(04/27/2026 ocm ran 17h):-power status check ongoing..;..;(04/27/2026 ticket):-INC-20260427-00013270…Others Transmission equipement fault</t>
  </si>
  <si>
    <t>(04/27/2026 incident ) :impacted by CTR_139_Z_Nji-Camtel(CTR-139), probleme d'energie || Action : RCA CAMUSAT attentdu..;..;(04/27/2026 ocm ran 17h):-power status check ongoing</t>
  </si>
  <si>
    <t>EXN_013</t>
  </si>
  <si>
    <t>Ndokoa-IHS</t>
  </si>
  <si>
    <t>CTR_757</t>
  </si>
  <si>
    <t>Ndokoa</t>
  </si>
  <si>
    <t>(04/27/2026 ocm ran 17h):-Impacted by CTR_699_N_Batchenga-Nachtigal-IHS (TX issue)..;..;(04/27/2026 ocm ran 11h):-Impacted by CTR_699_N_Batchenga-Nachtigal-IHS (TX issue)</t>
  </si>
  <si>
    <t>(04/27/2026 ocm ran 17h):-27.04.26;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0..;..;(04/27/2026 ocm ran 11h):-27.04.26; Access banned by Separatist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</si>
  <si>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Pella</t>
  </si>
  <si>
    <t>CTR_894</t>
  </si>
  <si>
    <t>Bihaing-IHS</t>
  </si>
  <si>
    <t>LIT_517</t>
  </si>
  <si>
    <t>HIS</t>
  </si>
  <si>
    <t>Bihaing</t>
  </si>
  <si>
    <t>(04/27/2026 incident ) :impacted by  LIT_138_Z_Sackbayeme(LIT-138) ,defaut , Disjoncteur dans la baie TX  || Action : remplacement ..;..;(04/27/2026 ocm ran 11h):-Impacted by LIT_138_Z_Sackbayeme(LIT-138)</t>
  </si>
  <si>
    <t>Botko</t>
  </si>
  <si>
    <t>LIT_319</t>
  </si>
  <si>
    <t>Poutkak</t>
  </si>
  <si>
    <t>LIT_513</t>
  </si>
  <si>
    <t>Pouma-Makob</t>
  </si>
  <si>
    <t>LIT_201</t>
  </si>
  <si>
    <t>Pouma</t>
  </si>
  <si>
    <t>Sackbayeme</t>
  </si>
  <si>
    <t>LIT_138</t>
  </si>
  <si>
    <t>Sacbayeme</t>
  </si>
  <si>
    <t>(04/27/2026 incident ) :impacted by  LIT_138_Z_Sackbayeme(LIT-138) ,defaut , Disjoncteur dans la baie TX  || Action : remplacement ..;..;(04/27/2026 cell zte):-27/04/2026 : Besoin d'analyse BO RAN..;..;(04/27/2026 ocm ran 11h):-Impacted by LIT_138_Z_Sackbayeme(LIT-138)..;..;(04/27/2026 ticket):-INC-20260427-00005660…2026-04-27 11:48:53…
Apres Un Conf call avec le RM(Honore). Le FME yannick est plus Proche du Site de Sackbayeme. Il a pris la route ETA=1H(13H45 UTC+ 1)…
Remplacement Disjoncteur dans la Baie TX…Disconnection…
Defaut Disjoncteur dans la Baie TX</t>
  </si>
  <si>
    <t>(0428/2026 incident ): impacted by EXN_012_N_Mokolo   ,RCA: Non demarrage du GE / Démarrage manuel du GE et reset MPR..;..;(04/28/2026 ticket): INC-20260428-00005709…Others Transmission equipement fault</t>
  </si>
  <si>
    <t>(04/28/2026 ocm ran 00h): Impacted by LIT_209_Z_Cellucam-New (Power issue)</t>
  </si>
  <si>
    <t>(04/28/2026 ocm ran 14h): Impacted by CTR_629_Z_Nkongoa(CTR-629)..;..;(04/28/2026 com ran 10h): Impacted by CTR_629_Z_Nkongoa(CTR-629)..;..;(04/28/2026 ocm ran 00h): Impacted by CTR_629_Z_Nkongoa(CTR-629)</t>
  </si>
  <si>
    <t xml:space="preserve">(04/28/2026 ocm ran 19h): Impacted by SUO_061_Z_Bekoko-MTN(SUO-061)..;..;(04/28/2026 ocm ran 14h): Power status check ongoing || (groupe whatsapp): SUO_061_Z_Bekoko-MTN(SUO-061) -{ 28.04.26: Besoin d'un FME sur site pour vérifier la chaine antennaire de l'ODU 3.1; FME Pascal activé pour investigations, update ASAP } </t>
  </si>
  <si>
    <t>(0428/2026 incident ): impacted by  NRO_100_H_Bambalang ,retour IHS : FME reports GEN overloads, insecurity area, ||Gen overlaod, insecurity area / point escalade L3, pour un ETA  our intervenir ||Feedback HIS :FME manage toujours avec le level0 pour un acces au site car zone tres insecurisee..;..;(04/28/2026 hourly IHS): FME reports GEN Overload, Insecurity area...;..;(04/28/2026 cell huawei): 28/04/2026 : Besoin d'analyse BO RAN</t>
  </si>
  <si>
    <t>(04/28/2026 ocm ran 19h): Impacted by CTR_197_Z_Charles-Atangana(CTR-197)..;..;(04/28/2026 ocm ran 14h): Impacted by CTR_197_Z_Charles-Atangana(CTR-197)..;..;(04/28/2026 com ran 10h): Impacted by CTR_197_Z_Charles-Atangana(CTR-197)..;..;(04/28/2026 ocm ran 00h): Impacted by CTR_197_Z_Charles-Atangana(CTR-197) ||   04/28/2026: hardware issue,  site with GPS issue (alarm : TDD down 09Apr 02pm)</t>
  </si>
  <si>
    <t>(04/28/2026 ocm ran 19h): Impacted by SUD_021_Z_Mpoloungoue(SUD-021)..;..;(04/28/2026 ocm ran 14h): Power status check ongoing..;..;(04/28/2026 ticket): INC-20260428-00009510…2026-04-28 14:19:58…Transmission issue main site SUD_021_Z_Mpoloungoue(SUD-021) Down not under our scope / Npo action done…impacted by Kribi Lolo …Others Transmission equipement fault</t>
  </si>
  <si>
    <t>(04/28/2026 hourly IHS): FME manage ETA ASAP..;..;(04/28/2026 ocm ran 19h): Impacted by SUD_021_Z_Mpoloungoue(SUD-021)..;..;(04/28/2026 ocm ran 14h): Power status check ongoing..;..;(04/28/2026 ticket): INC-20260428-00009530…2026-04-28 18:28:46…FME LUCIEN activé ETA ASAP…impacted by Kribi Lolo …Others Transmission equipement fault  || (groupe whatapp) : SUD_021_Z_Mpoloungoue(SUD-021)+3(SUD_079_Z_Kribi-Londji(SUD-079/SUD_176_Z_Kribi-Mpolongwe-II(SUD-176/SUD_053_Z_Kribi-Mpala(SUD-053)
besoin d'un fme sur site pour verifier le status du MPR</t>
  </si>
  <si>
    <t>(04/28/2026 hourly IHS): Grid outage // awaiting grid returned..;..;(04/28/2026 ocm ran 19h): Impacted by SUD_021_Z_Mpoloungoue(SUD-021)..;..;(04/28/2026 ocm ran 14h): Power status check ongoing..;..;(04/28/2026 ticket): INC-20260428-00009539…2026-04-28 18:26:24…Site impacted by SUD_021_Z_Mpoloungoue(SUD-021)…impacted by Kribi Lolo …Others Transmission equipement fault</t>
  </si>
  <si>
    <t>(04/28/2026 hourly IHS): DJANKO WANDJ BIGANSTILE (650631358) from Dowen service is working on site(corrections to the DC box installation)..;..;(04/28/2026 ocm ran 19h): Impacted by CTR_160_Z_Emana-Bilick-IHS (Power issue)..;..;(04/28/2026 ocm ran 14h): Impacted by CTR_160_Z_Emana-Bilick-IHS (Power issue)..;..;(04/28/2026 com ran 10h): Impacted by CTR_160_Z_Emana-Bilick-IHS (Power issue)..;..;(04/28/2026 ocm ran 00h): Impacted by CTR_160_Z_Emana-Bilick-IHS (Power issue)</t>
  </si>
  <si>
    <t>(04/28/2026 ocm ran 19h): Impacted by Songloulou-IHS_LIT_200 (TX issue)..;..;(04/28/2026 ocm ran 14h): Impacted by Songloulou-IHS_LIT_200 (TX issue)..;..;(04/28/2026 com ran 10h): Impacted by Songloulou-IHS_LIT_200 (TX issue)..;..;(04/28/2026 ocm ran 00h): Impacted by Songloulou-IHS_LIT_200 (TX issue)</t>
  </si>
  <si>
    <t>(04/28/2026 ocm ran 19h):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arrivés..;..;(04/28/2026 ocm ran 14h):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arrivés..;..;(04/28/2026 com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arrivés..;..;(04/28/2026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</si>
  <si>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(0428/2026 incident ): impacted by  NRO_100_H_Bambalang ,retour IHS : FME reports GEN overloads, insecurity area, ||Gen overlaod, insecurity area / point escalade L3, pour un ETA  our intervenir ||Feedback HIS :FME manage toujours avec le level0 pour un acces au site car zone tres insecurisee..;..;(04/28/2026 hourly IHS): FME is informed and managing with L0...;..;(04/28/2026 ocm ran 19h): Power status check ongoing..;..;(04/28/2026 ocm ran 14h): Power status check ongoing..;..;(04/28/2026 ocm ran 00h): P1 incident at Bambalang..;..;(04/28/2026 ticket): INC-20260428-00016036…Others Transmission equipement fault</t>
  </si>
  <si>
    <t>(04/28/2026 cell zte): 28/04/2026 : Besoin d'analyse BO RAN..;..;(04/28/2026 ticket): INC-20260428-00008903…impacté par bonamoutongo lll power issue grid outage no backup awaiting grid return …Others Transmission equipement fault</t>
  </si>
  <si>
    <t>(04/28/2026 ocm ran 00h): Impacted by LIT_657_Z_Kotto-Denver (Power issue)</t>
  </si>
  <si>
    <t>MABETA</t>
  </si>
  <si>
    <t>SUO_165</t>
  </si>
  <si>
    <t>(04/28/2026 ocm ran 19h): Impacted by SUO_081_H_Limbe-Bimbia-CRTV..;..;(04/28/2026 ticket): INC-20260428-00017059</t>
  </si>
  <si>
    <t>(04/28/2026 retour IHS ): Power issue NUR to be checked   ||  (0428/2026 incident ): impacted by LIT_181_Z_Bonendale(LIT-181)   Grid outage , Gen fault to start due to alarm "highvolt"" ||  Action : He reset Gen card and  Gen started..;..;(04/28/2026 hourly IHS): FME is on the way ETA 14:55 Maxime is informed..;..;(04/28/2026 ocm ran 14h): Power status check ongoing..;..;(04/28/2026 ticket): INC-20260428-00015333…2026-04-28 23:07:28…Grid outage, Gen failed to start due to alarm "s2 high volt"// He reset Gen card and Gen started…power issue GE failure manque secteur IHS est informé …Others…Grid outage, Gen failed to start due to alarm " high volt</t>
  </si>
  <si>
    <t>Bberi-Excellence</t>
  </si>
  <si>
    <t>LIT_645</t>
  </si>
  <si>
    <t>(0428/2026 incident ): impacted by LIT_181_Z_Bonendale(LIT-181)   Grid outage , Gen fault to start due to alarm "highvolt"" ||  Action : He reset Gen card and  Gen started..;..;(04/28/2026 ocm ran 14h): Power status check ongoing..;..;(04/28/2026 ticket): INC-20260428-00015328…2026-04-28 23:07:28…Grid outage, Gen failed to start due to alarm "s2 high volt"// He reset Gen card and Gen started…He reset Gen card and Gen started.…Others…Grid outage, Gen failed to start due to alarm " high volt</t>
  </si>
  <si>
    <t>(0428/2026 incident ): impacted by LIT_181_Z_Bonendale(LIT-181)   Grid outage , Gen fault to start due to alarm "highvolt"" ||  Action : He reset Gen card and  Gen started..;..;(04/28/2026 ocm ran 14h): Power status check ongoing..;..;(04/28/2026 ticket): INC-20260428-00015345…2026-04-28 23:07:28…Grid outage, Gen failed to start due to alarm "s2 high volt"// He reset Gen card and Gen started…He reset Gen card and Gen started.…Others…Grid outage, Gen failed to start due to alarm " high volt</t>
  </si>
  <si>
    <t>(04/28/2026 ocm ran 19h): Impacted by Febadi-MTN_G9U9L8L7_ADM_063..;..;(04/28/2026 ocm ran 14h): Power status check ongoing..;..;(04/28/2026 ticket): INC-20260428-00007165…2026-04-28 16:45:27…Impacted by DANFILI-IHS_ADM_122</t>
  </si>
  <si>
    <t>Ayos</t>
  </si>
  <si>
    <t>EST_018</t>
  </si>
  <si>
    <t>(04/28/2026 hourly IHS): Honnest reports swapping the Bay on site..;..;(04/28/2026 cell nokia): 28/04/2026 : Check breaker and  interconnection ARMA(sfp, optical fiber) between system and radio module, swap its if needed || FME essiane  activer ||Cell impacter par le swap de la baie d'energie par IHS ..;..;(04/28/2026 ocm ran 14h): Power status check ongoing</t>
  </si>
  <si>
    <t>LIT_862_Z_Bonamatoumbe-Village</t>
  </si>
  <si>
    <t>LIT_862</t>
  </si>
  <si>
    <t>GE</t>
  </si>
  <si>
    <t>(0428/2026 incident ): impacted by LIT_181_Z_Bonendale(LIT-181)   Grid outage , Gen fault to start due to alarm "highvolt"" ||  Action : He reset Gen card and  Gen started</t>
  </si>
  <si>
    <t>Ossing-IHS</t>
  </si>
  <si>
    <t>SUO_100</t>
  </si>
  <si>
    <t>Ossing</t>
  </si>
  <si>
    <t>(0428/2026 incident ): impacted by SUO_030_N_Bachuo-Ntai , Power issue at OST_029_N_Meguia || Action :en attente RCA HIS..;..;(04/28/2026 ticket): INC-20260428-00002892…power instability …Others Transmission equipement fault</t>
  </si>
  <si>
    <t>Bonendale</t>
  </si>
  <si>
    <t>LIT_181</t>
  </si>
  <si>
    <t>(0428/2026 incident ): impacted by LIT_181_Z_Bonendale(LIT-181)   Grid outage , Gen fault to start due to alarm "highvolt"" ||  Action : He reset Gen card and  Gen started..;..;(04/28/2026 hourly IHS): fme is on the way to site ETA=09:10 PM..;..;(04/28/2026 ticket): INC-20260428-00015338…2026-04-28 23:07:28…Grid outage, Gen failed to start due to alarm "s2 high volt"// He reset Gen card and Gen started…He reset Gen card and Gen started.…Others…Grid outage, Gen failed to start due to alarm " high volt</t>
  </si>
  <si>
    <t>Bonendale-II</t>
  </si>
  <si>
    <t>LIT_641</t>
  </si>
  <si>
    <t>(0428/2026 incident ): impacted by LIT_181_Z_Bonendale(LIT-181)   Grid outage , Gen fault to start due to alarm "highvolt"" ||  Action : He reset Gen card and  Gen started..;..;(04/28/2026 ticket): INC-20260428-00015327…2026-04-28 23:07:28…Grid outage, Gen failed to start due to alarm "s2 high volt"// He reset Gen card and Gen started…He reset Gen card and Gen started.…Others…Grid outage, Gen failed to start due to alarm " high volt</t>
  </si>
  <si>
    <t>(0428/2026 incident ): impacted by SUO_030_N_Bachuo-Ntai , Power issue at OST_029_N_Meguia || Action :en attente RCA HIS..;..;(04/28/2026 ticket): INC-20260428-00010714…Others Transmission equipement fault</t>
  </si>
  <si>
    <t>Gabarairou</t>
  </si>
  <si>
    <t>EXN_210</t>
  </si>
  <si>
    <t>Moulvoudaye</t>
  </si>
  <si>
    <t>(0428/2026 incident ): impacted by EXN_190_H_Dargala-New,   Jack IN - jack out cable ODU direction Dargala - MPR</t>
  </si>
  <si>
    <t>Sedek</t>
  </si>
  <si>
    <t>EXN_218</t>
  </si>
  <si>
    <t>Ouro-Zangui</t>
  </si>
  <si>
    <t>EXN_199</t>
  </si>
  <si>
    <t>Ouro Zangui</t>
  </si>
  <si>
    <t>Dargala-New</t>
  </si>
  <si>
    <t>EXN_190</t>
  </si>
  <si>
    <t>Dargala</t>
  </si>
  <si>
    <t>Gagadje</t>
  </si>
  <si>
    <t>EXN_209</t>
  </si>
  <si>
    <t>(0428/2026 incident ): impacted by EXN_012_N_Mokolo   ,RCA: Non demarrage du GE / Démarrage manuel du GE et reset MPR..;..;(04/28/2026 ticket): INC-20260428-00005635…2026-04-28 09:37:03…Nous constatons l'indisponibilité de MOKOLO EXN_012 dû à un souci d'énergie.
Merci de vérifier l'énergie à MOKOLO EXN_012.
Si énergie ok, dépêcher un FME pour investigation et troubleshooting au besoin avec le BO.…Démarrage manuel du GE et reset MPR…GE start system…Non demarrage du GE</t>
  </si>
  <si>
    <t>(0428/2026 incident ): impacted by EXN_012_N_Mokolo   ,RCA: Non demarrage du GE / Démarrage manuel du GE et reset MPR..;..;(04/28/2026 ticket): INC-20260428-00005866…Others Transmission equipement fault</t>
  </si>
  <si>
    <t>(0428/2026 incident ): impacted by EXN_012_N_Mokolo   ,RCA: Non demarrage du GE / Démarrage manuel du GE et reset MPR..;..;(04/28/2026 ticket): INC-20260428-00005609…no power issue u 50v…no power issue u 50v…GE Fault</t>
  </si>
  <si>
    <t>Mokolo-Djimeta-IHS</t>
  </si>
  <si>
    <t>EXN_140</t>
  </si>
  <si>
    <t>(0428/2026 incident ): impacted by EXN_012_N_Mokolo   ,RCA: Non demarrage du GE / Démarrage manuel du GE et reset MPR..;..;(04/28/2026 ticket): INC-20260428-00005671…Others Transmission equipement fault</t>
  </si>
  <si>
    <t>(0428/2026 incident ): impacted by  NRO_100_H_Bambalang ,retour IHS : FME reports GEN overloads, insecurity area, ||Gen overlaod, insecurity area / point escalade L3, pour un ETA  our intervenir ||Feedback HIS :FME manage toujours avec le level0 pour un acces au site car zone tres insecurisee</t>
  </si>
  <si>
    <t>(0428/2026 incident ): impacted by SUO_030_N_Bachuo-Ntai , Power issue at OST_029_N_Meguia || Action :en attente RCA HIS..;..;(04/28/2026 ticket): INC-20260428-00010304…Others Transmission equipement fault</t>
  </si>
  <si>
    <t>(0428/2026 incident ): impacted by SUO_030_N_Bachuo-Ntai , Power issue at OST_029_N_Meguia || Action :en attente RCA HIS..;..;(04/28/2026 cell nokia): 28/04/2026 : En attente d'analyse BO RAN ..;..;(04/28/2026 cell nokia): 28/04/2026 : En attente d'analyse BO RAN ..;..;(04/28/2026 ticket): INC-20260428-00018882</t>
  </si>
  <si>
    <t>(0428/2026 incident ): impacted by SUO_030_N_Bachuo-Ntai , Power issue at OST_029_N_Meguia || Action :en attente RCA HIS</t>
  </si>
  <si>
    <t>Mile29-Mamfe-IHS</t>
  </si>
  <si>
    <t>SUO_102</t>
  </si>
  <si>
    <t>Mile29</t>
  </si>
  <si>
    <t>Bakwele-IHS</t>
  </si>
  <si>
    <t>SUO_249</t>
  </si>
  <si>
    <t>(04/28/2026 ocm ran 19h): 28/04/2026 Impacted by CTR_197_Z_Charles-Atangana
28/04/2026Power issue resolved FME activated to check MPR STATUS ETA ASAP
27/04/2026 grid only site, grid outage / grid return awaited..;..;(04/28/2026 ocm ran 14h): 28/04/2026 Impacted by CTR_197_Z_Charles-Atangana
28/04/2026Power issue resolved FME activated to check MPR STATUS ETA ASAP
27/04/2026 grid only site, grid outage / grid return awaited..;..;(04/28/2026 com ran 10h): 27/04/2026 grid only site, grid outage / grid return awaited..;..;(04/28/2026 ocm ran 00h): 27/04/2026 grid only site, grid outage / grid return awaited</t>
  </si>
  <si>
    <t>SUO_009</t>
  </si>
  <si>
    <t xml:space="preserve">(04/28/2026 ocm ran 19h): Power status check ongoing..;..;(04/28/2026 ticket): INC-20260428-00014522…2026-04-29 02:50:52…Impacte par un power issue sur le site de Bobongo-II.
BV activer le powerco pour check et remonter le site, interpeller le FME pour check statut du chassis si Energie OK.…Power issue, generator failure </t>
  </si>
  <si>
    <t>(0428/2026 incident ): impacted by LIT_480_Z_Mbongo-IHS(LIT-480)   Defaut de radio  || Action : reset physique radio..;..;(04/28/2026 ocm ran 14h): Power status check ongoing</t>
  </si>
  <si>
    <t>(04/28/2026 ocm ran 19h): Impacted by CTR_699_N_Batchenga-Nachtigal-IHS (TX issue)..;..;(04/28/2026 ocm ran 14h): Impacted by CTR_699_N_Batchenga-Nachtigal-IHS (TX issue)..;..;(04/28/2026 com ran 10h): Impacted by CTR_699_N_Batchenga-Nachtigal-IHS (TX issue)..;..;(04/28/2026 ocm ran 00h): Impacted by CTR_699_N_Batchenga-Nachtigal-IHS (TX issue)</t>
  </si>
  <si>
    <t>(04/28/2026 ocm ran 19h):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0..;..;(04/28/2026 ocm ran 14h):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0..;..;(04/28/2026 com ran 10h): 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0..;..;(04/28/2026 ocm ran 00h):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</si>
  <si>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(0428/2026 incident ): impacted by LIT_480_Z_Mbongo-IHS(LIT-480)   Defaut de radio  || Action : reset physique radio..;..;(04/28/2026 hourly IHS): FME manage ETA ASAP..;..;(04/28/2026 ocm ran 19h): Impacted b y LIT_480_Z_Mbongo-IHS(LIT-480)..;..;(04/28/2026 ocm ran 14h): Power status check ongoing</t>
  </si>
  <si>
    <t xml:space="preserve">30/03/20256 Site impacté par coupure  AOF MBOPPI-NEW_NR-PK5 
CDS activé
30/03/2026 FME sur qsite travaux en cours AOF DOWN 
30/03/2026 FME activé ETA 12h UTC ….30/03/2026 FME sur site 
30/03/2026 FME activé ETA 12h utc….30/03/2026 FME activé ETA 12h utc….INC-20260330-00001855.,,2026-03-30 15:55:52.,,Site impacté par coupure  AOF MBOPPI-NEW_NR-PK5 
CDS activé.,,affecté par Mboppi New grid only site manque secteur en attente du retour secteur </t>
  </si>
  <si>
    <t>PK18-Crf-Lapaix</t>
  </si>
  <si>
    <t>LIT_731</t>
  </si>
  <si>
    <t>Impacted by LIT_234_Z_PK17-University-IHS(LIT-234)….Impacté par P2 sur LIT_234_Z_PK17-University-IHS(LIT-234)….INC-20260330-00007361.,,2026-03-30 15:27:59.,,Grid outage / Grid return awaited.,,impacté par pk 17 université power issue ihs informé .,,Others Transmission equipement fault</t>
  </si>
  <si>
    <t>Impacted by LIT_234_Z_PK17-University-IHS(LIT-234)….Impacté par P2 sur LIT_234_Z_PK17-University-IHS(LIT-234)….INC-20260330-00007386.,,2026-03-30 20:55:07.,,Les sites sont UP à 20H20 UTC après actions BO TX.,,impacté par pk 17 université power issue ihs informé .,,Others</t>
  </si>
  <si>
    <t xml:space="preserve">Impacted by LIT_162_Z_Camp-Yabassi(LIT-162)….Impacted by LIT_162_Z_Camp-Yabassi(LIT-162)….Impacted by LIT_162_Z_Camp-Yabassi(LIT-162)….INC-20260330-00001846.,,2026-03-30 12:59:29.,,Site impacté par coupure  AOF MBOPPI-NEW_NR-PK5 
CDS activé.,,affecté par Mboppi New grid only site manque secteur en attente du retour secteur </t>
  </si>
  <si>
    <t>Kumba-Nkamlikum</t>
  </si>
  <si>
    <t>SUO_216</t>
  </si>
  <si>
    <t>30/03/2026 Impacté par le power issue de kumba-agence ….Power status check ongoing</t>
  </si>
  <si>
    <t>Nkolfoulou-I</t>
  </si>
  <si>
    <t>CTR_671</t>
  </si>
  <si>
    <t>30/03/2026 Nous constatons l'indisponibilité de NKOLFOULOU-I dû à la coupure de l'AOF ELEVEUR---NKOLFOULOU-I.
Merci d'impacter CDS pour prise en charge et correction de l'AOF.….Power status check ongoing….INC-20260330-00008735.,,2026-03-30 23:33:16.,,CDS Feedback : Team will be reach to the site tomorrow
Nous constatons l'indisponibilité de NKOLFOULOU-I dû à la coupure de l'AOF ELEVEUR---NKOLFOULOU-I.
Merci d'impacter CDS pour prise en charge et correction de l'AOF.
U=52,50V Load=66A evidences.,,Power issue (CB fallen in IHS DC Cabinet)</t>
  </si>
  <si>
    <t>Impacted by CTR_020_Z_Masque(CTR-020) P2</t>
  </si>
  <si>
    <t>Impacted by LIT_234_Z_PK17-University-IHS(LIT-234)….Impacté par P2 sur LIT_234_Z_PK17-University-IHS(LIT-234)….INC-20260330-00007368.,,2026-03-30 15:32:32.,,technician is managing the point feedback awaited.,,impacté par pk 17 université power issue ihs informé .,,Others Transmission equipement fault</t>
  </si>
  <si>
    <t>PK15</t>
  </si>
  <si>
    <t>LIT_271</t>
  </si>
  <si>
    <t>Impacted by LIT_234_Z_PK17-University-IHS(LIT-234)….Impacté par P2 sur LIT_234_Z_PK17-University-IHS(LIT-234)….INC-20260330-00007268.,,impacté par pk 17 université power issue ihs informé .,,Others Transmission equipement fault</t>
  </si>
  <si>
    <t>Dragage</t>
  </si>
  <si>
    <t>CTR_344</t>
  </si>
  <si>
    <t>Logbessou-PK21-IHS</t>
  </si>
  <si>
    <t>LIT_235</t>
  </si>
  <si>
    <t>Impacted by LIT_234_Z_PK17-University-IHS(LIT-234)….Impacté par P2 sur LIT_234_Z_PK17-University-IHS(LIT-234)….INC-20260330-00007365.,,2026-03-30 15:32:32.,,technician is managing the point feedback awaited.,,impacté par pk 17 université power issue ihs informé .,,Others Transmission equipement fault</t>
  </si>
  <si>
    <t>Impacted by LIT_234_Z_PK17-University-IHS(LIT-234)….Impacté par P2 sur LIT_234_Z_PK17-University-IHS(LIT-234)….INC-20260330-00007385.,,2026-03-30 15:27:59.,,Grid outage / Grid return awaited.,,impacté par pk 17 université power issue ihs informé .,,Others Transmission equipement fault</t>
  </si>
  <si>
    <t>Mvog-Ada-TKC</t>
  </si>
  <si>
    <t>CTR_096</t>
  </si>
  <si>
    <t>Impacted by CTR_270_Z_Montesquieux(CTR-270)</t>
  </si>
  <si>
    <t>Impacted by LIT_547_Z_Marche-Congo (Power issue)….Impacted by LIT_547_Z_Marche-Congo (Power issue)….Impacted by LIT_547_Z_Marche-Congo (Power issue)</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</si>
  <si>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</si>
  <si>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Impacted by EXN_037_H_Mindif….INC-20260330-00010205</t>
  </si>
  <si>
    <t>27/03/2026 : Under PROJECT WORK
23/03/2026 : check FXED and FAN needed….27/03/2026 : Under PROJECT WORK
23/03/2026 : check FXED and FAN needed….Impacted by Ntem_L18L8_NRO_056</t>
  </si>
  <si>
    <t>Impacted by EXN_037_H_Mindif</t>
  </si>
  <si>
    <t>Power status check ongoing….INC-20260330-00010692.,,impacted by Bomaka III MTN .,,Others Transmission equipement fault</t>
  </si>
  <si>
    <t>LELE-HIS</t>
  </si>
  <si>
    <t>SUD_205</t>
  </si>
  <si>
    <t>Impacted by SUD_246_Z_Mintom-MTN(SUD-246)….Impacté par P1 sur SUD_246_Z_Mintom-MTN(SUD-246)</t>
  </si>
  <si>
    <t>#N/A</t>
  </si>
  <si>
    <t>Lele</t>
  </si>
  <si>
    <t>SUD_159</t>
  </si>
  <si>
    <t>Impacted by EXN_037_H_Mindif….INC-20260330-00010063</t>
  </si>
  <si>
    <t>Mbalam</t>
  </si>
  <si>
    <t>SUD_222</t>
  </si>
  <si>
    <t xml:space="preserve">Impacted by SUD_246_Z_Mintom-MTN(SUD-246)….Impacté par P1 sur SUD_246_Z_Mintom-MTN(SUD-246)….INC-20260330-00007098.,,problème de fibre optique à koungoulou </t>
  </si>
  <si>
    <t>INC-20260330-00003704.,,2026-03-30 07:27:52.,,No power issue, site impacted by Nkolfoulou ENIA MTN CTR_837 which is not under our responsability.,,Eneo low voltage .,,Others Transmission equipement fault</t>
  </si>
  <si>
    <t>INC-20260330-00002889.,,2026-03-30 07:07:26.,,Impacted by Pangar Camrail (ADM_114) (Not managed by IHS).,,Impacted by Pangar Camrail (ADM_114) (Not managed by IHS).,,Others.,,Defaut carburant &amp; GE</t>
  </si>
  <si>
    <t>Power status check ongoing….Power status check ongoing….Power status check ongoing….INC-20260330-00014984.,,Impacted by Nkwein-clinic-St-Louis//No power issue on site, site on GEN with Ubaie = 50.2V. TX FME Jeremiah 698674799 Is informed..,,Power instability due to Grid fluctuations .,,Others Transmission equipement fault</t>
  </si>
  <si>
    <t>Ntam</t>
  </si>
  <si>
    <t>SUD_120</t>
  </si>
  <si>
    <t xml:space="preserve">Impacted by SUD_246_Z_Mintom-MTN(SUD-246)….Impacté par P1 sur SUD_246_Z_Mintom-MTN(SUD-246)….INC-20260330-00007170.,,problème de fibre optique à koungoulou </t>
  </si>
  <si>
    <t>Toumbouroum</t>
  </si>
  <si>
    <t>ADM_182</t>
  </si>
  <si>
    <t>Hybrid solar - s3</t>
  </si>
  <si>
    <t>Impacted by ADM_132_H_Beka-Hossere-MTN-IHS….Impacted by ADM_132_H_Beka-Hossere-MTN-IHS….Impacted by ADM_132_H_Beka-Hossere-MTN-IHS</t>
  </si>
  <si>
    <t>Akom-Centre-Hill-IHS</t>
  </si>
  <si>
    <t>SUD_112</t>
  </si>
  <si>
    <t>Akom</t>
  </si>
  <si>
    <t>30/03/2026 La FO est coupé à koungoulou….Impacté par P1 sur SUD_246_Z_Mintom-MTN(SUD-246)….INC-20260330-00006959.,,2026-03-30 21:12:59.,,La Fibre Optique  disponible a Yaounde a été expediier ce soir  pour Djoum. ETD : 31/03/2026.,,fibre optique coupé à koungoulou par les rongeurs .,,ODU Fault</t>
  </si>
  <si>
    <t xml:space="preserve"> 31/03/2026  AOF MBOPPI-NEW_NR-PK5 retablie power issue on site camusat activated 
31/03/2026  Site impacté par coupure  AOF MBOPPI-NEW_NR-PK5 ETR=15H 
30/03/2026 Grid outage grid only site /awaiting grid return escalade L3 camusat 
30/03/2026 Grid outage grid only site /awaiting grid return escalade L2 camusat ..;31/03/2026  Site impacté par coupure  AOF MBOPPI-NEW_NR-PK5 ETR=15H 
30/03/2026 Grid outage grid only site /awaiting grid return escalade L3 camusat 
30/03/2026 Grid outage grid only site /awaiting grid return escalade L2 camusat </t>
  </si>
  <si>
    <t xml:space="preserve">31/03/2026 Impacté par LIT_081_Z_Brazzaville(LIT-081)
31/03/2026 Grid outage, no space to deploy MDG, awaiting grid return..;31/03/2026 Grid outage, no space to deploy MDG, awaiting grid return..;Power status check ongoing..;INC-20260331-00005493...2026-03-31 17:08:56...01/04/2026 Carte EAC  (3DB19417AA ) non disponible au warehouse expedition depuis Yaounde aujourd'hui ETD = 02/04/2026...power Grid outage here the power guy taken point </t>
  </si>
  <si>
    <t xml:space="preserve">31/03/2026  Site impacté par coupure  AOF MBOPPI-NEW_NR-PK5 ETR=15H 
30/03/20256 Site impacté par coupure  AOF MBOPPI-NEW_NR-PK5 
CDS activé
30/03/2026 FME sur qsite travaux en cours AOF DOWN 
30/03/2026 FME activé ETA 12h UTC </t>
  </si>
  <si>
    <t xml:space="preserve">Impacté par LIT_095_Z_Newb-Srce-Quartier(LIT-095)..;Impacté par LIT_095_Z_Newb-Srce-Quartier(LIT-095)..;INC-20260331-00008256...SD card has problem at New b source quartier </t>
  </si>
  <si>
    <t>30/03/2026 : Besoin d'analyse BO RAN..;31/03/2026 : Besoin d'analyse BO RAN || Site unstable due to transmission..;Impacted by CTR_050_Z_Mini-Ferme(CTR-050)..;Power status check ongoing..;INC-20260331-00008422...2026-03-31 14:29:18...Grid outage awaiting Grid returned...impacté par mini ferme qui porte le donor entré cité verte.(problème de power sur mini ferme , confirmé par le gnoc)...Others Transmission equipement fault</t>
  </si>
  <si>
    <t>Impacted by LIT_162_Z_Camp-Yabassi(LIT-162)</t>
  </si>
  <si>
    <t>01/04/2026: IMPACTE PAR LE SOUCI D ENERGIE SUR KUMBA-AGENCE</t>
  </si>
  <si>
    <t>01/04/2026:: TX ISSUE RESET ODU…..Impacted by Badjonre-IHS_G9G18U9U21L18L8_EXN_152</t>
  </si>
  <si>
    <t>Impacted by LIT_547_Z_Marche-Congo (Power issue, camusat no GE)..;Impacted by LIT_547_Z_Marche-Congo (Power issue)..;Impacted by LIT_547_Z_Marche-Congo (Power issue)</t>
  </si>
  <si>
    <t>01/04/2026 : TX ISSUE RESET ODU…....Impacted by Badjonre-IHS_G9G18U9U21L18L8_EXN_152</t>
  </si>
  <si>
    <t>31/03/2026 Retour cds apres la coupure de nkolzié escalade CDS
30/03/2026 Nous constatons l'indisponibilité de NKOLFOULOU-I dû à la coupure de l'AOF ELEVEUR---NKOLFOULOU-I.
Merci d'impacter CDS pour prise en charge et correction de l'AOF...;31/03/2026 Retour cds apres la coupure de nkolzié escalade CDS
30/03/2026 Nous constatons l'indisponibilité de NKOLFOULOU-I dû à la coupure de l'AOF ELEVEUR---NKOLFOULOU-I.
Merci d'impacter CDS pour prise en charge et correction de l'AOF...;30/03/2026 Nous constatons l'indisponibilité de NKOLFOULOU-I dû à la coupure de l'AOF ELEVEUR---NKOLFOULOU-I.
Merci d'impacter CDS pour prise en charge et correction de l'AOF.</t>
  </si>
  <si>
    <t>31/03/2026 Apres travaux sur la fibre normalisation travaux en cours par le BO TX et le BO IP ETR+19H UTC 
31/03/2026 TRAVAUX CDS EN COURS ETR=04H 
30.03.26; AOF LIT_731_PK18-Crf-Lapaix&lt;&gt;LIT_234_PK17-University down, CDS activé pour restauration
Impacted by LIT_234_Z_PK17-University-IHS(LIT-234)..;31/03/2026 TRAVAUX CDS EN COURS ETR=04H 
30.03.26; AOF LIT_731_PK18-Crf-Lapaix&lt;&gt;LIT_234_PK17-University down, CDS activé pour restauration
Impacted by LIT_234_Z_PK17-University-IHS(LIT-234)..;31/03/2026 TRAVAUX CDS EN COURS ETR=04H 
30.03.26; AOF LIT_731_PK18-Crf-Lapaix&lt;&gt;LIT_234_PK17-University down, CDS activé pour restauration
Impacted by LIT_234_Z_PK17-University-IHS(LIT-234)</t>
  </si>
  <si>
    <t>Impacté par LIT_528_Z_Newb-Ancien-Etage-New(LIT-528)..;INC-20260331-00007597...2026-03-31 13:25:12...GRID ONLY NO SPACE /AWAITING GRID RETURN....SD card has problem at New b source quartier ...Others</t>
  </si>
  <si>
    <t>31/03/2026 : Besoin d'analyse BO RAN..;31/03/2026 : Besoin d'analyse BO RAN || Site unstable due to transmission..;Impacted by CTR_050_Z_Mini-Ferme(CTR-050, HIS,  gridonly)..;Power status check ongoing</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</si>
  <si>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needed..;INC-20260331-00002010...Power issue at Jakiri impacting the site ...Others Transmission equipement fault</t>
  </si>
  <si>
    <t>01/04/2026 : : tx issue en attente du swap de la liaison par OCM.......09.03.2026: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</si>
  <si>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INC-20260331-00002070...Power issue at Jakiri impacting the site ...Others Transmission equipement fault</t>
  </si>
  <si>
    <t>Impacted by SUD_246_Z_Mintom-MTN(SUD-246)</t>
  </si>
  <si>
    <t>Elobi-Mokolo-MTN-IHS</t>
  </si>
  <si>
    <t>CTR_470</t>
  </si>
  <si>
    <t>Power status check ongoing..;INC-20260331-00006163...impacté par le site briqueterie.(grid outage)...Others Transmission equipement fault</t>
  </si>
  <si>
    <t>Yagoua-MTN-IHS</t>
  </si>
  <si>
    <t>EXN_144</t>
  </si>
  <si>
    <t>INC-20260331-00016734...2026-04-01 00:15:39...Site impacted by YAGOUA VILLE...Auto TT closure RCA...GE Fault</t>
  </si>
  <si>
    <t>Power status check ongoing..;Impacted by SUD_246_Z_Mintom-MTN(SUD-246)</t>
  </si>
  <si>
    <t>INC-20260331-00001996...Power issue at Jakiri impacting the site ...Others Transmission equipement fault</t>
  </si>
  <si>
    <t>INC-20260331-00013150...impacté par un problème d'énergie sur le site de notre dame de yassa ...Others Transmission equipement fault</t>
  </si>
  <si>
    <t>Impacted by SUD_246_Z_Mintom-MTN(SUD-246)..;INC-20260331-00009141...Others Transmission equipement fault</t>
  </si>
  <si>
    <t>Impacted by SUD_246_Z_Mintom-MTN(SUD-246)..;INC-20260331-00009139...Others Transmission equipement fault</t>
  </si>
  <si>
    <t>INC-20260331-00002060...power issue at Jakiri impacting Oku Marche...Others Transmission equipement fault</t>
  </si>
  <si>
    <t>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town..;INC-20260331-00001995...Power issue at Jakiri impacting the site ...Others Transmission equipement fault</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</si>
  <si>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needed..;INC-20260331-00001991...Power issue at Jakiri impacting the site ...Others Transmission equipement fault</t>
  </si>
  <si>
    <t>Ndoghem-PK12-IHS</t>
  </si>
  <si>
    <t>LIT_159</t>
  </si>
  <si>
    <t>INC-20260331-00015950...2026-03-31 23:20:51...Site impacted by BONAMOUTONGO...GE Fault</t>
  </si>
  <si>
    <t>INC-20260331-00002107...Power issue at Jakiri impacting the site ...Others Transmission equipement fault</t>
  </si>
  <si>
    <t>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..;INC-20260331-00002007...Power issue at Jakiri impacting the site ...Others Transmission equipement fault</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</si>
  <si>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module..;INC-20260331-00002073...Power issue at Jakiri impacting the site ...Others Transmission equipement fault</t>
  </si>
  <si>
    <t>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..;INC-20260331-00002071...Power issue at Jakiri impacting the site ...Others Transmission equipement fault</t>
  </si>
  <si>
    <t>Vivoki-IHS</t>
  </si>
  <si>
    <t>NRO_039</t>
  </si>
  <si>
    <t>Vikovi</t>
  </si>
  <si>
    <t>INC-20260331-00002232...Power issue at Jakiri impacting the site ...Others Transmission equipement fault</t>
  </si>
  <si>
    <t>INC-20260331-00001993...Power issue at Jakiri impacting the site ...Others Transmission equipement fault</t>
  </si>
  <si>
    <t>Goufan</t>
  </si>
  <si>
    <t>CTR_231</t>
  </si>
  <si>
    <t>site down..;Impacted by CTR_231_Z_Goufan(CTR-231)..;INC-20260331-00010322...2026-03-31 19:03:20...Feedback Camusat : La batterie du GE déchargée le level 0 a la recherche d'une batterie secour pour démarrer le GE...RCA attendu de CAMUSAT...Others Transmission equipement fault...Probleme d'energie ( La batterie du GE déchargée )</t>
  </si>
  <si>
    <t>Mekoto</t>
  </si>
  <si>
    <t>SUD_126</t>
  </si>
  <si>
    <t>Hybrid Solar S3</t>
  </si>
  <si>
    <t>Ekombitié</t>
  </si>
  <si>
    <t>Impacted by SUD_105_Z_Mbomela-IHS(SUD-105)..;INC-20260331-00000836...2026-03-31 05:58:34...The site is impacted by power issue at Mbomela so please to involve the Powerco...Others</t>
  </si>
  <si>
    <t>Impacted by ADM_132_H_Beka-Hossere-MTN-IHS..;Impacted by ADM_132_H_Beka-Hossere-MTN-IHS..;Impacted by ADM_132_H_Beka-Hossere-MTN-IHS</t>
  </si>
  <si>
    <t>prioriete</t>
  </si>
  <si>
    <t>site impactant</t>
  </si>
  <si>
    <t>Numero de ticket</t>
  </si>
  <si>
    <t>Nom de site impacte</t>
  </si>
  <si>
    <t>Code site</t>
  </si>
  <si>
    <t>root cause</t>
  </si>
  <si>
    <t>NRD_009_H_Garoua-Lainde</t>
  </si>
  <si>
    <t>INC-20260429-00015946 | 2604E02783</t>
  </si>
  <si>
    <t>NRD_013_H_Pitoa</t>
  </si>
  <si>
    <t>NRD_038_H_Poumpoumrey</t>
  </si>
  <si>
    <t>NRD_158_H_Garoua-Ngalbidje-II</t>
  </si>
  <si>
    <t>NRD_183_H_Pitoa-II</t>
  </si>
  <si>
    <t>NRD_162_H_Garoua-Sonayo</t>
  </si>
  <si>
    <t>NRD_037_H_Nassarao</t>
  </si>
  <si>
    <t>NRD_116_H_Garoua-Katasko-MTN-IHS</t>
  </si>
  <si>
    <t>NRD_261_H_Garoua-Tchakamidari</t>
  </si>
  <si>
    <t>NRD_143_H_Garoua-Stade</t>
  </si>
  <si>
    <t>NRD_252_H_Garoua-Ngalbidjie-III</t>
  </si>
  <si>
    <t>NRD_054_H_Garoua-Ouro-Lawan</t>
  </si>
  <si>
    <t>NRD_083_H_Garoua-Sabongari-Lainde-IHS</t>
  </si>
  <si>
    <t>NRD_096_H_Pitoa-Ville</t>
  </si>
  <si>
    <t>NRD_133_H_Pitoa-Entree</t>
  </si>
  <si>
    <t>NRD_145_H_Garoua-Lainde-II</t>
  </si>
  <si>
    <t>NRD_146_H_Garoua-Ouro-Lawan-II</t>
  </si>
  <si>
    <t>NRD_085_H_Garoua-Ngalbidje-IHS</t>
  </si>
  <si>
    <t>NRD_117_H_Ngalbidje-MTN-IHS</t>
  </si>
  <si>
    <t>NRD_130_H_Marouare-New</t>
  </si>
  <si>
    <t>NRD_147_H_Nassarao-II</t>
  </si>
  <si>
    <t>NRD_148_H_Poumpoumrey-II</t>
  </si>
  <si>
    <t>NRD_189_H_Hopital-General-Garoua</t>
  </si>
  <si>
    <t>NRD_287_URH_KIRAMBO</t>
  </si>
  <si>
    <t>NRD_212_URH_LOUMBOU</t>
  </si>
  <si>
    <t>NRD_304_URH_DJALINGO_TCHOMPA</t>
  </si>
  <si>
    <t>SUO_066_H_Berunda-MTN</t>
  </si>
  <si>
    <t>INC-20260429-00015018 | 2604E01572</t>
  </si>
  <si>
    <t>SUO_170_H_Buea-Low-Boduma-MTN</t>
  </si>
  <si>
    <t>SUO_221_H_BOVA-II-IHS</t>
  </si>
  <si>
    <t>SUO_186_H_Buea-Boduma-IHS</t>
  </si>
  <si>
    <t>SUO_197_H_Bokwai-IHS</t>
  </si>
  <si>
    <t>Magba_G_OST_023</t>
  </si>
  <si>
    <t>INC-20260429-00012654 / 2604D97910</t>
  </si>
  <si>
    <t>OST_093_N_Mayo-Djinga-FH_G</t>
  </si>
  <si>
    <t>OST_200_N_Mantoum-Village_G</t>
  </si>
  <si>
    <t>OST_115_N_Pangari-MTN</t>
  </si>
  <si>
    <t>OST_905_URH_MARAPNDOUM</t>
  </si>
  <si>
    <t>OST_907_URH_MANJE_KOUTOU</t>
  </si>
  <si>
    <t>OST_386_URH_MATYAPOU</t>
  </si>
  <si>
    <t>OST_390_URH_NJINGA_NDOUTAIN</t>
  </si>
  <si>
    <t>OST_337_URH_MAPOU</t>
  </si>
  <si>
    <t>OST_382_URH_MAGHAM</t>
  </si>
  <si>
    <t>OST_389_URH_MATOUPOU</t>
  </si>
  <si>
    <t>OST_391_URH_MATABA_PONDIMOUN</t>
  </si>
  <si>
    <t>ADM_191_URH_KOL</t>
  </si>
  <si>
    <t>ADM_248_URH_MAYO-DARLE</t>
  </si>
  <si>
    <t>OST_383_URH_MATACHOUOM</t>
  </si>
  <si>
    <t>ADM_259_URH_BANKIM</t>
  </si>
  <si>
    <t>OST_405_URH_MACHOU</t>
  </si>
  <si>
    <t>OST_376_URH_MAMBICHAM</t>
  </si>
  <si>
    <t>OST_372_URH_FORONGAIN</t>
  </si>
  <si>
    <t>OST_908_URH_MAJEKOUTOU_MALANTOUEN</t>
  </si>
  <si>
    <t>OST_378_URH_MAWA</t>
  </si>
  <si>
    <t>OST_373_URH_MANOURE</t>
  </si>
  <si>
    <t>OST_019_H_Bfsam-Tamdja</t>
  </si>
  <si>
    <t>OST_252_H_Koundoum</t>
  </si>
  <si>
    <t>ADM_058_H_Ngd-Trouamala</t>
  </si>
  <si>
    <t>ADM_004_H_Meiganga</t>
  </si>
  <si>
    <t>ADM_012_H_Bankim</t>
  </si>
  <si>
    <t>OST_023_H_Magba</t>
  </si>
  <si>
    <t>ADM_001_H_Ngd-Chateau</t>
  </si>
  <si>
    <t>OST_039_H_Malantouen</t>
  </si>
  <si>
    <t>OST_027_H_Lamape</t>
  </si>
  <si>
    <t>CTR_301_N_Matsari</t>
  </si>
  <si>
    <t>2604D98459 | INC-20260429-00012942</t>
  </si>
  <si>
    <t>(04/29/2026 incident ): impacted by  CTR_301_N_Matsari ,UPDATE 3: ODU Matsari dir Yoko ne reagit pas après check avec le level 0, check en aérien du FME des l'aube sur site</t>
  </si>
  <si>
    <t>CTR_300_N_Ngouetou</t>
  </si>
  <si>
    <t>CTR_986_N_Djereing_G</t>
  </si>
  <si>
    <t>CTR_986_N_Yoko-Djereing</t>
  </si>
  <si>
    <t xml:space="preserve">NRD_013_H_Pitoa </t>
  </si>
  <si>
    <t>2604D97170 / INC-20260429-00012211</t>
  </si>
  <si>
    <t xml:space="preserve">(04/29/2026 incident ): impacted by NRD_013_H_Pitoa , Plantage de l'ODU a Lainde  || Action : soft reset  UBT-T 3/1 a Lainde </t>
  </si>
  <si>
    <t>Mbankomo-Okoa-Maria_Z_CTR_541</t>
  </si>
  <si>
    <t>INC-20260429-00013735 | 2604D99760</t>
  </si>
  <si>
    <t>Mambine_G_CTR_097</t>
  </si>
  <si>
    <t>Mbankomo-Okoa-Maria_G_CTR_541</t>
  </si>
  <si>
    <t>Angongo_G_CTR_358</t>
  </si>
  <si>
    <t>Ebeba_G_CTR_116</t>
  </si>
  <si>
    <t>Mbankomo-IHS_G_CTR_528</t>
  </si>
  <si>
    <t>Mandoumba_G_CTR_066</t>
  </si>
  <si>
    <t>Nkongtock-IHS_G_CTR_733</t>
  </si>
  <si>
    <t>Nkenglikok_G_CTR_060</t>
  </si>
  <si>
    <t>ADM_127_H_Ngd-University-II-IHS</t>
  </si>
  <si>
    <t>2604D95122 / INC-20260429-00011258</t>
  </si>
  <si>
    <t>ADM_227_H_NGD-CHEFFERIE-MALO</t>
  </si>
  <si>
    <t>(04/29/2026 incident ): impacted by  ADM_127_H_Ngd-University-II-HIS</t>
  </si>
  <si>
    <t>ADM_017_H_Ngd-Dang</t>
  </si>
  <si>
    <t>ADM_083_H_Ngd-Dang-MTN-IHS</t>
  </si>
  <si>
    <t>ADM_007_H_Ngd-CRTV</t>
  </si>
  <si>
    <t>SUO_801_H_BUEA-AGENCE</t>
  </si>
  <si>
    <t>INC-20260429-00009045 / 2604D89022</t>
  </si>
  <si>
    <t>SUO_182_H_Buea-Service-Center-IHS</t>
  </si>
  <si>
    <t>(04/29/2026 incident ): impacted by  SUO_801_H_BUEA-AGENCE, souci d'energie reporter a notre FME (Huawei ) sur site . OCM activer pour intervention. Update ASAP</t>
  </si>
  <si>
    <t>SUO_260_H_Buea-Dirty-South-IHS</t>
  </si>
  <si>
    <t>SUO_220_H_Mile16-Bolifamba-IHS</t>
  </si>
  <si>
    <t>SUO_200_H_Buea-UB-Lamp-IHS</t>
  </si>
  <si>
    <t>SUO_169_H_Buea-Bomaka-III-MTN</t>
  </si>
  <si>
    <t>Bagarao_G_EXN_202</t>
  </si>
  <si>
    <t>INC-20260429-00008259| 2604D86881</t>
  </si>
  <si>
    <t>Kuruda_GD_EXN_208</t>
  </si>
  <si>
    <t>(04/29/2026 incident ): impacted by  Bagarao_G_EXN_202  ,Power issue observed from efms. Voltage  Drop (From 53v to 46v). CAMUSAT As disucussed please for support || Nouvelle ETA depasse ESCALADE faite au L2 SAMBA . Update ASAP</t>
  </si>
  <si>
    <t>EXN_310_URH_BEGUE</t>
  </si>
  <si>
    <t>Kay-Kay_GD_EXN_050</t>
  </si>
  <si>
    <t>Doreissou-IHS_GD_EXN_118</t>
  </si>
  <si>
    <t>SUO_007_H_Buea-Orange</t>
  </si>
  <si>
    <t>INC-20260429-00006852 | 2604D83238</t>
  </si>
  <si>
    <t>SUO_254_H_Bokova-IHS</t>
  </si>
  <si>
    <t>SUO_132_H_Bonakanda</t>
  </si>
  <si>
    <t>SUO_038_H_Muea</t>
  </si>
  <si>
    <t>SUO_301_H_Buea-Koke-Quater</t>
  </si>
  <si>
    <t>SUO_306_H_Buea-Bondouma</t>
  </si>
  <si>
    <t>SUO_023_H_Buea-Signal-Hill</t>
  </si>
  <si>
    <t>2604D88940 // INC-20260429-00008991</t>
  </si>
  <si>
    <t>SUO_179_H_MOLYKO-PARAMOUNT-STREET-IHS</t>
  </si>
  <si>
    <t>SUO_079_H_Mile14-IHS</t>
  </si>
  <si>
    <t>SUO_190_H_Tole-II-IHS</t>
  </si>
  <si>
    <t>SUO_232_H_Buea-Bwitingui-Road</t>
  </si>
  <si>
    <t>SUO_259_H_Buea-Salvation-Pharmacy-IHS</t>
  </si>
  <si>
    <t>SUO_242_H_Buea-GRA-IHS</t>
  </si>
  <si>
    <t>SUO_297_H_Buea-Molyko-New</t>
  </si>
  <si>
    <t>SUO_299_H_Limbe-Samko</t>
  </si>
  <si>
    <t>SUO_303_H_Buea-Up-Molyko</t>
  </si>
  <si>
    <t>SUO_033_H_Buea-Entree</t>
  </si>
  <si>
    <t>SUO_062_H_Buea-Universite</t>
  </si>
  <si>
    <t>SUO_063_H_Buea-Centre-Ville</t>
  </si>
  <si>
    <t>SUO_077_H_Buea-David-Square</t>
  </si>
  <si>
    <t>SUO_152_H_Tole-Tea-IHS</t>
  </si>
  <si>
    <t>SUO_163_H_Buea-Hospital</t>
  </si>
  <si>
    <t>SUO_180_H_Buea-Sandpit-IHS</t>
  </si>
  <si>
    <t>SUO_181_H_Great-Soppo-IHS</t>
  </si>
  <si>
    <t>SUO_183_H_Molyko-IHS</t>
  </si>
  <si>
    <t>SUO_184_H_GSS-BUEA-TOWN-IHS</t>
  </si>
  <si>
    <t>SUO_185_H_BUEA-WOKOKO-IHS</t>
  </si>
  <si>
    <t>SUO_196_H_Tole-IHS</t>
  </si>
  <si>
    <t>SUO_212_H_Limbe-Mile4-IHS</t>
  </si>
  <si>
    <t>SUO_201_H_Buea-Bomaka-II-IHS</t>
  </si>
  <si>
    <t>SUO_213_H_Molyko-Buea-SC2</t>
  </si>
  <si>
    <t>SUO_199_H_Buea-Soppo-University-IHS</t>
  </si>
  <si>
    <t>SUO_215_H_Buea-Kouma-IHS</t>
  </si>
  <si>
    <t>SUO_243_H_Mile16-Buea-IHS</t>
  </si>
  <si>
    <t>SUO_228_H_MOLYKO-CHIEF-STREET-MTN</t>
  </si>
  <si>
    <t>SUO_240_H_Buea-Street2</t>
  </si>
  <si>
    <t>SUO_226_H_Buea-Camtel</t>
  </si>
  <si>
    <t>SUO_241_H_Buea-Prime22</t>
  </si>
  <si>
    <t>SUO_202_H_Mountain-Hotel-IHS</t>
  </si>
  <si>
    <t>SUO_222_H_Buea-Bakwere-Town-MTN</t>
  </si>
  <si>
    <t>SUO_021_H_Mile4</t>
  </si>
  <si>
    <t>SUO_127_H_Wotutu-IHS</t>
  </si>
  <si>
    <t>CTR_773_Z_Efoulan-Pont(CTR-773)</t>
  </si>
  <si>
    <t>2604D85066 || INC-20260429-00007544</t>
  </si>
  <si>
    <t>CTR_209_Z_Efoulan(CTR-209)</t>
  </si>
  <si>
    <t>CTR_598_Z_Obobogo-Paloma(CTR-598)</t>
  </si>
  <si>
    <t>CTR_543_Z_Obobogo-New(CTR-543)</t>
  </si>
  <si>
    <t>CTR_1042_Z_Nsimeyong-Terre-Rouge-IHS(CTR-1042)</t>
  </si>
  <si>
    <t>EST_076_N_Diang-MTN</t>
  </si>
  <si>
    <t>INC-20260429-00007892 / 2604D86025</t>
  </si>
  <si>
    <t>EST_076_N_Diang-MTN_G</t>
  </si>
  <si>
    <t>CTR_859_N_NSEM</t>
  </si>
  <si>
    <t>EST_077_Z_Nguem-MTN(EST-077)</t>
  </si>
  <si>
    <t>CTR_894_Z_Pella(CTR-894)</t>
  </si>
  <si>
    <t>CTR_139_Z_Nji-Camtel(CTR-139)</t>
  </si>
  <si>
    <t>CTR_870_Z_MENGUE-BIBEY-IHS(CTR-870)</t>
  </si>
  <si>
    <t>EST_150_Z_Andom(EST-150)</t>
  </si>
  <si>
    <t>CTR_141_Z_Ndandouck-IHS(CTR-141)</t>
  </si>
  <si>
    <t>CTR_233_Z_Minta(CTR-233)</t>
  </si>
  <si>
    <t>EST_024_Z_Nguelemendouka-FH(EST-024)</t>
  </si>
  <si>
    <t>CTR_407_Z_Meba-CAMTEL(CTR-407)</t>
  </si>
  <si>
    <t>CTR_1070_URZ_MANDJOUK(CTR-1070)</t>
  </si>
  <si>
    <t>CTR_1073_URZ_MEKONE-II(CTR-1073)</t>
  </si>
  <si>
    <t>CTR_1072_URZ_MEDALBOME(CTR-1072)</t>
  </si>
  <si>
    <t>CTR_1064_URZ_MEKONE-I(CTR-1064)</t>
  </si>
  <si>
    <t>Tibati_2_ADM_044</t>
  </si>
  <si>
    <t>INC-20260429-00006485 | 2604D82198</t>
  </si>
  <si>
    <t>ADM_163_H_Mbamti-Katarko</t>
  </si>
  <si>
    <t>ADM_011_H_Tignere</t>
  </si>
  <si>
    <t>ADM_044_H_Tibati-II</t>
  </si>
  <si>
    <t>ADM_105_H_Tibati-Market-MTN-IHS</t>
  </si>
  <si>
    <t>ADM_187_H_Djoa-IHS</t>
  </si>
  <si>
    <t>ADM_206_URH_ALLAT</t>
  </si>
  <si>
    <t>ADM_207_URH_TONGO</t>
  </si>
  <si>
    <t>ADM_208_URH_DABER-MBANG</t>
  </si>
  <si>
    <t>ADM_244_URH_MBAMTI_LAINGA</t>
  </si>
  <si>
    <t>CTR_169_N_Nyazoro-MTN-IHS_G</t>
  </si>
  <si>
    <t>ADM_153_N_Darassalam-IHS_G</t>
  </si>
  <si>
    <t>CTR_302_N_Doume-Centre_G</t>
  </si>
  <si>
    <t>ADM_098_N_Maakola-MTN-IHS_G</t>
  </si>
  <si>
    <t>ADM_099_N_Wada-MTN-IHS_G</t>
  </si>
  <si>
    <t>ADM_067_N_Doualayel-MTN_G</t>
  </si>
  <si>
    <t>ADM_109_N_Mbakaou-MTN-IHS_G</t>
  </si>
  <si>
    <t>ADM_038_N_Pang-Camtel_D_Prod</t>
  </si>
  <si>
    <t>ADM_041_N_Kanje-I_G</t>
  </si>
  <si>
    <t>ADM_252_N_Mahor_G</t>
  </si>
  <si>
    <t>ADM_055_N_Mbantinbang-FH_G</t>
  </si>
  <si>
    <t>CTR_367_N_Ngoum-II-MTN_G</t>
  </si>
  <si>
    <t>CTR_985_N_Djampa_G_Prod</t>
  </si>
  <si>
    <t>CTR_300_N_Ngouetou_G</t>
  </si>
  <si>
    <t>CTR_406_N_Mbimbim-MTN_G</t>
  </si>
  <si>
    <t>CTR_1119_N_Ngouassabe_G</t>
  </si>
  <si>
    <t>ADM_024_N_Galim-Tignere_G</t>
  </si>
  <si>
    <t>ADM_251_N_Nyadjinda_G</t>
  </si>
  <si>
    <t>ADM_064_N_Koba-MTN_G</t>
  </si>
  <si>
    <t>ADM_103_N_Wadjiri-IHS_D</t>
  </si>
  <si>
    <t>CTR_301_N_Matsari_G</t>
  </si>
  <si>
    <t>ADM_042_N_Mbong_G</t>
  </si>
  <si>
    <t>ADM_144_N_SAMBO-LABO-IHS_D</t>
  </si>
  <si>
    <t>ADM_154_N_Mbamti-New_G</t>
  </si>
  <si>
    <t>ADM_043_N_Mayo-Tolere-I_G</t>
  </si>
  <si>
    <t>ADM_054_N_Meidjamba-MTN_G</t>
  </si>
  <si>
    <t>Djampa_U_CTR_985_PROD</t>
  </si>
  <si>
    <t>Ngouassabe_U_CTR_1119</t>
  </si>
  <si>
    <t>Makary_EXN_020</t>
  </si>
  <si>
    <t>INC-20260429-00005728 | 2604D79809</t>
  </si>
  <si>
    <t>EXN_395_URH_BLABLINE_1</t>
  </si>
  <si>
    <t xml:space="preserve">(04/29/2026 incident ): impacted by  Makary_EXN_020  ,A determiner  || sans action </t>
  </si>
  <si>
    <t>EXN_315_URH_ADJIRI</t>
  </si>
  <si>
    <t>EXN_302_URH_NDODEHE</t>
  </si>
  <si>
    <t>EXN_281_URH_BODO</t>
  </si>
  <si>
    <t>EXN_307_URH_GRELIE</t>
  </si>
  <si>
    <t>EXN_384_URH_CHAIBOU</t>
  </si>
  <si>
    <t>EXN_380_URH_DOUGMO_SALAMAT</t>
  </si>
  <si>
    <t>EXN_382_URH_NDELBENG</t>
  </si>
  <si>
    <t>EXN_385_URH_GREMARI</t>
  </si>
  <si>
    <t>EXN_391_URH_KAOUSSE</t>
  </si>
  <si>
    <t>EXN_393_URH_LAFIA_I</t>
  </si>
  <si>
    <t>LIT_480_Z_Mbongo-IHS(LIT-480)</t>
  </si>
  <si>
    <t>LIT_497_Z_Manoka-IHS(LIT-497)</t>
  </si>
  <si>
    <t>LIT_832_URH_MBONGO_V2_BIS</t>
  </si>
  <si>
    <t>LIT_821_URH_MBONGO</t>
  </si>
  <si>
    <t>LIT_831_URH_MBONGO_V1</t>
  </si>
  <si>
    <t xml:space="preserve">NOMENCLATURE </t>
  </si>
  <si>
    <t>A (Key)</t>
  </si>
  <si>
    <t>B (AK - Type Issue)</t>
  </si>
  <si>
    <t>C (AJ - Type)</t>
  </si>
  <si>
    <t>D (AM - Detail)</t>
  </si>
  <si>
    <t>fxdb</t>
  </si>
  <si>
    <t>CHASSIS</t>
  </si>
  <si>
    <t>analyse et intervension</t>
  </si>
  <si>
    <t xml:space="preserve">jumper </t>
  </si>
  <si>
    <t>VBPe1P</t>
  </si>
  <si>
    <t>GPS</t>
  </si>
  <si>
    <t xml:space="preserve"> FXED</t>
  </si>
  <si>
    <t>FBBC</t>
  </si>
  <si>
    <t>FRGU</t>
  </si>
  <si>
    <t>FSMF</t>
  </si>
  <si>
    <t>slot</t>
  </si>
  <si>
    <t>board</t>
  </si>
  <si>
    <t>card</t>
  </si>
  <si>
    <t>carte FPFC / FPFH ou connexion vers RRU</t>
  </si>
  <si>
    <t>power issue =  problèmes de Phases récurrente sur site</t>
  </si>
  <si>
    <t>FXDB</t>
  </si>
  <si>
    <t>VSAT = Very Small Aperture Terminal: liaison salellitaire + modem</t>
  </si>
  <si>
    <t>TRANS_FO_CAMTEL</t>
  </si>
  <si>
    <t>Fiber CAMTEL</t>
  </si>
  <si>
    <t>lien entre 2 site</t>
  </si>
  <si>
    <t>TRAVAUX-NOKIA</t>
  </si>
  <si>
    <t>TRAVAUX -NOKIA</t>
  </si>
  <si>
    <t>Projet OCM (NOKIA)</t>
  </si>
  <si>
    <t>Site démentelé par OCM</t>
  </si>
  <si>
    <t>Site down and not MSP</t>
  </si>
  <si>
    <t>SPARE-HS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</si>
</sst>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0" x14ac:knownFonts="1">
    <font>
      <sz val="11"/>
      <color theme="1"/>
      <name val="Calibri"/>
      <family val="2"/>
      <scheme val="minor"/>
    </font>
    <font>
      <sz val="11"/>
      <color theme="1"/>
      <name val="Calibri"/>
      <family val="2"/>
    </font>
    <font>
      <b/>
      <sz val="11"/>
      <color rgb="FF000000"/>
      <name val="Aptos Narrow"/>
      <family val="2"/>
    </font>
    <font>
      <sz val="9"/>
      <color rgb="FF000000"/>
      <name val="Arial"/>
      <family val="2"/>
    </font>
    <font>
      <b/>
      <sz val="9"/>
      <color theme="1"/>
      <name val="Arial"/>
      <family val="2"/>
    </font>
    <font>
      <b/>
      <sz val="9"/>
      <color rgb="FF000000"/>
      <name val="Arial"/>
      <family val="2"/>
    </font>
    <font>
      <b/>
      <sz val="11"/>
      <color rgb="FFFFFFFF"/>
      <name val="Aptos Narrow"/>
      <family val="2"/>
    </font>
    <font>
      <sz val="9"/>
      <color theme="1"/>
      <name val="Arial"/>
      <family val="2"/>
    </font>
    <font>
      <sz val="8"/>
      <color rgb="FF000000"/>
      <name val="Arial"/>
      <family val="2"/>
    </font>
    <font>
      <sz val="9"/>
      <color rgb="FFFFFFFF"/>
      <name val="Arial"/>
      <family val="2"/>
    </font>
    <font>
      <sz val="9"/>
      <color rgb="FF0B1E31"/>
      <name val="Arial"/>
      <family val="2"/>
    </font>
    <font>
      <sz val="11"/>
      <color rgb="FFFFFFFF"/>
      <name val="Aptos Narrow"/>
      <family val="2"/>
    </font>
    <font>
      <sz val="8"/>
      <color rgb="FF000000"/>
      <name val="Aptos Narrow"/>
      <family val="2"/>
    </font>
    <font>
      <sz val="11"/>
      <color theme="1"/>
      <name val="Aptos Narrow"/>
      <family val="2"/>
    </font>
    <font>
      <sz val="11"/>
      <color rgb="FF00B050"/>
      <name val="Aptos Narrow"/>
      <family val="2"/>
    </font>
    <font>
      <sz val="11"/>
      <color rgb="FF47D45A"/>
      <name val="Aptos Narrow"/>
      <family val="2"/>
    </font>
    <font>
      <sz val="12"/>
      <color rgb="FF000000"/>
      <name val="Aptos Narrow"/>
      <family val="2"/>
    </font>
    <font>
      <b/>
      <sz val="11"/>
      <color theme="1"/>
      <name val="Arial"/>
      <family val="2"/>
    </font>
    <font>
      <b/>
      <sz val="11"/>
      <color rgb="FF000000"/>
      <name val="Arial"/>
      <family val="2"/>
    </font>
    <font>
      <b/>
      <sz val="11"/>
      <name val="Calibri"/>
    </font>
  </fonts>
  <fills count="22">
    <fill>
      <patternFill patternType="none"/>
    </fill>
    <fill>
      <patternFill patternType="gray125"/>
    </fill>
    <fill>
      <patternFill patternType="solid">
        <fgColor rgb="FFFFFF00"/>
      </patternFill>
    </fill>
    <fill>
      <patternFill patternType="solid">
        <fgColor rgb="FF84E291"/>
      </patternFill>
    </fill>
    <fill>
      <patternFill patternType="solid">
        <fgColor rgb="FFF6C6AD"/>
      </patternFill>
    </fill>
    <fill>
      <patternFill patternType="solid">
        <fgColor rgb="FFF2AA84"/>
      </patternFill>
    </fill>
    <fill>
      <patternFill patternType="solid">
        <fgColor rgb="FFFFC000"/>
      </patternFill>
    </fill>
    <fill>
      <patternFill patternType="solid">
        <fgColor rgb="FF0B3041"/>
      </patternFill>
    </fill>
    <fill>
      <patternFill patternType="solid">
        <fgColor rgb="FF92D050"/>
      </patternFill>
    </fill>
    <fill>
      <patternFill patternType="solid">
        <fgColor rgb="FFFFFFFF"/>
      </patternFill>
    </fill>
    <fill>
      <patternFill patternType="solid">
        <fgColor rgb="FF002060"/>
      </patternFill>
    </fill>
    <fill>
      <patternFill patternType="solid">
        <fgColor rgb="FFF2CFEE"/>
      </patternFill>
    </fill>
    <fill>
      <patternFill patternType="solid">
        <fgColor rgb="FFC2F1C8"/>
      </patternFill>
    </fill>
    <fill>
      <patternFill patternType="solid">
        <fgColor rgb="FF4E95D9"/>
      </patternFill>
    </fill>
    <fill>
      <patternFill patternType="solid">
        <fgColor rgb="FFFF0000"/>
      </patternFill>
    </fill>
    <fill>
      <patternFill patternType="solid">
        <fgColor rgb="FFDCEAF7"/>
      </patternFill>
    </fill>
    <fill>
      <patternFill patternType="solid">
        <fgColor rgb="FFC1E5F5"/>
      </patternFill>
    </fill>
    <fill>
      <patternFill patternType="solid">
        <fgColor rgb="FFCAEEFB"/>
      </patternFill>
    </fill>
    <fill>
      <patternFill patternType="solid">
        <fgColor rgb="FF46B1E1"/>
      </patternFill>
    </fill>
    <fill>
      <patternFill patternType="solid">
        <fgColor rgb="FFD86ECC"/>
      </patternFill>
    </fill>
    <fill>
      <patternFill patternType="solid">
        <fgColor rgb="FF104862"/>
      </patternFill>
    </fill>
    <fill>
      <patternFill patternType="solid">
        <fgColor rgb="FF96DCF8"/>
      </patternFill>
    </fill>
  </fills>
  <borders count="9">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2"/>
  </cellStyleXfs>
  <cellXfs count="65">
    <xf numFmtId="0" fontId="0" fillId="0" borderId="0" xfId="0" applyBorder="1"/>
    <xf numFmtId="0" fontId="2" fillId="0" borderId="2" xfId="0" applyFont="1" applyAlignment="1">
      <alignment horizontal="center"/>
    </xf>
    <xf numFmtId="0" fontId="1" fillId="0" borderId="2" xfId="0" applyFont="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3" fillId="0" borderId="3" xfId="0" applyFont="1" applyBorder="1" applyAlignment="1">
      <alignment horizontal="center"/>
    </xf>
    <xf numFmtId="0" fontId="0" fillId="0" borderId="0" xfId="0" applyBorder="1" applyAlignment="1">
      <alignment horizontal="center"/>
    </xf>
    <xf numFmtId="0" fontId="1" fillId="5" borderId="1" xfId="0" applyFont="1" applyFill="1" applyBorder="1" applyAlignment="1">
      <alignment horizontal="left"/>
    </xf>
    <xf numFmtId="0" fontId="1" fillId="5" borderId="4" xfId="0" applyFont="1" applyFill="1" applyBorder="1" applyAlignment="1">
      <alignment horizontal="left"/>
    </xf>
    <xf numFmtId="0" fontId="0" fillId="0" borderId="0" xfId="0" applyBorder="1"/>
    <xf numFmtId="0" fontId="1" fillId="2" borderId="1" xfId="0" applyFont="1" applyFill="1" applyBorder="1" applyAlignment="1">
      <alignment horizontal="left"/>
    </xf>
    <xf numFmtId="14" fontId="1" fillId="0" borderId="3" xfId="0" applyNumberFormat="1" applyFont="1" applyBorder="1" applyAlignment="1">
      <alignment horizontal="left"/>
    </xf>
    <xf numFmtId="0" fontId="4" fillId="6" borderId="3" xfId="0" applyFont="1" applyFill="1" applyBorder="1" applyAlignment="1">
      <alignment horizontal="center"/>
    </xf>
    <xf numFmtId="4" fontId="5" fillId="6" borderId="3" xfId="0" applyNumberFormat="1" applyFont="1" applyFill="1" applyBorder="1" applyAlignment="1">
      <alignment horizontal="center"/>
    </xf>
    <xf numFmtId="0" fontId="5" fillId="2" borderId="3" xfId="0" applyFont="1" applyFill="1" applyBorder="1" applyAlignment="1">
      <alignment horizontal="center"/>
    </xf>
    <xf numFmtId="0" fontId="2" fillId="2" borderId="3" xfId="0" applyFont="1" applyFill="1" applyBorder="1" applyAlignment="1">
      <alignment horizontal="center"/>
    </xf>
    <xf numFmtId="0" fontId="6" fillId="7" borderId="3" xfId="0" applyFont="1" applyFill="1" applyBorder="1" applyAlignment="1">
      <alignment horizontal="center"/>
    </xf>
    <xf numFmtId="0" fontId="7" fillId="9" borderId="3" xfId="0" applyFont="1" applyFill="1" applyBorder="1" applyAlignment="1">
      <alignment horizontal="center"/>
    </xf>
    <xf numFmtId="0" fontId="7" fillId="0" borderId="3" xfId="0" applyFont="1" applyBorder="1" applyAlignment="1">
      <alignment horizontal="center"/>
    </xf>
    <xf numFmtId="4" fontId="3" fillId="11" borderId="3" xfId="0" applyNumberFormat="1" applyFont="1" applyFill="1" applyBorder="1" applyAlignment="1">
      <alignment horizontal="center"/>
    </xf>
    <xf numFmtId="4" fontId="10" fillId="9" borderId="3" xfId="0" applyNumberFormat="1" applyFont="1" applyFill="1" applyBorder="1" applyAlignment="1">
      <alignment horizontal="center"/>
    </xf>
    <xf numFmtId="0" fontId="11" fillId="7" borderId="3" xfId="0" applyFont="1" applyFill="1" applyBorder="1" applyAlignment="1">
      <alignment horizontal="center"/>
    </xf>
    <xf numFmtId="0" fontId="1" fillId="9" borderId="3" xfId="0" applyFont="1" applyFill="1" applyBorder="1" applyAlignment="1">
      <alignment horizontal="center"/>
    </xf>
    <xf numFmtId="0" fontId="1" fillId="12" borderId="3" xfId="0" applyFont="1" applyFill="1" applyBorder="1" applyAlignment="1">
      <alignment horizontal="center"/>
    </xf>
    <xf numFmtId="0" fontId="12" fillId="0" borderId="3" xfId="0" applyFont="1" applyBorder="1" applyAlignment="1">
      <alignment horizontal="center"/>
    </xf>
    <xf numFmtId="0" fontId="12" fillId="9" borderId="3" xfId="0" applyFont="1" applyFill="1" applyBorder="1" applyAlignment="1">
      <alignment horizontal="center"/>
    </xf>
    <xf numFmtId="0" fontId="12" fillId="2" borderId="3" xfId="0" applyFont="1" applyFill="1" applyBorder="1" applyAlignment="1">
      <alignment horizontal="center"/>
    </xf>
    <xf numFmtId="0" fontId="8" fillId="9" borderId="3" xfId="0" applyFont="1" applyFill="1" applyBorder="1" applyAlignment="1">
      <alignment horizontal="center"/>
    </xf>
    <xf numFmtId="0" fontId="1" fillId="14" borderId="3" xfId="0" applyFont="1" applyFill="1" applyBorder="1" applyAlignment="1">
      <alignment horizontal="center"/>
    </xf>
    <xf numFmtId="4" fontId="3" fillId="15" borderId="3" xfId="0" applyNumberFormat="1" applyFont="1" applyFill="1" applyBorder="1" applyAlignment="1">
      <alignment horizontal="center"/>
    </xf>
    <xf numFmtId="4" fontId="9" fillId="10" borderId="3" xfId="0" applyNumberFormat="1" applyFont="1" applyFill="1" applyBorder="1" applyAlignment="1">
      <alignment horizontal="center"/>
    </xf>
    <xf numFmtId="0" fontId="10" fillId="16" borderId="3" xfId="0" applyFont="1" applyFill="1" applyBorder="1" applyAlignment="1">
      <alignment horizontal="center"/>
    </xf>
    <xf numFmtId="4" fontId="10" fillId="17" borderId="3" xfId="0" applyNumberFormat="1" applyFont="1" applyFill="1" applyBorder="1" applyAlignment="1">
      <alignment horizontal="center"/>
    </xf>
    <xf numFmtId="0" fontId="1" fillId="16" borderId="3" xfId="0" applyFont="1" applyFill="1" applyBorder="1" applyAlignment="1">
      <alignment horizontal="center"/>
    </xf>
    <xf numFmtId="0" fontId="1" fillId="16" borderId="5" xfId="0" applyFont="1" applyFill="1" applyBorder="1" applyAlignment="1">
      <alignment horizontal="center"/>
    </xf>
    <xf numFmtId="0" fontId="1" fillId="16" borderId="6" xfId="0" applyFont="1" applyFill="1" applyBorder="1" applyAlignment="1">
      <alignment horizontal="center"/>
    </xf>
    <xf numFmtId="0" fontId="13" fillId="9" borderId="3" xfId="0" applyFont="1" applyFill="1" applyBorder="1" applyAlignment="1">
      <alignment horizontal="center"/>
    </xf>
    <xf numFmtId="0" fontId="14" fillId="9" borderId="3" xfId="0" applyFont="1" applyFill="1" applyBorder="1" applyAlignment="1">
      <alignment horizontal="center"/>
    </xf>
    <xf numFmtId="0" fontId="10" fillId="17" borderId="3" xfId="0" applyFont="1" applyFill="1" applyBorder="1" applyAlignment="1">
      <alignment horizontal="center"/>
    </xf>
    <xf numFmtId="0" fontId="15" fillId="9" borderId="3" xfId="0" applyFont="1" applyFill="1" applyBorder="1" applyAlignment="1">
      <alignment horizontal="center"/>
    </xf>
    <xf numFmtId="14" fontId="0" fillId="0" borderId="0" xfId="0" applyNumberFormat="1" applyBorder="1"/>
    <xf numFmtId="4" fontId="0" fillId="0" borderId="0" xfId="0" applyNumberFormat="1" applyBorder="1" applyAlignment="1">
      <alignment horizontal="center"/>
    </xf>
    <xf numFmtId="0" fontId="8" fillId="0" borderId="3" xfId="0" applyFont="1" applyBorder="1" applyAlignment="1">
      <alignment horizontal="center"/>
    </xf>
    <xf numFmtId="0" fontId="9" fillId="10" borderId="3" xfId="0" applyFont="1" applyFill="1" applyBorder="1" applyAlignment="1">
      <alignment horizontal="center"/>
    </xf>
    <xf numFmtId="0" fontId="9" fillId="13" borderId="3" xfId="0" applyFont="1" applyFill="1" applyBorder="1" applyAlignment="1">
      <alignment horizontal="center"/>
    </xf>
    <xf numFmtId="0" fontId="9" fillId="8" borderId="3" xfId="0" applyFont="1" applyFill="1" applyBorder="1" applyAlignment="1">
      <alignment horizontal="center"/>
    </xf>
    <xf numFmtId="0" fontId="10" fillId="9" borderId="3" xfId="0" applyFont="1" applyFill="1" applyBorder="1" applyAlignment="1">
      <alignment horizontal="center"/>
    </xf>
    <xf numFmtId="0" fontId="7" fillId="8" borderId="3" xfId="0" applyFont="1" applyFill="1" applyBorder="1" applyAlignment="1">
      <alignment horizontal="center"/>
    </xf>
    <xf numFmtId="0" fontId="7" fillId="19" borderId="3" xfId="0" applyFont="1" applyFill="1" applyBorder="1" applyAlignment="1">
      <alignment horizontal="center"/>
    </xf>
    <xf numFmtId="0" fontId="7" fillId="18" borderId="3" xfId="0" applyFont="1" applyFill="1" applyBorder="1" applyAlignment="1">
      <alignment horizontal="center"/>
    </xf>
    <xf numFmtId="1" fontId="16" fillId="0" borderId="2" xfId="0" applyNumberFormat="1" applyFont="1" applyAlignment="1">
      <alignment horizontal="center"/>
    </xf>
    <xf numFmtId="1" fontId="1" fillId="0" borderId="2" xfId="0" applyNumberFormat="1" applyFont="1" applyAlignment="1">
      <alignment horizontal="center"/>
    </xf>
    <xf numFmtId="1" fontId="1" fillId="0" borderId="2" xfId="0" applyNumberFormat="1" applyFont="1" applyAlignment="1">
      <alignment horizontal="left"/>
    </xf>
    <xf numFmtId="1" fontId="1" fillId="20" borderId="1" xfId="0" applyNumberFormat="1" applyFont="1" applyFill="1" applyBorder="1" applyAlignment="1">
      <alignment horizontal="left"/>
    </xf>
    <xf numFmtId="1" fontId="6" fillId="20" borderId="1" xfId="0" applyNumberFormat="1" applyFont="1" applyFill="1" applyBorder="1" applyAlignment="1">
      <alignment horizontal="left"/>
    </xf>
    <xf numFmtId="1" fontId="6" fillId="20" borderId="1" xfId="0" applyNumberFormat="1" applyFont="1" applyFill="1" applyBorder="1" applyAlignment="1">
      <alignment horizontal="right"/>
    </xf>
    <xf numFmtId="1" fontId="17" fillId="21" borderId="3" xfId="0" applyNumberFormat="1" applyFont="1" applyFill="1" applyBorder="1" applyAlignment="1">
      <alignment horizontal="center"/>
    </xf>
    <xf numFmtId="1" fontId="18" fillId="21" borderId="3" xfId="0" applyNumberFormat="1" applyFont="1" applyFill="1" applyBorder="1" applyAlignment="1">
      <alignment horizontal="center"/>
    </xf>
    <xf numFmtId="1" fontId="17" fillId="0" borderId="2" xfId="0" applyNumberFormat="1" applyFont="1" applyAlignment="1">
      <alignment horizontal="center"/>
    </xf>
    <xf numFmtId="1" fontId="18" fillId="0" borderId="3" xfId="0" applyNumberFormat="1" applyFont="1" applyBorder="1" applyAlignment="1">
      <alignment horizontal="center"/>
    </xf>
    <xf numFmtId="1" fontId="18" fillId="0" borderId="2" xfId="0" applyNumberFormat="1" applyFont="1" applyAlignment="1">
      <alignment horizontal="center"/>
    </xf>
    <xf numFmtId="1" fontId="18" fillId="0" borderId="7" xfId="0" applyNumberFormat="1" applyFont="1" applyBorder="1" applyAlignment="1">
      <alignment horizontal="center"/>
    </xf>
    <xf numFmtId="1" fontId="0" fillId="0" borderId="0" xfId="0" applyNumberFormat="1" applyBorder="1"/>
    <xf numFmtId="0" fontId="19" fillId="0" borderId="8" xfId="0" applyFont="1" applyBorder="1" applyAlignment="1">
      <alignment horizontal="center" vertical="top"/>
    </xf>
    <xf numFmtId="164" fontId="0" fillId="0" borderId="0"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57"/>
  <sheetViews>
    <sheetView workbookViewId="0"/>
  </sheetViews>
  <sheetFormatPr defaultRowHeight="14.4" x14ac:dyDescent="0.3"/>
  <cols>
    <col min="1" max="1" width="15.44140625" style="62" bestFit="1" customWidth="1"/>
    <col min="2" max="2" width="24.109375" style="62" bestFit="1" customWidth="1"/>
    <col min="3" max="3" width="13" style="62" bestFit="1" customWidth="1"/>
    <col min="4" max="4" width="15.88671875" style="62" bestFit="1" customWidth="1"/>
    <col min="5" max="5" width="24.109375" style="62" bestFit="1" customWidth="1"/>
    <col min="6" max="6" width="21.44140625" style="62" bestFit="1" customWidth="1"/>
    <col min="7" max="7" width="17.88671875" style="62" bestFit="1" customWidth="1"/>
    <col min="8" max="9" width="24.109375" style="62" bestFit="1" customWidth="1"/>
    <col min="10" max="11" width="13.5546875" style="9" bestFit="1" customWidth="1"/>
  </cols>
  <sheetData>
    <row r="1" spans="1:8" ht="18.75" customHeight="1" x14ac:dyDescent="0.3">
      <c r="A1" s="50"/>
      <c r="B1" s="50"/>
      <c r="C1" s="50"/>
      <c r="D1" s="50"/>
      <c r="E1" s="50"/>
      <c r="F1" s="50"/>
      <c r="G1" s="50"/>
      <c r="H1" s="50"/>
    </row>
    <row r="2" spans="1:8" ht="18.75" customHeight="1" x14ac:dyDescent="0.3">
      <c r="A2" s="50"/>
      <c r="B2" s="50"/>
      <c r="C2" s="50"/>
      <c r="D2" s="50"/>
      <c r="E2" s="50"/>
      <c r="F2" s="50"/>
      <c r="G2" s="50"/>
      <c r="H2" s="50"/>
    </row>
    <row r="3" spans="1:8" ht="18.75" customHeight="1" x14ac:dyDescent="0.3">
      <c r="C3" s="50"/>
      <c r="F3" s="50"/>
    </row>
    <row r="4" spans="1:8" ht="18.75" customHeight="1" x14ac:dyDescent="0.3">
      <c r="C4" s="50"/>
      <c r="F4" s="50"/>
    </row>
    <row r="5" spans="1:8" ht="18.75" customHeight="1" x14ac:dyDescent="0.3">
      <c r="C5" s="50"/>
      <c r="F5" s="50"/>
    </row>
    <row r="6" spans="1:8" ht="18.75" customHeight="1" x14ac:dyDescent="0.3">
      <c r="C6" s="50"/>
      <c r="F6" s="50"/>
    </row>
    <row r="7" spans="1:8" ht="18.75" customHeight="1" x14ac:dyDescent="0.3">
      <c r="C7" s="50"/>
      <c r="F7" s="50"/>
    </row>
    <row r="8" spans="1:8" ht="18.75" customHeight="1" x14ac:dyDescent="0.3">
      <c r="C8" s="50"/>
      <c r="F8" s="50"/>
    </row>
    <row r="9" spans="1:8" ht="18.75" customHeight="1" x14ac:dyDescent="0.3">
      <c r="C9" s="50"/>
      <c r="F9" s="50"/>
    </row>
    <row r="10" spans="1:8" ht="18.75" customHeight="1" x14ac:dyDescent="0.3">
      <c r="C10" s="50"/>
      <c r="F10" s="50"/>
    </row>
    <row r="11" spans="1:8" ht="18.75" customHeight="1" x14ac:dyDescent="0.3">
      <c r="C11" s="50"/>
      <c r="F11" s="50"/>
    </row>
    <row r="12" spans="1:8" ht="18.75" customHeight="1" x14ac:dyDescent="0.3">
      <c r="A12" s="50"/>
      <c r="B12" s="50"/>
      <c r="C12" s="50"/>
      <c r="F12" s="50"/>
    </row>
    <row r="13" spans="1:8" ht="18.75" customHeight="1" x14ac:dyDescent="0.3">
      <c r="A13" s="50"/>
      <c r="B13" s="50"/>
      <c r="C13" s="50"/>
      <c r="F13" s="50"/>
    </row>
    <row r="14" spans="1:8" ht="18.75" customHeight="1" x14ac:dyDescent="0.3">
      <c r="A14" s="50"/>
      <c r="B14" s="50"/>
      <c r="C14" s="50"/>
      <c r="F14" s="50"/>
    </row>
    <row r="15" spans="1:8" ht="18.75" customHeight="1" x14ac:dyDescent="0.3">
      <c r="A15" s="50"/>
      <c r="B15" s="50"/>
      <c r="C15" s="50"/>
      <c r="F15" s="50"/>
    </row>
    <row r="16" spans="1:8" ht="18.75" customHeight="1" x14ac:dyDescent="0.3">
      <c r="A16" s="51" t="s">
        <v>0</v>
      </c>
      <c r="B16" s="51" t="s">
        <v>1</v>
      </c>
      <c r="C16" s="50"/>
      <c r="D16" s="51" t="s">
        <v>0</v>
      </c>
      <c r="E16" s="51" t="s">
        <v>1</v>
      </c>
      <c r="F16" s="51"/>
      <c r="G16" s="51" t="s">
        <v>0</v>
      </c>
      <c r="H16" s="51" t="s">
        <v>1</v>
      </c>
    </row>
    <row r="17" spans="1:11" ht="18.75" customHeight="1" x14ac:dyDescent="0.3">
      <c r="A17" s="50"/>
      <c r="B17" s="50"/>
      <c r="C17" s="50"/>
      <c r="D17" s="50"/>
      <c r="E17" s="50"/>
      <c r="F17" s="51"/>
      <c r="G17" s="51"/>
      <c r="H17" s="51"/>
    </row>
    <row r="18" spans="1:11" ht="18.75" customHeight="1" x14ac:dyDescent="0.3">
      <c r="A18" s="51" t="s">
        <v>2</v>
      </c>
      <c r="B18" s="51" t="s">
        <v>3</v>
      </c>
      <c r="C18" s="51"/>
      <c r="D18" s="51" t="s">
        <v>2</v>
      </c>
      <c r="E18" s="51" t="s">
        <v>3</v>
      </c>
      <c r="F18" s="51"/>
      <c r="G18" s="51" t="s">
        <v>2</v>
      </c>
      <c r="H18" s="51" t="s">
        <v>3</v>
      </c>
    </row>
    <row r="19" spans="1:11" ht="18.75" customHeight="1" x14ac:dyDescent="0.3">
      <c r="A19" s="51" t="s">
        <v>4</v>
      </c>
      <c r="B19" s="51">
        <v>0</v>
      </c>
      <c r="C19" s="51"/>
      <c r="D19" s="51" t="s">
        <v>4</v>
      </c>
      <c r="E19" s="51">
        <v>0</v>
      </c>
      <c r="F19" s="51"/>
      <c r="G19" s="51" t="s">
        <v>4</v>
      </c>
      <c r="H19" s="51">
        <v>0</v>
      </c>
      <c r="J19" s="52"/>
      <c r="K19" s="52"/>
    </row>
    <row r="20" spans="1:11" ht="18.75" customHeight="1" x14ac:dyDescent="0.3">
      <c r="A20" s="51" t="s">
        <v>5</v>
      </c>
      <c r="B20" s="51">
        <v>449.06071201674581</v>
      </c>
      <c r="C20" s="51"/>
      <c r="D20" s="51" t="s">
        <v>6</v>
      </c>
      <c r="E20" s="51">
        <v>42.358881726321442</v>
      </c>
      <c r="F20" s="51"/>
      <c r="G20" s="51" t="s">
        <v>7</v>
      </c>
      <c r="H20" s="51">
        <v>365.69652395627497</v>
      </c>
      <c r="J20" s="52"/>
      <c r="K20" s="52"/>
    </row>
    <row r="21" spans="1:11" ht="18.75" customHeight="1" x14ac:dyDescent="0.3">
      <c r="A21" s="51" t="s">
        <v>8</v>
      </c>
      <c r="B21" s="51">
        <v>242.56800473238081</v>
      </c>
      <c r="C21" s="51"/>
      <c r="D21" s="51" t="s">
        <v>8</v>
      </c>
      <c r="E21" s="51">
        <v>242.56800473238081</v>
      </c>
      <c r="F21" s="51"/>
      <c r="G21" s="51" t="s">
        <v>9</v>
      </c>
      <c r="H21" s="51">
        <v>216.07853712407231</v>
      </c>
    </row>
    <row r="22" spans="1:11" ht="18.75" customHeight="1" x14ac:dyDescent="0.3">
      <c r="A22" s="51" t="s">
        <v>10</v>
      </c>
      <c r="B22" s="51">
        <v>1389.5296064356619</v>
      </c>
      <c r="C22" s="51"/>
      <c r="D22" s="51" t="s">
        <v>11</v>
      </c>
      <c r="E22" s="51">
        <v>1347.1707247093409</v>
      </c>
      <c r="F22" s="51"/>
      <c r="G22" s="51" t="s">
        <v>12</v>
      </c>
      <c r="H22" s="51">
        <v>211.16711569796641</v>
      </c>
    </row>
    <row r="23" spans="1:11" ht="18.75" customHeight="1" x14ac:dyDescent="0.3">
      <c r="A23" s="51" t="s">
        <v>13</v>
      </c>
      <c r="B23" s="51">
        <v>0</v>
      </c>
      <c r="C23" s="51"/>
      <c r="D23" s="51" t="s">
        <v>14</v>
      </c>
      <c r="E23" s="51">
        <v>211.16711569796641</v>
      </c>
      <c r="F23" s="51"/>
      <c r="G23" s="51" t="s">
        <v>6</v>
      </c>
      <c r="H23" s="51">
        <v>42.358881726321442</v>
      </c>
    </row>
    <row r="24" spans="1:11" ht="18.75" customHeight="1" x14ac:dyDescent="0.3">
      <c r="A24" s="51" t="s">
        <v>15</v>
      </c>
      <c r="B24" s="51">
        <v>130.2794692090369</v>
      </c>
      <c r="C24" s="51"/>
      <c r="D24" s="51" t="s">
        <v>15</v>
      </c>
      <c r="E24" s="51">
        <v>130.2794692090369</v>
      </c>
      <c r="F24" s="51"/>
      <c r="G24" s="51" t="s">
        <v>16</v>
      </c>
      <c r="H24" s="51">
        <v>46.894948535098017</v>
      </c>
    </row>
    <row r="25" spans="1:11" ht="18.75" customHeight="1" x14ac:dyDescent="0.3">
      <c r="A25" s="51" t="s">
        <v>17</v>
      </c>
      <c r="B25" s="51">
        <v>2211.4377923938259</v>
      </c>
      <c r="C25" s="51"/>
      <c r="D25" s="51" t="s">
        <v>18</v>
      </c>
      <c r="E25" s="51">
        <v>0</v>
      </c>
      <c r="F25" s="51"/>
      <c r="G25" s="51" t="s">
        <v>19</v>
      </c>
      <c r="H25" s="51">
        <v>304.38334602520229</v>
      </c>
    </row>
    <row r="26" spans="1:11" ht="18.75" customHeight="1" x14ac:dyDescent="0.3">
      <c r="A26" s="51"/>
      <c r="B26" s="51"/>
      <c r="C26" s="51"/>
      <c r="D26" s="51" t="s">
        <v>20</v>
      </c>
      <c r="E26" s="51">
        <v>0</v>
      </c>
      <c r="F26" s="51"/>
      <c r="G26" s="51" t="s">
        <v>21</v>
      </c>
      <c r="H26" s="51">
        <v>352.07139665741983</v>
      </c>
    </row>
    <row r="27" spans="1:11" ht="18.75" customHeight="1" x14ac:dyDescent="0.3">
      <c r="A27" s="51"/>
      <c r="B27" s="51"/>
      <c r="C27" s="51"/>
      <c r="D27" s="51" t="s">
        <v>22</v>
      </c>
      <c r="E27" s="51">
        <v>237.89359631877949</v>
      </c>
      <c r="F27" s="51"/>
      <c r="G27" s="51" t="s">
        <v>8</v>
      </c>
      <c r="H27" s="51">
        <v>242.56800473238081</v>
      </c>
    </row>
    <row r="28" spans="1:11" ht="18.75" customHeight="1" x14ac:dyDescent="0.3">
      <c r="A28" s="51"/>
      <c r="B28" s="51"/>
      <c r="C28" s="51"/>
      <c r="D28" s="51" t="s">
        <v>17</v>
      </c>
      <c r="E28" s="51">
        <v>2211.4377923938259</v>
      </c>
      <c r="F28" s="51"/>
      <c r="G28" s="51" t="s">
        <v>23</v>
      </c>
      <c r="H28" s="51">
        <v>0</v>
      </c>
    </row>
    <row r="29" spans="1:11" ht="18.75" customHeight="1" x14ac:dyDescent="0.3">
      <c r="A29" s="51"/>
      <c r="B29" s="51"/>
      <c r="C29" s="51"/>
      <c r="D29" s="51"/>
      <c r="E29" s="51"/>
      <c r="F29" s="51"/>
      <c r="G29" s="51" t="s">
        <v>24</v>
      </c>
      <c r="H29" s="51">
        <v>190.99864778368149</v>
      </c>
    </row>
    <row r="30" spans="1:11" ht="18.75" customHeight="1" x14ac:dyDescent="0.3">
      <c r="A30" s="51"/>
      <c r="B30" s="51"/>
      <c r="C30" s="51"/>
      <c r="D30" s="51"/>
      <c r="E30" s="51"/>
      <c r="F30" s="51"/>
      <c r="G30" s="51" t="s">
        <v>15</v>
      </c>
      <c r="H30" s="51">
        <v>130.2794692090369</v>
      </c>
    </row>
    <row r="31" spans="1:11" ht="18.75" customHeight="1" x14ac:dyDescent="0.3">
      <c r="A31" s="51"/>
      <c r="B31" s="51"/>
      <c r="C31" s="51"/>
      <c r="D31" s="51"/>
      <c r="E31" s="51"/>
      <c r="F31" s="51"/>
      <c r="G31" s="51" t="s">
        <v>25</v>
      </c>
      <c r="H31" s="51">
        <v>108.940920946372</v>
      </c>
    </row>
    <row r="32" spans="1:11" ht="18.75" customHeight="1" x14ac:dyDescent="0.3">
      <c r="A32" s="51"/>
      <c r="B32" s="51"/>
      <c r="C32" s="51"/>
      <c r="D32" s="51"/>
      <c r="E32" s="51"/>
      <c r="F32" s="51"/>
      <c r="G32" s="51" t="s">
        <v>18</v>
      </c>
      <c r="H32" s="51">
        <v>0</v>
      </c>
    </row>
    <row r="33" spans="1:9" ht="18.75" customHeight="1" x14ac:dyDescent="0.3">
      <c r="A33" s="51"/>
      <c r="B33" s="51"/>
      <c r="C33" s="51"/>
      <c r="D33" s="51"/>
      <c r="E33" s="51"/>
      <c r="F33" s="51"/>
      <c r="G33" s="51" t="s">
        <v>20</v>
      </c>
      <c r="H33" s="51">
        <v>0</v>
      </c>
    </row>
    <row r="34" spans="1:9" ht="18.75" customHeight="1" x14ac:dyDescent="0.3">
      <c r="A34" s="51"/>
      <c r="B34" s="51"/>
      <c r="C34" s="51"/>
      <c r="D34" s="51"/>
      <c r="E34" s="51"/>
      <c r="F34" s="51"/>
      <c r="G34" s="51" t="s">
        <v>17</v>
      </c>
      <c r="H34" s="51">
        <v>2211.4377923938259</v>
      </c>
    </row>
    <row r="35" spans="1:9" ht="18.75" customHeight="1" x14ac:dyDescent="0.3"/>
    <row r="36" spans="1:9" ht="18.75" customHeight="1" x14ac:dyDescent="0.3"/>
    <row r="37" spans="1:9" ht="18.75" customHeight="1" x14ac:dyDescent="0.3">
      <c r="G37" s="52"/>
      <c r="H37" s="52"/>
    </row>
    <row r="38" spans="1:9" ht="18.75" customHeight="1" x14ac:dyDescent="0.3">
      <c r="G38" s="52"/>
      <c r="H38" s="52"/>
    </row>
    <row r="39" spans="1:9" ht="18.75" customHeight="1" x14ac:dyDescent="0.3">
      <c r="B39" s="53"/>
      <c r="C39" s="53"/>
      <c r="D39" s="54" t="s">
        <v>26</v>
      </c>
      <c r="E39" s="55" t="s">
        <v>27</v>
      </c>
      <c r="F39" s="53"/>
      <c r="G39" s="53"/>
      <c r="H39" s="53"/>
      <c r="I39" s="53"/>
    </row>
    <row r="40" spans="1:9" ht="18.75" customHeight="1" x14ac:dyDescent="0.3">
      <c r="B40" s="56" t="s">
        <v>28</v>
      </c>
      <c r="C40" s="57" t="s">
        <v>29</v>
      </c>
      <c r="D40" s="58"/>
      <c r="E40" s="56" t="s">
        <v>28</v>
      </c>
      <c r="F40" s="56" t="s">
        <v>29</v>
      </c>
      <c r="G40" s="58"/>
      <c r="H40" s="56" t="s">
        <v>28</v>
      </c>
      <c r="I40" s="56" t="s">
        <v>29</v>
      </c>
    </row>
    <row r="41" spans="1:9" ht="18.75" customHeight="1" x14ac:dyDescent="0.3">
      <c r="B41" s="59" t="s">
        <v>4</v>
      </c>
      <c r="C41" s="59" t="e">
        <f>GETPIVOTDATA("NUR  DU 29/04/2026",$A$18,"CATEGORIE","ACCESS-ISSUE")</f>
        <v>#REF!</v>
      </c>
      <c r="D41" s="60"/>
      <c r="E41" s="59" t="s">
        <v>4</v>
      </c>
      <c r="F41" s="59" t="e">
        <f>GETPIVOTDATA("NUR  DU 29/04/2026",$D$18,"SUB RCA","ACCESS-ISSUE")</f>
        <v>#REF!</v>
      </c>
      <c r="G41" s="60"/>
      <c r="H41" s="59" t="s">
        <v>4</v>
      </c>
      <c r="I41" s="59" t="e">
        <f>GETPIVOTDATA("NUR  DU 29/04/2026",$G$18,"OCM NOMENCLATURE","ACCESS-ISSUE")</f>
        <v>#REF!</v>
      </c>
    </row>
    <row r="42" spans="1:9" ht="18.75" customHeight="1" x14ac:dyDescent="0.3">
      <c r="B42" s="59" t="s">
        <v>5</v>
      </c>
      <c r="C42" s="59" t="e">
        <f>GETPIVOTDATA("NUR  DU 29/04/2026",$A$18,"CATEGORIE","ACTIVE")</f>
        <v>#REF!</v>
      </c>
      <c r="D42" s="60"/>
      <c r="E42" s="59" t="s">
        <v>30</v>
      </c>
      <c r="F42" s="59" t="e">
        <f>GETPIVOTDATA("NUR  DU 29/04/2026",$D$18,"SUB RCA","ENVTECH")</f>
        <v>#REF!</v>
      </c>
      <c r="G42" s="60"/>
      <c r="H42" s="59" t="s">
        <v>31</v>
      </c>
      <c r="I42" s="59" t="e">
        <f>GETPIVOTDATA("NUR  DU 29/04/2026",$G$18,"OCM NOMENCLATURE","AKTIVCO")</f>
        <v>#REF!</v>
      </c>
    </row>
    <row r="43" spans="1:9" ht="18.75" customHeight="1" x14ac:dyDescent="0.3">
      <c r="B43" s="59" t="s">
        <v>8</v>
      </c>
      <c r="C43" s="59" t="e">
        <f>GETPIVOTDATA("NUR  DU 29/04/2026",$A$18,"CATEGORIE","No root cause")</f>
        <v>#REF!</v>
      </c>
      <c r="D43" s="60"/>
      <c r="E43" s="59" t="s">
        <v>8</v>
      </c>
      <c r="F43" s="59" t="e">
        <f>GETPIVOTDATA("NUR  DU 29/04/2026",$D$18,"SUB RCA","No root cause")</f>
        <v>#REF!</v>
      </c>
      <c r="G43" s="60"/>
      <c r="H43" s="59" t="s">
        <v>9</v>
      </c>
      <c r="I43" s="59" t="e">
        <f>GETPIVOTDATA("NUR  DU 29/04/2026",$G$18,"OCM NOMENCLATURE","AKTIVCO GRID ONLY")</f>
        <v>#REF!</v>
      </c>
    </row>
    <row r="44" spans="1:9" ht="18.75" customHeight="1" x14ac:dyDescent="0.3">
      <c r="B44" s="59" t="s">
        <v>10</v>
      </c>
      <c r="C44" s="59" t="e">
        <f>GETPIVOTDATA("NUR  DU 29/04/2026",$A$18,"CATEGORIE","PASSIVE")</f>
        <v>#REF!</v>
      </c>
      <c r="D44" s="60"/>
      <c r="E44" s="59" t="s">
        <v>11</v>
      </c>
      <c r="F44" s="59" t="e">
        <f>GETPIVOTDATA("NUR  DU 29/04/2026",$D$18,"SUB RCA","POWER ISSUE")</f>
        <v>#REF!</v>
      </c>
      <c r="G44" s="60"/>
      <c r="H44" s="59" t="s">
        <v>32</v>
      </c>
      <c r="I44" s="59" t="e">
        <f>GETPIVOTDATA("NUR  DU 29/04/2026",$G$18,"OCM NOMENCLATURE","BSS")</f>
        <v>#REF!</v>
      </c>
    </row>
    <row r="45" spans="1:9" ht="18.75" customHeight="1" x14ac:dyDescent="0.3">
      <c r="B45" s="59" t="s">
        <v>13</v>
      </c>
      <c r="C45" s="59" t="e">
        <f>GETPIVOTDATA("NUR  DU 29/04/2026",$A$18,"CATEGORIE","PLANNED WORKS")</f>
        <v>#REF!</v>
      </c>
      <c r="D45" s="60"/>
      <c r="E45" s="59" t="s">
        <v>14</v>
      </c>
      <c r="F45" s="59" t="e">
        <f>GETPIVOTDATA("NUR  DU 29/04/2026",$D$18,"SUB RCA","RAN ISSUE")</f>
        <v>#REF!</v>
      </c>
      <c r="G45" s="60"/>
      <c r="H45" s="59" t="s">
        <v>6</v>
      </c>
      <c r="I45" s="59" t="e">
        <f>GETPIVOTDATA("NUR  DU 29/04/2026",$G$18,"OCM NOMENCLATURE","ENVTECH")</f>
        <v>#REF!</v>
      </c>
    </row>
    <row r="46" spans="1:9" ht="18.75" customHeight="1" x14ac:dyDescent="0.3">
      <c r="B46" s="59" t="s">
        <v>15</v>
      </c>
      <c r="C46" s="59" t="e">
        <f>GETPIVOTDATA("NUR  DU 29/04/2026",$A$18,"CATEGORIE","SPARE-ISSUE")</f>
        <v>#REF!</v>
      </c>
      <c r="D46" s="60"/>
      <c r="E46" s="59" t="s">
        <v>15</v>
      </c>
      <c r="F46" s="59" t="e">
        <f>GETPIVOTDATA("NUR  DU 29/04/2026",$D$18,"SUB RCA","SPARE-ISSUE")</f>
        <v>#REF!</v>
      </c>
      <c r="G46" s="60"/>
      <c r="H46" s="59" t="s">
        <v>16</v>
      </c>
      <c r="I46" s="59" t="e">
        <f>GETPIVOTDATA("NUR  DU 29/04/2026",$G$18,"OCM NOMENCLATURE","Fiber AOF")</f>
        <v>#REF!</v>
      </c>
    </row>
    <row r="47" spans="1:9" ht="18.75" customHeight="1" x14ac:dyDescent="0.3">
      <c r="B47" s="57" t="s">
        <v>17</v>
      </c>
      <c r="C47" s="57" t="e">
        <f>GETPIVOTDATA("NUR  DU 29/04/2026",$A$18)</f>
        <v>#REF!</v>
      </c>
      <c r="D47" s="60"/>
      <c r="E47" s="59" t="s">
        <v>13</v>
      </c>
      <c r="F47" s="59" t="e">
        <f>GETPIVOTDATA("NUR  DU 29/04/2026",$D$18,"SUB RCA","TRAVAUX OCM")</f>
        <v>#REF!</v>
      </c>
      <c r="G47" s="60"/>
      <c r="H47" s="59" t="s">
        <v>19</v>
      </c>
      <c r="I47" s="59" t="e">
        <f>GETPIVOTDATA("NUR  DU 29/04/2026",$G$18,"OCM NOMENCLATURE","IHS")</f>
        <v>#REF!</v>
      </c>
    </row>
    <row r="48" spans="1:9" ht="18.75" customHeight="1" x14ac:dyDescent="0.3">
      <c r="B48" s="60"/>
      <c r="C48" s="60"/>
      <c r="D48" s="60"/>
      <c r="E48" s="61" t="s">
        <v>22</v>
      </c>
      <c r="F48" s="61" t="e">
        <f>GETPIVOTDATA("NUR  DU 29/04/2026",$D$18,"SUB RCA","TX ISSUE")</f>
        <v>#REF!</v>
      </c>
      <c r="G48" s="60"/>
      <c r="H48" s="59" t="s">
        <v>21</v>
      </c>
      <c r="I48" s="59" t="e">
        <f>GETPIVOTDATA("NUR  DU 29/04/2026",$G$18,"OCM NOMENCLATURE","IHS GRID ONLY")</f>
        <v>#REF!</v>
      </c>
    </row>
    <row r="49" spans="1:9" ht="18.75" customHeight="1" x14ac:dyDescent="0.3">
      <c r="B49" s="60"/>
      <c r="C49" s="60"/>
      <c r="D49" s="60"/>
      <c r="E49" s="57" t="s">
        <v>17</v>
      </c>
      <c r="F49" s="57" t="e">
        <f>GETPIVOTDATA("NUR  DU 29/04/2026",$D$18)</f>
        <v>#REF!</v>
      </c>
      <c r="G49" s="60"/>
      <c r="H49" s="59" t="s">
        <v>8</v>
      </c>
      <c r="I49" s="59" t="e">
        <f>GETPIVOTDATA("NUR  DU 29/04/2026",$G$18,"OCM NOMENCLATURE","No root cause")</f>
        <v>#REF!</v>
      </c>
    </row>
    <row r="50" spans="1:9" ht="18.75" customHeight="1" x14ac:dyDescent="0.3">
      <c r="B50" s="60"/>
      <c r="C50" s="60"/>
      <c r="D50" s="60"/>
      <c r="E50" s="60"/>
      <c r="F50" s="60"/>
      <c r="G50" s="60"/>
      <c r="H50" s="59" t="s">
        <v>33</v>
      </c>
      <c r="I50" s="59" t="e">
        <f>GETPIVOTDATA("NUR  DU 29/04/2026",$G$18,"OCM NOMENCLATURE","Partners")</f>
        <v>#REF!</v>
      </c>
    </row>
    <row r="51" spans="1:9" ht="18.75" customHeight="1" x14ac:dyDescent="0.3">
      <c r="B51" s="60"/>
      <c r="C51" s="60"/>
      <c r="D51" s="60"/>
      <c r="E51" s="60"/>
      <c r="F51" s="60"/>
      <c r="G51" s="60"/>
      <c r="H51" s="59" t="s">
        <v>34</v>
      </c>
      <c r="I51" s="59" t="e">
        <f>GETPIVOTDATA("NUR  DU 29/04/2026",$G$18,"OCM NOMENCLATURE","PDH")</f>
        <v>#REF!</v>
      </c>
    </row>
    <row r="52" spans="1:9" ht="18.75" customHeight="1" x14ac:dyDescent="0.3">
      <c r="B52" s="60"/>
      <c r="C52" s="60"/>
      <c r="D52" s="60"/>
      <c r="E52" s="60"/>
      <c r="F52" s="60"/>
      <c r="G52" s="60"/>
      <c r="H52" s="59" t="s">
        <v>15</v>
      </c>
      <c r="I52" s="59" t="e">
        <f>GETPIVOTDATA("NUR  DU 29/04/2026",$G$18,"OCM NOMENCLATURE","SPARE-ISSUE")</f>
        <v>#REF!</v>
      </c>
    </row>
    <row r="53" spans="1:9" ht="18.75" customHeight="1" x14ac:dyDescent="0.3">
      <c r="B53" s="60"/>
      <c r="C53" s="60"/>
      <c r="D53" s="60"/>
      <c r="E53" s="60"/>
      <c r="F53" s="60"/>
      <c r="G53" s="60"/>
      <c r="H53" s="59" t="s">
        <v>13</v>
      </c>
      <c r="I53" s="59" t="e">
        <f>GETPIVOTDATA("NUR  DU 29/04/2026",$G$18,"OCM NOMENCLATURE","TRAVAUX OCM")</f>
        <v>#REF!</v>
      </c>
    </row>
    <row r="54" spans="1:9" ht="18.75" customHeight="1" x14ac:dyDescent="0.3">
      <c r="B54" s="60"/>
      <c r="C54" s="60"/>
      <c r="D54" s="60"/>
      <c r="E54" s="60"/>
      <c r="F54" s="60"/>
      <c r="G54" s="60"/>
      <c r="H54" s="57" t="s">
        <v>17</v>
      </c>
      <c r="I54" s="57" t="e">
        <f>GETPIVOTDATA("NUR  DU 29/04/2026",$G$18)</f>
        <v>#REF!</v>
      </c>
    </row>
    <row r="55" spans="1:9" ht="18.75" customHeight="1" x14ac:dyDescent="0.3">
      <c r="A55" s="60"/>
      <c r="B55" s="60"/>
      <c r="C55" s="60"/>
      <c r="D55" s="60"/>
      <c r="E55" s="60"/>
      <c r="F55" s="60"/>
    </row>
    <row r="56" spans="1:9" ht="18.75" customHeight="1" x14ac:dyDescent="0.3"/>
    <row r="57" spans="1:9" ht="18.75" customHeight="1" x14ac:dyDescent="0.3">
      <c r="B57" s="6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335"/>
  <sheetViews>
    <sheetView tabSelected="1" topLeftCell="D4" workbookViewId="0">
      <selection activeCell="K20" sqref="K20"/>
    </sheetView>
  </sheetViews>
  <sheetFormatPr defaultRowHeight="14.4" x14ac:dyDescent="0.3"/>
  <sheetData>
    <row r="1" spans="1:21" x14ac:dyDescent="0.3">
      <c r="A1" s="63" t="s">
        <v>36</v>
      </c>
      <c r="B1" s="63" t="s">
        <v>37</v>
      </c>
      <c r="C1" s="63" t="s">
        <v>38</v>
      </c>
      <c r="D1" s="63" t="s">
        <v>39</v>
      </c>
      <c r="E1" s="63" t="s">
        <v>40</v>
      </c>
      <c r="F1" s="63" t="s">
        <v>41</v>
      </c>
      <c r="G1" s="63" t="s">
        <v>42</v>
      </c>
      <c r="H1" s="63" t="s">
        <v>43</v>
      </c>
      <c r="I1" s="63" t="s">
        <v>44</v>
      </c>
      <c r="J1" s="63" t="s">
        <v>45</v>
      </c>
      <c r="K1" s="63" t="s">
        <v>46</v>
      </c>
      <c r="L1" s="63" t="s">
        <v>47</v>
      </c>
      <c r="M1" s="63" t="s">
        <v>48</v>
      </c>
      <c r="N1" s="63" t="s">
        <v>0</v>
      </c>
      <c r="O1" s="63" t="s">
        <v>49</v>
      </c>
      <c r="P1" s="63" t="s">
        <v>50</v>
      </c>
      <c r="Q1" s="63" t="s">
        <v>51</v>
      </c>
      <c r="R1" s="63" t="s">
        <v>52</v>
      </c>
      <c r="S1" s="63" t="s">
        <v>53</v>
      </c>
      <c r="T1" s="63" t="s">
        <v>54</v>
      </c>
      <c r="U1" s="63" t="s">
        <v>55</v>
      </c>
    </row>
    <row r="2" spans="1:21" x14ac:dyDescent="0.3">
      <c r="A2" s="64">
        <v>46141</v>
      </c>
      <c r="B2" t="s">
        <v>56</v>
      </c>
      <c r="C2" t="s">
        <v>57</v>
      </c>
      <c r="E2" t="s">
        <v>19</v>
      </c>
      <c r="F2" t="s">
        <v>58</v>
      </c>
      <c r="G2" t="s">
        <v>59</v>
      </c>
      <c r="H2" t="s">
        <v>60</v>
      </c>
      <c r="J2">
        <v>29.99879600653853</v>
      </c>
      <c r="K2">
        <v>25.630948009425008</v>
      </c>
      <c r="L2">
        <v>77.566337686897882</v>
      </c>
      <c r="M2">
        <v>53.338387794528451</v>
      </c>
      <c r="N2" t="s">
        <v>1</v>
      </c>
      <c r="P2" t="s">
        <v>21</v>
      </c>
      <c r="Q2" t="s">
        <v>11</v>
      </c>
      <c r="R2" t="s">
        <v>61</v>
      </c>
      <c r="S2" t="s">
        <v>10</v>
      </c>
      <c r="T2" t="s">
        <v>62</v>
      </c>
      <c r="U2" t="s">
        <v>63</v>
      </c>
    </row>
    <row r="3" spans="1:21" x14ac:dyDescent="0.3">
      <c r="A3" s="64">
        <v>46141</v>
      </c>
      <c r="B3" t="s">
        <v>64</v>
      </c>
      <c r="C3" t="s">
        <v>65</v>
      </c>
      <c r="E3" t="s">
        <v>66</v>
      </c>
      <c r="F3" t="s">
        <v>67</v>
      </c>
      <c r="G3" t="s">
        <v>68</v>
      </c>
      <c r="H3" t="s">
        <v>69</v>
      </c>
      <c r="J3">
        <v>30.743173706781128</v>
      </c>
      <c r="K3">
        <v>26.41795954588574</v>
      </c>
      <c r="L3">
        <v>68.737421120369831</v>
      </c>
      <c r="M3">
        <v>49.104714738623372</v>
      </c>
      <c r="N3" t="s">
        <v>1</v>
      </c>
      <c r="P3" t="s">
        <v>7</v>
      </c>
      <c r="Q3" t="s">
        <v>11</v>
      </c>
      <c r="R3" t="s">
        <v>70</v>
      </c>
      <c r="S3" t="s">
        <v>10</v>
      </c>
      <c r="T3" t="s">
        <v>71</v>
      </c>
      <c r="U3" t="s">
        <v>72</v>
      </c>
    </row>
    <row r="4" spans="1:21" x14ac:dyDescent="0.3">
      <c r="A4" s="64">
        <v>46141</v>
      </c>
      <c r="B4" t="s">
        <v>73</v>
      </c>
      <c r="C4" t="s">
        <v>74</v>
      </c>
      <c r="E4" t="s">
        <v>19</v>
      </c>
      <c r="F4" t="s">
        <v>58</v>
      </c>
      <c r="G4" t="s">
        <v>59</v>
      </c>
      <c r="H4" t="s">
        <v>60</v>
      </c>
      <c r="J4">
        <v>26.28864769053072</v>
      </c>
      <c r="K4">
        <v>22.39402172989109</v>
      </c>
      <c r="L4">
        <v>70.525379924573244</v>
      </c>
      <c r="M4">
        <v>48.050126557715743</v>
      </c>
      <c r="N4" t="s">
        <v>1</v>
      </c>
      <c r="P4" t="s">
        <v>21</v>
      </c>
      <c r="Q4" t="s">
        <v>11</v>
      </c>
      <c r="R4" t="s">
        <v>61</v>
      </c>
      <c r="S4" t="s">
        <v>10</v>
      </c>
      <c r="T4" t="s">
        <v>75</v>
      </c>
      <c r="U4" t="s">
        <v>76</v>
      </c>
    </row>
    <row r="5" spans="1:21" x14ac:dyDescent="0.3">
      <c r="A5" s="64">
        <v>46141</v>
      </c>
      <c r="B5" t="s">
        <v>77</v>
      </c>
      <c r="C5" t="s">
        <v>78</v>
      </c>
      <c r="E5" t="s">
        <v>66</v>
      </c>
      <c r="F5" t="s">
        <v>79</v>
      </c>
      <c r="G5" t="s">
        <v>59</v>
      </c>
      <c r="H5" t="s">
        <v>77</v>
      </c>
      <c r="J5">
        <v>32.372936225315627</v>
      </c>
      <c r="K5">
        <v>27.540622418066651</v>
      </c>
      <c r="L5">
        <v>44.323621535370258</v>
      </c>
      <c r="M5">
        <v>36.982818398952162</v>
      </c>
      <c r="N5" t="s">
        <v>1</v>
      </c>
      <c r="P5" t="s">
        <v>19</v>
      </c>
      <c r="Q5" t="s">
        <v>11</v>
      </c>
      <c r="R5" t="s">
        <v>80</v>
      </c>
      <c r="S5" t="s">
        <v>10</v>
      </c>
      <c r="T5" t="s">
        <v>81</v>
      </c>
      <c r="U5" t="s">
        <v>82</v>
      </c>
    </row>
    <row r="6" spans="1:21" x14ac:dyDescent="0.3">
      <c r="A6" s="64">
        <v>46141</v>
      </c>
      <c r="B6" t="s">
        <v>83</v>
      </c>
      <c r="C6" t="s">
        <v>84</v>
      </c>
      <c r="E6" t="s">
        <v>19</v>
      </c>
      <c r="F6" t="s">
        <v>85</v>
      </c>
      <c r="G6" t="s">
        <v>59</v>
      </c>
      <c r="H6" t="s">
        <v>60</v>
      </c>
      <c r="J6">
        <v>15.414113800862481</v>
      </c>
      <c r="K6">
        <v>13.35199550509842</v>
      </c>
      <c r="L6">
        <v>53.188345842444328</v>
      </c>
      <c r="M6">
        <v>34.420666718031697</v>
      </c>
      <c r="N6" t="s">
        <v>1</v>
      </c>
      <c r="P6" t="s">
        <v>19</v>
      </c>
      <c r="Q6" t="s">
        <v>11</v>
      </c>
      <c r="R6" t="s">
        <v>80</v>
      </c>
      <c r="S6" t="s">
        <v>10</v>
      </c>
      <c r="T6" t="s">
        <v>86</v>
      </c>
      <c r="U6" t="s">
        <v>87</v>
      </c>
    </row>
    <row r="7" spans="1:21" x14ac:dyDescent="0.3">
      <c r="A7" s="64">
        <v>46141</v>
      </c>
      <c r="B7" t="s">
        <v>88</v>
      </c>
      <c r="C7" t="s">
        <v>89</v>
      </c>
      <c r="E7" t="s">
        <v>66</v>
      </c>
      <c r="F7" t="s">
        <v>67</v>
      </c>
      <c r="G7" t="s">
        <v>59</v>
      </c>
      <c r="H7" t="s">
        <v>60</v>
      </c>
      <c r="J7">
        <v>11.05201051920594</v>
      </c>
      <c r="K7">
        <v>11.445189911291999</v>
      </c>
      <c r="L7">
        <v>42.534363118807008</v>
      </c>
      <c r="M7">
        <v>27.601692049550131</v>
      </c>
      <c r="N7" t="s">
        <v>1</v>
      </c>
      <c r="P7" t="s">
        <v>7</v>
      </c>
      <c r="Q7" t="s">
        <v>11</v>
      </c>
      <c r="R7" t="s">
        <v>70</v>
      </c>
      <c r="S7" t="s">
        <v>10</v>
      </c>
      <c r="T7" t="s">
        <v>90</v>
      </c>
      <c r="U7" t="s">
        <v>91</v>
      </c>
    </row>
    <row r="8" spans="1:21" x14ac:dyDescent="0.3">
      <c r="A8" s="64">
        <v>46141</v>
      </c>
      <c r="B8" t="s">
        <v>92</v>
      </c>
      <c r="C8" t="s">
        <v>93</v>
      </c>
      <c r="E8" t="s">
        <v>66</v>
      </c>
      <c r="F8" t="s">
        <v>67</v>
      </c>
      <c r="G8" t="s">
        <v>68</v>
      </c>
      <c r="H8" t="s">
        <v>69</v>
      </c>
      <c r="J8">
        <v>21.216263203961489</v>
      </c>
      <c r="K8">
        <v>18.088886933844709</v>
      </c>
      <c r="L8">
        <v>34.922465126612337</v>
      </c>
      <c r="M8">
        <v>27.31399440121222</v>
      </c>
      <c r="N8" t="s">
        <v>1</v>
      </c>
      <c r="P8" t="s">
        <v>7</v>
      </c>
      <c r="Q8" t="s">
        <v>11</v>
      </c>
      <c r="R8" t="s">
        <v>70</v>
      </c>
      <c r="S8" t="s">
        <v>10</v>
      </c>
      <c r="T8" t="s">
        <v>94</v>
      </c>
      <c r="U8" t="s">
        <v>95</v>
      </c>
    </row>
    <row r="9" spans="1:21" x14ac:dyDescent="0.3">
      <c r="A9" s="64">
        <v>46141</v>
      </c>
      <c r="B9" t="s">
        <v>96</v>
      </c>
      <c r="C9" t="s">
        <v>97</v>
      </c>
      <c r="E9" t="s">
        <v>66</v>
      </c>
      <c r="F9" t="s">
        <v>79</v>
      </c>
      <c r="G9" t="s">
        <v>98</v>
      </c>
      <c r="H9" t="s">
        <v>96</v>
      </c>
      <c r="J9">
        <v>14.735805866295779</v>
      </c>
      <c r="K9">
        <v>25.916341959328282</v>
      </c>
      <c r="L9">
        <v>30.164721078563339</v>
      </c>
      <c r="M9">
        <v>26.535243541561439</v>
      </c>
      <c r="N9" t="s">
        <v>1</v>
      </c>
      <c r="P9" t="s">
        <v>7</v>
      </c>
      <c r="Q9" t="s">
        <v>11</v>
      </c>
      <c r="R9" t="s">
        <v>70</v>
      </c>
      <c r="S9" t="s">
        <v>10</v>
      </c>
      <c r="T9" t="s">
        <v>99</v>
      </c>
      <c r="U9" t="s">
        <v>100</v>
      </c>
    </row>
    <row r="10" spans="1:21" x14ac:dyDescent="0.3">
      <c r="A10" s="64">
        <v>46141</v>
      </c>
      <c r="B10" t="s">
        <v>101</v>
      </c>
      <c r="C10" t="s">
        <v>102</v>
      </c>
      <c r="E10" t="s">
        <v>66</v>
      </c>
      <c r="F10" t="s">
        <v>103</v>
      </c>
      <c r="G10" t="s">
        <v>68</v>
      </c>
      <c r="H10" t="s">
        <v>69</v>
      </c>
      <c r="J10">
        <v>9.2461452225939116</v>
      </c>
      <c r="K10">
        <v>13.66177438110101</v>
      </c>
      <c r="L10">
        <v>38.123923373760853</v>
      </c>
      <c r="M10">
        <v>25.78795376006255</v>
      </c>
      <c r="N10" t="s">
        <v>1</v>
      </c>
      <c r="P10" t="s">
        <v>9</v>
      </c>
      <c r="Q10" t="s">
        <v>11</v>
      </c>
      <c r="R10" t="s">
        <v>104</v>
      </c>
      <c r="S10" t="s">
        <v>10</v>
      </c>
      <c r="T10" t="s">
        <v>105</v>
      </c>
      <c r="U10" t="s">
        <v>106</v>
      </c>
    </row>
    <row r="11" spans="1:21" x14ac:dyDescent="0.3">
      <c r="A11" s="64">
        <v>46141</v>
      </c>
      <c r="B11" t="s">
        <v>107</v>
      </c>
      <c r="C11" t="s">
        <v>108</v>
      </c>
      <c r="E11" t="s">
        <v>19</v>
      </c>
      <c r="F11" t="s">
        <v>109</v>
      </c>
      <c r="G11" t="s">
        <v>110</v>
      </c>
      <c r="H11" t="s">
        <v>111</v>
      </c>
      <c r="J11">
        <v>20.471011234607872</v>
      </c>
      <c r="K11">
        <v>35.498183508947307</v>
      </c>
      <c r="L11">
        <v>18.885932612773519</v>
      </c>
      <c r="M11">
        <v>24.689205925241058</v>
      </c>
      <c r="N11" t="s">
        <v>1</v>
      </c>
      <c r="P11" t="s">
        <v>19</v>
      </c>
      <c r="Q11" t="s">
        <v>11</v>
      </c>
      <c r="R11" t="s">
        <v>80</v>
      </c>
      <c r="S11" t="s">
        <v>10</v>
      </c>
      <c r="T11" t="s">
        <v>112</v>
      </c>
      <c r="U11" t="s">
        <v>113</v>
      </c>
    </row>
    <row r="12" spans="1:21" x14ac:dyDescent="0.3">
      <c r="A12" s="64">
        <v>46141</v>
      </c>
      <c r="B12" t="s">
        <v>114</v>
      </c>
      <c r="C12" t="s">
        <v>115</v>
      </c>
      <c r="E12" t="s">
        <v>19</v>
      </c>
      <c r="F12" t="s">
        <v>109</v>
      </c>
      <c r="G12" t="s">
        <v>116</v>
      </c>
      <c r="H12" t="s">
        <v>117</v>
      </c>
      <c r="J12">
        <v>32.371062791506297</v>
      </c>
      <c r="K12">
        <v>55.081244836133287</v>
      </c>
      <c r="L12">
        <v>0</v>
      </c>
      <c r="M12">
        <v>23.113993973170331</v>
      </c>
      <c r="N12" t="s">
        <v>1</v>
      </c>
      <c r="P12" t="s">
        <v>15</v>
      </c>
      <c r="Q12" t="s">
        <v>15</v>
      </c>
      <c r="R12" t="s">
        <v>15</v>
      </c>
      <c r="S12" t="s">
        <v>15</v>
      </c>
      <c r="T12" t="s">
        <v>118</v>
      </c>
      <c r="U12" t="s">
        <v>119</v>
      </c>
    </row>
    <row r="13" spans="1:21" x14ac:dyDescent="0.3">
      <c r="A13" s="64">
        <v>46141</v>
      </c>
      <c r="B13" t="s">
        <v>120</v>
      </c>
      <c r="C13" t="s">
        <v>121</v>
      </c>
      <c r="E13" t="s">
        <v>19</v>
      </c>
      <c r="F13" t="s">
        <v>109</v>
      </c>
      <c r="G13" t="s">
        <v>122</v>
      </c>
      <c r="H13" t="s">
        <v>123</v>
      </c>
      <c r="J13">
        <v>32.371062791506297</v>
      </c>
      <c r="K13">
        <v>55.081244836133287</v>
      </c>
      <c r="L13">
        <v>0</v>
      </c>
      <c r="M13">
        <v>23.113993973170331</v>
      </c>
      <c r="N13" t="s">
        <v>1</v>
      </c>
      <c r="P13" t="s">
        <v>21</v>
      </c>
      <c r="Q13" t="s">
        <v>11</v>
      </c>
      <c r="R13" t="s">
        <v>61</v>
      </c>
      <c r="S13" t="s">
        <v>10</v>
      </c>
      <c r="T13" t="s">
        <v>124</v>
      </c>
      <c r="U13" t="s">
        <v>125</v>
      </c>
    </row>
    <row r="14" spans="1:21" x14ac:dyDescent="0.3">
      <c r="A14" s="64">
        <v>46141</v>
      </c>
      <c r="B14" t="s">
        <v>126</v>
      </c>
      <c r="C14" t="s">
        <v>127</v>
      </c>
      <c r="E14" t="s">
        <v>66</v>
      </c>
      <c r="F14" t="s">
        <v>103</v>
      </c>
      <c r="G14" t="s">
        <v>59</v>
      </c>
      <c r="H14" t="s">
        <v>60</v>
      </c>
      <c r="J14">
        <v>22.254395325507879</v>
      </c>
      <c r="K14">
        <v>19.2408754687856</v>
      </c>
      <c r="L14">
        <v>25.344629837567609</v>
      </c>
      <c r="M14">
        <v>22.854243892555779</v>
      </c>
      <c r="N14" t="s">
        <v>1</v>
      </c>
      <c r="P14" t="s">
        <v>9</v>
      </c>
      <c r="Q14" t="s">
        <v>11</v>
      </c>
      <c r="R14" t="s">
        <v>104</v>
      </c>
      <c r="S14" t="s">
        <v>10</v>
      </c>
      <c r="T14" t="s">
        <v>128</v>
      </c>
      <c r="U14" t="s">
        <v>129</v>
      </c>
    </row>
    <row r="15" spans="1:21" x14ac:dyDescent="0.3">
      <c r="A15" s="64">
        <v>46141</v>
      </c>
      <c r="B15" t="s">
        <v>130</v>
      </c>
      <c r="C15" t="s">
        <v>131</v>
      </c>
      <c r="E15" t="s">
        <v>66</v>
      </c>
      <c r="F15" t="s">
        <v>103</v>
      </c>
      <c r="G15" t="s">
        <v>68</v>
      </c>
      <c r="H15" t="s">
        <v>69</v>
      </c>
      <c r="J15">
        <v>10.851802892781629</v>
      </c>
      <c r="K15">
        <v>9.3166886821642176</v>
      </c>
      <c r="L15">
        <v>34.748693273972513</v>
      </c>
      <c r="M15">
        <v>22.798402262344009</v>
      </c>
      <c r="N15" t="s">
        <v>1</v>
      </c>
      <c r="P15" t="s">
        <v>9</v>
      </c>
      <c r="Q15" t="s">
        <v>11</v>
      </c>
      <c r="R15" t="s">
        <v>104</v>
      </c>
      <c r="S15" t="s">
        <v>10</v>
      </c>
      <c r="T15" t="s">
        <v>132</v>
      </c>
      <c r="U15" t="s">
        <v>133</v>
      </c>
    </row>
    <row r="16" spans="1:21" x14ac:dyDescent="0.3">
      <c r="A16" s="64">
        <v>46141</v>
      </c>
      <c r="B16" t="s">
        <v>134</v>
      </c>
      <c r="C16" t="s">
        <v>135</v>
      </c>
      <c r="E16" t="s">
        <v>136</v>
      </c>
      <c r="F16" t="s">
        <v>137</v>
      </c>
      <c r="G16" t="s">
        <v>59</v>
      </c>
      <c r="H16" t="s">
        <v>138</v>
      </c>
      <c r="J16">
        <v>13.590138644093541</v>
      </c>
      <c r="K16">
        <v>11.62560648870665</v>
      </c>
      <c r="L16">
        <v>31.584273979079239</v>
      </c>
      <c r="M16">
        <v>22.314358236809881</v>
      </c>
      <c r="N16" t="s">
        <v>1</v>
      </c>
      <c r="P16" t="s">
        <v>7</v>
      </c>
      <c r="Q16" t="s">
        <v>11</v>
      </c>
      <c r="R16" t="s">
        <v>70</v>
      </c>
      <c r="S16" t="s">
        <v>10</v>
      </c>
      <c r="T16" t="s">
        <v>139</v>
      </c>
      <c r="U16" t="s">
        <v>140</v>
      </c>
    </row>
    <row r="17" spans="1:21" x14ac:dyDescent="0.3">
      <c r="A17" s="64">
        <v>46141</v>
      </c>
      <c r="B17" t="s">
        <v>141</v>
      </c>
      <c r="C17" t="s">
        <v>142</v>
      </c>
      <c r="E17" t="s">
        <v>66</v>
      </c>
      <c r="F17" t="s">
        <v>79</v>
      </c>
      <c r="G17" t="s">
        <v>143</v>
      </c>
      <c r="H17" t="s">
        <v>144</v>
      </c>
      <c r="J17">
        <v>7.2458174965728652</v>
      </c>
      <c r="K17">
        <v>12.84161209543336</v>
      </c>
      <c r="L17">
        <v>30.90221689244353</v>
      </c>
      <c r="M17">
        <v>21.46093190424418</v>
      </c>
      <c r="N17" t="s">
        <v>145</v>
      </c>
      <c r="P17" t="s">
        <v>12</v>
      </c>
      <c r="Q17" t="s">
        <v>14</v>
      </c>
      <c r="R17" t="s">
        <v>146</v>
      </c>
      <c r="S17" t="s">
        <v>5</v>
      </c>
      <c r="T17" t="s">
        <v>147</v>
      </c>
      <c r="U17" t="s">
        <v>148</v>
      </c>
    </row>
    <row r="18" spans="1:21" x14ac:dyDescent="0.3">
      <c r="A18" s="64">
        <v>46141</v>
      </c>
      <c r="B18" t="s">
        <v>149</v>
      </c>
      <c r="C18" t="s">
        <v>150</v>
      </c>
      <c r="E18" t="s">
        <v>19</v>
      </c>
      <c r="F18" t="s">
        <v>109</v>
      </c>
      <c r="G18" t="s">
        <v>68</v>
      </c>
      <c r="H18" t="s">
        <v>69</v>
      </c>
      <c r="J18">
        <v>0.4616140906202415</v>
      </c>
      <c r="K18">
        <v>0.64670524053843648</v>
      </c>
      <c r="L18">
        <v>38.783168843448998</v>
      </c>
      <c r="M18">
        <v>20.50800366974573</v>
      </c>
      <c r="N18" t="s">
        <v>1</v>
      </c>
      <c r="P18" t="s">
        <v>19</v>
      </c>
      <c r="Q18" t="s">
        <v>11</v>
      </c>
      <c r="R18" t="s">
        <v>80</v>
      </c>
      <c r="S18" t="s">
        <v>10</v>
      </c>
      <c r="T18" t="s">
        <v>151</v>
      </c>
      <c r="U18" t="s">
        <v>152</v>
      </c>
    </row>
    <row r="19" spans="1:21" x14ac:dyDescent="0.3">
      <c r="A19" s="64">
        <v>46141</v>
      </c>
      <c r="B19" t="s">
        <v>153</v>
      </c>
      <c r="C19" t="s">
        <v>154</v>
      </c>
      <c r="E19" t="s">
        <v>136</v>
      </c>
      <c r="F19" t="s">
        <v>79</v>
      </c>
      <c r="G19" t="s">
        <v>155</v>
      </c>
      <c r="H19" t="s">
        <v>69</v>
      </c>
      <c r="J19">
        <v>14.72331630756687</v>
      </c>
      <c r="K19">
        <v>12.58363126506659</v>
      </c>
      <c r="L19">
        <v>27.120310725003119</v>
      </c>
      <c r="M19">
        <v>20.469890107381438</v>
      </c>
      <c r="N19" t="s">
        <v>156</v>
      </c>
      <c r="P19" t="s">
        <v>157</v>
      </c>
      <c r="Q19" t="s">
        <v>157</v>
      </c>
      <c r="R19" t="s">
        <v>156</v>
      </c>
      <c r="S19" t="s">
        <v>157</v>
      </c>
      <c r="T19" t="s">
        <v>158</v>
      </c>
      <c r="U19" t="s">
        <v>159</v>
      </c>
    </row>
    <row r="20" spans="1:21" x14ac:dyDescent="0.3">
      <c r="A20" s="64">
        <v>46141</v>
      </c>
      <c r="B20" t="s">
        <v>160</v>
      </c>
      <c r="C20" t="s">
        <v>161</v>
      </c>
      <c r="E20" t="s">
        <v>66</v>
      </c>
      <c r="F20" t="s">
        <v>103</v>
      </c>
      <c r="G20" t="s">
        <v>68</v>
      </c>
      <c r="H20" t="s">
        <v>69</v>
      </c>
      <c r="J20">
        <v>7.1350351106474994</v>
      </c>
      <c r="K20">
        <v>9.6401209917344133</v>
      </c>
      <c r="L20">
        <v>30.778924719885659</v>
      </c>
      <c r="M20">
        <v>20.306039242879521</v>
      </c>
      <c r="N20" t="s">
        <v>1</v>
      </c>
      <c r="P20" t="s">
        <v>9</v>
      </c>
      <c r="Q20" t="s">
        <v>11</v>
      </c>
      <c r="R20" t="s">
        <v>104</v>
      </c>
      <c r="S20" t="s">
        <v>10</v>
      </c>
      <c r="T20" t="s">
        <v>162</v>
      </c>
      <c r="U20" t="s">
        <v>163</v>
      </c>
    </row>
    <row r="21" spans="1:21" x14ac:dyDescent="0.3">
      <c r="A21" s="64">
        <v>46141</v>
      </c>
      <c r="B21" t="s">
        <v>164</v>
      </c>
      <c r="C21" t="s">
        <v>165</v>
      </c>
      <c r="E21" t="s">
        <v>19</v>
      </c>
      <c r="F21" t="s">
        <v>109</v>
      </c>
      <c r="G21" t="s">
        <v>116</v>
      </c>
      <c r="H21" t="s">
        <v>166</v>
      </c>
      <c r="J21">
        <v>15.287844362113271</v>
      </c>
      <c r="K21">
        <v>26.0163254689556</v>
      </c>
      <c r="L21">
        <v>17.882153066428518</v>
      </c>
      <c r="M21">
        <v>20.242421518521368</v>
      </c>
      <c r="N21" t="s">
        <v>1</v>
      </c>
      <c r="P21" t="s">
        <v>24</v>
      </c>
      <c r="Q21" t="s">
        <v>22</v>
      </c>
      <c r="R21" t="s">
        <v>167</v>
      </c>
      <c r="S21" t="s">
        <v>5</v>
      </c>
      <c r="T21" t="s">
        <v>168</v>
      </c>
      <c r="U21" t="s">
        <v>169</v>
      </c>
    </row>
    <row r="22" spans="1:21" x14ac:dyDescent="0.3">
      <c r="A22" s="64">
        <v>46141</v>
      </c>
      <c r="B22" t="s">
        <v>170</v>
      </c>
      <c r="C22" t="s">
        <v>171</v>
      </c>
      <c r="G22" t="s">
        <v>59</v>
      </c>
      <c r="H22" t="s">
        <v>60</v>
      </c>
      <c r="J22">
        <v>16.39529353460507</v>
      </c>
      <c r="K22">
        <v>13.920127094872351</v>
      </c>
      <c r="L22">
        <v>22.433087747637721</v>
      </c>
      <c r="M22">
        <v>18.712992212491411</v>
      </c>
      <c r="N22" t="s">
        <v>1</v>
      </c>
      <c r="P22" t="s">
        <v>16</v>
      </c>
      <c r="Q22" t="s">
        <v>22</v>
      </c>
      <c r="R22" t="s">
        <v>172</v>
      </c>
      <c r="S22" t="s">
        <v>5</v>
      </c>
      <c r="T22" t="s">
        <v>173</v>
      </c>
      <c r="U22" t="s">
        <v>174</v>
      </c>
    </row>
    <row r="23" spans="1:21" x14ac:dyDescent="0.3">
      <c r="A23" s="64">
        <v>46141</v>
      </c>
      <c r="B23" t="s">
        <v>175</v>
      </c>
      <c r="C23" t="s">
        <v>176</v>
      </c>
      <c r="E23" t="s">
        <v>19</v>
      </c>
      <c r="F23" t="s">
        <v>109</v>
      </c>
      <c r="G23" t="s">
        <v>68</v>
      </c>
      <c r="H23" t="s">
        <v>69</v>
      </c>
      <c r="J23">
        <v>21.535621220659529</v>
      </c>
      <c r="K23">
        <v>16.359363471614461</v>
      </c>
      <c r="L23">
        <v>19.159740416795259</v>
      </c>
      <c r="M23">
        <v>18.558897135829099</v>
      </c>
      <c r="N23" t="s">
        <v>1</v>
      </c>
      <c r="P23" t="s">
        <v>21</v>
      </c>
      <c r="Q23" t="s">
        <v>11</v>
      </c>
      <c r="R23" t="s">
        <v>61</v>
      </c>
      <c r="S23" t="s">
        <v>10</v>
      </c>
      <c r="T23" t="s">
        <v>177</v>
      </c>
      <c r="U23" t="s">
        <v>178</v>
      </c>
    </row>
    <row r="24" spans="1:21" x14ac:dyDescent="0.3">
      <c r="A24" s="64">
        <v>46141</v>
      </c>
      <c r="B24" t="s">
        <v>179</v>
      </c>
      <c r="C24" t="s">
        <v>180</v>
      </c>
      <c r="E24" t="s">
        <v>19</v>
      </c>
      <c r="F24" t="s">
        <v>109</v>
      </c>
      <c r="G24" t="s">
        <v>181</v>
      </c>
      <c r="H24" t="s">
        <v>182</v>
      </c>
      <c r="J24">
        <v>32.372936225315627</v>
      </c>
      <c r="K24">
        <v>41.310933627099971</v>
      </c>
      <c r="L24">
        <v>0</v>
      </c>
      <c r="M24">
        <v>18.491409199476081</v>
      </c>
      <c r="N24" t="s">
        <v>1</v>
      </c>
      <c r="P24" t="s">
        <v>21</v>
      </c>
      <c r="Q24" t="s">
        <v>11</v>
      </c>
      <c r="R24" t="s">
        <v>61</v>
      </c>
      <c r="S24" t="s">
        <v>10</v>
      </c>
      <c r="T24" t="s">
        <v>183</v>
      </c>
      <c r="U24" t="s">
        <v>184</v>
      </c>
    </row>
    <row r="25" spans="1:21" x14ac:dyDescent="0.3">
      <c r="A25" s="64">
        <v>46141</v>
      </c>
      <c r="B25" t="s">
        <v>185</v>
      </c>
      <c r="C25" t="s">
        <v>186</v>
      </c>
      <c r="E25" t="s">
        <v>19</v>
      </c>
      <c r="F25" t="s">
        <v>109</v>
      </c>
      <c r="G25" t="s">
        <v>59</v>
      </c>
      <c r="H25" t="s">
        <v>187</v>
      </c>
      <c r="J25">
        <v>0</v>
      </c>
      <c r="K25">
        <v>55.081244836133287</v>
      </c>
      <c r="L25">
        <v>0</v>
      </c>
      <c r="M25">
        <v>18.49140919947607</v>
      </c>
      <c r="N25" t="s">
        <v>1</v>
      </c>
      <c r="P25" t="s">
        <v>6</v>
      </c>
      <c r="Q25" t="s">
        <v>6</v>
      </c>
      <c r="R25" t="s">
        <v>188</v>
      </c>
      <c r="S25" t="s">
        <v>10</v>
      </c>
      <c r="T25" t="s">
        <v>189</v>
      </c>
      <c r="U25" t="s">
        <v>190</v>
      </c>
    </row>
    <row r="26" spans="1:21" x14ac:dyDescent="0.3">
      <c r="A26" s="64">
        <v>46141</v>
      </c>
      <c r="B26" t="s">
        <v>191</v>
      </c>
      <c r="C26" t="s">
        <v>192</v>
      </c>
      <c r="E26" t="s">
        <v>66</v>
      </c>
      <c r="F26" t="s">
        <v>193</v>
      </c>
      <c r="G26" t="s">
        <v>110</v>
      </c>
      <c r="H26" t="s">
        <v>194</v>
      </c>
      <c r="J26">
        <v>0</v>
      </c>
      <c r="K26">
        <v>55.081244836133287</v>
      </c>
      <c r="L26">
        <v>0</v>
      </c>
      <c r="M26">
        <v>18.49140919947607</v>
      </c>
      <c r="N26" t="s">
        <v>1</v>
      </c>
      <c r="P26" t="s">
        <v>15</v>
      </c>
      <c r="Q26" t="s">
        <v>15</v>
      </c>
      <c r="R26" t="s">
        <v>15</v>
      </c>
      <c r="S26" t="s">
        <v>15</v>
      </c>
      <c r="T26" t="s">
        <v>195</v>
      </c>
      <c r="U26" t="s">
        <v>196</v>
      </c>
    </row>
    <row r="27" spans="1:21" x14ac:dyDescent="0.3">
      <c r="A27" s="64">
        <v>46141</v>
      </c>
      <c r="B27" t="s">
        <v>197</v>
      </c>
      <c r="C27" t="s">
        <v>198</v>
      </c>
      <c r="E27" t="s">
        <v>19</v>
      </c>
      <c r="F27" t="s">
        <v>199</v>
      </c>
      <c r="G27" t="s">
        <v>200</v>
      </c>
      <c r="H27" t="s">
        <v>201</v>
      </c>
      <c r="J27">
        <v>32.364318429792696</v>
      </c>
      <c r="K27">
        <v>41.310933627099971</v>
      </c>
      <c r="L27">
        <v>0</v>
      </c>
      <c r="M27">
        <v>18.490178579072179</v>
      </c>
      <c r="N27" t="s">
        <v>1</v>
      </c>
      <c r="P27" t="s">
        <v>12</v>
      </c>
      <c r="Q27" t="s">
        <v>14</v>
      </c>
      <c r="R27" t="s">
        <v>146</v>
      </c>
      <c r="S27" t="s">
        <v>5</v>
      </c>
      <c r="T27" t="s">
        <v>202</v>
      </c>
      <c r="U27" t="s">
        <v>203</v>
      </c>
    </row>
    <row r="28" spans="1:21" x14ac:dyDescent="0.3">
      <c r="A28" s="64">
        <v>46141</v>
      </c>
      <c r="B28" t="s">
        <v>204</v>
      </c>
      <c r="C28" t="s">
        <v>205</v>
      </c>
      <c r="E28" t="s">
        <v>19</v>
      </c>
      <c r="F28" t="s">
        <v>109</v>
      </c>
      <c r="G28" t="s">
        <v>59</v>
      </c>
      <c r="H28" t="s">
        <v>204</v>
      </c>
      <c r="J28">
        <v>32.364318429792696</v>
      </c>
      <c r="K28">
        <v>41.310933627099971</v>
      </c>
      <c r="L28">
        <v>0</v>
      </c>
      <c r="M28">
        <v>18.490178579072179</v>
      </c>
      <c r="N28" t="s">
        <v>1</v>
      </c>
      <c r="P28" t="s">
        <v>6</v>
      </c>
      <c r="Q28" t="s">
        <v>6</v>
      </c>
      <c r="R28" t="s">
        <v>188</v>
      </c>
      <c r="S28" t="s">
        <v>10</v>
      </c>
      <c r="T28" t="s">
        <v>206</v>
      </c>
      <c r="U28" t="s">
        <v>207</v>
      </c>
    </row>
    <row r="29" spans="1:21" x14ac:dyDescent="0.3">
      <c r="A29" s="64">
        <v>46141</v>
      </c>
      <c r="B29" t="s">
        <v>208</v>
      </c>
      <c r="C29" t="s">
        <v>209</v>
      </c>
      <c r="E29" t="s">
        <v>19</v>
      </c>
      <c r="F29" t="s">
        <v>109</v>
      </c>
      <c r="G29" t="s">
        <v>116</v>
      </c>
      <c r="H29" t="s">
        <v>210</v>
      </c>
      <c r="J29">
        <v>15.37564595997746</v>
      </c>
      <c r="K29">
        <v>13.081795648581661</v>
      </c>
      <c r="L29">
        <v>20.99304885229181</v>
      </c>
      <c r="M29">
        <v>17.5349852896274</v>
      </c>
      <c r="N29" t="s">
        <v>1</v>
      </c>
      <c r="P29" t="s">
        <v>24</v>
      </c>
      <c r="Q29" t="s">
        <v>22</v>
      </c>
      <c r="R29" t="s">
        <v>167</v>
      </c>
      <c r="S29" t="s">
        <v>5</v>
      </c>
      <c r="T29" t="s">
        <v>211</v>
      </c>
      <c r="U29" t="s">
        <v>212</v>
      </c>
    </row>
    <row r="30" spans="1:21" x14ac:dyDescent="0.3">
      <c r="A30" s="64">
        <v>46141</v>
      </c>
      <c r="B30" t="s">
        <v>213</v>
      </c>
      <c r="C30" t="s">
        <v>214</v>
      </c>
      <c r="E30" t="s">
        <v>19</v>
      </c>
      <c r="F30" t="s">
        <v>58</v>
      </c>
      <c r="G30" t="s">
        <v>59</v>
      </c>
      <c r="H30" t="s">
        <v>60</v>
      </c>
      <c r="J30">
        <v>5.4249647294861498</v>
      </c>
      <c r="K30">
        <v>5.6996444369642756</v>
      </c>
      <c r="L30">
        <v>28.440990485195901</v>
      </c>
      <c r="M30">
        <v>17.51977196782266</v>
      </c>
      <c r="N30" t="s">
        <v>1</v>
      </c>
      <c r="P30" t="s">
        <v>21</v>
      </c>
      <c r="Q30" t="s">
        <v>11</v>
      </c>
      <c r="R30" t="s">
        <v>61</v>
      </c>
      <c r="S30" t="s">
        <v>10</v>
      </c>
      <c r="T30" t="s">
        <v>177</v>
      </c>
      <c r="U30" t="s">
        <v>178</v>
      </c>
    </row>
    <row r="31" spans="1:21" x14ac:dyDescent="0.3">
      <c r="A31" s="64">
        <v>46141</v>
      </c>
      <c r="B31" t="s">
        <v>215</v>
      </c>
      <c r="C31" t="s">
        <v>216</v>
      </c>
      <c r="E31" t="s">
        <v>19</v>
      </c>
      <c r="F31" t="s">
        <v>109</v>
      </c>
      <c r="G31" t="s">
        <v>59</v>
      </c>
      <c r="H31" t="s">
        <v>60</v>
      </c>
      <c r="J31">
        <v>5.9542722284170431</v>
      </c>
      <c r="K31">
        <v>5.2575813213378622</v>
      </c>
      <c r="L31">
        <v>27.12024232435261</v>
      </c>
      <c r="M31">
        <v>16.758196288591549</v>
      </c>
      <c r="N31" t="s">
        <v>1</v>
      </c>
      <c r="P31" t="s">
        <v>12</v>
      </c>
      <c r="Q31" t="s">
        <v>14</v>
      </c>
      <c r="R31" t="s">
        <v>146</v>
      </c>
      <c r="S31" t="s">
        <v>5</v>
      </c>
      <c r="T31" t="s">
        <v>217</v>
      </c>
      <c r="U31" t="s">
        <v>218</v>
      </c>
    </row>
    <row r="32" spans="1:21" x14ac:dyDescent="0.3">
      <c r="A32" s="64">
        <v>46141</v>
      </c>
      <c r="B32" t="s">
        <v>219</v>
      </c>
      <c r="C32" t="s">
        <v>220</v>
      </c>
      <c r="E32" t="s">
        <v>19</v>
      </c>
      <c r="F32" t="s">
        <v>221</v>
      </c>
      <c r="G32" t="s">
        <v>122</v>
      </c>
      <c r="H32" t="s">
        <v>219</v>
      </c>
      <c r="J32">
        <v>0</v>
      </c>
      <c r="K32">
        <v>49.798003559880463</v>
      </c>
      <c r="L32">
        <v>0</v>
      </c>
      <c r="M32">
        <v>16.71776416604601</v>
      </c>
      <c r="N32" t="s">
        <v>145</v>
      </c>
      <c r="P32" t="s">
        <v>19</v>
      </c>
      <c r="Q32" t="s">
        <v>11</v>
      </c>
      <c r="R32" t="s">
        <v>80</v>
      </c>
      <c r="S32" t="s">
        <v>10</v>
      </c>
      <c r="T32" t="s">
        <v>222</v>
      </c>
      <c r="U32" t="s">
        <v>223</v>
      </c>
    </row>
    <row r="33" spans="1:21" x14ac:dyDescent="0.3">
      <c r="A33" s="64">
        <v>46141</v>
      </c>
      <c r="B33" t="s">
        <v>224</v>
      </c>
      <c r="C33" t="s">
        <v>225</v>
      </c>
      <c r="E33" t="s">
        <v>19</v>
      </c>
      <c r="F33" t="s">
        <v>109</v>
      </c>
      <c r="G33" t="s">
        <v>143</v>
      </c>
      <c r="H33" t="s">
        <v>144</v>
      </c>
      <c r="J33">
        <v>4.9958234915610557E-2</v>
      </c>
      <c r="K33">
        <v>7.3951671307771541E-2</v>
      </c>
      <c r="L33">
        <v>30.93248418029755</v>
      </c>
      <c r="M33">
        <v>16.1628970445135</v>
      </c>
      <c r="N33" t="s">
        <v>145</v>
      </c>
      <c r="P33" t="s">
        <v>12</v>
      </c>
      <c r="Q33" t="s">
        <v>14</v>
      </c>
      <c r="R33" t="s">
        <v>146</v>
      </c>
      <c r="S33" t="s">
        <v>5</v>
      </c>
      <c r="T33" t="s">
        <v>147</v>
      </c>
      <c r="U33" t="s">
        <v>148</v>
      </c>
    </row>
    <row r="34" spans="1:21" x14ac:dyDescent="0.3">
      <c r="A34" s="64">
        <v>46141</v>
      </c>
      <c r="B34" t="s">
        <v>226</v>
      </c>
      <c r="C34" t="s">
        <v>227</v>
      </c>
      <c r="E34" t="s">
        <v>19</v>
      </c>
      <c r="F34" t="s">
        <v>109</v>
      </c>
      <c r="G34" t="s">
        <v>143</v>
      </c>
      <c r="H34" t="s">
        <v>144</v>
      </c>
      <c r="J34">
        <v>5.1207190788500813E-2</v>
      </c>
      <c r="K34">
        <v>7.1986001883642556E-2</v>
      </c>
      <c r="L34">
        <v>30.93248418029755</v>
      </c>
      <c r="M34">
        <v>16.162415497398939</v>
      </c>
      <c r="N34" t="s">
        <v>145</v>
      </c>
      <c r="P34" t="s">
        <v>12</v>
      </c>
      <c r="Q34" t="s">
        <v>14</v>
      </c>
      <c r="R34" t="s">
        <v>146</v>
      </c>
      <c r="S34" t="s">
        <v>5</v>
      </c>
      <c r="T34" t="s">
        <v>147</v>
      </c>
      <c r="U34" t="s">
        <v>148</v>
      </c>
    </row>
    <row r="35" spans="1:21" x14ac:dyDescent="0.3">
      <c r="A35" s="64">
        <v>46141</v>
      </c>
      <c r="B35" t="s">
        <v>228</v>
      </c>
      <c r="C35" t="s">
        <v>229</v>
      </c>
      <c r="E35" t="s">
        <v>66</v>
      </c>
      <c r="F35" t="s">
        <v>103</v>
      </c>
      <c r="G35" t="s">
        <v>68</v>
      </c>
      <c r="H35" t="s">
        <v>69</v>
      </c>
      <c r="J35">
        <v>7.2154678688616318</v>
      </c>
      <c r="K35">
        <v>6.2507225163288691</v>
      </c>
      <c r="L35">
        <v>24.377991844453639</v>
      </c>
      <c r="M35">
        <v>15.84165161386057</v>
      </c>
      <c r="N35" t="s">
        <v>1</v>
      </c>
      <c r="P35" t="s">
        <v>9</v>
      </c>
      <c r="Q35" t="s">
        <v>11</v>
      </c>
      <c r="R35" t="s">
        <v>104</v>
      </c>
      <c r="S35" t="s">
        <v>10</v>
      </c>
      <c r="T35" t="s">
        <v>230</v>
      </c>
      <c r="U35" t="s">
        <v>106</v>
      </c>
    </row>
    <row r="36" spans="1:21" x14ac:dyDescent="0.3">
      <c r="A36" s="64">
        <v>46141</v>
      </c>
      <c r="B36" t="s">
        <v>231</v>
      </c>
      <c r="C36" t="s">
        <v>232</v>
      </c>
      <c r="E36" t="s">
        <v>66</v>
      </c>
      <c r="F36" t="s">
        <v>233</v>
      </c>
      <c r="G36" t="s">
        <v>59</v>
      </c>
      <c r="H36" t="s">
        <v>60</v>
      </c>
      <c r="J36">
        <v>13.20970668521116</v>
      </c>
      <c r="K36">
        <v>11.449386881143511</v>
      </c>
      <c r="L36">
        <v>18.51800551363964</v>
      </c>
      <c r="M36">
        <v>15.38696412723688</v>
      </c>
      <c r="N36" t="s">
        <v>1</v>
      </c>
      <c r="P36" t="s">
        <v>7</v>
      </c>
      <c r="Q36" t="s">
        <v>11</v>
      </c>
      <c r="R36" t="s">
        <v>70</v>
      </c>
      <c r="S36" t="s">
        <v>10</v>
      </c>
      <c r="T36" t="s">
        <v>234</v>
      </c>
      <c r="U36" t="s">
        <v>235</v>
      </c>
    </row>
    <row r="37" spans="1:21" x14ac:dyDescent="0.3">
      <c r="A37" s="64">
        <v>46141</v>
      </c>
      <c r="B37" t="s">
        <v>236</v>
      </c>
      <c r="C37" t="s">
        <v>237</v>
      </c>
      <c r="E37" t="s">
        <v>66</v>
      </c>
      <c r="F37" t="s">
        <v>103</v>
      </c>
      <c r="G37" t="s">
        <v>59</v>
      </c>
      <c r="H37" t="s">
        <v>60</v>
      </c>
      <c r="J37">
        <v>18.251616648481871</v>
      </c>
      <c r="K37">
        <v>14.07488371737201</v>
      </c>
      <c r="L37">
        <v>15.141817804744051</v>
      </c>
      <c r="M37">
        <v>15.22771471294085</v>
      </c>
      <c r="N37" t="s">
        <v>1</v>
      </c>
      <c r="P37" t="s">
        <v>9</v>
      </c>
      <c r="Q37" t="s">
        <v>11</v>
      </c>
      <c r="R37" t="s">
        <v>104</v>
      </c>
      <c r="S37" t="s">
        <v>10</v>
      </c>
      <c r="T37" t="s">
        <v>238</v>
      </c>
      <c r="U37" t="s">
        <v>239</v>
      </c>
    </row>
    <row r="38" spans="1:21" x14ac:dyDescent="0.3">
      <c r="A38" s="64">
        <v>46141</v>
      </c>
      <c r="B38" t="s">
        <v>240</v>
      </c>
      <c r="C38" t="s">
        <v>241</v>
      </c>
      <c r="E38" t="s">
        <v>66</v>
      </c>
      <c r="F38" t="s">
        <v>103</v>
      </c>
      <c r="G38" t="s">
        <v>68</v>
      </c>
      <c r="H38" t="s">
        <v>69</v>
      </c>
      <c r="J38">
        <v>15.10537190908401</v>
      </c>
      <c r="K38">
        <v>12.85207795696183</v>
      </c>
      <c r="L38">
        <v>16.689074719776219</v>
      </c>
      <c r="M38">
        <v>15.17479803557314</v>
      </c>
      <c r="N38" t="s">
        <v>1</v>
      </c>
      <c r="P38" t="s">
        <v>9</v>
      </c>
      <c r="Q38" t="s">
        <v>11</v>
      </c>
      <c r="R38" t="s">
        <v>104</v>
      </c>
      <c r="S38" t="s">
        <v>10</v>
      </c>
      <c r="T38" t="s">
        <v>242</v>
      </c>
      <c r="U38" t="s">
        <v>243</v>
      </c>
    </row>
    <row r="39" spans="1:21" x14ac:dyDescent="0.3">
      <c r="A39" s="64">
        <v>46141</v>
      </c>
      <c r="B39" t="s">
        <v>244</v>
      </c>
      <c r="C39" t="s">
        <v>245</v>
      </c>
      <c r="E39" t="s">
        <v>19</v>
      </c>
      <c r="F39" t="s">
        <v>109</v>
      </c>
      <c r="G39" t="s">
        <v>143</v>
      </c>
      <c r="H39" t="s">
        <v>144</v>
      </c>
      <c r="J39">
        <v>3.3721808568037123E-2</v>
      </c>
      <c r="K39">
        <v>7.8201767359942331E-2</v>
      </c>
      <c r="L39">
        <v>28.89363178999578</v>
      </c>
      <c r="M39">
        <v>15.09876709670608</v>
      </c>
      <c r="N39" t="s">
        <v>145</v>
      </c>
      <c r="P39" t="s">
        <v>12</v>
      </c>
      <c r="Q39" t="s">
        <v>14</v>
      </c>
      <c r="R39" t="s">
        <v>146</v>
      </c>
      <c r="S39" t="s">
        <v>5</v>
      </c>
      <c r="T39" t="s">
        <v>147</v>
      </c>
      <c r="U39" t="s">
        <v>148</v>
      </c>
    </row>
    <row r="40" spans="1:21" x14ac:dyDescent="0.3">
      <c r="A40" s="64">
        <v>46141</v>
      </c>
      <c r="B40" t="s">
        <v>246</v>
      </c>
      <c r="C40" t="s">
        <v>247</v>
      </c>
      <c r="E40" t="s">
        <v>19</v>
      </c>
      <c r="F40" t="s">
        <v>109</v>
      </c>
      <c r="G40" t="s">
        <v>98</v>
      </c>
      <c r="H40" t="s">
        <v>246</v>
      </c>
      <c r="J40">
        <v>25.277992598187911</v>
      </c>
      <c r="K40">
        <v>32.808085212725807</v>
      </c>
      <c r="L40">
        <v>0</v>
      </c>
      <c r="M40">
        <v>14.623747620800559</v>
      </c>
      <c r="N40" t="s">
        <v>1</v>
      </c>
      <c r="P40" t="s">
        <v>12</v>
      </c>
      <c r="Q40" t="s">
        <v>14</v>
      </c>
      <c r="R40" t="s">
        <v>146</v>
      </c>
      <c r="S40" t="s">
        <v>5</v>
      </c>
      <c r="T40" t="s">
        <v>248</v>
      </c>
      <c r="U40" t="s">
        <v>249</v>
      </c>
    </row>
    <row r="41" spans="1:21" x14ac:dyDescent="0.3">
      <c r="A41" s="64">
        <v>46141</v>
      </c>
      <c r="B41" t="s">
        <v>250</v>
      </c>
      <c r="C41" t="s">
        <v>251</v>
      </c>
      <c r="E41" t="s">
        <v>19</v>
      </c>
      <c r="F41" t="s">
        <v>109</v>
      </c>
      <c r="G41" t="s">
        <v>116</v>
      </c>
      <c r="H41" t="s">
        <v>166</v>
      </c>
      <c r="J41">
        <v>8.5909429716756804</v>
      </c>
      <c r="K41">
        <v>14.704641699902419</v>
      </c>
      <c r="L41">
        <v>16.194538016534349</v>
      </c>
      <c r="M41">
        <v>14.60856996915245</v>
      </c>
      <c r="N41" t="s">
        <v>156</v>
      </c>
      <c r="O41" t="s">
        <v>252</v>
      </c>
      <c r="P41" t="s">
        <v>157</v>
      </c>
      <c r="Q41" t="s">
        <v>157</v>
      </c>
      <c r="R41" t="s">
        <v>156</v>
      </c>
      <c r="S41" t="s">
        <v>157</v>
      </c>
      <c r="T41" t="s">
        <v>253</v>
      </c>
      <c r="U41" t="s">
        <v>254</v>
      </c>
    </row>
    <row r="42" spans="1:21" x14ac:dyDescent="0.3">
      <c r="A42" s="64">
        <v>46141</v>
      </c>
      <c r="B42" t="s">
        <v>255</v>
      </c>
      <c r="C42" t="s">
        <v>256</v>
      </c>
      <c r="E42" t="s">
        <v>19</v>
      </c>
      <c r="F42" t="s">
        <v>109</v>
      </c>
      <c r="G42" t="s">
        <v>59</v>
      </c>
      <c r="H42" t="s">
        <v>60</v>
      </c>
      <c r="J42">
        <v>6.4251285924966721</v>
      </c>
      <c r="K42">
        <v>5.477205034833788</v>
      </c>
      <c r="L42">
        <v>22.161810767685139</v>
      </c>
      <c r="M42">
        <v>14.31339942299955</v>
      </c>
      <c r="N42" t="s">
        <v>1</v>
      </c>
      <c r="P42" t="s">
        <v>16</v>
      </c>
      <c r="Q42" t="s">
        <v>22</v>
      </c>
      <c r="R42" t="s">
        <v>172</v>
      </c>
      <c r="S42" t="s">
        <v>5</v>
      </c>
      <c r="T42" t="s">
        <v>257</v>
      </c>
      <c r="U42" t="s">
        <v>258</v>
      </c>
    </row>
    <row r="43" spans="1:21" x14ac:dyDescent="0.3">
      <c r="A43" s="64">
        <v>46141</v>
      </c>
      <c r="B43" t="s">
        <v>259</v>
      </c>
      <c r="C43" t="s">
        <v>260</v>
      </c>
      <c r="E43" t="s">
        <v>19</v>
      </c>
      <c r="F43" t="s">
        <v>261</v>
      </c>
      <c r="G43" t="s">
        <v>200</v>
      </c>
      <c r="H43" t="s">
        <v>262</v>
      </c>
      <c r="J43">
        <v>1.161528961787945E-2</v>
      </c>
      <c r="K43">
        <v>41.322357743593741</v>
      </c>
      <c r="L43">
        <v>0</v>
      </c>
      <c r="M43">
        <v>13.87405076956348</v>
      </c>
      <c r="N43" t="s">
        <v>1</v>
      </c>
      <c r="P43" t="s">
        <v>15</v>
      </c>
      <c r="Q43" t="s">
        <v>15</v>
      </c>
      <c r="R43" t="s">
        <v>15</v>
      </c>
      <c r="S43" t="s">
        <v>15</v>
      </c>
      <c r="T43" t="s">
        <v>263</v>
      </c>
      <c r="U43" t="s">
        <v>264</v>
      </c>
    </row>
    <row r="44" spans="1:21" x14ac:dyDescent="0.3">
      <c r="A44" s="64">
        <v>46141</v>
      </c>
      <c r="B44" t="s">
        <v>265</v>
      </c>
      <c r="C44" t="s">
        <v>266</v>
      </c>
      <c r="E44" t="s">
        <v>19</v>
      </c>
      <c r="F44" t="s">
        <v>58</v>
      </c>
      <c r="G44" t="s">
        <v>68</v>
      </c>
      <c r="H44" t="s">
        <v>69</v>
      </c>
      <c r="J44">
        <v>32.372936225315627</v>
      </c>
      <c r="K44">
        <v>27.540622418066651</v>
      </c>
      <c r="L44">
        <v>0</v>
      </c>
      <c r="M44">
        <v>13.868556899607061</v>
      </c>
      <c r="N44" t="s">
        <v>1</v>
      </c>
      <c r="P44" t="s">
        <v>16</v>
      </c>
      <c r="Q44" t="s">
        <v>22</v>
      </c>
      <c r="R44" t="s">
        <v>172</v>
      </c>
      <c r="S44" t="s">
        <v>5</v>
      </c>
      <c r="T44" t="s">
        <v>267</v>
      </c>
      <c r="U44" t="s">
        <v>268</v>
      </c>
    </row>
    <row r="45" spans="1:21" x14ac:dyDescent="0.3">
      <c r="A45" s="64">
        <v>46141</v>
      </c>
      <c r="B45" t="s">
        <v>269</v>
      </c>
      <c r="C45" t="s">
        <v>270</v>
      </c>
      <c r="E45" t="s">
        <v>19</v>
      </c>
      <c r="F45" t="s">
        <v>271</v>
      </c>
      <c r="G45" t="s">
        <v>59</v>
      </c>
      <c r="H45" t="s">
        <v>272</v>
      </c>
      <c r="J45">
        <v>32.372936225315627</v>
      </c>
      <c r="K45">
        <v>27.540622418066651</v>
      </c>
      <c r="L45">
        <v>0</v>
      </c>
      <c r="M45">
        <v>13.868556899607061</v>
      </c>
      <c r="N45" t="s">
        <v>1</v>
      </c>
      <c r="P45" t="s">
        <v>15</v>
      </c>
      <c r="Q45" t="s">
        <v>15</v>
      </c>
      <c r="R45" t="s">
        <v>15</v>
      </c>
      <c r="S45" t="s">
        <v>15</v>
      </c>
      <c r="T45" t="s">
        <v>273</v>
      </c>
      <c r="U45" t="s">
        <v>274</v>
      </c>
    </row>
    <row r="46" spans="1:21" x14ac:dyDescent="0.3">
      <c r="A46" s="64">
        <v>46141</v>
      </c>
      <c r="B46" t="s">
        <v>275</v>
      </c>
      <c r="C46" t="s">
        <v>276</v>
      </c>
      <c r="E46" t="s">
        <v>66</v>
      </c>
      <c r="F46" t="s">
        <v>103</v>
      </c>
      <c r="G46" t="s">
        <v>59</v>
      </c>
      <c r="H46" t="s">
        <v>60</v>
      </c>
      <c r="J46">
        <v>32.372936225315627</v>
      </c>
      <c r="K46">
        <v>27.540622418066651</v>
      </c>
      <c r="L46">
        <v>0</v>
      </c>
      <c r="M46">
        <v>13.868556899607061</v>
      </c>
      <c r="N46" t="s">
        <v>1</v>
      </c>
      <c r="P46" t="s">
        <v>24</v>
      </c>
      <c r="Q46" t="s">
        <v>22</v>
      </c>
      <c r="R46" t="s">
        <v>167</v>
      </c>
      <c r="S46" t="s">
        <v>5</v>
      </c>
      <c r="T46" t="s">
        <v>277</v>
      </c>
      <c r="U46" t="s">
        <v>278</v>
      </c>
    </row>
    <row r="47" spans="1:21" x14ac:dyDescent="0.3">
      <c r="A47" s="64">
        <v>46141</v>
      </c>
      <c r="B47" t="s">
        <v>279</v>
      </c>
      <c r="C47" t="s">
        <v>280</v>
      </c>
      <c r="E47" t="s">
        <v>19</v>
      </c>
      <c r="F47" t="s">
        <v>109</v>
      </c>
      <c r="G47" t="s">
        <v>68</v>
      </c>
      <c r="H47" t="s">
        <v>69</v>
      </c>
      <c r="J47">
        <v>32.372936225315627</v>
      </c>
      <c r="K47">
        <v>27.540622418066651</v>
      </c>
      <c r="L47">
        <v>0</v>
      </c>
      <c r="M47">
        <v>13.868556899607061</v>
      </c>
      <c r="N47" t="s">
        <v>1</v>
      </c>
      <c r="P47" t="s">
        <v>15</v>
      </c>
      <c r="Q47" t="s">
        <v>15</v>
      </c>
      <c r="R47" t="s">
        <v>15</v>
      </c>
      <c r="S47" t="s">
        <v>15</v>
      </c>
      <c r="T47" t="s">
        <v>281</v>
      </c>
      <c r="U47" t="s">
        <v>282</v>
      </c>
    </row>
    <row r="48" spans="1:21" x14ac:dyDescent="0.3">
      <c r="A48" s="64">
        <v>46141</v>
      </c>
      <c r="B48" t="s">
        <v>283</v>
      </c>
      <c r="C48" t="s">
        <v>284</v>
      </c>
      <c r="E48" t="s">
        <v>19</v>
      </c>
      <c r="F48" t="s">
        <v>109</v>
      </c>
      <c r="G48" t="s">
        <v>116</v>
      </c>
      <c r="H48" t="s">
        <v>285</v>
      </c>
      <c r="J48">
        <v>32.372936225315627</v>
      </c>
      <c r="K48">
        <v>27.540622418066651</v>
      </c>
      <c r="L48">
        <v>0</v>
      </c>
      <c r="M48">
        <v>13.868556899607061</v>
      </c>
      <c r="N48" t="s">
        <v>145</v>
      </c>
      <c r="P48" t="s">
        <v>15</v>
      </c>
      <c r="Q48" t="s">
        <v>15</v>
      </c>
      <c r="R48" t="s">
        <v>15</v>
      </c>
      <c r="S48" t="s">
        <v>15</v>
      </c>
      <c r="T48" t="s">
        <v>286</v>
      </c>
      <c r="U48" t="s">
        <v>287</v>
      </c>
    </row>
    <row r="49" spans="1:21" x14ac:dyDescent="0.3">
      <c r="A49" s="64">
        <v>46141</v>
      </c>
      <c r="B49" t="s">
        <v>288</v>
      </c>
      <c r="C49" t="s">
        <v>289</v>
      </c>
      <c r="E49" t="s">
        <v>19</v>
      </c>
      <c r="F49" t="s">
        <v>85</v>
      </c>
      <c r="G49" t="s">
        <v>143</v>
      </c>
      <c r="H49" t="s">
        <v>290</v>
      </c>
      <c r="J49">
        <v>32.371062791506297</v>
      </c>
      <c r="K49">
        <v>27.540622418066651</v>
      </c>
      <c r="L49">
        <v>0</v>
      </c>
      <c r="M49">
        <v>13.868289373432299</v>
      </c>
      <c r="N49" t="s">
        <v>1</v>
      </c>
      <c r="P49" t="s">
        <v>19</v>
      </c>
      <c r="Q49" t="s">
        <v>11</v>
      </c>
      <c r="R49" t="s">
        <v>80</v>
      </c>
      <c r="S49" t="s">
        <v>10</v>
      </c>
      <c r="T49" t="s">
        <v>291</v>
      </c>
      <c r="U49" t="s">
        <v>292</v>
      </c>
    </row>
    <row r="50" spans="1:21" x14ac:dyDescent="0.3">
      <c r="A50" s="64">
        <v>46141</v>
      </c>
      <c r="B50" t="s">
        <v>293</v>
      </c>
      <c r="C50" t="s">
        <v>294</v>
      </c>
      <c r="E50" t="s">
        <v>19</v>
      </c>
      <c r="F50" t="s">
        <v>109</v>
      </c>
      <c r="G50" t="s">
        <v>122</v>
      </c>
      <c r="H50" t="s">
        <v>295</v>
      </c>
      <c r="J50">
        <v>64.728636859585393</v>
      </c>
      <c r="K50">
        <v>13.77031120903332</v>
      </c>
      <c r="L50">
        <v>0</v>
      </c>
      <c r="M50">
        <v>13.86609565879926</v>
      </c>
      <c r="N50" t="s">
        <v>145</v>
      </c>
      <c r="P50" t="s">
        <v>4</v>
      </c>
      <c r="Q50" t="s">
        <v>4</v>
      </c>
      <c r="R50" t="s">
        <v>4</v>
      </c>
      <c r="S50" t="s">
        <v>4</v>
      </c>
      <c r="T50" t="s">
        <v>296</v>
      </c>
      <c r="U50" t="s">
        <v>297</v>
      </c>
    </row>
    <row r="51" spans="1:21" x14ac:dyDescent="0.3">
      <c r="A51" s="64">
        <v>46141</v>
      </c>
      <c r="B51" t="s">
        <v>298</v>
      </c>
      <c r="C51" t="s">
        <v>299</v>
      </c>
      <c r="E51" t="s">
        <v>136</v>
      </c>
      <c r="F51" t="s">
        <v>137</v>
      </c>
      <c r="G51" t="s">
        <v>59</v>
      </c>
      <c r="H51" t="s">
        <v>60</v>
      </c>
      <c r="J51">
        <v>7.2458174965728652</v>
      </c>
      <c r="K51">
        <v>6.3419933290492381</v>
      </c>
      <c r="L51">
        <v>20.015706157371849</v>
      </c>
      <c r="M51">
        <v>13.60174412797882</v>
      </c>
      <c r="N51" t="s">
        <v>1</v>
      </c>
      <c r="P51" t="s">
        <v>7</v>
      </c>
      <c r="Q51" t="s">
        <v>11</v>
      </c>
      <c r="R51" t="s">
        <v>70</v>
      </c>
      <c r="S51" t="s">
        <v>10</v>
      </c>
      <c r="T51" t="s">
        <v>300</v>
      </c>
      <c r="U51" t="s">
        <v>301</v>
      </c>
    </row>
    <row r="52" spans="1:21" x14ac:dyDescent="0.3">
      <c r="A52" s="64">
        <v>46141</v>
      </c>
      <c r="B52" t="s">
        <v>302</v>
      </c>
      <c r="C52" t="s">
        <v>303</v>
      </c>
      <c r="E52" t="s">
        <v>19</v>
      </c>
      <c r="F52" t="s">
        <v>109</v>
      </c>
      <c r="G52" t="s">
        <v>59</v>
      </c>
      <c r="H52" t="s">
        <v>60</v>
      </c>
      <c r="J52">
        <v>12.24226546607037</v>
      </c>
      <c r="K52">
        <v>11.12526393096484</v>
      </c>
      <c r="L52">
        <v>15.389906964171191</v>
      </c>
      <c r="M52">
        <v>13.5087341945536</v>
      </c>
      <c r="N52" t="s">
        <v>1</v>
      </c>
      <c r="P52" t="s">
        <v>19</v>
      </c>
      <c r="Q52" t="s">
        <v>11</v>
      </c>
      <c r="R52" t="s">
        <v>80</v>
      </c>
      <c r="S52" t="s">
        <v>10</v>
      </c>
      <c r="T52" t="s">
        <v>304</v>
      </c>
      <c r="U52" t="s">
        <v>305</v>
      </c>
    </row>
    <row r="53" spans="1:21" x14ac:dyDescent="0.3">
      <c r="A53" s="64">
        <v>46141</v>
      </c>
      <c r="B53" t="s">
        <v>306</v>
      </c>
      <c r="C53" t="s">
        <v>307</v>
      </c>
      <c r="E53" t="s">
        <v>308</v>
      </c>
      <c r="F53" t="s">
        <v>309</v>
      </c>
      <c r="G53" t="s">
        <v>59</v>
      </c>
      <c r="H53" t="s">
        <v>60</v>
      </c>
      <c r="J53">
        <v>0</v>
      </c>
      <c r="K53">
        <v>0</v>
      </c>
      <c r="L53">
        <v>23.639264818864131</v>
      </c>
      <c r="M53">
        <v>12.32760613298405</v>
      </c>
      <c r="N53" t="s">
        <v>1</v>
      </c>
      <c r="P53" t="s">
        <v>7</v>
      </c>
      <c r="Q53" t="s">
        <v>11</v>
      </c>
      <c r="R53" t="s">
        <v>70</v>
      </c>
      <c r="S53" t="s">
        <v>10</v>
      </c>
      <c r="T53" t="s">
        <v>310</v>
      </c>
      <c r="U53" t="s">
        <v>311</v>
      </c>
    </row>
    <row r="54" spans="1:21" x14ac:dyDescent="0.3">
      <c r="A54" s="64">
        <v>46141</v>
      </c>
      <c r="B54" t="s">
        <v>312</v>
      </c>
      <c r="C54" t="s">
        <v>313</v>
      </c>
      <c r="E54" t="s">
        <v>19</v>
      </c>
      <c r="F54" t="s">
        <v>261</v>
      </c>
      <c r="G54" t="s">
        <v>59</v>
      </c>
      <c r="H54" t="s">
        <v>314</v>
      </c>
      <c r="J54">
        <v>21.57621228652846</v>
      </c>
      <c r="K54">
        <v>27.540622418066651</v>
      </c>
      <c r="L54">
        <v>0</v>
      </c>
      <c r="M54">
        <v>12.32678571938145</v>
      </c>
      <c r="N54" t="s">
        <v>1</v>
      </c>
      <c r="P54" t="s">
        <v>15</v>
      </c>
      <c r="Q54" t="s">
        <v>15</v>
      </c>
      <c r="R54" t="s">
        <v>15</v>
      </c>
      <c r="S54" t="s">
        <v>15</v>
      </c>
      <c r="T54" t="s">
        <v>315</v>
      </c>
      <c r="U54" t="s">
        <v>316</v>
      </c>
    </row>
    <row r="55" spans="1:21" x14ac:dyDescent="0.3">
      <c r="A55" s="64">
        <v>46141</v>
      </c>
      <c r="B55" t="s">
        <v>317</v>
      </c>
      <c r="C55" t="s">
        <v>318</v>
      </c>
      <c r="E55" t="s">
        <v>66</v>
      </c>
      <c r="F55" t="s">
        <v>103</v>
      </c>
      <c r="G55" t="s">
        <v>68</v>
      </c>
      <c r="H55" t="s">
        <v>69</v>
      </c>
      <c r="J55">
        <v>10.52382708056065</v>
      </c>
      <c r="K55">
        <v>9.1113559166437152</v>
      </c>
      <c r="L55">
        <v>14.774540511790081</v>
      </c>
      <c r="M55">
        <v>12.266342638963801</v>
      </c>
      <c r="N55" t="s">
        <v>1</v>
      </c>
      <c r="P55" t="s">
        <v>9</v>
      </c>
      <c r="Q55" t="s">
        <v>11</v>
      </c>
      <c r="R55" t="s">
        <v>104</v>
      </c>
      <c r="S55" t="s">
        <v>10</v>
      </c>
      <c r="T55" t="s">
        <v>319</v>
      </c>
      <c r="U55" t="s">
        <v>320</v>
      </c>
    </row>
    <row r="56" spans="1:21" x14ac:dyDescent="0.3">
      <c r="A56" s="64">
        <v>46141</v>
      </c>
      <c r="B56" t="s">
        <v>321</v>
      </c>
      <c r="C56" t="s">
        <v>322</v>
      </c>
      <c r="E56" t="s">
        <v>66</v>
      </c>
      <c r="F56" t="s">
        <v>103</v>
      </c>
      <c r="G56" t="s">
        <v>59</v>
      </c>
      <c r="H56" t="s">
        <v>60</v>
      </c>
      <c r="J56">
        <v>20.07384326702876</v>
      </c>
      <c r="K56">
        <v>27.23695305513904</v>
      </c>
      <c r="L56">
        <v>0</v>
      </c>
      <c r="M56">
        <v>12.01030225463926</v>
      </c>
      <c r="N56" t="s">
        <v>1</v>
      </c>
      <c r="P56" t="s">
        <v>9</v>
      </c>
      <c r="Q56" t="s">
        <v>11</v>
      </c>
      <c r="R56" t="s">
        <v>104</v>
      </c>
      <c r="S56" t="s">
        <v>10</v>
      </c>
      <c r="T56" t="s">
        <v>323</v>
      </c>
      <c r="U56" t="s">
        <v>106</v>
      </c>
    </row>
    <row r="57" spans="1:21" x14ac:dyDescent="0.3">
      <c r="A57" s="64">
        <v>46141</v>
      </c>
      <c r="B57" t="s">
        <v>324</v>
      </c>
      <c r="C57" t="s">
        <v>325</v>
      </c>
      <c r="E57" t="s">
        <v>19</v>
      </c>
      <c r="F57" t="s">
        <v>221</v>
      </c>
      <c r="G57" t="s">
        <v>122</v>
      </c>
      <c r="H57" t="s">
        <v>324</v>
      </c>
      <c r="J57">
        <v>51.521178294945429</v>
      </c>
      <c r="K57">
        <v>12.85335298577748</v>
      </c>
      <c r="L57">
        <v>0</v>
      </c>
      <c r="M57">
        <v>11.672238345133019</v>
      </c>
      <c r="N57" t="s">
        <v>145</v>
      </c>
      <c r="P57" t="s">
        <v>19</v>
      </c>
      <c r="Q57" t="s">
        <v>11</v>
      </c>
      <c r="R57" t="s">
        <v>80</v>
      </c>
      <c r="S57" t="s">
        <v>10</v>
      </c>
      <c r="T57" t="s">
        <v>326</v>
      </c>
      <c r="U57" t="s">
        <v>327</v>
      </c>
    </row>
    <row r="58" spans="1:21" x14ac:dyDescent="0.3">
      <c r="A58" s="64">
        <v>46141</v>
      </c>
      <c r="B58" t="s">
        <v>328</v>
      </c>
      <c r="C58" t="s">
        <v>329</v>
      </c>
      <c r="E58" t="s">
        <v>136</v>
      </c>
      <c r="F58" t="s">
        <v>330</v>
      </c>
      <c r="G58" t="s">
        <v>116</v>
      </c>
      <c r="H58" t="s">
        <v>285</v>
      </c>
      <c r="J58">
        <v>26.638979812876439</v>
      </c>
      <c r="K58">
        <v>22.663318440996761</v>
      </c>
      <c r="L58">
        <v>0.17271164255680541</v>
      </c>
      <c r="M58">
        <v>11.50244839955141</v>
      </c>
      <c r="N58" t="s">
        <v>1</v>
      </c>
      <c r="P58" t="s">
        <v>7</v>
      </c>
      <c r="Q58" t="s">
        <v>11</v>
      </c>
      <c r="R58" t="s">
        <v>70</v>
      </c>
      <c r="S58" t="s">
        <v>10</v>
      </c>
      <c r="T58" t="s">
        <v>331</v>
      </c>
      <c r="U58" t="s">
        <v>332</v>
      </c>
    </row>
    <row r="59" spans="1:21" x14ac:dyDescent="0.3">
      <c r="A59" s="64">
        <v>46141</v>
      </c>
      <c r="B59" t="s">
        <v>333</v>
      </c>
      <c r="C59" t="s">
        <v>334</v>
      </c>
      <c r="E59" t="s">
        <v>19</v>
      </c>
      <c r="F59" t="s">
        <v>109</v>
      </c>
      <c r="G59" t="s">
        <v>68</v>
      </c>
      <c r="H59" t="s">
        <v>69</v>
      </c>
      <c r="J59">
        <v>0</v>
      </c>
      <c r="K59">
        <v>3.5525490376082498</v>
      </c>
      <c r="L59">
        <v>18.31294036338803</v>
      </c>
      <c r="M59">
        <v>10.742620557995391</v>
      </c>
      <c r="N59" t="s">
        <v>1</v>
      </c>
      <c r="P59" t="s">
        <v>12</v>
      </c>
      <c r="Q59" t="s">
        <v>14</v>
      </c>
      <c r="R59" t="s">
        <v>146</v>
      </c>
      <c r="S59" t="s">
        <v>5</v>
      </c>
      <c r="T59" t="s">
        <v>335</v>
      </c>
      <c r="U59" t="s">
        <v>336</v>
      </c>
    </row>
    <row r="60" spans="1:21" x14ac:dyDescent="0.3">
      <c r="A60" s="64">
        <v>46141</v>
      </c>
      <c r="B60" t="s">
        <v>337</v>
      </c>
      <c r="C60" t="s">
        <v>338</v>
      </c>
      <c r="E60" t="s">
        <v>66</v>
      </c>
      <c r="F60" t="s">
        <v>233</v>
      </c>
      <c r="G60" t="s">
        <v>122</v>
      </c>
      <c r="H60" t="s">
        <v>123</v>
      </c>
      <c r="J60">
        <v>0</v>
      </c>
      <c r="K60">
        <v>30.986387792364098</v>
      </c>
      <c r="L60">
        <v>0</v>
      </c>
      <c r="M60">
        <v>10.402487779404341</v>
      </c>
      <c r="N60" t="s">
        <v>1</v>
      </c>
      <c r="P60" t="s">
        <v>7</v>
      </c>
      <c r="Q60" t="s">
        <v>11</v>
      </c>
      <c r="R60" t="s">
        <v>70</v>
      </c>
      <c r="S60" t="s">
        <v>10</v>
      </c>
      <c r="T60" t="s">
        <v>339</v>
      </c>
      <c r="U60" t="s">
        <v>340</v>
      </c>
    </row>
    <row r="61" spans="1:21" x14ac:dyDescent="0.3">
      <c r="A61" s="64">
        <v>46141</v>
      </c>
      <c r="B61" t="s">
        <v>341</v>
      </c>
      <c r="C61" t="s">
        <v>342</v>
      </c>
      <c r="E61" t="s">
        <v>19</v>
      </c>
      <c r="F61" t="s">
        <v>109</v>
      </c>
      <c r="G61" t="s">
        <v>59</v>
      </c>
      <c r="H61" t="s">
        <v>60</v>
      </c>
      <c r="J61">
        <v>9.5694998980852013</v>
      </c>
      <c r="K61">
        <v>8.1356401154666109</v>
      </c>
      <c r="L61">
        <v>11.393154353455159</v>
      </c>
      <c r="M61">
        <v>10.039151563922349</v>
      </c>
      <c r="N61" t="s">
        <v>1</v>
      </c>
      <c r="P61" t="s">
        <v>12</v>
      </c>
      <c r="Q61" t="s">
        <v>14</v>
      </c>
      <c r="R61" t="s">
        <v>146</v>
      </c>
      <c r="S61" t="s">
        <v>5</v>
      </c>
      <c r="T61" t="s">
        <v>343</v>
      </c>
      <c r="U61" t="s">
        <v>344</v>
      </c>
    </row>
    <row r="62" spans="1:21" x14ac:dyDescent="0.3">
      <c r="A62" s="64">
        <v>46141</v>
      </c>
      <c r="B62" t="s">
        <v>345</v>
      </c>
      <c r="C62" t="s">
        <v>346</v>
      </c>
      <c r="E62" t="s">
        <v>136</v>
      </c>
      <c r="G62" t="s">
        <v>59</v>
      </c>
      <c r="H62" t="s">
        <v>60</v>
      </c>
      <c r="J62">
        <v>5.4786698320204312</v>
      </c>
      <c r="K62">
        <v>4.6629928836391716</v>
      </c>
      <c r="L62">
        <v>13.5412083823082</v>
      </c>
      <c r="M62">
        <v>9.4093592783784619</v>
      </c>
      <c r="N62" t="s">
        <v>1</v>
      </c>
      <c r="P62" t="s">
        <v>12</v>
      </c>
      <c r="Q62" t="s">
        <v>14</v>
      </c>
      <c r="R62" t="s">
        <v>146</v>
      </c>
      <c r="S62" t="s">
        <v>5</v>
      </c>
      <c r="T62" t="s">
        <v>347</v>
      </c>
      <c r="U62" t="s">
        <v>218</v>
      </c>
    </row>
    <row r="63" spans="1:21" x14ac:dyDescent="0.3">
      <c r="A63" s="64">
        <v>46141</v>
      </c>
      <c r="B63" t="s">
        <v>348</v>
      </c>
      <c r="C63" t="s">
        <v>349</v>
      </c>
      <c r="E63" t="s">
        <v>19</v>
      </c>
      <c r="F63" t="s">
        <v>350</v>
      </c>
      <c r="G63" t="s">
        <v>98</v>
      </c>
      <c r="H63" t="s">
        <v>351</v>
      </c>
      <c r="J63">
        <v>5.6578949997801837</v>
      </c>
      <c r="K63">
        <v>9.8474194266790427</v>
      </c>
      <c r="L63">
        <v>10.152571755018419</v>
      </c>
      <c r="M63">
        <v>9.4082891736794192</v>
      </c>
      <c r="N63" t="s">
        <v>1</v>
      </c>
      <c r="P63" t="s">
        <v>21</v>
      </c>
      <c r="Q63" t="s">
        <v>11</v>
      </c>
      <c r="R63" t="s">
        <v>61</v>
      </c>
      <c r="S63" t="s">
        <v>10</v>
      </c>
      <c r="T63" t="s">
        <v>352</v>
      </c>
      <c r="U63" t="s">
        <v>178</v>
      </c>
    </row>
    <row r="64" spans="1:21" x14ac:dyDescent="0.3">
      <c r="A64" s="64">
        <v>46141</v>
      </c>
      <c r="B64" t="s">
        <v>353</v>
      </c>
      <c r="C64" t="s">
        <v>354</v>
      </c>
      <c r="E64" t="s">
        <v>66</v>
      </c>
      <c r="F64" t="s">
        <v>67</v>
      </c>
      <c r="G64" t="s">
        <v>355</v>
      </c>
      <c r="H64" t="s">
        <v>356</v>
      </c>
      <c r="J64">
        <v>5.5745896430584034</v>
      </c>
      <c r="K64">
        <v>9.8898141347994439</v>
      </c>
      <c r="L64">
        <v>10.077228438473339</v>
      </c>
      <c r="M64">
        <v>9.371334891405775</v>
      </c>
      <c r="N64" t="s">
        <v>1</v>
      </c>
      <c r="P64" t="s">
        <v>7</v>
      </c>
      <c r="Q64" t="s">
        <v>11</v>
      </c>
      <c r="R64" t="s">
        <v>70</v>
      </c>
      <c r="S64" t="s">
        <v>10</v>
      </c>
      <c r="T64" t="s">
        <v>357</v>
      </c>
      <c r="U64" t="s">
        <v>358</v>
      </c>
    </row>
    <row r="65" spans="1:21" x14ac:dyDescent="0.3">
      <c r="A65" s="64">
        <v>46141</v>
      </c>
      <c r="B65" t="s">
        <v>359</v>
      </c>
      <c r="C65" t="s">
        <v>360</v>
      </c>
      <c r="E65" t="s">
        <v>19</v>
      </c>
      <c r="F65" t="s">
        <v>109</v>
      </c>
      <c r="G65" t="s">
        <v>59</v>
      </c>
      <c r="H65" t="s">
        <v>60</v>
      </c>
      <c r="J65">
        <v>6.7915722456026764</v>
      </c>
      <c r="K65">
        <v>6.0371551897072884</v>
      </c>
      <c r="L65">
        <v>12.01354825364931</v>
      </c>
      <c r="M65">
        <v>9.2615064791272523</v>
      </c>
      <c r="N65" t="s">
        <v>1</v>
      </c>
      <c r="P65" t="s">
        <v>21</v>
      </c>
      <c r="Q65" t="s">
        <v>11</v>
      </c>
      <c r="R65" t="s">
        <v>61</v>
      </c>
      <c r="S65" t="s">
        <v>10</v>
      </c>
      <c r="T65" t="s">
        <v>361</v>
      </c>
      <c r="U65" t="s">
        <v>362</v>
      </c>
    </row>
    <row r="66" spans="1:21" x14ac:dyDescent="0.3">
      <c r="A66" s="64">
        <v>46141</v>
      </c>
      <c r="B66" t="s">
        <v>363</v>
      </c>
      <c r="C66" t="s">
        <v>364</v>
      </c>
      <c r="E66" t="s">
        <v>19</v>
      </c>
      <c r="F66" t="s">
        <v>109</v>
      </c>
      <c r="G66" t="s">
        <v>68</v>
      </c>
      <c r="H66" t="s">
        <v>365</v>
      </c>
      <c r="J66">
        <v>32.369564044458834</v>
      </c>
      <c r="K66">
        <v>13.77031120903332</v>
      </c>
      <c r="L66">
        <v>0</v>
      </c>
      <c r="M66">
        <v>9.2452230526234693</v>
      </c>
      <c r="N66" t="s">
        <v>1</v>
      </c>
      <c r="P66" t="s">
        <v>15</v>
      </c>
      <c r="Q66" t="s">
        <v>15</v>
      </c>
      <c r="R66" t="s">
        <v>15</v>
      </c>
      <c r="S66" t="s">
        <v>15</v>
      </c>
      <c r="T66" t="s">
        <v>366</v>
      </c>
      <c r="U66" t="s">
        <v>367</v>
      </c>
    </row>
    <row r="67" spans="1:21" x14ac:dyDescent="0.3">
      <c r="A67" s="64">
        <v>46141</v>
      </c>
      <c r="B67" t="s">
        <v>368</v>
      </c>
      <c r="C67" t="s">
        <v>369</v>
      </c>
      <c r="E67" t="s">
        <v>19</v>
      </c>
      <c r="F67" t="s">
        <v>109</v>
      </c>
      <c r="G67" t="s">
        <v>143</v>
      </c>
      <c r="H67" t="s">
        <v>370</v>
      </c>
      <c r="J67">
        <v>32.367315923887631</v>
      </c>
      <c r="K67">
        <v>13.77031120903332</v>
      </c>
      <c r="L67">
        <v>0</v>
      </c>
      <c r="M67">
        <v>9.2449020212137576</v>
      </c>
      <c r="N67" t="s">
        <v>156</v>
      </c>
      <c r="O67" t="s">
        <v>252</v>
      </c>
      <c r="P67" t="s">
        <v>157</v>
      </c>
      <c r="Q67" t="s">
        <v>157</v>
      </c>
      <c r="R67" t="s">
        <v>156</v>
      </c>
      <c r="S67" t="s">
        <v>157</v>
      </c>
      <c r="T67" t="s">
        <v>371</v>
      </c>
      <c r="U67" t="s">
        <v>372</v>
      </c>
    </row>
    <row r="68" spans="1:21" x14ac:dyDescent="0.3">
      <c r="A68" s="64">
        <v>46141</v>
      </c>
      <c r="B68" t="s">
        <v>373</v>
      </c>
      <c r="C68" t="s">
        <v>374</v>
      </c>
      <c r="E68" t="s">
        <v>19</v>
      </c>
      <c r="F68" t="s">
        <v>109</v>
      </c>
      <c r="G68" t="s">
        <v>116</v>
      </c>
      <c r="H68" t="s">
        <v>375</v>
      </c>
      <c r="J68">
        <v>32.364318429792696</v>
      </c>
      <c r="K68">
        <v>13.77031120903332</v>
      </c>
      <c r="L68">
        <v>0</v>
      </c>
      <c r="M68">
        <v>9.2444739793341402</v>
      </c>
      <c r="N68" t="s">
        <v>145</v>
      </c>
      <c r="P68" t="s">
        <v>4</v>
      </c>
      <c r="Q68" t="s">
        <v>4</v>
      </c>
      <c r="R68" t="s">
        <v>4</v>
      </c>
      <c r="S68" t="s">
        <v>4</v>
      </c>
      <c r="T68" t="s">
        <v>376</v>
      </c>
      <c r="U68" t="s">
        <v>377</v>
      </c>
    </row>
    <row r="69" spans="1:21" x14ac:dyDescent="0.3">
      <c r="A69" s="64">
        <v>46141</v>
      </c>
      <c r="B69" t="s">
        <v>378</v>
      </c>
      <c r="C69" t="s">
        <v>379</v>
      </c>
      <c r="E69" t="s">
        <v>19</v>
      </c>
      <c r="F69" t="s">
        <v>380</v>
      </c>
      <c r="G69" t="s">
        <v>122</v>
      </c>
      <c r="H69" t="s">
        <v>381</v>
      </c>
      <c r="J69">
        <v>32.364318429792696</v>
      </c>
      <c r="K69">
        <v>13.77031120903332</v>
      </c>
      <c r="L69">
        <v>0</v>
      </c>
      <c r="M69">
        <v>9.2444739793341402</v>
      </c>
      <c r="N69" t="s">
        <v>145</v>
      </c>
      <c r="P69" t="s">
        <v>4</v>
      </c>
      <c r="Q69" t="s">
        <v>4</v>
      </c>
      <c r="R69" t="s">
        <v>4</v>
      </c>
      <c r="S69" t="s">
        <v>4</v>
      </c>
      <c r="T69" t="s">
        <v>382</v>
      </c>
      <c r="U69" t="s">
        <v>383</v>
      </c>
    </row>
    <row r="70" spans="1:21" x14ac:dyDescent="0.3">
      <c r="A70" s="64">
        <v>46141</v>
      </c>
      <c r="B70" t="s">
        <v>384</v>
      </c>
      <c r="C70" t="s">
        <v>385</v>
      </c>
      <c r="E70" t="s">
        <v>19</v>
      </c>
      <c r="F70" t="s">
        <v>221</v>
      </c>
      <c r="G70" t="s">
        <v>68</v>
      </c>
      <c r="H70" t="s">
        <v>384</v>
      </c>
      <c r="J70">
        <v>32.364318429792696</v>
      </c>
      <c r="K70">
        <v>13.77031120903332</v>
      </c>
      <c r="L70">
        <v>0</v>
      </c>
      <c r="M70">
        <v>9.2444739793341402</v>
      </c>
      <c r="N70" t="s">
        <v>1</v>
      </c>
      <c r="P70" t="s">
        <v>12</v>
      </c>
      <c r="Q70" t="s">
        <v>14</v>
      </c>
      <c r="R70" t="s">
        <v>146</v>
      </c>
      <c r="S70" t="s">
        <v>5</v>
      </c>
      <c r="T70" t="s">
        <v>386</v>
      </c>
      <c r="U70" t="s">
        <v>387</v>
      </c>
    </row>
    <row r="71" spans="1:21" x14ac:dyDescent="0.3">
      <c r="A71" s="64">
        <v>46141</v>
      </c>
      <c r="B71" t="s">
        <v>388</v>
      </c>
      <c r="C71" t="s">
        <v>389</v>
      </c>
      <c r="E71" t="s">
        <v>390</v>
      </c>
      <c r="G71" t="s">
        <v>59</v>
      </c>
      <c r="H71" t="s">
        <v>60</v>
      </c>
      <c r="J71">
        <v>8.032160114144574</v>
      </c>
      <c r="K71">
        <v>6.8430796536001708</v>
      </c>
      <c r="L71">
        <v>11.08090538384257</v>
      </c>
      <c r="M71">
        <v>9.2228578644134558</v>
      </c>
      <c r="N71" t="s">
        <v>1</v>
      </c>
      <c r="P71" t="s">
        <v>24</v>
      </c>
      <c r="Q71" t="s">
        <v>22</v>
      </c>
      <c r="R71" t="s">
        <v>391</v>
      </c>
      <c r="S71" t="s">
        <v>5</v>
      </c>
      <c r="T71" t="s">
        <v>392</v>
      </c>
      <c r="U71" t="s">
        <v>393</v>
      </c>
    </row>
    <row r="72" spans="1:21" x14ac:dyDescent="0.3">
      <c r="A72" s="64">
        <v>46141</v>
      </c>
      <c r="B72" t="s">
        <v>394</v>
      </c>
      <c r="C72" t="s">
        <v>395</v>
      </c>
      <c r="E72" t="s">
        <v>136</v>
      </c>
      <c r="F72" t="s">
        <v>396</v>
      </c>
      <c r="G72" t="s">
        <v>155</v>
      </c>
      <c r="H72" t="s">
        <v>69</v>
      </c>
      <c r="J72">
        <v>4.2096057695766342</v>
      </c>
      <c r="K72">
        <v>3.7923075811513338</v>
      </c>
      <c r="L72">
        <v>13.350096964762169</v>
      </c>
      <c r="M72">
        <v>8.8361755314139927</v>
      </c>
      <c r="N72" t="s">
        <v>1</v>
      </c>
      <c r="P72" t="s">
        <v>7</v>
      </c>
      <c r="Q72" t="s">
        <v>11</v>
      </c>
      <c r="R72" t="s">
        <v>70</v>
      </c>
      <c r="S72" t="s">
        <v>10</v>
      </c>
      <c r="T72" t="s">
        <v>397</v>
      </c>
      <c r="U72" t="s">
        <v>398</v>
      </c>
    </row>
    <row r="73" spans="1:21" x14ac:dyDescent="0.3">
      <c r="A73" s="64">
        <v>46141</v>
      </c>
      <c r="B73" t="s">
        <v>399</v>
      </c>
      <c r="C73" t="s">
        <v>400</v>
      </c>
      <c r="E73" t="s">
        <v>136</v>
      </c>
      <c r="F73" t="s">
        <v>233</v>
      </c>
      <c r="G73" t="s">
        <v>59</v>
      </c>
      <c r="H73" t="s">
        <v>399</v>
      </c>
      <c r="J73">
        <v>20.177631500065949</v>
      </c>
      <c r="K73">
        <v>0</v>
      </c>
      <c r="L73">
        <v>11.04116460589187</v>
      </c>
      <c r="M73">
        <v>8.6392049264766726</v>
      </c>
      <c r="N73" t="s">
        <v>1</v>
      </c>
      <c r="P73" t="s">
        <v>12</v>
      </c>
      <c r="Q73" t="s">
        <v>14</v>
      </c>
      <c r="R73" t="s">
        <v>146</v>
      </c>
      <c r="S73" t="s">
        <v>5</v>
      </c>
      <c r="T73" t="s">
        <v>401</v>
      </c>
      <c r="U73" t="s">
        <v>402</v>
      </c>
    </row>
    <row r="74" spans="1:21" x14ac:dyDescent="0.3">
      <c r="A74" s="64">
        <v>46141</v>
      </c>
      <c r="B74" t="s">
        <v>403</v>
      </c>
      <c r="C74" t="s">
        <v>404</v>
      </c>
      <c r="E74" t="s">
        <v>66</v>
      </c>
      <c r="F74" t="s">
        <v>67</v>
      </c>
      <c r="G74" t="s">
        <v>68</v>
      </c>
      <c r="H74" t="s">
        <v>69</v>
      </c>
      <c r="J74">
        <v>3.8170589387272238</v>
      </c>
      <c r="K74">
        <v>3.2497296938910809</v>
      </c>
      <c r="L74">
        <v>12.62754669302007</v>
      </c>
      <c r="M74">
        <v>8.2211685257952301</v>
      </c>
      <c r="N74" t="s">
        <v>1</v>
      </c>
      <c r="P74" t="s">
        <v>7</v>
      </c>
      <c r="Q74" t="s">
        <v>11</v>
      </c>
      <c r="R74" t="s">
        <v>70</v>
      </c>
      <c r="S74" t="s">
        <v>10</v>
      </c>
      <c r="T74" t="s">
        <v>405</v>
      </c>
      <c r="U74" t="s">
        <v>406</v>
      </c>
    </row>
    <row r="75" spans="1:21" x14ac:dyDescent="0.3">
      <c r="A75" s="64">
        <v>46141</v>
      </c>
      <c r="B75" t="s">
        <v>407</v>
      </c>
      <c r="C75" t="s">
        <v>408</v>
      </c>
      <c r="E75" t="s">
        <v>136</v>
      </c>
      <c r="F75" t="s">
        <v>137</v>
      </c>
      <c r="G75" t="s">
        <v>59</v>
      </c>
      <c r="H75" t="s">
        <v>138</v>
      </c>
      <c r="J75">
        <v>5.2650983777561962</v>
      </c>
      <c r="K75">
        <v>4.4884201882962547</v>
      </c>
      <c r="L75">
        <v>11.156898506567559</v>
      </c>
      <c r="M75">
        <v>8.0768649071291794</v>
      </c>
      <c r="N75" t="s">
        <v>1</v>
      </c>
      <c r="P75" t="s">
        <v>24</v>
      </c>
      <c r="Q75" t="s">
        <v>22</v>
      </c>
      <c r="R75" t="s">
        <v>167</v>
      </c>
      <c r="S75" t="s">
        <v>5</v>
      </c>
      <c r="T75" t="s">
        <v>409</v>
      </c>
      <c r="U75" t="s">
        <v>410</v>
      </c>
    </row>
    <row r="76" spans="1:21" x14ac:dyDescent="0.3">
      <c r="A76" s="64">
        <v>46141</v>
      </c>
      <c r="B76" t="s">
        <v>411</v>
      </c>
      <c r="C76" t="s">
        <v>412</v>
      </c>
      <c r="E76" t="s">
        <v>66</v>
      </c>
      <c r="F76" t="s">
        <v>396</v>
      </c>
      <c r="G76" t="s">
        <v>59</v>
      </c>
      <c r="H76" t="s">
        <v>60</v>
      </c>
      <c r="J76">
        <v>6.8352857011538362</v>
      </c>
      <c r="K76">
        <v>5.8377194324591724</v>
      </c>
      <c r="L76">
        <v>9.7962043658220015</v>
      </c>
      <c r="M76">
        <v>8.0444764049047883</v>
      </c>
      <c r="N76" t="s">
        <v>1</v>
      </c>
      <c r="P76" t="s">
        <v>7</v>
      </c>
      <c r="Q76" t="s">
        <v>11</v>
      </c>
      <c r="R76" t="s">
        <v>70</v>
      </c>
      <c r="S76" t="s">
        <v>10</v>
      </c>
      <c r="T76" t="s">
        <v>413</v>
      </c>
      <c r="U76" t="s">
        <v>414</v>
      </c>
    </row>
    <row r="77" spans="1:21" x14ac:dyDescent="0.3">
      <c r="A77" s="64">
        <v>46141</v>
      </c>
      <c r="B77" t="s">
        <v>415</v>
      </c>
      <c r="C77" t="s">
        <v>416</v>
      </c>
      <c r="E77" t="s">
        <v>19</v>
      </c>
      <c r="F77" t="s">
        <v>109</v>
      </c>
      <c r="G77" t="s">
        <v>59</v>
      </c>
      <c r="H77" t="s">
        <v>60</v>
      </c>
      <c r="J77">
        <v>6.4255032792585398</v>
      </c>
      <c r="K77">
        <v>5.477205034833788</v>
      </c>
      <c r="L77">
        <v>9.234087819868801</v>
      </c>
      <c r="M77">
        <v>7.5717933242588451</v>
      </c>
      <c r="N77" t="s">
        <v>1</v>
      </c>
      <c r="P77" t="s">
        <v>19</v>
      </c>
      <c r="Q77" t="s">
        <v>11</v>
      </c>
      <c r="R77" t="s">
        <v>80</v>
      </c>
      <c r="S77" t="s">
        <v>10</v>
      </c>
      <c r="T77" t="s">
        <v>417</v>
      </c>
      <c r="U77" t="s">
        <v>418</v>
      </c>
    </row>
    <row r="78" spans="1:21" x14ac:dyDescent="0.3">
      <c r="A78" s="64">
        <v>46141</v>
      </c>
      <c r="B78" t="s">
        <v>419</v>
      </c>
      <c r="C78" t="s">
        <v>420</v>
      </c>
      <c r="E78" t="s">
        <v>19</v>
      </c>
      <c r="F78" t="s">
        <v>271</v>
      </c>
      <c r="G78" t="s">
        <v>59</v>
      </c>
      <c r="H78" t="s">
        <v>60</v>
      </c>
      <c r="J78">
        <v>0</v>
      </c>
      <c r="K78">
        <v>21.20001037023437</v>
      </c>
      <c r="L78">
        <v>0.48397813009833579</v>
      </c>
      <c r="M78">
        <v>7.3694770599385748</v>
      </c>
      <c r="N78" t="s">
        <v>1</v>
      </c>
      <c r="P78" t="s">
        <v>24</v>
      </c>
      <c r="Q78" t="s">
        <v>22</v>
      </c>
      <c r="R78" t="s">
        <v>167</v>
      </c>
      <c r="S78" t="s">
        <v>5</v>
      </c>
      <c r="T78" t="s">
        <v>421</v>
      </c>
      <c r="U78" t="s">
        <v>422</v>
      </c>
    </row>
    <row r="79" spans="1:21" x14ac:dyDescent="0.3">
      <c r="A79" s="64">
        <v>46141</v>
      </c>
      <c r="B79" t="s">
        <v>423</v>
      </c>
      <c r="C79" t="s">
        <v>424</v>
      </c>
      <c r="E79" t="s">
        <v>66</v>
      </c>
      <c r="F79" t="s">
        <v>193</v>
      </c>
      <c r="G79" t="s">
        <v>110</v>
      </c>
      <c r="H79" t="s">
        <v>425</v>
      </c>
      <c r="J79">
        <v>0</v>
      </c>
      <c r="K79">
        <v>21.9049950528882</v>
      </c>
      <c r="L79">
        <v>0</v>
      </c>
      <c r="M79">
        <v>7.353759491828681</v>
      </c>
      <c r="N79" t="s">
        <v>156</v>
      </c>
      <c r="P79" t="s">
        <v>157</v>
      </c>
      <c r="Q79" t="s">
        <v>157</v>
      </c>
      <c r="R79" t="s">
        <v>156</v>
      </c>
      <c r="S79" t="s">
        <v>157</v>
      </c>
      <c r="T79" t="s">
        <v>426</v>
      </c>
      <c r="U79" t="s">
        <v>427</v>
      </c>
    </row>
    <row r="80" spans="1:21" x14ac:dyDescent="0.3">
      <c r="A80" s="64">
        <v>46141</v>
      </c>
      <c r="B80" t="s">
        <v>428</v>
      </c>
      <c r="C80" t="s">
        <v>429</v>
      </c>
      <c r="E80" t="s">
        <v>66</v>
      </c>
      <c r="F80" t="s">
        <v>430</v>
      </c>
      <c r="G80" t="s">
        <v>59</v>
      </c>
      <c r="H80" t="s">
        <v>60</v>
      </c>
      <c r="J80">
        <v>4.254193494238816</v>
      </c>
      <c r="K80">
        <v>3.7269092281485561</v>
      </c>
      <c r="L80">
        <v>10.34217835825306</v>
      </c>
      <c r="M80">
        <v>7.2519925349496184</v>
      </c>
      <c r="N80" t="s">
        <v>1</v>
      </c>
      <c r="P80" t="s">
        <v>7</v>
      </c>
      <c r="Q80" t="s">
        <v>11</v>
      </c>
      <c r="R80" t="s">
        <v>70</v>
      </c>
      <c r="S80" t="s">
        <v>10</v>
      </c>
      <c r="T80" t="s">
        <v>431</v>
      </c>
      <c r="U80" t="s">
        <v>432</v>
      </c>
    </row>
    <row r="81" spans="1:21" x14ac:dyDescent="0.3">
      <c r="A81" s="64">
        <v>46141</v>
      </c>
      <c r="B81" t="s">
        <v>433</v>
      </c>
      <c r="C81" t="s">
        <v>434</v>
      </c>
      <c r="E81" t="s">
        <v>66</v>
      </c>
      <c r="F81" t="s">
        <v>103</v>
      </c>
      <c r="G81" t="s">
        <v>59</v>
      </c>
      <c r="H81" t="s">
        <v>435</v>
      </c>
      <c r="J81">
        <v>6.1677187870939889</v>
      </c>
      <c r="K81">
        <v>5.2575813213378604</v>
      </c>
      <c r="L81">
        <v>8.7723834288753615</v>
      </c>
      <c r="M81">
        <v>7.2204779515627804</v>
      </c>
      <c r="N81" t="s">
        <v>1</v>
      </c>
      <c r="P81" t="s">
        <v>9</v>
      </c>
      <c r="Q81" t="s">
        <v>11</v>
      </c>
      <c r="R81" t="s">
        <v>104</v>
      </c>
      <c r="S81" t="s">
        <v>10</v>
      </c>
      <c r="T81" t="s">
        <v>436</v>
      </c>
      <c r="U81" t="s">
        <v>437</v>
      </c>
    </row>
    <row r="82" spans="1:21" x14ac:dyDescent="0.3">
      <c r="A82" s="64">
        <v>46141</v>
      </c>
      <c r="B82" t="s">
        <v>438</v>
      </c>
      <c r="C82" t="s">
        <v>439</v>
      </c>
      <c r="E82" t="s">
        <v>440</v>
      </c>
      <c r="F82" t="s">
        <v>441</v>
      </c>
      <c r="G82" t="s">
        <v>59</v>
      </c>
      <c r="H82" t="s">
        <v>138</v>
      </c>
      <c r="J82">
        <v>3.0951624441966512</v>
      </c>
      <c r="K82">
        <v>2.6764979888545479</v>
      </c>
      <c r="L82">
        <v>10.7760778848111</v>
      </c>
      <c r="M82">
        <v>6.960121478285429</v>
      </c>
      <c r="N82" t="s">
        <v>1</v>
      </c>
      <c r="P82" t="s">
        <v>21</v>
      </c>
      <c r="Q82" t="s">
        <v>11</v>
      </c>
      <c r="R82" t="s">
        <v>61</v>
      </c>
      <c r="S82" t="s">
        <v>10</v>
      </c>
      <c r="T82" t="s">
        <v>442</v>
      </c>
      <c r="U82" t="s">
        <v>443</v>
      </c>
    </row>
    <row r="83" spans="1:21" x14ac:dyDescent="0.3">
      <c r="A83" s="64">
        <v>46141</v>
      </c>
      <c r="B83" t="s">
        <v>444</v>
      </c>
      <c r="C83" t="s">
        <v>445</v>
      </c>
      <c r="E83" t="s">
        <v>66</v>
      </c>
      <c r="F83" t="s">
        <v>67</v>
      </c>
      <c r="G83" t="s">
        <v>59</v>
      </c>
      <c r="H83" t="s">
        <v>60</v>
      </c>
      <c r="J83">
        <v>3.540165421707453</v>
      </c>
      <c r="K83">
        <v>3.1036326420977121</v>
      </c>
      <c r="L83">
        <v>10.03440963124936</v>
      </c>
      <c r="M83">
        <v>6.7802903836111339</v>
      </c>
      <c r="N83" t="s">
        <v>1</v>
      </c>
      <c r="P83" t="s">
        <v>7</v>
      </c>
      <c r="Q83" t="s">
        <v>11</v>
      </c>
      <c r="R83" t="s">
        <v>70</v>
      </c>
      <c r="S83" t="s">
        <v>10</v>
      </c>
      <c r="T83" t="s">
        <v>446</v>
      </c>
      <c r="U83" t="s">
        <v>447</v>
      </c>
    </row>
    <row r="84" spans="1:21" x14ac:dyDescent="0.3">
      <c r="A84" s="64">
        <v>46141</v>
      </c>
      <c r="B84" t="s">
        <v>448</v>
      </c>
      <c r="C84" t="s">
        <v>449</v>
      </c>
      <c r="E84" t="s">
        <v>19</v>
      </c>
      <c r="F84" t="s">
        <v>85</v>
      </c>
      <c r="G84" t="s">
        <v>59</v>
      </c>
      <c r="H84" t="s">
        <v>60</v>
      </c>
      <c r="J84">
        <v>0</v>
      </c>
      <c r="K84">
        <v>0.13961565531381051</v>
      </c>
      <c r="L84">
        <v>12.486436151002369</v>
      </c>
      <c r="M84">
        <v>6.5584041742644112</v>
      </c>
      <c r="N84" t="s">
        <v>1</v>
      </c>
      <c r="P84" t="s">
        <v>12</v>
      </c>
      <c r="Q84" t="s">
        <v>14</v>
      </c>
      <c r="R84" t="s">
        <v>146</v>
      </c>
      <c r="S84" t="s">
        <v>5</v>
      </c>
      <c r="T84" t="s">
        <v>347</v>
      </c>
      <c r="U84" t="s">
        <v>218</v>
      </c>
    </row>
    <row r="85" spans="1:21" x14ac:dyDescent="0.3">
      <c r="A85" s="64">
        <v>46141</v>
      </c>
      <c r="B85" t="s">
        <v>450</v>
      </c>
      <c r="C85" t="s">
        <v>451</v>
      </c>
      <c r="E85" t="s">
        <v>19</v>
      </c>
      <c r="F85" t="s">
        <v>109</v>
      </c>
      <c r="G85" t="s">
        <v>110</v>
      </c>
      <c r="H85" t="s">
        <v>450</v>
      </c>
      <c r="J85">
        <v>0</v>
      </c>
      <c r="K85">
        <v>18.879989187755641</v>
      </c>
      <c r="L85">
        <v>0</v>
      </c>
      <c r="M85">
        <v>6.3382301324361574</v>
      </c>
      <c r="N85" t="s">
        <v>1</v>
      </c>
      <c r="P85" t="s">
        <v>12</v>
      </c>
      <c r="Q85" t="s">
        <v>14</v>
      </c>
      <c r="R85" t="s">
        <v>146</v>
      </c>
      <c r="S85" t="s">
        <v>5</v>
      </c>
      <c r="T85" t="s">
        <v>452</v>
      </c>
      <c r="U85" t="s">
        <v>453</v>
      </c>
    </row>
    <row r="86" spans="1:21" x14ac:dyDescent="0.3">
      <c r="A86" s="64">
        <v>46141</v>
      </c>
      <c r="B86" t="s">
        <v>454</v>
      </c>
      <c r="C86" t="s">
        <v>455</v>
      </c>
      <c r="E86" t="s">
        <v>19</v>
      </c>
      <c r="F86" t="s">
        <v>109</v>
      </c>
      <c r="G86" t="s">
        <v>110</v>
      </c>
      <c r="H86" t="s">
        <v>111</v>
      </c>
      <c r="J86">
        <v>7.5480648178123086</v>
      </c>
      <c r="K86">
        <v>9.6744405173556931</v>
      </c>
      <c r="L86">
        <v>3.671233914903024</v>
      </c>
      <c r="M86">
        <v>6.2401907069254321</v>
      </c>
      <c r="N86" t="s">
        <v>1</v>
      </c>
      <c r="P86" t="s">
        <v>21</v>
      </c>
      <c r="Q86" t="s">
        <v>11</v>
      </c>
      <c r="R86" t="s">
        <v>61</v>
      </c>
      <c r="S86" t="s">
        <v>10</v>
      </c>
      <c r="T86" t="s">
        <v>456</v>
      </c>
      <c r="U86" t="s">
        <v>457</v>
      </c>
    </row>
    <row r="87" spans="1:21" x14ac:dyDescent="0.3">
      <c r="A87" s="64">
        <v>46141</v>
      </c>
      <c r="B87" t="s">
        <v>458</v>
      </c>
      <c r="C87" t="s">
        <v>459</v>
      </c>
      <c r="E87" t="s">
        <v>19</v>
      </c>
      <c r="F87" t="s">
        <v>109</v>
      </c>
      <c r="G87" t="s">
        <v>59</v>
      </c>
      <c r="H87" t="s">
        <v>60</v>
      </c>
      <c r="J87">
        <v>0</v>
      </c>
      <c r="K87">
        <v>0</v>
      </c>
      <c r="L87">
        <v>11.819632409432071</v>
      </c>
      <c r="M87">
        <v>6.1638030664920258</v>
      </c>
      <c r="N87" t="s">
        <v>1</v>
      </c>
      <c r="P87" t="s">
        <v>12</v>
      </c>
      <c r="Q87" t="s">
        <v>14</v>
      </c>
      <c r="R87" t="s">
        <v>146</v>
      </c>
      <c r="S87" t="s">
        <v>5</v>
      </c>
      <c r="T87" t="s">
        <v>347</v>
      </c>
      <c r="U87" t="s">
        <v>218</v>
      </c>
    </row>
    <row r="88" spans="1:21" x14ac:dyDescent="0.3">
      <c r="A88" s="64">
        <v>46141</v>
      </c>
      <c r="B88" t="s">
        <v>460</v>
      </c>
      <c r="C88" t="s">
        <v>461</v>
      </c>
      <c r="E88" t="s">
        <v>19</v>
      </c>
      <c r="F88" t="s">
        <v>109</v>
      </c>
      <c r="G88" t="s">
        <v>59</v>
      </c>
      <c r="H88" t="s">
        <v>60</v>
      </c>
      <c r="J88">
        <v>1.626015650915835</v>
      </c>
      <c r="K88">
        <v>2.0928535484901949</v>
      </c>
      <c r="L88">
        <v>9.5322804558000485</v>
      </c>
      <c r="M88">
        <v>5.9057651533959419</v>
      </c>
      <c r="N88" t="s">
        <v>1</v>
      </c>
      <c r="P88" t="s">
        <v>21</v>
      </c>
      <c r="Q88" t="s">
        <v>11</v>
      </c>
      <c r="R88" t="s">
        <v>61</v>
      </c>
      <c r="S88" t="s">
        <v>10</v>
      </c>
      <c r="T88" t="s">
        <v>177</v>
      </c>
      <c r="U88" t="s">
        <v>178</v>
      </c>
    </row>
    <row r="89" spans="1:21" x14ac:dyDescent="0.3">
      <c r="A89" s="64">
        <v>46141</v>
      </c>
      <c r="B89" t="s">
        <v>462</v>
      </c>
      <c r="C89" t="s">
        <v>463</v>
      </c>
      <c r="E89" t="s">
        <v>19</v>
      </c>
      <c r="F89" t="s">
        <v>58</v>
      </c>
      <c r="G89" t="s">
        <v>59</v>
      </c>
      <c r="H89" t="s">
        <v>60</v>
      </c>
      <c r="J89">
        <v>0</v>
      </c>
      <c r="K89">
        <v>0.14110318893207041</v>
      </c>
      <c r="L89">
        <v>11.1044352076206</v>
      </c>
      <c r="M89">
        <v>5.8382058767296474</v>
      </c>
      <c r="N89" t="s">
        <v>1</v>
      </c>
      <c r="P89" t="s">
        <v>12</v>
      </c>
      <c r="Q89" t="s">
        <v>14</v>
      </c>
      <c r="R89" t="s">
        <v>146</v>
      </c>
      <c r="S89" t="s">
        <v>5</v>
      </c>
      <c r="T89" t="s">
        <v>347</v>
      </c>
      <c r="U89" t="s">
        <v>218</v>
      </c>
    </row>
    <row r="90" spans="1:21" x14ac:dyDescent="0.3">
      <c r="A90" s="64">
        <v>46141</v>
      </c>
      <c r="B90" t="s">
        <v>464</v>
      </c>
      <c r="C90" t="s">
        <v>465</v>
      </c>
      <c r="E90" t="s">
        <v>19</v>
      </c>
      <c r="F90" t="s">
        <v>109</v>
      </c>
      <c r="G90" t="s">
        <v>59</v>
      </c>
      <c r="H90" t="s">
        <v>60</v>
      </c>
      <c r="J90">
        <v>0</v>
      </c>
      <c r="K90">
        <v>0.13961565531381051</v>
      </c>
      <c r="L90">
        <v>11.07468092464547</v>
      </c>
      <c r="M90">
        <v>5.822189976400626</v>
      </c>
      <c r="N90" t="s">
        <v>1</v>
      </c>
      <c r="P90" t="s">
        <v>12</v>
      </c>
      <c r="Q90" t="s">
        <v>14</v>
      </c>
      <c r="R90" t="s">
        <v>146</v>
      </c>
      <c r="S90" t="s">
        <v>5</v>
      </c>
      <c r="T90" t="s">
        <v>347</v>
      </c>
      <c r="U90" t="s">
        <v>218</v>
      </c>
    </row>
    <row r="91" spans="1:21" x14ac:dyDescent="0.3">
      <c r="A91" s="64">
        <v>46141</v>
      </c>
      <c r="B91" t="s">
        <v>466</v>
      </c>
      <c r="C91" t="s">
        <v>467</v>
      </c>
      <c r="E91" t="s">
        <v>19</v>
      </c>
      <c r="F91" t="s">
        <v>109</v>
      </c>
      <c r="G91" t="s">
        <v>59</v>
      </c>
      <c r="H91" t="s">
        <v>60</v>
      </c>
      <c r="J91">
        <v>0</v>
      </c>
      <c r="K91">
        <v>0.13759685968902791</v>
      </c>
      <c r="L91">
        <v>11.019550000328319</v>
      </c>
      <c r="M91">
        <v>5.7927620971769214</v>
      </c>
      <c r="N91" t="s">
        <v>1</v>
      </c>
      <c r="P91" t="s">
        <v>12</v>
      </c>
      <c r="Q91" t="s">
        <v>14</v>
      </c>
      <c r="R91" t="s">
        <v>146</v>
      </c>
      <c r="S91" t="s">
        <v>5</v>
      </c>
      <c r="T91" t="s">
        <v>347</v>
      </c>
      <c r="U91" t="s">
        <v>218</v>
      </c>
    </row>
    <row r="92" spans="1:21" x14ac:dyDescent="0.3">
      <c r="A92" s="64">
        <v>46141</v>
      </c>
      <c r="B92" t="s">
        <v>468</v>
      </c>
      <c r="C92" t="s">
        <v>469</v>
      </c>
      <c r="E92" t="s">
        <v>66</v>
      </c>
      <c r="F92" t="s">
        <v>396</v>
      </c>
      <c r="G92" t="s">
        <v>143</v>
      </c>
      <c r="H92" t="s">
        <v>290</v>
      </c>
      <c r="J92">
        <v>9.8617555723415222</v>
      </c>
      <c r="K92">
        <v>12.580549945428761</v>
      </c>
      <c r="L92">
        <v>4.8564461867458143E-2</v>
      </c>
      <c r="M92">
        <v>5.6570193161032201</v>
      </c>
      <c r="N92" t="s">
        <v>1</v>
      </c>
      <c r="P92" t="s">
        <v>7</v>
      </c>
      <c r="Q92" t="s">
        <v>11</v>
      </c>
      <c r="R92" t="s">
        <v>70</v>
      </c>
      <c r="S92" t="s">
        <v>10</v>
      </c>
      <c r="T92" t="s">
        <v>470</v>
      </c>
      <c r="U92" t="s">
        <v>471</v>
      </c>
    </row>
    <row r="93" spans="1:21" x14ac:dyDescent="0.3">
      <c r="A93" s="64">
        <v>46141</v>
      </c>
      <c r="B93" t="s">
        <v>472</v>
      </c>
      <c r="C93" t="s">
        <v>473</v>
      </c>
      <c r="E93" t="s">
        <v>19</v>
      </c>
      <c r="F93" t="s">
        <v>109</v>
      </c>
      <c r="G93" t="s">
        <v>59</v>
      </c>
      <c r="H93" t="s">
        <v>60</v>
      </c>
      <c r="J93">
        <v>8.942524049894289E-2</v>
      </c>
      <c r="K93">
        <v>0.1115650213694831</v>
      </c>
      <c r="L93">
        <v>10.53575219921772</v>
      </c>
      <c r="M93">
        <v>5.5444978069987707</v>
      </c>
      <c r="N93" t="s">
        <v>1</v>
      </c>
      <c r="P93" t="s">
        <v>12</v>
      </c>
      <c r="Q93" t="s">
        <v>14</v>
      </c>
      <c r="R93" t="s">
        <v>146</v>
      </c>
      <c r="S93" t="s">
        <v>5</v>
      </c>
      <c r="T93" t="s">
        <v>347</v>
      </c>
      <c r="U93" t="s">
        <v>218</v>
      </c>
    </row>
    <row r="94" spans="1:21" x14ac:dyDescent="0.3">
      <c r="A94" s="64">
        <v>46141</v>
      </c>
      <c r="B94" t="s">
        <v>474</v>
      </c>
      <c r="C94" t="s">
        <v>475</v>
      </c>
      <c r="E94" t="s">
        <v>19</v>
      </c>
      <c r="F94" t="s">
        <v>476</v>
      </c>
      <c r="G94" t="s">
        <v>98</v>
      </c>
      <c r="H94" t="s">
        <v>477</v>
      </c>
      <c r="J94">
        <v>9.8043036021885702E-2</v>
      </c>
      <c r="K94">
        <v>15.934672623601291</v>
      </c>
      <c r="L94">
        <v>2.6539452400808319E-2</v>
      </c>
      <c r="M94">
        <v>5.3772939477731843</v>
      </c>
      <c r="N94" t="s">
        <v>1</v>
      </c>
      <c r="P94" t="s">
        <v>6</v>
      </c>
      <c r="Q94" t="s">
        <v>6</v>
      </c>
      <c r="R94" t="s">
        <v>188</v>
      </c>
      <c r="S94" t="s">
        <v>10</v>
      </c>
      <c r="T94" t="s">
        <v>478</v>
      </c>
      <c r="U94" t="s">
        <v>479</v>
      </c>
    </row>
    <row r="95" spans="1:21" x14ac:dyDescent="0.3">
      <c r="A95" s="64">
        <v>46141</v>
      </c>
      <c r="B95" t="s">
        <v>480</v>
      </c>
      <c r="C95" t="s">
        <v>481</v>
      </c>
      <c r="E95" t="s">
        <v>66</v>
      </c>
      <c r="F95" t="s">
        <v>193</v>
      </c>
      <c r="G95" t="s">
        <v>143</v>
      </c>
      <c r="H95" t="s">
        <v>480</v>
      </c>
      <c r="J95">
        <v>0</v>
      </c>
      <c r="K95">
        <v>15.63105638687434</v>
      </c>
      <c r="L95">
        <v>0</v>
      </c>
      <c r="M95">
        <v>5.2475259179358096</v>
      </c>
      <c r="N95" t="s">
        <v>145</v>
      </c>
      <c r="P95" t="s">
        <v>7</v>
      </c>
      <c r="Q95" t="s">
        <v>11</v>
      </c>
      <c r="R95" t="s">
        <v>70</v>
      </c>
      <c r="S95" t="s">
        <v>10</v>
      </c>
      <c r="T95" t="s">
        <v>482</v>
      </c>
      <c r="U95" t="s">
        <v>483</v>
      </c>
    </row>
    <row r="96" spans="1:21" x14ac:dyDescent="0.3">
      <c r="A96" s="64">
        <v>46141</v>
      </c>
      <c r="B96" t="s">
        <v>484</v>
      </c>
      <c r="C96" t="s">
        <v>485</v>
      </c>
      <c r="E96" t="s">
        <v>19</v>
      </c>
      <c r="F96" t="s">
        <v>109</v>
      </c>
      <c r="G96" t="s">
        <v>355</v>
      </c>
      <c r="H96" t="s">
        <v>484</v>
      </c>
      <c r="J96">
        <v>32.364318429792696</v>
      </c>
      <c r="K96">
        <v>1.437594989646767</v>
      </c>
      <c r="L96">
        <v>0</v>
      </c>
      <c r="M96">
        <v>5.1042388987338523</v>
      </c>
      <c r="N96" t="s">
        <v>156</v>
      </c>
      <c r="P96" t="s">
        <v>157</v>
      </c>
      <c r="Q96" t="s">
        <v>157</v>
      </c>
      <c r="R96" t="s">
        <v>156</v>
      </c>
      <c r="S96" t="s">
        <v>157</v>
      </c>
      <c r="T96" t="s">
        <v>486</v>
      </c>
      <c r="U96" t="s">
        <v>487</v>
      </c>
    </row>
    <row r="97" spans="1:21" x14ac:dyDescent="0.3">
      <c r="A97" s="64">
        <v>46141</v>
      </c>
      <c r="B97" t="s">
        <v>488</v>
      </c>
      <c r="C97" t="s">
        <v>489</v>
      </c>
      <c r="E97" t="s">
        <v>66</v>
      </c>
      <c r="F97" t="s">
        <v>103</v>
      </c>
      <c r="G97" t="s">
        <v>68</v>
      </c>
      <c r="H97" t="s">
        <v>69</v>
      </c>
      <c r="J97">
        <v>1.888795966571946</v>
      </c>
      <c r="K97">
        <v>1.7529521167178379</v>
      </c>
      <c r="L97">
        <v>8.0124864019506763</v>
      </c>
      <c r="M97">
        <v>5.0366261168326032</v>
      </c>
      <c r="N97" t="s">
        <v>1</v>
      </c>
      <c r="P97" t="s">
        <v>9</v>
      </c>
      <c r="Q97" t="s">
        <v>11</v>
      </c>
      <c r="R97" t="s">
        <v>104</v>
      </c>
      <c r="S97" t="s">
        <v>10</v>
      </c>
      <c r="T97" t="s">
        <v>490</v>
      </c>
      <c r="U97" t="s">
        <v>491</v>
      </c>
    </row>
    <row r="98" spans="1:21" x14ac:dyDescent="0.3">
      <c r="A98" s="64">
        <v>46141</v>
      </c>
      <c r="B98" t="s">
        <v>492</v>
      </c>
      <c r="C98" t="s">
        <v>493</v>
      </c>
      <c r="E98" t="s">
        <v>136</v>
      </c>
      <c r="F98" t="s">
        <v>430</v>
      </c>
      <c r="G98" t="s">
        <v>494</v>
      </c>
      <c r="H98" t="s">
        <v>290</v>
      </c>
      <c r="J98">
        <v>8.5709596777094355</v>
      </c>
      <c r="K98">
        <v>10.93815345226802</v>
      </c>
      <c r="L98">
        <v>0.15697949293776961</v>
      </c>
      <c r="M98">
        <v>4.9778595337767859</v>
      </c>
      <c r="N98" t="s">
        <v>156</v>
      </c>
      <c r="P98" t="s">
        <v>157</v>
      </c>
      <c r="Q98" t="s">
        <v>157</v>
      </c>
      <c r="R98" t="s">
        <v>156</v>
      </c>
      <c r="S98" t="s">
        <v>157</v>
      </c>
      <c r="T98" t="s">
        <v>158</v>
      </c>
      <c r="U98" t="s">
        <v>159</v>
      </c>
    </row>
    <row r="99" spans="1:21" x14ac:dyDescent="0.3">
      <c r="A99" s="64">
        <v>46141</v>
      </c>
      <c r="B99" t="s">
        <v>495</v>
      </c>
      <c r="C99" t="s">
        <v>496</v>
      </c>
      <c r="E99" t="s">
        <v>66</v>
      </c>
      <c r="F99" t="s">
        <v>67</v>
      </c>
      <c r="G99" t="s">
        <v>68</v>
      </c>
      <c r="H99" t="s">
        <v>69</v>
      </c>
      <c r="J99">
        <v>3.9344607907789091</v>
      </c>
      <c r="K99">
        <v>3.549998979976948</v>
      </c>
      <c r="L99">
        <v>6.0606054387819643</v>
      </c>
      <c r="M99">
        <v>4.9141526340270456</v>
      </c>
      <c r="N99" t="s">
        <v>1</v>
      </c>
      <c r="P99" t="s">
        <v>7</v>
      </c>
      <c r="Q99" t="s">
        <v>11</v>
      </c>
      <c r="R99" t="s">
        <v>70</v>
      </c>
      <c r="S99" t="s">
        <v>10</v>
      </c>
      <c r="T99" t="s">
        <v>497</v>
      </c>
      <c r="U99" t="s">
        <v>498</v>
      </c>
    </row>
    <row r="100" spans="1:21" x14ac:dyDescent="0.3">
      <c r="A100" s="64">
        <v>46141</v>
      </c>
      <c r="B100" t="s">
        <v>499</v>
      </c>
      <c r="C100" t="s">
        <v>500</v>
      </c>
      <c r="E100" t="s">
        <v>19</v>
      </c>
      <c r="F100" t="s">
        <v>109</v>
      </c>
      <c r="G100" t="s">
        <v>59</v>
      </c>
      <c r="H100" t="s">
        <v>60</v>
      </c>
      <c r="J100">
        <v>0.1694833119512088</v>
      </c>
      <c r="K100">
        <v>0.2341802924746102</v>
      </c>
      <c r="L100">
        <v>9.1863441658075544</v>
      </c>
      <c r="M100">
        <v>4.8933926028655979</v>
      </c>
      <c r="N100" t="s">
        <v>1</v>
      </c>
      <c r="P100" t="s">
        <v>12</v>
      </c>
      <c r="Q100" t="s">
        <v>14</v>
      </c>
      <c r="R100" t="s">
        <v>146</v>
      </c>
      <c r="S100" t="s">
        <v>5</v>
      </c>
      <c r="T100" t="s">
        <v>347</v>
      </c>
      <c r="U100" t="s">
        <v>218</v>
      </c>
    </row>
    <row r="101" spans="1:21" x14ac:dyDescent="0.3">
      <c r="A101" s="64">
        <v>46141</v>
      </c>
      <c r="B101" t="s">
        <v>501</v>
      </c>
      <c r="C101" t="s">
        <v>502</v>
      </c>
      <c r="E101" t="s">
        <v>66</v>
      </c>
      <c r="F101" t="s">
        <v>67</v>
      </c>
      <c r="G101" t="s">
        <v>110</v>
      </c>
      <c r="H101" t="s">
        <v>503</v>
      </c>
      <c r="J101">
        <v>0</v>
      </c>
      <c r="K101">
        <v>14.437841920227401</v>
      </c>
      <c r="L101">
        <v>0</v>
      </c>
      <c r="M101">
        <v>4.8469500589270993</v>
      </c>
      <c r="N101" t="s">
        <v>1</v>
      </c>
      <c r="P101" t="s">
        <v>7</v>
      </c>
      <c r="Q101" t="s">
        <v>11</v>
      </c>
      <c r="R101" t="s">
        <v>70</v>
      </c>
      <c r="S101" t="s">
        <v>10</v>
      </c>
      <c r="T101" t="s">
        <v>504</v>
      </c>
      <c r="U101" t="s">
        <v>505</v>
      </c>
    </row>
    <row r="102" spans="1:21" x14ac:dyDescent="0.3">
      <c r="A102" s="64">
        <v>46141</v>
      </c>
      <c r="B102" t="s">
        <v>506</v>
      </c>
      <c r="C102" t="s">
        <v>507</v>
      </c>
      <c r="E102" t="s">
        <v>66</v>
      </c>
      <c r="F102" t="s">
        <v>103</v>
      </c>
      <c r="G102" t="s">
        <v>59</v>
      </c>
      <c r="H102" t="s">
        <v>60</v>
      </c>
      <c r="J102">
        <v>0.17722683836312839</v>
      </c>
      <c r="K102">
        <v>0.23412716627395669</v>
      </c>
      <c r="L102">
        <v>9.0122645102403993</v>
      </c>
      <c r="M102">
        <v>4.8036999940074141</v>
      </c>
      <c r="N102" t="s">
        <v>1</v>
      </c>
      <c r="P102" t="s">
        <v>9</v>
      </c>
      <c r="Q102" t="s">
        <v>11</v>
      </c>
      <c r="R102" t="s">
        <v>104</v>
      </c>
      <c r="S102" t="s">
        <v>10</v>
      </c>
      <c r="T102" t="s">
        <v>323</v>
      </c>
      <c r="U102" t="s">
        <v>106</v>
      </c>
    </row>
    <row r="103" spans="1:21" x14ac:dyDescent="0.3">
      <c r="A103" s="64">
        <v>46141</v>
      </c>
      <c r="B103" t="s">
        <v>508</v>
      </c>
      <c r="C103" t="s">
        <v>509</v>
      </c>
      <c r="E103" t="s">
        <v>19</v>
      </c>
      <c r="F103" t="s">
        <v>109</v>
      </c>
      <c r="G103" t="s">
        <v>59</v>
      </c>
      <c r="H103" t="s">
        <v>60</v>
      </c>
      <c r="J103">
        <v>0</v>
      </c>
      <c r="K103">
        <v>0.14078443172815699</v>
      </c>
      <c r="L103">
        <v>9.0244398260325216</v>
      </c>
      <c r="M103">
        <v>4.7534050731523569</v>
      </c>
      <c r="N103" t="s">
        <v>1</v>
      </c>
      <c r="P103" t="s">
        <v>12</v>
      </c>
      <c r="Q103" t="s">
        <v>14</v>
      </c>
      <c r="R103" t="s">
        <v>146</v>
      </c>
      <c r="S103" t="s">
        <v>5</v>
      </c>
      <c r="T103" t="s">
        <v>347</v>
      </c>
      <c r="U103" t="s">
        <v>218</v>
      </c>
    </row>
    <row r="104" spans="1:21" x14ac:dyDescent="0.3">
      <c r="A104" s="64">
        <v>46141</v>
      </c>
      <c r="B104" t="s">
        <v>510</v>
      </c>
      <c r="C104" t="s">
        <v>511</v>
      </c>
      <c r="E104" t="s">
        <v>19</v>
      </c>
      <c r="F104" t="s">
        <v>109</v>
      </c>
      <c r="G104" t="s">
        <v>68</v>
      </c>
      <c r="H104" t="s">
        <v>69</v>
      </c>
      <c r="J104">
        <v>2.1238494618498929</v>
      </c>
      <c r="K104">
        <v>2.6269843698467579</v>
      </c>
      <c r="L104">
        <v>6.8213232735128608</v>
      </c>
      <c r="M104">
        <v>4.7424364999871589</v>
      </c>
      <c r="N104" t="s">
        <v>1</v>
      </c>
      <c r="P104" t="s">
        <v>21</v>
      </c>
      <c r="Q104" t="s">
        <v>11</v>
      </c>
      <c r="R104" t="s">
        <v>61</v>
      </c>
      <c r="S104" t="s">
        <v>10</v>
      </c>
      <c r="T104" t="s">
        <v>177</v>
      </c>
      <c r="U104" t="s">
        <v>178</v>
      </c>
    </row>
    <row r="105" spans="1:21" x14ac:dyDescent="0.3">
      <c r="A105" s="64">
        <v>46141</v>
      </c>
      <c r="B105" t="s">
        <v>512</v>
      </c>
      <c r="C105" t="s">
        <v>513</v>
      </c>
      <c r="E105" t="s">
        <v>19</v>
      </c>
      <c r="F105" t="s">
        <v>109</v>
      </c>
      <c r="G105" t="s">
        <v>68</v>
      </c>
      <c r="H105" t="s">
        <v>69</v>
      </c>
      <c r="J105">
        <v>2.1192283251202002</v>
      </c>
      <c r="K105">
        <v>1.922052813393583</v>
      </c>
      <c r="L105">
        <v>7.2062821346256207</v>
      </c>
      <c r="M105">
        <v>4.7058745894365011</v>
      </c>
      <c r="N105" t="s">
        <v>1</v>
      </c>
      <c r="P105" t="s">
        <v>21</v>
      </c>
      <c r="Q105" t="s">
        <v>11</v>
      </c>
      <c r="R105" t="s">
        <v>61</v>
      </c>
      <c r="S105" t="s">
        <v>10</v>
      </c>
      <c r="T105" t="s">
        <v>514</v>
      </c>
      <c r="U105" t="s">
        <v>515</v>
      </c>
    </row>
    <row r="106" spans="1:21" x14ac:dyDescent="0.3">
      <c r="A106" s="64">
        <v>46141</v>
      </c>
      <c r="B106" t="s">
        <v>516</v>
      </c>
      <c r="C106" t="s">
        <v>517</v>
      </c>
      <c r="E106" t="s">
        <v>19</v>
      </c>
      <c r="F106" t="s">
        <v>109</v>
      </c>
      <c r="G106" t="s">
        <v>68</v>
      </c>
      <c r="H106" t="s">
        <v>69</v>
      </c>
      <c r="J106">
        <v>1.371728235195377</v>
      </c>
      <c r="K106">
        <v>1.3043544784112111</v>
      </c>
      <c r="L106">
        <v>7.756633768689789</v>
      </c>
      <c r="M106">
        <v>4.6787652703940523</v>
      </c>
      <c r="N106" t="s">
        <v>1</v>
      </c>
      <c r="P106" t="s">
        <v>21</v>
      </c>
      <c r="Q106" t="s">
        <v>11</v>
      </c>
      <c r="R106" t="s">
        <v>61</v>
      </c>
      <c r="S106" t="s">
        <v>10</v>
      </c>
      <c r="T106" t="s">
        <v>518</v>
      </c>
      <c r="U106" t="s">
        <v>519</v>
      </c>
    </row>
    <row r="107" spans="1:21" x14ac:dyDescent="0.3">
      <c r="A107" s="64">
        <v>46141</v>
      </c>
      <c r="B107" t="s">
        <v>520</v>
      </c>
      <c r="C107" t="s">
        <v>521</v>
      </c>
      <c r="E107" t="s">
        <v>19</v>
      </c>
      <c r="F107" t="s">
        <v>58</v>
      </c>
      <c r="G107" t="s">
        <v>59</v>
      </c>
      <c r="H107" t="s">
        <v>60</v>
      </c>
      <c r="J107">
        <v>0</v>
      </c>
      <c r="K107">
        <v>0</v>
      </c>
      <c r="L107">
        <v>8.9456080763110499</v>
      </c>
      <c r="M107">
        <v>4.665032260089661</v>
      </c>
      <c r="N107" t="s">
        <v>1</v>
      </c>
      <c r="P107" t="s">
        <v>12</v>
      </c>
      <c r="Q107" t="s">
        <v>14</v>
      </c>
      <c r="R107" t="s">
        <v>146</v>
      </c>
      <c r="S107" t="s">
        <v>5</v>
      </c>
      <c r="T107" t="s">
        <v>347</v>
      </c>
      <c r="U107" t="s">
        <v>218</v>
      </c>
    </row>
    <row r="108" spans="1:21" x14ac:dyDescent="0.3">
      <c r="A108" s="64">
        <v>46141</v>
      </c>
      <c r="B108" t="s">
        <v>522</v>
      </c>
      <c r="C108" t="s">
        <v>523</v>
      </c>
      <c r="E108" t="s">
        <v>19</v>
      </c>
      <c r="F108" t="s">
        <v>221</v>
      </c>
      <c r="G108" t="s">
        <v>59</v>
      </c>
      <c r="H108" t="s">
        <v>522</v>
      </c>
      <c r="J108">
        <v>0</v>
      </c>
      <c r="K108">
        <v>13.77031120903332</v>
      </c>
      <c r="L108">
        <v>0</v>
      </c>
      <c r="M108">
        <v>4.6228522998690194</v>
      </c>
      <c r="N108" t="s">
        <v>1</v>
      </c>
      <c r="P108" t="s">
        <v>15</v>
      </c>
      <c r="Q108" t="s">
        <v>15</v>
      </c>
      <c r="R108" t="s">
        <v>524</v>
      </c>
      <c r="S108" t="s">
        <v>15</v>
      </c>
      <c r="T108" t="s">
        <v>525</v>
      </c>
      <c r="U108" t="s">
        <v>526</v>
      </c>
    </row>
    <row r="109" spans="1:21" x14ac:dyDescent="0.3">
      <c r="A109" s="64">
        <v>46141</v>
      </c>
      <c r="B109" t="s">
        <v>527</v>
      </c>
      <c r="C109" t="s">
        <v>528</v>
      </c>
      <c r="E109" t="s">
        <v>19</v>
      </c>
      <c r="F109" t="s">
        <v>261</v>
      </c>
      <c r="G109" t="s">
        <v>122</v>
      </c>
      <c r="H109" t="s">
        <v>529</v>
      </c>
      <c r="J109">
        <v>0</v>
      </c>
      <c r="K109">
        <v>13.77031120903332</v>
      </c>
      <c r="L109">
        <v>0</v>
      </c>
      <c r="M109">
        <v>4.6228522998690194</v>
      </c>
      <c r="N109" t="s">
        <v>145</v>
      </c>
      <c r="P109" t="s">
        <v>4</v>
      </c>
      <c r="Q109" t="s">
        <v>4</v>
      </c>
      <c r="R109" t="s">
        <v>4</v>
      </c>
      <c r="S109" t="s">
        <v>4</v>
      </c>
      <c r="T109" t="s">
        <v>530</v>
      </c>
      <c r="U109" t="s">
        <v>531</v>
      </c>
    </row>
    <row r="110" spans="1:21" x14ac:dyDescent="0.3">
      <c r="A110" s="64">
        <v>46141</v>
      </c>
      <c r="B110" t="s">
        <v>532</v>
      </c>
      <c r="C110" t="s">
        <v>533</v>
      </c>
      <c r="E110" t="s">
        <v>136</v>
      </c>
      <c r="F110" t="s">
        <v>534</v>
      </c>
      <c r="G110" t="s">
        <v>535</v>
      </c>
      <c r="H110" t="s">
        <v>532</v>
      </c>
      <c r="J110">
        <v>32.364318429792696</v>
      </c>
      <c r="K110">
        <v>0</v>
      </c>
      <c r="L110">
        <v>0</v>
      </c>
      <c r="M110">
        <v>4.6216216794651199</v>
      </c>
      <c r="N110" t="s">
        <v>1</v>
      </c>
      <c r="P110" t="s">
        <v>15</v>
      </c>
      <c r="Q110" t="s">
        <v>15</v>
      </c>
      <c r="R110" t="s">
        <v>524</v>
      </c>
      <c r="S110" t="s">
        <v>15</v>
      </c>
      <c r="T110" t="s">
        <v>536</v>
      </c>
      <c r="U110" t="s">
        <v>537</v>
      </c>
    </row>
    <row r="111" spans="1:21" x14ac:dyDescent="0.3">
      <c r="A111" s="64">
        <v>46141</v>
      </c>
      <c r="B111" t="s">
        <v>538</v>
      </c>
      <c r="C111" t="s">
        <v>539</v>
      </c>
      <c r="E111" t="s">
        <v>19</v>
      </c>
      <c r="F111" t="s">
        <v>221</v>
      </c>
      <c r="G111" t="s">
        <v>200</v>
      </c>
      <c r="H111" t="s">
        <v>540</v>
      </c>
      <c r="J111">
        <v>32.364318429792696</v>
      </c>
      <c r="K111">
        <v>0</v>
      </c>
      <c r="L111">
        <v>0</v>
      </c>
      <c r="M111">
        <v>4.6216216794651199</v>
      </c>
      <c r="N111" t="s">
        <v>1</v>
      </c>
      <c r="P111" t="s">
        <v>21</v>
      </c>
      <c r="Q111" t="s">
        <v>11</v>
      </c>
      <c r="R111" t="s">
        <v>61</v>
      </c>
      <c r="S111" t="s">
        <v>10</v>
      </c>
      <c r="T111" t="s">
        <v>541</v>
      </c>
      <c r="U111" t="s">
        <v>542</v>
      </c>
    </row>
    <row r="112" spans="1:21" x14ac:dyDescent="0.3">
      <c r="A112" s="64">
        <v>46141</v>
      </c>
      <c r="B112" t="s">
        <v>543</v>
      </c>
      <c r="C112" t="s">
        <v>544</v>
      </c>
      <c r="E112" t="s">
        <v>66</v>
      </c>
      <c r="F112" t="s">
        <v>103</v>
      </c>
      <c r="G112" t="s">
        <v>59</v>
      </c>
      <c r="H112" t="s">
        <v>60</v>
      </c>
      <c r="J112">
        <v>0</v>
      </c>
      <c r="K112">
        <v>0</v>
      </c>
      <c r="L112">
        <v>8.8210162913933381</v>
      </c>
      <c r="M112">
        <v>4.6000590697793866</v>
      </c>
      <c r="N112" t="s">
        <v>1</v>
      </c>
      <c r="P112" t="s">
        <v>12</v>
      </c>
      <c r="Q112" t="s">
        <v>14</v>
      </c>
      <c r="R112" t="s">
        <v>146</v>
      </c>
      <c r="S112" t="s">
        <v>5</v>
      </c>
      <c r="T112" t="s">
        <v>347</v>
      </c>
      <c r="U112" t="s">
        <v>218</v>
      </c>
    </row>
    <row r="113" spans="1:21" x14ac:dyDescent="0.3">
      <c r="A113" s="64">
        <v>46141</v>
      </c>
      <c r="B113" t="s">
        <v>545</v>
      </c>
      <c r="C113" t="s">
        <v>546</v>
      </c>
      <c r="E113" t="s">
        <v>66</v>
      </c>
      <c r="F113" t="s">
        <v>103</v>
      </c>
      <c r="G113" t="s">
        <v>59</v>
      </c>
      <c r="H113" t="s">
        <v>60</v>
      </c>
      <c r="J113">
        <v>0</v>
      </c>
      <c r="K113">
        <v>0.27923131062762102</v>
      </c>
      <c r="L113">
        <v>8.5723115261115392</v>
      </c>
      <c r="M113">
        <v>4.5641035518915176</v>
      </c>
      <c r="N113" t="s">
        <v>1</v>
      </c>
      <c r="P113" t="s">
        <v>9</v>
      </c>
      <c r="Q113" t="s">
        <v>11</v>
      </c>
      <c r="R113" t="s">
        <v>104</v>
      </c>
      <c r="S113" t="s">
        <v>10</v>
      </c>
      <c r="T113" t="s">
        <v>323</v>
      </c>
      <c r="U113" t="s">
        <v>106</v>
      </c>
    </row>
    <row r="114" spans="1:21" x14ac:dyDescent="0.3">
      <c r="A114" s="64">
        <v>46141</v>
      </c>
      <c r="B114" t="s">
        <v>547</v>
      </c>
      <c r="C114" t="s">
        <v>548</v>
      </c>
      <c r="G114" t="s">
        <v>59</v>
      </c>
      <c r="H114" t="s">
        <v>60</v>
      </c>
      <c r="J114">
        <v>7.9308697928531749E-2</v>
      </c>
      <c r="K114">
        <v>0.1133181859910028</v>
      </c>
      <c r="L114">
        <v>8.6206707860274445</v>
      </c>
      <c r="M114">
        <v>4.5449486777786348</v>
      </c>
      <c r="N114" t="s">
        <v>1</v>
      </c>
      <c r="P114" t="s">
        <v>12</v>
      </c>
      <c r="Q114" t="s">
        <v>14</v>
      </c>
      <c r="R114" t="s">
        <v>146</v>
      </c>
      <c r="S114" t="s">
        <v>5</v>
      </c>
      <c r="T114" t="s">
        <v>347</v>
      </c>
      <c r="U114" t="s">
        <v>218</v>
      </c>
    </row>
    <row r="115" spans="1:21" x14ac:dyDescent="0.3">
      <c r="A115" s="64">
        <v>46141</v>
      </c>
      <c r="B115" t="s">
        <v>549</v>
      </c>
      <c r="C115" t="s">
        <v>550</v>
      </c>
      <c r="E115" t="s">
        <v>66</v>
      </c>
      <c r="F115" t="s">
        <v>193</v>
      </c>
      <c r="G115" t="s">
        <v>110</v>
      </c>
      <c r="H115" t="s">
        <v>549</v>
      </c>
      <c r="J115">
        <v>0</v>
      </c>
      <c r="K115">
        <v>13.488742345577011</v>
      </c>
      <c r="L115">
        <v>0</v>
      </c>
      <c r="M115">
        <v>4.5283263847868209</v>
      </c>
      <c r="N115" t="s">
        <v>1</v>
      </c>
      <c r="P115" t="s">
        <v>7</v>
      </c>
      <c r="Q115" t="s">
        <v>11</v>
      </c>
      <c r="R115" t="s">
        <v>70</v>
      </c>
      <c r="S115" t="s">
        <v>10</v>
      </c>
      <c r="T115" t="s">
        <v>551</v>
      </c>
      <c r="U115" t="s">
        <v>432</v>
      </c>
    </row>
    <row r="116" spans="1:21" x14ac:dyDescent="0.3">
      <c r="A116" s="64">
        <v>46141</v>
      </c>
      <c r="B116" t="s">
        <v>552</v>
      </c>
      <c r="C116" t="s">
        <v>553</v>
      </c>
      <c r="E116" t="s">
        <v>66</v>
      </c>
      <c r="F116" t="s">
        <v>103</v>
      </c>
      <c r="G116" t="s">
        <v>59</v>
      </c>
      <c r="H116" t="s">
        <v>60</v>
      </c>
      <c r="J116">
        <v>8.8800762562497748E-2</v>
      </c>
      <c r="K116">
        <v>0.1163463794281754</v>
      </c>
      <c r="L116">
        <v>8.518411813503711</v>
      </c>
      <c r="M116">
        <v>4.4939938590258333</v>
      </c>
      <c r="N116" t="s">
        <v>1</v>
      </c>
      <c r="P116" t="s">
        <v>12</v>
      </c>
      <c r="Q116" t="s">
        <v>14</v>
      </c>
      <c r="R116" t="s">
        <v>146</v>
      </c>
      <c r="S116" t="s">
        <v>5</v>
      </c>
      <c r="T116" t="s">
        <v>347</v>
      </c>
      <c r="U116" t="s">
        <v>218</v>
      </c>
    </row>
    <row r="117" spans="1:21" x14ac:dyDescent="0.3">
      <c r="A117" s="64">
        <v>46141</v>
      </c>
      <c r="B117" t="s">
        <v>554</v>
      </c>
      <c r="C117" t="s">
        <v>555</v>
      </c>
      <c r="E117" t="s">
        <v>66</v>
      </c>
      <c r="F117" t="s">
        <v>233</v>
      </c>
      <c r="G117" t="s">
        <v>68</v>
      </c>
      <c r="H117" t="s">
        <v>554</v>
      </c>
      <c r="J117">
        <v>15.579475558433151</v>
      </c>
      <c r="K117">
        <v>6.6654787648200848</v>
      </c>
      <c r="L117">
        <v>0</v>
      </c>
      <c r="M117">
        <v>4.4624257704040424</v>
      </c>
      <c r="N117" t="s">
        <v>1</v>
      </c>
      <c r="P117" t="s">
        <v>12</v>
      </c>
      <c r="Q117" t="s">
        <v>14</v>
      </c>
      <c r="R117" t="s">
        <v>146</v>
      </c>
      <c r="S117" t="s">
        <v>5</v>
      </c>
      <c r="T117" t="s">
        <v>556</v>
      </c>
      <c r="U117" t="s">
        <v>557</v>
      </c>
    </row>
    <row r="118" spans="1:21" x14ac:dyDescent="0.3">
      <c r="A118" s="64">
        <v>46141</v>
      </c>
      <c r="B118" t="s">
        <v>558</v>
      </c>
      <c r="C118" t="s">
        <v>559</v>
      </c>
      <c r="E118" t="s">
        <v>19</v>
      </c>
      <c r="F118" t="s">
        <v>109</v>
      </c>
      <c r="G118" t="s">
        <v>59</v>
      </c>
      <c r="H118" t="s">
        <v>60</v>
      </c>
      <c r="J118">
        <v>0.17510361337921501</v>
      </c>
      <c r="K118">
        <v>0.22424569295266111</v>
      </c>
      <c r="L118">
        <v>8.3583542912926525</v>
      </c>
      <c r="M118">
        <v>4.4590727756803732</v>
      </c>
      <c r="N118" t="s">
        <v>1</v>
      </c>
      <c r="P118" t="s">
        <v>12</v>
      </c>
      <c r="Q118" t="s">
        <v>14</v>
      </c>
      <c r="R118" t="s">
        <v>146</v>
      </c>
      <c r="S118" t="s">
        <v>5</v>
      </c>
      <c r="T118" t="s">
        <v>560</v>
      </c>
      <c r="U118" t="s">
        <v>561</v>
      </c>
    </row>
    <row r="119" spans="1:21" x14ac:dyDescent="0.3">
      <c r="A119" s="64">
        <v>46141</v>
      </c>
      <c r="B119" t="s">
        <v>562</v>
      </c>
      <c r="C119" t="s">
        <v>563</v>
      </c>
      <c r="E119" t="s">
        <v>66</v>
      </c>
      <c r="F119" t="s">
        <v>103</v>
      </c>
      <c r="G119" t="s">
        <v>59</v>
      </c>
      <c r="H119" t="s">
        <v>60</v>
      </c>
      <c r="J119">
        <v>0.1729803883953015</v>
      </c>
      <c r="K119">
        <v>0.24926813345981649</v>
      </c>
      <c r="L119">
        <v>8.2500418611981168</v>
      </c>
      <c r="M119">
        <v>4.410686208205278</v>
      </c>
      <c r="N119" t="s">
        <v>1</v>
      </c>
      <c r="P119" t="s">
        <v>9</v>
      </c>
      <c r="Q119" t="s">
        <v>11</v>
      </c>
      <c r="R119" t="s">
        <v>104</v>
      </c>
      <c r="S119" t="s">
        <v>10</v>
      </c>
      <c r="T119" t="s">
        <v>564</v>
      </c>
      <c r="U119" t="s">
        <v>565</v>
      </c>
    </row>
    <row r="120" spans="1:21" x14ac:dyDescent="0.3">
      <c r="A120" s="64">
        <v>46141</v>
      </c>
      <c r="B120" t="s">
        <v>566</v>
      </c>
      <c r="C120" t="s">
        <v>567</v>
      </c>
      <c r="E120" t="s">
        <v>66</v>
      </c>
      <c r="F120" t="s">
        <v>568</v>
      </c>
      <c r="G120" t="s">
        <v>68</v>
      </c>
      <c r="H120" t="s">
        <v>69</v>
      </c>
      <c r="J120">
        <v>0.67968178602688156</v>
      </c>
      <c r="K120">
        <v>1.1550698545787139</v>
      </c>
      <c r="L120">
        <v>7.4891530248409266</v>
      </c>
      <c r="M120">
        <v>4.3903363838451286</v>
      </c>
      <c r="N120" t="s">
        <v>1</v>
      </c>
      <c r="P120" t="s">
        <v>9</v>
      </c>
      <c r="Q120" t="s">
        <v>11</v>
      </c>
      <c r="R120" t="s">
        <v>104</v>
      </c>
      <c r="S120" t="s">
        <v>10</v>
      </c>
      <c r="T120" t="s">
        <v>323</v>
      </c>
      <c r="U120" t="s">
        <v>106</v>
      </c>
    </row>
    <row r="121" spans="1:21" x14ac:dyDescent="0.3">
      <c r="A121" s="64">
        <v>46141</v>
      </c>
      <c r="B121" t="s">
        <v>569</v>
      </c>
      <c r="C121" t="s">
        <v>570</v>
      </c>
      <c r="E121" t="s">
        <v>66</v>
      </c>
      <c r="F121" t="s">
        <v>103</v>
      </c>
      <c r="G121" t="s">
        <v>59</v>
      </c>
      <c r="H121" t="s">
        <v>60</v>
      </c>
      <c r="J121">
        <v>0</v>
      </c>
      <c r="K121">
        <v>0</v>
      </c>
      <c r="L121">
        <v>8.3663913677284647</v>
      </c>
      <c r="M121">
        <v>4.3629773737062436</v>
      </c>
      <c r="N121" t="s">
        <v>1</v>
      </c>
      <c r="P121" t="s">
        <v>9</v>
      </c>
      <c r="Q121" t="s">
        <v>11</v>
      </c>
      <c r="R121" t="s">
        <v>104</v>
      </c>
      <c r="S121" t="s">
        <v>10</v>
      </c>
      <c r="T121" t="s">
        <v>323</v>
      </c>
      <c r="U121" t="s">
        <v>106</v>
      </c>
    </row>
    <row r="122" spans="1:21" x14ac:dyDescent="0.3">
      <c r="A122" s="64">
        <v>46141</v>
      </c>
      <c r="B122" t="s">
        <v>571</v>
      </c>
      <c r="C122" t="s">
        <v>572</v>
      </c>
      <c r="E122" t="s">
        <v>19</v>
      </c>
      <c r="F122" t="s">
        <v>58</v>
      </c>
      <c r="G122" t="s">
        <v>59</v>
      </c>
      <c r="H122" t="s">
        <v>60</v>
      </c>
      <c r="J122">
        <v>0</v>
      </c>
      <c r="K122">
        <v>0</v>
      </c>
      <c r="L122">
        <v>8.2262726351432711</v>
      </c>
      <c r="M122">
        <v>4.2899070578398737</v>
      </c>
      <c r="N122" t="s">
        <v>1</v>
      </c>
      <c r="P122" t="s">
        <v>12</v>
      </c>
      <c r="Q122" t="s">
        <v>14</v>
      </c>
      <c r="R122" t="s">
        <v>146</v>
      </c>
      <c r="S122" t="s">
        <v>5</v>
      </c>
      <c r="T122" t="s">
        <v>347</v>
      </c>
      <c r="U122" t="s">
        <v>218</v>
      </c>
    </row>
    <row r="123" spans="1:21" x14ac:dyDescent="0.3">
      <c r="A123" s="64">
        <v>46141</v>
      </c>
      <c r="B123" t="s">
        <v>573</v>
      </c>
      <c r="C123" t="s">
        <v>574</v>
      </c>
      <c r="E123" t="s">
        <v>19</v>
      </c>
      <c r="F123" t="s">
        <v>221</v>
      </c>
      <c r="G123" t="s">
        <v>122</v>
      </c>
      <c r="H123" t="s">
        <v>573</v>
      </c>
      <c r="J123">
        <v>15.902830233924441</v>
      </c>
      <c r="K123">
        <v>5.5198122477567999</v>
      </c>
      <c r="L123">
        <v>0</v>
      </c>
      <c r="M123">
        <v>4.1239873242531386</v>
      </c>
      <c r="N123" t="s">
        <v>145</v>
      </c>
      <c r="P123" t="s">
        <v>12</v>
      </c>
      <c r="Q123" t="s">
        <v>14</v>
      </c>
      <c r="R123" t="s">
        <v>146</v>
      </c>
      <c r="S123" t="s">
        <v>5</v>
      </c>
      <c r="T123" t="s">
        <v>575</v>
      </c>
      <c r="U123" t="s">
        <v>576</v>
      </c>
    </row>
    <row r="124" spans="1:21" x14ac:dyDescent="0.3">
      <c r="A124" s="64">
        <v>46141</v>
      </c>
      <c r="B124" t="s">
        <v>577</v>
      </c>
      <c r="C124" t="s">
        <v>578</v>
      </c>
      <c r="E124" t="s">
        <v>66</v>
      </c>
      <c r="F124" t="s">
        <v>396</v>
      </c>
      <c r="G124" t="s">
        <v>59</v>
      </c>
      <c r="H124" t="s">
        <v>60</v>
      </c>
      <c r="J124">
        <v>3.1960780787261851</v>
      </c>
      <c r="K124">
        <v>2.8496362767798549</v>
      </c>
      <c r="L124">
        <v>5.0918812258272119</v>
      </c>
      <c r="M124">
        <v>4.0684132202161329</v>
      </c>
      <c r="N124" t="s">
        <v>1</v>
      </c>
      <c r="P124" t="s">
        <v>7</v>
      </c>
      <c r="Q124" t="s">
        <v>11</v>
      </c>
      <c r="R124" t="s">
        <v>70</v>
      </c>
      <c r="S124" t="s">
        <v>10</v>
      </c>
      <c r="T124" t="s">
        <v>579</v>
      </c>
      <c r="U124" t="s">
        <v>100</v>
      </c>
    </row>
    <row r="125" spans="1:21" x14ac:dyDescent="0.3">
      <c r="A125" s="64">
        <v>46141</v>
      </c>
      <c r="B125" t="s">
        <v>580</v>
      </c>
      <c r="C125" t="s">
        <v>581</v>
      </c>
      <c r="E125" t="s">
        <v>66</v>
      </c>
      <c r="F125" t="s">
        <v>396</v>
      </c>
      <c r="G125" t="s">
        <v>143</v>
      </c>
      <c r="H125" t="s">
        <v>290</v>
      </c>
      <c r="J125">
        <v>4.6067737371557378</v>
      </c>
      <c r="K125">
        <v>5.9743600205364631</v>
      </c>
      <c r="L125">
        <v>2.491835698354226</v>
      </c>
      <c r="M125">
        <v>3.962972237203688</v>
      </c>
      <c r="N125" t="s">
        <v>1</v>
      </c>
      <c r="P125" t="s">
        <v>7</v>
      </c>
      <c r="Q125" t="s">
        <v>11</v>
      </c>
      <c r="R125" t="s">
        <v>70</v>
      </c>
      <c r="S125" t="s">
        <v>10</v>
      </c>
      <c r="T125" t="s">
        <v>582</v>
      </c>
      <c r="U125" t="s">
        <v>583</v>
      </c>
    </row>
    <row r="126" spans="1:21" x14ac:dyDescent="0.3">
      <c r="A126" s="64">
        <v>46141</v>
      </c>
      <c r="B126" t="s">
        <v>584</v>
      </c>
      <c r="C126" t="s">
        <v>585</v>
      </c>
      <c r="E126" t="s">
        <v>19</v>
      </c>
      <c r="F126" t="s">
        <v>109</v>
      </c>
      <c r="G126" t="s">
        <v>110</v>
      </c>
      <c r="H126" t="s">
        <v>111</v>
      </c>
      <c r="J126">
        <v>4.6305038987406526</v>
      </c>
      <c r="K126">
        <v>5.8946707195582624</v>
      </c>
      <c r="L126">
        <v>2.5050028235788528</v>
      </c>
      <c r="M126">
        <v>3.9464747897600958</v>
      </c>
      <c r="N126" t="s">
        <v>1</v>
      </c>
      <c r="P126" t="s">
        <v>21</v>
      </c>
      <c r="Q126" t="s">
        <v>11</v>
      </c>
      <c r="R126" t="s">
        <v>61</v>
      </c>
      <c r="S126" t="s">
        <v>10</v>
      </c>
      <c r="T126" t="s">
        <v>586</v>
      </c>
      <c r="U126" t="s">
        <v>587</v>
      </c>
    </row>
    <row r="127" spans="1:21" x14ac:dyDescent="0.3">
      <c r="A127" s="64">
        <v>46141</v>
      </c>
      <c r="B127" t="s">
        <v>588</v>
      </c>
      <c r="C127" t="s">
        <v>589</v>
      </c>
      <c r="E127" t="s">
        <v>19</v>
      </c>
      <c r="F127" t="s">
        <v>109</v>
      </c>
      <c r="G127" t="s">
        <v>59</v>
      </c>
      <c r="H127" t="s">
        <v>60</v>
      </c>
      <c r="J127">
        <v>2.7104840353464499</v>
      </c>
      <c r="K127">
        <v>2.572264383175058</v>
      </c>
      <c r="L127">
        <v>5.0787483009278436</v>
      </c>
      <c r="M127">
        <v>3.8991048217490949</v>
      </c>
      <c r="N127" t="s">
        <v>1</v>
      </c>
      <c r="P127" t="s">
        <v>21</v>
      </c>
      <c r="Q127" t="s">
        <v>11</v>
      </c>
      <c r="R127" t="s">
        <v>61</v>
      </c>
      <c r="S127" t="s">
        <v>10</v>
      </c>
      <c r="T127" t="s">
        <v>590</v>
      </c>
      <c r="U127" t="s">
        <v>591</v>
      </c>
    </row>
    <row r="128" spans="1:21" x14ac:dyDescent="0.3">
      <c r="A128" s="64">
        <v>46141</v>
      </c>
      <c r="B128" t="s">
        <v>592</v>
      </c>
      <c r="C128" t="s">
        <v>593</v>
      </c>
      <c r="E128" t="s">
        <v>19</v>
      </c>
      <c r="F128" t="s">
        <v>594</v>
      </c>
      <c r="G128" t="s">
        <v>59</v>
      </c>
      <c r="H128" t="s">
        <v>60</v>
      </c>
      <c r="J128">
        <v>1.8066146701357659</v>
      </c>
      <c r="K128">
        <v>1.534815936840173</v>
      </c>
      <c r="L128">
        <v>5.9688117657874189</v>
      </c>
      <c r="M128">
        <v>3.8859068637942209</v>
      </c>
      <c r="N128" t="s">
        <v>1</v>
      </c>
      <c r="P128" t="s">
        <v>21</v>
      </c>
      <c r="Q128" t="s">
        <v>11</v>
      </c>
      <c r="R128" t="s">
        <v>61</v>
      </c>
      <c r="S128" t="s">
        <v>10</v>
      </c>
      <c r="T128" t="s">
        <v>595</v>
      </c>
      <c r="U128" t="s">
        <v>596</v>
      </c>
    </row>
    <row r="129" spans="1:21" x14ac:dyDescent="0.3">
      <c r="A129" s="64">
        <v>46141</v>
      </c>
      <c r="B129" t="s">
        <v>597</v>
      </c>
      <c r="C129" t="s">
        <v>598</v>
      </c>
      <c r="E129" t="s">
        <v>66</v>
      </c>
      <c r="F129" t="s">
        <v>233</v>
      </c>
      <c r="G129" t="s">
        <v>110</v>
      </c>
      <c r="H129" t="s">
        <v>599</v>
      </c>
      <c r="J129">
        <v>0</v>
      </c>
      <c r="K129">
        <v>11.555745534849089</v>
      </c>
      <c r="L129">
        <v>0</v>
      </c>
      <c r="M129">
        <v>3.8793970602083698</v>
      </c>
      <c r="N129" t="s">
        <v>1</v>
      </c>
      <c r="P129" t="s">
        <v>7</v>
      </c>
      <c r="Q129" t="s">
        <v>11</v>
      </c>
      <c r="R129" t="s">
        <v>70</v>
      </c>
      <c r="S129" t="s">
        <v>10</v>
      </c>
      <c r="T129" t="s">
        <v>504</v>
      </c>
      <c r="U129" t="s">
        <v>505</v>
      </c>
    </row>
    <row r="130" spans="1:21" x14ac:dyDescent="0.3">
      <c r="A130" s="64">
        <v>46141</v>
      </c>
      <c r="B130" t="s">
        <v>600</v>
      </c>
      <c r="C130" t="s">
        <v>601</v>
      </c>
      <c r="E130" t="s">
        <v>66</v>
      </c>
      <c r="F130" t="s">
        <v>396</v>
      </c>
      <c r="G130" t="s">
        <v>116</v>
      </c>
      <c r="H130" t="s">
        <v>285</v>
      </c>
      <c r="J130">
        <v>8.9269121014831612</v>
      </c>
      <c r="K130">
        <v>7.5991717412813538</v>
      </c>
      <c r="L130">
        <v>0</v>
      </c>
      <c r="M130">
        <v>3.8258918252561829</v>
      </c>
      <c r="N130" t="s">
        <v>1</v>
      </c>
      <c r="P130" t="s">
        <v>7</v>
      </c>
      <c r="Q130" t="s">
        <v>11</v>
      </c>
      <c r="R130" t="s">
        <v>70</v>
      </c>
      <c r="S130" t="s">
        <v>10</v>
      </c>
      <c r="T130" t="s">
        <v>602</v>
      </c>
      <c r="U130" t="s">
        <v>603</v>
      </c>
    </row>
    <row r="131" spans="1:21" x14ac:dyDescent="0.3">
      <c r="A131" s="64">
        <v>46141</v>
      </c>
      <c r="B131" t="s">
        <v>604</v>
      </c>
      <c r="C131" t="s">
        <v>605</v>
      </c>
      <c r="E131" t="s">
        <v>66</v>
      </c>
      <c r="F131" t="s">
        <v>137</v>
      </c>
      <c r="G131" t="s">
        <v>355</v>
      </c>
      <c r="H131" t="s">
        <v>356</v>
      </c>
      <c r="J131">
        <v>2.537378751363859</v>
      </c>
      <c r="K131">
        <v>4.4814606560108254</v>
      </c>
      <c r="L131">
        <v>3.7191143702653071</v>
      </c>
      <c r="M131">
        <v>3.8062910741853648</v>
      </c>
      <c r="N131" t="s">
        <v>1</v>
      </c>
      <c r="P131" t="s">
        <v>7</v>
      </c>
      <c r="Q131" t="s">
        <v>11</v>
      </c>
      <c r="R131" t="s">
        <v>70</v>
      </c>
      <c r="S131" t="s">
        <v>10</v>
      </c>
      <c r="T131" t="s">
        <v>606</v>
      </c>
      <c r="U131" t="s">
        <v>607</v>
      </c>
    </row>
    <row r="132" spans="1:21" x14ac:dyDescent="0.3">
      <c r="A132" s="64">
        <v>46141</v>
      </c>
      <c r="B132" t="s">
        <v>608</v>
      </c>
      <c r="C132" t="s">
        <v>609</v>
      </c>
      <c r="E132" t="s">
        <v>19</v>
      </c>
      <c r="F132" t="s">
        <v>109</v>
      </c>
      <c r="G132" t="s">
        <v>59</v>
      </c>
      <c r="H132" t="s">
        <v>610</v>
      </c>
      <c r="J132">
        <v>5.377879093078187</v>
      </c>
      <c r="K132">
        <v>7.7866541033827366</v>
      </c>
      <c r="L132">
        <v>0.7063991668671582</v>
      </c>
      <c r="M132">
        <v>3.7504093143843171</v>
      </c>
      <c r="N132" t="s">
        <v>1</v>
      </c>
      <c r="P132" t="s">
        <v>12</v>
      </c>
      <c r="Q132" t="s">
        <v>14</v>
      </c>
      <c r="R132" t="s">
        <v>146</v>
      </c>
      <c r="S132" t="s">
        <v>5</v>
      </c>
      <c r="T132" t="s">
        <v>611</v>
      </c>
      <c r="U132" t="s">
        <v>612</v>
      </c>
    </row>
    <row r="133" spans="1:21" x14ac:dyDescent="0.3">
      <c r="A133" s="64">
        <v>46141</v>
      </c>
      <c r="B133" t="s">
        <v>613</v>
      </c>
      <c r="C133" t="s">
        <v>614</v>
      </c>
      <c r="E133" t="s">
        <v>19</v>
      </c>
      <c r="F133" t="s">
        <v>109</v>
      </c>
      <c r="G133" t="s">
        <v>355</v>
      </c>
      <c r="H133" t="s">
        <v>615</v>
      </c>
      <c r="J133">
        <v>2.0455399286196738</v>
      </c>
      <c r="K133">
        <v>3.9396796617603549</v>
      </c>
      <c r="L133">
        <v>3.7791017407691951</v>
      </c>
      <c r="M133">
        <v>3.585457134459368</v>
      </c>
      <c r="N133" t="s">
        <v>1</v>
      </c>
      <c r="P133" t="s">
        <v>21</v>
      </c>
      <c r="Q133" t="s">
        <v>11</v>
      </c>
      <c r="R133" t="s">
        <v>61</v>
      </c>
      <c r="S133" t="s">
        <v>10</v>
      </c>
      <c r="T133" t="s">
        <v>616</v>
      </c>
      <c r="U133" t="s">
        <v>617</v>
      </c>
    </row>
    <row r="134" spans="1:21" x14ac:dyDescent="0.3">
      <c r="A134" s="64">
        <v>46141</v>
      </c>
      <c r="B134" t="s">
        <v>618</v>
      </c>
      <c r="C134" t="s">
        <v>619</v>
      </c>
      <c r="E134" t="s">
        <v>136</v>
      </c>
      <c r="F134" t="s">
        <v>620</v>
      </c>
      <c r="G134" t="s">
        <v>181</v>
      </c>
      <c r="H134" t="s">
        <v>621</v>
      </c>
      <c r="J134">
        <v>0</v>
      </c>
      <c r="K134">
        <v>10.32778653297564</v>
      </c>
      <c r="L134">
        <v>0</v>
      </c>
      <c r="M134">
        <v>3.4671570599800821</v>
      </c>
      <c r="N134" t="s">
        <v>145</v>
      </c>
      <c r="P134" t="s">
        <v>7</v>
      </c>
      <c r="Q134" t="s">
        <v>11</v>
      </c>
      <c r="R134" t="s">
        <v>70</v>
      </c>
      <c r="S134" t="s">
        <v>10</v>
      </c>
      <c r="T134" t="s">
        <v>622</v>
      </c>
      <c r="U134" t="s">
        <v>623</v>
      </c>
    </row>
    <row r="135" spans="1:21" x14ac:dyDescent="0.3">
      <c r="A135" s="64">
        <v>46141</v>
      </c>
      <c r="B135" t="s">
        <v>624</v>
      </c>
      <c r="C135" t="s">
        <v>625</v>
      </c>
      <c r="E135" t="s">
        <v>19</v>
      </c>
      <c r="F135" t="s">
        <v>261</v>
      </c>
      <c r="G135" t="s">
        <v>200</v>
      </c>
      <c r="H135" t="s">
        <v>626</v>
      </c>
      <c r="J135">
        <v>11.857711952807451</v>
      </c>
      <c r="K135">
        <v>2.5672380855644121</v>
      </c>
      <c r="L135">
        <v>1.658715775050507</v>
      </c>
      <c r="M135">
        <v>3.4201329048159672</v>
      </c>
      <c r="N135" t="s">
        <v>1</v>
      </c>
      <c r="P135" t="s">
        <v>24</v>
      </c>
      <c r="Q135" t="s">
        <v>22</v>
      </c>
      <c r="R135" t="s">
        <v>167</v>
      </c>
      <c r="S135" t="s">
        <v>5</v>
      </c>
      <c r="T135" t="s">
        <v>627</v>
      </c>
      <c r="U135" t="s">
        <v>628</v>
      </c>
    </row>
    <row r="136" spans="1:21" x14ac:dyDescent="0.3">
      <c r="A136" s="64">
        <v>46141</v>
      </c>
      <c r="B136" t="s">
        <v>629</v>
      </c>
      <c r="C136" t="s">
        <v>630</v>
      </c>
      <c r="E136" t="s">
        <v>19</v>
      </c>
      <c r="F136" t="s">
        <v>109</v>
      </c>
      <c r="G136" t="s">
        <v>200</v>
      </c>
      <c r="H136" t="s">
        <v>631</v>
      </c>
      <c r="J136">
        <v>1.268939166856508</v>
      </c>
      <c r="K136">
        <v>3.3474819030910101</v>
      </c>
      <c r="L136">
        <v>3.9193572746554239</v>
      </c>
      <c r="M136">
        <v>3.348892655657429</v>
      </c>
      <c r="N136" t="s">
        <v>1</v>
      </c>
      <c r="P136" t="s">
        <v>19</v>
      </c>
      <c r="Q136" t="s">
        <v>11</v>
      </c>
      <c r="R136" t="s">
        <v>80</v>
      </c>
      <c r="S136" t="s">
        <v>10</v>
      </c>
      <c r="T136" t="s">
        <v>632</v>
      </c>
      <c r="U136" t="s">
        <v>633</v>
      </c>
    </row>
    <row r="137" spans="1:21" x14ac:dyDescent="0.3">
      <c r="A137" s="64">
        <v>46141</v>
      </c>
      <c r="B137" t="s">
        <v>634</v>
      </c>
      <c r="C137" t="s">
        <v>635</v>
      </c>
      <c r="G137" t="s">
        <v>122</v>
      </c>
      <c r="H137" t="s">
        <v>123</v>
      </c>
      <c r="J137">
        <v>4.167141269898365</v>
      </c>
      <c r="K137">
        <v>7.127676710493656</v>
      </c>
      <c r="L137">
        <v>0.52651400735881559</v>
      </c>
      <c r="M137">
        <v>3.262481701209647</v>
      </c>
      <c r="N137" t="s">
        <v>1</v>
      </c>
      <c r="P137" t="s">
        <v>21</v>
      </c>
      <c r="Q137" t="s">
        <v>11</v>
      </c>
      <c r="R137" t="s">
        <v>61</v>
      </c>
      <c r="S137" t="s">
        <v>10</v>
      </c>
      <c r="T137" t="s">
        <v>177</v>
      </c>
      <c r="U137" t="s">
        <v>178</v>
      </c>
    </row>
    <row r="138" spans="1:21" x14ac:dyDescent="0.3">
      <c r="A138" s="64">
        <v>46141</v>
      </c>
      <c r="B138" t="s">
        <v>636</v>
      </c>
      <c r="C138" t="s">
        <v>637</v>
      </c>
      <c r="E138" t="s">
        <v>66</v>
      </c>
      <c r="G138" t="s">
        <v>355</v>
      </c>
      <c r="H138" t="s">
        <v>638</v>
      </c>
      <c r="J138">
        <v>0.41590230567245778</v>
      </c>
      <c r="K138">
        <v>0.22127062571614101</v>
      </c>
      <c r="L138">
        <v>5.899156285649358</v>
      </c>
      <c r="M138">
        <v>3.210016419407721</v>
      </c>
      <c r="N138" t="s">
        <v>156</v>
      </c>
      <c r="P138" t="s">
        <v>157</v>
      </c>
      <c r="Q138" t="s">
        <v>157</v>
      </c>
      <c r="R138" t="s">
        <v>156</v>
      </c>
      <c r="S138" t="s">
        <v>157</v>
      </c>
      <c r="T138" t="s">
        <v>639</v>
      </c>
      <c r="U138" t="s">
        <v>640</v>
      </c>
    </row>
    <row r="139" spans="1:21" x14ac:dyDescent="0.3">
      <c r="A139" s="64">
        <v>46141</v>
      </c>
      <c r="B139" t="s">
        <v>641</v>
      </c>
      <c r="C139" t="s">
        <v>642</v>
      </c>
      <c r="E139" t="s">
        <v>19</v>
      </c>
      <c r="F139" t="s">
        <v>109</v>
      </c>
      <c r="G139" t="s">
        <v>59</v>
      </c>
      <c r="H139" t="s">
        <v>60</v>
      </c>
      <c r="J139">
        <v>1.5703122189849279</v>
      </c>
      <c r="K139">
        <v>1.3461116721237909</v>
      </c>
      <c r="L139">
        <v>4.6170439099344041</v>
      </c>
      <c r="M139">
        <v>3.0838812269392459</v>
      </c>
      <c r="N139" t="s">
        <v>1</v>
      </c>
      <c r="P139" t="s">
        <v>19</v>
      </c>
      <c r="Q139" t="s">
        <v>11</v>
      </c>
      <c r="R139" t="s">
        <v>80</v>
      </c>
      <c r="S139" t="s">
        <v>10</v>
      </c>
      <c r="T139" t="s">
        <v>643</v>
      </c>
      <c r="U139" t="s">
        <v>644</v>
      </c>
    </row>
    <row r="140" spans="1:21" x14ac:dyDescent="0.3">
      <c r="A140" s="64">
        <v>46141</v>
      </c>
      <c r="B140" t="s">
        <v>645</v>
      </c>
      <c r="C140" t="s">
        <v>646</v>
      </c>
      <c r="E140" t="s">
        <v>136</v>
      </c>
      <c r="F140" t="s">
        <v>193</v>
      </c>
      <c r="G140" t="s">
        <v>98</v>
      </c>
      <c r="H140" t="s">
        <v>645</v>
      </c>
      <c r="J140">
        <v>0</v>
      </c>
      <c r="K140">
        <v>0</v>
      </c>
      <c r="L140">
        <v>5.9098162047160336</v>
      </c>
      <c r="M140">
        <v>3.0819015332460129</v>
      </c>
      <c r="N140" t="s">
        <v>1</v>
      </c>
      <c r="P140" t="s">
        <v>12</v>
      </c>
      <c r="Q140" t="s">
        <v>14</v>
      </c>
      <c r="R140" t="s">
        <v>146</v>
      </c>
      <c r="S140" t="s">
        <v>5</v>
      </c>
      <c r="T140" t="s">
        <v>647</v>
      </c>
      <c r="U140" t="s">
        <v>648</v>
      </c>
    </row>
    <row r="141" spans="1:21" x14ac:dyDescent="0.3">
      <c r="A141" s="64">
        <v>46141</v>
      </c>
      <c r="B141" t="s">
        <v>649</v>
      </c>
      <c r="C141" t="s">
        <v>650</v>
      </c>
      <c r="E141" t="s">
        <v>136</v>
      </c>
      <c r="F141" t="s">
        <v>193</v>
      </c>
      <c r="G141" t="s">
        <v>355</v>
      </c>
      <c r="H141" t="s">
        <v>651</v>
      </c>
      <c r="J141">
        <v>0</v>
      </c>
      <c r="K141">
        <v>9.1802074726888829</v>
      </c>
      <c r="L141">
        <v>0</v>
      </c>
      <c r="M141">
        <v>3.0819015332460129</v>
      </c>
      <c r="N141" t="s">
        <v>1</v>
      </c>
      <c r="P141" t="s">
        <v>15</v>
      </c>
      <c r="Q141" t="s">
        <v>15</v>
      </c>
      <c r="R141" t="s">
        <v>15</v>
      </c>
      <c r="S141" t="s">
        <v>15</v>
      </c>
      <c r="T141" t="s">
        <v>652</v>
      </c>
      <c r="U141" t="s">
        <v>653</v>
      </c>
    </row>
    <row r="142" spans="1:21" x14ac:dyDescent="0.3">
      <c r="A142" s="64">
        <v>46141</v>
      </c>
      <c r="B142" t="s">
        <v>654</v>
      </c>
      <c r="C142" t="s">
        <v>655</v>
      </c>
      <c r="E142" t="s">
        <v>19</v>
      </c>
      <c r="F142" t="s">
        <v>221</v>
      </c>
      <c r="G142" t="s">
        <v>143</v>
      </c>
      <c r="H142" t="s">
        <v>656</v>
      </c>
      <c r="J142">
        <v>21.578210615925091</v>
      </c>
      <c r="K142">
        <v>0</v>
      </c>
      <c r="L142">
        <v>0</v>
      </c>
      <c r="M142">
        <v>3.0813664808964911</v>
      </c>
      <c r="N142" t="s">
        <v>145</v>
      </c>
      <c r="P142" t="s">
        <v>4</v>
      </c>
      <c r="Q142" t="s">
        <v>4</v>
      </c>
      <c r="R142" t="s">
        <v>4</v>
      </c>
      <c r="S142" t="s">
        <v>4</v>
      </c>
      <c r="T142" t="s">
        <v>657</v>
      </c>
      <c r="U142" t="s">
        <v>658</v>
      </c>
    </row>
    <row r="143" spans="1:21" x14ac:dyDescent="0.3">
      <c r="A143" s="64">
        <v>46141</v>
      </c>
      <c r="B143" t="s">
        <v>659</v>
      </c>
      <c r="C143" t="s">
        <v>660</v>
      </c>
      <c r="E143" t="s">
        <v>19</v>
      </c>
      <c r="F143" t="s">
        <v>261</v>
      </c>
      <c r="G143" t="s">
        <v>143</v>
      </c>
      <c r="H143" t="s">
        <v>659</v>
      </c>
      <c r="J143">
        <v>10.22932328573313</v>
      </c>
      <c r="K143">
        <v>4.7125956786596754</v>
      </c>
      <c r="L143">
        <v>0</v>
      </c>
      <c r="M143">
        <v>3.04281914391199</v>
      </c>
      <c r="N143" t="s">
        <v>145</v>
      </c>
      <c r="P143" t="s">
        <v>19</v>
      </c>
      <c r="Q143" t="s">
        <v>11</v>
      </c>
      <c r="R143" t="s">
        <v>80</v>
      </c>
      <c r="S143" t="s">
        <v>10</v>
      </c>
      <c r="T143" t="s">
        <v>661</v>
      </c>
      <c r="U143" t="s">
        <v>662</v>
      </c>
    </row>
    <row r="144" spans="1:21" x14ac:dyDescent="0.3">
      <c r="A144" s="64">
        <v>46141</v>
      </c>
      <c r="B144" t="s">
        <v>663</v>
      </c>
      <c r="C144" t="s">
        <v>664</v>
      </c>
      <c r="E144" t="s">
        <v>66</v>
      </c>
      <c r="F144" t="s">
        <v>233</v>
      </c>
      <c r="G144" t="s">
        <v>59</v>
      </c>
      <c r="H144" t="s">
        <v>60</v>
      </c>
      <c r="J144">
        <v>2.244123912409226</v>
      </c>
      <c r="K144">
        <v>1.977888450278976</v>
      </c>
      <c r="L144">
        <v>3.9191520727038731</v>
      </c>
      <c r="M144">
        <v>3.0282536176672861</v>
      </c>
      <c r="N144" t="s">
        <v>1</v>
      </c>
      <c r="P144" t="s">
        <v>7</v>
      </c>
      <c r="Q144" t="s">
        <v>11</v>
      </c>
      <c r="R144" t="s">
        <v>70</v>
      </c>
      <c r="S144" t="s">
        <v>10</v>
      </c>
      <c r="T144" t="s">
        <v>665</v>
      </c>
      <c r="U144" t="s">
        <v>100</v>
      </c>
    </row>
    <row r="145" spans="1:21" x14ac:dyDescent="0.3">
      <c r="A145" s="64">
        <v>46141</v>
      </c>
      <c r="B145" t="s">
        <v>666</v>
      </c>
      <c r="C145" t="s">
        <v>667</v>
      </c>
      <c r="E145" t="s">
        <v>19</v>
      </c>
      <c r="F145" t="s">
        <v>109</v>
      </c>
      <c r="G145" t="s">
        <v>68</v>
      </c>
      <c r="H145" t="s">
        <v>69</v>
      </c>
      <c r="J145">
        <v>1.3501212985943749</v>
      </c>
      <c r="K145">
        <v>1.236087310573218</v>
      </c>
      <c r="L145">
        <v>4.5962501121770662</v>
      </c>
      <c r="M145">
        <v>3.00465780905337</v>
      </c>
      <c r="N145" t="s">
        <v>1</v>
      </c>
      <c r="P145" t="s">
        <v>21</v>
      </c>
      <c r="Q145" t="s">
        <v>11</v>
      </c>
      <c r="R145" t="s">
        <v>61</v>
      </c>
      <c r="S145" t="s">
        <v>10</v>
      </c>
      <c r="T145" t="s">
        <v>668</v>
      </c>
      <c r="U145" t="s">
        <v>669</v>
      </c>
    </row>
    <row r="146" spans="1:21" x14ac:dyDescent="0.3">
      <c r="A146" s="64">
        <v>46141</v>
      </c>
      <c r="B146" t="s">
        <v>670</v>
      </c>
      <c r="C146" t="s">
        <v>671</v>
      </c>
      <c r="E146" t="s">
        <v>19</v>
      </c>
      <c r="F146" t="s">
        <v>109</v>
      </c>
      <c r="G146" t="s">
        <v>181</v>
      </c>
      <c r="H146" t="s">
        <v>672</v>
      </c>
      <c r="J146">
        <v>0</v>
      </c>
      <c r="K146">
        <v>5.9599628201597357</v>
      </c>
      <c r="L146">
        <v>1.279092164678123</v>
      </c>
      <c r="M146">
        <v>2.6678601901076671</v>
      </c>
      <c r="N146" t="s">
        <v>1</v>
      </c>
      <c r="P146" t="s">
        <v>12</v>
      </c>
      <c r="Q146" t="s">
        <v>14</v>
      </c>
      <c r="R146" t="s">
        <v>146</v>
      </c>
      <c r="S146" t="s">
        <v>5</v>
      </c>
      <c r="T146" t="s">
        <v>673</v>
      </c>
      <c r="U146" t="s">
        <v>674</v>
      </c>
    </row>
    <row r="147" spans="1:21" x14ac:dyDescent="0.3">
      <c r="A147" s="64">
        <v>46141</v>
      </c>
      <c r="B147" t="s">
        <v>675</v>
      </c>
      <c r="C147" t="s">
        <v>676</v>
      </c>
      <c r="E147" t="s">
        <v>19</v>
      </c>
      <c r="F147" t="s">
        <v>109</v>
      </c>
      <c r="G147" t="s">
        <v>122</v>
      </c>
      <c r="H147" t="s">
        <v>677</v>
      </c>
      <c r="J147">
        <v>0.1235217358288471</v>
      </c>
      <c r="K147">
        <v>7.599171741281352</v>
      </c>
      <c r="L147">
        <v>0</v>
      </c>
      <c r="M147">
        <v>2.5687684949762151</v>
      </c>
      <c r="N147" t="s">
        <v>145</v>
      </c>
      <c r="P147" t="s">
        <v>12</v>
      </c>
      <c r="Q147" t="s">
        <v>14</v>
      </c>
      <c r="R147" t="s">
        <v>146</v>
      </c>
      <c r="S147" t="s">
        <v>5</v>
      </c>
      <c r="T147" t="s">
        <v>678</v>
      </c>
      <c r="U147" t="s">
        <v>679</v>
      </c>
    </row>
    <row r="148" spans="1:21" x14ac:dyDescent="0.3">
      <c r="A148" s="64">
        <v>46141</v>
      </c>
      <c r="B148" t="s">
        <v>680</v>
      </c>
      <c r="C148" t="s">
        <v>681</v>
      </c>
      <c r="E148" t="s">
        <v>19</v>
      </c>
      <c r="F148" t="s">
        <v>221</v>
      </c>
      <c r="G148" t="s">
        <v>200</v>
      </c>
      <c r="H148" t="s">
        <v>682</v>
      </c>
      <c r="J148">
        <v>16.464610585550481</v>
      </c>
      <c r="K148">
        <v>0</v>
      </c>
      <c r="L148">
        <v>0</v>
      </c>
      <c r="M148">
        <v>2.3511448693473498</v>
      </c>
      <c r="N148" t="s">
        <v>1</v>
      </c>
      <c r="P148" t="s">
        <v>15</v>
      </c>
      <c r="Q148" t="s">
        <v>15</v>
      </c>
      <c r="R148" t="s">
        <v>524</v>
      </c>
      <c r="S148" t="s">
        <v>15</v>
      </c>
      <c r="T148" t="s">
        <v>683</v>
      </c>
      <c r="U148" t="s">
        <v>684</v>
      </c>
    </row>
    <row r="149" spans="1:21" x14ac:dyDescent="0.3">
      <c r="A149" s="64">
        <v>46141</v>
      </c>
      <c r="B149" t="s">
        <v>685</v>
      </c>
      <c r="C149" t="s">
        <v>686</v>
      </c>
      <c r="E149" t="s">
        <v>19</v>
      </c>
      <c r="F149" t="s">
        <v>109</v>
      </c>
      <c r="G149" t="s">
        <v>116</v>
      </c>
      <c r="H149" t="s">
        <v>687</v>
      </c>
      <c r="J149">
        <v>3.6475756267760149</v>
      </c>
      <c r="K149">
        <v>3.1904939801639509</v>
      </c>
      <c r="L149">
        <v>1.194617361288953</v>
      </c>
      <c r="M149">
        <v>2.2149383762373969</v>
      </c>
      <c r="N149" t="s">
        <v>145</v>
      </c>
      <c r="P149" t="s">
        <v>19</v>
      </c>
      <c r="Q149" t="s">
        <v>11</v>
      </c>
      <c r="R149" t="s">
        <v>80</v>
      </c>
      <c r="S149" t="s">
        <v>10</v>
      </c>
      <c r="T149" t="s">
        <v>688</v>
      </c>
      <c r="U149" t="s">
        <v>689</v>
      </c>
    </row>
    <row r="150" spans="1:21" x14ac:dyDescent="0.3">
      <c r="A150" s="64">
        <v>46141</v>
      </c>
      <c r="B150" t="s">
        <v>690</v>
      </c>
      <c r="C150" t="s">
        <v>691</v>
      </c>
      <c r="E150" t="s">
        <v>66</v>
      </c>
      <c r="F150" t="s">
        <v>568</v>
      </c>
      <c r="G150" t="s">
        <v>68</v>
      </c>
      <c r="H150" t="s">
        <v>69</v>
      </c>
      <c r="J150">
        <v>1.3054086783449039</v>
      </c>
      <c r="K150">
        <v>1.2189275477625789</v>
      </c>
      <c r="L150">
        <v>2.308521954967202</v>
      </c>
      <c r="M150">
        <v>1.799488061911978</v>
      </c>
      <c r="N150" t="s">
        <v>1</v>
      </c>
      <c r="P150" t="s">
        <v>9</v>
      </c>
      <c r="Q150" t="s">
        <v>11</v>
      </c>
      <c r="R150" t="s">
        <v>104</v>
      </c>
      <c r="S150" t="s">
        <v>10</v>
      </c>
      <c r="T150" t="s">
        <v>692</v>
      </c>
      <c r="U150" t="s">
        <v>693</v>
      </c>
    </row>
    <row r="151" spans="1:21" x14ac:dyDescent="0.3">
      <c r="A151" s="64">
        <v>46141</v>
      </c>
      <c r="B151" t="s">
        <v>694</v>
      </c>
      <c r="C151" t="s">
        <v>695</v>
      </c>
      <c r="E151" t="s">
        <v>19</v>
      </c>
      <c r="F151" t="s">
        <v>109</v>
      </c>
      <c r="G151" t="s">
        <v>68</v>
      </c>
      <c r="H151" t="s">
        <v>696</v>
      </c>
      <c r="J151">
        <v>0</v>
      </c>
      <c r="K151">
        <v>4.6711211923389477</v>
      </c>
      <c r="L151">
        <v>0</v>
      </c>
      <c r="M151">
        <v>1.568149261057036</v>
      </c>
      <c r="N151" t="s">
        <v>1</v>
      </c>
      <c r="P151" t="s">
        <v>15</v>
      </c>
      <c r="Q151" t="s">
        <v>15</v>
      </c>
      <c r="R151" t="s">
        <v>524</v>
      </c>
      <c r="S151" t="s">
        <v>15</v>
      </c>
      <c r="T151" t="s">
        <v>697</v>
      </c>
      <c r="U151" t="s">
        <v>698</v>
      </c>
    </row>
    <row r="152" spans="1:21" x14ac:dyDescent="0.3">
      <c r="A152" s="64">
        <v>46141</v>
      </c>
      <c r="B152" t="s">
        <v>699</v>
      </c>
      <c r="C152" t="s">
        <v>700</v>
      </c>
      <c r="E152" t="s">
        <v>66</v>
      </c>
      <c r="F152" t="s">
        <v>103</v>
      </c>
      <c r="G152" t="s">
        <v>59</v>
      </c>
      <c r="H152" t="s">
        <v>60</v>
      </c>
      <c r="J152">
        <v>0.13975816217642051</v>
      </c>
      <c r="K152">
        <v>0.1128400501851335</v>
      </c>
      <c r="L152">
        <v>2.8224844429560472</v>
      </c>
      <c r="M152">
        <v>1.529732502361365</v>
      </c>
      <c r="N152" t="s">
        <v>1</v>
      </c>
      <c r="P152" t="s">
        <v>12</v>
      </c>
      <c r="Q152" t="s">
        <v>14</v>
      </c>
      <c r="R152" t="s">
        <v>146</v>
      </c>
      <c r="S152" t="s">
        <v>5</v>
      </c>
      <c r="T152" t="s">
        <v>347</v>
      </c>
      <c r="U152" t="s">
        <v>218</v>
      </c>
    </row>
    <row r="153" spans="1:21" x14ac:dyDescent="0.3">
      <c r="A153" s="64">
        <v>46141</v>
      </c>
      <c r="B153" t="s">
        <v>701</v>
      </c>
      <c r="C153" t="s">
        <v>702</v>
      </c>
      <c r="E153" t="s">
        <v>19</v>
      </c>
      <c r="F153" t="s">
        <v>221</v>
      </c>
      <c r="G153" t="s">
        <v>59</v>
      </c>
      <c r="H153" t="s">
        <v>703</v>
      </c>
      <c r="J153">
        <v>5.3241739905439047</v>
      </c>
      <c r="K153">
        <v>2.267957505839632</v>
      </c>
      <c r="L153">
        <v>0</v>
      </c>
      <c r="M153">
        <v>1.521671046961901</v>
      </c>
      <c r="N153" t="s">
        <v>1</v>
      </c>
      <c r="P153" t="s">
        <v>24</v>
      </c>
      <c r="Q153" t="s">
        <v>22</v>
      </c>
      <c r="R153" t="s">
        <v>391</v>
      </c>
      <c r="S153" t="s">
        <v>5</v>
      </c>
      <c r="T153" t="s">
        <v>704</v>
      </c>
      <c r="U153" t="s">
        <v>705</v>
      </c>
    </row>
    <row r="154" spans="1:21" x14ac:dyDescent="0.3">
      <c r="A154" s="64">
        <v>46141</v>
      </c>
      <c r="B154" t="s">
        <v>706</v>
      </c>
      <c r="C154" t="s">
        <v>707</v>
      </c>
      <c r="E154" t="s">
        <v>19</v>
      </c>
      <c r="F154" t="s">
        <v>109</v>
      </c>
      <c r="G154" t="s">
        <v>116</v>
      </c>
      <c r="H154" t="s">
        <v>708</v>
      </c>
      <c r="J154">
        <v>4.0507385825449926</v>
      </c>
      <c r="K154">
        <v>2.688717015004539</v>
      </c>
      <c r="L154">
        <v>0</v>
      </c>
      <c r="M154">
        <v>1.4810784087115081</v>
      </c>
      <c r="N154" t="s">
        <v>145</v>
      </c>
      <c r="P154" t="s">
        <v>19</v>
      </c>
      <c r="Q154" t="s">
        <v>11</v>
      </c>
      <c r="R154" t="s">
        <v>80</v>
      </c>
      <c r="S154" t="s">
        <v>10</v>
      </c>
      <c r="T154" t="s">
        <v>709</v>
      </c>
      <c r="U154" t="s">
        <v>710</v>
      </c>
    </row>
    <row r="155" spans="1:21" x14ac:dyDescent="0.3">
      <c r="A155" s="64">
        <v>46141</v>
      </c>
      <c r="B155" t="s">
        <v>711</v>
      </c>
      <c r="C155" t="s">
        <v>712</v>
      </c>
      <c r="E155" t="s">
        <v>19</v>
      </c>
      <c r="F155" t="s">
        <v>109</v>
      </c>
      <c r="G155" t="s">
        <v>143</v>
      </c>
      <c r="H155" t="s">
        <v>290</v>
      </c>
      <c r="J155">
        <v>5.0582712852055678E-2</v>
      </c>
      <c r="K155">
        <v>1.380112440541156</v>
      </c>
      <c r="L155">
        <v>1.8380964810327729</v>
      </c>
      <c r="M155">
        <v>1.429089155416299</v>
      </c>
      <c r="N155" t="s">
        <v>1</v>
      </c>
      <c r="P155" t="s">
        <v>19</v>
      </c>
      <c r="Q155" t="s">
        <v>11</v>
      </c>
      <c r="R155" t="s">
        <v>80</v>
      </c>
      <c r="S155" t="s">
        <v>10</v>
      </c>
      <c r="T155" t="s">
        <v>713</v>
      </c>
      <c r="U155" t="s">
        <v>714</v>
      </c>
    </row>
    <row r="156" spans="1:21" x14ac:dyDescent="0.3">
      <c r="A156" s="64">
        <v>46141</v>
      </c>
      <c r="B156" t="s">
        <v>715</v>
      </c>
      <c r="C156" t="s">
        <v>716</v>
      </c>
      <c r="E156" t="s">
        <v>19</v>
      </c>
      <c r="F156" t="s">
        <v>109</v>
      </c>
      <c r="G156" t="s">
        <v>355</v>
      </c>
      <c r="H156" t="s">
        <v>717</v>
      </c>
      <c r="J156">
        <v>4.4813785675175559</v>
      </c>
      <c r="K156">
        <v>2.0845127349878112</v>
      </c>
      <c r="L156">
        <v>0</v>
      </c>
      <c r="M156">
        <v>1.3397354130461461</v>
      </c>
      <c r="N156" t="s">
        <v>1</v>
      </c>
      <c r="P156" t="s">
        <v>12</v>
      </c>
      <c r="Q156" t="s">
        <v>14</v>
      </c>
      <c r="R156" t="s">
        <v>146</v>
      </c>
      <c r="S156" t="s">
        <v>5</v>
      </c>
      <c r="T156" t="s">
        <v>718</v>
      </c>
      <c r="U156" t="s">
        <v>719</v>
      </c>
    </row>
    <row r="157" spans="1:21" x14ac:dyDescent="0.3">
      <c r="A157" s="64">
        <v>46141</v>
      </c>
      <c r="B157" t="s">
        <v>720</v>
      </c>
      <c r="C157" t="s">
        <v>721</v>
      </c>
      <c r="E157" t="s">
        <v>19</v>
      </c>
      <c r="F157" t="s">
        <v>261</v>
      </c>
      <c r="G157" t="s">
        <v>110</v>
      </c>
      <c r="H157" t="s">
        <v>722</v>
      </c>
      <c r="J157">
        <v>4.0458676546407206</v>
      </c>
      <c r="K157">
        <v>2.1521302560036162</v>
      </c>
      <c r="L157">
        <v>2.8757584398950271E-2</v>
      </c>
      <c r="M157">
        <v>1.3152412278924359</v>
      </c>
      <c r="N157" t="s">
        <v>1</v>
      </c>
      <c r="P157" t="s">
        <v>19</v>
      </c>
      <c r="Q157" t="s">
        <v>11</v>
      </c>
      <c r="R157" t="s">
        <v>80</v>
      </c>
      <c r="S157" t="s">
        <v>10</v>
      </c>
      <c r="T157" t="s">
        <v>723</v>
      </c>
      <c r="U157" t="s">
        <v>724</v>
      </c>
    </row>
    <row r="158" spans="1:21" x14ac:dyDescent="0.3">
      <c r="A158" s="64">
        <v>46141</v>
      </c>
      <c r="B158" t="s">
        <v>725</v>
      </c>
      <c r="C158" t="s">
        <v>726</v>
      </c>
      <c r="E158" t="s">
        <v>19</v>
      </c>
      <c r="F158" t="s">
        <v>109</v>
      </c>
      <c r="G158" t="s">
        <v>116</v>
      </c>
      <c r="H158" t="s">
        <v>727</v>
      </c>
      <c r="J158">
        <v>0</v>
      </c>
      <c r="K158">
        <v>3.7189402980507369</v>
      </c>
      <c r="L158">
        <v>0</v>
      </c>
      <c r="M158">
        <v>1.2484911523743489</v>
      </c>
      <c r="N158" t="s">
        <v>145</v>
      </c>
      <c r="P158" t="s">
        <v>19</v>
      </c>
      <c r="Q158" t="s">
        <v>11</v>
      </c>
      <c r="R158" t="s">
        <v>80</v>
      </c>
      <c r="S158" t="s">
        <v>10</v>
      </c>
      <c r="T158" t="s">
        <v>728</v>
      </c>
      <c r="U158" t="s">
        <v>729</v>
      </c>
    </row>
    <row r="159" spans="1:21" x14ac:dyDescent="0.3">
      <c r="A159" s="64">
        <v>46141</v>
      </c>
      <c r="B159" t="s">
        <v>730</v>
      </c>
      <c r="C159" t="s">
        <v>731</v>
      </c>
      <c r="E159" t="s">
        <v>19</v>
      </c>
      <c r="F159" t="s">
        <v>732</v>
      </c>
      <c r="G159" t="s">
        <v>181</v>
      </c>
      <c r="H159" t="s">
        <v>730</v>
      </c>
      <c r="J159">
        <v>0</v>
      </c>
      <c r="K159">
        <v>3.6667703690103388</v>
      </c>
      <c r="L159">
        <v>0</v>
      </c>
      <c r="M159">
        <v>1.2309771054666649</v>
      </c>
      <c r="N159" t="s">
        <v>1</v>
      </c>
      <c r="P159" t="s">
        <v>19</v>
      </c>
      <c r="Q159" t="s">
        <v>11</v>
      </c>
      <c r="R159" t="s">
        <v>80</v>
      </c>
      <c r="S159" t="s">
        <v>10</v>
      </c>
      <c r="T159" t="s">
        <v>733</v>
      </c>
      <c r="U159" t="s">
        <v>734</v>
      </c>
    </row>
    <row r="160" spans="1:21" x14ac:dyDescent="0.3">
      <c r="A160" s="64">
        <v>46141</v>
      </c>
      <c r="B160" t="s">
        <v>735</v>
      </c>
      <c r="C160" t="s">
        <v>736</v>
      </c>
      <c r="E160" t="s">
        <v>19</v>
      </c>
      <c r="F160" t="s">
        <v>737</v>
      </c>
      <c r="G160" t="s">
        <v>355</v>
      </c>
      <c r="H160" t="s">
        <v>738</v>
      </c>
      <c r="J160">
        <v>4.282419896966136</v>
      </c>
      <c r="K160">
        <v>1.8328539224986491</v>
      </c>
      <c r="L160">
        <v>0</v>
      </c>
      <c r="M160">
        <v>1.2268393672970299</v>
      </c>
      <c r="N160" t="s">
        <v>1</v>
      </c>
      <c r="P160" t="s">
        <v>19</v>
      </c>
      <c r="Q160" t="s">
        <v>11</v>
      </c>
      <c r="R160" t="s">
        <v>80</v>
      </c>
      <c r="S160" t="s">
        <v>10</v>
      </c>
      <c r="T160" t="s">
        <v>739</v>
      </c>
      <c r="U160" t="s">
        <v>740</v>
      </c>
    </row>
    <row r="161" spans="1:21" x14ac:dyDescent="0.3">
      <c r="A161" s="64">
        <v>46141</v>
      </c>
      <c r="B161" t="s">
        <v>741</v>
      </c>
      <c r="C161" t="s">
        <v>742</v>
      </c>
      <c r="E161" t="s">
        <v>19</v>
      </c>
      <c r="F161" t="s">
        <v>109</v>
      </c>
      <c r="G161" t="s">
        <v>143</v>
      </c>
      <c r="H161" t="s">
        <v>290</v>
      </c>
      <c r="J161">
        <v>1.772268383631284</v>
      </c>
      <c r="K161">
        <v>2.2660980888168072</v>
      </c>
      <c r="L161">
        <v>0.1041399904129648</v>
      </c>
      <c r="M161">
        <v>1.0681428404288409</v>
      </c>
      <c r="N161" t="s">
        <v>1</v>
      </c>
      <c r="P161" t="s">
        <v>19</v>
      </c>
      <c r="Q161" t="s">
        <v>11</v>
      </c>
      <c r="R161" t="s">
        <v>80</v>
      </c>
      <c r="S161" t="s">
        <v>10</v>
      </c>
      <c r="T161" t="s">
        <v>743</v>
      </c>
      <c r="U161" t="s">
        <v>744</v>
      </c>
    </row>
    <row r="162" spans="1:21" x14ac:dyDescent="0.3">
      <c r="A162" s="64">
        <v>46141</v>
      </c>
      <c r="B162" t="s">
        <v>745</v>
      </c>
      <c r="C162" t="s">
        <v>746</v>
      </c>
      <c r="E162" t="s">
        <v>19</v>
      </c>
      <c r="F162" t="s">
        <v>221</v>
      </c>
      <c r="G162" t="s">
        <v>110</v>
      </c>
      <c r="H162" t="s">
        <v>747</v>
      </c>
      <c r="J162">
        <v>3.5051946572665251</v>
      </c>
      <c r="K162">
        <v>1.5011676725552661</v>
      </c>
      <c r="L162">
        <v>0</v>
      </c>
      <c r="M162">
        <v>1.0045007751472059</v>
      </c>
      <c r="N162" t="s">
        <v>1</v>
      </c>
      <c r="P162" t="s">
        <v>19</v>
      </c>
      <c r="Q162" t="s">
        <v>11</v>
      </c>
      <c r="R162" t="s">
        <v>80</v>
      </c>
      <c r="S162" t="s">
        <v>10</v>
      </c>
      <c r="T162" t="s">
        <v>748</v>
      </c>
      <c r="U162" t="s">
        <v>749</v>
      </c>
    </row>
    <row r="163" spans="1:21" x14ac:dyDescent="0.3">
      <c r="A163" s="64">
        <v>46141</v>
      </c>
      <c r="B163" t="s">
        <v>750</v>
      </c>
      <c r="C163" t="s">
        <v>751</v>
      </c>
      <c r="E163" t="s">
        <v>19</v>
      </c>
      <c r="F163" t="s">
        <v>109</v>
      </c>
      <c r="G163" t="s">
        <v>181</v>
      </c>
      <c r="H163" t="s">
        <v>752</v>
      </c>
      <c r="J163">
        <v>1.6860904284018561</v>
      </c>
      <c r="K163">
        <v>1.43918877566633</v>
      </c>
      <c r="L163">
        <v>0.45794235521497489</v>
      </c>
      <c r="M163">
        <v>0.96273752757303099</v>
      </c>
      <c r="N163" t="s">
        <v>1</v>
      </c>
      <c r="P163" t="s">
        <v>19</v>
      </c>
      <c r="Q163" t="s">
        <v>11</v>
      </c>
      <c r="R163" t="s">
        <v>80</v>
      </c>
      <c r="S163" t="s">
        <v>10</v>
      </c>
      <c r="T163" t="s">
        <v>753</v>
      </c>
      <c r="U163" t="s">
        <v>754</v>
      </c>
    </row>
    <row r="164" spans="1:21" x14ac:dyDescent="0.3">
      <c r="A164" s="64">
        <v>46141</v>
      </c>
      <c r="B164" t="s">
        <v>755</v>
      </c>
      <c r="C164" t="s">
        <v>756</v>
      </c>
      <c r="E164" t="s">
        <v>19</v>
      </c>
      <c r="F164" t="s">
        <v>199</v>
      </c>
      <c r="G164" t="s">
        <v>200</v>
      </c>
      <c r="H164" t="s">
        <v>755</v>
      </c>
      <c r="J164">
        <v>0.12751839462209591</v>
      </c>
      <c r="K164">
        <v>2.600713403662426</v>
      </c>
      <c r="L164">
        <v>2.3290421501224678E-2</v>
      </c>
      <c r="M164">
        <v>0.90344478957696328</v>
      </c>
      <c r="N164" t="s">
        <v>1</v>
      </c>
      <c r="P164" t="s">
        <v>12</v>
      </c>
      <c r="Q164" t="s">
        <v>14</v>
      </c>
      <c r="R164" t="s">
        <v>146</v>
      </c>
      <c r="S164" t="s">
        <v>5</v>
      </c>
      <c r="T164" t="s">
        <v>757</v>
      </c>
      <c r="U164" t="s">
        <v>758</v>
      </c>
    </row>
    <row r="165" spans="1:21" x14ac:dyDescent="0.3">
      <c r="A165" s="64">
        <v>46141</v>
      </c>
      <c r="B165" t="s">
        <v>759</v>
      </c>
      <c r="C165" t="s">
        <v>760</v>
      </c>
      <c r="E165" t="s">
        <v>19</v>
      </c>
      <c r="F165" t="s">
        <v>109</v>
      </c>
      <c r="G165" t="s">
        <v>68</v>
      </c>
      <c r="H165" t="s">
        <v>69</v>
      </c>
      <c r="J165">
        <v>0.39379578672230009</v>
      </c>
      <c r="K165">
        <v>0.32768240562236728</v>
      </c>
      <c r="L165">
        <v>1.394347260800189</v>
      </c>
      <c r="M165">
        <v>0.89337690799667835</v>
      </c>
      <c r="N165" t="s">
        <v>1</v>
      </c>
      <c r="P165" t="s">
        <v>19</v>
      </c>
      <c r="Q165" t="s">
        <v>11</v>
      </c>
      <c r="R165" t="s">
        <v>80</v>
      </c>
      <c r="S165" t="s">
        <v>10</v>
      </c>
      <c r="T165" t="s">
        <v>761</v>
      </c>
      <c r="U165" t="s">
        <v>762</v>
      </c>
    </row>
    <row r="166" spans="1:21" x14ac:dyDescent="0.3">
      <c r="A166" s="64">
        <v>46141</v>
      </c>
      <c r="B166" t="s">
        <v>763</v>
      </c>
      <c r="C166" t="s">
        <v>764</v>
      </c>
      <c r="E166" t="s">
        <v>19</v>
      </c>
      <c r="F166" t="s">
        <v>109</v>
      </c>
      <c r="G166" t="s">
        <v>143</v>
      </c>
      <c r="H166" t="s">
        <v>290</v>
      </c>
      <c r="J166">
        <v>1.813483927436663</v>
      </c>
      <c r="K166">
        <v>1.5424661097340799</v>
      </c>
      <c r="L166">
        <v>0.20571495643152171</v>
      </c>
      <c r="M166">
        <v>0.8840669971149977</v>
      </c>
      <c r="N166" t="s">
        <v>1</v>
      </c>
      <c r="P166" t="s">
        <v>19</v>
      </c>
      <c r="Q166" t="s">
        <v>11</v>
      </c>
      <c r="R166" t="s">
        <v>80</v>
      </c>
      <c r="S166" t="s">
        <v>10</v>
      </c>
      <c r="T166" t="s">
        <v>765</v>
      </c>
      <c r="U166" t="s">
        <v>766</v>
      </c>
    </row>
    <row r="167" spans="1:21" x14ac:dyDescent="0.3">
      <c r="A167" s="64">
        <v>46141</v>
      </c>
      <c r="B167" t="s">
        <v>767</v>
      </c>
      <c r="C167" t="s">
        <v>768</v>
      </c>
      <c r="E167" t="s">
        <v>66</v>
      </c>
      <c r="F167" t="s">
        <v>67</v>
      </c>
      <c r="G167" t="s">
        <v>59</v>
      </c>
      <c r="H167" t="s">
        <v>60</v>
      </c>
      <c r="J167">
        <v>0</v>
      </c>
      <c r="K167">
        <v>0</v>
      </c>
      <c r="L167">
        <v>1.684639621596657</v>
      </c>
      <c r="M167">
        <v>0.87852028775828761</v>
      </c>
      <c r="N167" t="s">
        <v>1</v>
      </c>
      <c r="P167" t="s">
        <v>7</v>
      </c>
      <c r="Q167" t="s">
        <v>11</v>
      </c>
      <c r="R167" t="s">
        <v>70</v>
      </c>
      <c r="S167" t="s">
        <v>10</v>
      </c>
      <c r="T167" t="s">
        <v>769</v>
      </c>
      <c r="U167" t="s">
        <v>770</v>
      </c>
    </row>
    <row r="168" spans="1:21" x14ac:dyDescent="0.3">
      <c r="A168" s="64">
        <v>46141</v>
      </c>
      <c r="B168" t="s">
        <v>771</v>
      </c>
      <c r="C168" t="s">
        <v>772</v>
      </c>
      <c r="E168" t="s">
        <v>19</v>
      </c>
      <c r="F168" t="s">
        <v>109</v>
      </c>
      <c r="G168" t="s">
        <v>143</v>
      </c>
      <c r="H168" t="s">
        <v>290</v>
      </c>
      <c r="J168">
        <v>3.09528733978394</v>
      </c>
      <c r="K168">
        <v>1.2687270932797641</v>
      </c>
      <c r="L168">
        <v>0</v>
      </c>
      <c r="M168">
        <v>0.86793306467325249</v>
      </c>
      <c r="N168" t="s">
        <v>1</v>
      </c>
      <c r="P168" t="s">
        <v>19</v>
      </c>
      <c r="Q168" t="s">
        <v>11</v>
      </c>
      <c r="R168" t="s">
        <v>80</v>
      </c>
      <c r="S168" t="s">
        <v>10</v>
      </c>
      <c r="T168" t="s">
        <v>773</v>
      </c>
      <c r="U168" t="s">
        <v>774</v>
      </c>
    </row>
    <row r="169" spans="1:21" x14ac:dyDescent="0.3">
      <c r="A169" s="64">
        <v>46141</v>
      </c>
      <c r="B169" t="s">
        <v>775</v>
      </c>
      <c r="C169" t="s">
        <v>776</v>
      </c>
      <c r="E169" t="s">
        <v>66</v>
      </c>
      <c r="F169" t="s">
        <v>396</v>
      </c>
      <c r="G169" t="s">
        <v>143</v>
      </c>
      <c r="H169" t="s">
        <v>775</v>
      </c>
      <c r="J169">
        <v>2.0291786066848121</v>
      </c>
      <c r="K169">
        <v>0.94497173742353868</v>
      </c>
      <c r="L169">
        <v>0.41337933140279343</v>
      </c>
      <c r="M169">
        <v>0.82257702061777804</v>
      </c>
      <c r="N169" t="s">
        <v>145</v>
      </c>
      <c r="P169" t="s">
        <v>7</v>
      </c>
      <c r="Q169" t="s">
        <v>11</v>
      </c>
      <c r="R169" t="s">
        <v>70</v>
      </c>
      <c r="S169" t="s">
        <v>10</v>
      </c>
      <c r="T169" t="s">
        <v>777</v>
      </c>
      <c r="U169" t="s">
        <v>778</v>
      </c>
    </row>
    <row r="170" spans="1:21" x14ac:dyDescent="0.3">
      <c r="A170" s="64">
        <v>46141</v>
      </c>
      <c r="B170" t="s">
        <v>779</v>
      </c>
      <c r="C170" t="s">
        <v>780</v>
      </c>
      <c r="E170" t="s">
        <v>19</v>
      </c>
      <c r="F170" t="s">
        <v>109</v>
      </c>
      <c r="G170" t="s">
        <v>98</v>
      </c>
      <c r="H170" t="s">
        <v>351</v>
      </c>
      <c r="J170">
        <v>0.74175489290952767</v>
      </c>
      <c r="K170">
        <v>0.34840162387669948</v>
      </c>
      <c r="L170">
        <v>1.0401686924203331</v>
      </c>
      <c r="M170">
        <v>0.76532104567777592</v>
      </c>
      <c r="N170" t="s">
        <v>1</v>
      </c>
      <c r="P170" t="s">
        <v>19</v>
      </c>
      <c r="Q170" t="s">
        <v>11</v>
      </c>
      <c r="R170" t="s">
        <v>80</v>
      </c>
      <c r="S170" t="s">
        <v>10</v>
      </c>
      <c r="T170" t="s">
        <v>781</v>
      </c>
      <c r="U170" t="s">
        <v>782</v>
      </c>
    </row>
    <row r="171" spans="1:21" x14ac:dyDescent="0.3">
      <c r="A171" s="64">
        <v>46141</v>
      </c>
      <c r="B171" t="s">
        <v>783</v>
      </c>
      <c r="C171" t="s">
        <v>784</v>
      </c>
      <c r="E171" t="s">
        <v>19</v>
      </c>
      <c r="F171" t="s">
        <v>109</v>
      </c>
      <c r="G171" t="s">
        <v>116</v>
      </c>
      <c r="H171" t="s">
        <v>285</v>
      </c>
      <c r="J171">
        <v>1.057241146401608</v>
      </c>
      <c r="K171">
        <v>0.90117974166216153</v>
      </c>
      <c r="L171">
        <v>0.45144429341580811</v>
      </c>
      <c r="M171">
        <v>0.68893340524436908</v>
      </c>
      <c r="N171" t="s">
        <v>1</v>
      </c>
      <c r="P171" t="s">
        <v>19</v>
      </c>
      <c r="Q171" t="s">
        <v>11</v>
      </c>
      <c r="R171" t="s">
        <v>80</v>
      </c>
      <c r="S171" t="s">
        <v>10</v>
      </c>
      <c r="T171" t="s">
        <v>785</v>
      </c>
      <c r="U171" t="s">
        <v>786</v>
      </c>
    </row>
    <row r="172" spans="1:21" x14ac:dyDescent="0.3">
      <c r="A172" s="64">
        <v>46141</v>
      </c>
      <c r="B172" t="s">
        <v>787</v>
      </c>
      <c r="C172" t="s">
        <v>788</v>
      </c>
      <c r="E172" t="s">
        <v>19</v>
      </c>
      <c r="F172" t="s">
        <v>109</v>
      </c>
      <c r="G172" t="s">
        <v>143</v>
      </c>
      <c r="H172" t="s">
        <v>789</v>
      </c>
      <c r="J172">
        <v>0.99941448948678901</v>
      </c>
      <c r="K172">
        <v>1.5812815988123301</v>
      </c>
      <c r="L172">
        <v>0</v>
      </c>
      <c r="M172">
        <v>0.67357076794513449</v>
      </c>
      <c r="N172" t="s">
        <v>145</v>
      </c>
      <c r="P172" t="s">
        <v>12</v>
      </c>
      <c r="Q172" t="s">
        <v>14</v>
      </c>
      <c r="R172" t="s">
        <v>146</v>
      </c>
      <c r="S172" t="s">
        <v>5</v>
      </c>
      <c r="T172" t="s">
        <v>790</v>
      </c>
      <c r="U172" t="s">
        <v>791</v>
      </c>
    </row>
    <row r="173" spans="1:21" x14ac:dyDescent="0.3">
      <c r="A173" s="64">
        <v>46141</v>
      </c>
      <c r="B173" t="s">
        <v>792</v>
      </c>
      <c r="C173" t="s">
        <v>793</v>
      </c>
      <c r="E173" t="s">
        <v>19</v>
      </c>
      <c r="F173" t="s">
        <v>109</v>
      </c>
      <c r="G173" t="s">
        <v>143</v>
      </c>
      <c r="H173" t="s">
        <v>789</v>
      </c>
      <c r="J173">
        <v>1.357490138244428</v>
      </c>
      <c r="K173">
        <v>0</v>
      </c>
      <c r="L173">
        <v>0.74895292284187798</v>
      </c>
      <c r="M173">
        <v>0.58441984630442934</v>
      </c>
      <c r="N173" t="s">
        <v>145</v>
      </c>
      <c r="P173" t="s">
        <v>19</v>
      </c>
      <c r="Q173" t="s">
        <v>11</v>
      </c>
      <c r="R173" t="s">
        <v>80</v>
      </c>
      <c r="S173" t="s">
        <v>10</v>
      </c>
      <c r="T173" t="s">
        <v>794</v>
      </c>
      <c r="U173" t="s">
        <v>795</v>
      </c>
    </row>
    <row r="174" spans="1:21" x14ac:dyDescent="0.3">
      <c r="A174" s="64">
        <v>46141</v>
      </c>
      <c r="B174" t="s">
        <v>796</v>
      </c>
      <c r="C174" t="s">
        <v>797</v>
      </c>
      <c r="E174" t="s">
        <v>19</v>
      </c>
      <c r="F174" t="s">
        <v>732</v>
      </c>
      <c r="G174" t="s">
        <v>143</v>
      </c>
      <c r="H174" t="s">
        <v>796</v>
      </c>
      <c r="J174">
        <v>1.638879896406604</v>
      </c>
      <c r="K174">
        <v>0.7722190887116801</v>
      </c>
      <c r="L174">
        <v>0</v>
      </c>
      <c r="M174">
        <v>0.49327475254908182</v>
      </c>
      <c r="N174" t="s">
        <v>145</v>
      </c>
      <c r="P174" t="s">
        <v>19</v>
      </c>
      <c r="Q174" t="s">
        <v>11</v>
      </c>
      <c r="R174" t="s">
        <v>80</v>
      </c>
      <c r="S174" t="s">
        <v>10</v>
      </c>
      <c r="T174" t="s">
        <v>798</v>
      </c>
      <c r="U174" t="s">
        <v>799</v>
      </c>
    </row>
    <row r="175" spans="1:21" x14ac:dyDescent="0.3">
      <c r="A175" s="64">
        <v>46141</v>
      </c>
      <c r="B175" t="s">
        <v>800</v>
      </c>
      <c r="C175" t="s">
        <v>801</v>
      </c>
      <c r="E175" t="s">
        <v>19</v>
      </c>
      <c r="F175" t="s">
        <v>109</v>
      </c>
      <c r="G175" t="s">
        <v>181</v>
      </c>
      <c r="H175" t="s">
        <v>802</v>
      </c>
      <c r="J175">
        <v>1.0263919363412191</v>
      </c>
      <c r="K175">
        <v>0.9892098561427487</v>
      </c>
      <c r="L175">
        <v>0</v>
      </c>
      <c r="M175">
        <v>0.47865783188227129</v>
      </c>
      <c r="N175" t="s">
        <v>1</v>
      </c>
      <c r="P175" t="s">
        <v>19</v>
      </c>
      <c r="Q175" t="s">
        <v>11</v>
      </c>
      <c r="R175" t="s">
        <v>80</v>
      </c>
      <c r="S175" t="s">
        <v>10</v>
      </c>
      <c r="T175" t="s">
        <v>803</v>
      </c>
      <c r="U175" t="s">
        <v>804</v>
      </c>
    </row>
    <row r="176" spans="1:21" x14ac:dyDescent="0.3">
      <c r="A176" s="64">
        <v>46141</v>
      </c>
      <c r="B176" t="s">
        <v>805</v>
      </c>
      <c r="C176" t="s">
        <v>806</v>
      </c>
      <c r="E176" t="s">
        <v>19</v>
      </c>
      <c r="F176" t="s">
        <v>109</v>
      </c>
      <c r="G176" t="s">
        <v>143</v>
      </c>
      <c r="H176" t="s">
        <v>807</v>
      </c>
      <c r="J176">
        <v>2.155572941021306</v>
      </c>
      <c r="K176">
        <v>0.43406617889847893</v>
      </c>
      <c r="L176">
        <v>0</v>
      </c>
      <c r="M176">
        <v>0.45353663946261968</v>
      </c>
      <c r="N176" t="s">
        <v>145</v>
      </c>
      <c r="P176" t="s">
        <v>19</v>
      </c>
      <c r="Q176" t="s">
        <v>11</v>
      </c>
      <c r="R176" t="s">
        <v>80</v>
      </c>
      <c r="S176" t="s">
        <v>10</v>
      </c>
      <c r="T176" t="s">
        <v>808</v>
      </c>
      <c r="U176" t="s">
        <v>809</v>
      </c>
    </row>
    <row r="177" spans="1:21" x14ac:dyDescent="0.3">
      <c r="A177" s="64">
        <v>46141</v>
      </c>
      <c r="B177" t="s">
        <v>810</v>
      </c>
      <c r="C177" t="s">
        <v>811</v>
      </c>
      <c r="E177" t="s">
        <v>19</v>
      </c>
      <c r="F177" t="s">
        <v>109</v>
      </c>
      <c r="G177" t="s">
        <v>181</v>
      </c>
      <c r="H177" t="s">
        <v>810</v>
      </c>
      <c r="J177">
        <v>0.2389252584839075</v>
      </c>
      <c r="K177">
        <v>1.172495248392613</v>
      </c>
      <c r="L177">
        <v>0</v>
      </c>
      <c r="M177">
        <v>0.42773868328610593</v>
      </c>
      <c r="N177" t="s">
        <v>1</v>
      </c>
      <c r="P177" t="s">
        <v>12</v>
      </c>
      <c r="Q177" t="s">
        <v>14</v>
      </c>
      <c r="R177" t="s">
        <v>146</v>
      </c>
      <c r="S177" t="s">
        <v>5</v>
      </c>
      <c r="T177" t="s">
        <v>812</v>
      </c>
      <c r="U177" t="s">
        <v>813</v>
      </c>
    </row>
    <row r="178" spans="1:21" x14ac:dyDescent="0.3">
      <c r="A178" s="64">
        <v>46141</v>
      </c>
      <c r="B178" t="s">
        <v>814</v>
      </c>
      <c r="C178" t="s">
        <v>815</v>
      </c>
      <c r="E178" t="s">
        <v>19</v>
      </c>
      <c r="F178" t="s">
        <v>109</v>
      </c>
      <c r="G178" t="s">
        <v>143</v>
      </c>
      <c r="H178" t="s">
        <v>789</v>
      </c>
      <c r="J178">
        <v>0</v>
      </c>
      <c r="K178">
        <v>1.119928214914957</v>
      </c>
      <c r="L178">
        <v>6.8400650517275174E-5</v>
      </c>
      <c r="M178">
        <v>0.37600848917408197</v>
      </c>
      <c r="N178" t="s">
        <v>145</v>
      </c>
      <c r="P178" t="s">
        <v>12</v>
      </c>
      <c r="Q178" t="s">
        <v>14</v>
      </c>
      <c r="R178" t="s">
        <v>146</v>
      </c>
      <c r="S178" t="s">
        <v>5</v>
      </c>
      <c r="T178" t="s">
        <v>816</v>
      </c>
      <c r="U178" t="s">
        <v>817</v>
      </c>
    </row>
    <row r="179" spans="1:21" x14ac:dyDescent="0.3">
      <c r="A179" s="64">
        <v>46141</v>
      </c>
      <c r="B179" t="s">
        <v>818</v>
      </c>
      <c r="C179" t="s">
        <v>819</v>
      </c>
      <c r="E179" t="s">
        <v>19</v>
      </c>
      <c r="F179" t="s">
        <v>820</v>
      </c>
      <c r="G179" t="s">
        <v>355</v>
      </c>
      <c r="H179" t="s">
        <v>821</v>
      </c>
      <c r="J179">
        <v>0.95682509422123108</v>
      </c>
      <c r="K179">
        <v>0.41066553104100117</v>
      </c>
      <c r="L179">
        <v>0.1621258151892925</v>
      </c>
      <c r="M179">
        <v>0.35904644803210478</v>
      </c>
      <c r="N179" t="s">
        <v>1</v>
      </c>
      <c r="P179" t="s">
        <v>12</v>
      </c>
      <c r="Q179" t="s">
        <v>14</v>
      </c>
      <c r="R179" t="s">
        <v>146</v>
      </c>
      <c r="S179" t="s">
        <v>5</v>
      </c>
      <c r="T179" t="s">
        <v>822</v>
      </c>
      <c r="U179" t="s">
        <v>823</v>
      </c>
    </row>
    <row r="180" spans="1:21" x14ac:dyDescent="0.3">
      <c r="A180" s="64">
        <v>46141</v>
      </c>
      <c r="B180" t="s">
        <v>824</v>
      </c>
      <c r="C180" t="s">
        <v>825</v>
      </c>
      <c r="E180" t="s">
        <v>19</v>
      </c>
      <c r="F180" t="s">
        <v>109</v>
      </c>
      <c r="G180" t="s">
        <v>116</v>
      </c>
      <c r="H180" t="s">
        <v>824</v>
      </c>
      <c r="J180">
        <v>1.1675239499778181</v>
      </c>
      <c r="K180">
        <v>0.50549579920506227</v>
      </c>
      <c r="L180">
        <v>0</v>
      </c>
      <c r="M180">
        <v>0.33642308230103912</v>
      </c>
      <c r="N180" t="s">
        <v>145</v>
      </c>
      <c r="P180" t="s">
        <v>19</v>
      </c>
      <c r="Q180" t="s">
        <v>11</v>
      </c>
      <c r="R180" t="s">
        <v>80</v>
      </c>
      <c r="S180" t="s">
        <v>10</v>
      </c>
      <c r="T180" t="s">
        <v>826</v>
      </c>
      <c r="U180" t="s">
        <v>827</v>
      </c>
    </row>
    <row r="181" spans="1:21" x14ac:dyDescent="0.3">
      <c r="A181" s="64">
        <v>46141</v>
      </c>
      <c r="B181" t="s">
        <v>828</v>
      </c>
      <c r="C181" t="s">
        <v>829</v>
      </c>
      <c r="E181" t="s">
        <v>19</v>
      </c>
      <c r="F181" t="s">
        <v>830</v>
      </c>
      <c r="G181" t="s">
        <v>122</v>
      </c>
      <c r="H181" t="s">
        <v>828</v>
      </c>
      <c r="J181">
        <v>0</v>
      </c>
      <c r="K181">
        <v>0.88375434784826146</v>
      </c>
      <c r="L181">
        <v>0</v>
      </c>
      <c r="M181">
        <v>0.29668652780988092</v>
      </c>
      <c r="N181" t="s">
        <v>145</v>
      </c>
      <c r="P181" t="s">
        <v>12</v>
      </c>
      <c r="Q181" t="s">
        <v>14</v>
      </c>
      <c r="R181" t="s">
        <v>146</v>
      </c>
      <c r="S181" t="s">
        <v>5</v>
      </c>
      <c r="T181" t="s">
        <v>831</v>
      </c>
      <c r="U181" t="s">
        <v>832</v>
      </c>
    </row>
    <row r="182" spans="1:21" x14ac:dyDescent="0.3">
      <c r="A182" s="64">
        <v>46141</v>
      </c>
      <c r="B182" t="s">
        <v>833</v>
      </c>
      <c r="C182" t="s">
        <v>834</v>
      </c>
      <c r="E182" t="s">
        <v>136</v>
      </c>
      <c r="F182" t="s">
        <v>137</v>
      </c>
      <c r="G182" t="s">
        <v>68</v>
      </c>
      <c r="H182" t="s">
        <v>69</v>
      </c>
      <c r="J182">
        <v>8.7926493451474574E-2</v>
      </c>
      <c r="K182">
        <v>8.6064445056459493E-2</v>
      </c>
      <c r="L182">
        <v>0.45277810610090091</v>
      </c>
      <c r="M182">
        <v>0.27756732385363331</v>
      </c>
      <c r="N182" t="s">
        <v>1</v>
      </c>
      <c r="P182" t="s">
        <v>7</v>
      </c>
      <c r="Q182" t="s">
        <v>11</v>
      </c>
      <c r="R182" t="s">
        <v>70</v>
      </c>
      <c r="S182" t="s">
        <v>10</v>
      </c>
      <c r="T182" t="s">
        <v>835</v>
      </c>
      <c r="U182" t="s">
        <v>836</v>
      </c>
    </row>
    <row r="183" spans="1:21" x14ac:dyDescent="0.3">
      <c r="A183" s="64">
        <v>46141</v>
      </c>
      <c r="B183" t="s">
        <v>837</v>
      </c>
      <c r="C183" t="s">
        <v>838</v>
      </c>
      <c r="E183" t="s">
        <v>19</v>
      </c>
      <c r="F183" t="s">
        <v>820</v>
      </c>
      <c r="G183" t="s">
        <v>122</v>
      </c>
      <c r="H183" t="s">
        <v>837</v>
      </c>
      <c r="J183">
        <v>0.88863210356142264</v>
      </c>
      <c r="K183">
        <v>0.4130562100703481</v>
      </c>
      <c r="L183">
        <v>0</v>
      </c>
      <c r="M183">
        <v>0.26556431614602521</v>
      </c>
      <c r="N183" t="s">
        <v>145</v>
      </c>
      <c r="P183" t="s">
        <v>19</v>
      </c>
      <c r="Q183" t="s">
        <v>11</v>
      </c>
      <c r="R183" t="s">
        <v>80</v>
      </c>
      <c r="S183" t="s">
        <v>10</v>
      </c>
      <c r="T183" t="s">
        <v>839</v>
      </c>
      <c r="U183" t="s">
        <v>840</v>
      </c>
    </row>
    <row r="184" spans="1:21" x14ac:dyDescent="0.3">
      <c r="A184" s="64">
        <v>46141</v>
      </c>
      <c r="B184" t="s">
        <v>841</v>
      </c>
      <c r="C184" t="s">
        <v>842</v>
      </c>
      <c r="E184" t="s">
        <v>19</v>
      </c>
      <c r="F184" t="s">
        <v>221</v>
      </c>
      <c r="G184" t="s">
        <v>116</v>
      </c>
      <c r="H184" t="s">
        <v>843</v>
      </c>
      <c r="J184">
        <v>0.64908236714107015</v>
      </c>
      <c r="K184">
        <v>0.31317895284433378</v>
      </c>
      <c r="L184">
        <v>0</v>
      </c>
      <c r="M184">
        <v>0.19782668869655529</v>
      </c>
      <c r="N184" t="s">
        <v>145</v>
      </c>
      <c r="P184" t="s">
        <v>12</v>
      </c>
      <c r="Q184" t="s">
        <v>14</v>
      </c>
      <c r="R184" t="s">
        <v>146</v>
      </c>
      <c r="S184" t="s">
        <v>5</v>
      </c>
      <c r="T184" t="s">
        <v>844</v>
      </c>
      <c r="U184" t="s">
        <v>845</v>
      </c>
    </row>
    <row r="185" spans="1:21" x14ac:dyDescent="0.3">
      <c r="A185" s="64">
        <v>46141</v>
      </c>
      <c r="B185" t="s">
        <v>846</v>
      </c>
      <c r="C185" t="s">
        <v>847</v>
      </c>
      <c r="E185" t="s">
        <v>19</v>
      </c>
      <c r="F185" t="s">
        <v>820</v>
      </c>
      <c r="G185" t="s">
        <v>59</v>
      </c>
      <c r="H185" t="s">
        <v>848</v>
      </c>
      <c r="J185">
        <v>0.23455391292879149</v>
      </c>
      <c r="K185">
        <v>0.43882241738663252</v>
      </c>
      <c r="L185">
        <v>0</v>
      </c>
      <c r="M185">
        <v>0.18081202398175961</v>
      </c>
      <c r="N185" t="s">
        <v>156</v>
      </c>
      <c r="P185" t="s">
        <v>157</v>
      </c>
      <c r="Q185" t="s">
        <v>157</v>
      </c>
      <c r="R185" t="s">
        <v>156</v>
      </c>
      <c r="S185" t="s">
        <v>157</v>
      </c>
      <c r="T185" t="s">
        <v>849</v>
      </c>
    </row>
    <row r="186" spans="1:21" x14ac:dyDescent="0.3">
      <c r="A186" s="64">
        <v>46141</v>
      </c>
      <c r="B186" t="s">
        <v>850</v>
      </c>
      <c r="C186" t="s">
        <v>851</v>
      </c>
      <c r="E186" t="s">
        <v>66</v>
      </c>
      <c r="F186" t="s">
        <v>193</v>
      </c>
      <c r="G186" t="s">
        <v>200</v>
      </c>
      <c r="H186" t="s">
        <v>850</v>
      </c>
      <c r="J186">
        <v>1.1043267828095711</v>
      </c>
      <c r="K186">
        <v>0</v>
      </c>
      <c r="L186">
        <v>0</v>
      </c>
      <c r="M186">
        <v>0.1576977624824146</v>
      </c>
      <c r="N186" t="s">
        <v>1</v>
      </c>
      <c r="P186" t="s">
        <v>7</v>
      </c>
      <c r="Q186" t="s">
        <v>11</v>
      </c>
      <c r="R186" t="s">
        <v>70</v>
      </c>
      <c r="S186" t="s">
        <v>10</v>
      </c>
      <c r="T186" t="s">
        <v>852</v>
      </c>
      <c r="U186" t="s">
        <v>853</v>
      </c>
    </row>
    <row r="187" spans="1:21" x14ac:dyDescent="0.3">
      <c r="A187" s="64">
        <v>46141</v>
      </c>
      <c r="B187" t="s">
        <v>854</v>
      </c>
      <c r="C187" t="s">
        <v>855</v>
      </c>
      <c r="E187" t="s">
        <v>19</v>
      </c>
      <c r="F187" t="s">
        <v>109</v>
      </c>
      <c r="G187" t="s">
        <v>59</v>
      </c>
      <c r="H187" t="s">
        <v>60</v>
      </c>
      <c r="J187">
        <v>6.4071436279270533E-2</v>
      </c>
      <c r="K187">
        <v>5.4082472263873797E-2</v>
      </c>
      <c r="L187">
        <v>0.20841678212696471</v>
      </c>
      <c r="M187">
        <v>0.13599247217014401</v>
      </c>
      <c r="N187" t="s">
        <v>1</v>
      </c>
      <c r="P187" t="s">
        <v>12</v>
      </c>
      <c r="Q187" t="s">
        <v>14</v>
      </c>
      <c r="R187" t="s">
        <v>146</v>
      </c>
      <c r="S187" t="s">
        <v>5</v>
      </c>
      <c r="T187" t="s">
        <v>347</v>
      </c>
      <c r="U187" t="s">
        <v>218</v>
      </c>
    </row>
    <row r="188" spans="1:21" x14ac:dyDescent="0.3">
      <c r="A188" s="64">
        <v>46141</v>
      </c>
      <c r="B188" t="s">
        <v>856</v>
      </c>
      <c r="C188" t="s">
        <v>857</v>
      </c>
      <c r="E188" t="s">
        <v>19</v>
      </c>
      <c r="F188" t="s">
        <v>820</v>
      </c>
      <c r="G188" t="s">
        <v>122</v>
      </c>
      <c r="H188" t="s">
        <v>856</v>
      </c>
      <c r="J188">
        <v>0.39017381469091839</v>
      </c>
      <c r="K188">
        <v>0.20055140746180869</v>
      </c>
      <c r="L188">
        <v>0</v>
      </c>
      <c r="M188">
        <v>0.12304420531171439</v>
      </c>
      <c r="N188" t="s">
        <v>145</v>
      </c>
      <c r="P188" t="s">
        <v>16</v>
      </c>
      <c r="Q188" t="s">
        <v>22</v>
      </c>
      <c r="R188" t="s">
        <v>172</v>
      </c>
      <c r="S188" t="s">
        <v>5</v>
      </c>
      <c r="T188" t="s">
        <v>858</v>
      </c>
      <c r="U188" t="s">
        <v>859</v>
      </c>
    </row>
    <row r="189" spans="1:21" x14ac:dyDescent="0.3">
      <c r="A189" s="64">
        <v>46141</v>
      </c>
      <c r="B189" t="s">
        <v>860</v>
      </c>
      <c r="C189" t="s">
        <v>861</v>
      </c>
      <c r="E189" t="s">
        <v>66</v>
      </c>
      <c r="F189" t="s">
        <v>193</v>
      </c>
      <c r="G189" t="s">
        <v>68</v>
      </c>
      <c r="H189" t="s">
        <v>554</v>
      </c>
      <c r="J189">
        <v>0.37393738834334489</v>
      </c>
      <c r="K189">
        <v>0.1997545144520266</v>
      </c>
      <c r="L189">
        <v>0</v>
      </c>
      <c r="M189">
        <v>0.120458118955692</v>
      </c>
      <c r="N189" t="s">
        <v>1</v>
      </c>
      <c r="P189" t="s">
        <v>7</v>
      </c>
      <c r="Q189" t="s">
        <v>11</v>
      </c>
      <c r="R189" t="s">
        <v>70</v>
      </c>
      <c r="S189" t="s">
        <v>10</v>
      </c>
      <c r="T189" t="s">
        <v>862</v>
      </c>
      <c r="U189" t="s">
        <v>863</v>
      </c>
    </row>
    <row r="190" spans="1:21" x14ac:dyDescent="0.3">
      <c r="A190" s="64">
        <v>46141</v>
      </c>
      <c r="B190" t="s">
        <v>864</v>
      </c>
      <c r="C190" t="s">
        <v>865</v>
      </c>
      <c r="E190" t="s">
        <v>66</v>
      </c>
      <c r="F190" t="s">
        <v>103</v>
      </c>
      <c r="G190" t="s">
        <v>59</v>
      </c>
      <c r="H190" t="s">
        <v>60</v>
      </c>
      <c r="J190">
        <v>0</v>
      </c>
      <c r="K190">
        <v>0.1120962833760043</v>
      </c>
      <c r="L190">
        <v>0.1001727526829472</v>
      </c>
      <c r="M190">
        <v>8.987095964135805E-2</v>
      </c>
      <c r="N190" t="s">
        <v>1</v>
      </c>
      <c r="P190" t="s">
        <v>9</v>
      </c>
      <c r="Q190" t="s">
        <v>11</v>
      </c>
      <c r="R190" t="s">
        <v>104</v>
      </c>
      <c r="S190" t="s">
        <v>10</v>
      </c>
      <c r="T190" t="s">
        <v>866</v>
      </c>
      <c r="U190" t="s">
        <v>867</v>
      </c>
    </row>
    <row r="191" spans="1:21" x14ac:dyDescent="0.3">
      <c r="A191" s="64">
        <v>46141</v>
      </c>
      <c r="B191" t="s">
        <v>868</v>
      </c>
      <c r="C191" t="s">
        <v>869</v>
      </c>
      <c r="E191" t="s">
        <v>19</v>
      </c>
      <c r="F191" t="s">
        <v>109</v>
      </c>
      <c r="G191" t="s">
        <v>59</v>
      </c>
      <c r="H191" t="s">
        <v>60</v>
      </c>
      <c r="J191">
        <v>0</v>
      </c>
      <c r="K191">
        <v>0.14025316972163421</v>
      </c>
      <c r="L191">
        <v>0</v>
      </c>
      <c r="M191">
        <v>4.7084606757924682E-2</v>
      </c>
      <c r="N191" t="s">
        <v>1</v>
      </c>
      <c r="P191" t="s">
        <v>12</v>
      </c>
      <c r="Q191" t="s">
        <v>14</v>
      </c>
      <c r="R191" t="s">
        <v>146</v>
      </c>
      <c r="S191" t="s">
        <v>5</v>
      </c>
      <c r="T191" t="s">
        <v>347</v>
      </c>
      <c r="U191" t="s">
        <v>218</v>
      </c>
    </row>
    <row r="192" spans="1:21" x14ac:dyDescent="0.3">
      <c r="A192" s="64">
        <v>46141</v>
      </c>
      <c r="B192" t="s">
        <v>870</v>
      </c>
      <c r="C192" t="s">
        <v>871</v>
      </c>
      <c r="E192" t="s">
        <v>19</v>
      </c>
      <c r="F192" t="s">
        <v>820</v>
      </c>
      <c r="G192" t="s">
        <v>116</v>
      </c>
      <c r="H192" t="s">
        <v>872</v>
      </c>
      <c r="J192">
        <v>7.0940693580166983E-2</v>
      </c>
      <c r="K192">
        <v>6.4282702789082727E-2</v>
      </c>
      <c r="L192">
        <v>0</v>
      </c>
      <c r="M192">
        <v>3.1710769248329822E-2</v>
      </c>
      <c r="N192" t="s">
        <v>145</v>
      </c>
      <c r="P192" t="s">
        <v>12</v>
      </c>
      <c r="Q192" t="s">
        <v>14</v>
      </c>
      <c r="R192" t="s">
        <v>146</v>
      </c>
      <c r="S192" t="s">
        <v>5</v>
      </c>
      <c r="T192" t="s">
        <v>873</v>
      </c>
      <c r="U192" t="s">
        <v>874</v>
      </c>
    </row>
    <row r="193" spans="1:21" x14ac:dyDescent="0.3">
      <c r="A193" s="64">
        <v>46141</v>
      </c>
      <c r="B193" t="s">
        <v>875</v>
      </c>
      <c r="C193" t="s">
        <v>876</v>
      </c>
      <c r="E193" t="s">
        <v>19</v>
      </c>
      <c r="F193" t="s">
        <v>261</v>
      </c>
      <c r="G193" t="s">
        <v>110</v>
      </c>
      <c r="H193" t="s">
        <v>875</v>
      </c>
      <c r="J193">
        <v>0.13538681662130461</v>
      </c>
      <c r="K193">
        <v>0</v>
      </c>
      <c r="L193">
        <v>0</v>
      </c>
      <c r="M193">
        <v>1.9333224896057159E-2</v>
      </c>
      <c r="N193" t="s">
        <v>1</v>
      </c>
      <c r="P193" t="s">
        <v>24</v>
      </c>
      <c r="Q193" t="s">
        <v>22</v>
      </c>
      <c r="R193" t="s">
        <v>391</v>
      </c>
      <c r="S193" t="s">
        <v>5</v>
      </c>
      <c r="T193" t="s">
        <v>877</v>
      </c>
      <c r="U193" t="s">
        <v>878</v>
      </c>
    </row>
    <row r="194" spans="1:21" x14ac:dyDescent="0.3">
      <c r="A194" s="64">
        <v>46141</v>
      </c>
      <c r="B194" t="s">
        <v>879</v>
      </c>
      <c r="C194" t="s">
        <v>880</v>
      </c>
      <c r="E194" t="s">
        <v>19</v>
      </c>
      <c r="F194" t="s">
        <v>820</v>
      </c>
      <c r="G194" t="s">
        <v>122</v>
      </c>
      <c r="H194" t="s">
        <v>879</v>
      </c>
      <c r="J194">
        <v>0</v>
      </c>
      <c r="K194">
        <v>4.5157270554319886E-3</v>
      </c>
      <c r="L194">
        <v>0</v>
      </c>
      <c r="M194">
        <v>1.515981656978832E-3</v>
      </c>
      <c r="N194" t="s">
        <v>145</v>
      </c>
      <c r="P194" t="s">
        <v>4</v>
      </c>
      <c r="Q194" t="s">
        <v>4</v>
      </c>
      <c r="R194" t="s">
        <v>4</v>
      </c>
      <c r="S194" t="s">
        <v>4</v>
      </c>
      <c r="T194" t="s">
        <v>881</v>
      </c>
      <c r="U194" t="s">
        <v>882</v>
      </c>
    </row>
    <row r="195" spans="1:21" x14ac:dyDescent="0.3">
      <c r="A195" s="64">
        <v>46141</v>
      </c>
      <c r="B195" t="s">
        <v>883</v>
      </c>
      <c r="C195" t="s">
        <v>884</v>
      </c>
      <c r="E195" t="s">
        <v>19</v>
      </c>
      <c r="F195" t="s">
        <v>109</v>
      </c>
      <c r="G195" t="s">
        <v>122</v>
      </c>
      <c r="H195" t="s">
        <v>885</v>
      </c>
      <c r="J195">
        <v>0</v>
      </c>
      <c r="K195">
        <v>3.1875720391285819E-3</v>
      </c>
      <c r="L195">
        <v>0</v>
      </c>
      <c r="M195">
        <v>1.070104699043922E-3</v>
      </c>
      <c r="N195" t="s">
        <v>145</v>
      </c>
      <c r="P195" t="s">
        <v>12</v>
      </c>
      <c r="Q195" t="s">
        <v>14</v>
      </c>
      <c r="R195" t="s">
        <v>146</v>
      </c>
      <c r="S195" t="s">
        <v>5</v>
      </c>
      <c r="T195" t="s">
        <v>886</v>
      </c>
      <c r="U195" t="s">
        <v>887</v>
      </c>
    </row>
    <row r="196" spans="1:21" x14ac:dyDescent="0.3">
      <c r="A196" s="64">
        <v>46141</v>
      </c>
      <c r="B196" t="s">
        <v>888</v>
      </c>
      <c r="C196" t="s">
        <v>889</v>
      </c>
      <c r="E196" t="s">
        <v>19</v>
      </c>
      <c r="F196" t="s">
        <v>58</v>
      </c>
      <c r="G196" t="s">
        <v>59</v>
      </c>
      <c r="H196" t="s">
        <v>60</v>
      </c>
      <c r="J196">
        <v>0</v>
      </c>
      <c r="K196">
        <v>0</v>
      </c>
      <c r="L196">
        <v>0</v>
      </c>
      <c r="M196">
        <v>0</v>
      </c>
      <c r="N196" t="s">
        <v>1</v>
      </c>
      <c r="P196" t="s">
        <v>12</v>
      </c>
      <c r="Q196" t="s">
        <v>14</v>
      </c>
      <c r="R196" t="s">
        <v>146</v>
      </c>
      <c r="S196" t="s">
        <v>5</v>
      </c>
      <c r="T196" t="s">
        <v>347</v>
      </c>
      <c r="U196" t="s">
        <v>218</v>
      </c>
    </row>
    <row r="197" spans="1:21" x14ac:dyDescent="0.3">
      <c r="A197" s="64">
        <v>46141</v>
      </c>
      <c r="B197" t="s">
        <v>890</v>
      </c>
      <c r="C197" t="s">
        <v>891</v>
      </c>
      <c r="E197" t="s">
        <v>19</v>
      </c>
      <c r="F197" t="s">
        <v>109</v>
      </c>
      <c r="G197" t="s">
        <v>68</v>
      </c>
      <c r="H197" t="s">
        <v>890</v>
      </c>
      <c r="J197">
        <v>0</v>
      </c>
      <c r="K197">
        <v>0</v>
      </c>
      <c r="L197">
        <v>0</v>
      </c>
      <c r="M197">
        <v>0</v>
      </c>
      <c r="N197" t="s">
        <v>1</v>
      </c>
      <c r="P197" t="s">
        <v>12</v>
      </c>
      <c r="Q197" t="s">
        <v>14</v>
      </c>
      <c r="R197" t="s">
        <v>146</v>
      </c>
      <c r="S197" t="s">
        <v>5</v>
      </c>
      <c r="T197" t="s">
        <v>892</v>
      </c>
      <c r="U197" t="s">
        <v>893</v>
      </c>
    </row>
    <row r="198" spans="1:21" x14ac:dyDescent="0.3">
      <c r="A198" s="64">
        <v>46141</v>
      </c>
      <c r="B198" t="s">
        <v>894</v>
      </c>
      <c r="C198" t="s">
        <v>895</v>
      </c>
      <c r="E198" t="s">
        <v>66</v>
      </c>
      <c r="F198" t="s">
        <v>79</v>
      </c>
      <c r="G198" t="s">
        <v>143</v>
      </c>
      <c r="H198" t="s">
        <v>896</v>
      </c>
      <c r="J198">
        <v>0</v>
      </c>
      <c r="K198">
        <v>0</v>
      </c>
      <c r="L198">
        <v>0</v>
      </c>
      <c r="M198">
        <v>0</v>
      </c>
      <c r="N198" t="s">
        <v>145</v>
      </c>
      <c r="P198" t="s">
        <v>4</v>
      </c>
      <c r="Q198" t="s">
        <v>4</v>
      </c>
      <c r="R198" t="s">
        <v>4</v>
      </c>
      <c r="S198" t="s">
        <v>4</v>
      </c>
      <c r="T198" t="s">
        <v>897</v>
      </c>
      <c r="U198" t="s">
        <v>898</v>
      </c>
    </row>
    <row r="199" spans="1:21" x14ac:dyDescent="0.3">
      <c r="A199" s="64">
        <v>46141</v>
      </c>
      <c r="B199" t="s">
        <v>899</v>
      </c>
      <c r="C199" t="s">
        <v>900</v>
      </c>
      <c r="E199" t="s">
        <v>19</v>
      </c>
      <c r="F199" t="s">
        <v>221</v>
      </c>
      <c r="G199" t="s">
        <v>122</v>
      </c>
      <c r="H199" t="s">
        <v>901</v>
      </c>
      <c r="J199">
        <v>0</v>
      </c>
      <c r="K199">
        <v>0</v>
      </c>
      <c r="L199">
        <v>0</v>
      </c>
      <c r="M199">
        <v>0</v>
      </c>
      <c r="N199" t="s">
        <v>145</v>
      </c>
      <c r="P199" t="s">
        <v>12</v>
      </c>
      <c r="Q199" t="s">
        <v>14</v>
      </c>
      <c r="R199" t="s">
        <v>146</v>
      </c>
      <c r="S199" t="s">
        <v>5</v>
      </c>
      <c r="T199" t="s">
        <v>902</v>
      </c>
      <c r="U199" t="s">
        <v>903</v>
      </c>
    </row>
    <row r="200" spans="1:21" x14ac:dyDescent="0.3">
      <c r="A200" s="64">
        <v>46141</v>
      </c>
      <c r="B200" t="s">
        <v>904</v>
      </c>
      <c r="C200" t="s">
        <v>905</v>
      </c>
      <c r="E200" t="s">
        <v>19</v>
      </c>
      <c r="F200" t="s">
        <v>109</v>
      </c>
      <c r="G200" t="s">
        <v>59</v>
      </c>
      <c r="H200" t="s">
        <v>60</v>
      </c>
      <c r="J200">
        <v>0</v>
      </c>
      <c r="K200">
        <v>0</v>
      </c>
      <c r="L200">
        <v>0</v>
      </c>
      <c r="M200">
        <v>0</v>
      </c>
      <c r="N200" t="s">
        <v>1</v>
      </c>
      <c r="P200" t="s">
        <v>12</v>
      </c>
      <c r="Q200" t="s">
        <v>14</v>
      </c>
      <c r="R200" t="s">
        <v>146</v>
      </c>
      <c r="S200" t="s">
        <v>5</v>
      </c>
      <c r="T200" t="s">
        <v>347</v>
      </c>
      <c r="U200" t="s">
        <v>218</v>
      </c>
    </row>
    <row r="201" spans="1:21" x14ac:dyDescent="0.3">
      <c r="A201" s="64">
        <v>46141</v>
      </c>
      <c r="B201" t="s">
        <v>906</v>
      </c>
      <c r="C201" t="s">
        <v>907</v>
      </c>
      <c r="E201" t="s">
        <v>19</v>
      </c>
      <c r="F201" t="s">
        <v>109</v>
      </c>
      <c r="G201" t="s">
        <v>68</v>
      </c>
      <c r="H201" t="s">
        <v>906</v>
      </c>
      <c r="J201">
        <v>0</v>
      </c>
      <c r="K201">
        <v>0</v>
      </c>
      <c r="L201">
        <v>0</v>
      </c>
      <c r="M201">
        <v>0</v>
      </c>
      <c r="N201" t="s">
        <v>1</v>
      </c>
      <c r="P201" t="s">
        <v>12</v>
      </c>
      <c r="Q201" t="s">
        <v>14</v>
      </c>
      <c r="R201" t="s">
        <v>146</v>
      </c>
      <c r="S201" t="s">
        <v>5</v>
      </c>
      <c r="T201" t="s">
        <v>908</v>
      </c>
      <c r="U201" t="s">
        <v>909</v>
      </c>
    </row>
    <row r="202" spans="1:21" x14ac:dyDescent="0.3">
      <c r="A202" s="64">
        <v>46141</v>
      </c>
      <c r="B202" t="s">
        <v>910</v>
      </c>
      <c r="C202" t="s">
        <v>911</v>
      </c>
      <c r="E202" t="s">
        <v>19</v>
      </c>
      <c r="F202" t="s">
        <v>109</v>
      </c>
      <c r="G202" t="s">
        <v>200</v>
      </c>
      <c r="H202" t="s">
        <v>912</v>
      </c>
      <c r="J202">
        <v>0</v>
      </c>
      <c r="K202">
        <v>0</v>
      </c>
      <c r="L202">
        <v>0</v>
      </c>
      <c r="M202">
        <v>0</v>
      </c>
      <c r="N202" t="s">
        <v>1</v>
      </c>
      <c r="P202" t="s">
        <v>15</v>
      </c>
      <c r="Q202" t="s">
        <v>15</v>
      </c>
      <c r="R202" t="s">
        <v>524</v>
      </c>
      <c r="S202" t="s">
        <v>15</v>
      </c>
      <c r="T202" t="s">
        <v>913</v>
      </c>
      <c r="U202" t="s">
        <v>914</v>
      </c>
    </row>
    <row r="203" spans="1:21" x14ac:dyDescent="0.3">
      <c r="A203" s="64">
        <v>46141</v>
      </c>
      <c r="B203" t="s">
        <v>915</v>
      </c>
      <c r="C203" t="s">
        <v>916</v>
      </c>
      <c r="E203" t="s">
        <v>19</v>
      </c>
      <c r="F203" t="s">
        <v>109</v>
      </c>
      <c r="G203" t="s">
        <v>59</v>
      </c>
      <c r="H203" t="s">
        <v>60</v>
      </c>
      <c r="J203">
        <v>0</v>
      </c>
      <c r="K203">
        <v>0</v>
      </c>
      <c r="L203">
        <v>0</v>
      </c>
      <c r="M203">
        <v>0</v>
      </c>
      <c r="N203" t="s">
        <v>1</v>
      </c>
      <c r="P203" t="s">
        <v>12</v>
      </c>
      <c r="Q203" t="s">
        <v>14</v>
      </c>
      <c r="R203" t="s">
        <v>146</v>
      </c>
      <c r="S203" t="s">
        <v>5</v>
      </c>
      <c r="T203" t="s">
        <v>347</v>
      </c>
      <c r="U203" t="s">
        <v>218</v>
      </c>
    </row>
    <row r="204" spans="1:21" x14ac:dyDescent="0.3">
      <c r="A204" s="64">
        <v>46141</v>
      </c>
      <c r="B204" t="s">
        <v>917</v>
      </c>
      <c r="C204" t="s">
        <v>918</v>
      </c>
      <c r="E204" t="s">
        <v>66</v>
      </c>
      <c r="F204" t="s">
        <v>103</v>
      </c>
      <c r="G204" t="s">
        <v>59</v>
      </c>
      <c r="H204" t="s">
        <v>60</v>
      </c>
      <c r="J204">
        <v>0</v>
      </c>
      <c r="K204">
        <v>0</v>
      </c>
      <c r="L204">
        <v>0</v>
      </c>
      <c r="M204">
        <v>0</v>
      </c>
      <c r="N204" t="s">
        <v>1</v>
      </c>
      <c r="P204" t="s">
        <v>12</v>
      </c>
      <c r="Q204" t="s">
        <v>14</v>
      </c>
      <c r="R204" t="s">
        <v>146</v>
      </c>
      <c r="S204" t="s">
        <v>5</v>
      </c>
      <c r="T204" t="s">
        <v>347</v>
      </c>
      <c r="U204" t="s">
        <v>218</v>
      </c>
    </row>
    <row r="205" spans="1:21" x14ac:dyDescent="0.3">
      <c r="A205" s="64">
        <v>46141</v>
      </c>
      <c r="B205" t="s">
        <v>919</v>
      </c>
      <c r="C205" t="s">
        <v>920</v>
      </c>
      <c r="E205" t="s">
        <v>19</v>
      </c>
      <c r="F205" t="s">
        <v>221</v>
      </c>
      <c r="G205" t="s">
        <v>68</v>
      </c>
      <c r="H205" t="s">
        <v>921</v>
      </c>
      <c r="J205">
        <v>0</v>
      </c>
      <c r="K205">
        <v>0</v>
      </c>
      <c r="L205">
        <v>0</v>
      </c>
      <c r="M205">
        <v>0</v>
      </c>
      <c r="N205" t="s">
        <v>1</v>
      </c>
      <c r="P205" t="s">
        <v>12</v>
      </c>
      <c r="Q205" t="s">
        <v>14</v>
      </c>
      <c r="R205" t="s">
        <v>146</v>
      </c>
      <c r="S205" t="s">
        <v>5</v>
      </c>
      <c r="T205" t="s">
        <v>922</v>
      </c>
      <c r="U205" t="s">
        <v>923</v>
      </c>
    </row>
    <row r="206" spans="1:21" x14ac:dyDescent="0.3">
      <c r="A206" s="64">
        <v>46141</v>
      </c>
      <c r="B206" t="s">
        <v>924</v>
      </c>
      <c r="C206" t="s">
        <v>925</v>
      </c>
      <c r="E206" t="s">
        <v>19</v>
      </c>
      <c r="F206" t="s">
        <v>109</v>
      </c>
      <c r="G206" t="s">
        <v>59</v>
      </c>
      <c r="H206" t="s">
        <v>926</v>
      </c>
      <c r="J206">
        <v>0</v>
      </c>
      <c r="K206">
        <v>0</v>
      </c>
      <c r="L206">
        <v>0</v>
      </c>
      <c r="M206">
        <v>0</v>
      </c>
      <c r="N206" t="s">
        <v>1</v>
      </c>
      <c r="P206" t="s">
        <v>6</v>
      </c>
      <c r="Q206" t="s">
        <v>6</v>
      </c>
      <c r="R206" t="s">
        <v>188</v>
      </c>
      <c r="S206" t="s">
        <v>10</v>
      </c>
      <c r="T206" t="s">
        <v>927</v>
      </c>
      <c r="U206" t="s">
        <v>928</v>
      </c>
    </row>
    <row r="207" spans="1:21" x14ac:dyDescent="0.3">
      <c r="A207" s="64">
        <v>46141</v>
      </c>
      <c r="B207" t="s">
        <v>929</v>
      </c>
      <c r="C207" t="s">
        <v>930</v>
      </c>
      <c r="E207" t="s">
        <v>66</v>
      </c>
      <c r="F207" t="s">
        <v>193</v>
      </c>
      <c r="G207" t="s">
        <v>200</v>
      </c>
      <c r="H207" t="s">
        <v>931</v>
      </c>
      <c r="J207">
        <v>0</v>
      </c>
      <c r="K207">
        <v>0</v>
      </c>
      <c r="L207">
        <v>0</v>
      </c>
      <c r="M207">
        <v>0</v>
      </c>
      <c r="N207" t="s">
        <v>1</v>
      </c>
      <c r="P207" t="s">
        <v>15</v>
      </c>
      <c r="Q207" t="s">
        <v>15</v>
      </c>
      <c r="R207" t="s">
        <v>15</v>
      </c>
      <c r="S207" t="s">
        <v>15</v>
      </c>
      <c r="T207" t="s">
        <v>932</v>
      </c>
      <c r="U207" t="s">
        <v>933</v>
      </c>
    </row>
    <row r="208" spans="1:21" x14ac:dyDescent="0.3">
      <c r="A208" s="64">
        <v>46141</v>
      </c>
      <c r="B208" t="s">
        <v>934</v>
      </c>
      <c r="C208" t="s">
        <v>935</v>
      </c>
      <c r="E208" t="s">
        <v>19</v>
      </c>
      <c r="F208" t="s">
        <v>109</v>
      </c>
      <c r="G208" t="s">
        <v>59</v>
      </c>
      <c r="H208" t="s">
        <v>60</v>
      </c>
      <c r="J208">
        <v>0</v>
      </c>
      <c r="K208">
        <v>0</v>
      </c>
      <c r="L208">
        <v>0</v>
      </c>
      <c r="M208">
        <v>0</v>
      </c>
      <c r="N208" t="s">
        <v>1</v>
      </c>
      <c r="P208" t="s">
        <v>12</v>
      </c>
      <c r="Q208" t="s">
        <v>14</v>
      </c>
      <c r="R208" t="s">
        <v>146</v>
      </c>
      <c r="S208" t="s">
        <v>5</v>
      </c>
      <c r="T208" t="s">
        <v>347</v>
      </c>
      <c r="U208" t="s">
        <v>218</v>
      </c>
    </row>
    <row r="209" spans="1:21" x14ac:dyDescent="0.3">
      <c r="A209" s="64">
        <v>46141</v>
      </c>
      <c r="B209" t="s">
        <v>936</v>
      </c>
      <c r="C209" t="s">
        <v>937</v>
      </c>
      <c r="E209" t="s">
        <v>66</v>
      </c>
      <c r="F209" t="s">
        <v>938</v>
      </c>
      <c r="G209" t="s">
        <v>59</v>
      </c>
      <c r="H209" t="s">
        <v>60</v>
      </c>
      <c r="J209">
        <v>0</v>
      </c>
      <c r="K209">
        <v>0</v>
      </c>
      <c r="L209">
        <v>0</v>
      </c>
      <c r="M209">
        <v>0</v>
      </c>
      <c r="N209" t="s">
        <v>1</v>
      </c>
      <c r="P209" t="s">
        <v>12</v>
      </c>
      <c r="Q209" t="s">
        <v>14</v>
      </c>
      <c r="R209" t="s">
        <v>146</v>
      </c>
      <c r="S209" t="s">
        <v>5</v>
      </c>
      <c r="T209" t="s">
        <v>347</v>
      </c>
      <c r="U209" t="s">
        <v>218</v>
      </c>
    </row>
    <row r="210" spans="1:21" x14ac:dyDescent="0.3">
      <c r="A210" s="64">
        <v>46141</v>
      </c>
      <c r="B210" t="s">
        <v>939</v>
      </c>
      <c r="C210" t="s">
        <v>940</v>
      </c>
      <c r="E210" t="s">
        <v>19</v>
      </c>
      <c r="F210" t="s">
        <v>109</v>
      </c>
      <c r="G210" t="s">
        <v>59</v>
      </c>
      <c r="H210" t="s">
        <v>60</v>
      </c>
      <c r="J210">
        <v>0</v>
      </c>
      <c r="K210">
        <v>0</v>
      </c>
      <c r="L210">
        <v>0</v>
      </c>
      <c r="M210">
        <v>0</v>
      </c>
      <c r="N210" t="s">
        <v>1</v>
      </c>
      <c r="P210" t="s">
        <v>15</v>
      </c>
      <c r="Q210" t="s">
        <v>15</v>
      </c>
      <c r="R210" t="s">
        <v>524</v>
      </c>
      <c r="S210" t="s">
        <v>15</v>
      </c>
      <c r="T210" t="s">
        <v>941</v>
      </c>
      <c r="U210" t="s">
        <v>942</v>
      </c>
    </row>
    <row r="211" spans="1:21" x14ac:dyDescent="0.3">
      <c r="A211" s="64">
        <v>46141</v>
      </c>
      <c r="B211" t="s">
        <v>943</v>
      </c>
      <c r="C211" t="s">
        <v>944</v>
      </c>
      <c r="E211" t="s">
        <v>19</v>
      </c>
      <c r="F211" t="s">
        <v>109</v>
      </c>
      <c r="G211" t="s">
        <v>122</v>
      </c>
      <c r="H211" t="s">
        <v>943</v>
      </c>
      <c r="J211">
        <v>0</v>
      </c>
      <c r="K211">
        <v>0</v>
      </c>
      <c r="L211">
        <v>0</v>
      </c>
      <c r="M211">
        <v>0</v>
      </c>
      <c r="N211" t="s">
        <v>145</v>
      </c>
      <c r="P211" t="s">
        <v>12</v>
      </c>
      <c r="Q211" t="s">
        <v>14</v>
      </c>
      <c r="R211" t="s">
        <v>146</v>
      </c>
      <c r="S211" t="s">
        <v>5</v>
      </c>
      <c r="T211" t="s">
        <v>945</v>
      </c>
      <c r="U211" t="s">
        <v>946</v>
      </c>
    </row>
    <row r="212" spans="1:21" x14ac:dyDescent="0.3">
      <c r="A212" s="64">
        <v>46141</v>
      </c>
      <c r="B212" t="s">
        <v>947</v>
      </c>
      <c r="C212" t="s">
        <v>948</v>
      </c>
      <c r="E212" t="s">
        <v>19</v>
      </c>
      <c r="F212" t="s">
        <v>261</v>
      </c>
      <c r="G212" t="s">
        <v>110</v>
      </c>
      <c r="H212" t="s">
        <v>947</v>
      </c>
      <c r="J212">
        <v>0</v>
      </c>
      <c r="K212">
        <v>0</v>
      </c>
      <c r="L212">
        <v>0</v>
      </c>
      <c r="M212">
        <v>0</v>
      </c>
      <c r="N212" t="s">
        <v>1</v>
      </c>
      <c r="P212" t="s">
        <v>18</v>
      </c>
      <c r="Q212" t="s">
        <v>18</v>
      </c>
      <c r="R212" t="s">
        <v>949</v>
      </c>
      <c r="S212" t="s">
        <v>13</v>
      </c>
      <c r="T212" t="s">
        <v>950</v>
      </c>
      <c r="U212" t="s">
        <v>951</v>
      </c>
    </row>
    <row r="213" spans="1:21" x14ac:dyDescent="0.3">
      <c r="A213" s="64">
        <v>46141</v>
      </c>
      <c r="B213" t="s">
        <v>952</v>
      </c>
      <c r="C213" t="s">
        <v>953</v>
      </c>
      <c r="E213" t="s">
        <v>66</v>
      </c>
      <c r="F213" t="s">
        <v>67</v>
      </c>
      <c r="G213" t="s">
        <v>68</v>
      </c>
      <c r="H213" t="s">
        <v>69</v>
      </c>
      <c r="J213">
        <v>0</v>
      </c>
      <c r="K213">
        <v>0</v>
      </c>
      <c r="L213">
        <v>0</v>
      </c>
      <c r="M213">
        <v>0</v>
      </c>
      <c r="N213" t="s">
        <v>1</v>
      </c>
      <c r="P213" t="s">
        <v>12</v>
      </c>
      <c r="Q213" t="s">
        <v>14</v>
      </c>
      <c r="R213" t="s">
        <v>146</v>
      </c>
      <c r="S213" t="s">
        <v>5</v>
      </c>
      <c r="T213" t="s">
        <v>954</v>
      </c>
      <c r="U213" t="s">
        <v>955</v>
      </c>
    </row>
    <row r="214" spans="1:21" x14ac:dyDescent="0.3">
      <c r="A214" s="64">
        <v>46141</v>
      </c>
      <c r="B214" t="s">
        <v>956</v>
      </c>
      <c r="C214" t="s">
        <v>957</v>
      </c>
      <c r="E214" t="s">
        <v>66</v>
      </c>
      <c r="F214" t="s">
        <v>396</v>
      </c>
      <c r="G214" t="s">
        <v>181</v>
      </c>
      <c r="H214" t="s">
        <v>672</v>
      </c>
      <c r="J214">
        <v>0</v>
      </c>
      <c r="K214">
        <v>0</v>
      </c>
      <c r="L214">
        <v>0</v>
      </c>
      <c r="M214">
        <v>0</v>
      </c>
      <c r="N214" t="s">
        <v>1</v>
      </c>
      <c r="P214" t="s">
        <v>20</v>
      </c>
      <c r="Q214" t="s">
        <v>20</v>
      </c>
      <c r="R214" t="s">
        <v>958</v>
      </c>
      <c r="S214" t="s">
        <v>13</v>
      </c>
      <c r="T214" t="s">
        <v>959</v>
      </c>
      <c r="U214" t="s">
        <v>960</v>
      </c>
    </row>
    <row r="215" spans="1:21" x14ac:dyDescent="0.3">
      <c r="A215" s="64">
        <v>46141</v>
      </c>
      <c r="B215" t="s">
        <v>961</v>
      </c>
      <c r="C215" t="s">
        <v>962</v>
      </c>
      <c r="E215" t="s">
        <v>66</v>
      </c>
      <c r="F215" t="s">
        <v>103</v>
      </c>
      <c r="G215" t="s">
        <v>68</v>
      </c>
      <c r="H215" t="s">
        <v>69</v>
      </c>
      <c r="J215">
        <v>0</v>
      </c>
      <c r="K215">
        <v>0</v>
      </c>
      <c r="L215">
        <v>0</v>
      </c>
      <c r="M215">
        <v>0</v>
      </c>
      <c r="N215" t="s">
        <v>1</v>
      </c>
      <c r="P215" t="s">
        <v>9</v>
      </c>
      <c r="Q215" t="s">
        <v>11</v>
      </c>
      <c r="R215" t="s">
        <v>104</v>
      </c>
      <c r="S215" t="s">
        <v>10</v>
      </c>
      <c r="T215" t="s">
        <v>963</v>
      </c>
      <c r="U215" t="s">
        <v>964</v>
      </c>
    </row>
    <row r="216" spans="1:21" x14ac:dyDescent="0.3">
      <c r="A216" s="64">
        <v>46141</v>
      </c>
      <c r="B216" t="s">
        <v>965</v>
      </c>
      <c r="C216" t="s">
        <v>966</v>
      </c>
      <c r="E216" t="s">
        <v>66</v>
      </c>
      <c r="F216" t="s">
        <v>193</v>
      </c>
      <c r="G216" t="s">
        <v>59</v>
      </c>
      <c r="H216" t="s">
        <v>967</v>
      </c>
      <c r="J216">
        <v>0</v>
      </c>
      <c r="K216">
        <v>0</v>
      </c>
      <c r="L216">
        <v>0</v>
      </c>
      <c r="M216">
        <v>0</v>
      </c>
      <c r="N216" t="s">
        <v>1</v>
      </c>
      <c r="P216" t="s">
        <v>24</v>
      </c>
      <c r="Q216" t="s">
        <v>22</v>
      </c>
      <c r="R216" t="s">
        <v>391</v>
      </c>
      <c r="S216" t="s">
        <v>5</v>
      </c>
      <c r="T216" t="s">
        <v>968</v>
      </c>
      <c r="U216" t="s">
        <v>969</v>
      </c>
    </row>
    <row r="217" spans="1:21" x14ac:dyDescent="0.3">
      <c r="A217" s="64">
        <v>46141</v>
      </c>
      <c r="B217" t="s">
        <v>970</v>
      </c>
      <c r="C217" t="s">
        <v>971</v>
      </c>
      <c r="E217" t="s">
        <v>19</v>
      </c>
      <c r="F217" t="s">
        <v>820</v>
      </c>
      <c r="G217" t="s">
        <v>68</v>
      </c>
      <c r="H217" t="s">
        <v>972</v>
      </c>
      <c r="J217">
        <v>0</v>
      </c>
      <c r="K217">
        <v>0</v>
      </c>
      <c r="L217">
        <v>0</v>
      </c>
      <c r="M217">
        <v>0</v>
      </c>
      <c r="N217" t="s">
        <v>1</v>
      </c>
      <c r="P217" t="s">
        <v>12</v>
      </c>
      <c r="Q217" t="s">
        <v>14</v>
      </c>
      <c r="R217" t="s">
        <v>146</v>
      </c>
      <c r="S217" t="s">
        <v>5</v>
      </c>
      <c r="T217" t="s">
        <v>908</v>
      </c>
      <c r="U217" t="s">
        <v>909</v>
      </c>
    </row>
    <row r="218" spans="1:21" x14ac:dyDescent="0.3">
      <c r="A218" s="64">
        <v>46141</v>
      </c>
      <c r="B218" t="s">
        <v>973</v>
      </c>
      <c r="C218" t="s">
        <v>974</v>
      </c>
      <c r="E218" t="s">
        <v>19</v>
      </c>
      <c r="F218" t="s">
        <v>109</v>
      </c>
      <c r="G218" t="s">
        <v>68</v>
      </c>
      <c r="H218" t="s">
        <v>69</v>
      </c>
      <c r="J218">
        <v>0</v>
      </c>
      <c r="K218">
        <v>0</v>
      </c>
      <c r="L218">
        <v>0</v>
      </c>
      <c r="M218">
        <v>0</v>
      </c>
      <c r="N218" t="s">
        <v>1</v>
      </c>
      <c r="P218" t="s">
        <v>23</v>
      </c>
      <c r="Q218" t="s">
        <v>11</v>
      </c>
      <c r="R218" t="s">
        <v>975</v>
      </c>
      <c r="S218" t="s">
        <v>10</v>
      </c>
      <c r="T218" t="s">
        <v>976</v>
      </c>
      <c r="U218" t="s">
        <v>977</v>
      </c>
    </row>
    <row r="219" spans="1:21" x14ac:dyDescent="0.3">
      <c r="A219" s="64">
        <v>46141</v>
      </c>
      <c r="B219" t="s">
        <v>978</v>
      </c>
      <c r="C219" t="s">
        <v>979</v>
      </c>
      <c r="E219" t="s">
        <v>19</v>
      </c>
      <c r="F219" t="s">
        <v>109</v>
      </c>
      <c r="G219" t="s">
        <v>68</v>
      </c>
      <c r="H219" t="s">
        <v>978</v>
      </c>
      <c r="J219">
        <v>0</v>
      </c>
      <c r="K219">
        <v>0</v>
      </c>
      <c r="L219">
        <v>0</v>
      </c>
      <c r="M219">
        <v>0</v>
      </c>
      <c r="N219" t="s">
        <v>1</v>
      </c>
      <c r="P219" t="s">
        <v>12</v>
      </c>
      <c r="Q219" t="s">
        <v>14</v>
      </c>
      <c r="R219" t="s">
        <v>146</v>
      </c>
      <c r="S219" t="s">
        <v>5</v>
      </c>
      <c r="T219" t="s">
        <v>980</v>
      </c>
      <c r="U219" t="s">
        <v>981</v>
      </c>
    </row>
    <row r="220" spans="1:21" x14ac:dyDescent="0.3">
      <c r="A220" s="64">
        <v>46141</v>
      </c>
      <c r="B220" t="s">
        <v>982</v>
      </c>
      <c r="C220" t="s">
        <v>983</v>
      </c>
      <c r="E220" t="s">
        <v>66</v>
      </c>
      <c r="F220" t="s">
        <v>193</v>
      </c>
      <c r="G220" t="s">
        <v>355</v>
      </c>
      <c r="H220" t="s">
        <v>982</v>
      </c>
      <c r="J220">
        <v>0</v>
      </c>
      <c r="K220">
        <v>0</v>
      </c>
      <c r="L220">
        <v>0</v>
      </c>
      <c r="M220">
        <v>0</v>
      </c>
      <c r="N220" t="s">
        <v>1</v>
      </c>
      <c r="P220" t="s">
        <v>6</v>
      </c>
      <c r="Q220" t="s">
        <v>6</v>
      </c>
      <c r="R220" t="s">
        <v>188</v>
      </c>
      <c r="S220" t="s">
        <v>10</v>
      </c>
      <c r="T220" t="s">
        <v>984</v>
      </c>
      <c r="U220" t="s">
        <v>985</v>
      </c>
    </row>
    <row r="221" spans="1:21" x14ac:dyDescent="0.3">
      <c r="A221" s="64">
        <v>46141</v>
      </c>
      <c r="B221" t="s">
        <v>986</v>
      </c>
      <c r="C221" t="s">
        <v>987</v>
      </c>
      <c r="E221" t="s">
        <v>19</v>
      </c>
      <c r="F221" t="s">
        <v>109</v>
      </c>
      <c r="G221" t="s">
        <v>59</v>
      </c>
      <c r="H221" t="s">
        <v>988</v>
      </c>
      <c r="J221">
        <v>0</v>
      </c>
      <c r="K221">
        <v>0</v>
      </c>
      <c r="L221">
        <v>0</v>
      </c>
      <c r="M221">
        <v>0</v>
      </c>
      <c r="N221" t="s">
        <v>1</v>
      </c>
      <c r="P221" t="s">
        <v>19</v>
      </c>
      <c r="Q221" t="s">
        <v>11</v>
      </c>
      <c r="R221" t="s">
        <v>80</v>
      </c>
      <c r="S221" t="s">
        <v>10</v>
      </c>
      <c r="T221" t="s">
        <v>989</v>
      </c>
      <c r="U221" t="s">
        <v>990</v>
      </c>
    </row>
    <row r="222" spans="1:21" x14ac:dyDescent="0.3">
      <c r="A222" s="64">
        <v>46141</v>
      </c>
      <c r="B222" t="s">
        <v>991</v>
      </c>
      <c r="C222" t="s">
        <v>992</v>
      </c>
      <c r="E222" t="s">
        <v>19</v>
      </c>
      <c r="F222" t="s">
        <v>109</v>
      </c>
      <c r="G222" t="s">
        <v>68</v>
      </c>
      <c r="H222" t="s">
        <v>991</v>
      </c>
      <c r="J222">
        <v>0</v>
      </c>
      <c r="K222">
        <v>0</v>
      </c>
      <c r="L222">
        <v>0</v>
      </c>
      <c r="M222">
        <v>0</v>
      </c>
      <c r="N222" t="s">
        <v>1</v>
      </c>
      <c r="P222" t="s">
        <v>19</v>
      </c>
      <c r="Q222" t="s">
        <v>11</v>
      </c>
      <c r="R222" t="s">
        <v>80</v>
      </c>
      <c r="S222" t="s">
        <v>10</v>
      </c>
      <c r="T222" t="s">
        <v>993</v>
      </c>
      <c r="U222" t="s">
        <v>994</v>
      </c>
    </row>
    <row r="223" spans="1:21" x14ac:dyDescent="0.3">
      <c r="A223" s="64">
        <v>46141</v>
      </c>
      <c r="B223" t="s">
        <v>995</v>
      </c>
      <c r="C223" t="s">
        <v>996</v>
      </c>
      <c r="E223" t="s">
        <v>19</v>
      </c>
      <c r="F223" t="s">
        <v>109</v>
      </c>
      <c r="G223" t="s">
        <v>68</v>
      </c>
      <c r="H223" t="s">
        <v>995</v>
      </c>
      <c r="J223">
        <v>0</v>
      </c>
      <c r="K223">
        <v>0</v>
      </c>
      <c r="L223">
        <v>0</v>
      </c>
      <c r="M223">
        <v>0</v>
      </c>
      <c r="N223" t="s">
        <v>1</v>
      </c>
      <c r="P223" t="s">
        <v>12</v>
      </c>
      <c r="Q223" t="s">
        <v>14</v>
      </c>
      <c r="R223" t="s">
        <v>146</v>
      </c>
      <c r="S223" t="s">
        <v>5</v>
      </c>
      <c r="T223" t="s">
        <v>997</v>
      </c>
      <c r="U223" t="s">
        <v>998</v>
      </c>
    </row>
    <row r="224" spans="1:21" x14ac:dyDescent="0.3">
      <c r="A224" s="64">
        <v>46141</v>
      </c>
      <c r="B224" t="s">
        <v>999</v>
      </c>
      <c r="C224" t="s">
        <v>1000</v>
      </c>
      <c r="E224" t="s">
        <v>19</v>
      </c>
      <c r="F224" t="s">
        <v>109</v>
      </c>
      <c r="G224" t="s">
        <v>68</v>
      </c>
      <c r="H224" t="s">
        <v>999</v>
      </c>
      <c r="J224">
        <v>0</v>
      </c>
      <c r="K224">
        <v>0</v>
      </c>
      <c r="L224">
        <v>0</v>
      </c>
      <c r="M224">
        <v>0</v>
      </c>
      <c r="N224" t="s">
        <v>1</v>
      </c>
      <c r="P224" t="s">
        <v>15</v>
      </c>
      <c r="Q224" t="s">
        <v>15</v>
      </c>
      <c r="R224" t="s">
        <v>15</v>
      </c>
      <c r="S224" t="s">
        <v>15</v>
      </c>
      <c r="T224" t="s">
        <v>1001</v>
      </c>
      <c r="U224" t="s">
        <v>1002</v>
      </c>
    </row>
    <row r="225" spans="1:21" x14ac:dyDescent="0.3">
      <c r="A225" s="64">
        <v>46141</v>
      </c>
      <c r="B225" t="s">
        <v>1003</v>
      </c>
      <c r="C225" t="s">
        <v>1004</v>
      </c>
      <c r="E225" t="s">
        <v>19</v>
      </c>
      <c r="F225" t="s">
        <v>221</v>
      </c>
      <c r="G225" t="s">
        <v>122</v>
      </c>
      <c r="H225" t="s">
        <v>1003</v>
      </c>
      <c r="J225">
        <v>0</v>
      </c>
      <c r="K225">
        <v>0</v>
      </c>
      <c r="L225">
        <v>0</v>
      </c>
      <c r="M225">
        <v>0</v>
      </c>
      <c r="N225" t="s">
        <v>145</v>
      </c>
      <c r="P225" t="s">
        <v>4</v>
      </c>
      <c r="Q225" t="s">
        <v>4</v>
      </c>
      <c r="R225" t="s">
        <v>4</v>
      </c>
      <c r="S225" t="s">
        <v>4</v>
      </c>
      <c r="T225" t="s">
        <v>1005</v>
      </c>
      <c r="U225" t="s">
        <v>1006</v>
      </c>
    </row>
    <row r="226" spans="1:21" x14ac:dyDescent="0.3">
      <c r="A226" s="64">
        <v>46141</v>
      </c>
      <c r="B226" t="s">
        <v>1007</v>
      </c>
      <c r="C226" t="s">
        <v>1008</v>
      </c>
      <c r="E226" t="s">
        <v>19</v>
      </c>
      <c r="F226" t="s">
        <v>1009</v>
      </c>
      <c r="G226" t="s">
        <v>59</v>
      </c>
      <c r="H226" t="s">
        <v>1007</v>
      </c>
      <c r="J226">
        <v>0</v>
      </c>
      <c r="K226">
        <v>0</v>
      </c>
      <c r="L226">
        <v>0</v>
      </c>
      <c r="M226">
        <v>0</v>
      </c>
      <c r="N226" t="s">
        <v>1</v>
      </c>
      <c r="P226" t="s">
        <v>19</v>
      </c>
      <c r="Q226" t="s">
        <v>11</v>
      </c>
      <c r="R226" t="s">
        <v>80</v>
      </c>
      <c r="S226" t="s">
        <v>10</v>
      </c>
      <c r="T226" t="s">
        <v>1010</v>
      </c>
      <c r="U226" t="s">
        <v>1011</v>
      </c>
    </row>
    <row r="227" spans="1:21" x14ac:dyDescent="0.3">
      <c r="A227" s="64">
        <v>46141</v>
      </c>
      <c r="B227" t="s">
        <v>1012</v>
      </c>
      <c r="C227" t="s">
        <v>1013</v>
      </c>
      <c r="E227" t="s">
        <v>19</v>
      </c>
      <c r="F227" t="s">
        <v>221</v>
      </c>
      <c r="G227" t="s">
        <v>59</v>
      </c>
      <c r="H227" t="s">
        <v>1014</v>
      </c>
      <c r="J227">
        <v>0</v>
      </c>
      <c r="K227">
        <v>0</v>
      </c>
      <c r="L227">
        <v>0</v>
      </c>
      <c r="M227">
        <v>0</v>
      </c>
      <c r="N227" t="s">
        <v>1</v>
      </c>
      <c r="P227" t="s">
        <v>19</v>
      </c>
      <c r="Q227" t="s">
        <v>11</v>
      </c>
      <c r="R227" t="s">
        <v>80</v>
      </c>
      <c r="S227" t="s">
        <v>10</v>
      </c>
      <c r="T227" t="s">
        <v>1015</v>
      </c>
      <c r="U227" t="s">
        <v>1016</v>
      </c>
    </row>
    <row r="228" spans="1:21" x14ac:dyDescent="0.3">
      <c r="A228" s="64">
        <v>46141</v>
      </c>
      <c r="B228" t="s">
        <v>1017</v>
      </c>
      <c r="C228" t="s">
        <v>1018</v>
      </c>
      <c r="E228" t="s">
        <v>19</v>
      </c>
      <c r="F228" t="s">
        <v>109</v>
      </c>
      <c r="G228" t="s">
        <v>59</v>
      </c>
      <c r="H228" t="s">
        <v>1017</v>
      </c>
      <c r="J228">
        <v>0</v>
      </c>
      <c r="K228">
        <v>0</v>
      </c>
      <c r="L228">
        <v>0</v>
      </c>
      <c r="M228">
        <v>0</v>
      </c>
      <c r="N228" t="s">
        <v>1</v>
      </c>
      <c r="P228" t="s">
        <v>19</v>
      </c>
      <c r="Q228" t="s">
        <v>11</v>
      </c>
      <c r="R228" t="s">
        <v>80</v>
      </c>
      <c r="S228" t="s">
        <v>10</v>
      </c>
      <c r="T228" t="s">
        <v>1019</v>
      </c>
      <c r="U228" t="s">
        <v>1020</v>
      </c>
    </row>
    <row r="229" spans="1:21" x14ac:dyDescent="0.3">
      <c r="A229" s="64">
        <v>46141</v>
      </c>
      <c r="B229" t="s">
        <v>1021</v>
      </c>
      <c r="C229" t="s">
        <v>1022</v>
      </c>
      <c r="E229" t="s">
        <v>66</v>
      </c>
      <c r="F229" t="s">
        <v>67</v>
      </c>
      <c r="G229" t="s">
        <v>68</v>
      </c>
      <c r="H229" t="s">
        <v>1023</v>
      </c>
      <c r="J229">
        <v>0</v>
      </c>
      <c r="K229">
        <v>0</v>
      </c>
      <c r="L229">
        <v>0</v>
      </c>
      <c r="M229">
        <v>0</v>
      </c>
      <c r="N229" t="s">
        <v>1</v>
      </c>
      <c r="P229" t="s">
        <v>7</v>
      </c>
      <c r="Q229" t="s">
        <v>11</v>
      </c>
      <c r="R229" t="s">
        <v>70</v>
      </c>
      <c r="S229" t="s">
        <v>10</v>
      </c>
      <c r="T229" t="s">
        <v>1024</v>
      </c>
      <c r="U229" t="s">
        <v>1025</v>
      </c>
    </row>
    <row r="230" spans="1:21" x14ac:dyDescent="0.3">
      <c r="A230" s="64">
        <v>46141</v>
      </c>
      <c r="B230" t="s">
        <v>1026</v>
      </c>
      <c r="C230" t="s">
        <v>1027</v>
      </c>
      <c r="E230" t="s">
        <v>66</v>
      </c>
      <c r="G230" t="s">
        <v>59</v>
      </c>
      <c r="H230" t="s">
        <v>1028</v>
      </c>
      <c r="J230">
        <v>0</v>
      </c>
      <c r="K230">
        <v>0</v>
      </c>
      <c r="L230">
        <v>0</v>
      </c>
      <c r="M230">
        <v>0</v>
      </c>
      <c r="N230" t="s">
        <v>1</v>
      </c>
      <c r="P230" t="s">
        <v>4</v>
      </c>
      <c r="Q230" t="s">
        <v>4</v>
      </c>
      <c r="R230" t="s">
        <v>4</v>
      </c>
      <c r="S230" t="s">
        <v>4</v>
      </c>
      <c r="T230" t="s">
        <v>1029</v>
      </c>
      <c r="U230" t="s">
        <v>1030</v>
      </c>
    </row>
    <row r="231" spans="1:21" x14ac:dyDescent="0.3">
      <c r="A231" s="64">
        <v>46141</v>
      </c>
      <c r="B231" t="s">
        <v>1031</v>
      </c>
      <c r="C231" t="s">
        <v>1032</v>
      </c>
      <c r="E231" t="s">
        <v>19</v>
      </c>
      <c r="F231" t="s">
        <v>109</v>
      </c>
      <c r="G231" t="s">
        <v>122</v>
      </c>
      <c r="H231" t="s">
        <v>1031</v>
      </c>
      <c r="J231">
        <v>0</v>
      </c>
      <c r="K231">
        <v>0</v>
      </c>
      <c r="L231">
        <v>0</v>
      </c>
      <c r="M231">
        <v>0</v>
      </c>
      <c r="N231" t="s">
        <v>145</v>
      </c>
      <c r="P231" t="s">
        <v>4</v>
      </c>
      <c r="Q231" t="s">
        <v>4</v>
      </c>
      <c r="R231" t="s">
        <v>4</v>
      </c>
      <c r="S231" t="s">
        <v>4</v>
      </c>
      <c r="T231" t="s">
        <v>1033</v>
      </c>
      <c r="U231" t="s">
        <v>1034</v>
      </c>
    </row>
    <row r="232" spans="1:21" x14ac:dyDescent="0.3">
      <c r="A232" s="64">
        <v>46141</v>
      </c>
      <c r="B232" t="s">
        <v>1035</v>
      </c>
      <c r="C232" t="s">
        <v>1036</v>
      </c>
      <c r="E232" t="s">
        <v>66</v>
      </c>
      <c r="F232" t="s">
        <v>1037</v>
      </c>
      <c r="G232" t="s">
        <v>68</v>
      </c>
      <c r="H232" t="s">
        <v>1038</v>
      </c>
      <c r="J232">
        <v>0</v>
      </c>
      <c r="K232">
        <v>0</v>
      </c>
      <c r="L232">
        <v>0</v>
      </c>
      <c r="M232">
        <v>0</v>
      </c>
      <c r="N232" t="s">
        <v>1</v>
      </c>
      <c r="P232" t="s">
        <v>7</v>
      </c>
      <c r="Q232" t="s">
        <v>11</v>
      </c>
      <c r="R232" t="s">
        <v>70</v>
      </c>
      <c r="S232" t="s">
        <v>10</v>
      </c>
      <c r="T232" t="s">
        <v>1039</v>
      </c>
      <c r="U232" t="s">
        <v>1040</v>
      </c>
    </row>
    <row r="233" spans="1:21" x14ac:dyDescent="0.3">
      <c r="A233" s="64">
        <v>46141</v>
      </c>
      <c r="B233" t="s">
        <v>1041</v>
      </c>
      <c r="C233" t="s">
        <v>1042</v>
      </c>
      <c r="E233" t="s">
        <v>19</v>
      </c>
      <c r="F233" t="s">
        <v>109</v>
      </c>
      <c r="G233" t="s">
        <v>59</v>
      </c>
      <c r="H233" t="s">
        <v>1043</v>
      </c>
      <c r="J233">
        <v>0</v>
      </c>
      <c r="K233">
        <v>0</v>
      </c>
      <c r="L233">
        <v>0</v>
      </c>
      <c r="M233">
        <v>0</v>
      </c>
      <c r="N233" t="s">
        <v>1</v>
      </c>
      <c r="P233" t="s">
        <v>15</v>
      </c>
      <c r="Q233" t="s">
        <v>15</v>
      </c>
      <c r="R233" t="s">
        <v>15</v>
      </c>
      <c r="S233" t="s">
        <v>15</v>
      </c>
      <c r="T233" t="s">
        <v>1044</v>
      </c>
      <c r="U233" t="s">
        <v>1045</v>
      </c>
    </row>
    <row r="234" spans="1:21" x14ac:dyDescent="0.3">
      <c r="A234" s="64">
        <v>46141</v>
      </c>
      <c r="B234" t="s">
        <v>1046</v>
      </c>
      <c r="C234" t="s">
        <v>1047</v>
      </c>
      <c r="E234" t="s">
        <v>19</v>
      </c>
      <c r="F234" t="s">
        <v>261</v>
      </c>
      <c r="G234" t="s">
        <v>59</v>
      </c>
      <c r="H234" t="s">
        <v>1046</v>
      </c>
      <c r="J234">
        <v>0</v>
      </c>
      <c r="K234">
        <v>0</v>
      </c>
      <c r="L234">
        <v>0</v>
      </c>
      <c r="M234">
        <v>0</v>
      </c>
      <c r="N234" t="s">
        <v>1</v>
      </c>
      <c r="P234" t="s">
        <v>19</v>
      </c>
      <c r="Q234" t="s">
        <v>11</v>
      </c>
      <c r="R234" t="s">
        <v>80</v>
      </c>
      <c r="S234" t="s">
        <v>10</v>
      </c>
      <c r="T234" t="s">
        <v>1048</v>
      </c>
      <c r="U234" t="s">
        <v>1049</v>
      </c>
    </row>
    <row r="235" spans="1:21" x14ac:dyDescent="0.3">
      <c r="A235" s="64">
        <v>46141</v>
      </c>
      <c r="B235" t="s">
        <v>1050</v>
      </c>
      <c r="C235" t="s">
        <v>1051</v>
      </c>
      <c r="E235" t="s">
        <v>66</v>
      </c>
      <c r="F235" t="s">
        <v>233</v>
      </c>
      <c r="G235" t="s">
        <v>59</v>
      </c>
      <c r="H235" t="s">
        <v>1052</v>
      </c>
      <c r="J235">
        <v>0</v>
      </c>
      <c r="K235">
        <v>0</v>
      </c>
      <c r="L235">
        <v>0</v>
      </c>
      <c r="M235">
        <v>0</v>
      </c>
      <c r="N235" t="s">
        <v>1</v>
      </c>
      <c r="P235" t="s">
        <v>15</v>
      </c>
      <c r="Q235" t="s">
        <v>15</v>
      </c>
      <c r="R235" t="s">
        <v>15</v>
      </c>
      <c r="S235" t="s">
        <v>15</v>
      </c>
      <c r="T235" t="s">
        <v>1053</v>
      </c>
      <c r="U235" t="s">
        <v>1054</v>
      </c>
    </row>
    <row r="236" spans="1:21" x14ac:dyDescent="0.3">
      <c r="A236" s="64">
        <v>46141</v>
      </c>
      <c r="B236" t="s">
        <v>1055</v>
      </c>
      <c r="C236" t="s">
        <v>1056</v>
      </c>
      <c r="E236" t="s">
        <v>19</v>
      </c>
      <c r="F236" t="s">
        <v>109</v>
      </c>
      <c r="G236" t="s">
        <v>59</v>
      </c>
      <c r="H236" t="s">
        <v>1055</v>
      </c>
      <c r="J236">
        <v>0</v>
      </c>
      <c r="K236">
        <v>0</v>
      </c>
      <c r="L236">
        <v>0</v>
      </c>
      <c r="M236">
        <v>0</v>
      </c>
      <c r="N236" t="s">
        <v>1</v>
      </c>
      <c r="P236" t="s">
        <v>24</v>
      </c>
      <c r="Q236" t="s">
        <v>22</v>
      </c>
      <c r="R236" t="s">
        <v>391</v>
      </c>
      <c r="S236" t="s">
        <v>5</v>
      </c>
      <c r="T236" t="s">
        <v>1057</v>
      </c>
      <c r="U236" t="s">
        <v>1058</v>
      </c>
    </row>
    <row r="237" spans="1:21" x14ac:dyDescent="0.3">
      <c r="A237" s="64">
        <v>46141</v>
      </c>
      <c r="B237" t="s">
        <v>1059</v>
      </c>
      <c r="C237" t="s">
        <v>1060</v>
      </c>
      <c r="E237" t="s">
        <v>19</v>
      </c>
      <c r="F237" t="s">
        <v>109</v>
      </c>
      <c r="G237" t="s">
        <v>355</v>
      </c>
      <c r="H237" t="s">
        <v>1061</v>
      </c>
      <c r="J237">
        <v>0</v>
      </c>
      <c r="K237">
        <v>0</v>
      </c>
      <c r="L237">
        <v>0</v>
      </c>
      <c r="M237">
        <v>0</v>
      </c>
      <c r="N237" t="s">
        <v>1</v>
      </c>
      <c r="P237" t="s">
        <v>15</v>
      </c>
      <c r="Q237" t="s">
        <v>15</v>
      </c>
      <c r="R237" t="s">
        <v>15</v>
      </c>
      <c r="S237" t="s">
        <v>15</v>
      </c>
      <c r="T237" t="s">
        <v>1062</v>
      </c>
      <c r="U237" t="s">
        <v>1063</v>
      </c>
    </row>
    <row r="238" spans="1:21" x14ac:dyDescent="0.3">
      <c r="A238" s="64">
        <v>46141</v>
      </c>
      <c r="B238" t="s">
        <v>1064</v>
      </c>
      <c r="C238" t="s">
        <v>1065</v>
      </c>
      <c r="E238" t="s">
        <v>19</v>
      </c>
      <c r="F238" t="s">
        <v>109</v>
      </c>
      <c r="G238" t="s">
        <v>68</v>
      </c>
      <c r="H238" t="s">
        <v>1066</v>
      </c>
      <c r="J238">
        <v>0</v>
      </c>
      <c r="K238">
        <v>0</v>
      </c>
      <c r="L238">
        <v>0</v>
      </c>
      <c r="M238">
        <v>0</v>
      </c>
      <c r="N238" t="s">
        <v>1</v>
      </c>
      <c r="P238" t="s">
        <v>24</v>
      </c>
      <c r="Q238" t="s">
        <v>22</v>
      </c>
      <c r="R238" t="s">
        <v>167</v>
      </c>
      <c r="S238" t="s">
        <v>5</v>
      </c>
      <c r="T238" t="s">
        <v>1067</v>
      </c>
      <c r="U238" t="s">
        <v>1068</v>
      </c>
    </row>
    <row r="239" spans="1:21" x14ac:dyDescent="0.3">
      <c r="A239" s="64">
        <v>46139</v>
      </c>
      <c r="B239" t="s">
        <v>1069</v>
      </c>
      <c r="C239" t="s">
        <v>1070</v>
      </c>
      <c r="E239" t="s">
        <v>66</v>
      </c>
      <c r="F239" t="s">
        <v>103</v>
      </c>
      <c r="G239" t="s">
        <v>68</v>
      </c>
      <c r="H239" t="s">
        <v>69</v>
      </c>
      <c r="N239" t="s">
        <v>1</v>
      </c>
      <c r="P239" t="s">
        <v>9</v>
      </c>
      <c r="Q239" t="s">
        <v>11</v>
      </c>
      <c r="R239" t="s">
        <v>104</v>
      </c>
      <c r="S239" t="s">
        <v>10</v>
      </c>
      <c r="T239" t="s">
        <v>1071</v>
      </c>
      <c r="U239" t="s">
        <v>1072</v>
      </c>
    </row>
    <row r="240" spans="1:21" x14ac:dyDescent="0.3">
      <c r="A240" s="64">
        <v>46139</v>
      </c>
      <c r="B240" t="s">
        <v>1073</v>
      </c>
      <c r="C240" t="s">
        <v>1074</v>
      </c>
      <c r="E240" t="s">
        <v>66</v>
      </c>
      <c r="F240" t="s">
        <v>103</v>
      </c>
      <c r="G240" t="s">
        <v>68</v>
      </c>
      <c r="H240" t="s">
        <v>69</v>
      </c>
      <c r="N240" t="s">
        <v>1</v>
      </c>
      <c r="P240" t="s">
        <v>9</v>
      </c>
      <c r="Q240" t="s">
        <v>11</v>
      </c>
      <c r="R240" t="s">
        <v>104</v>
      </c>
      <c r="S240" t="s">
        <v>10</v>
      </c>
      <c r="T240" t="s">
        <v>1075</v>
      </c>
      <c r="U240" t="s">
        <v>1076</v>
      </c>
    </row>
    <row r="241" spans="1:21" x14ac:dyDescent="0.3">
      <c r="A241" s="64">
        <v>46139</v>
      </c>
      <c r="B241" t="s">
        <v>562</v>
      </c>
      <c r="C241" t="s">
        <v>563</v>
      </c>
      <c r="E241" t="s">
        <v>66</v>
      </c>
      <c r="F241" t="s">
        <v>103</v>
      </c>
      <c r="G241" t="s">
        <v>59</v>
      </c>
      <c r="H241" t="s">
        <v>60</v>
      </c>
      <c r="N241" t="s">
        <v>1</v>
      </c>
      <c r="P241" t="s">
        <v>9</v>
      </c>
      <c r="Q241" t="s">
        <v>11</v>
      </c>
      <c r="R241" t="s">
        <v>104</v>
      </c>
      <c r="S241" t="s">
        <v>10</v>
      </c>
      <c r="T241" t="s">
        <v>1077</v>
      </c>
      <c r="U241" t="s">
        <v>1078</v>
      </c>
    </row>
    <row r="242" spans="1:21" x14ac:dyDescent="0.3">
      <c r="A242" s="64">
        <v>46139</v>
      </c>
      <c r="B242" t="s">
        <v>1079</v>
      </c>
      <c r="C242" t="s">
        <v>1080</v>
      </c>
      <c r="E242" t="s">
        <v>66</v>
      </c>
      <c r="F242" t="s">
        <v>568</v>
      </c>
      <c r="G242" t="s">
        <v>68</v>
      </c>
      <c r="H242" t="s">
        <v>69</v>
      </c>
      <c r="N242" t="s">
        <v>1</v>
      </c>
      <c r="P242" t="s">
        <v>9</v>
      </c>
      <c r="Q242" t="s">
        <v>11</v>
      </c>
      <c r="R242" t="s">
        <v>104</v>
      </c>
      <c r="S242" t="s">
        <v>10</v>
      </c>
      <c r="T242" t="s">
        <v>1081</v>
      </c>
      <c r="U242" t="s">
        <v>1082</v>
      </c>
    </row>
    <row r="243" spans="1:21" x14ac:dyDescent="0.3">
      <c r="A243" s="64">
        <v>46139</v>
      </c>
      <c r="B243" t="s">
        <v>1083</v>
      </c>
      <c r="C243" t="s">
        <v>1084</v>
      </c>
      <c r="E243" t="s">
        <v>19</v>
      </c>
      <c r="F243" t="s">
        <v>109</v>
      </c>
      <c r="G243" t="s">
        <v>59</v>
      </c>
      <c r="H243" t="s">
        <v>60</v>
      </c>
      <c r="N243" t="s">
        <v>1</v>
      </c>
      <c r="P243" t="s">
        <v>16</v>
      </c>
      <c r="Q243" t="s">
        <v>22</v>
      </c>
      <c r="R243" t="s">
        <v>172</v>
      </c>
      <c r="S243" t="s">
        <v>5</v>
      </c>
      <c r="T243" t="s">
        <v>1085</v>
      </c>
      <c r="U243" t="s">
        <v>1086</v>
      </c>
    </row>
    <row r="244" spans="1:21" x14ac:dyDescent="0.3">
      <c r="A244" s="64">
        <v>46139</v>
      </c>
      <c r="B244" t="s">
        <v>1087</v>
      </c>
      <c r="C244" t="s">
        <v>1088</v>
      </c>
      <c r="E244" t="s">
        <v>66</v>
      </c>
      <c r="F244" t="s">
        <v>103</v>
      </c>
      <c r="G244" t="s">
        <v>68</v>
      </c>
      <c r="H244" t="s">
        <v>69</v>
      </c>
      <c r="N244" t="s">
        <v>1</v>
      </c>
      <c r="P244" t="s">
        <v>9</v>
      </c>
      <c r="Q244" t="s">
        <v>11</v>
      </c>
      <c r="R244" t="s">
        <v>104</v>
      </c>
      <c r="S244" t="s">
        <v>10</v>
      </c>
      <c r="T244" t="s">
        <v>1089</v>
      </c>
      <c r="U244" t="s">
        <v>1090</v>
      </c>
    </row>
    <row r="245" spans="1:21" x14ac:dyDescent="0.3">
      <c r="A245" s="64">
        <v>46139</v>
      </c>
      <c r="B245" t="s">
        <v>1091</v>
      </c>
      <c r="C245" t="s">
        <v>1092</v>
      </c>
      <c r="E245" t="s">
        <v>66</v>
      </c>
      <c r="F245" t="s">
        <v>568</v>
      </c>
      <c r="G245" t="s">
        <v>68</v>
      </c>
      <c r="H245" t="s">
        <v>69</v>
      </c>
      <c r="N245" t="s">
        <v>1</v>
      </c>
      <c r="P245" t="s">
        <v>9</v>
      </c>
      <c r="Q245" t="s">
        <v>11</v>
      </c>
      <c r="R245" t="s">
        <v>104</v>
      </c>
      <c r="S245" t="s">
        <v>10</v>
      </c>
      <c r="T245" t="s">
        <v>1093</v>
      </c>
      <c r="U245" t="s">
        <v>1094</v>
      </c>
    </row>
    <row r="246" spans="1:21" x14ac:dyDescent="0.3">
      <c r="A246" s="64">
        <v>46139</v>
      </c>
      <c r="B246" t="s">
        <v>1095</v>
      </c>
      <c r="C246" t="s">
        <v>1096</v>
      </c>
      <c r="E246" t="s">
        <v>66</v>
      </c>
      <c r="F246" t="s">
        <v>103</v>
      </c>
      <c r="G246" t="s">
        <v>68</v>
      </c>
      <c r="H246" t="s">
        <v>69</v>
      </c>
      <c r="N246" t="s">
        <v>1</v>
      </c>
      <c r="P246" t="s">
        <v>9</v>
      </c>
      <c r="Q246" t="s">
        <v>11</v>
      </c>
      <c r="R246" t="s">
        <v>104</v>
      </c>
      <c r="S246" t="s">
        <v>10</v>
      </c>
      <c r="T246" t="s">
        <v>1097</v>
      </c>
      <c r="U246" t="s">
        <v>1098</v>
      </c>
    </row>
    <row r="247" spans="1:21" x14ac:dyDescent="0.3">
      <c r="A247" s="64">
        <v>46139</v>
      </c>
      <c r="B247" t="s">
        <v>1099</v>
      </c>
      <c r="C247" t="s">
        <v>1100</v>
      </c>
      <c r="E247" t="s">
        <v>19</v>
      </c>
      <c r="F247" t="s">
        <v>58</v>
      </c>
      <c r="G247" t="s">
        <v>68</v>
      </c>
      <c r="H247" t="s">
        <v>69</v>
      </c>
      <c r="N247" t="s">
        <v>1</v>
      </c>
      <c r="P247" t="s">
        <v>21</v>
      </c>
      <c r="Q247" t="s">
        <v>11</v>
      </c>
      <c r="R247" t="s">
        <v>61</v>
      </c>
      <c r="S247" t="s">
        <v>10</v>
      </c>
      <c r="T247" t="s">
        <v>1101</v>
      </c>
      <c r="U247" t="s">
        <v>1102</v>
      </c>
    </row>
    <row r="248" spans="1:21" x14ac:dyDescent="0.3">
      <c r="A248" s="64">
        <v>46139</v>
      </c>
      <c r="B248" t="s">
        <v>488</v>
      </c>
      <c r="C248" t="s">
        <v>489</v>
      </c>
      <c r="E248" t="s">
        <v>66</v>
      </c>
      <c r="F248" t="s">
        <v>103</v>
      </c>
      <c r="G248" t="s">
        <v>68</v>
      </c>
      <c r="H248" t="s">
        <v>69</v>
      </c>
      <c r="N248" t="s">
        <v>1</v>
      </c>
      <c r="P248" t="s">
        <v>9</v>
      </c>
      <c r="Q248" t="s">
        <v>11</v>
      </c>
      <c r="R248" t="s">
        <v>104</v>
      </c>
      <c r="S248" t="s">
        <v>10</v>
      </c>
      <c r="T248" t="s">
        <v>1103</v>
      </c>
      <c r="U248" t="s">
        <v>1104</v>
      </c>
    </row>
    <row r="249" spans="1:21" x14ac:dyDescent="0.3">
      <c r="A249" s="64">
        <v>46139</v>
      </c>
      <c r="B249" t="s">
        <v>1105</v>
      </c>
      <c r="C249" t="s">
        <v>1106</v>
      </c>
      <c r="E249" t="s">
        <v>66</v>
      </c>
      <c r="F249" t="s">
        <v>103</v>
      </c>
      <c r="G249" t="s">
        <v>68</v>
      </c>
      <c r="H249" t="s">
        <v>69</v>
      </c>
      <c r="N249" t="s">
        <v>1</v>
      </c>
      <c r="P249" t="s">
        <v>9</v>
      </c>
      <c r="Q249" t="s">
        <v>11</v>
      </c>
      <c r="R249" t="s">
        <v>104</v>
      </c>
      <c r="S249" t="s">
        <v>10</v>
      </c>
      <c r="T249" t="s">
        <v>1107</v>
      </c>
      <c r="U249" t="s">
        <v>1108</v>
      </c>
    </row>
    <row r="250" spans="1:21" x14ac:dyDescent="0.3">
      <c r="A250" s="64">
        <v>46139</v>
      </c>
      <c r="B250" t="s">
        <v>1109</v>
      </c>
      <c r="C250" t="s">
        <v>1110</v>
      </c>
      <c r="E250" t="s">
        <v>19</v>
      </c>
      <c r="F250" t="s">
        <v>109</v>
      </c>
      <c r="G250" t="s">
        <v>59</v>
      </c>
      <c r="H250" t="s">
        <v>60</v>
      </c>
      <c r="N250" t="s">
        <v>1</v>
      </c>
      <c r="P250" t="s">
        <v>19</v>
      </c>
      <c r="Q250" t="s">
        <v>11</v>
      </c>
      <c r="R250" t="s">
        <v>80</v>
      </c>
      <c r="S250" t="s">
        <v>10</v>
      </c>
      <c r="T250" t="s">
        <v>1111</v>
      </c>
      <c r="U250" t="s">
        <v>1112</v>
      </c>
    </row>
    <row r="251" spans="1:21" x14ac:dyDescent="0.3">
      <c r="A251" s="64">
        <v>46139</v>
      </c>
      <c r="B251" t="s">
        <v>1113</v>
      </c>
      <c r="C251" t="s">
        <v>1114</v>
      </c>
      <c r="E251" t="s">
        <v>1115</v>
      </c>
      <c r="G251" t="s">
        <v>68</v>
      </c>
      <c r="H251" t="s">
        <v>69</v>
      </c>
      <c r="N251" t="s">
        <v>1</v>
      </c>
      <c r="P251" t="s">
        <v>23</v>
      </c>
      <c r="Q251" t="s">
        <v>11</v>
      </c>
      <c r="R251" t="s">
        <v>1116</v>
      </c>
      <c r="S251" t="s">
        <v>10</v>
      </c>
      <c r="T251" t="s">
        <v>1117</v>
      </c>
      <c r="U251" t="s">
        <v>1118</v>
      </c>
    </row>
    <row r="252" spans="1:21" x14ac:dyDescent="0.3">
      <c r="A252" s="64">
        <v>46139</v>
      </c>
      <c r="B252" t="s">
        <v>130</v>
      </c>
      <c r="C252" t="s">
        <v>131</v>
      </c>
      <c r="E252" t="s">
        <v>66</v>
      </c>
      <c r="F252" t="s">
        <v>103</v>
      </c>
      <c r="G252" t="s">
        <v>68</v>
      </c>
      <c r="H252" t="s">
        <v>69</v>
      </c>
      <c r="N252" t="s">
        <v>1</v>
      </c>
      <c r="P252" t="s">
        <v>9</v>
      </c>
      <c r="Q252" t="s">
        <v>11</v>
      </c>
      <c r="R252" t="s">
        <v>104</v>
      </c>
      <c r="S252" t="s">
        <v>10</v>
      </c>
      <c r="T252" t="s">
        <v>1119</v>
      </c>
      <c r="U252" t="s">
        <v>1120</v>
      </c>
    </row>
    <row r="253" spans="1:21" x14ac:dyDescent="0.3">
      <c r="A253" s="64">
        <v>46139</v>
      </c>
      <c r="B253" t="s">
        <v>56</v>
      </c>
      <c r="C253" t="s">
        <v>57</v>
      </c>
      <c r="E253" t="s">
        <v>19</v>
      </c>
      <c r="F253" t="s">
        <v>58</v>
      </c>
      <c r="G253" t="s">
        <v>59</v>
      </c>
      <c r="H253" t="s">
        <v>60</v>
      </c>
      <c r="N253" t="s">
        <v>1</v>
      </c>
      <c r="P253" t="s">
        <v>21</v>
      </c>
      <c r="Q253" t="s">
        <v>11</v>
      </c>
      <c r="R253" t="s">
        <v>61</v>
      </c>
      <c r="S253" t="s">
        <v>10</v>
      </c>
      <c r="T253" t="s">
        <v>1121</v>
      </c>
      <c r="U253" t="s">
        <v>1122</v>
      </c>
    </row>
    <row r="254" spans="1:21" x14ac:dyDescent="0.3">
      <c r="A254" s="64">
        <v>46139</v>
      </c>
      <c r="B254" t="s">
        <v>244</v>
      </c>
      <c r="C254" t="s">
        <v>245</v>
      </c>
      <c r="E254" t="s">
        <v>19</v>
      </c>
      <c r="F254" t="s">
        <v>109</v>
      </c>
      <c r="G254" t="s">
        <v>143</v>
      </c>
      <c r="H254" t="s">
        <v>144</v>
      </c>
      <c r="N254" t="s">
        <v>145</v>
      </c>
      <c r="P254" t="s">
        <v>12</v>
      </c>
      <c r="Q254" t="s">
        <v>14</v>
      </c>
      <c r="R254" t="s">
        <v>146</v>
      </c>
      <c r="S254" t="s">
        <v>5</v>
      </c>
      <c r="T254" t="s">
        <v>1123</v>
      </c>
      <c r="U254" t="s">
        <v>1124</v>
      </c>
    </row>
    <row r="255" spans="1:21" x14ac:dyDescent="0.3">
      <c r="A255" s="64">
        <v>46139</v>
      </c>
      <c r="B255" t="s">
        <v>224</v>
      </c>
      <c r="C255" t="s">
        <v>225</v>
      </c>
      <c r="E255" t="s">
        <v>19</v>
      </c>
      <c r="F255" t="s">
        <v>109</v>
      </c>
      <c r="G255" t="s">
        <v>143</v>
      </c>
      <c r="H255" t="s">
        <v>144</v>
      </c>
      <c r="N255" t="s">
        <v>145</v>
      </c>
      <c r="P255" t="s">
        <v>12</v>
      </c>
      <c r="Q255" t="s">
        <v>14</v>
      </c>
      <c r="R255" t="s">
        <v>146</v>
      </c>
      <c r="S255" t="s">
        <v>5</v>
      </c>
      <c r="T255" t="s">
        <v>1123</v>
      </c>
      <c r="U255" t="s">
        <v>1124</v>
      </c>
    </row>
    <row r="256" spans="1:21" x14ac:dyDescent="0.3">
      <c r="A256" s="64">
        <v>46139</v>
      </c>
      <c r="B256" t="s">
        <v>226</v>
      </c>
      <c r="C256" t="s">
        <v>227</v>
      </c>
      <c r="E256" t="s">
        <v>19</v>
      </c>
      <c r="F256" t="s">
        <v>109</v>
      </c>
      <c r="G256" t="s">
        <v>143</v>
      </c>
      <c r="H256" t="s">
        <v>144</v>
      </c>
      <c r="N256" t="s">
        <v>145</v>
      </c>
      <c r="P256" t="s">
        <v>12</v>
      </c>
      <c r="Q256" t="s">
        <v>14</v>
      </c>
      <c r="R256" t="s">
        <v>146</v>
      </c>
      <c r="S256" t="s">
        <v>5</v>
      </c>
      <c r="T256" t="s">
        <v>1123</v>
      </c>
      <c r="U256" t="s">
        <v>1124</v>
      </c>
    </row>
    <row r="257" spans="1:21" x14ac:dyDescent="0.3">
      <c r="A257" s="64">
        <v>46139</v>
      </c>
      <c r="B257" t="s">
        <v>1125</v>
      </c>
      <c r="C257" t="s">
        <v>1126</v>
      </c>
      <c r="E257" t="s">
        <v>136</v>
      </c>
      <c r="F257" t="s">
        <v>1127</v>
      </c>
      <c r="G257" t="s">
        <v>59</v>
      </c>
      <c r="H257" t="s">
        <v>138</v>
      </c>
      <c r="N257" t="s">
        <v>1</v>
      </c>
      <c r="P257" t="s">
        <v>7</v>
      </c>
      <c r="Q257" t="s">
        <v>11</v>
      </c>
      <c r="R257" t="s">
        <v>70</v>
      </c>
      <c r="S257" t="s">
        <v>10</v>
      </c>
      <c r="T257" t="s">
        <v>1128</v>
      </c>
      <c r="U257" t="s">
        <v>1129</v>
      </c>
    </row>
    <row r="258" spans="1:21" x14ac:dyDescent="0.3">
      <c r="A258" s="64">
        <v>46139</v>
      </c>
      <c r="B258" t="s">
        <v>141</v>
      </c>
      <c r="C258" t="s">
        <v>142</v>
      </c>
      <c r="E258" t="s">
        <v>66</v>
      </c>
      <c r="F258" t="s">
        <v>79</v>
      </c>
      <c r="G258" t="s">
        <v>143</v>
      </c>
      <c r="H258" t="s">
        <v>144</v>
      </c>
      <c r="N258" t="s">
        <v>145</v>
      </c>
      <c r="P258" t="s">
        <v>12</v>
      </c>
      <c r="Q258" t="s">
        <v>14</v>
      </c>
      <c r="R258" t="s">
        <v>146</v>
      </c>
      <c r="S258" t="s">
        <v>5</v>
      </c>
      <c r="T258" t="s">
        <v>1130</v>
      </c>
      <c r="U258" t="s">
        <v>1131</v>
      </c>
    </row>
    <row r="259" spans="1:21" x14ac:dyDescent="0.3">
      <c r="A259" s="64">
        <v>46139</v>
      </c>
      <c r="B259" t="s">
        <v>164</v>
      </c>
      <c r="C259" t="s">
        <v>165</v>
      </c>
      <c r="E259" t="s">
        <v>19</v>
      </c>
      <c r="F259" t="s">
        <v>109</v>
      </c>
      <c r="G259" t="s">
        <v>116</v>
      </c>
      <c r="H259" t="s">
        <v>166</v>
      </c>
      <c r="N259" t="s">
        <v>1</v>
      </c>
      <c r="P259" t="s">
        <v>24</v>
      </c>
      <c r="Q259" t="s">
        <v>22</v>
      </c>
      <c r="R259" t="s">
        <v>391</v>
      </c>
      <c r="S259" t="s">
        <v>5</v>
      </c>
      <c r="T259" t="s">
        <v>1132</v>
      </c>
      <c r="U259" t="s">
        <v>1133</v>
      </c>
    </row>
    <row r="260" spans="1:21" x14ac:dyDescent="0.3">
      <c r="A260" s="64">
        <v>46139</v>
      </c>
      <c r="B260" t="s">
        <v>1134</v>
      </c>
      <c r="C260" t="s">
        <v>1135</v>
      </c>
      <c r="E260" t="s">
        <v>19</v>
      </c>
      <c r="F260" t="s">
        <v>1136</v>
      </c>
      <c r="G260" t="s">
        <v>59</v>
      </c>
      <c r="H260" t="s">
        <v>60</v>
      </c>
      <c r="N260" t="s">
        <v>1</v>
      </c>
      <c r="P260" t="s">
        <v>21</v>
      </c>
      <c r="Q260" t="s">
        <v>11</v>
      </c>
      <c r="R260" t="s">
        <v>61</v>
      </c>
      <c r="S260" t="s">
        <v>10</v>
      </c>
      <c r="T260" t="s">
        <v>1137</v>
      </c>
      <c r="U260" t="s">
        <v>1138</v>
      </c>
    </row>
    <row r="261" spans="1:21" x14ac:dyDescent="0.3">
      <c r="A261" s="64">
        <v>46139</v>
      </c>
      <c r="B261" t="s">
        <v>114</v>
      </c>
      <c r="C261" t="s">
        <v>115</v>
      </c>
      <c r="E261" t="s">
        <v>19</v>
      </c>
      <c r="F261" t="s">
        <v>109</v>
      </c>
      <c r="G261" t="s">
        <v>116</v>
      </c>
      <c r="H261" t="s">
        <v>117</v>
      </c>
      <c r="N261" t="s">
        <v>1</v>
      </c>
      <c r="P261" t="s">
        <v>15</v>
      </c>
      <c r="Q261" t="s">
        <v>15</v>
      </c>
      <c r="R261" t="s">
        <v>524</v>
      </c>
      <c r="S261" t="s">
        <v>15</v>
      </c>
      <c r="T261" t="s">
        <v>1139</v>
      </c>
      <c r="U261" t="s">
        <v>1140</v>
      </c>
    </row>
    <row r="262" spans="1:21" x14ac:dyDescent="0.3">
      <c r="A262" s="64">
        <v>46139</v>
      </c>
      <c r="B262" t="s">
        <v>120</v>
      </c>
      <c r="C262" t="s">
        <v>121</v>
      </c>
      <c r="E262" t="s">
        <v>19</v>
      </c>
      <c r="F262" t="s">
        <v>109</v>
      </c>
      <c r="G262" t="s">
        <v>122</v>
      </c>
      <c r="H262" t="s">
        <v>123</v>
      </c>
      <c r="N262" t="s">
        <v>1</v>
      </c>
      <c r="P262" t="s">
        <v>19</v>
      </c>
      <c r="Q262" t="s">
        <v>11</v>
      </c>
      <c r="R262" t="s">
        <v>80</v>
      </c>
      <c r="S262" t="s">
        <v>10</v>
      </c>
      <c r="T262" t="s">
        <v>1141</v>
      </c>
      <c r="U262" t="s">
        <v>1142</v>
      </c>
    </row>
    <row r="263" spans="1:21" x14ac:dyDescent="0.3">
      <c r="A263" s="64">
        <v>46139</v>
      </c>
      <c r="B263" t="s">
        <v>1143</v>
      </c>
      <c r="C263" t="s">
        <v>1144</v>
      </c>
      <c r="E263" t="s">
        <v>19</v>
      </c>
      <c r="F263" t="s">
        <v>109</v>
      </c>
      <c r="G263" t="s">
        <v>143</v>
      </c>
      <c r="H263" t="s">
        <v>1145</v>
      </c>
      <c r="N263" t="s">
        <v>145</v>
      </c>
      <c r="P263" t="s">
        <v>19</v>
      </c>
      <c r="Q263" t="s">
        <v>11</v>
      </c>
      <c r="R263" t="s">
        <v>80</v>
      </c>
      <c r="S263" t="s">
        <v>10</v>
      </c>
      <c r="T263" t="s">
        <v>1146</v>
      </c>
      <c r="U263" t="s">
        <v>1147</v>
      </c>
    </row>
    <row r="264" spans="1:21" x14ac:dyDescent="0.3">
      <c r="A264" s="64">
        <v>46139</v>
      </c>
      <c r="B264" t="s">
        <v>101</v>
      </c>
      <c r="C264" t="s">
        <v>102</v>
      </c>
      <c r="E264" t="s">
        <v>66</v>
      </c>
      <c r="F264" t="s">
        <v>103</v>
      </c>
      <c r="G264" t="s">
        <v>68</v>
      </c>
      <c r="H264" t="s">
        <v>69</v>
      </c>
      <c r="N264" t="s">
        <v>1</v>
      </c>
      <c r="P264" t="s">
        <v>9</v>
      </c>
      <c r="Q264" t="s">
        <v>11</v>
      </c>
      <c r="R264" t="s">
        <v>104</v>
      </c>
      <c r="S264" t="s">
        <v>10</v>
      </c>
      <c r="T264" t="s">
        <v>1148</v>
      </c>
      <c r="U264" t="s">
        <v>1149</v>
      </c>
    </row>
    <row r="265" spans="1:21" x14ac:dyDescent="0.3">
      <c r="A265" s="64">
        <v>46139</v>
      </c>
      <c r="B265" t="s">
        <v>107</v>
      </c>
      <c r="C265" t="s">
        <v>108</v>
      </c>
      <c r="E265" t="s">
        <v>19</v>
      </c>
      <c r="F265" t="s">
        <v>109</v>
      </c>
      <c r="G265" t="s">
        <v>110</v>
      </c>
      <c r="H265" t="s">
        <v>111</v>
      </c>
      <c r="N265" t="s">
        <v>1</v>
      </c>
      <c r="P265" t="s">
        <v>19</v>
      </c>
      <c r="Q265" t="s">
        <v>11</v>
      </c>
      <c r="R265" t="s">
        <v>80</v>
      </c>
      <c r="S265" t="s">
        <v>10</v>
      </c>
      <c r="T265" t="s">
        <v>1150</v>
      </c>
      <c r="U265" t="s">
        <v>1151</v>
      </c>
    </row>
    <row r="266" spans="1:21" x14ac:dyDescent="0.3">
      <c r="A266" s="64">
        <v>46139</v>
      </c>
      <c r="B266" t="s">
        <v>1152</v>
      </c>
      <c r="C266" t="s">
        <v>1153</v>
      </c>
      <c r="E266" t="s">
        <v>19</v>
      </c>
      <c r="F266" t="s">
        <v>109</v>
      </c>
      <c r="G266" t="s">
        <v>68</v>
      </c>
      <c r="H266" t="s">
        <v>69</v>
      </c>
      <c r="N266" t="s">
        <v>1</v>
      </c>
      <c r="P266" t="s">
        <v>24</v>
      </c>
      <c r="Q266" t="s">
        <v>22</v>
      </c>
      <c r="R266" t="s">
        <v>391</v>
      </c>
      <c r="S266" t="s">
        <v>5</v>
      </c>
      <c r="T266" t="s">
        <v>1154</v>
      </c>
      <c r="U266" t="s">
        <v>1155</v>
      </c>
    </row>
    <row r="267" spans="1:21" x14ac:dyDescent="0.3">
      <c r="A267" s="64">
        <v>46139</v>
      </c>
      <c r="B267" t="s">
        <v>1156</v>
      </c>
      <c r="C267" t="s">
        <v>1157</v>
      </c>
      <c r="E267" t="s">
        <v>19</v>
      </c>
      <c r="F267" t="s">
        <v>1158</v>
      </c>
      <c r="G267" t="s">
        <v>68</v>
      </c>
      <c r="H267" t="s">
        <v>69</v>
      </c>
      <c r="N267" t="s">
        <v>1</v>
      </c>
      <c r="P267" t="s">
        <v>24</v>
      </c>
      <c r="Q267" t="s">
        <v>22</v>
      </c>
      <c r="R267" t="s">
        <v>391</v>
      </c>
      <c r="S267" t="s">
        <v>5</v>
      </c>
      <c r="T267" t="s">
        <v>1159</v>
      </c>
      <c r="U267" t="s">
        <v>1160</v>
      </c>
    </row>
    <row r="268" spans="1:21" x14ac:dyDescent="0.3">
      <c r="A268" s="64">
        <v>46139</v>
      </c>
      <c r="B268" t="s">
        <v>1161</v>
      </c>
      <c r="C268" t="s">
        <v>1162</v>
      </c>
      <c r="E268" t="s">
        <v>136</v>
      </c>
      <c r="F268" t="s">
        <v>67</v>
      </c>
      <c r="G268" t="s">
        <v>59</v>
      </c>
      <c r="H268" t="s">
        <v>138</v>
      </c>
      <c r="N268" t="s">
        <v>1</v>
      </c>
      <c r="P268" t="s">
        <v>7</v>
      </c>
      <c r="Q268" t="s">
        <v>11</v>
      </c>
      <c r="R268" t="s">
        <v>70</v>
      </c>
      <c r="S268" t="s">
        <v>10</v>
      </c>
      <c r="T268" t="s">
        <v>1163</v>
      </c>
      <c r="U268" t="s">
        <v>1164</v>
      </c>
    </row>
    <row r="269" spans="1:21" x14ac:dyDescent="0.3">
      <c r="A269" s="64">
        <v>46139</v>
      </c>
      <c r="B269" t="s">
        <v>1165</v>
      </c>
      <c r="C269" t="s">
        <v>1166</v>
      </c>
      <c r="E269" t="s">
        <v>136</v>
      </c>
      <c r="F269" t="s">
        <v>103</v>
      </c>
      <c r="G269" t="s">
        <v>155</v>
      </c>
      <c r="H269" t="s">
        <v>69</v>
      </c>
      <c r="N269" t="s">
        <v>1</v>
      </c>
      <c r="P269" t="s">
        <v>9</v>
      </c>
      <c r="Q269" t="s">
        <v>11</v>
      </c>
      <c r="R269" t="s">
        <v>104</v>
      </c>
      <c r="S269" t="s">
        <v>10</v>
      </c>
      <c r="T269" t="s">
        <v>1167</v>
      </c>
      <c r="U269" t="s">
        <v>1168</v>
      </c>
    </row>
    <row r="270" spans="1:21" x14ac:dyDescent="0.3">
      <c r="A270" s="64">
        <v>46139</v>
      </c>
      <c r="B270" t="s">
        <v>1169</v>
      </c>
      <c r="C270" t="s">
        <v>1170</v>
      </c>
      <c r="E270" t="s">
        <v>19</v>
      </c>
      <c r="F270" t="s">
        <v>109</v>
      </c>
      <c r="G270" t="s">
        <v>68</v>
      </c>
      <c r="H270" t="s">
        <v>69</v>
      </c>
      <c r="N270" t="s">
        <v>1</v>
      </c>
      <c r="P270" t="s">
        <v>16</v>
      </c>
      <c r="Q270" t="s">
        <v>22</v>
      </c>
      <c r="R270" t="s">
        <v>172</v>
      </c>
      <c r="S270" t="s">
        <v>5</v>
      </c>
      <c r="T270" t="s">
        <v>1171</v>
      </c>
      <c r="U270" t="s">
        <v>1172</v>
      </c>
    </row>
    <row r="271" spans="1:21" x14ac:dyDescent="0.3">
      <c r="A271" s="64">
        <v>46139</v>
      </c>
      <c r="B271" t="s">
        <v>1173</v>
      </c>
      <c r="C271" t="s">
        <v>1174</v>
      </c>
      <c r="E271" t="s">
        <v>19</v>
      </c>
      <c r="F271" t="s">
        <v>109</v>
      </c>
      <c r="G271" t="s">
        <v>59</v>
      </c>
      <c r="H271" t="s">
        <v>60</v>
      </c>
      <c r="N271" t="s">
        <v>1</v>
      </c>
      <c r="P271" t="s">
        <v>16</v>
      </c>
      <c r="Q271" t="s">
        <v>22</v>
      </c>
      <c r="R271" t="s">
        <v>172</v>
      </c>
      <c r="S271" t="s">
        <v>5</v>
      </c>
      <c r="T271" t="s">
        <v>1175</v>
      </c>
      <c r="U271" t="s">
        <v>1176</v>
      </c>
    </row>
    <row r="272" spans="1:21" x14ac:dyDescent="0.3">
      <c r="A272" s="64">
        <v>46139</v>
      </c>
      <c r="B272" t="s">
        <v>468</v>
      </c>
      <c r="C272" t="s">
        <v>469</v>
      </c>
      <c r="E272" t="s">
        <v>66</v>
      </c>
      <c r="F272" t="s">
        <v>396</v>
      </c>
      <c r="G272" t="s">
        <v>143</v>
      </c>
      <c r="H272" t="s">
        <v>290</v>
      </c>
      <c r="N272" t="s">
        <v>1</v>
      </c>
      <c r="P272" t="s">
        <v>7</v>
      </c>
      <c r="Q272" t="s">
        <v>11</v>
      </c>
      <c r="R272" t="s">
        <v>70</v>
      </c>
      <c r="S272" t="s">
        <v>10</v>
      </c>
      <c r="T272" t="s">
        <v>1177</v>
      </c>
      <c r="U272" t="s">
        <v>1178</v>
      </c>
    </row>
    <row r="273" spans="1:21" x14ac:dyDescent="0.3">
      <c r="A273" s="64">
        <v>46139</v>
      </c>
      <c r="B273" t="s">
        <v>1179</v>
      </c>
      <c r="C273" t="s">
        <v>1180</v>
      </c>
      <c r="E273" t="s">
        <v>19</v>
      </c>
      <c r="F273" t="s">
        <v>58</v>
      </c>
      <c r="G273" t="s">
        <v>68</v>
      </c>
      <c r="H273" t="s">
        <v>69</v>
      </c>
      <c r="N273" t="s">
        <v>1</v>
      </c>
      <c r="P273" t="s">
        <v>21</v>
      </c>
      <c r="Q273" t="s">
        <v>11</v>
      </c>
      <c r="R273" t="s">
        <v>61</v>
      </c>
      <c r="S273" t="s">
        <v>10</v>
      </c>
      <c r="T273" t="s">
        <v>1181</v>
      </c>
      <c r="U273" t="s">
        <v>1182</v>
      </c>
    </row>
    <row r="274" spans="1:21" x14ac:dyDescent="0.3">
      <c r="A274" s="64">
        <v>46139</v>
      </c>
      <c r="B274" t="s">
        <v>1183</v>
      </c>
      <c r="C274" t="s">
        <v>1184</v>
      </c>
      <c r="E274" t="s">
        <v>66</v>
      </c>
      <c r="F274" t="s">
        <v>396</v>
      </c>
      <c r="G274" t="s">
        <v>116</v>
      </c>
      <c r="H274" t="s">
        <v>117</v>
      </c>
      <c r="N274" t="s">
        <v>1</v>
      </c>
      <c r="P274" t="s">
        <v>157</v>
      </c>
      <c r="Q274" t="s">
        <v>157</v>
      </c>
      <c r="R274" t="s">
        <v>156</v>
      </c>
      <c r="S274" t="s">
        <v>157</v>
      </c>
      <c r="T274" t="s">
        <v>1185</v>
      </c>
      <c r="U274" t="s">
        <v>1186</v>
      </c>
    </row>
    <row r="275" spans="1:21" x14ac:dyDescent="0.3">
      <c r="A275" s="64">
        <v>46139</v>
      </c>
      <c r="B275" t="s">
        <v>185</v>
      </c>
      <c r="C275" t="s">
        <v>186</v>
      </c>
      <c r="E275" t="s">
        <v>19</v>
      </c>
      <c r="F275" t="s">
        <v>109</v>
      </c>
      <c r="G275" t="s">
        <v>59</v>
      </c>
      <c r="H275" t="s">
        <v>187</v>
      </c>
      <c r="N275" t="s">
        <v>1</v>
      </c>
      <c r="P275" t="s">
        <v>4</v>
      </c>
      <c r="Q275" t="s">
        <v>4</v>
      </c>
      <c r="R275" t="s">
        <v>4</v>
      </c>
      <c r="S275" t="s">
        <v>4</v>
      </c>
      <c r="T275" t="s">
        <v>1187</v>
      </c>
      <c r="U275" t="s">
        <v>1188</v>
      </c>
    </row>
    <row r="276" spans="1:21" x14ac:dyDescent="0.3">
      <c r="A276" s="64">
        <v>46139</v>
      </c>
      <c r="B276" t="s">
        <v>191</v>
      </c>
      <c r="C276" t="s">
        <v>192</v>
      </c>
      <c r="E276" t="s">
        <v>66</v>
      </c>
      <c r="F276" t="s">
        <v>193</v>
      </c>
      <c r="G276" t="s">
        <v>110</v>
      </c>
      <c r="H276" t="s">
        <v>194</v>
      </c>
      <c r="N276" t="s">
        <v>1</v>
      </c>
      <c r="P276" t="s">
        <v>15</v>
      </c>
      <c r="Q276" t="s">
        <v>15</v>
      </c>
      <c r="R276" t="s">
        <v>524</v>
      </c>
      <c r="S276" t="s">
        <v>15</v>
      </c>
      <c r="T276" t="s">
        <v>1189</v>
      </c>
      <c r="U276" t="s">
        <v>1190</v>
      </c>
    </row>
    <row r="277" spans="1:21" x14ac:dyDescent="0.3">
      <c r="A277" s="64">
        <v>46139</v>
      </c>
      <c r="B277" t="s">
        <v>1191</v>
      </c>
      <c r="C277" t="s">
        <v>1192</v>
      </c>
      <c r="E277" t="s">
        <v>66</v>
      </c>
      <c r="F277" t="s">
        <v>193</v>
      </c>
      <c r="G277" t="s">
        <v>143</v>
      </c>
      <c r="H277" t="s">
        <v>1191</v>
      </c>
      <c r="N277" t="s">
        <v>145</v>
      </c>
      <c r="P277" t="s">
        <v>24</v>
      </c>
      <c r="Q277" t="s">
        <v>22</v>
      </c>
      <c r="R277" t="s">
        <v>167</v>
      </c>
      <c r="S277" t="s">
        <v>5</v>
      </c>
      <c r="T277" t="s">
        <v>1193</v>
      </c>
      <c r="U277" t="s">
        <v>1194</v>
      </c>
    </row>
    <row r="278" spans="1:21" x14ac:dyDescent="0.3">
      <c r="A278" s="64">
        <v>46139</v>
      </c>
      <c r="B278" t="s">
        <v>179</v>
      </c>
      <c r="C278" t="s">
        <v>180</v>
      </c>
      <c r="E278" t="s">
        <v>19</v>
      </c>
      <c r="F278" t="s">
        <v>109</v>
      </c>
      <c r="G278" t="s">
        <v>181</v>
      </c>
      <c r="H278" t="s">
        <v>182</v>
      </c>
      <c r="N278" t="s">
        <v>1</v>
      </c>
      <c r="P278" t="s">
        <v>19</v>
      </c>
      <c r="Q278" t="s">
        <v>11</v>
      </c>
      <c r="R278" t="s">
        <v>80</v>
      </c>
      <c r="S278" t="s">
        <v>10</v>
      </c>
      <c r="T278" t="s">
        <v>1195</v>
      </c>
      <c r="U278" t="s">
        <v>1196</v>
      </c>
    </row>
    <row r="279" spans="1:21" x14ac:dyDescent="0.3">
      <c r="A279" s="64">
        <v>46139</v>
      </c>
      <c r="B279" t="s">
        <v>1197</v>
      </c>
      <c r="C279" t="s">
        <v>1198</v>
      </c>
      <c r="E279" t="s">
        <v>19</v>
      </c>
      <c r="F279" t="s">
        <v>109</v>
      </c>
      <c r="G279" t="s">
        <v>59</v>
      </c>
      <c r="H279" t="s">
        <v>60</v>
      </c>
      <c r="N279" t="s">
        <v>1</v>
      </c>
      <c r="P279" t="s">
        <v>19</v>
      </c>
      <c r="Q279" t="s">
        <v>11</v>
      </c>
      <c r="R279" t="s">
        <v>80</v>
      </c>
      <c r="S279" t="s">
        <v>10</v>
      </c>
      <c r="T279" t="s">
        <v>1199</v>
      </c>
      <c r="U279" t="s">
        <v>1200</v>
      </c>
    </row>
    <row r="280" spans="1:21" x14ac:dyDescent="0.3">
      <c r="A280" s="64">
        <v>46139</v>
      </c>
      <c r="B280" t="s">
        <v>1201</v>
      </c>
      <c r="C280" t="s">
        <v>1202</v>
      </c>
      <c r="E280" t="s">
        <v>19</v>
      </c>
      <c r="F280" t="s">
        <v>58</v>
      </c>
      <c r="G280" t="s">
        <v>68</v>
      </c>
      <c r="H280" t="s">
        <v>69</v>
      </c>
      <c r="N280" t="s">
        <v>1</v>
      </c>
      <c r="P280" t="s">
        <v>21</v>
      </c>
      <c r="Q280" t="s">
        <v>11</v>
      </c>
      <c r="R280" t="s">
        <v>61</v>
      </c>
      <c r="S280" t="s">
        <v>10</v>
      </c>
      <c r="T280" t="s">
        <v>1203</v>
      </c>
      <c r="U280" t="s">
        <v>1204</v>
      </c>
    </row>
    <row r="281" spans="1:21" x14ac:dyDescent="0.3">
      <c r="A281" s="64">
        <v>46139</v>
      </c>
      <c r="B281" t="s">
        <v>552</v>
      </c>
      <c r="C281" t="s">
        <v>553</v>
      </c>
      <c r="E281" t="s">
        <v>66</v>
      </c>
      <c r="F281" t="s">
        <v>103</v>
      </c>
      <c r="G281" t="s">
        <v>59</v>
      </c>
      <c r="H281" t="s">
        <v>60</v>
      </c>
      <c r="N281" t="s">
        <v>1</v>
      </c>
      <c r="P281" t="s">
        <v>12</v>
      </c>
      <c r="Q281" t="s">
        <v>14</v>
      </c>
      <c r="R281" t="s">
        <v>146</v>
      </c>
      <c r="S281" t="s">
        <v>5</v>
      </c>
      <c r="T281" t="s">
        <v>1205</v>
      </c>
      <c r="U281" t="s">
        <v>1206</v>
      </c>
    </row>
    <row r="282" spans="1:21" x14ac:dyDescent="0.3">
      <c r="A282" s="64">
        <v>46139</v>
      </c>
      <c r="B282" t="s">
        <v>1207</v>
      </c>
      <c r="C282" t="s">
        <v>1208</v>
      </c>
      <c r="E282" t="s">
        <v>19</v>
      </c>
      <c r="F282" t="s">
        <v>1209</v>
      </c>
      <c r="G282" t="s">
        <v>68</v>
      </c>
      <c r="H282" t="s">
        <v>69</v>
      </c>
      <c r="N282" t="s">
        <v>1</v>
      </c>
      <c r="P282" t="s">
        <v>4</v>
      </c>
      <c r="Q282" t="s">
        <v>4</v>
      </c>
      <c r="R282" t="s">
        <v>4</v>
      </c>
      <c r="S282" t="s">
        <v>4</v>
      </c>
      <c r="T282" t="s">
        <v>1210</v>
      </c>
      <c r="U282" t="s">
        <v>1211</v>
      </c>
    </row>
    <row r="283" spans="1:21" x14ac:dyDescent="0.3">
      <c r="A283" s="64">
        <v>46139</v>
      </c>
      <c r="B283" t="s">
        <v>170</v>
      </c>
      <c r="C283" t="s">
        <v>171</v>
      </c>
      <c r="G283" t="s">
        <v>59</v>
      </c>
      <c r="H283" t="s">
        <v>60</v>
      </c>
      <c r="N283" t="s">
        <v>1</v>
      </c>
      <c r="P283" t="s">
        <v>24</v>
      </c>
      <c r="Q283" t="s">
        <v>22</v>
      </c>
      <c r="R283" t="s">
        <v>391</v>
      </c>
      <c r="S283" t="s">
        <v>5</v>
      </c>
      <c r="T283" t="s">
        <v>1212</v>
      </c>
      <c r="U283" t="s">
        <v>1213</v>
      </c>
    </row>
    <row r="284" spans="1:21" x14ac:dyDescent="0.3">
      <c r="A284" s="64">
        <v>46139</v>
      </c>
      <c r="B284" t="s">
        <v>1214</v>
      </c>
      <c r="C284" t="s">
        <v>1215</v>
      </c>
      <c r="E284" t="s">
        <v>66</v>
      </c>
      <c r="F284" t="s">
        <v>103</v>
      </c>
      <c r="G284" t="s">
        <v>59</v>
      </c>
      <c r="H284" t="s">
        <v>60</v>
      </c>
      <c r="N284" t="s">
        <v>1</v>
      </c>
      <c r="P284" t="s">
        <v>9</v>
      </c>
      <c r="Q284" t="s">
        <v>11</v>
      </c>
      <c r="R284" t="s">
        <v>104</v>
      </c>
      <c r="S284" t="s">
        <v>10</v>
      </c>
      <c r="T284" t="s">
        <v>1216</v>
      </c>
      <c r="U284" t="s">
        <v>1217</v>
      </c>
    </row>
    <row r="285" spans="1:21" x14ac:dyDescent="0.3">
      <c r="A285" s="64">
        <v>46139</v>
      </c>
      <c r="B285" t="s">
        <v>1218</v>
      </c>
      <c r="C285" t="s">
        <v>1219</v>
      </c>
      <c r="E285" t="s">
        <v>66</v>
      </c>
      <c r="F285" t="s">
        <v>103</v>
      </c>
      <c r="G285" t="s">
        <v>59</v>
      </c>
      <c r="H285" t="s">
        <v>60</v>
      </c>
      <c r="N285" t="s">
        <v>1</v>
      </c>
      <c r="P285" t="s">
        <v>9</v>
      </c>
      <c r="Q285" t="s">
        <v>11</v>
      </c>
      <c r="R285" t="s">
        <v>104</v>
      </c>
      <c r="S285" t="s">
        <v>10</v>
      </c>
      <c r="T285" t="s">
        <v>1220</v>
      </c>
      <c r="U285" t="s">
        <v>1221</v>
      </c>
    </row>
    <row r="286" spans="1:21" x14ac:dyDescent="0.3">
      <c r="A286" s="64">
        <v>46139</v>
      </c>
      <c r="B286" t="s">
        <v>269</v>
      </c>
      <c r="C286" t="s">
        <v>270</v>
      </c>
      <c r="E286" t="s">
        <v>19</v>
      </c>
      <c r="F286" t="s">
        <v>271</v>
      </c>
      <c r="G286" t="s">
        <v>59</v>
      </c>
      <c r="H286" t="s">
        <v>272</v>
      </c>
      <c r="N286" t="s">
        <v>1</v>
      </c>
      <c r="P286" t="s">
        <v>15</v>
      </c>
      <c r="Q286" t="s">
        <v>15</v>
      </c>
      <c r="R286" t="s">
        <v>524</v>
      </c>
      <c r="S286" t="s">
        <v>15</v>
      </c>
      <c r="T286" t="s">
        <v>1222</v>
      </c>
      <c r="U286" t="s">
        <v>1223</v>
      </c>
    </row>
    <row r="287" spans="1:21" x14ac:dyDescent="0.3">
      <c r="A287" s="64">
        <v>46139</v>
      </c>
      <c r="B287" t="s">
        <v>321</v>
      </c>
      <c r="C287" t="s">
        <v>322</v>
      </c>
      <c r="E287" t="s">
        <v>66</v>
      </c>
      <c r="F287" t="s">
        <v>103</v>
      </c>
      <c r="G287" t="s">
        <v>59</v>
      </c>
      <c r="H287" t="s">
        <v>60</v>
      </c>
      <c r="N287" t="s">
        <v>1</v>
      </c>
      <c r="P287" t="s">
        <v>9</v>
      </c>
      <c r="Q287" t="s">
        <v>11</v>
      </c>
      <c r="R287" t="s">
        <v>104</v>
      </c>
      <c r="S287" t="s">
        <v>10</v>
      </c>
      <c r="T287" t="s">
        <v>1224</v>
      </c>
      <c r="U287" t="s">
        <v>1225</v>
      </c>
    </row>
    <row r="288" spans="1:21" x14ac:dyDescent="0.3">
      <c r="A288" s="64">
        <v>46139</v>
      </c>
      <c r="B288" t="s">
        <v>1226</v>
      </c>
      <c r="C288" t="s">
        <v>1227</v>
      </c>
      <c r="E288" t="s">
        <v>66</v>
      </c>
      <c r="F288" t="s">
        <v>67</v>
      </c>
      <c r="G288" t="s">
        <v>59</v>
      </c>
      <c r="H288" t="s">
        <v>60</v>
      </c>
      <c r="N288" t="s">
        <v>1</v>
      </c>
      <c r="P288" t="s">
        <v>7</v>
      </c>
      <c r="Q288" t="s">
        <v>11</v>
      </c>
      <c r="R288" t="s">
        <v>70</v>
      </c>
      <c r="S288" t="s">
        <v>10</v>
      </c>
      <c r="T288" t="s">
        <v>1228</v>
      </c>
      <c r="U288" t="s">
        <v>1229</v>
      </c>
    </row>
    <row r="289" spans="1:21" x14ac:dyDescent="0.3">
      <c r="A289" s="64">
        <v>46139</v>
      </c>
      <c r="B289" t="s">
        <v>73</v>
      </c>
      <c r="C289" t="s">
        <v>74</v>
      </c>
      <c r="E289" t="s">
        <v>19</v>
      </c>
      <c r="F289" t="s">
        <v>58</v>
      </c>
      <c r="G289" t="s">
        <v>59</v>
      </c>
      <c r="H289" t="s">
        <v>60</v>
      </c>
      <c r="N289" t="s">
        <v>1</v>
      </c>
      <c r="P289" t="s">
        <v>21</v>
      </c>
      <c r="Q289" t="s">
        <v>11</v>
      </c>
      <c r="R289" t="s">
        <v>61</v>
      </c>
      <c r="S289" t="s">
        <v>10</v>
      </c>
      <c r="T289" t="s">
        <v>1230</v>
      </c>
      <c r="U289" t="s">
        <v>1231</v>
      </c>
    </row>
    <row r="290" spans="1:21" x14ac:dyDescent="0.3">
      <c r="A290" s="64">
        <v>46139</v>
      </c>
      <c r="B290" t="s">
        <v>275</v>
      </c>
      <c r="C290" t="s">
        <v>276</v>
      </c>
      <c r="E290" t="s">
        <v>66</v>
      </c>
      <c r="F290" t="s">
        <v>103</v>
      </c>
      <c r="G290" t="s">
        <v>59</v>
      </c>
      <c r="H290" t="s">
        <v>60</v>
      </c>
      <c r="N290" t="s">
        <v>1</v>
      </c>
      <c r="P290" t="s">
        <v>15</v>
      </c>
      <c r="Q290" t="s">
        <v>15</v>
      </c>
      <c r="R290" t="s">
        <v>524</v>
      </c>
      <c r="S290" t="s">
        <v>15</v>
      </c>
      <c r="T290" t="s">
        <v>1232</v>
      </c>
      <c r="U290" t="s">
        <v>1233</v>
      </c>
    </row>
    <row r="291" spans="1:21" x14ac:dyDescent="0.3">
      <c r="A291" s="64">
        <v>46139</v>
      </c>
      <c r="B291" t="s">
        <v>83</v>
      </c>
      <c r="C291" t="s">
        <v>84</v>
      </c>
      <c r="E291" t="s">
        <v>19</v>
      </c>
      <c r="F291" t="s">
        <v>85</v>
      </c>
      <c r="G291" t="s">
        <v>59</v>
      </c>
      <c r="H291" t="s">
        <v>60</v>
      </c>
      <c r="N291" t="s">
        <v>1</v>
      </c>
      <c r="P291" t="s">
        <v>19</v>
      </c>
      <c r="Q291" t="s">
        <v>11</v>
      </c>
      <c r="R291" t="s">
        <v>80</v>
      </c>
      <c r="S291" t="s">
        <v>10</v>
      </c>
      <c r="T291" t="s">
        <v>1234</v>
      </c>
      <c r="U291" t="s">
        <v>1235</v>
      </c>
    </row>
    <row r="292" spans="1:21" x14ac:dyDescent="0.3">
      <c r="A292" s="64">
        <v>46139</v>
      </c>
      <c r="B292" t="s">
        <v>279</v>
      </c>
      <c r="C292" t="s">
        <v>280</v>
      </c>
      <c r="E292" t="s">
        <v>19</v>
      </c>
      <c r="F292" t="s">
        <v>109</v>
      </c>
      <c r="G292" t="s">
        <v>68</v>
      </c>
      <c r="H292" t="s">
        <v>69</v>
      </c>
      <c r="N292" t="s">
        <v>1</v>
      </c>
      <c r="P292" t="s">
        <v>24</v>
      </c>
      <c r="Q292" t="s">
        <v>22</v>
      </c>
      <c r="R292" t="s">
        <v>391</v>
      </c>
      <c r="S292" t="s">
        <v>5</v>
      </c>
      <c r="T292" t="s">
        <v>1236</v>
      </c>
      <c r="U292" t="s">
        <v>1237</v>
      </c>
    </row>
    <row r="293" spans="1:21" x14ac:dyDescent="0.3">
      <c r="A293" s="64">
        <v>46139</v>
      </c>
      <c r="B293" t="s">
        <v>1238</v>
      </c>
      <c r="C293" t="s">
        <v>1239</v>
      </c>
      <c r="E293" t="s">
        <v>66</v>
      </c>
      <c r="F293" t="s">
        <v>396</v>
      </c>
      <c r="G293" t="s">
        <v>59</v>
      </c>
      <c r="H293" t="s">
        <v>60</v>
      </c>
      <c r="N293" t="s">
        <v>1</v>
      </c>
      <c r="P293" t="s">
        <v>157</v>
      </c>
      <c r="Q293" t="s">
        <v>157</v>
      </c>
      <c r="R293" t="s">
        <v>156</v>
      </c>
      <c r="S293" t="s">
        <v>157</v>
      </c>
      <c r="T293" t="s">
        <v>1240</v>
      </c>
      <c r="U293" t="s">
        <v>1241</v>
      </c>
    </row>
    <row r="294" spans="1:21" x14ac:dyDescent="0.3">
      <c r="A294" s="64">
        <v>46139</v>
      </c>
      <c r="B294" t="s">
        <v>228</v>
      </c>
      <c r="C294" t="s">
        <v>229</v>
      </c>
      <c r="E294" t="s">
        <v>66</v>
      </c>
      <c r="F294" t="s">
        <v>103</v>
      </c>
      <c r="G294" t="s">
        <v>68</v>
      </c>
      <c r="H294" t="s">
        <v>69</v>
      </c>
      <c r="N294" t="s">
        <v>1</v>
      </c>
      <c r="P294" t="s">
        <v>9</v>
      </c>
      <c r="Q294" t="s">
        <v>11</v>
      </c>
      <c r="R294" t="s">
        <v>104</v>
      </c>
      <c r="S294" t="s">
        <v>10</v>
      </c>
      <c r="T294" t="s">
        <v>1242</v>
      </c>
      <c r="U294" t="s">
        <v>1243</v>
      </c>
    </row>
    <row r="295" spans="1:21" x14ac:dyDescent="0.3">
      <c r="A295" s="64">
        <v>46139</v>
      </c>
      <c r="B295" t="s">
        <v>283</v>
      </c>
      <c r="C295" t="s">
        <v>284</v>
      </c>
      <c r="E295" t="s">
        <v>19</v>
      </c>
      <c r="F295" t="s">
        <v>109</v>
      </c>
      <c r="G295" t="s">
        <v>116</v>
      </c>
      <c r="H295" t="s">
        <v>285</v>
      </c>
      <c r="N295" t="s">
        <v>145</v>
      </c>
      <c r="P295" t="s">
        <v>15</v>
      </c>
      <c r="Q295" t="s">
        <v>15</v>
      </c>
      <c r="R295" t="s">
        <v>15</v>
      </c>
      <c r="S295" t="s">
        <v>15</v>
      </c>
      <c r="T295" t="s">
        <v>1244</v>
      </c>
      <c r="U295" t="s">
        <v>1245</v>
      </c>
    </row>
    <row r="296" spans="1:21" x14ac:dyDescent="0.3">
      <c r="A296" s="64">
        <v>46139</v>
      </c>
      <c r="B296" t="s">
        <v>293</v>
      </c>
      <c r="C296" t="s">
        <v>294</v>
      </c>
      <c r="E296" t="s">
        <v>19</v>
      </c>
      <c r="F296" t="s">
        <v>109</v>
      </c>
      <c r="G296" t="s">
        <v>122</v>
      </c>
      <c r="H296" t="s">
        <v>295</v>
      </c>
      <c r="N296" t="s">
        <v>145</v>
      </c>
      <c r="P296" t="s">
        <v>4</v>
      </c>
      <c r="Q296" t="s">
        <v>4</v>
      </c>
      <c r="R296" t="s">
        <v>4</v>
      </c>
      <c r="S296" t="s">
        <v>4</v>
      </c>
      <c r="T296" t="s">
        <v>1246</v>
      </c>
      <c r="U296" t="s">
        <v>1247</v>
      </c>
    </row>
    <row r="297" spans="1:21" x14ac:dyDescent="0.3">
      <c r="A297" s="64">
        <v>46139</v>
      </c>
      <c r="B297" t="s">
        <v>324</v>
      </c>
      <c r="C297" t="s">
        <v>325</v>
      </c>
      <c r="E297" t="s">
        <v>19</v>
      </c>
      <c r="F297" t="s">
        <v>221</v>
      </c>
      <c r="G297" t="s">
        <v>122</v>
      </c>
      <c r="H297" t="s">
        <v>324</v>
      </c>
      <c r="N297" t="s">
        <v>145</v>
      </c>
      <c r="P297" t="s">
        <v>4</v>
      </c>
      <c r="Q297" t="s">
        <v>4</v>
      </c>
      <c r="R297" t="s">
        <v>4</v>
      </c>
      <c r="S297" t="s">
        <v>4</v>
      </c>
      <c r="T297" t="s">
        <v>1248</v>
      </c>
      <c r="U297" t="s">
        <v>1249</v>
      </c>
    </row>
    <row r="298" spans="1:21" x14ac:dyDescent="0.3">
      <c r="A298" s="64">
        <v>46139</v>
      </c>
      <c r="B298" t="s">
        <v>1250</v>
      </c>
      <c r="C298" t="s">
        <v>1251</v>
      </c>
      <c r="E298" t="s">
        <v>19</v>
      </c>
      <c r="F298" t="s">
        <v>109</v>
      </c>
      <c r="G298" t="s">
        <v>181</v>
      </c>
      <c r="H298" t="s">
        <v>1250</v>
      </c>
      <c r="N298" t="s">
        <v>1</v>
      </c>
      <c r="P298" t="s">
        <v>12</v>
      </c>
      <c r="Q298" t="s">
        <v>14</v>
      </c>
      <c r="R298" t="s">
        <v>146</v>
      </c>
      <c r="S298" t="s">
        <v>5</v>
      </c>
      <c r="T298" t="s">
        <v>1252</v>
      </c>
      <c r="U298" t="s">
        <v>1253</v>
      </c>
    </row>
    <row r="299" spans="1:21" x14ac:dyDescent="0.3">
      <c r="A299" s="64">
        <v>46139</v>
      </c>
      <c r="B299" t="s">
        <v>1254</v>
      </c>
      <c r="C299" t="s">
        <v>1255</v>
      </c>
      <c r="E299" t="s">
        <v>19</v>
      </c>
      <c r="F299" t="s">
        <v>109</v>
      </c>
      <c r="G299" t="s">
        <v>68</v>
      </c>
      <c r="H299" t="s">
        <v>69</v>
      </c>
      <c r="N299" t="s">
        <v>1</v>
      </c>
      <c r="P299" t="s">
        <v>19</v>
      </c>
      <c r="Q299" t="s">
        <v>11</v>
      </c>
      <c r="R299" t="s">
        <v>80</v>
      </c>
      <c r="S299" t="s">
        <v>10</v>
      </c>
      <c r="T299" t="s">
        <v>1256</v>
      </c>
      <c r="U299" t="s">
        <v>1257</v>
      </c>
    </row>
    <row r="300" spans="1:21" x14ac:dyDescent="0.3">
      <c r="A300" s="64">
        <v>46139</v>
      </c>
      <c r="B300" t="s">
        <v>213</v>
      </c>
      <c r="C300" t="s">
        <v>214</v>
      </c>
      <c r="E300" t="s">
        <v>19</v>
      </c>
      <c r="F300" t="s">
        <v>58</v>
      </c>
      <c r="G300" t="s">
        <v>59</v>
      </c>
      <c r="H300" t="s">
        <v>60</v>
      </c>
      <c r="N300" t="s">
        <v>1</v>
      </c>
      <c r="P300" t="s">
        <v>21</v>
      </c>
      <c r="Q300" t="s">
        <v>11</v>
      </c>
      <c r="R300" t="s">
        <v>61</v>
      </c>
      <c r="S300" t="s">
        <v>10</v>
      </c>
      <c r="T300" t="s">
        <v>1258</v>
      </c>
      <c r="U300" t="s">
        <v>1259</v>
      </c>
    </row>
    <row r="301" spans="1:21" x14ac:dyDescent="0.3">
      <c r="A301" s="64">
        <v>46139</v>
      </c>
      <c r="B301" t="s">
        <v>419</v>
      </c>
      <c r="C301" t="s">
        <v>420</v>
      </c>
      <c r="E301" t="s">
        <v>19</v>
      </c>
      <c r="F301" t="s">
        <v>271</v>
      </c>
      <c r="G301" t="s">
        <v>59</v>
      </c>
      <c r="H301" t="s">
        <v>60</v>
      </c>
      <c r="N301" t="s">
        <v>1</v>
      </c>
      <c r="P301" t="s">
        <v>6</v>
      </c>
      <c r="Q301" t="s">
        <v>6</v>
      </c>
      <c r="R301" t="s">
        <v>188</v>
      </c>
      <c r="S301" t="s">
        <v>10</v>
      </c>
      <c r="T301" t="s">
        <v>1260</v>
      </c>
      <c r="U301" t="s">
        <v>1261</v>
      </c>
    </row>
    <row r="302" spans="1:21" x14ac:dyDescent="0.3">
      <c r="A302" s="64">
        <v>46139</v>
      </c>
      <c r="B302" t="s">
        <v>312</v>
      </c>
      <c r="C302" t="s">
        <v>313</v>
      </c>
      <c r="E302" t="s">
        <v>19</v>
      </c>
      <c r="F302" t="s">
        <v>261</v>
      </c>
      <c r="G302" t="s">
        <v>59</v>
      </c>
      <c r="H302" t="s">
        <v>314</v>
      </c>
      <c r="N302" t="s">
        <v>1</v>
      </c>
      <c r="P302" t="s">
        <v>6</v>
      </c>
      <c r="Q302" t="s">
        <v>6</v>
      </c>
      <c r="R302" t="s">
        <v>188</v>
      </c>
      <c r="S302" t="s">
        <v>10</v>
      </c>
      <c r="T302" t="s">
        <v>1262</v>
      </c>
      <c r="U302" t="s">
        <v>1263</v>
      </c>
    </row>
    <row r="303" spans="1:21" x14ac:dyDescent="0.3">
      <c r="A303" s="64">
        <v>46139</v>
      </c>
      <c r="B303" t="s">
        <v>1264</v>
      </c>
      <c r="C303" t="s">
        <v>1265</v>
      </c>
      <c r="E303" t="s">
        <v>66</v>
      </c>
      <c r="F303" t="s">
        <v>396</v>
      </c>
      <c r="G303" t="s">
        <v>116</v>
      </c>
      <c r="H303" t="s">
        <v>285</v>
      </c>
      <c r="N303" t="s">
        <v>1</v>
      </c>
      <c r="P303" t="s">
        <v>7</v>
      </c>
      <c r="Q303" t="s">
        <v>11</v>
      </c>
      <c r="R303" t="s">
        <v>70</v>
      </c>
      <c r="S303" t="s">
        <v>10</v>
      </c>
      <c r="T303" t="s">
        <v>1266</v>
      </c>
      <c r="U303" t="s">
        <v>1267</v>
      </c>
    </row>
    <row r="304" spans="1:21" x14ac:dyDescent="0.3">
      <c r="A304" s="64">
        <v>46139</v>
      </c>
      <c r="B304" t="s">
        <v>306</v>
      </c>
      <c r="C304" t="s">
        <v>307</v>
      </c>
      <c r="E304" t="s">
        <v>308</v>
      </c>
      <c r="F304" t="s">
        <v>309</v>
      </c>
      <c r="G304" t="s">
        <v>59</v>
      </c>
      <c r="H304" t="s">
        <v>60</v>
      </c>
      <c r="N304" t="s">
        <v>1</v>
      </c>
      <c r="P304" t="s">
        <v>12</v>
      </c>
      <c r="Q304" t="s">
        <v>14</v>
      </c>
      <c r="R304" t="s">
        <v>146</v>
      </c>
      <c r="S304" t="s">
        <v>5</v>
      </c>
      <c r="T304" t="s">
        <v>1268</v>
      </c>
      <c r="U304" t="s">
        <v>1269</v>
      </c>
    </row>
    <row r="305" spans="1:21" x14ac:dyDescent="0.3">
      <c r="A305" s="64">
        <v>46139</v>
      </c>
      <c r="B305" t="s">
        <v>259</v>
      </c>
      <c r="C305" t="s">
        <v>260</v>
      </c>
      <c r="E305" t="s">
        <v>19</v>
      </c>
      <c r="F305" t="s">
        <v>261</v>
      </c>
      <c r="G305" t="s">
        <v>200</v>
      </c>
      <c r="H305" t="s">
        <v>262</v>
      </c>
      <c r="N305" t="s">
        <v>1</v>
      </c>
      <c r="P305" t="s">
        <v>12</v>
      </c>
      <c r="Q305" t="s">
        <v>14</v>
      </c>
      <c r="R305" t="s">
        <v>146</v>
      </c>
      <c r="S305" t="s">
        <v>5</v>
      </c>
      <c r="T305" t="s">
        <v>1270</v>
      </c>
      <c r="U305" t="s">
        <v>1271</v>
      </c>
    </row>
    <row r="306" spans="1:21" x14ac:dyDescent="0.3">
      <c r="A306" s="64">
        <v>46139</v>
      </c>
      <c r="B306" t="s">
        <v>1272</v>
      </c>
      <c r="C306" t="s">
        <v>1273</v>
      </c>
      <c r="E306" t="s">
        <v>19</v>
      </c>
      <c r="F306" t="s">
        <v>109</v>
      </c>
      <c r="G306" t="s">
        <v>68</v>
      </c>
      <c r="H306" t="s">
        <v>69</v>
      </c>
      <c r="N306" t="s">
        <v>1</v>
      </c>
      <c r="P306" t="s">
        <v>19</v>
      </c>
      <c r="Q306" t="s">
        <v>11</v>
      </c>
      <c r="R306" t="s">
        <v>80</v>
      </c>
      <c r="S306" t="s">
        <v>10</v>
      </c>
      <c r="T306" t="s">
        <v>1274</v>
      </c>
      <c r="U306" t="s">
        <v>1275</v>
      </c>
    </row>
    <row r="307" spans="1:21" x14ac:dyDescent="0.3">
      <c r="A307" s="64">
        <v>46139</v>
      </c>
      <c r="B307" t="s">
        <v>1276</v>
      </c>
      <c r="C307" t="s">
        <v>1277</v>
      </c>
      <c r="E307" t="s">
        <v>19</v>
      </c>
      <c r="F307" t="s">
        <v>109</v>
      </c>
      <c r="G307" t="s">
        <v>68</v>
      </c>
      <c r="H307" t="s">
        <v>69</v>
      </c>
      <c r="N307" t="s">
        <v>1</v>
      </c>
      <c r="P307" t="s">
        <v>19</v>
      </c>
      <c r="Q307" t="s">
        <v>11</v>
      </c>
      <c r="R307" t="s">
        <v>80</v>
      </c>
      <c r="S307" t="s">
        <v>10</v>
      </c>
      <c r="T307" t="s">
        <v>1278</v>
      </c>
      <c r="U307" t="s">
        <v>1279</v>
      </c>
    </row>
    <row r="308" spans="1:21" x14ac:dyDescent="0.3">
      <c r="A308" s="64">
        <v>46139</v>
      </c>
      <c r="B308" t="s">
        <v>1280</v>
      </c>
      <c r="C308" t="s">
        <v>1281</v>
      </c>
      <c r="E308" t="s">
        <v>66</v>
      </c>
      <c r="F308" t="s">
        <v>1282</v>
      </c>
      <c r="G308" t="s">
        <v>143</v>
      </c>
      <c r="H308" t="s">
        <v>290</v>
      </c>
      <c r="N308" t="s">
        <v>1</v>
      </c>
      <c r="P308" t="s">
        <v>7</v>
      </c>
      <c r="Q308" t="s">
        <v>11</v>
      </c>
      <c r="R308" t="s">
        <v>70</v>
      </c>
      <c r="S308" t="s">
        <v>10</v>
      </c>
      <c r="T308" t="s">
        <v>1283</v>
      </c>
      <c r="U308" t="s">
        <v>1284</v>
      </c>
    </row>
    <row r="309" spans="1:21" x14ac:dyDescent="0.3">
      <c r="A309" s="64">
        <v>46139</v>
      </c>
      <c r="B309" t="s">
        <v>472</v>
      </c>
      <c r="C309" t="s">
        <v>473</v>
      </c>
      <c r="E309" t="s">
        <v>19</v>
      </c>
      <c r="F309" t="s">
        <v>109</v>
      </c>
      <c r="G309" t="s">
        <v>59</v>
      </c>
      <c r="H309" t="s">
        <v>60</v>
      </c>
      <c r="N309" t="s">
        <v>1</v>
      </c>
      <c r="P309" t="s">
        <v>12</v>
      </c>
      <c r="Q309" t="s">
        <v>14</v>
      </c>
      <c r="R309" t="s">
        <v>146</v>
      </c>
      <c r="S309" t="s">
        <v>5</v>
      </c>
      <c r="T309" t="s">
        <v>1285</v>
      </c>
      <c r="U309" t="s">
        <v>1286</v>
      </c>
    </row>
    <row r="310" spans="1:21" x14ac:dyDescent="0.3">
      <c r="A310" s="64">
        <v>46139</v>
      </c>
      <c r="B310" t="s">
        <v>1287</v>
      </c>
      <c r="C310" t="s">
        <v>1288</v>
      </c>
      <c r="E310" t="s">
        <v>19</v>
      </c>
      <c r="F310" t="s">
        <v>221</v>
      </c>
      <c r="G310" t="s">
        <v>143</v>
      </c>
      <c r="H310" t="s">
        <v>1289</v>
      </c>
      <c r="N310" t="s">
        <v>145</v>
      </c>
      <c r="P310" t="s">
        <v>24</v>
      </c>
      <c r="Q310" t="s">
        <v>22</v>
      </c>
      <c r="R310" t="s">
        <v>167</v>
      </c>
      <c r="S310" t="s">
        <v>5</v>
      </c>
      <c r="T310" t="s">
        <v>1290</v>
      </c>
      <c r="U310" t="s">
        <v>1291</v>
      </c>
    </row>
    <row r="311" spans="1:21" x14ac:dyDescent="0.3">
      <c r="A311" s="64">
        <v>46139</v>
      </c>
      <c r="B311" t="s">
        <v>499</v>
      </c>
      <c r="C311" t="s">
        <v>500</v>
      </c>
      <c r="E311" t="s">
        <v>19</v>
      </c>
      <c r="F311" t="s">
        <v>109</v>
      </c>
      <c r="G311" t="s">
        <v>59</v>
      </c>
      <c r="H311" t="s">
        <v>60</v>
      </c>
      <c r="N311" t="s">
        <v>1</v>
      </c>
      <c r="P311" t="s">
        <v>12</v>
      </c>
      <c r="Q311" t="s">
        <v>14</v>
      </c>
      <c r="R311" t="s">
        <v>146</v>
      </c>
      <c r="S311" t="s">
        <v>5</v>
      </c>
      <c r="T311" t="s">
        <v>1205</v>
      </c>
      <c r="U311" t="s">
        <v>1206</v>
      </c>
    </row>
    <row r="312" spans="1:21" x14ac:dyDescent="0.3">
      <c r="A312" s="64">
        <v>46139</v>
      </c>
      <c r="B312" t="s">
        <v>464</v>
      </c>
      <c r="C312" t="s">
        <v>465</v>
      </c>
      <c r="E312" t="s">
        <v>19</v>
      </c>
      <c r="F312" t="s">
        <v>109</v>
      </c>
      <c r="G312" t="s">
        <v>59</v>
      </c>
      <c r="H312" t="s">
        <v>60</v>
      </c>
      <c r="N312" t="s">
        <v>1</v>
      </c>
      <c r="P312" t="s">
        <v>12</v>
      </c>
      <c r="Q312" t="s">
        <v>14</v>
      </c>
      <c r="R312" t="s">
        <v>146</v>
      </c>
      <c r="S312" t="s">
        <v>5</v>
      </c>
      <c r="T312" t="s">
        <v>1205</v>
      </c>
      <c r="U312" t="s">
        <v>1206</v>
      </c>
    </row>
    <row r="313" spans="1:21" x14ac:dyDescent="0.3">
      <c r="A313" s="64">
        <v>46139</v>
      </c>
      <c r="B313" t="s">
        <v>474</v>
      </c>
      <c r="C313" t="s">
        <v>475</v>
      </c>
      <c r="E313" t="s">
        <v>19</v>
      </c>
      <c r="F313" t="s">
        <v>476</v>
      </c>
      <c r="G313" t="s">
        <v>98</v>
      </c>
      <c r="H313" t="s">
        <v>477</v>
      </c>
      <c r="N313" t="s">
        <v>1</v>
      </c>
      <c r="P313" t="s">
        <v>12</v>
      </c>
      <c r="Q313" t="s">
        <v>14</v>
      </c>
      <c r="R313" t="s">
        <v>146</v>
      </c>
      <c r="S313" t="s">
        <v>5</v>
      </c>
      <c r="T313" t="s">
        <v>1292</v>
      </c>
      <c r="U313" t="s">
        <v>1293</v>
      </c>
    </row>
    <row r="314" spans="1:21" x14ac:dyDescent="0.3">
      <c r="A314" s="64">
        <v>46139</v>
      </c>
      <c r="B314" t="s">
        <v>508</v>
      </c>
      <c r="C314" t="s">
        <v>509</v>
      </c>
      <c r="E314" t="s">
        <v>19</v>
      </c>
      <c r="F314" t="s">
        <v>109</v>
      </c>
      <c r="G314" t="s">
        <v>59</v>
      </c>
      <c r="H314" t="s">
        <v>60</v>
      </c>
      <c r="N314" t="s">
        <v>1</v>
      </c>
      <c r="P314" t="s">
        <v>12</v>
      </c>
      <c r="Q314" t="s">
        <v>14</v>
      </c>
      <c r="R314" t="s">
        <v>146</v>
      </c>
      <c r="S314" t="s">
        <v>5</v>
      </c>
      <c r="T314" t="s">
        <v>1205</v>
      </c>
      <c r="U314" t="s">
        <v>1206</v>
      </c>
    </row>
    <row r="315" spans="1:21" x14ac:dyDescent="0.3">
      <c r="A315" s="64">
        <v>46139</v>
      </c>
      <c r="B315" t="s">
        <v>569</v>
      </c>
      <c r="C315" t="s">
        <v>570</v>
      </c>
      <c r="E315" t="s">
        <v>66</v>
      </c>
      <c r="F315" t="s">
        <v>103</v>
      </c>
      <c r="G315" t="s">
        <v>59</v>
      </c>
      <c r="H315" t="s">
        <v>60</v>
      </c>
      <c r="N315" t="s">
        <v>1</v>
      </c>
      <c r="P315" t="s">
        <v>12</v>
      </c>
      <c r="Q315" t="s">
        <v>14</v>
      </c>
      <c r="R315" t="s">
        <v>146</v>
      </c>
      <c r="S315" t="s">
        <v>5</v>
      </c>
      <c r="T315" t="s">
        <v>1268</v>
      </c>
      <c r="U315" t="s">
        <v>1269</v>
      </c>
    </row>
    <row r="316" spans="1:21" x14ac:dyDescent="0.3">
      <c r="A316" s="64">
        <v>46139</v>
      </c>
      <c r="B316" t="s">
        <v>448</v>
      </c>
      <c r="C316" t="s">
        <v>449</v>
      </c>
      <c r="E316" t="s">
        <v>19</v>
      </c>
      <c r="F316" t="s">
        <v>85</v>
      </c>
      <c r="G316" t="s">
        <v>59</v>
      </c>
      <c r="H316" t="s">
        <v>60</v>
      </c>
      <c r="N316" t="s">
        <v>1</v>
      </c>
      <c r="P316" t="s">
        <v>12</v>
      </c>
      <c r="Q316" t="s">
        <v>14</v>
      </c>
      <c r="R316" t="s">
        <v>146</v>
      </c>
      <c r="S316" t="s">
        <v>5</v>
      </c>
      <c r="T316" t="s">
        <v>1205</v>
      </c>
      <c r="U316" t="s">
        <v>1206</v>
      </c>
    </row>
    <row r="317" spans="1:21" x14ac:dyDescent="0.3">
      <c r="A317" s="64">
        <v>46139</v>
      </c>
      <c r="B317" t="s">
        <v>462</v>
      </c>
      <c r="C317" t="s">
        <v>463</v>
      </c>
      <c r="E317" t="s">
        <v>19</v>
      </c>
      <c r="F317" t="s">
        <v>58</v>
      </c>
      <c r="G317" t="s">
        <v>59</v>
      </c>
      <c r="H317" t="s">
        <v>60</v>
      </c>
      <c r="N317" t="s">
        <v>1</v>
      </c>
      <c r="P317" t="s">
        <v>12</v>
      </c>
      <c r="Q317" t="s">
        <v>14</v>
      </c>
      <c r="R317" t="s">
        <v>146</v>
      </c>
      <c r="S317" t="s">
        <v>5</v>
      </c>
      <c r="T317" t="s">
        <v>1205</v>
      </c>
      <c r="U317" t="s">
        <v>1206</v>
      </c>
    </row>
    <row r="318" spans="1:21" x14ac:dyDescent="0.3">
      <c r="A318" s="64">
        <v>46139</v>
      </c>
      <c r="B318" t="s">
        <v>1294</v>
      </c>
      <c r="C318" t="s">
        <v>1295</v>
      </c>
      <c r="E318" t="s">
        <v>19</v>
      </c>
      <c r="F318" t="s">
        <v>109</v>
      </c>
      <c r="G318" t="s">
        <v>98</v>
      </c>
      <c r="H318" t="s">
        <v>351</v>
      </c>
      <c r="N318" t="s">
        <v>1</v>
      </c>
      <c r="P318" t="s">
        <v>15</v>
      </c>
      <c r="Q318" t="s">
        <v>15</v>
      </c>
      <c r="R318" t="s">
        <v>524</v>
      </c>
      <c r="S318" t="s">
        <v>15</v>
      </c>
      <c r="T318" t="s">
        <v>1296</v>
      </c>
      <c r="U318" t="s">
        <v>1297</v>
      </c>
    </row>
    <row r="319" spans="1:21" x14ac:dyDescent="0.3">
      <c r="A319" s="64">
        <v>46139</v>
      </c>
      <c r="B319" t="s">
        <v>543</v>
      </c>
      <c r="C319" t="s">
        <v>544</v>
      </c>
      <c r="E319" t="s">
        <v>66</v>
      </c>
      <c r="F319" t="s">
        <v>103</v>
      </c>
      <c r="G319" t="s">
        <v>59</v>
      </c>
      <c r="H319" t="s">
        <v>60</v>
      </c>
      <c r="N319" t="s">
        <v>1</v>
      </c>
      <c r="P319" t="s">
        <v>12</v>
      </c>
      <c r="Q319" t="s">
        <v>14</v>
      </c>
      <c r="R319" t="s">
        <v>146</v>
      </c>
      <c r="S319" t="s">
        <v>5</v>
      </c>
      <c r="T319" t="s">
        <v>1205</v>
      </c>
      <c r="U319" t="s">
        <v>1206</v>
      </c>
    </row>
    <row r="320" spans="1:21" x14ac:dyDescent="0.3">
      <c r="A320" s="64">
        <v>46139</v>
      </c>
      <c r="B320" t="s">
        <v>558</v>
      </c>
      <c r="C320" t="s">
        <v>559</v>
      </c>
      <c r="E320" t="s">
        <v>19</v>
      </c>
      <c r="F320" t="s">
        <v>109</v>
      </c>
      <c r="G320" t="s">
        <v>59</v>
      </c>
      <c r="H320" t="s">
        <v>60</v>
      </c>
      <c r="N320" t="s">
        <v>1</v>
      </c>
      <c r="P320" t="s">
        <v>12</v>
      </c>
      <c r="Q320" t="s">
        <v>14</v>
      </c>
      <c r="R320" t="s">
        <v>146</v>
      </c>
      <c r="S320" t="s">
        <v>5</v>
      </c>
      <c r="T320" t="s">
        <v>1205</v>
      </c>
      <c r="U320" t="s">
        <v>1206</v>
      </c>
    </row>
    <row r="321" spans="1:21" x14ac:dyDescent="0.3">
      <c r="A321" s="64">
        <v>46139</v>
      </c>
      <c r="B321" t="s">
        <v>466</v>
      </c>
      <c r="C321" t="s">
        <v>467</v>
      </c>
      <c r="E321" t="s">
        <v>19</v>
      </c>
      <c r="F321" t="s">
        <v>109</v>
      </c>
      <c r="G321" t="s">
        <v>59</v>
      </c>
      <c r="H321" t="s">
        <v>60</v>
      </c>
      <c r="N321" t="s">
        <v>1</v>
      </c>
      <c r="P321" t="s">
        <v>12</v>
      </c>
      <c r="Q321" t="s">
        <v>14</v>
      </c>
      <c r="R321" t="s">
        <v>146</v>
      </c>
      <c r="S321" t="s">
        <v>5</v>
      </c>
      <c r="T321" t="s">
        <v>1205</v>
      </c>
      <c r="U321" t="s">
        <v>1206</v>
      </c>
    </row>
    <row r="322" spans="1:21" x14ac:dyDescent="0.3">
      <c r="A322" s="64">
        <v>46139</v>
      </c>
      <c r="B322" t="s">
        <v>345</v>
      </c>
      <c r="C322" t="s">
        <v>346</v>
      </c>
      <c r="E322" t="s">
        <v>136</v>
      </c>
      <c r="G322" t="s">
        <v>59</v>
      </c>
      <c r="H322" t="s">
        <v>60</v>
      </c>
      <c r="N322" t="s">
        <v>1</v>
      </c>
      <c r="P322" t="s">
        <v>12</v>
      </c>
      <c r="Q322" t="s">
        <v>14</v>
      </c>
      <c r="R322" t="s">
        <v>146</v>
      </c>
      <c r="S322" t="s">
        <v>5</v>
      </c>
      <c r="T322" t="s">
        <v>1298</v>
      </c>
      <c r="U322" t="s">
        <v>1299</v>
      </c>
    </row>
    <row r="323" spans="1:21" x14ac:dyDescent="0.3">
      <c r="A323" s="64">
        <v>46139</v>
      </c>
      <c r="B323" t="s">
        <v>547</v>
      </c>
      <c r="C323" t="s">
        <v>548</v>
      </c>
      <c r="G323" t="s">
        <v>59</v>
      </c>
      <c r="H323" t="s">
        <v>60</v>
      </c>
      <c r="N323" t="s">
        <v>1</v>
      </c>
      <c r="P323" t="s">
        <v>12</v>
      </c>
      <c r="Q323" t="s">
        <v>14</v>
      </c>
      <c r="R323" t="s">
        <v>146</v>
      </c>
      <c r="S323" t="s">
        <v>5</v>
      </c>
      <c r="T323" t="s">
        <v>1205</v>
      </c>
      <c r="U323" t="s">
        <v>1206</v>
      </c>
    </row>
    <row r="324" spans="1:21" x14ac:dyDescent="0.3">
      <c r="A324" s="64">
        <v>46139</v>
      </c>
      <c r="B324" t="s">
        <v>215</v>
      </c>
      <c r="C324" t="s">
        <v>216</v>
      </c>
      <c r="E324" t="s">
        <v>19</v>
      </c>
      <c r="F324" t="s">
        <v>109</v>
      </c>
      <c r="G324" t="s">
        <v>59</v>
      </c>
      <c r="H324" t="s">
        <v>60</v>
      </c>
      <c r="N324" t="s">
        <v>1</v>
      </c>
      <c r="P324" t="s">
        <v>12</v>
      </c>
      <c r="Q324" t="s">
        <v>14</v>
      </c>
      <c r="R324" t="s">
        <v>146</v>
      </c>
      <c r="S324" t="s">
        <v>5</v>
      </c>
      <c r="T324" t="s">
        <v>1300</v>
      </c>
      <c r="U324" t="s">
        <v>1301</v>
      </c>
    </row>
    <row r="325" spans="1:21" x14ac:dyDescent="0.3">
      <c r="A325" s="64">
        <v>46139</v>
      </c>
      <c r="B325" t="s">
        <v>520</v>
      </c>
      <c r="C325" t="s">
        <v>521</v>
      </c>
      <c r="E325" t="s">
        <v>19</v>
      </c>
      <c r="F325" t="s">
        <v>58</v>
      </c>
      <c r="G325" t="s">
        <v>59</v>
      </c>
      <c r="H325" t="s">
        <v>60</v>
      </c>
      <c r="N325" t="s">
        <v>1</v>
      </c>
      <c r="P325" t="s">
        <v>12</v>
      </c>
      <c r="Q325" t="s">
        <v>14</v>
      </c>
      <c r="R325" t="s">
        <v>146</v>
      </c>
      <c r="S325" t="s">
        <v>5</v>
      </c>
      <c r="T325" t="s">
        <v>1268</v>
      </c>
      <c r="U325" t="s">
        <v>1269</v>
      </c>
    </row>
    <row r="326" spans="1:21" x14ac:dyDescent="0.3">
      <c r="A326" s="64">
        <v>46139</v>
      </c>
      <c r="B326" t="s">
        <v>571</v>
      </c>
      <c r="C326" t="s">
        <v>572</v>
      </c>
      <c r="E326" t="s">
        <v>19</v>
      </c>
      <c r="F326" t="s">
        <v>58</v>
      </c>
      <c r="G326" t="s">
        <v>59</v>
      </c>
      <c r="H326" t="s">
        <v>60</v>
      </c>
      <c r="N326" t="s">
        <v>1</v>
      </c>
      <c r="P326" t="s">
        <v>12</v>
      </c>
      <c r="Q326" t="s">
        <v>14</v>
      </c>
      <c r="R326" t="s">
        <v>146</v>
      </c>
      <c r="S326" t="s">
        <v>5</v>
      </c>
      <c r="T326" t="s">
        <v>1268</v>
      </c>
      <c r="U326" t="s">
        <v>1269</v>
      </c>
    </row>
    <row r="327" spans="1:21" x14ac:dyDescent="0.3">
      <c r="A327" s="64">
        <v>46139</v>
      </c>
      <c r="B327" t="s">
        <v>592</v>
      </c>
      <c r="C327" t="s">
        <v>593</v>
      </c>
      <c r="E327" t="s">
        <v>19</v>
      </c>
      <c r="F327" t="s">
        <v>594</v>
      </c>
      <c r="G327" t="s">
        <v>59</v>
      </c>
      <c r="H327" t="s">
        <v>60</v>
      </c>
      <c r="N327" t="s">
        <v>1</v>
      </c>
      <c r="P327" t="s">
        <v>12</v>
      </c>
      <c r="Q327" t="s">
        <v>14</v>
      </c>
      <c r="R327" t="s">
        <v>146</v>
      </c>
      <c r="S327" t="s">
        <v>5</v>
      </c>
      <c r="T327" t="s">
        <v>1302</v>
      </c>
      <c r="U327" t="s">
        <v>1303</v>
      </c>
    </row>
    <row r="328" spans="1:21" x14ac:dyDescent="0.3">
      <c r="A328" s="64">
        <v>46139</v>
      </c>
      <c r="B328" t="s">
        <v>1304</v>
      </c>
      <c r="C328" t="s">
        <v>1305</v>
      </c>
      <c r="E328" t="s">
        <v>19</v>
      </c>
      <c r="F328" t="s">
        <v>820</v>
      </c>
      <c r="G328" t="s">
        <v>110</v>
      </c>
      <c r="H328" t="s">
        <v>1306</v>
      </c>
      <c r="N328" t="s">
        <v>156</v>
      </c>
      <c r="P328" t="s">
        <v>157</v>
      </c>
      <c r="Q328" t="s">
        <v>157</v>
      </c>
      <c r="R328" t="s">
        <v>156</v>
      </c>
      <c r="S328" t="s">
        <v>157</v>
      </c>
      <c r="T328" t="s">
        <v>1307</v>
      </c>
      <c r="U328" t="s">
        <v>1308</v>
      </c>
    </row>
    <row r="329" spans="1:21" x14ac:dyDescent="0.3">
      <c r="A329" s="64">
        <v>46139</v>
      </c>
      <c r="B329" t="s">
        <v>363</v>
      </c>
      <c r="C329" t="s">
        <v>364</v>
      </c>
      <c r="E329" t="s">
        <v>19</v>
      </c>
      <c r="F329" t="s">
        <v>109</v>
      </c>
      <c r="G329" t="s">
        <v>68</v>
      </c>
      <c r="H329" t="s">
        <v>365</v>
      </c>
      <c r="N329" t="s">
        <v>1</v>
      </c>
      <c r="P329" t="s">
        <v>6</v>
      </c>
      <c r="Q329" t="s">
        <v>6</v>
      </c>
      <c r="R329" t="s">
        <v>188</v>
      </c>
      <c r="S329" t="s">
        <v>10</v>
      </c>
      <c r="T329" t="s">
        <v>1309</v>
      </c>
      <c r="U329" t="s">
        <v>1310</v>
      </c>
    </row>
    <row r="330" spans="1:21" x14ac:dyDescent="0.3">
      <c r="A330" s="64">
        <v>46139</v>
      </c>
      <c r="B330" t="s">
        <v>373</v>
      </c>
      <c r="C330" t="s">
        <v>374</v>
      </c>
      <c r="E330" t="s">
        <v>19</v>
      </c>
      <c r="F330" t="s">
        <v>109</v>
      </c>
      <c r="G330" t="s">
        <v>116</v>
      </c>
      <c r="H330" t="s">
        <v>375</v>
      </c>
      <c r="N330" t="s">
        <v>145</v>
      </c>
      <c r="P330" t="s">
        <v>4</v>
      </c>
      <c r="Q330" t="s">
        <v>4</v>
      </c>
      <c r="R330" t="s">
        <v>4</v>
      </c>
      <c r="S330" t="s">
        <v>4</v>
      </c>
      <c r="T330" t="s">
        <v>1311</v>
      </c>
      <c r="U330" t="s">
        <v>1312</v>
      </c>
    </row>
    <row r="331" spans="1:21" x14ac:dyDescent="0.3">
      <c r="A331" s="64">
        <v>46139</v>
      </c>
      <c r="B331" t="s">
        <v>378</v>
      </c>
      <c r="C331" t="s">
        <v>379</v>
      </c>
      <c r="E331" t="s">
        <v>19</v>
      </c>
      <c r="F331" t="s">
        <v>380</v>
      </c>
      <c r="G331" t="s">
        <v>122</v>
      </c>
      <c r="H331" t="s">
        <v>381</v>
      </c>
      <c r="N331" t="s">
        <v>145</v>
      </c>
      <c r="P331" t="s">
        <v>4</v>
      </c>
      <c r="Q331" t="s">
        <v>4</v>
      </c>
      <c r="R331" t="s">
        <v>4</v>
      </c>
      <c r="S331" t="s">
        <v>4</v>
      </c>
      <c r="T331" t="s">
        <v>1313</v>
      </c>
      <c r="U331" t="s">
        <v>1314</v>
      </c>
    </row>
    <row r="332" spans="1:21" x14ac:dyDescent="0.3">
      <c r="A332" s="64">
        <v>46139</v>
      </c>
      <c r="B332" t="s">
        <v>1315</v>
      </c>
      <c r="C332" t="s">
        <v>1316</v>
      </c>
      <c r="E332" t="s">
        <v>19</v>
      </c>
      <c r="F332" t="s">
        <v>221</v>
      </c>
      <c r="G332" t="s">
        <v>122</v>
      </c>
      <c r="H332" t="s">
        <v>1317</v>
      </c>
      <c r="N332" t="s">
        <v>145</v>
      </c>
      <c r="P332" t="s">
        <v>4</v>
      </c>
      <c r="Q332" t="s">
        <v>4</v>
      </c>
      <c r="R332" t="s">
        <v>4</v>
      </c>
      <c r="S332" t="s">
        <v>4</v>
      </c>
      <c r="T332" t="s">
        <v>1318</v>
      </c>
      <c r="U332" t="s">
        <v>1319</v>
      </c>
    </row>
    <row r="333" spans="1:21" x14ac:dyDescent="0.3">
      <c r="A333" s="64">
        <v>46139</v>
      </c>
      <c r="B333" t="s">
        <v>1320</v>
      </c>
      <c r="C333" t="s">
        <v>1321</v>
      </c>
      <c r="E333" t="s">
        <v>19</v>
      </c>
      <c r="F333" t="s">
        <v>85</v>
      </c>
      <c r="G333" t="s">
        <v>68</v>
      </c>
      <c r="H333" t="s">
        <v>69</v>
      </c>
      <c r="N333" t="s">
        <v>1</v>
      </c>
      <c r="P333" t="s">
        <v>19</v>
      </c>
      <c r="Q333" t="s">
        <v>11</v>
      </c>
      <c r="R333" t="s">
        <v>80</v>
      </c>
      <c r="S333" t="s">
        <v>10</v>
      </c>
      <c r="T333" t="s">
        <v>1322</v>
      </c>
      <c r="U333" t="s">
        <v>1257</v>
      </c>
    </row>
    <row r="334" spans="1:21" x14ac:dyDescent="0.3">
      <c r="A334" s="64">
        <v>46139</v>
      </c>
      <c r="B334" t="s">
        <v>888</v>
      </c>
      <c r="C334" t="s">
        <v>889</v>
      </c>
      <c r="E334" t="s">
        <v>19</v>
      </c>
      <c r="F334" t="s">
        <v>58</v>
      </c>
      <c r="G334" t="s">
        <v>59</v>
      </c>
      <c r="H334" t="s">
        <v>60</v>
      </c>
      <c r="N334" t="s">
        <v>1</v>
      </c>
      <c r="P334" t="s">
        <v>12</v>
      </c>
      <c r="Q334" t="s">
        <v>14</v>
      </c>
      <c r="R334" t="s">
        <v>146</v>
      </c>
      <c r="S334" t="s">
        <v>5</v>
      </c>
      <c r="T334" t="s">
        <v>1302</v>
      </c>
      <c r="U334" t="s">
        <v>1303</v>
      </c>
    </row>
    <row r="335" spans="1:21" x14ac:dyDescent="0.3">
      <c r="A335" s="64">
        <v>46139</v>
      </c>
      <c r="B335" t="s">
        <v>1323</v>
      </c>
      <c r="C335" t="s">
        <v>1324</v>
      </c>
      <c r="E335" t="s">
        <v>66</v>
      </c>
      <c r="F335" t="s">
        <v>109</v>
      </c>
      <c r="G335" t="s">
        <v>59</v>
      </c>
      <c r="H335" t="s">
        <v>60</v>
      </c>
      <c r="N335" t="s">
        <v>1</v>
      </c>
      <c r="P335" t="s">
        <v>16</v>
      </c>
      <c r="Q335" t="s">
        <v>22</v>
      </c>
      <c r="R335" t="s">
        <v>172</v>
      </c>
      <c r="S335" t="s">
        <v>5</v>
      </c>
      <c r="T335" t="s">
        <v>1325</v>
      </c>
      <c r="U335" t="s">
        <v>1326</v>
      </c>
    </row>
    <row r="336" spans="1:21" x14ac:dyDescent="0.3">
      <c r="A336" s="64">
        <v>46139</v>
      </c>
      <c r="B336" t="s">
        <v>1327</v>
      </c>
      <c r="C336" t="s">
        <v>1328</v>
      </c>
      <c r="E336" t="s">
        <v>19</v>
      </c>
      <c r="F336" t="s">
        <v>820</v>
      </c>
      <c r="G336" t="s">
        <v>143</v>
      </c>
      <c r="H336" t="s">
        <v>1329</v>
      </c>
      <c r="N336" t="s">
        <v>145</v>
      </c>
      <c r="P336" t="s">
        <v>15</v>
      </c>
      <c r="Q336" t="s">
        <v>15</v>
      </c>
      <c r="R336" t="s">
        <v>524</v>
      </c>
      <c r="S336" t="s">
        <v>15</v>
      </c>
      <c r="T336" t="s">
        <v>1330</v>
      </c>
      <c r="U336" t="s">
        <v>1331</v>
      </c>
    </row>
    <row r="337" spans="1:21" x14ac:dyDescent="0.3">
      <c r="A337" s="64">
        <v>46139</v>
      </c>
      <c r="B337" t="s">
        <v>423</v>
      </c>
      <c r="C337" t="s">
        <v>424</v>
      </c>
      <c r="E337" t="s">
        <v>66</v>
      </c>
      <c r="F337" t="s">
        <v>193</v>
      </c>
      <c r="G337" t="s">
        <v>110</v>
      </c>
      <c r="H337" t="s">
        <v>425</v>
      </c>
      <c r="N337" t="s">
        <v>156</v>
      </c>
      <c r="P337" t="s">
        <v>157</v>
      </c>
      <c r="Q337" t="s">
        <v>157</v>
      </c>
      <c r="R337" t="s">
        <v>156</v>
      </c>
      <c r="S337" t="s">
        <v>157</v>
      </c>
      <c r="T337" t="s">
        <v>1332</v>
      </c>
      <c r="U337" t="s">
        <v>1267</v>
      </c>
    </row>
    <row r="338" spans="1:21" x14ac:dyDescent="0.3">
      <c r="A338" s="64">
        <v>46139</v>
      </c>
      <c r="B338" t="s">
        <v>1333</v>
      </c>
      <c r="C338" t="s">
        <v>1334</v>
      </c>
      <c r="E338" t="s">
        <v>19</v>
      </c>
      <c r="F338" t="s">
        <v>109</v>
      </c>
      <c r="G338" t="s">
        <v>122</v>
      </c>
      <c r="H338" t="s">
        <v>1333</v>
      </c>
      <c r="N338" t="s">
        <v>145</v>
      </c>
      <c r="P338" t="s">
        <v>12</v>
      </c>
      <c r="Q338" t="s">
        <v>14</v>
      </c>
      <c r="R338" t="s">
        <v>146</v>
      </c>
      <c r="S338" t="s">
        <v>5</v>
      </c>
      <c r="T338" t="s">
        <v>1335</v>
      </c>
      <c r="U338" t="s">
        <v>1336</v>
      </c>
    </row>
    <row r="339" spans="1:21" x14ac:dyDescent="0.3">
      <c r="A339" s="64">
        <v>46139</v>
      </c>
      <c r="B339" t="s">
        <v>659</v>
      </c>
      <c r="C339" t="s">
        <v>660</v>
      </c>
      <c r="E339" t="s">
        <v>19</v>
      </c>
      <c r="F339" t="s">
        <v>261</v>
      </c>
      <c r="G339" t="s">
        <v>143</v>
      </c>
      <c r="H339" t="s">
        <v>659</v>
      </c>
      <c r="N339" t="s">
        <v>145</v>
      </c>
      <c r="P339" t="s">
        <v>19</v>
      </c>
      <c r="Q339" t="s">
        <v>11</v>
      </c>
      <c r="R339" t="s">
        <v>80</v>
      </c>
      <c r="S339" t="s">
        <v>10</v>
      </c>
      <c r="T339" t="s">
        <v>1337</v>
      </c>
      <c r="U339" t="s">
        <v>1338</v>
      </c>
    </row>
    <row r="340" spans="1:21" x14ac:dyDescent="0.3">
      <c r="A340" s="64">
        <v>46139</v>
      </c>
      <c r="B340" t="s">
        <v>1339</v>
      </c>
      <c r="C340" t="s">
        <v>1340</v>
      </c>
      <c r="E340" t="s">
        <v>19</v>
      </c>
      <c r="F340" t="s">
        <v>1341</v>
      </c>
      <c r="G340" t="s">
        <v>122</v>
      </c>
      <c r="H340" t="s">
        <v>1339</v>
      </c>
      <c r="N340" t="s">
        <v>145</v>
      </c>
      <c r="P340" t="s">
        <v>12</v>
      </c>
      <c r="Q340" t="s">
        <v>14</v>
      </c>
      <c r="R340" t="s">
        <v>146</v>
      </c>
      <c r="S340" t="s">
        <v>5</v>
      </c>
      <c r="T340" t="s">
        <v>1342</v>
      </c>
      <c r="U340" t="s">
        <v>1343</v>
      </c>
    </row>
    <row r="341" spans="1:21" x14ac:dyDescent="0.3">
      <c r="A341" s="64">
        <v>46139</v>
      </c>
      <c r="B341" t="s">
        <v>624</v>
      </c>
      <c r="C341" t="s">
        <v>625</v>
      </c>
      <c r="E341" t="s">
        <v>19</v>
      </c>
      <c r="F341" t="s">
        <v>261</v>
      </c>
      <c r="G341" t="s">
        <v>200</v>
      </c>
      <c r="H341" t="s">
        <v>626</v>
      </c>
      <c r="N341" t="s">
        <v>1</v>
      </c>
      <c r="P341" t="s">
        <v>24</v>
      </c>
      <c r="Q341" t="s">
        <v>22</v>
      </c>
      <c r="R341" t="s">
        <v>167</v>
      </c>
      <c r="S341" t="s">
        <v>5</v>
      </c>
      <c r="T341" t="s">
        <v>1344</v>
      </c>
      <c r="U341" t="s">
        <v>1345</v>
      </c>
    </row>
    <row r="342" spans="1:21" x14ac:dyDescent="0.3">
      <c r="A342" s="64">
        <v>46139</v>
      </c>
      <c r="B342" t="s">
        <v>288</v>
      </c>
      <c r="C342" t="s">
        <v>289</v>
      </c>
      <c r="E342" t="s">
        <v>19</v>
      </c>
      <c r="F342" t="s">
        <v>85</v>
      </c>
      <c r="G342" t="s">
        <v>143</v>
      </c>
      <c r="H342" t="s">
        <v>290</v>
      </c>
      <c r="N342" t="s">
        <v>1</v>
      </c>
      <c r="P342" t="s">
        <v>19</v>
      </c>
      <c r="Q342" t="s">
        <v>11</v>
      </c>
      <c r="R342" t="s">
        <v>80</v>
      </c>
      <c r="S342" t="s">
        <v>10</v>
      </c>
      <c r="T342" t="s">
        <v>1346</v>
      </c>
      <c r="U342" t="s">
        <v>1347</v>
      </c>
    </row>
    <row r="343" spans="1:21" x14ac:dyDescent="0.3">
      <c r="A343" s="64">
        <v>46139</v>
      </c>
      <c r="B343" t="s">
        <v>1348</v>
      </c>
      <c r="C343" t="s">
        <v>1349</v>
      </c>
      <c r="E343" t="s">
        <v>66</v>
      </c>
      <c r="F343" t="s">
        <v>67</v>
      </c>
      <c r="G343" t="s">
        <v>355</v>
      </c>
      <c r="H343" t="s">
        <v>356</v>
      </c>
      <c r="N343" t="s">
        <v>1</v>
      </c>
      <c r="P343" t="s">
        <v>7</v>
      </c>
      <c r="Q343" t="s">
        <v>11</v>
      </c>
      <c r="R343" t="s">
        <v>70</v>
      </c>
      <c r="S343" t="s">
        <v>10</v>
      </c>
      <c r="T343" t="s">
        <v>1350</v>
      </c>
      <c r="U343" t="s">
        <v>1351</v>
      </c>
    </row>
    <row r="344" spans="1:21" x14ac:dyDescent="0.3">
      <c r="A344" s="64">
        <v>46139</v>
      </c>
      <c r="B344" t="s">
        <v>1352</v>
      </c>
      <c r="C344" t="s">
        <v>1353</v>
      </c>
      <c r="E344" t="s">
        <v>19</v>
      </c>
      <c r="F344" t="s">
        <v>732</v>
      </c>
      <c r="G344" t="s">
        <v>110</v>
      </c>
      <c r="H344" t="s">
        <v>1354</v>
      </c>
      <c r="N344" t="s">
        <v>1</v>
      </c>
      <c r="P344" t="s">
        <v>19</v>
      </c>
      <c r="Q344" t="s">
        <v>11</v>
      </c>
      <c r="R344" t="s">
        <v>80</v>
      </c>
      <c r="S344" t="s">
        <v>10</v>
      </c>
      <c r="T344" t="s">
        <v>1355</v>
      </c>
      <c r="U344" t="s">
        <v>1356</v>
      </c>
    </row>
    <row r="345" spans="1:21" x14ac:dyDescent="0.3">
      <c r="A345" s="64">
        <v>46139</v>
      </c>
      <c r="B345" t="s">
        <v>1357</v>
      </c>
      <c r="C345" t="s">
        <v>1358</v>
      </c>
      <c r="E345" t="s">
        <v>19</v>
      </c>
      <c r="F345" t="s">
        <v>109</v>
      </c>
      <c r="G345" t="s">
        <v>68</v>
      </c>
      <c r="H345" t="s">
        <v>1359</v>
      </c>
      <c r="N345" t="s">
        <v>1</v>
      </c>
      <c r="P345" t="s">
        <v>19</v>
      </c>
      <c r="Q345" t="s">
        <v>11</v>
      </c>
      <c r="R345" t="s">
        <v>80</v>
      </c>
      <c r="S345" t="s">
        <v>10</v>
      </c>
      <c r="T345" t="s">
        <v>1360</v>
      </c>
      <c r="U345" t="s">
        <v>1361</v>
      </c>
    </row>
    <row r="346" spans="1:21" x14ac:dyDescent="0.3">
      <c r="A346" s="64">
        <v>46139</v>
      </c>
      <c r="B346" t="s">
        <v>1362</v>
      </c>
      <c r="C346" t="s">
        <v>1363</v>
      </c>
      <c r="E346" t="s">
        <v>1364</v>
      </c>
      <c r="F346" t="s">
        <v>109</v>
      </c>
      <c r="G346" t="s">
        <v>68</v>
      </c>
      <c r="H346" t="s">
        <v>1359</v>
      </c>
      <c r="N346" t="s">
        <v>1</v>
      </c>
      <c r="P346" t="s">
        <v>19</v>
      </c>
      <c r="Q346" t="s">
        <v>11</v>
      </c>
      <c r="R346" t="s">
        <v>80</v>
      </c>
      <c r="S346" t="s">
        <v>10</v>
      </c>
      <c r="T346" t="s">
        <v>1365</v>
      </c>
      <c r="U346" t="s">
        <v>1366</v>
      </c>
    </row>
    <row r="347" spans="1:21" x14ac:dyDescent="0.3">
      <c r="A347" s="64">
        <v>46139</v>
      </c>
      <c r="B347" t="s">
        <v>1367</v>
      </c>
      <c r="C347" t="s">
        <v>1368</v>
      </c>
      <c r="E347" t="s">
        <v>19</v>
      </c>
      <c r="F347" t="s">
        <v>732</v>
      </c>
      <c r="G347" t="s">
        <v>68</v>
      </c>
      <c r="H347" t="s">
        <v>1359</v>
      </c>
      <c r="N347" t="s">
        <v>156</v>
      </c>
      <c r="O347" t="s">
        <v>252</v>
      </c>
      <c r="P347" t="s">
        <v>157</v>
      </c>
      <c r="Q347" t="s">
        <v>157</v>
      </c>
      <c r="R347" t="s">
        <v>156</v>
      </c>
      <c r="S347" t="s">
        <v>157</v>
      </c>
      <c r="T347" t="s">
        <v>1369</v>
      </c>
      <c r="U347" t="s">
        <v>1361</v>
      </c>
    </row>
    <row r="348" spans="1:21" x14ac:dyDescent="0.3">
      <c r="A348" s="64">
        <v>46139</v>
      </c>
      <c r="B348" t="s">
        <v>1370</v>
      </c>
      <c r="C348" t="s">
        <v>1371</v>
      </c>
      <c r="E348" t="s">
        <v>19</v>
      </c>
      <c r="F348" t="s">
        <v>109</v>
      </c>
      <c r="G348" t="s">
        <v>68</v>
      </c>
      <c r="H348" t="s">
        <v>69</v>
      </c>
      <c r="N348" t="s">
        <v>1</v>
      </c>
      <c r="P348" t="s">
        <v>19</v>
      </c>
      <c r="Q348" t="s">
        <v>11</v>
      </c>
      <c r="R348" t="s">
        <v>80</v>
      </c>
      <c r="S348" t="s">
        <v>10</v>
      </c>
      <c r="T348" t="s">
        <v>1372</v>
      </c>
      <c r="U348" t="s">
        <v>1373</v>
      </c>
    </row>
    <row r="349" spans="1:21" x14ac:dyDescent="0.3">
      <c r="A349" s="64">
        <v>46139</v>
      </c>
      <c r="B349" t="s">
        <v>1374</v>
      </c>
      <c r="C349" t="s">
        <v>1375</v>
      </c>
      <c r="E349" t="s">
        <v>66</v>
      </c>
      <c r="F349" t="s">
        <v>67</v>
      </c>
      <c r="G349" t="s">
        <v>110</v>
      </c>
      <c r="H349" t="s">
        <v>111</v>
      </c>
      <c r="N349" t="s">
        <v>1</v>
      </c>
      <c r="P349" t="s">
        <v>12</v>
      </c>
      <c r="Q349" t="s">
        <v>14</v>
      </c>
      <c r="R349" t="s">
        <v>146</v>
      </c>
      <c r="S349" t="s">
        <v>5</v>
      </c>
      <c r="T349" t="s">
        <v>1376</v>
      </c>
      <c r="U349" t="s">
        <v>1377</v>
      </c>
    </row>
    <row r="350" spans="1:21" x14ac:dyDescent="0.3">
      <c r="A350" s="64">
        <v>46139</v>
      </c>
      <c r="B350" t="s">
        <v>670</v>
      </c>
      <c r="C350" t="s">
        <v>671</v>
      </c>
      <c r="E350" t="s">
        <v>19</v>
      </c>
      <c r="F350" t="s">
        <v>109</v>
      </c>
      <c r="G350" t="s">
        <v>181</v>
      </c>
      <c r="H350" t="s">
        <v>672</v>
      </c>
      <c r="N350" t="s">
        <v>1</v>
      </c>
      <c r="P350" t="s">
        <v>12</v>
      </c>
      <c r="Q350" t="s">
        <v>14</v>
      </c>
      <c r="R350" t="s">
        <v>146</v>
      </c>
      <c r="S350" t="s">
        <v>5</v>
      </c>
      <c r="T350" t="s">
        <v>1378</v>
      </c>
      <c r="U350" t="s">
        <v>1379</v>
      </c>
    </row>
    <row r="351" spans="1:21" x14ac:dyDescent="0.3">
      <c r="A351" s="64">
        <v>46139</v>
      </c>
      <c r="B351" t="s">
        <v>1380</v>
      </c>
      <c r="C351" t="s">
        <v>1381</v>
      </c>
      <c r="E351" t="s">
        <v>19</v>
      </c>
      <c r="F351" t="s">
        <v>109</v>
      </c>
      <c r="G351" t="s">
        <v>110</v>
      </c>
      <c r="H351" t="s">
        <v>111</v>
      </c>
      <c r="N351" t="s">
        <v>1</v>
      </c>
      <c r="P351" t="s">
        <v>12</v>
      </c>
      <c r="Q351" t="s">
        <v>14</v>
      </c>
      <c r="R351" t="s">
        <v>146</v>
      </c>
      <c r="S351" t="s">
        <v>5</v>
      </c>
      <c r="T351" t="s">
        <v>1376</v>
      </c>
      <c r="U351" t="s">
        <v>1377</v>
      </c>
    </row>
    <row r="352" spans="1:21" x14ac:dyDescent="0.3">
      <c r="A352" s="64">
        <v>46139</v>
      </c>
      <c r="B352" t="s">
        <v>566</v>
      </c>
      <c r="C352" t="s">
        <v>567</v>
      </c>
      <c r="E352" t="s">
        <v>66</v>
      </c>
      <c r="F352" t="s">
        <v>568</v>
      </c>
      <c r="G352" t="s">
        <v>68</v>
      </c>
      <c r="H352" t="s">
        <v>69</v>
      </c>
      <c r="N352" t="s">
        <v>1</v>
      </c>
      <c r="P352" t="s">
        <v>9</v>
      </c>
      <c r="Q352" t="s">
        <v>11</v>
      </c>
      <c r="R352" t="s">
        <v>104</v>
      </c>
      <c r="S352" t="s">
        <v>10</v>
      </c>
      <c r="T352" t="s">
        <v>1382</v>
      </c>
      <c r="U352" t="s">
        <v>1383</v>
      </c>
    </row>
    <row r="353" spans="1:21" x14ac:dyDescent="0.3">
      <c r="A353" s="64">
        <v>46139</v>
      </c>
      <c r="B353" t="s">
        <v>532</v>
      </c>
      <c r="C353" t="s">
        <v>533</v>
      </c>
      <c r="E353" t="s">
        <v>136</v>
      </c>
      <c r="F353" t="s">
        <v>534</v>
      </c>
      <c r="G353" t="s">
        <v>535</v>
      </c>
      <c r="H353" t="s">
        <v>532</v>
      </c>
      <c r="N353" t="s">
        <v>1</v>
      </c>
      <c r="P353" t="s">
        <v>15</v>
      </c>
      <c r="Q353" t="s">
        <v>15</v>
      </c>
      <c r="R353" t="s">
        <v>524</v>
      </c>
      <c r="S353" t="s">
        <v>15</v>
      </c>
      <c r="T353" t="s">
        <v>1384</v>
      </c>
      <c r="U353" t="s">
        <v>1385</v>
      </c>
    </row>
    <row r="354" spans="1:21" x14ac:dyDescent="0.3">
      <c r="A354" s="64">
        <v>46139</v>
      </c>
      <c r="B354" t="s">
        <v>1386</v>
      </c>
      <c r="C354" t="s">
        <v>1387</v>
      </c>
      <c r="E354" t="s">
        <v>19</v>
      </c>
      <c r="F354" t="s">
        <v>109</v>
      </c>
      <c r="G354" t="s">
        <v>110</v>
      </c>
      <c r="H354" t="s">
        <v>111</v>
      </c>
      <c r="N354" t="s">
        <v>1</v>
      </c>
      <c r="P354" t="s">
        <v>19</v>
      </c>
      <c r="Q354" t="s">
        <v>11</v>
      </c>
      <c r="R354" t="s">
        <v>80</v>
      </c>
      <c r="S354" t="s">
        <v>10</v>
      </c>
      <c r="T354" t="s">
        <v>1388</v>
      </c>
      <c r="U354" t="s">
        <v>1257</v>
      </c>
    </row>
    <row r="355" spans="1:21" x14ac:dyDescent="0.3">
      <c r="A355" s="64">
        <v>46139</v>
      </c>
      <c r="B355" t="s">
        <v>1389</v>
      </c>
      <c r="C355" t="s">
        <v>1390</v>
      </c>
      <c r="E355" t="s">
        <v>19</v>
      </c>
      <c r="F355" t="s">
        <v>109</v>
      </c>
      <c r="G355" t="s">
        <v>68</v>
      </c>
      <c r="H355" t="s">
        <v>69</v>
      </c>
      <c r="N355" t="s">
        <v>1</v>
      </c>
      <c r="P355" t="s">
        <v>19</v>
      </c>
      <c r="Q355" t="s">
        <v>11</v>
      </c>
      <c r="R355" t="s">
        <v>80</v>
      </c>
      <c r="S355" t="s">
        <v>10</v>
      </c>
      <c r="T355" t="s">
        <v>1391</v>
      </c>
      <c r="U355" t="s">
        <v>1257</v>
      </c>
    </row>
    <row r="356" spans="1:21" x14ac:dyDescent="0.3">
      <c r="A356" s="64">
        <v>46139</v>
      </c>
      <c r="B356" t="s">
        <v>1392</v>
      </c>
      <c r="C356" t="s">
        <v>1393</v>
      </c>
      <c r="E356" t="s">
        <v>19</v>
      </c>
      <c r="F356" t="s">
        <v>109</v>
      </c>
      <c r="G356" t="s">
        <v>68</v>
      </c>
      <c r="H356" t="s">
        <v>69</v>
      </c>
      <c r="N356" t="s">
        <v>1</v>
      </c>
      <c r="P356" t="s">
        <v>16</v>
      </c>
      <c r="Q356" t="s">
        <v>22</v>
      </c>
      <c r="R356" t="s">
        <v>172</v>
      </c>
      <c r="S356" t="s">
        <v>5</v>
      </c>
      <c r="T356" t="s">
        <v>1394</v>
      </c>
      <c r="U356" t="s">
        <v>1395</v>
      </c>
    </row>
    <row r="357" spans="1:21" x14ac:dyDescent="0.3">
      <c r="A357" s="64">
        <v>46139</v>
      </c>
      <c r="B357" t="s">
        <v>1396</v>
      </c>
      <c r="C357" t="s">
        <v>1397</v>
      </c>
      <c r="E357" t="s">
        <v>19</v>
      </c>
      <c r="F357" t="s">
        <v>109</v>
      </c>
      <c r="G357" t="s">
        <v>143</v>
      </c>
      <c r="H357" t="s">
        <v>1396</v>
      </c>
      <c r="N357" t="s">
        <v>145</v>
      </c>
      <c r="P357" t="s">
        <v>12</v>
      </c>
      <c r="Q357" t="s">
        <v>14</v>
      </c>
      <c r="R357" t="s">
        <v>146</v>
      </c>
      <c r="S357" t="s">
        <v>5</v>
      </c>
      <c r="T357" t="s">
        <v>1398</v>
      </c>
      <c r="U357" t="s">
        <v>1399</v>
      </c>
    </row>
    <row r="358" spans="1:21" x14ac:dyDescent="0.3">
      <c r="A358" s="64">
        <v>46139</v>
      </c>
      <c r="B358" t="s">
        <v>1400</v>
      </c>
      <c r="C358" t="s">
        <v>1401</v>
      </c>
      <c r="E358" t="s">
        <v>19</v>
      </c>
      <c r="F358" t="s">
        <v>109</v>
      </c>
      <c r="G358" t="s">
        <v>200</v>
      </c>
      <c r="H358" t="s">
        <v>1402</v>
      </c>
      <c r="N358" t="s">
        <v>1</v>
      </c>
      <c r="P358" t="s">
        <v>24</v>
      </c>
      <c r="Q358" t="s">
        <v>22</v>
      </c>
      <c r="R358" t="s">
        <v>391</v>
      </c>
      <c r="S358" t="s">
        <v>5</v>
      </c>
      <c r="T358" t="s">
        <v>1403</v>
      </c>
      <c r="U358" t="s">
        <v>1404</v>
      </c>
    </row>
    <row r="359" spans="1:21" x14ac:dyDescent="0.3">
      <c r="A359" s="64">
        <v>46139</v>
      </c>
      <c r="B359" t="s">
        <v>1405</v>
      </c>
      <c r="C359" t="s">
        <v>1406</v>
      </c>
      <c r="E359" t="s">
        <v>19</v>
      </c>
      <c r="F359" t="s">
        <v>109</v>
      </c>
      <c r="G359" t="s">
        <v>110</v>
      </c>
      <c r="H359" t="s">
        <v>111</v>
      </c>
      <c r="N359" t="s">
        <v>1</v>
      </c>
      <c r="P359" t="s">
        <v>19</v>
      </c>
      <c r="Q359" t="s">
        <v>11</v>
      </c>
      <c r="R359" t="s">
        <v>80</v>
      </c>
      <c r="S359" t="s">
        <v>10</v>
      </c>
      <c r="T359" t="s">
        <v>1388</v>
      </c>
      <c r="U359" t="s">
        <v>1257</v>
      </c>
    </row>
    <row r="360" spans="1:21" x14ac:dyDescent="0.3">
      <c r="A360" s="64">
        <v>46139</v>
      </c>
      <c r="B360" t="s">
        <v>1407</v>
      </c>
      <c r="C360" t="s">
        <v>1408</v>
      </c>
      <c r="E360" t="s">
        <v>19</v>
      </c>
      <c r="F360" t="s">
        <v>109</v>
      </c>
      <c r="G360" t="s">
        <v>110</v>
      </c>
      <c r="H360" t="s">
        <v>111</v>
      </c>
      <c r="N360" t="s">
        <v>1</v>
      </c>
      <c r="P360" t="s">
        <v>19</v>
      </c>
      <c r="Q360" t="s">
        <v>11</v>
      </c>
      <c r="R360" t="s">
        <v>80</v>
      </c>
      <c r="S360" t="s">
        <v>10</v>
      </c>
      <c r="T360" t="s">
        <v>1388</v>
      </c>
      <c r="U360" t="s">
        <v>1257</v>
      </c>
    </row>
    <row r="361" spans="1:21" x14ac:dyDescent="0.3">
      <c r="A361" s="64">
        <v>46139</v>
      </c>
      <c r="B361" t="s">
        <v>1409</v>
      </c>
      <c r="C361" t="s">
        <v>1410</v>
      </c>
      <c r="E361" t="s">
        <v>19</v>
      </c>
      <c r="F361" t="s">
        <v>109</v>
      </c>
      <c r="G361" t="s">
        <v>143</v>
      </c>
      <c r="H361" t="s">
        <v>1411</v>
      </c>
      <c r="N361" t="s">
        <v>145</v>
      </c>
      <c r="P361" t="s">
        <v>12</v>
      </c>
      <c r="Q361" t="s">
        <v>14</v>
      </c>
      <c r="R361" t="s">
        <v>146</v>
      </c>
      <c r="S361" t="s">
        <v>5</v>
      </c>
      <c r="T361" t="s">
        <v>1412</v>
      </c>
      <c r="U361" t="s">
        <v>1413</v>
      </c>
    </row>
    <row r="362" spans="1:21" x14ac:dyDescent="0.3">
      <c r="A362" s="64">
        <v>46139</v>
      </c>
      <c r="B362" t="s">
        <v>1414</v>
      </c>
      <c r="C362" t="s">
        <v>1415</v>
      </c>
      <c r="E362" t="s">
        <v>19</v>
      </c>
      <c r="F362" t="s">
        <v>109</v>
      </c>
      <c r="G362" t="s">
        <v>200</v>
      </c>
      <c r="H362" t="s">
        <v>631</v>
      </c>
      <c r="N362" t="s">
        <v>1</v>
      </c>
      <c r="P362" t="s">
        <v>19</v>
      </c>
      <c r="Q362" t="s">
        <v>11</v>
      </c>
      <c r="R362" t="s">
        <v>80</v>
      </c>
      <c r="S362" t="s">
        <v>10</v>
      </c>
      <c r="T362" t="s">
        <v>1388</v>
      </c>
      <c r="U362" t="s">
        <v>1257</v>
      </c>
    </row>
    <row r="363" spans="1:21" x14ac:dyDescent="0.3">
      <c r="A363" s="64">
        <v>46139</v>
      </c>
      <c r="B363" t="s">
        <v>1416</v>
      </c>
      <c r="C363" t="s">
        <v>1417</v>
      </c>
      <c r="E363" t="s">
        <v>66</v>
      </c>
      <c r="F363" t="s">
        <v>938</v>
      </c>
      <c r="G363" t="s">
        <v>98</v>
      </c>
      <c r="H363" t="s">
        <v>1416</v>
      </c>
      <c r="N363" t="s">
        <v>1</v>
      </c>
      <c r="P363" t="s">
        <v>16</v>
      </c>
      <c r="Q363" t="s">
        <v>22</v>
      </c>
      <c r="R363" t="s">
        <v>172</v>
      </c>
      <c r="S363" t="s">
        <v>5</v>
      </c>
      <c r="T363" t="s">
        <v>1418</v>
      </c>
      <c r="U363" t="s">
        <v>1419</v>
      </c>
    </row>
    <row r="364" spans="1:21" x14ac:dyDescent="0.3">
      <c r="A364" s="64">
        <v>46139</v>
      </c>
      <c r="B364" t="s">
        <v>522</v>
      </c>
      <c r="C364" t="s">
        <v>523</v>
      </c>
      <c r="E364" t="s">
        <v>19</v>
      </c>
      <c r="F364" t="s">
        <v>221</v>
      </c>
      <c r="G364" t="s">
        <v>59</v>
      </c>
      <c r="H364" t="s">
        <v>522</v>
      </c>
      <c r="N364" t="s">
        <v>1</v>
      </c>
      <c r="P364" t="s">
        <v>15</v>
      </c>
      <c r="Q364" t="s">
        <v>15</v>
      </c>
      <c r="R364" t="s">
        <v>524</v>
      </c>
      <c r="S364" t="s">
        <v>15</v>
      </c>
      <c r="T364" t="s">
        <v>1420</v>
      </c>
      <c r="U364" t="s">
        <v>1421</v>
      </c>
    </row>
    <row r="365" spans="1:21" x14ac:dyDescent="0.3">
      <c r="A365" s="64">
        <v>46139</v>
      </c>
      <c r="B365" t="s">
        <v>527</v>
      </c>
      <c r="C365" t="s">
        <v>528</v>
      </c>
      <c r="E365" t="s">
        <v>19</v>
      </c>
      <c r="F365" t="s">
        <v>261</v>
      </c>
      <c r="G365" t="s">
        <v>122</v>
      </c>
      <c r="H365" t="s">
        <v>529</v>
      </c>
      <c r="N365" t="s">
        <v>145</v>
      </c>
      <c r="P365" t="s">
        <v>4</v>
      </c>
      <c r="Q365" t="s">
        <v>4</v>
      </c>
      <c r="R365" t="s">
        <v>4</v>
      </c>
      <c r="S365" t="s">
        <v>4</v>
      </c>
      <c r="T365" t="s">
        <v>1422</v>
      </c>
      <c r="U365" t="s">
        <v>1423</v>
      </c>
    </row>
    <row r="366" spans="1:21" x14ac:dyDescent="0.3">
      <c r="A366" s="64">
        <v>46139</v>
      </c>
      <c r="B366" t="s">
        <v>1424</v>
      </c>
      <c r="C366" t="s">
        <v>1425</v>
      </c>
      <c r="E366" t="s">
        <v>66</v>
      </c>
      <c r="F366" t="s">
        <v>193</v>
      </c>
      <c r="G366" t="s">
        <v>181</v>
      </c>
      <c r="H366" t="s">
        <v>1424</v>
      </c>
      <c r="N366" t="s">
        <v>1</v>
      </c>
      <c r="P366" t="s">
        <v>7</v>
      </c>
      <c r="Q366" t="s">
        <v>11</v>
      </c>
      <c r="R366" t="s">
        <v>70</v>
      </c>
      <c r="S366" t="s">
        <v>10</v>
      </c>
      <c r="T366" t="s">
        <v>1426</v>
      </c>
      <c r="U366" t="s">
        <v>1427</v>
      </c>
    </row>
    <row r="367" spans="1:21" x14ac:dyDescent="0.3">
      <c r="A367" s="64">
        <v>46139</v>
      </c>
      <c r="B367" t="s">
        <v>1428</v>
      </c>
      <c r="C367" t="s">
        <v>1429</v>
      </c>
      <c r="E367" t="s">
        <v>19</v>
      </c>
      <c r="F367" t="s">
        <v>221</v>
      </c>
      <c r="G367" t="s">
        <v>110</v>
      </c>
      <c r="H367" t="s">
        <v>1430</v>
      </c>
      <c r="N367" t="s">
        <v>1</v>
      </c>
      <c r="P367" t="s">
        <v>18</v>
      </c>
      <c r="Q367" t="s">
        <v>18</v>
      </c>
      <c r="R367" t="s">
        <v>949</v>
      </c>
      <c r="S367" t="s">
        <v>13</v>
      </c>
      <c r="T367" t="s">
        <v>1431</v>
      </c>
      <c r="U367" t="s">
        <v>1432</v>
      </c>
    </row>
    <row r="368" spans="1:21" x14ac:dyDescent="0.3">
      <c r="A368" s="64">
        <v>46139</v>
      </c>
      <c r="B368" t="s">
        <v>846</v>
      </c>
      <c r="C368" t="s">
        <v>847</v>
      </c>
      <c r="E368" t="s">
        <v>19</v>
      </c>
      <c r="F368" t="s">
        <v>820</v>
      </c>
      <c r="G368" t="s">
        <v>59</v>
      </c>
      <c r="H368" t="s">
        <v>848</v>
      </c>
      <c r="N368" t="s">
        <v>156</v>
      </c>
      <c r="P368" t="s">
        <v>157</v>
      </c>
      <c r="Q368" t="s">
        <v>157</v>
      </c>
      <c r="R368" t="s">
        <v>156</v>
      </c>
      <c r="S368" t="s">
        <v>157</v>
      </c>
      <c r="T368" t="s">
        <v>1433</v>
      </c>
    </row>
    <row r="369" spans="1:21" x14ac:dyDescent="0.3">
      <c r="A369" s="64">
        <v>46139</v>
      </c>
      <c r="B369" t="s">
        <v>1434</v>
      </c>
      <c r="C369" t="s">
        <v>1435</v>
      </c>
      <c r="E369" t="s">
        <v>19</v>
      </c>
      <c r="F369" t="s">
        <v>109</v>
      </c>
      <c r="G369" t="s">
        <v>200</v>
      </c>
      <c r="H369" t="s">
        <v>631</v>
      </c>
      <c r="N369" t="s">
        <v>1</v>
      </c>
      <c r="P369" t="s">
        <v>19</v>
      </c>
      <c r="Q369" t="s">
        <v>11</v>
      </c>
      <c r="R369" t="s">
        <v>80</v>
      </c>
      <c r="S369" t="s">
        <v>10</v>
      </c>
      <c r="T369" t="s">
        <v>1388</v>
      </c>
      <c r="U369" t="s">
        <v>1257</v>
      </c>
    </row>
    <row r="370" spans="1:21" x14ac:dyDescent="0.3">
      <c r="A370" s="64">
        <v>46139</v>
      </c>
      <c r="B370" t="s">
        <v>1436</v>
      </c>
      <c r="C370" t="s">
        <v>1437</v>
      </c>
      <c r="E370" t="s">
        <v>19</v>
      </c>
      <c r="F370" t="s">
        <v>221</v>
      </c>
      <c r="G370" t="s">
        <v>98</v>
      </c>
      <c r="H370" t="s">
        <v>1436</v>
      </c>
      <c r="N370" t="s">
        <v>1</v>
      </c>
      <c r="P370" t="s">
        <v>24</v>
      </c>
      <c r="Q370" t="s">
        <v>22</v>
      </c>
      <c r="R370" t="s">
        <v>391</v>
      </c>
      <c r="S370" t="s">
        <v>5</v>
      </c>
      <c r="T370" t="s">
        <v>1438</v>
      </c>
      <c r="U370" t="s">
        <v>1439</v>
      </c>
    </row>
    <row r="371" spans="1:21" x14ac:dyDescent="0.3">
      <c r="A371" s="64">
        <v>46139</v>
      </c>
      <c r="B371" t="s">
        <v>92</v>
      </c>
      <c r="C371" t="s">
        <v>93</v>
      </c>
      <c r="E371" t="s">
        <v>66</v>
      </c>
      <c r="F371" t="s">
        <v>67</v>
      </c>
      <c r="G371" t="s">
        <v>68</v>
      </c>
      <c r="H371" t="s">
        <v>69</v>
      </c>
      <c r="N371" t="s">
        <v>1</v>
      </c>
      <c r="P371" t="s">
        <v>7</v>
      </c>
      <c r="Q371" t="s">
        <v>11</v>
      </c>
      <c r="R371" t="s">
        <v>70</v>
      </c>
      <c r="S371" t="s">
        <v>10</v>
      </c>
      <c r="T371" t="s">
        <v>1440</v>
      </c>
      <c r="U371" t="s">
        <v>1441</v>
      </c>
    </row>
    <row r="372" spans="1:21" x14ac:dyDescent="0.3">
      <c r="A372" s="64">
        <v>46139</v>
      </c>
      <c r="B372" t="s">
        <v>854</v>
      </c>
      <c r="C372" t="s">
        <v>855</v>
      </c>
      <c r="E372" t="s">
        <v>19</v>
      </c>
      <c r="F372" t="s">
        <v>109</v>
      </c>
      <c r="G372" t="s">
        <v>59</v>
      </c>
      <c r="H372" t="s">
        <v>60</v>
      </c>
      <c r="N372" t="s">
        <v>1</v>
      </c>
      <c r="P372" t="s">
        <v>12</v>
      </c>
      <c r="Q372" t="s">
        <v>14</v>
      </c>
      <c r="R372" t="s">
        <v>146</v>
      </c>
      <c r="S372" t="s">
        <v>5</v>
      </c>
      <c r="T372" t="s">
        <v>1442</v>
      </c>
      <c r="U372" t="s">
        <v>1206</v>
      </c>
    </row>
    <row r="373" spans="1:21" x14ac:dyDescent="0.3">
      <c r="A373" s="64">
        <v>46139</v>
      </c>
      <c r="B373" t="s">
        <v>1443</v>
      </c>
      <c r="C373" t="s">
        <v>1444</v>
      </c>
      <c r="E373" t="s">
        <v>66</v>
      </c>
      <c r="F373" t="s">
        <v>233</v>
      </c>
      <c r="G373" t="s">
        <v>122</v>
      </c>
      <c r="H373" t="s">
        <v>1443</v>
      </c>
      <c r="N373" t="s">
        <v>145</v>
      </c>
      <c r="P373" t="s">
        <v>7</v>
      </c>
      <c r="Q373" t="s">
        <v>11</v>
      </c>
      <c r="R373" t="s">
        <v>70</v>
      </c>
      <c r="S373" t="s">
        <v>10</v>
      </c>
      <c r="T373" t="s">
        <v>1445</v>
      </c>
      <c r="U373" t="s">
        <v>1446</v>
      </c>
    </row>
    <row r="374" spans="1:21" x14ac:dyDescent="0.3">
      <c r="A374" s="64">
        <v>46139</v>
      </c>
      <c r="B374" t="s">
        <v>1447</v>
      </c>
      <c r="C374" t="s">
        <v>1448</v>
      </c>
      <c r="E374" t="s">
        <v>19</v>
      </c>
      <c r="F374" t="s">
        <v>109</v>
      </c>
      <c r="G374" t="s">
        <v>98</v>
      </c>
      <c r="H374" t="s">
        <v>351</v>
      </c>
      <c r="N374" t="s">
        <v>1</v>
      </c>
      <c r="P374" t="s">
        <v>19</v>
      </c>
      <c r="Q374" t="s">
        <v>11</v>
      </c>
      <c r="R374" t="s">
        <v>80</v>
      </c>
      <c r="S374" t="s">
        <v>10</v>
      </c>
      <c r="T374" t="s">
        <v>1388</v>
      </c>
      <c r="U374" t="s">
        <v>1257</v>
      </c>
    </row>
    <row r="375" spans="1:21" x14ac:dyDescent="0.3">
      <c r="A375" s="64">
        <v>46139</v>
      </c>
      <c r="B375" t="s">
        <v>1449</v>
      </c>
      <c r="C375" t="s">
        <v>1450</v>
      </c>
      <c r="E375" t="s">
        <v>19</v>
      </c>
      <c r="F375" t="s">
        <v>109</v>
      </c>
      <c r="G375" t="s">
        <v>59</v>
      </c>
      <c r="H375" t="s">
        <v>60</v>
      </c>
      <c r="N375" t="s">
        <v>1</v>
      </c>
      <c r="P375" t="s">
        <v>19</v>
      </c>
      <c r="Q375" t="s">
        <v>11</v>
      </c>
      <c r="R375" t="s">
        <v>80</v>
      </c>
      <c r="S375" t="s">
        <v>10</v>
      </c>
      <c r="T375" t="s">
        <v>1451</v>
      </c>
      <c r="U375" t="s">
        <v>1452</v>
      </c>
    </row>
    <row r="376" spans="1:21" x14ac:dyDescent="0.3">
      <c r="A376" s="64">
        <v>46139</v>
      </c>
      <c r="B376" t="s">
        <v>699</v>
      </c>
      <c r="C376" t="s">
        <v>700</v>
      </c>
      <c r="E376" t="s">
        <v>66</v>
      </c>
      <c r="F376" t="s">
        <v>103</v>
      </c>
      <c r="G376" t="s">
        <v>59</v>
      </c>
      <c r="H376" t="s">
        <v>60</v>
      </c>
      <c r="N376" t="s">
        <v>1</v>
      </c>
      <c r="P376" t="s">
        <v>12</v>
      </c>
      <c r="Q376" t="s">
        <v>14</v>
      </c>
      <c r="R376" t="s">
        <v>146</v>
      </c>
      <c r="S376" t="s">
        <v>5</v>
      </c>
      <c r="T376" t="s">
        <v>1453</v>
      </c>
      <c r="U376" t="s">
        <v>1206</v>
      </c>
    </row>
    <row r="377" spans="1:21" x14ac:dyDescent="0.3">
      <c r="A377" s="64">
        <v>46139</v>
      </c>
      <c r="B377" t="s">
        <v>1454</v>
      </c>
      <c r="C377" t="s">
        <v>1455</v>
      </c>
      <c r="E377" t="s">
        <v>19</v>
      </c>
      <c r="F377" t="s">
        <v>221</v>
      </c>
      <c r="G377" t="s">
        <v>98</v>
      </c>
      <c r="H377" t="s">
        <v>1456</v>
      </c>
      <c r="N377" t="s">
        <v>1</v>
      </c>
      <c r="P377" t="s">
        <v>12</v>
      </c>
      <c r="Q377" t="s">
        <v>14</v>
      </c>
      <c r="R377" t="s">
        <v>146</v>
      </c>
      <c r="S377" t="s">
        <v>5</v>
      </c>
      <c r="T377" t="s">
        <v>1457</v>
      </c>
      <c r="U377" t="s">
        <v>1458</v>
      </c>
    </row>
    <row r="378" spans="1:21" x14ac:dyDescent="0.3">
      <c r="A378" s="64">
        <v>46139</v>
      </c>
      <c r="B378" t="s">
        <v>675</v>
      </c>
      <c r="C378" t="s">
        <v>676</v>
      </c>
      <c r="E378" t="s">
        <v>19</v>
      </c>
      <c r="F378" t="s">
        <v>109</v>
      </c>
      <c r="G378" t="s">
        <v>122</v>
      </c>
      <c r="H378" t="s">
        <v>677</v>
      </c>
      <c r="N378" t="s">
        <v>145</v>
      </c>
      <c r="P378" t="s">
        <v>4</v>
      </c>
      <c r="Q378" t="s">
        <v>4</v>
      </c>
      <c r="R378" t="s">
        <v>4</v>
      </c>
      <c r="S378" t="s">
        <v>4</v>
      </c>
      <c r="T378" t="s">
        <v>1459</v>
      </c>
      <c r="U378" t="s">
        <v>1460</v>
      </c>
    </row>
    <row r="379" spans="1:21" x14ac:dyDescent="0.3">
      <c r="A379" s="64">
        <v>46139</v>
      </c>
      <c r="B379" t="s">
        <v>1461</v>
      </c>
      <c r="C379" t="s">
        <v>1462</v>
      </c>
      <c r="E379" t="s">
        <v>19</v>
      </c>
      <c r="F379" t="s">
        <v>221</v>
      </c>
      <c r="G379" t="s">
        <v>122</v>
      </c>
      <c r="H379" t="s">
        <v>1463</v>
      </c>
      <c r="N379" t="s">
        <v>145</v>
      </c>
      <c r="P379" t="s">
        <v>4</v>
      </c>
      <c r="Q379" t="s">
        <v>4</v>
      </c>
      <c r="R379" t="s">
        <v>4</v>
      </c>
      <c r="S379" t="s">
        <v>4</v>
      </c>
      <c r="T379" t="s">
        <v>1464</v>
      </c>
      <c r="U379" t="s">
        <v>1465</v>
      </c>
    </row>
    <row r="380" spans="1:21" x14ac:dyDescent="0.3">
      <c r="A380" s="64">
        <v>46139</v>
      </c>
      <c r="B380" t="s">
        <v>1466</v>
      </c>
      <c r="C380" t="s">
        <v>1467</v>
      </c>
      <c r="E380" t="s">
        <v>66</v>
      </c>
      <c r="F380" t="s">
        <v>193</v>
      </c>
      <c r="G380" t="s">
        <v>200</v>
      </c>
      <c r="H380" t="s">
        <v>1466</v>
      </c>
      <c r="N380" t="s">
        <v>1</v>
      </c>
      <c r="P380" t="s">
        <v>12</v>
      </c>
      <c r="Q380" t="s">
        <v>14</v>
      </c>
      <c r="R380" t="s">
        <v>146</v>
      </c>
      <c r="S380" t="s">
        <v>5</v>
      </c>
      <c r="T380" t="s">
        <v>1468</v>
      </c>
      <c r="U380" t="s">
        <v>1469</v>
      </c>
    </row>
    <row r="381" spans="1:21" x14ac:dyDescent="0.3">
      <c r="A381" s="64">
        <v>46139</v>
      </c>
      <c r="B381" t="s">
        <v>1470</v>
      </c>
      <c r="C381" t="s">
        <v>1471</v>
      </c>
      <c r="E381" t="s">
        <v>19</v>
      </c>
      <c r="F381" t="s">
        <v>221</v>
      </c>
      <c r="G381" t="s">
        <v>59</v>
      </c>
      <c r="H381" t="s">
        <v>1470</v>
      </c>
      <c r="N381" t="s">
        <v>1</v>
      </c>
      <c r="P381" t="s">
        <v>12</v>
      </c>
      <c r="Q381" t="s">
        <v>14</v>
      </c>
      <c r="R381" t="s">
        <v>146</v>
      </c>
      <c r="S381" t="s">
        <v>5</v>
      </c>
      <c r="T381" t="s">
        <v>1472</v>
      </c>
      <c r="U381" t="s">
        <v>1473</v>
      </c>
    </row>
    <row r="382" spans="1:21" x14ac:dyDescent="0.3">
      <c r="A382" s="64">
        <v>46139</v>
      </c>
      <c r="B382" t="s">
        <v>584</v>
      </c>
      <c r="C382" t="s">
        <v>585</v>
      </c>
      <c r="E382" t="s">
        <v>19</v>
      </c>
      <c r="F382" t="s">
        <v>109</v>
      </c>
      <c r="G382" t="s">
        <v>110</v>
      </c>
      <c r="H382" t="s">
        <v>111</v>
      </c>
      <c r="N382" t="s">
        <v>1</v>
      </c>
      <c r="P382" t="s">
        <v>19</v>
      </c>
      <c r="Q382" t="s">
        <v>11</v>
      </c>
      <c r="R382" t="s">
        <v>80</v>
      </c>
      <c r="S382" t="s">
        <v>10</v>
      </c>
      <c r="T382" t="s">
        <v>1388</v>
      </c>
      <c r="U382" t="s">
        <v>1257</v>
      </c>
    </row>
    <row r="383" spans="1:21" x14ac:dyDescent="0.3">
      <c r="A383" s="64">
        <v>46139</v>
      </c>
      <c r="B383" t="s">
        <v>645</v>
      </c>
      <c r="C383" t="s">
        <v>646</v>
      </c>
      <c r="E383" t="s">
        <v>136</v>
      </c>
      <c r="F383" t="s">
        <v>193</v>
      </c>
      <c r="G383" t="s">
        <v>98</v>
      </c>
      <c r="H383" t="s">
        <v>645</v>
      </c>
      <c r="N383" t="s">
        <v>1</v>
      </c>
      <c r="P383" t="s">
        <v>12</v>
      </c>
      <c r="Q383" t="s">
        <v>14</v>
      </c>
      <c r="R383" t="s">
        <v>146</v>
      </c>
      <c r="S383" t="s">
        <v>5</v>
      </c>
      <c r="T383" t="s">
        <v>1474</v>
      </c>
      <c r="U383" t="s">
        <v>1475</v>
      </c>
    </row>
    <row r="384" spans="1:21" x14ac:dyDescent="0.3">
      <c r="A384" s="64">
        <v>46139</v>
      </c>
      <c r="B384" t="s">
        <v>649</v>
      </c>
      <c r="C384" t="s">
        <v>650</v>
      </c>
      <c r="E384" t="s">
        <v>136</v>
      </c>
      <c r="F384" t="s">
        <v>193</v>
      </c>
      <c r="G384" t="s">
        <v>355</v>
      </c>
      <c r="H384" t="s">
        <v>651</v>
      </c>
      <c r="N384" t="s">
        <v>1</v>
      </c>
      <c r="P384" t="s">
        <v>15</v>
      </c>
      <c r="Q384" t="s">
        <v>15</v>
      </c>
      <c r="R384" t="s">
        <v>15</v>
      </c>
      <c r="S384" t="s">
        <v>15</v>
      </c>
      <c r="T384" t="s">
        <v>1476</v>
      </c>
      <c r="U384" t="s">
        <v>1477</v>
      </c>
    </row>
    <row r="385" spans="1:21" x14ac:dyDescent="0.3">
      <c r="A385" s="64">
        <v>46139</v>
      </c>
      <c r="B385" t="s">
        <v>636</v>
      </c>
      <c r="C385" t="s">
        <v>637</v>
      </c>
      <c r="E385" t="s">
        <v>66</v>
      </c>
      <c r="G385" t="s">
        <v>355</v>
      </c>
      <c r="H385" t="s">
        <v>638</v>
      </c>
      <c r="N385" t="s">
        <v>156</v>
      </c>
      <c r="P385" t="s">
        <v>157</v>
      </c>
      <c r="Q385" t="s">
        <v>157</v>
      </c>
      <c r="R385" t="s">
        <v>156</v>
      </c>
      <c r="S385" t="s">
        <v>157</v>
      </c>
      <c r="T385" t="s">
        <v>1478</v>
      </c>
      <c r="U385" t="s">
        <v>1479</v>
      </c>
    </row>
    <row r="386" spans="1:21" x14ac:dyDescent="0.3">
      <c r="A386" s="64">
        <v>46139</v>
      </c>
      <c r="B386" t="s">
        <v>654</v>
      </c>
      <c r="C386" t="s">
        <v>655</v>
      </c>
      <c r="E386" t="s">
        <v>19</v>
      </c>
      <c r="F386" t="s">
        <v>221</v>
      </c>
      <c r="G386" t="s">
        <v>143</v>
      </c>
      <c r="H386" t="s">
        <v>656</v>
      </c>
      <c r="N386" t="s">
        <v>145</v>
      </c>
      <c r="P386" t="s">
        <v>4</v>
      </c>
      <c r="Q386" t="s">
        <v>4</v>
      </c>
      <c r="R386" t="s">
        <v>4</v>
      </c>
      <c r="S386" t="s">
        <v>4</v>
      </c>
      <c r="T386" t="s">
        <v>1480</v>
      </c>
      <c r="U386" t="s">
        <v>1481</v>
      </c>
    </row>
    <row r="387" spans="1:21" x14ac:dyDescent="0.3">
      <c r="A387" s="64">
        <v>46139</v>
      </c>
      <c r="B387" t="s">
        <v>246</v>
      </c>
      <c r="C387" t="s">
        <v>247</v>
      </c>
      <c r="E387" t="s">
        <v>19</v>
      </c>
      <c r="F387" t="s">
        <v>109</v>
      </c>
      <c r="G387" t="s">
        <v>98</v>
      </c>
      <c r="H387" t="s">
        <v>246</v>
      </c>
      <c r="N387" t="s">
        <v>1</v>
      </c>
      <c r="P387" t="s">
        <v>6</v>
      </c>
      <c r="Q387" t="s">
        <v>6</v>
      </c>
      <c r="R387" t="s">
        <v>188</v>
      </c>
      <c r="S387" t="s">
        <v>10</v>
      </c>
      <c r="T387" t="s">
        <v>1482</v>
      </c>
      <c r="U387" t="s">
        <v>1483</v>
      </c>
    </row>
    <row r="388" spans="1:21" x14ac:dyDescent="0.3">
      <c r="A388" s="64">
        <v>46139</v>
      </c>
      <c r="B388" t="s">
        <v>1484</v>
      </c>
      <c r="C388" t="s">
        <v>1485</v>
      </c>
      <c r="E388" t="s">
        <v>19</v>
      </c>
      <c r="F388" t="s">
        <v>109</v>
      </c>
      <c r="G388" t="s">
        <v>116</v>
      </c>
      <c r="H388" t="s">
        <v>166</v>
      </c>
      <c r="N388" t="s">
        <v>1</v>
      </c>
      <c r="P388" t="s">
        <v>19</v>
      </c>
      <c r="Q388" t="s">
        <v>11</v>
      </c>
      <c r="R388" t="s">
        <v>80</v>
      </c>
      <c r="S388" t="s">
        <v>10</v>
      </c>
      <c r="T388" t="s">
        <v>1388</v>
      </c>
      <c r="U388" t="s">
        <v>1257</v>
      </c>
    </row>
    <row r="389" spans="1:21" x14ac:dyDescent="0.3">
      <c r="A389" s="64">
        <v>46139</v>
      </c>
      <c r="B389" t="s">
        <v>1486</v>
      </c>
      <c r="C389" t="s">
        <v>1487</v>
      </c>
      <c r="E389" t="s">
        <v>19</v>
      </c>
      <c r="F389" t="s">
        <v>1158</v>
      </c>
      <c r="G389" t="s">
        <v>355</v>
      </c>
      <c r="H389" t="s">
        <v>1488</v>
      </c>
      <c r="N389" t="s">
        <v>1</v>
      </c>
      <c r="P389" t="s">
        <v>19</v>
      </c>
      <c r="Q389" t="s">
        <v>11</v>
      </c>
      <c r="R389" t="s">
        <v>80</v>
      </c>
      <c r="S389" t="s">
        <v>10</v>
      </c>
      <c r="T389" t="s">
        <v>1489</v>
      </c>
      <c r="U389" t="s">
        <v>1490</v>
      </c>
    </row>
    <row r="390" spans="1:21" x14ac:dyDescent="0.3">
      <c r="A390" s="64">
        <v>46139</v>
      </c>
      <c r="B390" t="s">
        <v>1491</v>
      </c>
      <c r="C390" t="s">
        <v>1492</v>
      </c>
      <c r="E390" t="s">
        <v>19</v>
      </c>
      <c r="F390" t="s">
        <v>820</v>
      </c>
      <c r="G390" t="s">
        <v>116</v>
      </c>
      <c r="H390" t="s">
        <v>1491</v>
      </c>
      <c r="N390" t="s">
        <v>145</v>
      </c>
      <c r="P390" t="s">
        <v>12</v>
      </c>
      <c r="Q390" t="s">
        <v>14</v>
      </c>
      <c r="R390" t="s">
        <v>146</v>
      </c>
      <c r="S390" t="s">
        <v>5</v>
      </c>
      <c r="T390" t="s">
        <v>1493</v>
      </c>
      <c r="U390" t="s">
        <v>1494</v>
      </c>
    </row>
    <row r="391" spans="1:21" x14ac:dyDescent="0.3">
      <c r="A391" s="64">
        <v>46139</v>
      </c>
      <c r="B391" t="s">
        <v>1495</v>
      </c>
      <c r="C391" t="s">
        <v>1496</v>
      </c>
      <c r="E391" t="s">
        <v>19</v>
      </c>
      <c r="F391" t="s">
        <v>109</v>
      </c>
      <c r="G391" t="s">
        <v>200</v>
      </c>
      <c r="H391" t="s">
        <v>631</v>
      </c>
      <c r="N391" t="s">
        <v>1</v>
      </c>
      <c r="P391" t="s">
        <v>19</v>
      </c>
      <c r="Q391" t="s">
        <v>11</v>
      </c>
      <c r="R391" t="s">
        <v>80</v>
      </c>
      <c r="S391" t="s">
        <v>10</v>
      </c>
      <c r="T391" t="s">
        <v>1388</v>
      </c>
      <c r="U391" t="s">
        <v>1257</v>
      </c>
    </row>
    <row r="392" spans="1:21" x14ac:dyDescent="0.3">
      <c r="A392" s="64">
        <v>46139</v>
      </c>
      <c r="B392" t="s">
        <v>1497</v>
      </c>
      <c r="C392" t="s">
        <v>1498</v>
      </c>
      <c r="E392" t="s">
        <v>19</v>
      </c>
      <c r="F392" t="s">
        <v>261</v>
      </c>
      <c r="G392" t="s">
        <v>143</v>
      </c>
      <c r="H392" t="s">
        <v>1499</v>
      </c>
      <c r="N392" t="s">
        <v>145</v>
      </c>
      <c r="P392" t="s">
        <v>12</v>
      </c>
      <c r="Q392" t="s">
        <v>14</v>
      </c>
      <c r="R392" t="s">
        <v>146</v>
      </c>
      <c r="S392" t="s">
        <v>5</v>
      </c>
      <c r="T392" t="s">
        <v>1500</v>
      </c>
      <c r="U392" t="s">
        <v>1501</v>
      </c>
    </row>
    <row r="393" spans="1:21" x14ac:dyDescent="0.3">
      <c r="A393" s="64">
        <v>46139</v>
      </c>
      <c r="B393" t="s">
        <v>1502</v>
      </c>
      <c r="C393" t="s">
        <v>1503</v>
      </c>
      <c r="E393" t="s">
        <v>66</v>
      </c>
      <c r="F393" t="s">
        <v>103</v>
      </c>
      <c r="G393" t="s">
        <v>68</v>
      </c>
      <c r="H393" t="s">
        <v>69</v>
      </c>
      <c r="N393" t="s">
        <v>1</v>
      </c>
      <c r="P393" t="s">
        <v>9</v>
      </c>
      <c r="Q393" t="s">
        <v>11</v>
      </c>
      <c r="R393" t="s">
        <v>104</v>
      </c>
      <c r="S393" t="s">
        <v>10</v>
      </c>
      <c r="T393" t="s">
        <v>1504</v>
      </c>
    </row>
    <row r="394" spans="1:21" x14ac:dyDescent="0.3">
      <c r="A394" s="64">
        <v>46139</v>
      </c>
      <c r="B394" t="s">
        <v>1505</v>
      </c>
      <c r="C394" t="s">
        <v>1506</v>
      </c>
      <c r="E394" t="s">
        <v>19</v>
      </c>
      <c r="F394" t="s">
        <v>58</v>
      </c>
      <c r="G394" t="s">
        <v>68</v>
      </c>
      <c r="H394" t="s">
        <v>69</v>
      </c>
      <c r="N394" t="s">
        <v>1</v>
      </c>
      <c r="P394" t="s">
        <v>21</v>
      </c>
      <c r="Q394" t="s">
        <v>11</v>
      </c>
      <c r="R394" t="s">
        <v>61</v>
      </c>
      <c r="S394" t="s">
        <v>10</v>
      </c>
      <c r="T394" t="s">
        <v>1507</v>
      </c>
      <c r="U394" t="s">
        <v>1257</v>
      </c>
    </row>
    <row r="395" spans="1:21" x14ac:dyDescent="0.3">
      <c r="A395" s="64">
        <v>46139</v>
      </c>
      <c r="B395" t="s">
        <v>1508</v>
      </c>
      <c r="C395" t="s">
        <v>1509</v>
      </c>
      <c r="E395" t="s">
        <v>19</v>
      </c>
      <c r="F395" t="s">
        <v>109</v>
      </c>
      <c r="G395" t="s">
        <v>68</v>
      </c>
      <c r="H395" t="s">
        <v>1359</v>
      </c>
      <c r="N395" t="s">
        <v>1</v>
      </c>
      <c r="P395" t="s">
        <v>19</v>
      </c>
      <c r="Q395" t="s">
        <v>11</v>
      </c>
      <c r="R395" t="s">
        <v>80</v>
      </c>
      <c r="S395" t="s">
        <v>10</v>
      </c>
      <c r="T395" t="s">
        <v>1510</v>
      </c>
      <c r="U395" t="s">
        <v>1511</v>
      </c>
    </row>
    <row r="396" spans="1:21" x14ac:dyDescent="0.3">
      <c r="A396" s="64">
        <v>46139</v>
      </c>
      <c r="B396" t="s">
        <v>1512</v>
      </c>
      <c r="C396" t="s">
        <v>1513</v>
      </c>
      <c r="E396" t="s">
        <v>19</v>
      </c>
      <c r="F396" t="s">
        <v>58</v>
      </c>
      <c r="G396" t="s">
        <v>59</v>
      </c>
      <c r="H396" t="s">
        <v>60</v>
      </c>
      <c r="N396" t="s">
        <v>1</v>
      </c>
      <c r="P396" t="s">
        <v>21</v>
      </c>
      <c r="Q396" t="s">
        <v>11</v>
      </c>
      <c r="R396" t="s">
        <v>61</v>
      </c>
      <c r="S396" t="s">
        <v>10</v>
      </c>
      <c r="T396" t="s">
        <v>1388</v>
      </c>
      <c r="U396" t="s">
        <v>1257</v>
      </c>
    </row>
    <row r="397" spans="1:21" x14ac:dyDescent="0.3">
      <c r="A397" s="64">
        <v>46139</v>
      </c>
      <c r="B397" t="s">
        <v>879</v>
      </c>
      <c r="C397" t="s">
        <v>880</v>
      </c>
      <c r="E397" t="s">
        <v>19</v>
      </c>
      <c r="F397" t="s">
        <v>820</v>
      </c>
      <c r="G397" t="s">
        <v>122</v>
      </c>
      <c r="H397" t="s">
        <v>879</v>
      </c>
      <c r="N397" t="s">
        <v>145</v>
      </c>
      <c r="P397" t="s">
        <v>4</v>
      </c>
      <c r="Q397" t="s">
        <v>4</v>
      </c>
      <c r="R397" t="s">
        <v>4</v>
      </c>
      <c r="S397" t="s">
        <v>4</v>
      </c>
      <c r="T397" t="s">
        <v>1514</v>
      </c>
      <c r="U397" t="s">
        <v>1515</v>
      </c>
    </row>
    <row r="398" spans="1:21" x14ac:dyDescent="0.3">
      <c r="A398" s="64">
        <v>46139</v>
      </c>
      <c r="B398" t="s">
        <v>690</v>
      </c>
      <c r="C398" t="s">
        <v>691</v>
      </c>
      <c r="E398" t="s">
        <v>66</v>
      </c>
      <c r="F398" t="s">
        <v>568</v>
      </c>
      <c r="G398" t="s">
        <v>68</v>
      </c>
      <c r="H398" t="s">
        <v>69</v>
      </c>
      <c r="N398" t="s">
        <v>1</v>
      </c>
      <c r="P398" t="s">
        <v>9</v>
      </c>
      <c r="Q398" t="s">
        <v>11</v>
      </c>
      <c r="R398" t="s">
        <v>104</v>
      </c>
      <c r="S398" t="s">
        <v>10</v>
      </c>
      <c r="T398" t="s">
        <v>1516</v>
      </c>
      <c r="U398" t="s">
        <v>1517</v>
      </c>
    </row>
    <row r="399" spans="1:21" x14ac:dyDescent="0.3">
      <c r="A399" s="64">
        <v>46139</v>
      </c>
      <c r="B399" t="s">
        <v>1518</v>
      </c>
      <c r="C399" t="s">
        <v>1519</v>
      </c>
      <c r="E399" t="s">
        <v>19</v>
      </c>
      <c r="F399" t="s">
        <v>109</v>
      </c>
      <c r="G399" t="s">
        <v>110</v>
      </c>
      <c r="H399" t="s">
        <v>111</v>
      </c>
      <c r="N399" t="s">
        <v>1</v>
      </c>
      <c r="P399" t="s">
        <v>19</v>
      </c>
      <c r="Q399" t="s">
        <v>11</v>
      </c>
      <c r="R399" t="s">
        <v>80</v>
      </c>
      <c r="S399" t="s">
        <v>10</v>
      </c>
      <c r="T399" t="s">
        <v>1520</v>
      </c>
      <c r="U399" t="s">
        <v>1521</v>
      </c>
    </row>
    <row r="400" spans="1:21" x14ac:dyDescent="0.3">
      <c r="A400" s="64">
        <v>46139</v>
      </c>
      <c r="B400" t="s">
        <v>1522</v>
      </c>
      <c r="C400" t="s">
        <v>1523</v>
      </c>
      <c r="E400" t="s">
        <v>19</v>
      </c>
      <c r="F400" t="s">
        <v>109</v>
      </c>
      <c r="G400" t="s">
        <v>181</v>
      </c>
      <c r="H400" t="s">
        <v>1522</v>
      </c>
      <c r="N400" t="s">
        <v>1</v>
      </c>
      <c r="P400" t="s">
        <v>12</v>
      </c>
      <c r="Q400" t="s">
        <v>14</v>
      </c>
      <c r="R400" t="s">
        <v>146</v>
      </c>
      <c r="S400" t="s">
        <v>5</v>
      </c>
      <c r="T400" t="s">
        <v>1524</v>
      </c>
      <c r="U400" t="s">
        <v>1525</v>
      </c>
    </row>
    <row r="401" spans="1:21" x14ac:dyDescent="0.3">
      <c r="A401" s="64">
        <v>46139</v>
      </c>
      <c r="B401" t="s">
        <v>1526</v>
      </c>
      <c r="C401" t="s">
        <v>1527</v>
      </c>
      <c r="E401" t="s">
        <v>66</v>
      </c>
      <c r="F401" t="s">
        <v>103</v>
      </c>
      <c r="G401" t="s">
        <v>68</v>
      </c>
      <c r="H401" t="s">
        <v>69</v>
      </c>
      <c r="N401" t="s">
        <v>1</v>
      </c>
      <c r="P401" t="s">
        <v>9</v>
      </c>
      <c r="Q401" t="s">
        <v>11</v>
      </c>
      <c r="R401" t="s">
        <v>104</v>
      </c>
      <c r="S401" t="s">
        <v>10</v>
      </c>
      <c r="T401" t="s">
        <v>1528</v>
      </c>
      <c r="U401" t="s">
        <v>1529</v>
      </c>
    </row>
    <row r="402" spans="1:21" x14ac:dyDescent="0.3">
      <c r="A402" s="64">
        <v>46139</v>
      </c>
      <c r="B402" t="s">
        <v>240</v>
      </c>
      <c r="C402" t="s">
        <v>241</v>
      </c>
      <c r="E402" t="s">
        <v>66</v>
      </c>
      <c r="F402" t="s">
        <v>103</v>
      </c>
      <c r="G402" t="s">
        <v>68</v>
      </c>
      <c r="H402" t="s">
        <v>69</v>
      </c>
      <c r="N402" t="s">
        <v>1</v>
      </c>
      <c r="P402" t="s">
        <v>9</v>
      </c>
      <c r="Q402" t="s">
        <v>11</v>
      </c>
      <c r="R402" t="s">
        <v>104</v>
      </c>
      <c r="S402" t="s">
        <v>10</v>
      </c>
      <c r="T402" t="s">
        <v>1530</v>
      </c>
    </row>
    <row r="403" spans="1:21" x14ac:dyDescent="0.3">
      <c r="A403" s="64">
        <v>46139</v>
      </c>
      <c r="B403" t="s">
        <v>1531</v>
      </c>
      <c r="C403" t="s">
        <v>1532</v>
      </c>
      <c r="E403" t="s">
        <v>19</v>
      </c>
      <c r="F403" t="s">
        <v>221</v>
      </c>
      <c r="G403" t="s">
        <v>98</v>
      </c>
      <c r="H403" t="s">
        <v>1533</v>
      </c>
      <c r="N403" t="s">
        <v>1</v>
      </c>
      <c r="P403" t="s">
        <v>12</v>
      </c>
      <c r="Q403" t="s">
        <v>14</v>
      </c>
      <c r="R403" t="s">
        <v>146</v>
      </c>
      <c r="S403" t="s">
        <v>5</v>
      </c>
      <c r="T403" t="s">
        <v>1534</v>
      </c>
      <c r="U403" t="s">
        <v>1535</v>
      </c>
    </row>
    <row r="404" spans="1:21" x14ac:dyDescent="0.3">
      <c r="A404" s="64">
        <v>46139</v>
      </c>
      <c r="B404" t="s">
        <v>1536</v>
      </c>
      <c r="C404" t="s">
        <v>1537</v>
      </c>
      <c r="E404" t="s">
        <v>19</v>
      </c>
      <c r="F404" t="s">
        <v>109</v>
      </c>
      <c r="G404" t="s">
        <v>122</v>
      </c>
      <c r="H404" t="s">
        <v>123</v>
      </c>
      <c r="N404" t="s">
        <v>1</v>
      </c>
      <c r="P404" t="s">
        <v>19</v>
      </c>
      <c r="Q404" t="s">
        <v>11</v>
      </c>
      <c r="R404" t="s">
        <v>80</v>
      </c>
      <c r="S404" t="s">
        <v>10</v>
      </c>
      <c r="T404" t="s">
        <v>1538</v>
      </c>
      <c r="U404" t="s">
        <v>1539</v>
      </c>
    </row>
    <row r="405" spans="1:21" x14ac:dyDescent="0.3">
      <c r="A405" s="64">
        <v>46139</v>
      </c>
      <c r="B405" t="s">
        <v>904</v>
      </c>
      <c r="C405" t="s">
        <v>905</v>
      </c>
      <c r="E405" t="s">
        <v>19</v>
      </c>
      <c r="F405" t="s">
        <v>109</v>
      </c>
      <c r="G405" t="s">
        <v>59</v>
      </c>
      <c r="H405" t="s">
        <v>60</v>
      </c>
      <c r="N405" t="s">
        <v>1</v>
      </c>
      <c r="P405" t="s">
        <v>12</v>
      </c>
      <c r="Q405" t="s">
        <v>14</v>
      </c>
      <c r="R405" t="s">
        <v>146</v>
      </c>
      <c r="S405" t="s">
        <v>5</v>
      </c>
      <c r="T405" t="s">
        <v>1205</v>
      </c>
      <c r="U405" t="s">
        <v>1206</v>
      </c>
    </row>
    <row r="406" spans="1:21" x14ac:dyDescent="0.3">
      <c r="A406" s="64">
        <v>46139</v>
      </c>
      <c r="B406" t="s">
        <v>1540</v>
      </c>
      <c r="C406" t="s">
        <v>1541</v>
      </c>
      <c r="E406" t="s">
        <v>19</v>
      </c>
      <c r="F406" t="s">
        <v>109</v>
      </c>
      <c r="G406" t="s">
        <v>200</v>
      </c>
      <c r="H406" t="s">
        <v>631</v>
      </c>
      <c r="N406" t="s">
        <v>1</v>
      </c>
      <c r="P406" t="s">
        <v>19</v>
      </c>
      <c r="Q406" t="s">
        <v>11</v>
      </c>
      <c r="R406" t="s">
        <v>80</v>
      </c>
      <c r="S406" t="s">
        <v>10</v>
      </c>
      <c r="T406" t="s">
        <v>1388</v>
      </c>
      <c r="U406" t="s">
        <v>1257</v>
      </c>
    </row>
    <row r="407" spans="1:21" x14ac:dyDescent="0.3">
      <c r="A407" s="64">
        <v>46139</v>
      </c>
      <c r="B407" t="s">
        <v>1542</v>
      </c>
      <c r="C407" t="s">
        <v>1543</v>
      </c>
      <c r="E407" t="s">
        <v>19</v>
      </c>
      <c r="F407" t="s">
        <v>58</v>
      </c>
      <c r="G407" t="s">
        <v>68</v>
      </c>
      <c r="H407" t="s">
        <v>69</v>
      </c>
      <c r="N407" t="s">
        <v>1</v>
      </c>
      <c r="P407" t="s">
        <v>21</v>
      </c>
      <c r="Q407" t="s">
        <v>11</v>
      </c>
      <c r="R407" t="s">
        <v>61</v>
      </c>
      <c r="S407" t="s">
        <v>10</v>
      </c>
      <c r="T407" t="s">
        <v>1544</v>
      </c>
      <c r="U407" t="s">
        <v>1257</v>
      </c>
    </row>
    <row r="408" spans="1:21" x14ac:dyDescent="0.3">
      <c r="A408" s="64">
        <v>46139</v>
      </c>
      <c r="B408" t="s">
        <v>1545</v>
      </c>
      <c r="C408" t="s">
        <v>1546</v>
      </c>
      <c r="E408" t="s">
        <v>19</v>
      </c>
      <c r="F408" t="s">
        <v>109</v>
      </c>
      <c r="G408" t="s">
        <v>181</v>
      </c>
      <c r="H408" t="s">
        <v>1545</v>
      </c>
      <c r="N408" t="s">
        <v>1</v>
      </c>
      <c r="P408" t="s">
        <v>19</v>
      </c>
      <c r="Q408" t="s">
        <v>11</v>
      </c>
      <c r="R408" t="s">
        <v>80</v>
      </c>
      <c r="S408" t="s">
        <v>10</v>
      </c>
      <c r="T408" t="s">
        <v>1547</v>
      </c>
      <c r="U408" t="s">
        <v>1548</v>
      </c>
    </row>
    <row r="409" spans="1:21" x14ac:dyDescent="0.3">
      <c r="A409" s="64">
        <v>46139</v>
      </c>
      <c r="B409" t="s">
        <v>680</v>
      </c>
      <c r="C409" t="s">
        <v>681</v>
      </c>
      <c r="E409" t="s">
        <v>19</v>
      </c>
      <c r="F409" t="s">
        <v>221</v>
      </c>
      <c r="G409" t="s">
        <v>200</v>
      </c>
      <c r="H409" t="s">
        <v>682</v>
      </c>
      <c r="N409" t="s">
        <v>1</v>
      </c>
      <c r="P409" t="s">
        <v>12</v>
      </c>
      <c r="Q409" t="s">
        <v>14</v>
      </c>
      <c r="R409" t="s">
        <v>146</v>
      </c>
      <c r="S409" t="s">
        <v>5</v>
      </c>
      <c r="T409" t="s">
        <v>1549</v>
      </c>
      <c r="U409" t="s">
        <v>1550</v>
      </c>
    </row>
    <row r="410" spans="1:21" x14ac:dyDescent="0.3">
      <c r="A410" s="64">
        <v>46139</v>
      </c>
      <c r="B410" t="s">
        <v>1551</v>
      </c>
      <c r="C410" t="s">
        <v>1552</v>
      </c>
      <c r="E410" t="s">
        <v>19</v>
      </c>
      <c r="F410" t="s">
        <v>109</v>
      </c>
      <c r="G410" t="s">
        <v>110</v>
      </c>
      <c r="H410" t="s">
        <v>111</v>
      </c>
      <c r="N410" t="s">
        <v>1</v>
      </c>
      <c r="P410" t="s">
        <v>19</v>
      </c>
      <c r="Q410" t="s">
        <v>11</v>
      </c>
      <c r="R410" t="s">
        <v>80</v>
      </c>
      <c r="S410" t="s">
        <v>10</v>
      </c>
      <c r="T410" t="s">
        <v>1553</v>
      </c>
      <c r="U410" t="s">
        <v>1554</v>
      </c>
    </row>
    <row r="411" spans="1:21" x14ac:dyDescent="0.3">
      <c r="A411" s="64">
        <v>46139</v>
      </c>
      <c r="B411" t="s">
        <v>755</v>
      </c>
      <c r="C411" t="s">
        <v>756</v>
      </c>
      <c r="E411" t="s">
        <v>19</v>
      </c>
      <c r="F411" t="s">
        <v>199</v>
      </c>
      <c r="G411" t="s">
        <v>200</v>
      </c>
      <c r="H411" t="s">
        <v>755</v>
      </c>
      <c r="N411" t="s">
        <v>1</v>
      </c>
      <c r="P411" t="s">
        <v>12</v>
      </c>
      <c r="Q411" t="s">
        <v>14</v>
      </c>
      <c r="R411" t="s">
        <v>146</v>
      </c>
      <c r="S411" t="s">
        <v>5</v>
      </c>
      <c r="T411" t="s">
        <v>1555</v>
      </c>
      <c r="U411" t="s">
        <v>1556</v>
      </c>
    </row>
    <row r="412" spans="1:21" x14ac:dyDescent="0.3">
      <c r="A412" s="64">
        <v>46139</v>
      </c>
      <c r="B412" t="s">
        <v>1557</v>
      </c>
      <c r="C412" t="s">
        <v>1558</v>
      </c>
      <c r="E412" t="s">
        <v>19</v>
      </c>
      <c r="F412" t="s">
        <v>109</v>
      </c>
      <c r="G412" t="s">
        <v>68</v>
      </c>
      <c r="H412" t="s">
        <v>69</v>
      </c>
      <c r="N412" t="s">
        <v>156</v>
      </c>
      <c r="P412" t="s">
        <v>157</v>
      </c>
      <c r="Q412" t="s">
        <v>157</v>
      </c>
      <c r="R412" t="s">
        <v>156</v>
      </c>
      <c r="S412" t="s">
        <v>157</v>
      </c>
      <c r="T412" t="s">
        <v>1382</v>
      </c>
      <c r="U412" t="s">
        <v>1383</v>
      </c>
    </row>
    <row r="413" spans="1:21" x14ac:dyDescent="0.3">
      <c r="A413" s="64">
        <v>46139</v>
      </c>
      <c r="B413" t="s">
        <v>1559</v>
      </c>
      <c r="C413" t="s">
        <v>1560</v>
      </c>
      <c r="E413" t="s">
        <v>19</v>
      </c>
      <c r="F413" t="s">
        <v>109</v>
      </c>
      <c r="G413" t="s">
        <v>68</v>
      </c>
      <c r="H413" t="s">
        <v>69</v>
      </c>
      <c r="N413" t="s">
        <v>156</v>
      </c>
      <c r="P413" t="s">
        <v>157</v>
      </c>
      <c r="Q413" t="s">
        <v>157</v>
      </c>
      <c r="R413" t="s">
        <v>156</v>
      </c>
      <c r="S413" t="s">
        <v>157</v>
      </c>
      <c r="T413" t="s">
        <v>1382</v>
      </c>
      <c r="U413" t="s">
        <v>1383</v>
      </c>
    </row>
    <row r="414" spans="1:21" x14ac:dyDescent="0.3">
      <c r="A414" s="64">
        <v>46139</v>
      </c>
      <c r="B414" t="s">
        <v>1561</v>
      </c>
      <c r="C414" t="s">
        <v>1562</v>
      </c>
      <c r="E414" t="s">
        <v>19</v>
      </c>
      <c r="F414" t="s">
        <v>1209</v>
      </c>
      <c r="G414" t="s">
        <v>68</v>
      </c>
      <c r="H414" t="s">
        <v>69</v>
      </c>
      <c r="N414" t="s">
        <v>156</v>
      </c>
      <c r="P414" t="s">
        <v>157</v>
      </c>
      <c r="Q414" t="s">
        <v>157</v>
      </c>
      <c r="R414" t="s">
        <v>156</v>
      </c>
      <c r="S414" t="s">
        <v>157</v>
      </c>
      <c r="T414" t="s">
        <v>1382</v>
      </c>
      <c r="U414" t="s">
        <v>1383</v>
      </c>
    </row>
    <row r="415" spans="1:21" x14ac:dyDescent="0.3">
      <c r="A415" s="64">
        <v>46139</v>
      </c>
      <c r="B415" t="s">
        <v>126</v>
      </c>
      <c r="C415" t="s">
        <v>127</v>
      </c>
      <c r="E415" t="s">
        <v>66</v>
      </c>
      <c r="F415" t="s">
        <v>103</v>
      </c>
      <c r="G415" t="s">
        <v>59</v>
      </c>
      <c r="H415" t="s">
        <v>60</v>
      </c>
      <c r="N415" t="s">
        <v>1</v>
      </c>
      <c r="P415" t="s">
        <v>9</v>
      </c>
      <c r="Q415" t="s">
        <v>11</v>
      </c>
      <c r="R415" t="s">
        <v>104</v>
      </c>
      <c r="S415" t="s">
        <v>10</v>
      </c>
      <c r="T415" t="s">
        <v>1563</v>
      </c>
      <c r="U415" t="s">
        <v>1564</v>
      </c>
    </row>
    <row r="416" spans="1:21" x14ac:dyDescent="0.3">
      <c r="A416" s="64">
        <v>46139</v>
      </c>
      <c r="B416" t="s">
        <v>1565</v>
      </c>
      <c r="C416" t="s">
        <v>1566</v>
      </c>
      <c r="E416" t="s">
        <v>19</v>
      </c>
      <c r="F416" t="s">
        <v>109</v>
      </c>
      <c r="G416" t="s">
        <v>110</v>
      </c>
      <c r="H416" t="s">
        <v>111</v>
      </c>
      <c r="N416" t="s">
        <v>1</v>
      </c>
      <c r="P416" t="s">
        <v>19</v>
      </c>
      <c r="Q416" t="s">
        <v>11</v>
      </c>
      <c r="R416" t="s">
        <v>80</v>
      </c>
      <c r="S416" t="s">
        <v>10</v>
      </c>
      <c r="T416" t="s">
        <v>1567</v>
      </c>
      <c r="U416" t="s">
        <v>1568</v>
      </c>
    </row>
    <row r="417" spans="1:21" x14ac:dyDescent="0.3">
      <c r="A417" s="64">
        <v>46139</v>
      </c>
      <c r="B417" t="s">
        <v>1569</v>
      </c>
      <c r="C417" t="s">
        <v>1570</v>
      </c>
      <c r="E417" t="s">
        <v>66</v>
      </c>
      <c r="F417" t="s">
        <v>67</v>
      </c>
      <c r="G417" t="s">
        <v>110</v>
      </c>
      <c r="H417" t="s">
        <v>111</v>
      </c>
      <c r="N417" t="s">
        <v>1</v>
      </c>
      <c r="P417" t="s">
        <v>7</v>
      </c>
      <c r="Q417" t="s">
        <v>11</v>
      </c>
      <c r="R417" t="s">
        <v>70</v>
      </c>
      <c r="S417" t="s">
        <v>10</v>
      </c>
      <c r="T417" t="s">
        <v>1332</v>
      </c>
      <c r="U417" t="s">
        <v>1267</v>
      </c>
    </row>
    <row r="418" spans="1:21" x14ac:dyDescent="0.3">
      <c r="A418" s="64">
        <v>46139</v>
      </c>
      <c r="B418" t="s">
        <v>454</v>
      </c>
      <c r="C418" t="s">
        <v>455</v>
      </c>
      <c r="E418" t="s">
        <v>19</v>
      </c>
      <c r="F418" t="s">
        <v>109</v>
      </c>
      <c r="G418" t="s">
        <v>110</v>
      </c>
      <c r="H418" t="s">
        <v>111</v>
      </c>
      <c r="N418" t="s">
        <v>1</v>
      </c>
      <c r="P418" t="s">
        <v>19</v>
      </c>
      <c r="Q418" t="s">
        <v>11</v>
      </c>
      <c r="R418" t="s">
        <v>80</v>
      </c>
      <c r="S418" t="s">
        <v>10</v>
      </c>
      <c r="T418" t="s">
        <v>1388</v>
      </c>
      <c r="U418" t="s">
        <v>1257</v>
      </c>
    </row>
    <row r="419" spans="1:21" x14ac:dyDescent="0.3">
      <c r="A419" s="64">
        <v>46139</v>
      </c>
      <c r="B419" t="s">
        <v>1571</v>
      </c>
      <c r="C419" t="s">
        <v>1572</v>
      </c>
      <c r="E419" t="s">
        <v>19</v>
      </c>
      <c r="F419" t="s">
        <v>109</v>
      </c>
      <c r="G419" t="s">
        <v>355</v>
      </c>
      <c r="H419" t="s">
        <v>1573</v>
      </c>
      <c r="N419" t="s">
        <v>1</v>
      </c>
      <c r="P419" t="s">
        <v>19</v>
      </c>
      <c r="Q419" t="s">
        <v>11</v>
      </c>
      <c r="R419" t="s">
        <v>80</v>
      </c>
      <c r="S419" t="s">
        <v>10</v>
      </c>
      <c r="T419" t="s">
        <v>1388</v>
      </c>
      <c r="U419" t="s">
        <v>1257</v>
      </c>
    </row>
    <row r="420" spans="1:21" x14ac:dyDescent="0.3">
      <c r="A420" s="64">
        <v>46139</v>
      </c>
      <c r="B420" t="s">
        <v>1574</v>
      </c>
      <c r="C420" t="s">
        <v>1575</v>
      </c>
      <c r="E420" t="s">
        <v>19</v>
      </c>
      <c r="F420" t="s">
        <v>109</v>
      </c>
      <c r="G420" t="s">
        <v>68</v>
      </c>
      <c r="H420" t="s">
        <v>210</v>
      </c>
      <c r="N420" t="s">
        <v>1</v>
      </c>
      <c r="P420" t="s">
        <v>19</v>
      </c>
      <c r="Q420" t="s">
        <v>11</v>
      </c>
      <c r="R420" t="s">
        <v>80</v>
      </c>
      <c r="S420" t="s">
        <v>10</v>
      </c>
      <c r="T420" t="s">
        <v>1576</v>
      </c>
      <c r="U420" t="s">
        <v>1257</v>
      </c>
    </row>
    <row r="421" spans="1:21" x14ac:dyDescent="0.3">
      <c r="A421" s="64">
        <v>46139</v>
      </c>
      <c r="B421" t="s">
        <v>175</v>
      </c>
      <c r="C421" t="s">
        <v>176</v>
      </c>
      <c r="E421" t="s">
        <v>19</v>
      </c>
      <c r="F421" t="s">
        <v>109</v>
      </c>
      <c r="G421" t="s">
        <v>68</v>
      </c>
      <c r="H421" t="s">
        <v>69</v>
      </c>
      <c r="N421" t="s">
        <v>1</v>
      </c>
      <c r="P421" t="s">
        <v>19</v>
      </c>
      <c r="Q421" t="s">
        <v>11</v>
      </c>
      <c r="R421" t="s">
        <v>80</v>
      </c>
      <c r="S421" t="s">
        <v>10</v>
      </c>
      <c r="T421" t="s">
        <v>1577</v>
      </c>
      <c r="U421" t="s">
        <v>1578</v>
      </c>
    </row>
    <row r="422" spans="1:21" x14ac:dyDescent="0.3">
      <c r="A422" s="64">
        <v>46139</v>
      </c>
      <c r="B422" t="s">
        <v>1579</v>
      </c>
      <c r="C422" t="s">
        <v>1580</v>
      </c>
      <c r="E422" t="s">
        <v>66</v>
      </c>
      <c r="F422" t="s">
        <v>193</v>
      </c>
      <c r="G422" t="s">
        <v>143</v>
      </c>
      <c r="H422" t="s">
        <v>1581</v>
      </c>
      <c r="N422" t="s">
        <v>145</v>
      </c>
      <c r="P422" t="s">
        <v>7</v>
      </c>
      <c r="Q422" t="s">
        <v>11</v>
      </c>
      <c r="R422" t="s">
        <v>70</v>
      </c>
      <c r="S422" t="s">
        <v>10</v>
      </c>
      <c r="T422" t="s">
        <v>1582</v>
      </c>
      <c r="U422" t="s">
        <v>1583</v>
      </c>
    </row>
    <row r="423" spans="1:21" x14ac:dyDescent="0.3">
      <c r="A423" s="64">
        <v>46139</v>
      </c>
      <c r="B423" t="s">
        <v>1584</v>
      </c>
      <c r="C423" t="s">
        <v>1585</v>
      </c>
      <c r="E423" t="s">
        <v>19</v>
      </c>
      <c r="F423" t="s">
        <v>109</v>
      </c>
      <c r="G423" t="s">
        <v>143</v>
      </c>
      <c r="H423" t="s">
        <v>290</v>
      </c>
      <c r="N423" t="s">
        <v>1</v>
      </c>
      <c r="P423" t="s">
        <v>19</v>
      </c>
      <c r="Q423" t="s">
        <v>11</v>
      </c>
      <c r="R423" t="s">
        <v>80</v>
      </c>
      <c r="S423" t="s">
        <v>10</v>
      </c>
      <c r="T423" t="s">
        <v>1388</v>
      </c>
      <c r="U423" t="s">
        <v>1257</v>
      </c>
    </row>
    <row r="424" spans="1:21" x14ac:dyDescent="0.3">
      <c r="A424" s="64">
        <v>46139</v>
      </c>
      <c r="B424" t="s">
        <v>1586</v>
      </c>
      <c r="C424" t="s">
        <v>1587</v>
      </c>
      <c r="E424" t="s">
        <v>19</v>
      </c>
      <c r="F424" t="s">
        <v>109</v>
      </c>
      <c r="G424" t="s">
        <v>68</v>
      </c>
      <c r="H424" t="s">
        <v>1588</v>
      </c>
      <c r="N424" t="s">
        <v>1</v>
      </c>
      <c r="P424" t="s">
        <v>19</v>
      </c>
      <c r="Q424" t="s">
        <v>11</v>
      </c>
      <c r="R424" t="s">
        <v>80</v>
      </c>
      <c r="S424" t="s">
        <v>10</v>
      </c>
      <c r="T424" t="s">
        <v>1388</v>
      </c>
      <c r="U424" t="s">
        <v>1257</v>
      </c>
    </row>
    <row r="425" spans="1:21" x14ac:dyDescent="0.3">
      <c r="A425" s="64">
        <v>46139</v>
      </c>
      <c r="B425" t="s">
        <v>1589</v>
      </c>
      <c r="C425" t="s">
        <v>1590</v>
      </c>
      <c r="E425" t="s">
        <v>19</v>
      </c>
      <c r="F425" t="s">
        <v>820</v>
      </c>
      <c r="G425" t="s">
        <v>200</v>
      </c>
      <c r="H425" t="s">
        <v>1591</v>
      </c>
      <c r="N425" t="s">
        <v>1</v>
      </c>
      <c r="P425" t="s">
        <v>12</v>
      </c>
      <c r="Q425" t="s">
        <v>14</v>
      </c>
      <c r="R425" t="s">
        <v>146</v>
      </c>
      <c r="S425" t="s">
        <v>5</v>
      </c>
      <c r="T425" t="s">
        <v>1592</v>
      </c>
      <c r="U425" t="s">
        <v>1593</v>
      </c>
    </row>
    <row r="426" spans="1:21" x14ac:dyDescent="0.3">
      <c r="A426" s="64">
        <v>46139</v>
      </c>
      <c r="B426" t="s">
        <v>1594</v>
      </c>
      <c r="C426" t="s">
        <v>1595</v>
      </c>
      <c r="E426" t="s">
        <v>19</v>
      </c>
      <c r="F426" t="s">
        <v>109</v>
      </c>
      <c r="G426" t="s">
        <v>143</v>
      </c>
      <c r="H426" t="s">
        <v>290</v>
      </c>
      <c r="N426" t="s">
        <v>1</v>
      </c>
      <c r="P426" t="s">
        <v>19</v>
      </c>
      <c r="Q426" t="s">
        <v>11</v>
      </c>
      <c r="R426" t="s">
        <v>80</v>
      </c>
      <c r="S426" t="s">
        <v>10</v>
      </c>
      <c r="T426" t="s">
        <v>1388</v>
      </c>
      <c r="U426" t="s">
        <v>1257</v>
      </c>
    </row>
    <row r="427" spans="1:21" x14ac:dyDescent="0.3">
      <c r="A427" s="64">
        <v>46139</v>
      </c>
      <c r="B427" t="s">
        <v>1596</v>
      </c>
      <c r="C427" t="s">
        <v>1597</v>
      </c>
      <c r="E427" t="s">
        <v>19</v>
      </c>
      <c r="F427" t="s">
        <v>109</v>
      </c>
      <c r="G427" t="s">
        <v>110</v>
      </c>
      <c r="H427" t="s">
        <v>111</v>
      </c>
      <c r="N427" t="s">
        <v>1</v>
      </c>
      <c r="P427" t="s">
        <v>19</v>
      </c>
      <c r="Q427" t="s">
        <v>11</v>
      </c>
      <c r="R427" t="s">
        <v>80</v>
      </c>
      <c r="S427" t="s">
        <v>10</v>
      </c>
      <c r="T427" t="s">
        <v>1598</v>
      </c>
      <c r="U427" t="s">
        <v>1599</v>
      </c>
    </row>
    <row r="428" spans="1:21" x14ac:dyDescent="0.3">
      <c r="A428" s="64">
        <v>46139</v>
      </c>
      <c r="B428" t="s">
        <v>711</v>
      </c>
      <c r="C428" t="s">
        <v>712</v>
      </c>
      <c r="E428" t="s">
        <v>19</v>
      </c>
      <c r="F428" t="s">
        <v>109</v>
      </c>
      <c r="G428" t="s">
        <v>143</v>
      </c>
      <c r="H428" t="s">
        <v>290</v>
      </c>
      <c r="N428" t="s">
        <v>1</v>
      </c>
      <c r="P428" t="s">
        <v>19</v>
      </c>
      <c r="Q428" t="s">
        <v>11</v>
      </c>
      <c r="R428" t="s">
        <v>80</v>
      </c>
      <c r="S428" t="s">
        <v>10</v>
      </c>
      <c r="T428" t="s">
        <v>1600</v>
      </c>
      <c r="U428" t="s">
        <v>1601</v>
      </c>
    </row>
    <row r="429" spans="1:21" x14ac:dyDescent="0.3">
      <c r="A429" s="64">
        <v>46139</v>
      </c>
      <c r="B429" t="s">
        <v>1602</v>
      </c>
      <c r="C429" t="s">
        <v>1603</v>
      </c>
      <c r="E429" t="s">
        <v>19</v>
      </c>
      <c r="F429" t="s">
        <v>109</v>
      </c>
      <c r="G429" t="s">
        <v>59</v>
      </c>
      <c r="H429" t="s">
        <v>60</v>
      </c>
      <c r="N429" t="s">
        <v>1</v>
      </c>
      <c r="P429" t="s">
        <v>12</v>
      </c>
      <c r="Q429" t="s">
        <v>14</v>
      </c>
      <c r="R429" t="s">
        <v>146</v>
      </c>
      <c r="S429" t="s">
        <v>5</v>
      </c>
      <c r="T429" t="s">
        <v>1604</v>
      </c>
      <c r="U429" t="s">
        <v>1605</v>
      </c>
    </row>
    <row r="430" spans="1:21" x14ac:dyDescent="0.3">
      <c r="A430" s="64">
        <v>46139</v>
      </c>
      <c r="B430" t="s">
        <v>1606</v>
      </c>
      <c r="C430" t="s">
        <v>1607</v>
      </c>
      <c r="E430" t="s">
        <v>19</v>
      </c>
      <c r="F430" t="s">
        <v>109</v>
      </c>
      <c r="G430" t="s">
        <v>59</v>
      </c>
      <c r="H430" t="s">
        <v>60</v>
      </c>
      <c r="N430" t="s">
        <v>1</v>
      </c>
      <c r="P430" t="s">
        <v>19</v>
      </c>
      <c r="Q430" t="s">
        <v>11</v>
      </c>
      <c r="R430" t="s">
        <v>80</v>
      </c>
      <c r="S430" t="s">
        <v>10</v>
      </c>
      <c r="T430" t="s">
        <v>1608</v>
      </c>
      <c r="U430" t="s">
        <v>1609</v>
      </c>
    </row>
    <row r="431" spans="1:21" x14ac:dyDescent="0.3">
      <c r="A431" s="64">
        <v>46139</v>
      </c>
      <c r="B431" t="s">
        <v>894</v>
      </c>
      <c r="C431" t="s">
        <v>895</v>
      </c>
      <c r="E431" t="s">
        <v>66</v>
      </c>
      <c r="F431" t="s">
        <v>79</v>
      </c>
      <c r="G431" t="s">
        <v>143</v>
      </c>
      <c r="H431" t="s">
        <v>896</v>
      </c>
      <c r="N431" t="s">
        <v>145</v>
      </c>
      <c r="P431" t="s">
        <v>4</v>
      </c>
      <c r="Q431" t="s">
        <v>4</v>
      </c>
      <c r="R431" t="s">
        <v>4</v>
      </c>
      <c r="S431" t="s">
        <v>4</v>
      </c>
      <c r="T431" t="s">
        <v>1610</v>
      </c>
      <c r="U431" t="s">
        <v>1611</v>
      </c>
    </row>
    <row r="432" spans="1:21" x14ac:dyDescent="0.3">
      <c r="A432" s="64">
        <v>46139</v>
      </c>
      <c r="B432" t="s">
        <v>1612</v>
      </c>
      <c r="C432" t="s">
        <v>1613</v>
      </c>
      <c r="E432" t="s">
        <v>19</v>
      </c>
      <c r="F432" t="s">
        <v>109</v>
      </c>
      <c r="G432" t="s">
        <v>68</v>
      </c>
      <c r="H432" t="s">
        <v>1614</v>
      </c>
      <c r="N432" t="s">
        <v>1</v>
      </c>
      <c r="P432" t="s">
        <v>19</v>
      </c>
      <c r="Q432" t="s">
        <v>11</v>
      </c>
      <c r="R432" t="s">
        <v>80</v>
      </c>
      <c r="S432" t="s">
        <v>10</v>
      </c>
      <c r="T432" t="s">
        <v>1615</v>
      </c>
      <c r="U432" t="s">
        <v>1616</v>
      </c>
    </row>
    <row r="433" spans="1:21" x14ac:dyDescent="0.3">
      <c r="A433" s="64">
        <v>46139</v>
      </c>
      <c r="B433" t="s">
        <v>554</v>
      </c>
      <c r="C433" t="s">
        <v>555</v>
      </c>
      <c r="E433" t="s">
        <v>66</v>
      </c>
      <c r="F433" t="s">
        <v>233</v>
      </c>
      <c r="G433" t="s">
        <v>68</v>
      </c>
      <c r="H433" t="s">
        <v>554</v>
      </c>
      <c r="N433" t="s">
        <v>1</v>
      </c>
      <c r="P433" t="s">
        <v>12</v>
      </c>
      <c r="Q433" t="s">
        <v>14</v>
      </c>
      <c r="R433" t="s">
        <v>146</v>
      </c>
      <c r="S433" t="s">
        <v>5</v>
      </c>
      <c r="T433" t="s">
        <v>1617</v>
      </c>
      <c r="U433" t="s">
        <v>1618</v>
      </c>
    </row>
    <row r="434" spans="1:21" x14ac:dyDescent="0.3">
      <c r="A434" s="64">
        <v>46139</v>
      </c>
      <c r="B434" t="s">
        <v>1619</v>
      </c>
      <c r="C434" t="s">
        <v>1620</v>
      </c>
      <c r="E434" t="s">
        <v>19</v>
      </c>
      <c r="F434" t="s">
        <v>109</v>
      </c>
      <c r="G434" t="s">
        <v>110</v>
      </c>
      <c r="H434" t="s">
        <v>111</v>
      </c>
      <c r="N434" t="s">
        <v>1</v>
      </c>
      <c r="P434" t="s">
        <v>19</v>
      </c>
      <c r="Q434" t="s">
        <v>11</v>
      </c>
      <c r="R434" t="s">
        <v>80</v>
      </c>
      <c r="S434" t="s">
        <v>10</v>
      </c>
      <c r="T434" t="s">
        <v>1388</v>
      </c>
      <c r="U434" t="s">
        <v>1257</v>
      </c>
    </row>
    <row r="435" spans="1:21" x14ac:dyDescent="0.3">
      <c r="A435" s="64">
        <v>46139</v>
      </c>
      <c r="B435" t="s">
        <v>1621</v>
      </c>
      <c r="C435" t="s">
        <v>1622</v>
      </c>
      <c r="E435" t="s">
        <v>19</v>
      </c>
      <c r="F435" t="s">
        <v>58</v>
      </c>
      <c r="G435" t="s">
        <v>59</v>
      </c>
      <c r="H435" t="s">
        <v>60</v>
      </c>
      <c r="N435" t="s">
        <v>1</v>
      </c>
      <c r="P435" t="s">
        <v>21</v>
      </c>
      <c r="Q435" t="s">
        <v>11</v>
      </c>
      <c r="R435" t="s">
        <v>61</v>
      </c>
      <c r="S435" t="s">
        <v>10</v>
      </c>
      <c r="T435" t="s">
        <v>1623</v>
      </c>
      <c r="U435" t="s">
        <v>1257</v>
      </c>
    </row>
    <row r="436" spans="1:21" x14ac:dyDescent="0.3">
      <c r="A436" s="64">
        <v>46139</v>
      </c>
      <c r="B436" t="s">
        <v>1624</v>
      </c>
      <c r="C436" t="s">
        <v>1625</v>
      </c>
      <c r="E436" t="s">
        <v>19</v>
      </c>
      <c r="F436" t="s">
        <v>109</v>
      </c>
      <c r="G436" t="s">
        <v>181</v>
      </c>
      <c r="H436" t="s">
        <v>1624</v>
      </c>
      <c r="N436" t="s">
        <v>1</v>
      </c>
      <c r="P436" t="s">
        <v>19</v>
      </c>
      <c r="Q436" t="s">
        <v>11</v>
      </c>
      <c r="R436" t="s">
        <v>80</v>
      </c>
      <c r="S436" t="s">
        <v>10</v>
      </c>
      <c r="T436" t="s">
        <v>1626</v>
      </c>
      <c r="U436" t="s">
        <v>1627</v>
      </c>
    </row>
    <row r="437" spans="1:21" x14ac:dyDescent="0.3">
      <c r="A437" s="64">
        <v>46139</v>
      </c>
      <c r="B437" t="s">
        <v>450</v>
      </c>
      <c r="C437" t="s">
        <v>451</v>
      </c>
      <c r="E437" t="s">
        <v>19</v>
      </c>
      <c r="F437" t="s">
        <v>109</v>
      </c>
      <c r="G437" t="s">
        <v>110</v>
      </c>
      <c r="H437" t="s">
        <v>450</v>
      </c>
      <c r="N437" t="s">
        <v>1</v>
      </c>
      <c r="P437" t="s">
        <v>12</v>
      </c>
      <c r="Q437" t="s">
        <v>14</v>
      </c>
      <c r="R437" t="s">
        <v>146</v>
      </c>
      <c r="S437" t="s">
        <v>5</v>
      </c>
      <c r="T437" t="s">
        <v>1628</v>
      </c>
      <c r="U437" t="s">
        <v>1629</v>
      </c>
    </row>
    <row r="438" spans="1:21" x14ac:dyDescent="0.3">
      <c r="A438" s="64">
        <v>46139</v>
      </c>
      <c r="B438" t="s">
        <v>1630</v>
      </c>
      <c r="C438" t="s">
        <v>1631</v>
      </c>
      <c r="E438" t="s">
        <v>19</v>
      </c>
      <c r="F438" t="s">
        <v>85</v>
      </c>
      <c r="G438" t="s">
        <v>68</v>
      </c>
      <c r="H438" t="s">
        <v>69</v>
      </c>
      <c r="N438" t="s">
        <v>1</v>
      </c>
      <c r="P438" t="s">
        <v>19</v>
      </c>
      <c r="Q438" t="s">
        <v>11</v>
      </c>
      <c r="R438" t="s">
        <v>80</v>
      </c>
      <c r="S438" t="s">
        <v>10</v>
      </c>
      <c r="T438" t="s">
        <v>1388</v>
      </c>
      <c r="U438" t="s">
        <v>1257</v>
      </c>
    </row>
    <row r="439" spans="1:21" x14ac:dyDescent="0.3">
      <c r="A439" s="64">
        <v>46139</v>
      </c>
      <c r="B439" t="s">
        <v>1632</v>
      </c>
      <c r="C439" t="s">
        <v>1633</v>
      </c>
      <c r="E439" t="s">
        <v>19</v>
      </c>
      <c r="F439" t="s">
        <v>109</v>
      </c>
      <c r="G439" t="s">
        <v>68</v>
      </c>
      <c r="H439" t="s">
        <v>69</v>
      </c>
      <c r="N439" t="s">
        <v>1</v>
      </c>
      <c r="P439" t="s">
        <v>19</v>
      </c>
      <c r="Q439" t="s">
        <v>11</v>
      </c>
      <c r="R439" t="s">
        <v>80</v>
      </c>
      <c r="S439" t="s">
        <v>10</v>
      </c>
      <c r="T439" t="s">
        <v>1388</v>
      </c>
      <c r="U439" t="s">
        <v>1257</v>
      </c>
    </row>
    <row r="440" spans="1:21" x14ac:dyDescent="0.3">
      <c r="A440" s="64">
        <v>46139</v>
      </c>
      <c r="B440" t="s">
        <v>1634</v>
      </c>
      <c r="C440" t="s">
        <v>1635</v>
      </c>
      <c r="E440" t="s">
        <v>19</v>
      </c>
      <c r="F440" t="s">
        <v>109</v>
      </c>
      <c r="G440" t="s">
        <v>59</v>
      </c>
      <c r="H440" t="s">
        <v>60</v>
      </c>
      <c r="N440" t="s">
        <v>1</v>
      </c>
      <c r="P440" t="s">
        <v>19</v>
      </c>
      <c r="Q440" t="s">
        <v>11</v>
      </c>
      <c r="R440" t="s">
        <v>80</v>
      </c>
      <c r="S440" t="s">
        <v>10</v>
      </c>
      <c r="T440" t="s">
        <v>1636</v>
      </c>
      <c r="U440" t="s">
        <v>1257</v>
      </c>
    </row>
    <row r="441" spans="1:21" x14ac:dyDescent="0.3">
      <c r="A441" s="64">
        <v>46139</v>
      </c>
      <c r="B441" t="s">
        <v>1637</v>
      </c>
      <c r="C441" t="s">
        <v>1638</v>
      </c>
      <c r="E441" t="s">
        <v>19</v>
      </c>
      <c r="F441" t="s">
        <v>109</v>
      </c>
      <c r="G441" t="s">
        <v>181</v>
      </c>
      <c r="H441" t="s">
        <v>1639</v>
      </c>
      <c r="N441" t="s">
        <v>1</v>
      </c>
      <c r="P441" t="s">
        <v>19</v>
      </c>
      <c r="Q441" t="s">
        <v>11</v>
      </c>
      <c r="R441" t="s">
        <v>80</v>
      </c>
      <c r="S441" t="s">
        <v>10</v>
      </c>
      <c r="T441" t="s">
        <v>1640</v>
      </c>
      <c r="U441" t="s">
        <v>1641</v>
      </c>
    </row>
    <row r="442" spans="1:21" x14ac:dyDescent="0.3">
      <c r="A442" s="64">
        <v>46139</v>
      </c>
      <c r="B442" t="s">
        <v>763</v>
      </c>
      <c r="C442" t="s">
        <v>764</v>
      </c>
      <c r="E442" t="s">
        <v>19</v>
      </c>
      <c r="F442" t="s">
        <v>109</v>
      </c>
      <c r="G442" t="s">
        <v>143</v>
      </c>
      <c r="H442" t="s">
        <v>290</v>
      </c>
      <c r="N442" t="s">
        <v>1</v>
      </c>
      <c r="P442" t="s">
        <v>19</v>
      </c>
      <c r="Q442" t="s">
        <v>11</v>
      </c>
      <c r="R442" t="s">
        <v>80</v>
      </c>
      <c r="S442" t="s">
        <v>10</v>
      </c>
      <c r="T442" t="s">
        <v>1642</v>
      </c>
      <c r="U442" t="s">
        <v>1643</v>
      </c>
    </row>
    <row r="443" spans="1:21" x14ac:dyDescent="0.3">
      <c r="A443" s="64">
        <v>46139</v>
      </c>
      <c r="B443" t="s">
        <v>1644</v>
      </c>
      <c r="C443" t="s">
        <v>1645</v>
      </c>
      <c r="E443" t="s">
        <v>19</v>
      </c>
      <c r="F443" t="s">
        <v>109</v>
      </c>
      <c r="G443" t="s">
        <v>143</v>
      </c>
      <c r="H443" t="s">
        <v>290</v>
      </c>
      <c r="N443" t="s">
        <v>1</v>
      </c>
      <c r="P443" t="s">
        <v>19</v>
      </c>
      <c r="Q443" t="s">
        <v>11</v>
      </c>
      <c r="R443" t="s">
        <v>80</v>
      </c>
      <c r="S443" t="s">
        <v>10</v>
      </c>
      <c r="T443" t="s">
        <v>1388</v>
      </c>
      <c r="U443" t="s">
        <v>1257</v>
      </c>
    </row>
    <row r="444" spans="1:21" x14ac:dyDescent="0.3">
      <c r="A444" s="64">
        <v>46139</v>
      </c>
      <c r="B444" t="s">
        <v>1646</v>
      </c>
      <c r="C444" t="s">
        <v>1647</v>
      </c>
      <c r="E444" t="s">
        <v>19</v>
      </c>
      <c r="F444" t="s">
        <v>109</v>
      </c>
      <c r="G444" t="s">
        <v>122</v>
      </c>
      <c r="H444" t="s">
        <v>1648</v>
      </c>
      <c r="N444" t="s">
        <v>145</v>
      </c>
      <c r="P444" t="s">
        <v>19</v>
      </c>
      <c r="Q444" t="s">
        <v>11</v>
      </c>
      <c r="R444" t="s">
        <v>80</v>
      </c>
      <c r="S444" t="s">
        <v>10</v>
      </c>
      <c r="T444" t="s">
        <v>1649</v>
      </c>
      <c r="U444" t="s">
        <v>1650</v>
      </c>
    </row>
    <row r="445" spans="1:21" x14ac:dyDescent="0.3">
      <c r="A445" s="64">
        <v>46139</v>
      </c>
      <c r="B445" t="s">
        <v>1651</v>
      </c>
      <c r="C445" t="s">
        <v>1652</v>
      </c>
      <c r="E445" t="s">
        <v>19</v>
      </c>
      <c r="F445" t="s">
        <v>820</v>
      </c>
      <c r="G445" t="s">
        <v>122</v>
      </c>
      <c r="H445" t="s">
        <v>1651</v>
      </c>
      <c r="N445" t="s">
        <v>145</v>
      </c>
      <c r="P445" t="s">
        <v>19</v>
      </c>
      <c r="Q445" t="s">
        <v>11</v>
      </c>
      <c r="R445" t="s">
        <v>80</v>
      </c>
      <c r="S445" t="s">
        <v>10</v>
      </c>
      <c r="T445" t="s">
        <v>1653</v>
      </c>
      <c r="U445" t="s">
        <v>1654</v>
      </c>
    </row>
    <row r="446" spans="1:21" x14ac:dyDescent="0.3">
      <c r="A446" s="64">
        <v>46139</v>
      </c>
      <c r="B446" t="s">
        <v>1655</v>
      </c>
      <c r="C446" t="s">
        <v>1656</v>
      </c>
      <c r="E446" t="s">
        <v>19</v>
      </c>
      <c r="F446" t="s">
        <v>109</v>
      </c>
      <c r="G446" t="s">
        <v>143</v>
      </c>
      <c r="H446" t="s">
        <v>290</v>
      </c>
      <c r="N446" t="s">
        <v>1</v>
      </c>
      <c r="P446" t="s">
        <v>19</v>
      </c>
      <c r="Q446" t="s">
        <v>11</v>
      </c>
      <c r="R446" t="s">
        <v>80</v>
      </c>
      <c r="S446" t="s">
        <v>10</v>
      </c>
      <c r="T446" t="s">
        <v>1388</v>
      </c>
      <c r="U446" t="s">
        <v>1257</v>
      </c>
    </row>
    <row r="447" spans="1:21" x14ac:dyDescent="0.3">
      <c r="A447" s="64">
        <v>46139</v>
      </c>
      <c r="B447" t="s">
        <v>1657</v>
      </c>
      <c r="C447" t="s">
        <v>1658</v>
      </c>
      <c r="E447" t="s">
        <v>19</v>
      </c>
      <c r="F447" t="s">
        <v>109</v>
      </c>
      <c r="G447" t="s">
        <v>68</v>
      </c>
      <c r="H447" t="s">
        <v>69</v>
      </c>
      <c r="N447" t="s">
        <v>1</v>
      </c>
      <c r="P447" t="s">
        <v>19</v>
      </c>
      <c r="Q447" t="s">
        <v>11</v>
      </c>
      <c r="R447" t="s">
        <v>80</v>
      </c>
      <c r="S447" t="s">
        <v>10</v>
      </c>
      <c r="T447" t="s">
        <v>1388</v>
      </c>
      <c r="U447" t="s">
        <v>1257</v>
      </c>
    </row>
    <row r="448" spans="1:21" x14ac:dyDescent="0.3">
      <c r="A448" s="64">
        <v>46139</v>
      </c>
      <c r="B448" t="s">
        <v>828</v>
      </c>
      <c r="C448" t="s">
        <v>829</v>
      </c>
      <c r="E448" t="s">
        <v>19</v>
      </c>
      <c r="F448" t="s">
        <v>830</v>
      </c>
      <c r="G448" t="s">
        <v>122</v>
      </c>
      <c r="H448" t="s">
        <v>828</v>
      </c>
      <c r="N448" t="s">
        <v>145</v>
      </c>
      <c r="P448" t="s">
        <v>12</v>
      </c>
      <c r="Q448" t="s">
        <v>14</v>
      </c>
      <c r="R448" t="s">
        <v>146</v>
      </c>
      <c r="S448" t="s">
        <v>5</v>
      </c>
      <c r="T448" t="s">
        <v>1659</v>
      </c>
      <c r="U448" t="s">
        <v>1660</v>
      </c>
    </row>
    <row r="449" spans="1:21" x14ac:dyDescent="0.3">
      <c r="A449" s="64">
        <v>46139</v>
      </c>
      <c r="B449" t="s">
        <v>1661</v>
      </c>
      <c r="C449" t="s">
        <v>1662</v>
      </c>
      <c r="E449" t="s">
        <v>19</v>
      </c>
      <c r="F449" t="s">
        <v>109</v>
      </c>
      <c r="G449" t="s">
        <v>200</v>
      </c>
      <c r="H449" t="s">
        <v>631</v>
      </c>
      <c r="N449" t="s">
        <v>1</v>
      </c>
      <c r="P449" t="s">
        <v>19</v>
      </c>
      <c r="Q449" t="s">
        <v>11</v>
      </c>
      <c r="R449" t="s">
        <v>80</v>
      </c>
      <c r="S449" t="s">
        <v>10</v>
      </c>
      <c r="T449" t="s">
        <v>1663</v>
      </c>
      <c r="U449" t="s">
        <v>1664</v>
      </c>
    </row>
    <row r="450" spans="1:21" x14ac:dyDescent="0.3">
      <c r="A450" s="64">
        <v>46139</v>
      </c>
      <c r="B450" t="s">
        <v>1665</v>
      </c>
      <c r="C450" t="s">
        <v>1666</v>
      </c>
      <c r="E450" t="s">
        <v>19</v>
      </c>
      <c r="F450" t="s">
        <v>109</v>
      </c>
      <c r="G450" t="s">
        <v>200</v>
      </c>
      <c r="H450" t="s">
        <v>631</v>
      </c>
      <c r="N450" t="s">
        <v>1</v>
      </c>
      <c r="P450" t="s">
        <v>19</v>
      </c>
      <c r="Q450" t="s">
        <v>11</v>
      </c>
      <c r="R450" t="s">
        <v>80</v>
      </c>
      <c r="S450" t="s">
        <v>10</v>
      </c>
      <c r="T450" t="s">
        <v>1388</v>
      </c>
      <c r="U450" t="s">
        <v>1257</v>
      </c>
    </row>
    <row r="451" spans="1:21" x14ac:dyDescent="0.3">
      <c r="A451" s="64">
        <v>46139</v>
      </c>
      <c r="B451" t="s">
        <v>1667</v>
      </c>
      <c r="C451" t="s">
        <v>1668</v>
      </c>
      <c r="E451" t="s">
        <v>19</v>
      </c>
      <c r="F451" t="s">
        <v>261</v>
      </c>
      <c r="G451" t="s">
        <v>110</v>
      </c>
      <c r="H451" t="s">
        <v>1667</v>
      </c>
      <c r="N451" t="s">
        <v>1</v>
      </c>
      <c r="P451" t="s">
        <v>19</v>
      </c>
      <c r="Q451" t="s">
        <v>11</v>
      </c>
      <c r="R451" t="s">
        <v>80</v>
      </c>
      <c r="S451" t="s">
        <v>10</v>
      </c>
      <c r="T451" t="s">
        <v>1669</v>
      </c>
      <c r="U451" t="s">
        <v>1257</v>
      </c>
    </row>
    <row r="452" spans="1:21" x14ac:dyDescent="0.3">
      <c r="A452" s="64">
        <v>46139</v>
      </c>
      <c r="B452" t="s">
        <v>1670</v>
      </c>
      <c r="C452" t="s">
        <v>1671</v>
      </c>
      <c r="E452" t="s">
        <v>136</v>
      </c>
      <c r="F452" t="s">
        <v>103</v>
      </c>
      <c r="G452" t="s">
        <v>59</v>
      </c>
      <c r="H452" t="s">
        <v>60</v>
      </c>
      <c r="N452" t="s">
        <v>1</v>
      </c>
      <c r="P452" t="s">
        <v>9</v>
      </c>
      <c r="Q452" t="s">
        <v>11</v>
      </c>
      <c r="R452" t="s">
        <v>104</v>
      </c>
      <c r="S452" t="s">
        <v>10</v>
      </c>
      <c r="T452" t="s">
        <v>1672</v>
      </c>
      <c r="U452" t="s">
        <v>1673</v>
      </c>
    </row>
    <row r="453" spans="1:21" x14ac:dyDescent="0.3">
      <c r="A453" s="64">
        <v>46139</v>
      </c>
      <c r="B453" t="s">
        <v>1674</v>
      </c>
      <c r="C453" t="s">
        <v>1675</v>
      </c>
      <c r="E453" t="s">
        <v>19</v>
      </c>
      <c r="F453" t="s">
        <v>109</v>
      </c>
      <c r="G453" t="s">
        <v>110</v>
      </c>
      <c r="H453" t="s">
        <v>111</v>
      </c>
      <c r="N453" t="s">
        <v>1</v>
      </c>
      <c r="P453" t="s">
        <v>19</v>
      </c>
      <c r="Q453" t="s">
        <v>11</v>
      </c>
      <c r="R453" t="s">
        <v>80</v>
      </c>
      <c r="S453" t="s">
        <v>10</v>
      </c>
      <c r="T453" t="s">
        <v>1388</v>
      </c>
      <c r="U453" t="s">
        <v>1257</v>
      </c>
    </row>
    <row r="454" spans="1:21" x14ac:dyDescent="0.3">
      <c r="A454" s="64">
        <v>46139</v>
      </c>
      <c r="B454" t="s">
        <v>1676</v>
      </c>
      <c r="C454" t="s">
        <v>1677</v>
      </c>
      <c r="E454" t="s">
        <v>19</v>
      </c>
      <c r="F454" t="s">
        <v>109</v>
      </c>
      <c r="G454" t="s">
        <v>116</v>
      </c>
      <c r="H454" t="s">
        <v>285</v>
      </c>
      <c r="N454" t="s">
        <v>1</v>
      </c>
      <c r="P454" t="s">
        <v>19</v>
      </c>
      <c r="Q454" t="s">
        <v>11</v>
      </c>
      <c r="R454" t="s">
        <v>80</v>
      </c>
      <c r="S454" t="s">
        <v>10</v>
      </c>
      <c r="T454" t="s">
        <v>1678</v>
      </c>
      <c r="U454" t="s">
        <v>1679</v>
      </c>
    </row>
    <row r="455" spans="1:21" x14ac:dyDescent="0.3">
      <c r="A455" s="64">
        <v>46139</v>
      </c>
      <c r="B455" t="s">
        <v>1680</v>
      </c>
      <c r="C455" t="s">
        <v>1681</v>
      </c>
      <c r="E455" t="s">
        <v>19</v>
      </c>
      <c r="F455" t="s">
        <v>109</v>
      </c>
      <c r="G455" t="s">
        <v>110</v>
      </c>
      <c r="H455" t="s">
        <v>111</v>
      </c>
      <c r="N455" t="s">
        <v>1</v>
      </c>
      <c r="P455" t="s">
        <v>19</v>
      </c>
      <c r="Q455" t="s">
        <v>11</v>
      </c>
      <c r="R455" t="s">
        <v>80</v>
      </c>
      <c r="S455" t="s">
        <v>10</v>
      </c>
      <c r="T455" t="s">
        <v>1388</v>
      </c>
      <c r="U455" t="s">
        <v>1257</v>
      </c>
    </row>
    <row r="456" spans="1:21" x14ac:dyDescent="0.3">
      <c r="A456" s="64">
        <v>46139</v>
      </c>
      <c r="B456" t="s">
        <v>1682</v>
      </c>
      <c r="C456" t="s">
        <v>1683</v>
      </c>
      <c r="E456" t="s">
        <v>19</v>
      </c>
      <c r="F456" t="s">
        <v>221</v>
      </c>
      <c r="G456" t="s">
        <v>98</v>
      </c>
      <c r="H456" t="s">
        <v>1684</v>
      </c>
      <c r="N456" t="s">
        <v>1</v>
      </c>
      <c r="P456" t="s">
        <v>19</v>
      </c>
      <c r="Q456" t="s">
        <v>11</v>
      </c>
      <c r="R456" t="s">
        <v>80</v>
      </c>
      <c r="S456" t="s">
        <v>10</v>
      </c>
      <c r="T456" t="s">
        <v>1685</v>
      </c>
      <c r="U456" t="s">
        <v>1257</v>
      </c>
    </row>
    <row r="457" spans="1:21" x14ac:dyDescent="0.3">
      <c r="A457" s="64">
        <v>46139</v>
      </c>
      <c r="B457" t="s">
        <v>1686</v>
      </c>
      <c r="C457" t="s">
        <v>1687</v>
      </c>
      <c r="E457" t="s">
        <v>19</v>
      </c>
      <c r="F457" t="s">
        <v>109</v>
      </c>
      <c r="G457" t="s">
        <v>143</v>
      </c>
      <c r="H457" t="s">
        <v>290</v>
      </c>
      <c r="N457" t="s">
        <v>1</v>
      </c>
      <c r="P457" t="s">
        <v>19</v>
      </c>
      <c r="Q457" t="s">
        <v>11</v>
      </c>
      <c r="R457" t="s">
        <v>80</v>
      </c>
      <c r="S457" t="s">
        <v>10</v>
      </c>
      <c r="T457" t="s">
        <v>1388</v>
      </c>
      <c r="U457" t="s">
        <v>1257</v>
      </c>
    </row>
    <row r="458" spans="1:21" x14ac:dyDescent="0.3">
      <c r="A458" s="64">
        <v>46139</v>
      </c>
      <c r="B458" t="s">
        <v>1688</v>
      </c>
      <c r="C458" t="s">
        <v>1689</v>
      </c>
      <c r="E458" t="s">
        <v>19</v>
      </c>
      <c r="F458" t="s">
        <v>109</v>
      </c>
      <c r="G458" t="s">
        <v>59</v>
      </c>
      <c r="H458" t="s">
        <v>60</v>
      </c>
      <c r="N458" t="s">
        <v>1</v>
      </c>
      <c r="P458" t="s">
        <v>19</v>
      </c>
      <c r="Q458" t="s">
        <v>11</v>
      </c>
      <c r="R458" t="s">
        <v>80</v>
      </c>
      <c r="S458" t="s">
        <v>10</v>
      </c>
      <c r="T458" t="s">
        <v>1388</v>
      </c>
      <c r="U458" t="s">
        <v>1257</v>
      </c>
    </row>
    <row r="459" spans="1:21" x14ac:dyDescent="0.3">
      <c r="A459" s="64">
        <v>46139</v>
      </c>
      <c r="B459" t="s">
        <v>1690</v>
      </c>
      <c r="C459" t="s">
        <v>1691</v>
      </c>
      <c r="E459" t="s">
        <v>19</v>
      </c>
      <c r="F459" t="s">
        <v>109</v>
      </c>
      <c r="G459" t="s">
        <v>181</v>
      </c>
      <c r="H459" t="s">
        <v>1690</v>
      </c>
      <c r="N459" t="s">
        <v>1</v>
      </c>
      <c r="P459" t="s">
        <v>19</v>
      </c>
      <c r="Q459" t="s">
        <v>11</v>
      </c>
      <c r="R459" t="s">
        <v>80</v>
      </c>
      <c r="S459" t="s">
        <v>10</v>
      </c>
      <c r="T459" t="s">
        <v>1388</v>
      </c>
      <c r="U459" t="s">
        <v>1257</v>
      </c>
    </row>
    <row r="460" spans="1:21" x14ac:dyDescent="0.3">
      <c r="A460" s="64">
        <v>46139</v>
      </c>
      <c r="B460" t="s">
        <v>1692</v>
      </c>
      <c r="C460" t="s">
        <v>1693</v>
      </c>
      <c r="E460" t="s">
        <v>19</v>
      </c>
      <c r="F460" t="s">
        <v>261</v>
      </c>
      <c r="G460" t="s">
        <v>98</v>
      </c>
      <c r="H460" t="s">
        <v>1694</v>
      </c>
      <c r="N460" t="s">
        <v>1</v>
      </c>
      <c r="P460" t="s">
        <v>19</v>
      </c>
      <c r="Q460" t="s">
        <v>11</v>
      </c>
      <c r="R460" t="s">
        <v>80</v>
      </c>
      <c r="S460" t="s">
        <v>10</v>
      </c>
      <c r="T460" t="s">
        <v>1695</v>
      </c>
      <c r="U460" t="s">
        <v>1257</v>
      </c>
    </row>
    <row r="461" spans="1:21" x14ac:dyDescent="0.3">
      <c r="A461" s="64">
        <v>46139</v>
      </c>
      <c r="B461" t="s">
        <v>1696</v>
      </c>
      <c r="C461" t="s">
        <v>1697</v>
      </c>
      <c r="E461" t="s">
        <v>19</v>
      </c>
      <c r="F461" t="s">
        <v>109</v>
      </c>
      <c r="G461" t="s">
        <v>143</v>
      </c>
      <c r="H461" t="s">
        <v>290</v>
      </c>
      <c r="N461" t="s">
        <v>1</v>
      </c>
      <c r="P461" t="s">
        <v>12</v>
      </c>
      <c r="Q461" t="s">
        <v>14</v>
      </c>
      <c r="R461" t="s">
        <v>146</v>
      </c>
      <c r="S461" t="s">
        <v>5</v>
      </c>
      <c r="T461" t="s">
        <v>1628</v>
      </c>
      <c r="U461" t="s">
        <v>1629</v>
      </c>
    </row>
    <row r="462" spans="1:21" x14ac:dyDescent="0.3">
      <c r="A462" s="64">
        <v>46139</v>
      </c>
      <c r="B462" t="s">
        <v>1698</v>
      </c>
      <c r="C462" t="s">
        <v>1699</v>
      </c>
      <c r="E462" t="s">
        <v>19</v>
      </c>
      <c r="F462" t="s">
        <v>820</v>
      </c>
      <c r="G462" t="s">
        <v>200</v>
      </c>
      <c r="H462" t="s">
        <v>1698</v>
      </c>
      <c r="N462" t="s">
        <v>1</v>
      </c>
      <c r="P462" t="s">
        <v>19</v>
      </c>
      <c r="Q462" t="s">
        <v>11</v>
      </c>
      <c r="R462" t="s">
        <v>80</v>
      </c>
      <c r="S462" t="s">
        <v>10</v>
      </c>
      <c r="T462" t="s">
        <v>1388</v>
      </c>
      <c r="U462" t="s">
        <v>1257</v>
      </c>
    </row>
    <row r="463" spans="1:21" x14ac:dyDescent="0.3">
      <c r="A463" s="64">
        <v>46139</v>
      </c>
      <c r="B463" t="s">
        <v>1700</v>
      </c>
      <c r="C463" t="s">
        <v>1701</v>
      </c>
      <c r="E463" t="s">
        <v>19</v>
      </c>
      <c r="F463" t="s">
        <v>109</v>
      </c>
      <c r="G463" t="s">
        <v>122</v>
      </c>
      <c r="H463" t="s">
        <v>1702</v>
      </c>
      <c r="N463" t="s">
        <v>145</v>
      </c>
      <c r="P463" t="s">
        <v>4</v>
      </c>
      <c r="Q463" t="s">
        <v>4</v>
      </c>
      <c r="R463" t="s">
        <v>4</v>
      </c>
      <c r="S463" t="s">
        <v>4</v>
      </c>
      <c r="T463" t="s">
        <v>1703</v>
      </c>
      <c r="U463" t="s">
        <v>1704</v>
      </c>
    </row>
    <row r="464" spans="1:21" x14ac:dyDescent="0.3">
      <c r="A464" s="64">
        <v>46139</v>
      </c>
      <c r="B464" t="s">
        <v>1705</v>
      </c>
      <c r="C464" t="s">
        <v>1706</v>
      </c>
      <c r="E464" t="s">
        <v>19</v>
      </c>
      <c r="F464" t="s">
        <v>109</v>
      </c>
      <c r="G464" t="s">
        <v>200</v>
      </c>
      <c r="H464" t="s">
        <v>1707</v>
      </c>
      <c r="N464" t="s">
        <v>1</v>
      </c>
      <c r="P464" t="s">
        <v>19</v>
      </c>
      <c r="Q464" t="s">
        <v>11</v>
      </c>
      <c r="R464" t="s">
        <v>80</v>
      </c>
      <c r="S464" t="s">
        <v>10</v>
      </c>
      <c r="T464" t="s">
        <v>1388</v>
      </c>
      <c r="U464" t="s">
        <v>1257</v>
      </c>
    </row>
    <row r="465" spans="1:21" x14ac:dyDescent="0.3">
      <c r="A465" s="64">
        <v>46139</v>
      </c>
      <c r="B465" t="s">
        <v>1708</v>
      </c>
      <c r="C465" t="s">
        <v>1709</v>
      </c>
      <c r="E465" t="s">
        <v>19</v>
      </c>
      <c r="F465" t="s">
        <v>109</v>
      </c>
      <c r="G465" t="s">
        <v>143</v>
      </c>
      <c r="H465" t="s">
        <v>290</v>
      </c>
      <c r="N465" t="s">
        <v>1</v>
      </c>
      <c r="P465" t="s">
        <v>19</v>
      </c>
      <c r="Q465" t="s">
        <v>11</v>
      </c>
      <c r="R465" t="s">
        <v>80</v>
      </c>
      <c r="S465" t="s">
        <v>10</v>
      </c>
      <c r="T465" t="s">
        <v>1388</v>
      </c>
      <c r="U465" t="s">
        <v>1257</v>
      </c>
    </row>
    <row r="466" spans="1:21" x14ac:dyDescent="0.3">
      <c r="A466" s="64">
        <v>46139</v>
      </c>
      <c r="B466" t="s">
        <v>1710</v>
      </c>
      <c r="C466" t="s">
        <v>1711</v>
      </c>
      <c r="E466" t="s">
        <v>19</v>
      </c>
      <c r="F466" t="s">
        <v>109</v>
      </c>
      <c r="G466" t="s">
        <v>59</v>
      </c>
      <c r="H466" t="s">
        <v>60</v>
      </c>
      <c r="N466" t="s">
        <v>1</v>
      </c>
      <c r="P466" t="s">
        <v>19</v>
      </c>
      <c r="Q466" t="s">
        <v>11</v>
      </c>
      <c r="R466" t="s">
        <v>80</v>
      </c>
      <c r="S466" t="s">
        <v>10</v>
      </c>
      <c r="T466" t="s">
        <v>1388</v>
      </c>
      <c r="U466" t="s">
        <v>1257</v>
      </c>
    </row>
    <row r="467" spans="1:21" x14ac:dyDescent="0.3">
      <c r="A467" s="64">
        <v>46139</v>
      </c>
      <c r="B467" t="s">
        <v>910</v>
      </c>
      <c r="C467" t="s">
        <v>911</v>
      </c>
      <c r="E467" t="s">
        <v>19</v>
      </c>
      <c r="F467" t="s">
        <v>109</v>
      </c>
      <c r="G467" t="s">
        <v>200</v>
      </c>
      <c r="H467" t="s">
        <v>912</v>
      </c>
      <c r="N467" t="s">
        <v>1</v>
      </c>
      <c r="P467" t="s">
        <v>19</v>
      </c>
      <c r="Q467" t="s">
        <v>11</v>
      </c>
      <c r="R467" t="s">
        <v>80</v>
      </c>
      <c r="S467" t="s">
        <v>10</v>
      </c>
      <c r="T467" t="s">
        <v>1712</v>
      </c>
      <c r="U467" t="s">
        <v>1713</v>
      </c>
    </row>
    <row r="468" spans="1:21" x14ac:dyDescent="0.3">
      <c r="A468" s="64">
        <v>46139</v>
      </c>
      <c r="B468" t="s">
        <v>1714</v>
      </c>
      <c r="C468" t="s">
        <v>1715</v>
      </c>
      <c r="E468" t="s">
        <v>19</v>
      </c>
      <c r="F468" t="s">
        <v>109</v>
      </c>
      <c r="G468" t="s">
        <v>200</v>
      </c>
      <c r="H468" t="s">
        <v>631</v>
      </c>
      <c r="N468" t="s">
        <v>1</v>
      </c>
      <c r="P468" t="s">
        <v>19</v>
      </c>
      <c r="Q468" t="s">
        <v>11</v>
      </c>
      <c r="R468" t="s">
        <v>80</v>
      </c>
      <c r="S468" t="s">
        <v>10</v>
      </c>
      <c r="T468" t="s">
        <v>1388</v>
      </c>
      <c r="U468" t="s">
        <v>1257</v>
      </c>
    </row>
    <row r="469" spans="1:21" x14ac:dyDescent="0.3">
      <c r="A469" s="64">
        <v>46139</v>
      </c>
      <c r="B469" t="s">
        <v>1716</v>
      </c>
      <c r="C469" t="s">
        <v>1717</v>
      </c>
      <c r="E469" t="s">
        <v>19</v>
      </c>
      <c r="F469" t="s">
        <v>221</v>
      </c>
      <c r="G469" t="s">
        <v>200</v>
      </c>
      <c r="H469" t="s">
        <v>1718</v>
      </c>
      <c r="N469" t="s">
        <v>1</v>
      </c>
      <c r="P469" t="s">
        <v>19</v>
      </c>
      <c r="Q469" t="s">
        <v>11</v>
      </c>
      <c r="R469" t="s">
        <v>80</v>
      </c>
      <c r="S469" t="s">
        <v>10</v>
      </c>
      <c r="T469" t="s">
        <v>1719</v>
      </c>
      <c r="U469" t="s">
        <v>1257</v>
      </c>
    </row>
    <row r="470" spans="1:21" x14ac:dyDescent="0.3">
      <c r="A470" s="64">
        <v>46139</v>
      </c>
      <c r="B470" t="s">
        <v>1720</v>
      </c>
      <c r="C470" t="s">
        <v>1721</v>
      </c>
      <c r="E470" t="s">
        <v>19</v>
      </c>
      <c r="F470" t="s">
        <v>261</v>
      </c>
      <c r="G470" t="s">
        <v>110</v>
      </c>
      <c r="H470" t="s">
        <v>1720</v>
      </c>
      <c r="N470" t="s">
        <v>1</v>
      </c>
      <c r="P470" t="s">
        <v>12</v>
      </c>
      <c r="Q470" t="s">
        <v>14</v>
      </c>
      <c r="R470" t="s">
        <v>146</v>
      </c>
      <c r="S470" t="s">
        <v>5</v>
      </c>
      <c r="T470" t="s">
        <v>1628</v>
      </c>
      <c r="U470" t="s">
        <v>1629</v>
      </c>
    </row>
    <row r="471" spans="1:21" x14ac:dyDescent="0.3">
      <c r="A471" s="64">
        <v>46139</v>
      </c>
      <c r="B471" t="s">
        <v>1722</v>
      </c>
      <c r="C471" t="s">
        <v>1723</v>
      </c>
      <c r="E471" t="s">
        <v>19</v>
      </c>
      <c r="F471" t="s">
        <v>109</v>
      </c>
      <c r="G471" t="s">
        <v>143</v>
      </c>
      <c r="H471" t="s">
        <v>290</v>
      </c>
      <c r="N471" t="s">
        <v>1</v>
      </c>
      <c r="P471" t="s">
        <v>19</v>
      </c>
      <c r="Q471" t="s">
        <v>11</v>
      </c>
      <c r="R471" t="s">
        <v>80</v>
      </c>
      <c r="S471" t="s">
        <v>10</v>
      </c>
      <c r="T471" t="s">
        <v>1388</v>
      </c>
      <c r="U471" t="s">
        <v>1257</v>
      </c>
    </row>
    <row r="472" spans="1:21" x14ac:dyDescent="0.3">
      <c r="A472" s="64">
        <v>46139</v>
      </c>
      <c r="B472" t="s">
        <v>810</v>
      </c>
      <c r="C472" t="s">
        <v>811</v>
      </c>
      <c r="E472" t="s">
        <v>19</v>
      </c>
      <c r="F472" t="s">
        <v>109</v>
      </c>
      <c r="G472" t="s">
        <v>181</v>
      </c>
      <c r="H472" t="s">
        <v>810</v>
      </c>
      <c r="N472" t="s">
        <v>1</v>
      </c>
      <c r="P472" t="s">
        <v>15</v>
      </c>
      <c r="Q472" t="s">
        <v>15</v>
      </c>
      <c r="R472" t="s">
        <v>524</v>
      </c>
      <c r="S472" t="s">
        <v>15</v>
      </c>
      <c r="T472" t="s">
        <v>1724</v>
      </c>
      <c r="U472" t="s">
        <v>1725</v>
      </c>
    </row>
    <row r="473" spans="1:21" x14ac:dyDescent="0.3">
      <c r="A473" s="64">
        <v>46139</v>
      </c>
      <c r="B473" t="s">
        <v>1726</v>
      </c>
      <c r="C473" t="s">
        <v>1727</v>
      </c>
      <c r="E473" t="s">
        <v>66</v>
      </c>
      <c r="F473" t="s">
        <v>193</v>
      </c>
      <c r="G473" t="s">
        <v>143</v>
      </c>
      <c r="H473" t="s">
        <v>1726</v>
      </c>
      <c r="N473" t="s">
        <v>145</v>
      </c>
      <c r="P473" t="s">
        <v>12</v>
      </c>
      <c r="Q473" t="s">
        <v>14</v>
      </c>
      <c r="R473" t="s">
        <v>146</v>
      </c>
      <c r="S473" t="s">
        <v>5</v>
      </c>
      <c r="T473" t="s">
        <v>1728</v>
      </c>
      <c r="U473" t="s">
        <v>1729</v>
      </c>
    </row>
    <row r="474" spans="1:21" x14ac:dyDescent="0.3">
      <c r="A474" s="64">
        <v>46139</v>
      </c>
      <c r="B474" t="s">
        <v>1730</v>
      </c>
      <c r="C474" t="s">
        <v>1731</v>
      </c>
      <c r="E474" t="s">
        <v>19</v>
      </c>
      <c r="F474" t="s">
        <v>820</v>
      </c>
      <c r="G474" t="s">
        <v>181</v>
      </c>
      <c r="H474" t="s">
        <v>1730</v>
      </c>
      <c r="N474" t="s">
        <v>1</v>
      </c>
      <c r="P474" t="s">
        <v>19</v>
      </c>
      <c r="Q474" t="s">
        <v>11</v>
      </c>
      <c r="R474" t="s">
        <v>80</v>
      </c>
      <c r="S474" t="s">
        <v>10</v>
      </c>
      <c r="T474" t="s">
        <v>1388</v>
      </c>
      <c r="U474" t="s">
        <v>1257</v>
      </c>
    </row>
    <row r="475" spans="1:21" x14ac:dyDescent="0.3">
      <c r="A475" s="64">
        <v>46139</v>
      </c>
      <c r="B475" t="s">
        <v>1732</v>
      </c>
      <c r="C475" t="s">
        <v>1733</v>
      </c>
      <c r="E475" t="s">
        <v>19</v>
      </c>
      <c r="F475" t="s">
        <v>109</v>
      </c>
      <c r="G475" t="s">
        <v>59</v>
      </c>
      <c r="H475" t="s">
        <v>1732</v>
      </c>
      <c r="N475" t="s">
        <v>1</v>
      </c>
      <c r="P475" t="s">
        <v>19</v>
      </c>
      <c r="Q475" t="s">
        <v>11</v>
      </c>
      <c r="R475" t="s">
        <v>80</v>
      </c>
      <c r="S475" t="s">
        <v>10</v>
      </c>
      <c r="T475" t="s">
        <v>1388</v>
      </c>
      <c r="U475" t="s">
        <v>1257</v>
      </c>
    </row>
    <row r="476" spans="1:21" x14ac:dyDescent="0.3">
      <c r="A476" s="64">
        <v>46139</v>
      </c>
      <c r="B476" t="s">
        <v>1734</v>
      </c>
      <c r="C476" t="s">
        <v>1735</v>
      </c>
      <c r="E476" t="s">
        <v>19</v>
      </c>
      <c r="F476" t="s">
        <v>261</v>
      </c>
      <c r="G476" t="s">
        <v>200</v>
      </c>
      <c r="H476" t="s">
        <v>1734</v>
      </c>
      <c r="N476" t="s">
        <v>1</v>
      </c>
      <c r="P476" t="s">
        <v>19</v>
      </c>
      <c r="Q476" t="s">
        <v>11</v>
      </c>
      <c r="R476" t="s">
        <v>80</v>
      </c>
      <c r="S476" t="s">
        <v>10</v>
      </c>
      <c r="T476" t="s">
        <v>1388</v>
      </c>
      <c r="U476" t="s">
        <v>1257</v>
      </c>
    </row>
    <row r="477" spans="1:21" x14ac:dyDescent="0.3">
      <c r="A477" s="64">
        <v>46139</v>
      </c>
      <c r="B477" t="s">
        <v>1736</v>
      </c>
      <c r="C477" t="s">
        <v>1737</v>
      </c>
      <c r="E477" t="s">
        <v>19</v>
      </c>
      <c r="F477" t="s">
        <v>109</v>
      </c>
      <c r="G477" t="s">
        <v>59</v>
      </c>
      <c r="H477" t="s">
        <v>60</v>
      </c>
      <c r="N477" t="s">
        <v>1</v>
      </c>
      <c r="P477" t="s">
        <v>19</v>
      </c>
      <c r="Q477" t="s">
        <v>11</v>
      </c>
      <c r="R477" t="s">
        <v>80</v>
      </c>
      <c r="S477" t="s">
        <v>10</v>
      </c>
      <c r="T477" t="s">
        <v>1388</v>
      </c>
      <c r="U477" t="s">
        <v>1257</v>
      </c>
    </row>
    <row r="478" spans="1:21" x14ac:dyDescent="0.3">
      <c r="A478" s="64">
        <v>46139</v>
      </c>
      <c r="B478" t="s">
        <v>1738</v>
      </c>
      <c r="C478" t="s">
        <v>1739</v>
      </c>
      <c r="E478" t="s">
        <v>19</v>
      </c>
      <c r="F478" t="s">
        <v>109</v>
      </c>
      <c r="G478" t="s">
        <v>181</v>
      </c>
      <c r="H478" t="s">
        <v>672</v>
      </c>
      <c r="N478" t="s">
        <v>1</v>
      </c>
      <c r="P478" t="s">
        <v>19</v>
      </c>
      <c r="Q478" t="s">
        <v>11</v>
      </c>
      <c r="R478" t="s">
        <v>80</v>
      </c>
      <c r="S478" t="s">
        <v>10</v>
      </c>
      <c r="T478" t="s">
        <v>1388</v>
      </c>
      <c r="U478" t="s">
        <v>1257</v>
      </c>
    </row>
    <row r="479" spans="1:21" x14ac:dyDescent="0.3">
      <c r="A479" s="64">
        <v>46139</v>
      </c>
      <c r="B479" t="s">
        <v>1740</v>
      </c>
      <c r="C479" t="s">
        <v>1741</v>
      </c>
      <c r="E479" t="s">
        <v>19</v>
      </c>
      <c r="F479" t="s">
        <v>221</v>
      </c>
      <c r="G479" t="s">
        <v>200</v>
      </c>
      <c r="H479" t="s">
        <v>1742</v>
      </c>
      <c r="N479" t="s">
        <v>1</v>
      </c>
      <c r="P479" t="s">
        <v>19</v>
      </c>
      <c r="Q479" t="s">
        <v>11</v>
      </c>
      <c r="R479" t="s">
        <v>80</v>
      </c>
      <c r="S479" t="s">
        <v>10</v>
      </c>
      <c r="T479" t="s">
        <v>1388</v>
      </c>
      <c r="U479" t="s">
        <v>1257</v>
      </c>
    </row>
    <row r="480" spans="1:21" x14ac:dyDescent="0.3">
      <c r="A480" s="64">
        <v>46139</v>
      </c>
      <c r="B480" t="s">
        <v>1743</v>
      </c>
      <c r="C480" t="s">
        <v>1744</v>
      </c>
      <c r="E480" t="s">
        <v>19</v>
      </c>
      <c r="F480" t="s">
        <v>261</v>
      </c>
      <c r="G480" t="s">
        <v>200</v>
      </c>
      <c r="H480" t="s">
        <v>1745</v>
      </c>
      <c r="N480" t="s">
        <v>1</v>
      </c>
      <c r="P480" t="s">
        <v>19</v>
      </c>
      <c r="Q480" t="s">
        <v>11</v>
      </c>
      <c r="R480" t="s">
        <v>80</v>
      </c>
      <c r="S480" t="s">
        <v>10</v>
      </c>
      <c r="T480" t="s">
        <v>1388</v>
      </c>
      <c r="U480" t="s">
        <v>1257</v>
      </c>
    </row>
    <row r="481" spans="1:21" x14ac:dyDescent="0.3">
      <c r="A481" s="64">
        <v>46139</v>
      </c>
      <c r="B481" t="s">
        <v>1746</v>
      </c>
      <c r="C481" t="s">
        <v>1747</v>
      </c>
      <c r="E481" t="s">
        <v>19</v>
      </c>
      <c r="F481" t="s">
        <v>109</v>
      </c>
      <c r="G481" t="s">
        <v>181</v>
      </c>
      <c r="H481" t="s">
        <v>672</v>
      </c>
      <c r="N481" t="s">
        <v>1</v>
      </c>
      <c r="P481" t="s">
        <v>12</v>
      </c>
      <c r="Q481" t="s">
        <v>14</v>
      </c>
      <c r="R481" t="s">
        <v>146</v>
      </c>
      <c r="S481" t="s">
        <v>5</v>
      </c>
      <c r="T481" t="s">
        <v>1628</v>
      </c>
      <c r="U481" t="s">
        <v>1629</v>
      </c>
    </row>
    <row r="482" spans="1:21" x14ac:dyDescent="0.3">
      <c r="A482" s="64">
        <v>46139</v>
      </c>
      <c r="B482" t="s">
        <v>1748</v>
      </c>
      <c r="C482" t="s">
        <v>1749</v>
      </c>
      <c r="E482" t="s">
        <v>19</v>
      </c>
      <c r="F482" t="s">
        <v>109</v>
      </c>
      <c r="G482" t="s">
        <v>200</v>
      </c>
      <c r="H482" t="s">
        <v>1750</v>
      </c>
      <c r="N482" t="s">
        <v>1</v>
      </c>
      <c r="P482" t="s">
        <v>19</v>
      </c>
      <c r="Q482" t="s">
        <v>11</v>
      </c>
      <c r="R482" t="s">
        <v>80</v>
      </c>
      <c r="S482" t="s">
        <v>10</v>
      </c>
      <c r="T482" t="s">
        <v>1388</v>
      </c>
      <c r="U482" t="s">
        <v>1257</v>
      </c>
    </row>
    <row r="483" spans="1:21" x14ac:dyDescent="0.3">
      <c r="A483" s="64">
        <v>46139</v>
      </c>
      <c r="B483" t="s">
        <v>856</v>
      </c>
      <c r="C483" t="s">
        <v>857</v>
      </c>
      <c r="E483" t="s">
        <v>19</v>
      </c>
      <c r="F483" t="s">
        <v>820</v>
      </c>
      <c r="G483" t="s">
        <v>122</v>
      </c>
      <c r="H483" t="s">
        <v>856</v>
      </c>
      <c r="N483" t="s">
        <v>145</v>
      </c>
      <c r="P483" t="s">
        <v>16</v>
      </c>
      <c r="Q483" t="s">
        <v>22</v>
      </c>
      <c r="R483" t="s">
        <v>172</v>
      </c>
      <c r="S483" t="s">
        <v>5</v>
      </c>
      <c r="T483" t="s">
        <v>1751</v>
      </c>
      <c r="U483" t="s">
        <v>1752</v>
      </c>
    </row>
    <row r="484" spans="1:21" x14ac:dyDescent="0.3">
      <c r="A484" s="64">
        <v>46139</v>
      </c>
      <c r="B484" t="s">
        <v>1753</v>
      </c>
      <c r="C484" t="s">
        <v>1754</v>
      </c>
      <c r="E484" t="s">
        <v>19</v>
      </c>
      <c r="F484" t="s">
        <v>261</v>
      </c>
      <c r="G484" t="s">
        <v>200</v>
      </c>
      <c r="H484" t="s">
        <v>1753</v>
      </c>
      <c r="N484" t="s">
        <v>1</v>
      </c>
      <c r="P484" t="s">
        <v>19</v>
      </c>
      <c r="Q484" t="s">
        <v>11</v>
      </c>
      <c r="R484" t="s">
        <v>80</v>
      </c>
      <c r="S484" t="s">
        <v>10</v>
      </c>
      <c r="T484" t="s">
        <v>1388</v>
      </c>
      <c r="U484" t="s">
        <v>1257</v>
      </c>
    </row>
    <row r="485" spans="1:21" x14ac:dyDescent="0.3">
      <c r="A485" s="64">
        <v>46139</v>
      </c>
      <c r="B485" t="s">
        <v>1755</v>
      </c>
      <c r="C485" t="s">
        <v>1756</v>
      </c>
      <c r="E485" t="s">
        <v>19</v>
      </c>
      <c r="F485" t="s">
        <v>109</v>
      </c>
      <c r="G485" t="s">
        <v>355</v>
      </c>
      <c r="H485" t="s">
        <v>1573</v>
      </c>
      <c r="N485" t="s">
        <v>1</v>
      </c>
      <c r="P485" t="s">
        <v>19</v>
      </c>
      <c r="Q485" t="s">
        <v>11</v>
      </c>
      <c r="R485" t="s">
        <v>80</v>
      </c>
      <c r="S485" t="s">
        <v>10</v>
      </c>
      <c r="T485" t="s">
        <v>1388</v>
      </c>
      <c r="U485" t="s">
        <v>1257</v>
      </c>
    </row>
    <row r="486" spans="1:21" x14ac:dyDescent="0.3">
      <c r="A486" s="64">
        <v>46139</v>
      </c>
      <c r="B486" t="s">
        <v>883</v>
      </c>
      <c r="C486" t="s">
        <v>884</v>
      </c>
      <c r="E486" t="s">
        <v>19</v>
      </c>
      <c r="F486" t="s">
        <v>109</v>
      </c>
      <c r="G486" t="s">
        <v>122</v>
      </c>
      <c r="H486" t="s">
        <v>885</v>
      </c>
      <c r="N486" t="s">
        <v>145</v>
      </c>
      <c r="P486" t="s">
        <v>12</v>
      </c>
      <c r="Q486" t="s">
        <v>14</v>
      </c>
      <c r="R486" t="s">
        <v>146</v>
      </c>
      <c r="S486" t="s">
        <v>5</v>
      </c>
      <c r="T486" t="s">
        <v>1757</v>
      </c>
      <c r="U486" t="s">
        <v>1758</v>
      </c>
    </row>
    <row r="487" spans="1:21" x14ac:dyDescent="0.3">
      <c r="A487" s="64">
        <v>46139</v>
      </c>
      <c r="B487" t="s">
        <v>915</v>
      </c>
      <c r="C487" t="s">
        <v>916</v>
      </c>
      <c r="E487" t="s">
        <v>19</v>
      </c>
      <c r="F487" t="s">
        <v>109</v>
      </c>
      <c r="G487" t="s">
        <v>59</v>
      </c>
      <c r="H487" t="s">
        <v>60</v>
      </c>
      <c r="N487" t="s">
        <v>1</v>
      </c>
      <c r="P487" t="s">
        <v>12</v>
      </c>
      <c r="Q487" t="s">
        <v>14</v>
      </c>
      <c r="R487" t="s">
        <v>146</v>
      </c>
      <c r="S487" t="s">
        <v>5</v>
      </c>
      <c r="T487" t="s">
        <v>1205</v>
      </c>
      <c r="U487" t="s">
        <v>1206</v>
      </c>
    </row>
    <row r="488" spans="1:21" x14ac:dyDescent="0.3">
      <c r="A488" s="64">
        <v>46139</v>
      </c>
      <c r="B488" t="s">
        <v>1759</v>
      </c>
      <c r="C488" t="s">
        <v>1760</v>
      </c>
      <c r="E488" t="s">
        <v>19</v>
      </c>
      <c r="F488" t="s">
        <v>221</v>
      </c>
      <c r="G488" t="s">
        <v>122</v>
      </c>
      <c r="H488" t="s">
        <v>1761</v>
      </c>
      <c r="N488" t="s">
        <v>145</v>
      </c>
      <c r="P488" t="s">
        <v>4</v>
      </c>
      <c r="Q488" t="s">
        <v>4</v>
      </c>
      <c r="R488" t="s">
        <v>4</v>
      </c>
      <c r="S488" t="s">
        <v>4</v>
      </c>
      <c r="T488" t="s">
        <v>1762</v>
      </c>
      <c r="U488" t="s">
        <v>1763</v>
      </c>
    </row>
    <row r="489" spans="1:21" x14ac:dyDescent="0.3">
      <c r="A489" s="64">
        <v>46139</v>
      </c>
      <c r="B489" t="s">
        <v>841</v>
      </c>
      <c r="C489" t="s">
        <v>842</v>
      </c>
      <c r="E489" t="s">
        <v>19</v>
      </c>
      <c r="F489" t="s">
        <v>221</v>
      </c>
      <c r="G489" t="s">
        <v>116</v>
      </c>
      <c r="H489" t="s">
        <v>843</v>
      </c>
      <c r="N489" t="s">
        <v>145</v>
      </c>
      <c r="P489" t="s">
        <v>15</v>
      </c>
      <c r="Q489" t="s">
        <v>15</v>
      </c>
      <c r="R489" t="s">
        <v>524</v>
      </c>
      <c r="S489" t="s">
        <v>15</v>
      </c>
      <c r="T489" t="s">
        <v>1764</v>
      </c>
      <c r="U489" t="s">
        <v>1765</v>
      </c>
    </row>
    <row r="490" spans="1:21" x14ac:dyDescent="0.3">
      <c r="A490" s="64">
        <v>46139</v>
      </c>
      <c r="B490" t="s">
        <v>875</v>
      </c>
      <c r="C490" t="s">
        <v>876</v>
      </c>
      <c r="E490" t="s">
        <v>19</v>
      </c>
      <c r="F490" t="s">
        <v>261</v>
      </c>
      <c r="G490" t="s">
        <v>110</v>
      </c>
      <c r="H490" t="s">
        <v>875</v>
      </c>
      <c r="N490" t="s">
        <v>1</v>
      </c>
      <c r="P490" t="s">
        <v>24</v>
      </c>
      <c r="Q490" t="s">
        <v>22</v>
      </c>
      <c r="R490" t="s">
        <v>1766</v>
      </c>
      <c r="S490" t="s">
        <v>5</v>
      </c>
      <c r="T490" t="s">
        <v>1767</v>
      </c>
      <c r="U490" t="s">
        <v>1768</v>
      </c>
    </row>
    <row r="491" spans="1:21" x14ac:dyDescent="0.3">
      <c r="A491" s="64">
        <v>46139</v>
      </c>
      <c r="B491" t="s">
        <v>197</v>
      </c>
      <c r="C491" t="s">
        <v>198</v>
      </c>
      <c r="E491" t="s">
        <v>19</v>
      </c>
      <c r="F491" t="s">
        <v>199</v>
      </c>
      <c r="G491" t="s">
        <v>200</v>
      </c>
      <c r="H491" t="s">
        <v>201</v>
      </c>
      <c r="N491" t="s">
        <v>1</v>
      </c>
      <c r="P491" t="s">
        <v>12</v>
      </c>
      <c r="Q491" t="s">
        <v>14</v>
      </c>
      <c r="R491" t="s">
        <v>146</v>
      </c>
      <c r="S491" t="s">
        <v>5</v>
      </c>
      <c r="T491" t="s">
        <v>1769</v>
      </c>
      <c r="U491" t="s">
        <v>1770</v>
      </c>
    </row>
    <row r="492" spans="1:21" x14ac:dyDescent="0.3">
      <c r="A492" s="64">
        <v>46139</v>
      </c>
      <c r="B492" t="s">
        <v>870</v>
      </c>
      <c r="C492" t="s">
        <v>871</v>
      </c>
      <c r="E492" t="s">
        <v>19</v>
      </c>
      <c r="F492" t="s">
        <v>820</v>
      </c>
      <c r="G492" t="s">
        <v>116</v>
      </c>
      <c r="H492" t="s">
        <v>872</v>
      </c>
      <c r="N492" t="s">
        <v>145</v>
      </c>
      <c r="P492" t="s">
        <v>15</v>
      </c>
      <c r="Q492" t="s">
        <v>15</v>
      </c>
      <c r="R492" t="s">
        <v>15</v>
      </c>
      <c r="S492" t="s">
        <v>15</v>
      </c>
      <c r="T492" t="s">
        <v>1771</v>
      </c>
      <c r="U492" t="s">
        <v>1772</v>
      </c>
    </row>
    <row r="493" spans="1:21" x14ac:dyDescent="0.3">
      <c r="A493" s="64">
        <v>46139</v>
      </c>
      <c r="B493" t="s">
        <v>917</v>
      </c>
      <c r="C493" t="s">
        <v>918</v>
      </c>
      <c r="E493" t="s">
        <v>66</v>
      </c>
      <c r="F493" t="s">
        <v>103</v>
      </c>
      <c r="G493" t="s">
        <v>59</v>
      </c>
      <c r="H493" t="s">
        <v>60</v>
      </c>
      <c r="N493" t="s">
        <v>1</v>
      </c>
      <c r="P493" t="s">
        <v>12</v>
      </c>
      <c r="Q493" t="s">
        <v>14</v>
      </c>
      <c r="R493" t="s">
        <v>146</v>
      </c>
      <c r="S493" t="s">
        <v>5</v>
      </c>
      <c r="T493" t="s">
        <v>1205</v>
      </c>
      <c r="U493" t="s">
        <v>1206</v>
      </c>
    </row>
    <row r="494" spans="1:21" x14ac:dyDescent="0.3">
      <c r="A494" s="64">
        <v>46139</v>
      </c>
      <c r="B494" t="s">
        <v>1773</v>
      </c>
      <c r="C494" t="s">
        <v>1774</v>
      </c>
      <c r="E494" t="s">
        <v>66</v>
      </c>
      <c r="F494" t="s">
        <v>67</v>
      </c>
      <c r="G494" t="s">
        <v>110</v>
      </c>
      <c r="H494" t="s">
        <v>1775</v>
      </c>
      <c r="N494" t="s">
        <v>1</v>
      </c>
      <c r="P494" t="s">
        <v>12</v>
      </c>
      <c r="Q494" t="s">
        <v>14</v>
      </c>
      <c r="R494" t="s">
        <v>146</v>
      </c>
      <c r="S494" t="s">
        <v>5</v>
      </c>
      <c r="T494" t="s">
        <v>1776</v>
      </c>
      <c r="U494" t="s">
        <v>1777</v>
      </c>
    </row>
    <row r="495" spans="1:21" x14ac:dyDescent="0.3">
      <c r="A495" s="64">
        <v>46139</v>
      </c>
      <c r="B495" t="s">
        <v>924</v>
      </c>
      <c r="C495" t="s">
        <v>925</v>
      </c>
      <c r="E495" t="s">
        <v>19</v>
      </c>
      <c r="F495" t="s">
        <v>109</v>
      </c>
      <c r="G495" t="s">
        <v>59</v>
      </c>
      <c r="H495" t="s">
        <v>926</v>
      </c>
      <c r="N495" t="s">
        <v>1</v>
      </c>
      <c r="P495" t="s">
        <v>6</v>
      </c>
      <c r="Q495" t="s">
        <v>6</v>
      </c>
      <c r="R495" t="s">
        <v>188</v>
      </c>
      <c r="S495" t="s">
        <v>10</v>
      </c>
      <c r="T495" t="s">
        <v>1778</v>
      </c>
      <c r="U495" t="s">
        <v>1779</v>
      </c>
    </row>
    <row r="496" spans="1:21" x14ac:dyDescent="0.3">
      <c r="A496" s="64">
        <v>46139</v>
      </c>
      <c r="B496" t="s">
        <v>929</v>
      </c>
      <c r="C496" t="s">
        <v>930</v>
      </c>
      <c r="E496" t="s">
        <v>66</v>
      </c>
      <c r="F496" t="s">
        <v>193</v>
      </c>
      <c r="G496" t="s">
        <v>200</v>
      </c>
      <c r="H496" t="s">
        <v>931</v>
      </c>
      <c r="N496" t="s">
        <v>1</v>
      </c>
      <c r="P496" t="s">
        <v>15</v>
      </c>
      <c r="Q496" t="s">
        <v>15</v>
      </c>
      <c r="R496" t="s">
        <v>15</v>
      </c>
      <c r="S496" t="s">
        <v>15</v>
      </c>
      <c r="T496" t="s">
        <v>1780</v>
      </c>
      <c r="U496" t="s">
        <v>1781</v>
      </c>
    </row>
    <row r="497" spans="1:21" x14ac:dyDescent="0.3">
      <c r="A497" s="64">
        <v>46139</v>
      </c>
      <c r="B497" t="s">
        <v>384</v>
      </c>
      <c r="C497" t="s">
        <v>385</v>
      </c>
      <c r="E497" t="s">
        <v>19</v>
      </c>
      <c r="F497" t="s">
        <v>221</v>
      </c>
      <c r="G497" t="s">
        <v>68</v>
      </c>
      <c r="H497" t="s">
        <v>384</v>
      </c>
      <c r="N497" t="s">
        <v>1</v>
      </c>
      <c r="P497" t="s">
        <v>12</v>
      </c>
      <c r="Q497" t="s">
        <v>14</v>
      </c>
      <c r="R497" t="s">
        <v>146</v>
      </c>
      <c r="S497" t="s">
        <v>5</v>
      </c>
      <c r="T497" t="s">
        <v>1592</v>
      </c>
      <c r="U497" t="s">
        <v>1593</v>
      </c>
    </row>
    <row r="498" spans="1:21" x14ac:dyDescent="0.3">
      <c r="A498" s="64">
        <v>46139</v>
      </c>
      <c r="B498" t="s">
        <v>868</v>
      </c>
      <c r="C498" t="s">
        <v>869</v>
      </c>
      <c r="E498" t="s">
        <v>19</v>
      </c>
      <c r="F498" t="s">
        <v>109</v>
      </c>
      <c r="G498" t="s">
        <v>59</v>
      </c>
      <c r="H498" t="s">
        <v>60</v>
      </c>
      <c r="N498" t="s">
        <v>1</v>
      </c>
      <c r="P498" t="s">
        <v>12</v>
      </c>
      <c r="Q498" t="s">
        <v>14</v>
      </c>
      <c r="R498" t="s">
        <v>146</v>
      </c>
      <c r="S498" t="s">
        <v>5</v>
      </c>
      <c r="T498" t="s">
        <v>1205</v>
      </c>
      <c r="U498" t="s">
        <v>1206</v>
      </c>
    </row>
    <row r="499" spans="1:21" x14ac:dyDescent="0.3">
      <c r="A499" s="64">
        <v>46139</v>
      </c>
      <c r="B499" t="s">
        <v>934</v>
      </c>
      <c r="C499" t="s">
        <v>935</v>
      </c>
      <c r="E499" t="s">
        <v>19</v>
      </c>
      <c r="F499" t="s">
        <v>109</v>
      </c>
      <c r="G499" t="s">
        <v>59</v>
      </c>
      <c r="H499" t="s">
        <v>60</v>
      </c>
      <c r="N499" t="s">
        <v>1</v>
      </c>
      <c r="P499" t="s">
        <v>12</v>
      </c>
      <c r="Q499" t="s">
        <v>14</v>
      </c>
      <c r="R499" t="s">
        <v>146</v>
      </c>
      <c r="S499" t="s">
        <v>5</v>
      </c>
      <c r="T499" t="s">
        <v>1205</v>
      </c>
      <c r="U499" t="s">
        <v>1206</v>
      </c>
    </row>
    <row r="500" spans="1:21" x14ac:dyDescent="0.3">
      <c r="A500" s="64">
        <v>46139</v>
      </c>
      <c r="B500" t="s">
        <v>936</v>
      </c>
      <c r="C500" t="s">
        <v>937</v>
      </c>
      <c r="E500" t="s">
        <v>66</v>
      </c>
      <c r="F500" t="s">
        <v>938</v>
      </c>
      <c r="G500" t="s">
        <v>59</v>
      </c>
      <c r="H500" t="s">
        <v>60</v>
      </c>
      <c r="N500" t="s">
        <v>1</v>
      </c>
      <c r="P500" t="s">
        <v>12</v>
      </c>
      <c r="Q500" t="s">
        <v>14</v>
      </c>
      <c r="R500" t="s">
        <v>146</v>
      </c>
      <c r="S500" t="s">
        <v>5</v>
      </c>
      <c r="T500" t="s">
        <v>1205</v>
      </c>
      <c r="U500" t="s">
        <v>1206</v>
      </c>
    </row>
    <row r="501" spans="1:21" x14ac:dyDescent="0.3">
      <c r="A501" s="64">
        <v>46139</v>
      </c>
      <c r="B501" t="s">
        <v>939</v>
      </c>
      <c r="C501" t="s">
        <v>940</v>
      </c>
      <c r="E501" t="s">
        <v>19</v>
      </c>
      <c r="F501" t="s">
        <v>109</v>
      </c>
      <c r="G501" t="s">
        <v>59</v>
      </c>
      <c r="H501" t="s">
        <v>60</v>
      </c>
      <c r="N501" t="s">
        <v>1</v>
      </c>
      <c r="P501" t="s">
        <v>15</v>
      </c>
      <c r="Q501" t="s">
        <v>15</v>
      </c>
      <c r="R501" t="s">
        <v>524</v>
      </c>
      <c r="S501" t="s">
        <v>15</v>
      </c>
      <c r="T501" t="s">
        <v>1782</v>
      </c>
      <c r="U501" t="s">
        <v>1783</v>
      </c>
    </row>
    <row r="502" spans="1:21" x14ac:dyDescent="0.3">
      <c r="A502" s="64">
        <v>46139</v>
      </c>
      <c r="B502" t="s">
        <v>943</v>
      </c>
      <c r="C502" t="s">
        <v>944</v>
      </c>
      <c r="E502" t="s">
        <v>19</v>
      </c>
      <c r="F502" t="s">
        <v>109</v>
      </c>
      <c r="G502" t="s">
        <v>122</v>
      </c>
      <c r="H502" t="s">
        <v>943</v>
      </c>
      <c r="N502" t="s">
        <v>145</v>
      </c>
      <c r="P502" t="s">
        <v>12</v>
      </c>
      <c r="Q502" t="s">
        <v>14</v>
      </c>
      <c r="R502" t="s">
        <v>146</v>
      </c>
      <c r="S502" t="s">
        <v>5</v>
      </c>
      <c r="T502" t="s">
        <v>1784</v>
      </c>
      <c r="U502" t="s">
        <v>1785</v>
      </c>
    </row>
    <row r="503" spans="1:21" x14ac:dyDescent="0.3">
      <c r="A503" s="64">
        <v>46139</v>
      </c>
      <c r="B503" t="s">
        <v>1786</v>
      </c>
      <c r="C503" t="s">
        <v>1787</v>
      </c>
      <c r="E503" t="s">
        <v>19</v>
      </c>
      <c r="F503" t="s">
        <v>109</v>
      </c>
      <c r="G503" t="s">
        <v>59</v>
      </c>
      <c r="H503" t="s">
        <v>1786</v>
      </c>
      <c r="N503" t="s">
        <v>156</v>
      </c>
      <c r="P503" t="s">
        <v>157</v>
      </c>
      <c r="Q503" t="s">
        <v>157</v>
      </c>
      <c r="R503" t="s">
        <v>156</v>
      </c>
      <c r="S503" t="s">
        <v>157</v>
      </c>
      <c r="T503" t="s">
        <v>1382</v>
      </c>
      <c r="U503" t="s">
        <v>1383</v>
      </c>
    </row>
    <row r="504" spans="1:21" x14ac:dyDescent="0.3">
      <c r="A504" s="64">
        <v>46139</v>
      </c>
      <c r="B504" t="s">
        <v>1788</v>
      </c>
      <c r="C504" t="s">
        <v>1789</v>
      </c>
      <c r="E504" t="s">
        <v>19</v>
      </c>
      <c r="F504" t="s">
        <v>732</v>
      </c>
      <c r="G504" t="s">
        <v>200</v>
      </c>
      <c r="H504" t="s">
        <v>1788</v>
      </c>
      <c r="N504" t="s">
        <v>1</v>
      </c>
      <c r="P504" t="s">
        <v>15</v>
      </c>
      <c r="Q504" t="s">
        <v>15</v>
      </c>
      <c r="R504" t="s">
        <v>524</v>
      </c>
      <c r="S504" t="s">
        <v>15</v>
      </c>
      <c r="T504" t="s">
        <v>1790</v>
      </c>
      <c r="U504" t="s">
        <v>1791</v>
      </c>
    </row>
    <row r="505" spans="1:21" x14ac:dyDescent="0.3">
      <c r="A505" s="64">
        <v>46139</v>
      </c>
      <c r="B505" t="s">
        <v>947</v>
      </c>
      <c r="C505" t="s">
        <v>948</v>
      </c>
      <c r="E505" t="s">
        <v>19</v>
      </c>
      <c r="F505" t="s">
        <v>261</v>
      </c>
      <c r="G505" t="s">
        <v>110</v>
      </c>
      <c r="H505" t="s">
        <v>947</v>
      </c>
      <c r="N505" t="s">
        <v>1</v>
      </c>
      <c r="P505" t="s">
        <v>18</v>
      </c>
      <c r="Q505" t="s">
        <v>18</v>
      </c>
      <c r="R505" t="s">
        <v>949</v>
      </c>
      <c r="S505" t="s">
        <v>13</v>
      </c>
      <c r="T505" t="s">
        <v>1792</v>
      </c>
      <c r="U505" t="s">
        <v>1793</v>
      </c>
    </row>
    <row r="506" spans="1:21" x14ac:dyDescent="0.3">
      <c r="A506" s="64">
        <v>46139</v>
      </c>
      <c r="B506" t="s">
        <v>1794</v>
      </c>
      <c r="C506" t="s">
        <v>1795</v>
      </c>
      <c r="E506" t="s">
        <v>19</v>
      </c>
      <c r="F506" t="s">
        <v>109</v>
      </c>
      <c r="G506" t="s">
        <v>181</v>
      </c>
      <c r="H506" t="s">
        <v>182</v>
      </c>
      <c r="N506" t="s">
        <v>1</v>
      </c>
      <c r="P506" t="s">
        <v>19</v>
      </c>
      <c r="Q506" t="s">
        <v>11</v>
      </c>
      <c r="R506" t="s">
        <v>80</v>
      </c>
      <c r="S506" t="s">
        <v>10</v>
      </c>
      <c r="T506" t="s">
        <v>1796</v>
      </c>
      <c r="U506" t="s">
        <v>1599</v>
      </c>
    </row>
    <row r="507" spans="1:21" x14ac:dyDescent="0.3">
      <c r="A507" s="64">
        <v>46139</v>
      </c>
      <c r="B507" t="s">
        <v>1797</v>
      </c>
      <c r="C507" t="s">
        <v>1798</v>
      </c>
      <c r="E507" t="s">
        <v>19</v>
      </c>
      <c r="F507" t="s">
        <v>109</v>
      </c>
      <c r="G507" t="s">
        <v>181</v>
      </c>
      <c r="H507" t="s">
        <v>752</v>
      </c>
      <c r="N507" t="s">
        <v>1</v>
      </c>
      <c r="P507" t="s">
        <v>19</v>
      </c>
      <c r="Q507" t="s">
        <v>11</v>
      </c>
      <c r="R507" t="s">
        <v>80</v>
      </c>
      <c r="S507" t="s">
        <v>10</v>
      </c>
      <c r="T507" t="s">
        <v>1799</v>
      </c>
      <c r="U507" t="s">
        <v>1800</v>
      </c>
    </row>
    <row r="508" spans="1:21" x14ac:dyDescent="0.3">
      <c r="A508" s="64">
        <v>46139</v>
      </c>
      <c r="B508" t="s">
        <v>956</v>
      </c>
      <c r="C508" t="s">
        <v>957</v>
      </c>
      <c r="E508" t="s">
        <v>66</v>
      </c>
      <c r="F508" t="s">
        <v>396</v>
      </c>
      <c r="G508" t="s">
        <v>181</v>
      </c>
      <c r="H508" t="s">
        <v>672</v>
      </c>
      <c r="N508" t="s">
        <v>1</v>
      </c>
      <c r="P508" t="s">
        <v>6</v>
      </c>
      <c r="Q508" t="s">
        <v>6</v>
      </c>
      <c r="R508" t="s">
        <v>188</v>
      </c>
      <c r="S508" t="s">
        <v>10</v>
      </c>
      <c r="T508" t="s">
        <v>1801</v>
      </c>
      <c r="U508" t="s">
        <v>1802</v>
      </c>
    </row>
    <row r="509" spans="1:21" x14ac:dyDescent="0.3">
      <c r="A509" s="64">
        <v>46139</v>
      </c>
      <c r="B509" t="s">
        <v>961</v>
      </c>
      <c r="C509" t="s">
        <v>962</v>
      </c>
      <c r="E509" t="s">
        <v>66</v>
      </c>
      <c r="F509" t="s">
        <v>103</v>
      </c>
      <c r="G509" t="s">
        <v>68</v>
      </c>
      <c r="H509" t="s">
        <v>69</v>
      </c>
      <c r="N509" t="s">
        <v>1</v>
      </c>
      <c r="P509" t="s">
        <v>9</v>
      </c>
      <c r="Q509" t="s">
        <v>11</v>
      </c>
      <c r="R509" t="s">
        <v>104</v>
      </c>
      <c r="S509" t="s">
        <v>10</v>
      </c>
      <c r="T509" t="s">
        <v>1803</v>
      </c>
      <c r="U509" t="s">
        <v>1804</v>
      </c>
    </row>
    <row r="510" spans="1:21" x14ac:dyDescent="0.3">
      <c r="A510" s="64">
        <v>46139</v>
      </c>
      <c r="B510" t="s">
        <v>1805</v>
      </c>
      <c r="C510" t="s">
        <v>1806</v>
      </c>
      <c r="E510" t="s">
        <v>19</v>
      </c>
      <c r="F510" t="s">
        <v>221</v>
      </c>
      <c r="G510" t="s">
        <v>59</v>
      </c>
      <c r="H510" t="s">
        <v>1807</v>
      </c>
      <c r="N510" t="s">
        <v>156</v>
      </c>
      <c r="P510" t="s">
        <v>157</v>
      </c>
      <c r="Q510" t="s">
        <v>157</v>
      </c>
      <c r="R510" t="s">
        <v>156</v>
      </c>
      <c r="S510" t="s">
        <v>157</v>
      </c>
      <c r="T510" t="s">
        <v>1167</v>
      </c>
      <c r="U510" t="s">
        <v>1168</v>
      </c>
    </row>
    <row r="511" spans="1:21" x14ac:dyDescent="0.3">
      <c r="A511" s="64">
        <v>46139</v>
      </c>
      <c r="B511" t="s">
        <v>1808</v>
      </c>
      <c r="C511" t="s">
        <v>1809</v>
      </c>
      <c r="E511" t="s">
        <v>66</v>
      </c>
      <c r="F511" t="s">
        <v>103</v>
      </c>
      <c r="G511" t="s">
        <v>59</v>
      </c>
      <c r="H511" t="s">
        <v>60</v>
      </c>
      <c r="N511" t="s">
        <v>1</v>
      </c>
      <c r="P511" t="s">
        <v>9</v>
      </c>
      <c r="Q511" t="s">
        <v>11</v>
      </c>
      <c r="R511" t="s">
        <v>104</v>
      </c>
      <c r="S511" t="s">
        <v>10</v>
      </c>
      <c r="T511" t="s">
        <v>1810</v>
      </c>
      <c r="U511" t="s">
        <v>1811</v>
      </c>
    </row>
    <row r="512" spans="1:21" x14ac:dyDescent="0.3">
      <c r="A512" s="64">
        <v>46139</v>
      </c>
      <c r="B512" t="s">
        <v>970</v>
      </c>
      <c r="C512" t="s">
        <v>971</v>
      </c>
      <c r="E512" t="s">
        <v>19</v>
      </c>
      <c r="F512" t="s">
        <v>820</v>
      </c>
      <c r="G512" t="s">
        <v>68</v>
      </c>
      <c r="H512" t="s">
        <v>972</v>
      </c>
      <c r="N512" t="s">
        <v>1</v>
      </c>
      <c r="P512" t="s">
        <v>15</v>
      </c>
      <c r="Q512" t="s">
        <v>15</v>
      </c>
      <c r="R512" t="s">
        <v>524</v>
      </c>
      <c r="S512" t="s">
        <v>15</v>
      </c>
      <c r="T512" t="s">
        <v>1812</v>
      </c>
      <c r="U512" t="s">
        <v>1813</v>
      </c>
    </row>
    <row r="513" spans="1:21" x14ac:dyDescent="0.3">
      <c r="A513" s="64">
        <v>46139</v>
      </c>
      <c r="B513" t="s">
        <v>1814</v>
      </c>
      <c r="C513" t="s">
        <v>1815</v>
      </c>
      <c r="E513" t="s">
        <v>66</v>
      </c>
      <c r="F513" t="s">
        <v>103</v>
      </c>
      <c r="G513" t="s">
        <v>116</v>
      </c>
      <c r="H513" t="s">
        <v>1814</v>
      </c>
      <c r="N513" t="s">
        <v>1</v>
      </c>
      <c r="P513" t="s">
        <v>24</v>
      </c>
      <c r="Q513" t="s">
        <v>22</v>
      </c>
      <c r="R513" t="s">
        <v>391</v>
      </c>
      <c r="S513" t="s">
        <v>5</v>
      </c>
      <c r="T513" t="s">
        <v>1816</v>
      </c>
      <c r="U513" t="s">
        <v>1817</v>
      </c>
    </row>
    <row r="514" spans="1:21" x14ac:dyDescent="0.3">
      <c r="A514" s="64">
        <v>46139</v>
      </c>
      <c r="B514" t="s">
        <v>973</v>
      </c>
      <c r="C514" t="s">
        <v>974</v>
      </c>
      <c r="E514" t="s">
        <v>19</v>
      </c>
      <c r="F514" t="s">
        <v>109</v>
      </c>
      <c r="G514" t="s">
        <v>68</v>
      </c>
      <c r="H514" t="s">
        <v>69</v>
      </c>
      <c r="N514" t="s">
        <v>1</v>
      </c>
      <c r="P514" t="s">
        <v>19</v>
      </c>
      <c r="Q514" t="s">
        <v>11</v>
      </c>
      <c r="R514" t="s">
        <v>80</v>
      </c>
      <c r="S514" t="s">
        <v>10</v>
      </c>
      <c r="T514" t="s">
        <v>1818</v>
      </c>
      <c r="U514" t="s">
        <v>1819</v>
      </c>
    </row>
    <row r="515" spans="1:21" x14ac:dyDescent="0.3">
      <c r="A515" s="64">
        <v>46139</v>
      </c>
      <c r="B515" t="s">
        <v>1820</v>
      </c>
      <c r="C515" t="s">
        <v>1821</v>
      </c>
      <c r="E515" t="s">
        <v>19</v>
      </c>
      <c r="F515" t="s">
        <v>109</v>
      </c>
      <c r="G515" t="s">
        <v>59</v>
      </c>
      <c r="H515" t="s">
        <v>1820</v>
      </c>
      <c r="N515" t="s">
        <v>1</v>
      </c>
      <c r="P515" t="s">
        <v>12</v>
      </c>
      <c r="Q515" t="s">
        <v>14</v>
      </c>
      <c r="R515" t="s">
        <v>146</v>
      </c>
      <c r="S515" t="s">
        <v>5</v>
      </c>
      <c r="T515" t="s">
        <v>1822</v>
      </c>
      <c r="U515" t="s">
        <v>1823</v>
      </c>
    </row>
    <row r="516" spans="1:21" x14ac:dyDescent="0.3">
      <c r="A516" s="64">
        <v>46139</v>
      </c>
      <c r="B516" t="s">
        <v>1824</v>
      </c>
      <c r="C516" t="s">
        <v>1825</v>
      </c>
      <c r="E516" t="s">
        <v>19</v>
      </c>
      <c r="F516" t="s">
        <v>109</v>
      </c>
      <c r="G516" t="s">
        <v>59</v>
      </c>
      <c r="H516" t="s">
        <v>1826</v>
      </c>
      <c r="N516" t="s">
        <v>1</v>
      </c>
      <c r="P516" t="s">
        <v>19</v>
      </c>
      <c r="Q516" t="s">
        <v>11</v>
      </c>
      <c r="R516" t="s">
        <v>80</v>
      </c>
      <c r="S516" t="s">
        <v>10</v>
      </c>
      <c r="T516" t="s">
        <v>1827</v>
      </c>
      <c r="U516" t="s">
        <v>1828</v>
      </c>
    </row>
    <row r="517" spans="1:21" x14ac:dyDescent="0.3">
      <c r="A517" s="64">
        <v>46139</v>
      </c>
      <c r="B517" t="s">
        <v>1829</v>
      </c>
      <c r="C517" t="s">
        <v>1830</v>
      </c>
      <c r="E517" t="s">
        <v>19</v>
      </c>
      <c r="F517" t="s">
        <v>441</v>
      </c>
      <c r="G517" t="s">
        <v>59</v>
      </c>
      <c r="H517" t="s">
        <v>60</v>
      </c>
      <c r="N517" t="s">
        <v>156</v>
      </c>
      <c r="P517" t="s">
        <v>157</v>
      </c>
      <c r="Q517" t="s">
        <v>157</v>
      </c>
      <c r="R517" t="s">
        <v>156</v>
      </c>
      <c r="S517" t="s">
        <v>157</v>
      </c>
      <c r="T517" t="s">
        <v>1831</v>
      </c>
      <c r="U517" t="s">
        <v>1832</v>
      </c>
    </row>
    <row r="518" spans="1:21" x14ac:dyDescent="0.3">
      <c r="A518" s="64">
        <v>46139</v>
      </c>
      <c r="B518" t="s">
        <v>982</v>
      </c>
      <c r="C518" t="s">
        <v>983</v>
      </c>
      <c r="E518" t="s">
        <v>66</v>
      </c>
      <c r="F518" t="s">
        <v>193</v>
      </c>
      <c r="G518" t="s">
        <v>355</v>
      </c>
      <c r="H518" t="s">
        <v>982</v>
      </c>
      <c r="N518" t="s">
        <v>1</v>
      </c>
      <c r="P518" t="s">
        <v>6</v>
      </c>
      <c r="Q518" t="s">
        <v>6</v>
      </c>
      <c r="R518" t="s">
        <v>188</v>
      </c>
      <c r="S518" t="s">
        <v>10</v>
      </c>
      <c r="T518" t="s">
        <v>1833</v>
      </c>
      <c r="U518" t="s">
        <v>1834</v>
      </c>
    </row>
    <row r="519" spans="1:21" x14ac:dyDescent="0.3">
      <c r="A519" s="64">
        <v>46139</v>
      </c>
      <c r="B519" t="s">
        <v>1835</v>
      </c>
      <c r="C519" t="s">
        <v>1836</v>
      </c>
      <c r="E519" t="s">
        <v>19</v>
      </c>
      <c r="F519" t="s">
        <v>271</v>
      </c>
      <c r="G519" t="s">
        <v>355</v>
      </c>
      <c r="H519" t="s">
        <v>1837</v>
      </c>
      <c r="N519" t="s">
        <v>1</v>
      </c>
      <c r="P519" t="s">
        <v>18</v>
      </c>
      <c r="Q519" t="s">
        <v>18</v>
      </c>
      <c r="R519" t="s">
        <v>949</v>
      </c>
      <c r="S519" t="s">
        <v>13</v>
      </c>
      <c r="T519" t="s">
        <v>1838</v>
      </c>
      <c r="U519" t="s">
        <v>1839</v>
      </c>
    </row>
    <row r="520" spans="1:21" x14ac:dyDescent="0.3">
      <c r="A520" s="64">
        <v>46139</v>
      </c>
      <c r="B520" t="s">
        <v>1840</v>
      </c>
      <c r="C520" t="s">
        <v>1841</v>
      </c>
      <c r="E520" t="s">
        <v>1842</v>
      </c>
      <c r="G520" t="s">
        <v>181</v>
      </c>
      <c r="H520" t="s">
        <v>672</v>
      </c>
      <c r="N520" t="s">
        <v>1</v>
      </c>
      <c r="P520" t="s">
        <v>12</v>
      </c>
      <c r="Q520" t="s">
        <v>14</v>
      </c>
      <c r="R520" t="s">
        <v>146</v>
      </c>
      <c r="S520" t="s">
        <v>5</v>
      </c>
      <c r="T520" t="s">
        <v>1843</v>
      </c>
      <c r="U520" t="s">
        <v>1844</v>
      </c>
    </row>
    <row r="521" spans="1:21" x14ac:dyDescent="0.3">
      <c r="A521" s="64">
        <v>46139</v>
      </c>
      <c r="B521" t="s">
        <v>995</v>
      </c>
      <c r="C521" t="s">
        <v>996</v>
      </c>
      <c r="E521" t="s">
        <v>19</v>
      </c>
      <c r="F521" t="s">
        <v>109</v>
      </c>
      <c r="G521" t="s">
        <v>68</v>
      </c>
      <c r="H521" t="s">
        <v>995</v>
      </c>
      <c r="N521" t="s">
        <v>1</v>
      </c>
      <c r="P521" t="s">
        <v>12</v>
      </c>
      <c r="Q521" t="s">
        <v>14</v>
      </c>
      <c r="R521" t="s">
        <v>146</v>
      </c>
      <c r="S521" t="s">
        <v>5</v>
      </c>
      <c r="T521" t="s">
        <v>1845</v>
      </c>
      <c r="U521" t="s">
        <v>1846</v>
      </c>
    </row>
    <row r="522" spans="1:21" x14ac:dyDescent="0.3">
      <c r="A522" s="64">
        <v>46139</v>
      </c>
      <c r="B522" t="s">
        <v>1847</v>
      </c>
      <c r="C522" t="s">
        <v>1848</v>
      </c>
      <c r="E522" t="s">
        <v>19</v>
      </c>
      <c r="F522" t="s">
        <v>271</v>
      </c>
      <c r="G522" t="s">
        <v>355</v>
      </c>
      <c r="H522" t="s">
        <v>1849</v>
      </c>
      <c r="N522" t="s">
        <v>1</v>
      </c>
      <c r="P522" t="s">
        <v>16</v>
      </c>
      <c r="Q522" t="s">
        <v>22</v>
      </c>
      <c r="R522" t="s">
        <v>172</v>
      </c>
      <c r="S522" t="s">
        <v>5</v>
      </c>
      <c r="T522" t="s">
        <v>1850</v>
      </c>
      <c r="U522" t="s">
        <v>1851</v>
      </c>
    </row>
    <row r="523" spans="1:21" x14ac:dyDescent="0.3">
      <c r="A523" s="64">
        <v>46139</v>
      </c>
      <c r="B523" t="s">
        <v>1003</v>
      </c>
      <c r="C523" t="s">
        <v>1004</v>
      </c>
      <c r="E523" t="s">
        <v>19</v>
      </c>
      <c r="F523" t="s">
        <v>221</v>
      </c>
      <c r="G523" t="s">
        <v>122</v>
      </c>
      <c r="H523" t="s">
        <v>1003</v>
      </c>
      <c r="N523" t="s">
        <v>145</v>
      </c>
      <c r="P523" t="s">
        <v>4</v>
      </c>
      <c r="Q523" t="s">
        <v>4</v>
      </c>
      <c r="R523" t="s">
        <v>4</v>
      </c>
      <c r="S523" t="s">
        <v>4</v>
      </c>
      <c r="T523" t="s">
        <v>1852</v>
      </c>
      <c r="U523" t="s">
        <v>1853</v>
      </c>
    </row>
    <row r="524" spans="1:21" x14ac:dyDescent="0.3">
      <c r="A524" s="64">
        <v>46139</v>
      </c>
      <c r="B524" t="s">
        <v>1854</v>
      </c>
      <c r="C524" t="s">
        <v>1855</v>
      </c>
      <c r="E524" t="s">
        <v>19</v>
      </c>
      <c r="F524" t="s">
        <v>1158</v>
      </c>
      <c r="G524" t="s">
        <v>98</v>
      </c>
      <c r="H524" t="s">
        <v>1856</v>
      </c>
      <c r="N524" t="s">
        <v>1</v>
      </c>
      <c r="P524" t="s">
        <v>19</v>
      </c>
      <c r="Q524" t="s">
        <v>11</v>
      </c>
      <c r="R524" t="s">
        <v>80</v>
      </c>
      <c r="S524" t="s">
        <v>10</v>
      </c>
      <c r="T524" t="s">
        <v>1857</v>
      </c>
      <c r="U524" t="s">
        <v>1858</v>
      </c>
    </row>
    <row r="525" spans="1:21" x14ac:dyDescent="0.3">
      <c r="A525" s="64">
        <v>46139</v>
      </c>
      <c r="B525" t="s">
        <v>1859</v>
      </c>
      <c r="C525" t="s">
        <v>1860</v>
      </c>
      <c r="E525" t="s">
        <v>19</v>
      </c>
      <c r="F525" t="s">
        <v>109</v>
      </c>
      <c r="G525" t="s">
        <v>355</v>
      </c>
      <c r="H525" t="s">
        <v>1861</v>
      </c>
      <c r="N525" t="s">
        <v>1</v>
      </c>
      <c r="P525" t="s">
        <v>12</v>
      </c>
      <c r="Q525" t="s">
        <v>14</v>
      </c>
      <c r="R525" t="s">
        <v>146</v>
      </c>
      <c r="S525" t="s">
        <v>5</v>
      </c>
      <c r="T525" t="s">
        <v>1862</v>
      </c>
      <c r="U525" t="s">
        <v>1863</v>
      </c>
    </row>
    <row r="526" spans="1:21" x14ac:dyDescent="0.3">
      <c r="A526" s="64">
        <v>46139</v>
      </c>
      <c r="B526" t="s">
        <v>1864</v>
      </c>
      <c r="C526" t="s">
        <v>1865</v>
      </c>
      <c r="E526" t="s">
        <v>19</v>
      </c>
      <c r="F526" t="s">
        <v>109</v>
      </c>
      <c r="G526" t="s">
        <v>59</v>
      </c>
      <c r="H526" t="s">
        <v>1864</v>
      </c>
      <c r="N526" t="s">
        <v>1</v>
      </c>
      <c r="P526" t="s">
        <v>19</v>
      </c>
      <c r="Q526" t="s">
        <v>11</v>
      </c>
      <c r="R526" t="s">
        <v>80</v>
      </c>
      <c r="S526" t="s">
        <v>10</v>
      </c>
      <c r="T526" t="s">
        <v>1866</v>
      </c>
      <c r="U526" t="s">
        <v>1867</v>
      </c>
    </row>
    <row r="527" spans="1:21" x14ac:dyDescent="0.3">
      <c r="A527" s="64">
        <v>46139</v>
      </c>
      <c r="B527" t="s">
        <v>1021</v>
      </c>
      <c r="C527" t="s">
        <v>1022</v>
      </c>
      <c r="E527" t="s">
        <v>66</v>
      </c>
      <c r="F527" t="s">
        <v>67</v>
      </c>
      <c r="G527" t="s">
        <v>68</v>
      </c>
      <c r="H527" t="s">
        <v>1023</v>
      </c>
      <c r="N527" t="s">
        <v>1</v>
      </c>
      <c r="P527" t="s">
        <v>7</v>
      </c>
      <c r="Q527" t="s">
        <v>11</v>
      </c>
      <c r="R527" t="s">
        <v>70</v>
      </c>
      <c r="S527" t="s">
        <v>10</v>
      </c>
      <c r="T527" t="s">
        <v>1868</v>
      </c>
      <c r="U527" t="s">
        <v>1869</v>
      </c>
    </row>
    <row r="528" spans="1:21" x14ac:dyDescent="0.3">
      <c r="A528" s="64">
        <v>46139</v>
      </c>
      <c r="B528" t="s">
        <v>1026</v>
      </c>
      <c r="C528" t="s">
        <v>1027</v>
      </c>
      <c r="E528" t="s">
        <v>66</v>
      </c>
      <c r="G528" t="s">
        <v>59</v>
      </c>
      <c r="H528" t="s">
        <v>1028</v>
      </c>
      <c r="N528" t="s">
        <v>1</v>
      </c>
      <c r="P528" t="s">
        <v>12</v>
      </c>
      <c r="Q528" t="s">
        <v>14</v>
      </c>
      <c r="R528" t="s">
        <v>146</v>
      </c>
      <c r="S528" t="s">
        <v>5</v>
      </c>
      <c r="T528" t="s">
        <v>1870</v>
      </c>
      <c r="U528" t="s">
        <v>1871</v>
      </c>
    </row>
    <row r="529" spans="1:21" x14ac:dyDescent="0.3">
      <c r="A529" s="64">
        <v>46139</v>
      </c>
      <c r="B529" t="s">
        <v>1031</v>
      </c>
      <c r="C529" t="s">
        <v>1032</v>
      </c>
      <c r="E529" t="s">
        <v>19</v>
      </c>
      <c r="F529" t="s">
        <v>109</v>
      </c>
      <c r="G529" t="s">
        <v>122</v>
      </c>
      <c r="H529" t="s">
        <v>1031</v>
      </c>
      <c r="N529" t="s">
        <v>145</v>
      </c>
      <c r="P529" t="s">
        <v>4</v>
      </c>
      <c r="Q529" t="s">
        <v>4</v>
      </c>
      <c r="R529" t="s">
        <v>4</v>
      </c>
      <c r="S529" t="s">
        <v>4</v>
      </c>
      <c r="T529" t="s">
        <v>1872</v>
      </c>
      <c r="U529" t="s">
        <v>1873</v>
      </c>
    </row>
    <row r="530" spans="1:21" x14ac:dyDescent="0.3">
      <c r="A530" s="64">
        <v>46139</v>
      </c>
      <c r="B530" t="s">
        <v>1041</v>
      </c>
      <c r="C530" t="s">
        <v>1042</v>
      </c>
      <c r="E530" t="s">
        <v>19</v>
      </c>
      <c r="F530" t="s">
        <v>109</v>
      </c>
      <c r="G530" t="s">
        <v>59</v>
      </c>
      <c r="H530" t="s">
        <v>1043</v>
      </c>
      <c r="N530" t="s">
        <v>1</v>
      </c>
      <c r="P530" t="s">
        <v>6</v>
      </c>
      <c r="Q530" t="s">
        <v>6</v>
      </c>
      <c r="R530" t="s">
        <v>188</v>
      </c>
      <c r="S530" t="s">
        <v>10</v>
      </c>
      <c r="T530" t="s">
        <v>1874</v>
      </c>
      <c r="U530" t="s">
        <v>1875</v>
      </c>
    </row>
    <row r="531" spans="1:21" x14ac:dyDescent="0.3">
      <c r="A531" s="64">
        <v>46139</v>
      </c>
      <c r="B531" t="s">
        <v>1050</v>
      </c>
      <c r="C531" t="s">
        <v>1051</v>
      </c>
      <c r="E531" t="s">
        <v>66</v>
      </c>
      <c r="F531" t="s">
        <v>233</v>
      </c>
      <c r="G531" t="s">
        <v>59</v>
      </c>
      <c r="H531" t="s">
        <v>1052</v>
      </c>
      <c r="N531" t="s">
        <v>1</v>
      </c>
      <c r="P531" t="s">
        <v>15</v>
      </c>
      <c r="Q531" t="s">
        <v>15</v>
      </c>
      <c r="R531" t="s">
        <v>524</v>
      </c>
      <c r="S531" t="s">
        <v>15</v>
      </c>
      <c r="T531" t="s">
        <v>1876</v>
      </c>
      <c r="U531" t="s">
        <v>1877</v>
      </c>
    </row>
    <row r="532" spans="1:21" x14ac:dyDescent="0.3">
      <c r="A532" s="64">
        <v>46139</v>
      </c>
      <c r="B532" t="s">
        <v>1059</v>
      </c>
      <c r="C532" t="s">
        <v>1060</v>
      </c>
      <c r="E532" t="s">
        <v>19</v>
      </c>
      <c r="F532" t="s">
        <v>109</v>
      </c>
      <c r="G532" t="s">
        <v>355</v>
      </c>
      <c r="H532" t="s">
        <v>1061</v>
      </c>
      <c r="N532" t="s">
        <v>1</v>
      </c>
      <c r="P532" t="s">
        <v>15</v>
      </c>
      <c r="Q532" t="s">
        <v>15</v>
      </c>
      <c r="R532" t="s">
        <v>524</v>
      </c>
      <c r="S532" t="s">
        <v>15</v>
      </c>
      <c r="T532" t="s">
        <v>1878</v>
      </c>
      <c r="U532" t="s">
        <v>1879</v>
      </c>
    </row>
    <row r="533" spans="1:21" x14ac:dyDescent="0.3">
      <c r="A533" s="64">
        <v>46140</v>
      </c>
      <c r="B533" t="s">
        <v>56</v>
      </c>
      <c r="C533" t="s">
        <v>57</v>
      </c>
      <c r="E533" t="s">
        <v>19</v>
      </c>
      <c r="F533" t="s">
        <v>58</v>
      </c>
      <c r="G533" t="s">
        <v>59</v>
      </c>
      <c r="H533" t="s">
        <v>60</v>
      </c>
      <c r="J533">
        <v>27.695721376928891</v>
      </c>
      <c r="K533">
        <v>23.712401525274469</v>
      </c>
      <c r="L533">
        <v>73.369034368864448</v>
      </c>
      <c r="M533">
        <v>50.176585110420532</v>
      </c>
      <c r="P533" t="s">
        <v>21</v>
      </c>
      <c r="Q533" t="s">
        <v>11</v>
      </c>
      <c r="R533" t="s">
        <v>61</v>
      </c>
      <c r="S533" t="s">
        <v>10</v>
      </c>
      <c r="T533" t="s">
        <v>1880</v>
      </c>
      <c r="U533" t="s">
        <v>1881</v>
      </c>
    </row>
    <row r="534" spans="1:21" x14ac:dyDescent="0.3">
      <c r="A534" s="64">
        <v>46140</v>
      </c>
      <c r="B534" t="s">
        <v>213</v>
      </c>
      <c r="C534" t="s">
        <v>214</v>
      </c>
      <c r="E534" t="s">
        <v>19</v>
      </c>
      <c r="F534" t="s">
        <v>58</v>
      </c>
      <c r="G534" t="s">
        <v>59</v>
      </c>
      <c r="H534" t="s">
        <v>60</v>
      </c>
      <c r="J534">
        <v>24.102475330623601</v>
      </c>
      <c r="K534">
        <v>20.665082655868019</v>
      </c>
      <c r="L534">
        <v>74.340426207189395</v>
      </c>
      <c r="M534">
        <v>49.147019544392222</v>
      </c>
      <c r="P534" t="s">
        <v>21</v>
      </c>
      <c r="Q534" t="s">
        <v>11</v>
      </c>
      <c r="R534" t="s">
        <v>61</v>
      </c>
      <c r="S534" t="s">
        <v>10</v>
      </c>
      <c r="T534" t="s">
        <v>1882</v>
      </c>
      <c r="U534" t="s">
        <v>1883</v>
      </c>
    </row>
    <row r="535" spans="1:21" x14ac:dyDescent="0.3">
      <c r="A535" s="64">
        <v>46140</v>
      </c>
      <c r="B535" t="s">
        <v>130</v>
      </c>
      <c r="C535" t="s">
        <v>131</v>
      </c>
      <c r="E535" t="s">
        <v>66</v>
      </c>
      <c r="F535" t="s">
        <v>103</v>
      </c>
      <c r="G535" t="s">
        <v>68</v>
      </c>
      <c r="H535" t="s">
        <v>69</v>
      </c>
      <c r="J535">
        <v>22.529040721956449</v>
      </c>
      <c r="K535">
        <v>19.246772477057981</v>
      </c>
      <c r="L535">
        <v>68.226707663280536</v>
      </c>
      <c r="M535">
        <v>45.25795587173581</v>
      </c>
      <c r="P535" t="s">
        <v>9</v>
      </c>
      <c r="Q535" t="s">
        <v>11</v>
      </c>
      <c r="R535" t="s">
        <v>104</v>
      </c>
      <c r="S535" t="s">
        <v>10</v>
      </c>
      <c r="T535" t="s">
        <v>1884</v>
      </c>
      <c r="U535" t="s">
        <v>1885</v>
      </c>
    </row>
    <row r="536" spans="1:21" x14ac:dyDescent="0.3">
      <c r="A536" s="64">
        <v>46140</v>
      </c>
      <c r="B536" t="s">
        <v>1214</v>
      </c>
      <c r="C536" t="s">
        <v>1215</v>
      </c>
      <c r="E536" t="s">
        <v>66</v>
      </c>
      <c r="F536" t="s">
        <v>103</v>
      </c>
      <c r="G536" t="s">
        <v>59</v>
      </c>
      <c r="H536" t="s">
        <v>60</v>
      </c>
      <c r="J536">
        <v>19.27650983777562</v>
      </c>
      <c r="K536">
        <v>16.398145598090519</v>
      </c>
      <c r="L536">
        <v>58.717341425403887</v>
      </c>
      <c r="M536">
        <v>38.878152171741817</v>
      </c>
      <c r="P536" t="s">
        <v>9</v>
      </c>
      <c r="Q536" t="s">
        <v>11</v>
      </c>
      <c r="R536" t="s">
        <v>104</v>
      </c>
      <c r="S536" t="s">
        <v>10</v>
      </c>
      <c r="T536" t="s">
        <v>1886</v>
      </c>
      <c r="U536" t="s">
        <v>1887</v>
      </c>
    </row>
    <row r="537" spans="1:21" x14ac:dyDescent="0.3">
      <c r="A537" s="64">
        <v>46140</v>
      </c>
      <c r="B537" t="s">
        <v>164</v>
      </c>
      <c r="C537" t="s">
        <v>165</v>
      </c>
      <c r="E537" t="s">
        <v>19</v>
      </c>
      <c r="F537" t="s">
        <v>109</v>
      </c>
      <c r="G537" t="s">
        <v>116</v>
      </c>
      <c r="H537" t="s">
        <v>166</v>
      </c>
      <c r="J537">
        <v>30.392716688848129</v>
      </c>
      <c r="K537">
        <v>51.780088980010937</v>
      </c>
      <c r="L537">
        <v>31.350070151707179</v>
      </c>
      <c r="M537">
        <v>38.071953126560572</v>
      </c>
      <c r="P537" t="s">
        <v>4</v>
      </c>
      <c r="Q537" t="s">
        <v>4</v>
      </c>
      <c r="R537" t="s">
        <v>4</v>
      </c>
      <c r="S537" t="s">
        <v>4</v>
      </c>
      <c r="T537" t="s">
        <v>1888</v>
      </c>
      <c r="U537" t="s">
        <v>1889</v>
      </c>
    </row>
    <row r="538" spans="1:21" x14ac:dyDescent="0.3">
      <c r="A538" s="64">
        <v>46140</v>
      </c>
      <c r="B538" t="s">
        <v>1073</v>
      </c>
      <c r="C538" t="s">
        <v>1074</v>
      </c>
      <c r="E538" t="s">
        <v>66</v>
      </c>
      <c r="F538" t="s">
        <v>103</v>
      </c>
      <c r="G538" t="s">
        <v>68</v>
      </c>
      <c r="H538" t="s">
        <v>69</v>
      </c>
      <c r="J538">
        <v>15.395629253943699</v>
      </c>
      <c r="K538">
        <v>16.318243792309701</v>
      </c>
      <c r="L538">
        <v>56.43874475503813</v>
      </c>
      <c r="M538">
        <v>37.108876732499517</v>
      </c>
      <c r="P538" t="s">
        <v>9</v>
      </c>
      <c r="Q538" t="s">
        <v>11</v>
      </c>
      <c r="R538" t="s">
        <v>104</v>
      </c>
      <c r="S538" t="s">
        <v>10</v>
      </c>
      <c r="T538" t="s">
        <v>1890</v>
      </c>
      <c r="U538" t="s">
        <v>1891</v>
      </c>
    </row>
    <row r="539" spans="1:21" x14ac:dyDescent="0.3">
      <c r="A539" s="64">
        <v>46140</v>
      </c>
      <c r="B539" t="s">
        <v>562</v>
      </c>
      <c r="C539" t="s">
        <v>563</v>
      </c>
      <c r="E539" t="s">
        <v>66</v>
      </c>
      <c r="F539" t="s">
        <v>103</v>
      </c>
      <c r="G539" t="s">
        <v>59</v>
      </c>
      <c r="H539" t="s">
        <v>60</v>
      </c>
      <c r="J539">
        <v>14.623399837735651</v>
      </c>
      <c r="K539">
        <v>12.5377833539038</v>
      </c>
      <c r="L539">
        <v>58.373628156553217</v>
      </c>
      <c r="M539">
        <v>36.73847782600383</v>
      </c>
      <c r="P539" t="s">
        <v>9</v>
      </c>
      <c r="Q539" t="s">
        <v>11</v>
      </c>
      <c r="R539" t="s">
        <v>104</v>
      </c>
      <c r="S539" t="s">
        <v>10</v>
      </c>
      <c r="T539" t="s">
        <v>1892</v>
      </c>
      <c r="U539" t="s">
        <v>1893</v>
      </c>
    </row>
    <row r="540" spans="1:21" x14ac:dyDescent="0.3">
      <c r="A540" s="64">
        <v>46140</v>
      </c>
      <c r="B540" t="s">
        <v>1099</v>
      </c>
      <c r="C540" t="s">
        <v>1100</v>
      </c>
      <c r="E540" t="s">
        <v>19</v>
      </c>
      <c r="F540" t="s">
        <v>58</v>
      </c>
      <c r="G540" t="s">
        <v>68</v>
      </c>
      <c r="H540" t="s">
        <v>69</v>
      </c>
      <c r="J540">
        <v>18.818642614774049</v>
      </c>
      <c r="K540">
        <v>16.075882064934671</v>
      </c>
      <c r="L540">
        <v>47.46642622469998</v>
      </c>
      <c r="M540">
        <v>32.837357640404882</v>
      </c>
      <c r="P540" t="s">
        <v>21</v>
      </c>
      <c r="Q540" t="s">
        <v>11</v>
      </c>
      <c r="R540" t="s">
        <v>61</v>
      </c>
      <c r="S540" t="s">
        <v>10</v>
      </c>
      <c r="T540" t="s">
        <v>1894</v>
      </c>
      <c r="U540" t="s">
        <v>1895</v>
      </c>
    </row>
    <row r="541" spans="1:21" x14ac:dyDescent="0.3">
      <c r="A541" s="64">
        <v>46140</v>
      </c>
      <c r="B541" t="s">
        <v>244</v>
      </c>
      <c r="C541" t="s">
        <v>245</v>
      </c>
      <c r="E541" t="s">
        <v>19</v>
      </c>
      <c r="F541" t="s">
        <v>109</v>
      </c>
      <c r="G541" t="s">
        <v>143</v>
      </c>
      <c r="H541" t="s">
        <v>144</v>
      </c>
      <c r="J541">
        <v>0</v>
      </c>
      <c r="K541">
        <v>0</v>
      </c>
      <c r="L541">
        <v>53.188345842444321</v>
      </c>
      <c r="M541">
        <v>27.737113799214129</v>
      </c>
      <c r="P541" t="s">
        <v>12</v>
      </c>
      <c r="Q541" t="s">
        <v>14</v>
      </c>
      <c r="R541" t="s">
        <v>146</v>
      </c>
      <c r="S541" t="s">
        <v>5</v>
      </c>
      <c r="T541" t="s">
        <v>1896</v>
      </c>
      <c r="U541" t="s">
        <v>1897</v>
      </c>
    </row>
    <row r="542" spans="1:21" x14ac:dyDescent="0.3">
      <c r="A542" s="64">
        <v>46140</v>
      </c>
      <c r="B542" t="s">
        <v>224</v>
      </c>
      <c r="C542" t="s">
        <v>225</v>
      </c>
      <c r="E542" t="s">
        <v>19</v>
      </c>
      <c r="F542" t="s">
        <v>109</v>
      </c>
      <c r="G542" t="s">
        <v>143</v>
      </c>
      <c r="H542" t="s">
        <v>144</v>
      </c>
      <c r="J542">
        <v>0</v>
      </c>
      <c r="K542">
        <v>0</v>
      </c>
      <c r="L542">
        <v>53.188345842444321</v>
      </c>
      <c r="M542">
        <v>27.737113799214129</v>
      </c>
      <c r="P542" t="s">
        <v>12</v>
      </c>
      <c r="Q542" t="s">
        <v>14</v>
      </c>
      <c r="R542" t="s">
        <v>146</v>
      </c>
      <c r="S542" t="s">
        <v>5</v>
      </c>
      <c r="T542" t="s">
        <v>1896</v>
      </c>
      <c r="U542" t="s">
        <v>1897</v>
      </c>
    </row>
    <row r="543" spans="1:21" x14ac:dyDescent="0.3">
      <c r="A543" s="64">
        <v>46140</v>
      </c>
      <c r="B543" t="s">
        <v>226</v>
      </c>
      <c r="C543" t="s">
        <v>227</v>
      </c>
      <c r="E543" t="s">
        <v>19</v>
      </c>
      <c r="F543" t="s">
        <v>109</v>
      </c>
      <c r="G543" t="s">
        <v>143</v>
      </c>
      <c r="H543" t="s">
        <v>144</v>
      </c>
      <c r="J543">
        <v>0</v>
      </c>
      <c r="K543">
        <v>0</v>
      </c>
      <c r="L543">
        <v>53.188345842444321</v>
      </c>
      <c r="M543">
        <v>27.737113799214129</v>
      </c>
      <c r="P543" t="s">
        <v>12</v>
      </c>
      <c r="Q543" t="s">
        <v>14</v>
      </c>
      <c r="R543" t="s">
        <v>146</v>
      </c>
      <c r="S543" t="s">
        <v>5</v>
      </c>
      <c r="T543" t="s">
        <v>1896</v>
      </c>
      <c r="U543" t="s">
        <v>1897</v>
      </c>
    </row>
    <row r="544" spans="1:21" x14ac:dyDescent="0.3">
      <c r="A544" s="64">
        <v>46140</v>
      </c>
      <c r="B544" t="s">
        <v>141</v>
      </c>
      <c r="C544" t="s">
        <v>142</v>
      </c>
      <c r="E544" t="s">
        <v>66</v>
      </c>
      <c r="F544" t="s">
        <v>79</v>
      </c>
      <c r="G544" t="s">
        <v>143</v>
      </c>
      <c r="H544" t="s">
        <v>144</v>
      </c>
      <c r="J544">
        <v>6.2141799455655073</v>
      </c>
      <c r="K544">
        <v>10.58459858692807</v>
      </c>
      <c r="L544">
        <v>42.932352303843352</v>
      </c>
      <c r="M544">
        <v>26.829486663641841</v>
      </c>
      <c r="P544" t="s">
        <v>12</v>
      </c>
      <c r="Q544" t="s">
        <v>14</v>
      </c>
      <c r="R544" t="s">
        <v>146</v>
      </c>
      <c r="S544" t="s">
        <v>5</v>
      </c>
      <c r="T544" t="s">
        <v>1898</v>
      </c>
      <c r="U544" t="s">
        <v>1899</v>
      </c>
    </row>
    <row r="545" spans="1:21" x14ac:dyDescent="0.3">
      <c r="A545" s="64">
        <v>46140</v>
      </c>
      <c r="B545" t="s">
        <v>160</v>
      </c>
      <c r="C545" t="s">
        <v>161</v>
      </c>
      <c r="E545" t="s">
        <v>66</v>
      </c>
      <c r="F545" t="s">
        <v>103</v>
      </c>
      <c r="G545" t="s">
        <v>68</v>
      </c>
      <c r="H545" t="s">
        <v>69</v>
      </c>
      <c r="J545">
        <v>8.6094275185944547</v>
      </c>
      <c r="K545">
        <v>10.45571442414599</v>
      </c>
      <c r="L545">
        <v>42.266813974307617</v>
      </c>
      <c r="M545">
        <v>26.781189271558329</v>
      </c>
      <c r="P545" t="s">
        <v>9</v>
      </c>
      <c r="Q545" t="s">
        <v>11</v>
      </c>
      <c r="R545" t="s">
        <v>104</v>
      </c>
      <c r="S545" t="s">
        <v>10</v>
      </c>
      <c r="T545" t="s">
        <v>1900</v>
      </c>
      <c r="U545" t="s">
        <v>1901</v>
      </c>
    </row>
    <row r="546" spans="1:21" x14ac:dyDescent="0.3">
      <c r="A546" s="64">
        <v>46140</v>
      </c>
      <c r="B546" t="s">
        <v>101</v>
      </c>
      <c r="C546" t="s">
        <v>102</v>
      </c>
      <c r="E546" t="s">
        <v>66</v>
      </c>
      <c r="F546" t="s">
        <v>103</v>
      </c>
      <c r="G546" t="s">
        <v>68</v>
      </c>
      <c r="H546" t="s">
        <v>69</v>
      </c>
      <c r="J546">
        <v>10.56616668465163</v>
      </c>
      <c r="K546">
        <v>14.85913269139883</v>
      </c>
      <c r="L546">
        <v>38.387984085083843</v>
      </c>
      <c r="M546">
        <v>26.516124337605191</v>
      </c>
      <c r="P546" t="s">
        <v>9</v>
      </c>
      <c r="Q546" t="s">
        <v>11</v>
      </c>
      <c r="R546" t="s">
        <v>104</v>
      </c>
      <c r="S546" t="s">
        <v>10</v>
      </c>
      <c r="T546" t="s">
        <v>1902</v>
      </c>
      <c r="U546" t="s">
        <v>1903</v>
      </c>
    </row>
    <row r="547" spans="1:21" x14ac:dyDescent="0.3">
      <c r="A547" s="64">
        <v>46140</v>
      </c>
      <c r="B547" t="s">
        <v>1362</v>
      </c>
      <c r="C547" t="s">
        <v>1363</v>
      </c>
      <c r="E547" t="s">
        <v>66</v>
      </c>
      <c r="F547" t="s">
        <v>109</v>
      </c>
      <c r="G547" t="s">
        <v>68</v>
      </c>
      <c r="H547" t="s">
        <v>1359</v>
      </c>
      <c r="J547">
        <v>15.905453041257511</v>
      </c>
      <c r="K547">
        <v>27.169907789916049</v>
      </c>
      <c r="L547">
        <v>26.22443320484955</v>
      </c>
      <c r="M547">
        <v>25.068290514877312</v>
      </c>
      <c r="P547" t="s">
        <v>19</v>
      </c>
      <c r="Q547" t="s">
        <v>11</v>
      </c>
      <c r="R547" t="s">
        <v>80</v>
      </c>
      <c r="S547" t="s">
        <v>10</v>
      </c>
      <c r="T547" t="s">
        <v>1904</v>
      </c>
      <c r="U547" t="s">
        <v>1905</v>
      </c>
    </row>
    <row r="548" spans="1:21" x14ac:dyDescent="0.3">
      <c r="A548" s="64">
        <v>46140</v>
      </c>
      <c r="B548" t="s">
        <v>1906</v>
      </c>
      <c r="C548" t="s">
        <v>1907</v>
      </c>
      <c r="E548" t="s">
        <v>66</v>
      </c>
      <c r="F548" t="s">
        <v>67</v>
      </c>
      <c r="G548" t="s">
        <v>59</v>
      </c>
      <c r="H548" t="s">
        <v>60</v>
      </c>
      <c r="J548">
        <v>11.519244911254191</v>
      </c>
      <c r="K548">
        <v>9.8523601633396911</v>
      </c>
      <c r="L548">
        <v>37.798849282176207</v>
      </c>
      <c r="M548">
        <v>24.664165475283429</v>
      </c>
      <c r="P548" t="s">
        <v>7</v>
      </c>
      <c r="Q548" t="s">
        <v>11</v>
      </c>
      <c r="R548" t="s">
        <v>70</v>
      </c>
      <c r="S548" t="s">
        <v>10</v>
      </c>
      <c r="T548" t="s">
        <v>1908</v>
      </c>
      <c r="U548" t="s">
        <v>1909</v>
      </c>
    </row>
    <row r="549" spans="1:21" x14ac:dyDescent="0.3">
      <c r="A549" s="64">
        <v>46140</v>
      </c>
      <c r="B549" t="s">
        <v>1226</v>
      </c>
      <c r="C549" t="s">
        <v>1227</v>
      </c>
      <c r="E549" t="s">
        <v>66</v>
      </c>
      <c r="F549" t="s">
        <v>67</v>
      </c>
      <c r="G549" t="s">
        <v>59</v>
      </c>
      <c r="H549" t="s">
        <v>60</v>
      </c>
      <c r="J549">
        <v>20.99482332769804</v>
      </c>
      <c r="K549">
        <v>17.96361535270697</v>
      </c>
      <c r="L549">
        <v>29.157658300993511</v>
      </c>
      <c r="M549">
        <v>24.2340368915028</v>
      </c>
      <c r="P549" t="s">
        <v>7</v>
      </c>
      <c r="Q549" t="s">
        <v>11</v>
      </c>
      <c r="R549" t="s">
        <v>70</v>
      </c>
      <c r="S549" t="s">
        <v>10</v>
      </c>
      <c r="T549" t="s">
        <v>1910</v>
      </c>
      <c r="U549" t="s">
        <v>1911</v>
      </c>
    </row>
    <row r="550" spans="1:21" x14ac:dyDescent="0.3">
      <c r="A550" s="64">
        <v>46140</v>
      </c>
      <c r="B550" t="s">
        <v>1238</v>
      </c>
      <c r="C550" t="s">
        <v>1239</v>
      </c>
      <c r="E550" t="s">
        <v>66</v>
      </c>
      <c r="F550" t="s">
        <v>396</v>
      </c>
      <c r="G550" t="s">
        <v>59</v>
      </c>
      <c r="H550" t="s">
        <v>60</v>
      </c>
      <c r="J550">
        <v>20.77375813819647</v>
      </c>
      <c r="K550">
        <v>17.787289492742541</v>
      </c>
      <c r="L550">
        <v>28.625672241593289</v>
      </c>
      <c r="M550">
        <v>23.865849534718478</v>
      </c>
      <c r="N550" t="s">
        <v>156</v>
      </c>
      <c r="O550" t="s">
        <v>252</v>
      </c>
      <c r="P550" t="s">
        <v>157</v>
      </c>
      <c r="Q550" t="s">
        <v>157</v>
      </c>
      <c r="R550" t="s">
        <v>156</v>
      </c>
      <c r="S550" t="s">
        <v>157</v>
      </c>
      <c r="T550" t="s">
        <v>1912</v>
      </c>
      <c r="U550" t="s">
        <v>1913</v>
      </c>
    </row>
    <row r="551" spans="1:21" x14ac:dyDescent="0.3">
      <c r="A551" s="64">
        <v>46140</v>
      </c>
      <c r="B551" t="s">
        <v>1165</v>
      </c>
      <c r="C551" t="s">
        <v>1166</v>
      </c>
      <c r="E551" t="s">
        <v>136</v>
      </c>
      <c r="F551" t="s">
        <v>103</v>
      </c>
      <c r="G551" t="s">
        <v>155</v>
      </c>
      <c r="H551" t="s">
        <v>69</v>
      </c>
      <c r="J551">
        <v>11.14830501700578</v>
      </c>
      <c r="K551">
        <v>9.783827364498439</v>
      </c>
      <c r="L551">
        <v>35.84245387607335</v>
      </c>
      <c r="M551">
        <v>23.567950221583018</v>
      </c>
      <c r="P551" t="s">
        <v>9</v>
      </c>
      <c r="Q551" t="s">
        <v>11</v>
      </c>
      <c r="R551" t="s">
        <v>104</v>
      </c>
      <c r="S551" t="s">
        <v>10</v>
      </c>
      <c r="T551" t="s">
        <v>1914</v>
      </c>
      <c r="U551" t="s">
        <v>1915</v>
      </c>
    </row>
    <row r="552" spans="1:21" x14ac:dyDescent="0.3">
      <c r="A552" s="64">
        <v>46140</v>
      </c>
      <c r="B552" t="s">
        <v>114</v>
      </c>
      <c r="C552" t="s">
        <v>115</v>
      </c>
      <c r="E552" t="s">
        <v>19</v>
      </c>
      <c r="F552" t="s">
        <v>109</v>
      </c>
      <c r="G552" t="s">
        <v>116</v>
      </c>
      <c r="H552" t="s">
        <v>117</v>
      </c>
      <c r="J552">
        <v>32.372936225315627</v>
      </c>
      <c r="K552">
        <v>55.081244836133287</v>
      </c>
      <c r="L552">
        <v>0</v>
      </c>
      <c r="M552">
        <v>23.114261499345091</v>
      </c>
      <c r="P552" t="s">
        <v>15</v>
      </c>
      <c r="Q552" t="s">
        <v>15</v>
      </c>
      <c r="R552" t="s">
        <v>15</v>
      </c>
      <c r="S552" t="s">
        <v>15</v>
      </c>
      <c r="T552" t="s">
        <v>1916</v>
      </c>
      <c r="U552" t="s">
        <v>1917</v>
      </c>
    </row>
    <row r="553" spans="1:21" x14ac:dyDescent="0.3">
      <c r="A553" s="64">
        <v>46140</v>
      </c>
      <c r="B553" t="s">
        <v>120</v>
      </c>
      <c r="C553" t="s">
        <v>121</v>
      </c>
      <c r="E553" t="s">
        <v>19</v>
      </c>
      <c r="F553" t="s">
        <v>109</v>
      </c>
      <c r="G553" t="s">
        <v>122</v>
      </c>
      <c r="H553" t="s">
        <v>123</v>
      </c>
      <c r="J553">
        <v>32.372936225315627</v>
      </c>
      <c r="K553">
        <v>55.081244836133287</v>
      </c>
      <c r="L553">
        <v>0</v>
      </c>
      <c r="M553">
        <v>23.114261499345091</v>
      </c>
      <c r="P553" t="s">
        <v>19</v>
      </c>
      <c r="Q553" t="s">
        <v>11</v>
      </c>
      <c r="R553" t="s">
        <v>80</v>
      </c>
      <c r="S553" t="s">
        <v>10</v>
      </c>
      <c r="T553" t="s">
        <v>1918</v>
      </c>
      <c r="U553" t="s">
        <v>1919</v>
      </c>
    </row>
    <row r="554" spans="1:21" x14ac:dyDescent="0.3">
      <c r="A554" s="64">
        <v>46140</v>
      </c>
      <c r="B554" t="s">
        <v>767</v>
      </c>
      <c r="C554" t="s">
        <v>768</v>
      </c>
      <c r="E554" t="s">
        <v>66</v>
      </c>
      <c r="F554" t="s">
        <v>67</v>
      </c>
      <c r="G554" t="s">
        <v>59</v>
      </c>
      <c r="H554" t="s">
        <v>60</v>
      </c>
      <c r="J554">
        <v>10.172495793516619</v>
      </c>
      <c r="K554">
        <v>8.7806984437848303</v>
      </c>
      <c r="L554">
        <v>35.458897228296173</v>
      </c>
      <c r="M554">
        <v>22.891822402570519</v>
      </c>
      <c r="P554" t="s">
        <v>7</v>
      </c>
      <c r="Q554" t="s">
        <v>11</v>
      </c>
      <c r="R554" t="s">
        <v>70</v>
      </c>
      <c r="S554" t="s">
        <v>10</v>
      </c>
      <c r="T554" t="s">
        <v>1920</v>
      </c>
      <c r="U554" t="s">
        <v>1921</v>
      </c>
    </row>
    <row r="555" spans="1:21" x14ac:dyDescent="0.3">
      <c r="A555" s="64">
        <v>46140</v>
      </c>
      <c r="B555" t="s">
        <v>1922</v>
      </c>
      <c r="C555" t="s">
        <v>1923</v>
      </c>
      <c r="E555" t="s">
        <v>19</v>
      </c>
      <c r="F555" t="s">
        <v>1924</v>
      </c>
      <c r="G555" t="s">
        <v>116</v>
      </c>
      <c r="H555" t="s">
        <v>687</v>
      </c>
      <c r="J555">
        <v>31.03967583100528</v>
      </c>
      <c r="K555">
        <v>27.460720612285829</v>
      </c>
      <c r="L555">
        <v>17.40112549166388</v>
      </c>
      <c r="M555">
        <v>22.72583132867053</v>
      </c>
      <c r="P555" t="s">
        <v>12</v>
      </c>
      <c r="Q555" t="s">
        <v>14</v>
      </c>
      <c r="R555" t="s">
        <v>146</v>
      </c>
      <c r="S555" t="s">
        <v>5</v>
      </c>
      <c r="T555" t="s">
        <v>1925</v>
      </c>
      <c r="U555" t="s">
        <v>1926</v>
      </c>
    </row>
    <row r="556" spans="1:21" x14ac:dyDescent="0.3">
      <c r="A556" s="64">
        <v>46140</v>
      </c>
      <c r="B556" t="s">
        <v>1218</v>
      </c>
      <c r="C556" t="s">
        <v>1219</v>
      </c>
      <c r="E556" t="s">
        <v>66</v>
      </c>
      <c r="F556" t="s">
        <v>103</v>
      </c>
      <c r="G556" t="s">
        <v>59</v>
      </c>
      <c r="H556" t="s">
        <v>60</v>
      </c>
      <c r="J556">
        <v>19.41476925290457</v>
      </c>
      <c r="K556">
        <v>16.56947759519365</v>
      </c>
      <c r="L556">
        <v>26.567975472073929</v>
      </c>
      <c r="M556">
        <v>22.189887225232781</v>
      </c>
      <c r="P556" t="s">
        <v>9</v>
      </c>
      <c r="Q556" t="s">
        <v>11</v>
      </c>
      <c r="R556" t="s">
        <v>104</v>
      </c>
      <c r="S556" t="s">
        <v>10</v>
      </c>
      <c r="T556" t="s">
        <v>1927</v>
      </c>
      <c r="U556" t="s">
        <v>1928</v>
      </c>
    </row>
    <row r="557" spans="1:21" x14ac:dyDescent="0.3">
      <c r="A557" s="64">
        <v>46140</v>
      </c>
      <c r="B557" t="s">
        <v>88</v>
      </c>
      <c r="C557" t="s">
        <v>89</v>
      </c>
      <c r="E557" t="s">
        <v>66</v>
      </c>
      <c r="F557" t="s">
        <v>67</v>
      </c>
      <c r="G557" t="s">
        <v>59</v>
      </c>
      <c r="H557" t="s">
        <v>60</v>
      </c>
      <c r="J557">
        <v>6.65755928044155</v>
      </c>
      <c r="K557">
        <v>7.5000913770651216</v>
      </c>
      <c r="L557">
        <v>34.955263238535508</v>
      </c>
      <c r="M557">
        <v>21.697335867341259</v>
      </c>
      <c r="P557" t="s">
        <v>7</v>
      </c>
      <c r="Q557" t="s">
        <v>11</v>
      </c>
      <c r="R557" t="s">
        <v>70</v>
      </c>
      <c r="S557" t="s">
        <v>10</v>
      </c>
      <c r="T557" t="s">
        <v>1929</v>
      </c>
      <c r="U557" t="s">
        <v>1930</v>
      </c>
    </row>
    <row r="558" spans="1:21" x14ac:dyDescent="0.3">
      <c r="A558" s="64">
        <v>46140</v>
      </c>
      <c r="B558" t="s">
        <v>1113</v>
      </c>
      <c r="C558" t="s">
        <v>1114</v>
      </c>
      <c r="E558" t="s">
        <v>1115</v>
      </c>
      <c r="G558" t="s">
        <v>68</v>
      </c>
      <c r="H558" t="s">
        <v>69</v>
      </c>
      <c r="J558">
        <v>16.869272288366929</v>
      </c>
      <c r="K558">
        <v>14.411225693700681</v>
      </c>
      <c r="L558">
        <v>23.101738306771988</v>
      </c>
      <c r="M558">
        <v>19.294237414855338</v>
      </c>
      <c r="P558" t="s">
        <v>23</v>
      </c>
      <c r="Q558" t="s">
        <v>11</v>
      </c>
      <c r="R558" t="s">
        <v>1116</v>
      </c>
      <c r="S558" t="s">
        <v>10</v>
      </c>
      <c r="T558" t="s">
        <v>1931</v>
      </c>
      <c r="U558" t="s">
        <v>1932</v>
      </c>
    </row>
    <row r="559" spans="1:21" x14ac:dyDescent="0.3">
      <c r="A559" s="64">
        <v>46140</v>
      </c>
      <c r="B559" t="s">
        <v>107</v>
      </c>
      <c r="C559" t="s">
        <v>108</v>
      </c>
      <c r="E559" t="s">
        <v>19</v>
      </c>
      <c r="F559" t="s">
        <v>109</v>
      </c>
      <c r="G559" t="s">
        <v>110</v>
      </c>
      <c r="H559" t="s">
        <v>111</v>
      </c>
      <c r="J559">
        <v>14.976229871827149</v>
      </c>
      <c r="K559">
        <v>27.94241587359874</v>
      </c>
      <c r="L559">
        <v>14.237253401974749</v>
      </c>
      <c r="M559">
        <v>18.943760290840189</v>
      </c>
      <c r="P559" t="s">
        <v>19</v>
      </c>
      <c r="Q559" t="s">
        <v>11</v>
      </c>
      <c r="R559" t="s">
        <v>80</v>
      </c>
      <c r="S559" t="s">
        <v>10</v>
      </c>
      <c r="T559" t="s">
        <v>1933</v>
      </c>
      <c r="U559" t="s">
        <v>1934</v>
      </c>
    </row>
    <row r="560" spans="1:21" x14ac:dyDescent="0.3">
      <c r="A560" s="64">
        <v>46140</v>
      </c>
      <c r="B560" t="s">
        <v>179</v>
      </c>
      <c r="C560" t="s">
        <v>180</v>
      </c>
      <c r="E560" t="s">
        <v>19</v>
      </c>
      <c r="F560" t="s">
        <v>109</v>
      </c>
      <c r="G560" t="s">
        <v>181</v>
      </c>
      <c r="H560" t="s">
        <v>182</v>
      </c>
      <c r="J560">
        <v>32.372936225315627</v>
      </c>
      <c r="K560">
        <v>41.310933627099971</v>
      </c>
      <c r="L560">
        <v>0</v>
      </c>
      <c r="M560">
        <v>18.491409199476081</v>
      </c>
      <c r="P560" t="s">
        <v>19</v>
      </c>
      <c r="Q560" t="s">
        <v>11</v>
      </c>
      <c r="R560" t="s">
        <v>80</v>
      </c>
      <c r="S560" t="s">
        <v>10</v>
      </c>
      <c r="T560" t="s">
        <v>1935</v>
      </c>
      <c r="U560" t="s">
        <v>1936</v>
      </c>
    </row>
    <row r="561" spans="1:21" x14ac:dyDescent="0.3">
      <c r="A561" s="64">
        <v>46140</v>
      </c>
      <c r="B561" t="s">
        <v>185</v>
      </c>
      <c r="C561" t="s">
        <v>186</v>
      </c>
      <c r="E561" t="s">
        <v>19</v>
      </c>
      <c r="F561" t="s">
        <v>109</v>
      </c>
      <c r="G561" t="s">
        <v>59</v>
      </c>
      <c r="H561" t="s">
        <v>187</v>
      </c>
      <c r="J561">
        <v>0</v>
      </c>
      <c r="K561">
        <v>55.081244836133287</v>
      </c>
      <c r="L561">
        <v>0</v>
      </c>
      <c r="M561">
        <v>18.49140919947607</v>
      </c>
      <c r="P561" t="s">
        <v>4</v>
      </c>
      <c r="Q561" t="s">
        <v>4</v>
      </c>
      <c r="R561" t="s">
        <v>4</v>
      </c>
      <c r="S561" t="s">
        <v>4</v>
      </c>
      <c r="T561" t="s">
        <v>1937</v>
      </c>
      <c r="U561" t="s">
        <v>1938</v>
      </c>
    </row>
    <row r="562" spans="1:21" x14ac:dyDescent="0.3">
      <c r="A562" s="64">
        <v>46140</v>
      </c>
      <c r="B562" t="s">
        <v>191</v>
      </c>
      <c r="C562" t="s">
        <v>192</v>
      </c>
      <c r="E562" t="s">
        <v>66</v>
      </c>
      <c r="F562" t="s">
        <v>193</v>
      </c>
      <c r="G562" t="s">
        <v>110</v>
      </c>
      <c r="H562" t="s">
        <v>194</v>
      </c>
      <c r="J562">
        <v>0</v>
      </c>
      <c r="K562">
        <v>55.081244836133287</v>
      </c>
      <c r="L562">
        <v>0</v>
      </c>
      <c r="M562">
        <v>18.49140919947607</v>
      </c>
      <c r="P562" t="s">
        <v>15</v>
      </c>
      <c r="Q562" t="s">
        <v>15</v>
      </c>
      <c r="R562" t="s">
        <v>15</v>
      </c>
      <c r="S562" t="s">
        <v>15</v>
      </c>
      <c r="T562" t="s">
        <v>1939</v>
      </c>
      <c r="U562" t="s">
        <v>1940</v>
      </c>
    </row>
    <row r="563" spans="1:21" x14ac:dyDescent="0.3">
      <c r="A563" s="64">
        <v>46140</v>
      </c>
      <c r="B563" t="s">
        <v>1183</v>
      </c>
      <c r="C563" t="s">
        <v>1184</v>
      </c>
      <c r="E563" t="s">
        <v>66</v>
      </c>
      <c r="F563" t="s">
        <v>396</v>
      </c>
      <c r="G563" t="s">
        <v>116</v>
      </c>
      <c r="H563" t="s">
        <v>117</v>
      </c>
      <c r="J563">
        <v>32.371062791506297</v>
      </c>
      <c r="K563">
        <v>41.310933627099971</v>
      </c>
      <c r="L563">
        <v>0</v>
      </c>
      <c r="M563">
        <v>18.491141673301321</v>
      </c>
      <c r="N563" t="s">
        <v>156</v>
      </c>
      <c r="O563" t="s">
        <v>252</v>
      </c>
      <c r="P563" t="s">
        <v>157</v>
      </c>
      <c r="Q563" t="s">
        <v>157</v>
      </c>
      <c r="R563" t="s">
        <v>156</v>
      </c>
      <c r="S563" t="s">
        <v>157</v>
      </c>
      <c r="T563" t="s">
        <v>1941</v>
      </c>
      <c r="U563" t="s">
        <v>1942</v>
      </c>
    </row>
    <row r="564" spans="1:21" x14ac:dyDescent="0.3">
      <c r="A564" s="64">
        <v>46140</v>
      </c>
      <c r="B564" t="s">
        <v>246</v>
      </c>
      <c r="C564" t="s">
        <v>247</v>
      </c>
      <c r="E564" t="s">
        <v>19</v>
      </c>
      <c r="F564" t="s">
        <v>109</v>
      </c>
      <c r="G564" t="s">
        <v>98</v>
      </c>
      <c r="H564" t="s">
        <v>246</v>
      </c>
      <c r="J564">
        <v>32.363569056268958</v>
      </c>
      <c r="K564">
        <v>41.310933627099971</v>
      </c>
      <c r="L564">
        <v>0</v>
      </c>
      <c r="M564">
        <v>18.490071568602271</v>
      </c>
      <c r="P564" t="s">
        <v>12</v>
      </c>
      <c r="Q564" t="s">
        <v>14</v>
      </c>
      <c r="R564" t="s">
        <v>146</v>
      </c>
      <c r="S564" t="s">
        <v>5</v>
      </c>
      <c r="T564" t="s">
        <v>1943</v>
      </c>
      <c r="U564" t="s">
        <v>1944</v>
      </c>
    </row>
    <row r="565" spans="1:21" x14ac:dyDescent="0.3">
      <c r="A565" s="64">
        <v>46140</v>
      </c>
      <c r="B565" t="s">
        <v>359</v>
      </c>
      <c r="C565" t="s">
        <v>360</v>
      </c>
      <c r="E565" t="s">
        <v>19</v>
      </c>
      <c r="F565" t="s">
        <v>109</v>
      </c>
      <c r="G565" t="s">
        <v>59</v>
      </c>
      <c r="H565" t="s">
        <v>60</v>
      </c>
      <c r="J565">
        <v>10.357091471529801</v>
      </c>
      <c r="K565">
        <v>10.29081069732176</v>
      </c>
      <c r="L565">
        <v>25.902813346116041</v>
      </c>
      <c r="M565">
        <v>18.441756341440449</v>
      </c>
      <c r="P565" t="s">
        <v>19</v>
      </c>
      <c r="Q565" t="s">
        <v>11</v>
      </c>
      <c r="R565" t="s">
        <v>80</v>
      </c>
      <c r="S565" t="s">
        <v>10</v>
      </c>
      <c r="T565" t="s">
        <v>1945</v>
      </c>
      <c r="U565" t="s">
        <v>1946</v>
      </c>
    </row>
    <row r="566" spans="1:21" x14ac:dyDescent="0.3">
      <c r="A566" s="64">
        <v>46140</v>
      </c>
      <c r="B566" t="s">
        <v>265</v>
      </c>
      <c r="C566" t="s">
        <v>266</v>
      </c>
      <c r="E566" t="s">
        <v>19</v>
      </c>
      <c r="F566" t="s">
        <v>58</v>
      </c>
      <c r="G566" t="s">
        <v>68</v>
      </c>
      <c r="H566" t="s">
        <v>69</v>
      </c>
      <c r="J566">
        <v>13.840928983369899</v>
      </c>
      <c r="K566">
        <v>11.77744117017045</v>
      </c>
      <c r="L566">
        <v>23.269901306069372</v>
      </c>
      <c r="M566">
        <v>18.065293508316849</v>
      </c>
      <c r="P566" t="s">
        <v>16</v>
      </c>
      <c r="Q566" t="s">
        <v>22</v>
      </c>
      <c r="R566" t="s">
        <v>172</v>
      </c>
      <c r="S566" t="s">
        <v>5</v>
      </c>
      <c r="T566" t="s">
        <v>1947</v>
      </c>
      <c r="U566" t="s">
        <v>1948</v>
      </c>
    </row>
    <row r="567" spans="1:21" x14ac:dyDescent="0.3">
      <c r="A567" s="64">
        <v>46140</v>
      </c>
      <c r="B567" t="s">
        <v>126</v>
      </c>
      <c r="C567" t="s">
        <v>127</v>
      </c>
      <c r="E567" t="s">
        <v>66</v>
      </c>
      <c r="F567" t="s">
        <v>103</v>
      </c>
      <c r="G567" t="s">
        <v>59</v>
      </c>
      <c r="H567" t="s">
        <v>60</v>
      </c>
      <c r="J567">
        <v>17.722683836312839</v>
      </c>
      <c r="K567">
        <v>15.087415975601051</v>
      </c>
      <c r="L567">
        <v>19.576266178121859</v>
      </c>
      <c r="M567">
        <v>17.804616003629789</v>
      </c>
      <c r="P567" t="s">
        <v>9</v>
      </c>
      <c r="Q567" t="s">
        <v>11</v>
      </c>
      <c r="R567" t="s">
        <v>104</v>
      </c>
      <c r="S567" t="s">
        <v>10</v>
      </c>
      <c r="T567" t="s">
        <v>1949</v>
      </c>
      <c r="U567" t="s">
        <v>1950</v>
      </c>
    </row>
    <row r="568" spans="1:21" x14ac:dyDescent="0.3">
      <c r="A568" s="64">
        <v>46140</v>
      </c>
      <c r="B568" t="s">
        <v>552</v>
      </c>
      <c r="C568" t="s">
        <v>553</v>
      </c>
      <c r="E568" t="s">
        <v>66</v>
      </c>
      <c r="F568" t="s">
        <v>103</v>
      </c>
      <c r="G568" t="s">
        <v>59</v>
      </c>
      <c r="H568" t="s">
        <v>60</v>
      </c>
      <c r="J568">
        <v>4.3165163922960401</v>
      </c>
      <c r="K568">
        <v>3.7121932705679148</v>
      </c>
      <c r="L568">
        <v>29.14951862358193</v>
      </c>
      <c r="M568">
        <v>17.063764685403491</v>
      </c>
      <c r="P568" t="s">
        <v>12</v>
      </c>
      <c r="Q568" t="s">
        <v>14</v>
      </c>
      <c r="R568" t="s">
        <v>146</v>
      </c>
      <c r="S568" t="s">
        <v>5</v>
      </c>
      <c r="T568" t="s">
        <v>1951</v>
      </c>
      <c r="U568" t="s">
        <v>1952</v>
      </c>
    </row>
    <row r="569" spans="1:21" x14ac:dyDescent="0.3">
      <c r="A569" s="64">
        <v>46140</v>
      </c>
      <c r="B569" t="s">
        <v>1953</v>
      </c>
      <c r="C569" t="s">
        <v>1954</v>
      </c>
      <c r="E569" t="s">
        <v>66</v>
      </c>
      <c r="F569" t="s">
        <v>396</v>
      </c>
      <c r="G569" t="s">
        <v>116</v>
      </c>
      <c r="H569" t="s">
        <v>117</v>
      </c>
      <c r="J569">
        <v>23.456015770815601</v>
      </c>
      <c r="K569">
        <v>39.910686356511647</v>
      </c>
      <c r="L569">
        <v>0.19374484259095101</v>
      </c>
      <c r="M569">
        <v>16.84903034246204</v>
      </c>
      <c r="P569" t="s">
        <v>24</v>
      </c>
      <c r="Q569" t="s">
        <v>22</v>
      </c>
      <c r="R569" t="s">
        <v>167</v>
      </c>
      <c r="S569" t="s">
        <v>5</v>
      </c>
      <c r="T569" t="s">
        <v>1955</v>
      </c>
      <c r="U569" t="s">
        <v>1956</v>
      </c>
    </row>
    <row r="570" spans="1:21" x14ac:dyDescent="0.3">
      <c r="A570" s="64">
        <v>46140</v>
      </c>
      <c r="B570" t="s">
        <v>1957</v>
      </c>
      <c r="C570" t="s">
        <v>1958</v>
      </c>
      <c r="E570" t="s">
        <v>66</v>
      </c>
      <c r="F570" t="s">
        <v>103</v>
      </c>
      <c r="G570" t="s">
        <v>59</v>
      </c>
      <c r="H570" t="s">
        <v>60</v>
      </c>
      <c r="J570">
        <v>8.2628422638674071</v>
      </c>
      <c r="K570">
        <v>7.0597282998595787</v>
      </c>
      <c r="L570">
        <v>23.407899618488528</v>
      </c>
      <c r="M570">
        <v>15.75691715677462</v>
      </c>
      <c r="P570" t="s">
        <v>9</v>
      </c>
      <c r="Q570" t="s">
        <v>11</v>
      </c>
      <c r="R570" t="s">
        <v>104</v>
      </c>
      <c r="S570" t="s">
        <v>10</v>
      </c>
      <c r="T570" t="s">
        <v>1959</v>
      </c>
      <c r="U570" t="s">
        <v>1960</v>
      </c>
    </row>
    <row r="571" spans="1:21" x14ac:dyDescent="0.3">
      <c r="A571" s="64">
        <v>46140</v>
      </c>
      <c r="B571" t="s">
        <v>208</v>
      </c>
      <c r="C571" t="s">
        <v>209</v>
      </c>
      <c r="E571" t="s">
        <v>19</v>
      </c>
      <c r="F571" t="s">
        <v>109</v>
      </c>
      <c r="G571" t="s">
        <v>116</v>
      </c>
      <c r="H571" t="s">
        <v>210</v>
      </c>
      <c r="J571">
        <v>13.45200412455187</v>
      </c>
      <c r="K571">
        <v>11.449758764548079</v>
      </c>
      <c r="L571">
        <v>18.468175639737598</v>
      </c>
      <c r="M571">
        <v>15.395703315612399</v>
      </c>
      <c r="P571" t="s">
        <v>24</v>
      </c>
      <c r="Q571" t="s">
        <v>22</v>
      </c>
      <c r="R571" t="s">
        <v>391</v>
      </c>
      <c r="S571" t="s">
        <v>5</v>
      </c>
      <c r="T571" t="s">
        <v>1961</v>
      </c>
      <c r="U571" t="s">
        <v>1962</v>
      </c>
    </row>
    <row r="572" spans="1:21" x14ac:dyDescent="0.3">
      <c r="A572" s="64">
        <v>46140</v>
      </c>
      <c r="B572" t="s">
        <v>438</v>
      </c>
      <c r="C572" t="s">
        <v>439</v>
      </c>
      <c r="E572" t="s">
        <v>440</v>
      </c>
      <c r="F572" t="s">
        <v>441</v>
      </c>
      <c r="G572" t="s">
        <v>59</v>
      </c>
      <c r="H572" t="s">
        <v>138</v>
      </c>
      <c r="J572">
        <v>6.3199665079993128</v>
      </c>
      <c r="K572">
        <v>5.470458007350965</v>
      </c>
      <c r="L572">
        <v>23.211829153779981</v>
      </c>
      <c r="M572">
        <v>14.84368980661068</v>
      </c>
      <c r="P572" t="s">
        <v>21</v>
      </c>
      <c r="Q572" t="s">
        <v>11</v>
      </c>
      <c r="R572" t="s">
        <v>61</v>
      </c>
      <c r="S572" t="s">
        <v>10</v>
      </c>
      <c r="T572" t="s">
        <v>1963</v>
      </c>
      <c r="U572" t="s">
        <v>1964</v>
      </c>
    </row>
    <row r="573" spans="1:21" x14ac:dyDescent="0.3">
      <c r="A573" s="64">
        <v>46140</v>
      </c>
      <c r="B573" t="s">
        <v>175</v>
      </c>
      <c r="C573" t="s">
        <v>176</v>
      </c>
      <c r="E573" t="s">
        <v>19</v>
      </c>
      <c r="F573" t="s">
        <v>109</v>
      </c>
      <c r="G573" t="s">
        <v>68</v>
      </c>
      <c r="H573" t="s">
        <v>69</v>
      </c>
      <c r="J573">
        <v>14.29704766814943</v>
      </c>
      <c r="K573">
        <v>10.67794132147387</v>
      </c>
      <c r="L573">
        <v>15.95089489939085</v>
      </c>
      <c r="M573">
        <v>13.94453433323917</v>
      </c>
      <c r="P573" t="s">
        <v>19</v>
      </c>
      <c r="Q573" t="s">
        <v>11</v>
      </c>
      <c r="R573" t="s">
        <v>80</v>
      </c>
      <c r="S573" t="s">
        <v>10</v>
      </c>
      <c r="T573" t="s">
        <v>1965</v>
      </c>
      <c r="U573" t="s">
        <v>1966</v>
      </c>
    </row>
    <row r="574" spans="1:21" x14ac:dyDescent="0.3">
      <c r="A574" s="64">
        <v>46140</v>
      </c>
      <c r="B574" t="s">
        <v>1109</v>
      </c>
      <c r="C574" t="s">
        <v>1110</v>
      </c>
      <c r="E574" t="s">
        <v>19</v>
      </c>
      <c r="F574" t="s">
        <v>109</v>
      </c>
      <c r="G574" t="s">
        <v>59</v>
      </c>
      <c r="H574" t="s">
        <v>60</v>
      </c>
      <c r="J574">
        <v>32.372936225315627</v>
      </c>
      <c r="K574">
        <v>27.540622418066651</v>
      </c>
      <c r="L574">
        <v>0</v>
      </c>
      <c r="M574">
        <v>13.868556899607061</v>
      </c>
      <c r="P574" t="s">
        <v>19</v>
      </c>
      <c r="Q574" t="s">
        <v>11</v>
      </c>
      <c r="R574" t="s">
        <v>80</v>
      </c>
      <c r="S574" t="s">
        <v>10</v>
      </c>
      <c r="T574" t="s">
        <v>1967</v>
      </c>
      <c r="U574" t="s">
        <v>1968</v>
      </c>
    </row>
    <row r="575" spans="1:21" x14ac:dyDescent="0.3">
      <c r="A575" s="64">
        <v>46140</v>
      </c>
      <c r="B575" t="s">
        <v>269</v>
      </c>
      <c r="C575" t="s">
        <v>270</v>
      </c>
      <c r="E575" t="s">
        <v>19</v>
      </c>
      <c r="F575" t="s">
        <v>271</v>
      </c>
      <c r="G575" t="s">
        <v>59</v>
      </c>
      <c r="H575" t="s">
        <v>272</v>
      </c>
      <c r="J575">
        <v>32.372936225315627</v>
      </c>
      <c r="K575">
        <v>27.540622418066651</v>
      </c>
      <c r="L575">
        <v>0</v>
      </c>
      <c r="M575">
        <v>13.868556899607061</v>
      </c>
      <c r="P575" t="s">
        <v>15</v>
      </c>
      <c r="Q575" t="s">
        <v>15</v>
      </c>
      <c r="R575" t="s">
        <v>15</v>
      </c>
      <c r="S575" t="s">
        <v>15</v>
      </c>
      <c r="T575" t="s">
        <v>1969</v>
      </c>
      <c r="U575" t="s">
        <v>1970</v>
      </c>
    </row>
    <row r="576" spans="1:21" x14ac:dyDescent="0.3">
      <c r="A576" s="64">
        <v>46140</v>
      </c>
      <c r="B576" t="s">
        <v>73</v>
      </c>
      <c r="C576" t="s">
        <v>74</v>
      </c>
      <c r="E576" t="s">
        <v>19</v>
      </c>
      <c r="F576" t="s">
        <v>58</v>
      </c>
      <c r="G576" t="s">
        <v>59</v>
      </c>
      <c r="H576" t="s">
        <v>60</v>
      </c>
      <c r="J576">
        <v>32.372936225315627</v>
      </c>
      <c r="K576">
        <v>27.540622418066651</v>
      </c>
      <c r="L576">
        <v>0</v>
      </c>
      <c r="M576">
        <v>13.868556899607061</v>
      </c>
      <c r="P576" t="s">
        <v>21</v>
      </c>
      <c r="Q576" t="s">
        <v>11</v>
      </c>
      <c r="R576" t="s">
        <v>61</v>
      </c>
      <c r="S576" t="s">
        <v>10</v>
      </c>
      <c r="T576" t="s">
        <v>1971</v>
      </c>
      <c r="U576" t="s">
        <v>1972</v>
      </c>
    </row>
    <row r="577" spans="1:21" x14ac:dyDescent="0.3">
      <c r="A577" s="64">
        <v>46140</v>
      </c>
      <c r="B577" t="s">
        <v>275</v>
      </c>
      <c r="C577" t="s">
        <v>276</v>
      </c>
      <c r="E577" t="s">
        <v>66</v>
      </c>
      <c r="F577" t="s">
        <v>103</v>
      </c>
      <c r="G577" t="s">
        <v>59</v>
      </c>
      <c r="H577" t="s">
        <v>60</v>
      </c>
      <c r="J577">
        <v>32.372936225315627</v>
      </c>
      <c r="K577">
        <v>27.540622418066651</v>
      </c>
      <c r="L577">
        <v>0</v>
      </c>
      <c r="M577">
        <v>13.868556899607061</v>
      </c>
      <c r="P577" t="s">
        <v>24</v>
      </c>
      <c r="Q577" t="s">
        <v>22</v>
      </c>
      <c r="R577" t="s">
        <v>167</v>
      </c>
      <c r="S577" t="s">
        <v>5</v>
      </c>
      <c r="T577" t="s">
        <v>1973</v>
      </c>
      <c r="U577" t="s">
        <v>1974</v>
      </c>
    </row>
    <row r="578" spans="1:21" x14ac:dyDescent="0.3">
      <c r="A578" s="64">
        <v>46140</v>
      </c>
      <c r="B578" t="s">
        <v>83</v>
      </c>
      <c r="C578" t="s">
        <v>84</v>
      </c>
      <c r="E578" t="s">
        <v>19</v>
      </c>
      <c r="F578" t="s">
        <v>85</v>
      </c>
      <c r="G578" t="s">
        <v>59</v>
      </c>
      <c r="H578" t="s">
        <v>60</v>
      </c>
      <c r="J578">
        <v>32.372936225315627</v>
      </c>
      <c r="K578">
        <v>27.540622418066651</v>
      </c>
      <c r="L578">
        <v>0</v>
      </c>
      <c r="M578">
        <v>13.868556899607061</v>
      </c>
      <c r="P578" t="s">
        <v>19</v>
      </c>
      <c r="Q578" t="s">
        <v>11</v>
      </c>
      <c r="R578" t="s">
        <v>80</v>
      </c>
      <c r="S578" t="s">
        <v>10</v>
      </c>
      <c r="T578" t="s">
        <v>1975</v>
      </c>
      <c r="U578" t="s">
        <v>1976</v>
      </c>
    </row>
    <row r="579" spans="1:21" x14ac:dyDescent="0.3">
      <c r="A579" s="64">
        <v>46140</v>
      </c>
      <c r="B579" t="s">
        <v>279</v>
      </c>
      <c r="C579" t="s">
        <v>280</v>
      </c>
      <c r="E579" t="s">
        <v>19</v>
      </c>
      <c r="F579" t="s">
        <v>109</v>
      </c>
      <c r="G579" t="s">
        <v>68</v>
      </c>
      <c r="H579" t="s">
        <v>69</v>
      </c>
      <c r="J579">
        <v>32.372936225315627</v>
      </c>
      <c r="K579">
        <v>27.540622418066651</v>
      </c>
      <c r="L579">
        <v>0</v>
      </c>
      <c r="M579">
        <v>13.868556899607061</v>
      </c>
      <c r="P579" t="s">
        <v>15</v>
      </c>
      <c r="Q579" t="s">
        <v>15</v>
      </c>
      <c r="R579" t="s">
        <v>15</v>
      </c>
      <c r="S579" t="s">
        <v>15</v>
      </c>
      <c r="T579" t="s">
        <v>1977</v>
      </c>
      <c r="U579" t="s">
        <v>1978</v>
      </c>
    </row>
    <row r="580" spans="1:21" x14ac:dyDescent="0.3">
      <c r="A580" s="64">
        <v>46140</v>
      </c>
      <c r="B580" t="s">
        <v>288</v>
      </c>
      <c r="C580" t="s">
        <v>289</v>
      </c>
      <c r="E580" t="s">
        <v>19</v>
      </c>
      <c r="F580" t="s">
        <v>85</v>
      </c>
      <c r="G580" t="s">
        <v>143</v>
      </c>
      <c r="H580" t="s">
        <v>290</v>
      </c>
      <c r="J580">
        <v>32.372936225315627</v>
      </c>
      <c r="K580">
        <v>27.540622418066651</v>
      </c>
      <c r="L580">
        <v>0</v>
      </c>
      <c r="M580">
        <v>13.868556899607061</v>
      </c>
      <c r="P580" t="s">
        <v>19</v>
      </c>
      <c r="Q580" t="s">
        <v>11</v>
      </c>
      <c r="R580" t="s">
        <v>80</v>
      </c>
      <c r="S580" t="s">
        <v>10</v>
      </c>
      <c r="T580" t="s">
        <v>1979</v>
      </c>
      <c r="U580" t="s">
        <v>1980</v>
      </c>
    </row>
    <row r="581" spans="1:21" x14ac:dyDescent="0.3">
      <c r="A581" s="64">
        <v>46140</v>
      </c>
      <c r="B581" t="s">
        <v>283</v>
      </c>
      <c r="C581" t="s">
        <v>284</v>
      </c>
      <c r="E581" t="s">
        <v>19</v>
      </c>
      <c r="F581" t="s">
        <v>109</v>
      </c>
      <c r="G581" t="s">
        <v>116</v>
      </c>
      <c r="H581" t="s">
        <v>285</v>
      </c>
      <c r="J581">
        <v>32.371062791506297</v>
      </c>
      <c r="K581">
        <v>27.540622418066651</v>
      </c>
      <c r="L581">
        <v>0</v>
      </c>
      <c r="M581">
        <v>13.868289373432299</v>
      </c>
      <c r="P581" t="s">
        <v>15</v>
      </c>
      <c r="Q581" t="s">
        <v>15</v>
      </c>
      <c r="R581" t="s">
        <v>15</v>
      </c>
      <c r="S581" t="s">
        <v>15</v>
      </c>
      <c r="T581" t="s">
        <v>1981</v>
      </c>
      <c r="U581" t="s">
        <v>1982</v>
      </c>
    </row>
    <row r="582" spans="1:21" x14ac:dyDescent="0.3">
      <c r="A582" s="64">
        <v>46140</v>
      </c>
      <c r="B582" t="s">
        <v>293</v>
      </c>
      <c r="C582" t="s">
        <v>294</v>
      </c>
      <c r="E582" t="s">
        <v>19</v>
      </c>
      <c r="F582" t="s">
        <v>109</v>
      </c>
      <c r="G582" t="s">
        <v>122</v>
      </c>
      <c r="H582" t="s">
        <v>295</v>
      </c>
      <c r="J582">
        <v>64.727138112537915</v>
      </c>
      <c r="K582">
        <v>13.77031120903332</v>
      </c>
      <c r="L582">
        <v>0</v>
      </c>
      <c r="M582">
        <v>13.86588163785945</v>
      </c>
      <c r="P582" t="s">
        <v>4</v>
      </c>
      <c r="Q582" t="s">
        <v>4</v>
      </c>
      <c r="R582" t="s">
        <v>4</v>
      </c>
      <c r="S582" t="s">
        <v>4</v>
      </c>
      <c r="T582" t="s">
        <v>1983</v>
      </c>
      <c r="U582" t="s">
        <v>1984</v>
      </c>
    </row>
    <row r="583" spans="1:21" x14ac:dyDescent="0.3">
      <c r="A583" s="64">
        <v>46140</v>
      </c>
      <c r="B583" t="s">
        <v>388</v>
      </c>
      <c r="C583" t="s">
        <v>389</v>
      </c>
      <c r="E583" t="s">
        <v>390</v>
      </c>
      <c r="G583" t="s">
        <v>59</v>
      </c>
      <c r="H583" t="s">
        <v>60</v>
      </c>
      <c r="J583">
        <v>9.017211611093126</v>
      </c>
      <c r="K583">
        <v>9.6218455787100794</v>
      </c>
      <c r="L583">
        <v>17.340898718883182</v>
      </c>
      <c r="M583">
        <v>13.56090179863198</v>
      </c>
      <c r="P583" t="s">
        <v>23</v>
      </c>
      <c r="Q583" t="s">
        <v>11</v>
      </c>
      <c r="R583" t="s">
        <v>1116</v>
      </c>
      <c r="S583" t="s">
        <v>10</v>
      </c>
      <c r="T583" t="s">
        <v>1985</v>
      </c>
      <c r="U583" t="s">
        <v>1986</v>
      </c>
    </row>
    <row r="584" spans="1:21" x14ac:dyDescent="0.3">
      <c r="A584" s="64">
        <v>46140</v>
      </c>
      <c r="B584" t="s">
        <v>321</v>
      </c>
      <c r="C584" t="s">
        <v>322</v>
      </c>
      <c r="E584" t="s">
        <v>66</v>
      </c>
      <c r="F584" t="s">
        <v>103</v>
      </c>
      <c r="G584" t="s">
        <v>59</v>
      </c>
      <c r="H584" t="s">
        <v>60</v>
      </c>
      <c r="J584">
        <v>28.7164930118421</v>
      </c>
      <c r="K584">
        <v>27.520646966621449</v>
      </c>
      <c r="L584">
        <v>0</v>
      </c>
      <c r="M584">
        <v>13.339711157339631</v>
      </c>
      <c r="P584" t="s">
        <v>9</v>
      </c>
      <c r="Q584" t="s">
        <v>11</v>
      </c>
      <c r="R584" t="s">
        <v>104</v>
      </c>
      <c r="S584" t="s">
        <v>10</v>
      </c>
      <c r="T584" t="s">
        <v>1987</v>
      </c>
      <c r="U584" t="s">
        <v>1988</v>
      </c>
    </row>
    <row r="585" spans="1:21" x14ac:dyDescent="0.3">
      <c r="A585" s="64">
        <v>46140</v>
      </c>
      <c r="B585" t="s">
        <v>1989</v>
      </c>
      <c r="C585" t="s">
        <v>1990</v>
      </c>
      <c r="E585" t="s">
        <v>66</v>
      </c>
      <c r="F585" t="s">
        <v>67</v>
      </c>
      <c r="G585" t="s">
        <v>59</v>
      </c>
      <c r="H585" t="s">
        <v>60</v>
      </c>
      <c r="J585">
        <v>11.08922940421807</v>
      </c>
      <c r="K585">
        <v>9.4645388985791072</v>
      </c>
      <c r="L585">
        <v>15.69794929377696</v>
      </c>
      <c r="M585">
        <v>12.947196753730379</v>
      </c>
      <c r="P585" t="s">
        <v>7</v>
      </c>
      <c r="Q585" t="s">
        <v>11</v>
      </c>
      <c r="R585" t="s">
        <v>70</v>
      </c>
      <c r="S585" t="s">
        <v>10</v>
      </c>
      <c r="T585" t="s">
        <v>1991</v>
      </c>
      <c r="U585" t="s">
        <v>1992</v>
      </c>
    </row>
    <row r="586" spans="1:21" x14ac:dyDescent="0.3">
      <c r="A586" s="64">
        <v>46140</v>
      </c>
      <c r="B586" t="s">
        <v>170</v>
      </c>
      <c r="C586" t="s">
        <v>171</v>
      </c>
      <c r="G586" t="s">
        <v>59</v>
      </c>
      <c r="H586" t="s">
        <v>60</v>
      </c>
      <c r="J586">
        <v>32.160363935749707</v>
      </c>
      <c r="K586">
        <v>24.835011271254739</v>
      </c>
      <c r="L586">
        <v>0</v>
      </c>
      <c r="M586">
        <v>12.929896727762509</v>
      </c>
      <c r="P586" t="s">
        <v>16</v>
      </c>
      <c r="Q586" t="s">
        <v>22</v>
      </c>
      <c r="R586" t="s">
        <v>172</v>
      </c>
      <c r="S586" t="s">
        <v>5</v>
      </c>
      <c r="T586" t="s">
        <v>1993</v>
      </c>
      <c r="U586" t="s">
        <v>1994</v>
      </c>
    </row>
    <row r="587" spans="1:21" x14ac:dyDescent="0.3">
      <c r="A587" s="64">
        <v>46140</v>
      </c>
      <c r="B587" t="s">
        <v>1995</v>
      </c>
      <c r="C587" t="s">
        <v>1996</v>
      </c>
      <c r="E587" t="s">
        <v>390</v>
      </c>
      <c r="G587" t="s">
        <v>143</v>
      </c>
      <c r="H587" t="s">
        <v>1997</v>
      </c>
      <c r="J587">
        <v>18.70124076272236</v>
      </c>
      <c r="K587">
        <v>29.69807742654984</v>
      </c>
      <c r="L587">
        <v>0.54720520414037344</v>
      </c>
      <c r="M587">
        <v>12.9258838351411</v>
      </c>
      <c r="P587" t="s">
        <v>23</v>
      </c>
      <c r="Q587" t="s">
        <v>11</v>
      </c>
      <c r="R587" t="s">
        <v>1116</v>
      </c>
      <c r="S587" t="s">
        <v>10</v>
      </c>
      <c r="T587" t="s">
        <v>1998</v>
      </c>
      <c r="U587" t="s">
        <v>1999</v>
      </c>
    </row>
    <row r="588" spans="1:21" x14ac:dyDescent="0.3">
      <c r="A588" s="64">
        <v>46140</v>
      </c>
      <c r="B588" t="s">
        <v>324</v>
      </c>
      <c r="C588" t="s">
        <v>325</v>
      </c>
      <c r="E588" t="s">
        <v>19</v>
      </c>
      <c r="F588" t="s">
        <v>221</v>
      </c>
      <c r="G588" t="s">
        <v>122</v>
      </c>
      <c r="H588" t="s">
        <v>324</v>
      </c>
      <c r="J588">
        <v>54.007724542282659</v>
      </c>
      <c r="K588">
        <v>13.77031120903332</v>
      </c>
      <c r="L588">
        <v>0</v>
      </c>
      <c r="M588">
        <v>12.335150371112309</v>
      </c>
      <c r="P588" t="s">
        <v>4</v>
      </c>
      <c r="Q588" t="s">
        <v>4</v>
      </c>
      <c r="R588" t="s">
        <v>4</v>
      </c>
      <c r="S588" t="s">
        <v>4</v>
      </c>
      <c r="T588" t="s">
        <v>2000</v>
      </c>
      <c r="U588" t="s">
        <v>2001</v>
      </c>
    </row>
    <row r="589" spans="1:21" x14ac:dyDescent="0.3">
      <c r="A589" s="64">
        <v>46140</v>
      </c>
      <c r="B589" t="s">
        <v>419</v>
      </c>
      <c r="C589" t="s">
        <v>420</v>
      </c>
      <c r="E589" t="s">
        <v>19</v>
      </c>
      <c r="F589" t="s">
        <v>271</v>
      </c>
      <c r="G589" t="s">
        <v>59</v>
      </c>
      <c r="H589" t="s">
        <v>60</v>
      </c>
      <c r="J589">
        <v>0</v>
      </c>
      <c r="K589">
        <v>36.720829890755532</v>
      </c>
      <c r="L589">
        <v>0</v>
      </c>
      <c r="M589">
        <v>12.32760613298405</v>
      </c>
      <c r="P589" t="s">
        <v>24</v>
      </c>
      <c r="Q589" t="s">
        <v>22</v>
      </c>
      <c r="R589" t="s">
        <v>167</v>
      </c>
      <c r="S589" t="s">
        <v>5</v>
      </c>
      <c r="T589" t="s">
        <v>2002</v>
      </c>
      <c r="U589" t="s">
        <v>2003</v>
      </c>
    </row>
    <row r="590" spans="1:21" x14ac:dyDescent="0.3">
      <c r="A590" s="64">
        <v>46140</v>
      </c>
      <c r="B590" t="s">
        <v>312</v>
      </c>
      <c r="C590" t="s">
        <v>313</v>
      </c>
      <c r="E590" t="s">
        <v>19</v>
      </c>
      <c r="F590" t="s">
        <v>261</v>
      </c>
      <c r="G590" t="s">
        <v>59</v>
      </c>
      <c r="H590" t="s">
        <v>314</v>
      </c>
      <c r="J590">
        <v>21.57621228652846</v>
      </c>
      <c r="K590">
        <v>27.540622418066651</v>
      </c>
      <c r="L590">
        <v>0</v>
      </c>
      <c r="M590">
        <v>12.32678571938145</v>
      </c>
      <c r="P590" t="s">
        <v>19</v>
      </c>
      <c r="Q590" t="s">
        <v>11</v>
      </c>
      <c r="R590" t="s">
        <v>80</v>
      </c>
      <c r="S590" t="s">
        <v>10</v>
      </c>
      <c r="T590" t="s">
        <v>2004</v>
      </c>
      <c r="U590" t="s">
        <v>2005</v>
      </c>
    </row>
    <row r="591" spans="1:21" x14ac:dyDescent="0.3">
      <c r="A591" s="64">
        <v>46140</v>
      </c>
      <c r="B591" t="s">
        <v>1512</v>
      </c>
      <c r="C591" t="s">
        <v>1513</v>
      </c>
      <c r="E591" t="s">
        <v>19</v>
      </c>
      <c r="F591" t="s">
        <v>58</v>
      </c>
      <c r="G591" t="s">
        <v>59</v>
      </c>
      <c r="H591" t="s">
        <v>60</v>
      </c>
      <c r="J591">
        <v>3.6514473899819748</v>
      </c>
      <c r="K591">
        <v>3.862487292212804</v>
      </c>
      <c r="L591">
        <v>20.091323076518989</v>
      </c>
      <c r="M591">
        <v>12.295502992012739</v>
      </c>
      <c r="P591" t="s">
        <v>21</v>
      </c>
      <c r="Q591" t="s">
        <v>11</v>
      </c>
      <c r="R591" t="s">
        <v>61</v>
      </c>
      <c r="S591" t="s">
        <v>10</v>
      </c>
      <c r="T591" t="s">
        <v>2006</v>
      </c>
      <c r="U591" t="s">
        <v>2007</v>
      </c>
    </row>
    <row r="592" spans="1:21" x14ac:dyDescent="0.3">
      <c r="A592" s="64">
        <v>46140</v>
      </c>
      <c r="B592" t="s">
        <v>1287</v>
      </c>
      <c r="C592" t="s">
        <v>1288</v>
      </c>
      <c r="E592" t="s">
        <v>19</v>
      </c>
      <c r="F592" t="s">
        <v>221</v>
      </c>
      <c r="G592" t="s">
        <v>143</v>
      </c>
      <c r="H592" t="s">
        <v>1289</v>
      </c>
      <c r="J592">
        <v>20.558063458948322</v>
      </c>
      <c r="K592">
        <v>26.421188588275839</v>
      </c>
      <c r="L592">
        <v>0</v>
      </c>
      <c r="M592">
        <v>11.80558731270901</v>
      </c>
      <c r="P592" t="s">
        <v>4</v>
      </c>
      <c r="Q592" t="s">
        <v>4</v>
      </c>
      <c r="R592" t="s">
        <v>4</v>
      </c>
      <c r="S592" t="s">
        <v>4</v>
      </c>
      <c r="T592" t="s">
        <v>2008</v>
      </c>
      <c r="U592" t="s">
        <v>2009</v>
      </c>
    </row>
    <row r="593" spans="1:21" x14ac:dyDescent="0.3">
      <c r="A593" s="64">
        <v>46140</v>
      </c>
      <c r="B593" t="s">
        <v>2010</v>
      </c>
      <c r="C593" t="s">
        <v>2011</v>
      </c>
      <c r="E593" t="s">
        <v>66</v>
      </c>
      <c r="F593" t="s">
        <v>396</v>
      </c>
      <c r="G593" t="s">
        <v>110</v>
      </c>
      <c r="H593" t="s">
        <v>111</v>
      </c>
      <c r="J593">
        <v>9.5207906190424811</v>
      </c>
      <c r="K593">
        <v>12.14895269133082</v>
      </c>
      <c r="L593">
        <v>11.984648978805639</v>
      </c>
      <c r="M593">
        <v>11.68796888420896</v>
      </c>
      <c r="P593" t="s">
        <v>7</v>
      </c>
      <c r="Q593" t="s">
        <v>11</v>
      </c>
      <c r="R593" t="s">
        <v>70</v>
      </c>
      <c r="S593" t="s">
        <v>10</v>
      </c>
      <c r="T593" t="s">
        <v>2012</v>
      </c>
      <c r="U593" t="s">
        <v>2013</v>
      </c>
    </row>
    <row r="594" spans="1:21" x14ac:dyDescent="0.3">
      <c r="A594" s="64">
        <v>46140</v>
      </c>
      <c r="B594" t="s">
        <v>92</v>
      </c>
      <c r="C594" t="s">
        <v>93</v>
      </c>
      <c r="E594" t="s">
        <v>66</v>
      </c>
      <c r="F594" t="s">
        <v>67</v>
      </c>
      <c r="G594" t="s">
        <v>68</v>
      </c>
      <c r="H594" t="s">
        <v>69</v>
      </c>
      <c r="J594">
        <v>8.9849885495725559</v>
      </c>
      <c r="K594">
        <v>7.6482603506839242</v>
      </c>
      <c r="L594">
        <v>14.95922226818745</v>
      </c>
      <c r="M594">
        <v>11.65172800506801</v>
      </c>
      <c r="P594" t="s">
        <v>7</v>
      </c>
      <c r="Q594" t="s">
        <v>11</v>
      </c>
      <c r="R594" t="s">
        <v>70</v>
      </c>
      <c r="S594" t="s">
        <v>10</v>
      </c>
      <c r="T594" t="s">
        <v>2014</v>
      </c>
      <c r="U594" t="s">
        <v>2015</v>
      </c>
    </row>
    <row r="595" spans="1:21" x14ac:dyDescent="0.3">
      <c r="A595" s="64">
        <v>46140</v>
      </c>
      <c r="B595" t="s">
        <v>2016</v>
      </c>
      <c r="C595" t="s">
        <v>2017</v>
      </c>
      <c r="E595" t="s">
        <v>19</v>
      </c>
      <c r="F595" t="s">
        <v>109</v>
      </c>
      <c r="G595" t="s">
        <v>116</v>
      </c>
      <c r="H595" t="s">
        <v>117</v>
      </c>
      <c r="J595">
        <v>8.7021000443629113</v>
      </c>
      <c r="K595">
        <v>11.103110305292899</v>
      </c>
      <c r="L595">
        <v>12.324429210251569</v>
      </c>
      <c r="M595">
        <v>11.397150097165509</v>
      </c>
      <c r="P595" t="s">
        <v>19</v>
      </c>
      <c r="Q595" t="s">
        <v>11</v>
      </c>
      <c r="R595" t="s">
        <v>80</v>
      </c>
      <c r="S595" t="s">
        <v>10</v>
      </c>
      <c r="T595" t="s">
        <v>2018</v>
      </c>
      <c r="U595" t="s">
        <v>2019</v>
      </c>
    </row>
    <row r="596" spans="1:21" x14ac:dyDescent="0.3">
      <c r="A596" s="64">
        <v>46140</v>
      </c>
      <c r="B596" t="s">
        <v>64</v>
      </c>
      <c r="C596" t="s">
        <v>65</v>
      </c>
      <c r="E596" t="s">
        <v>66</v>
      </c>
      <c r="F596" t="s">
        <v>67</v>
      </c>
      <c r="G596" t="s">
        <v>68</v>
      </c>
      <c r="H596" t="s">
        <v>69</v>
      </c>
      <c r="J596">
        <v>6.6445701393634922</v>
      </c>
      <c r="K596">
        <v>5.7069758526542698</v>
      </c>
      <c r="L596">
        <v>14.9552892307827</v>
      </c>
      <c r="M596">
        <v>10.66375384167587</v>
      </c>
      <c r="P596" t="s">
        <v>7</v>
      </c>
      <c r="Q596" t="s">
        <v>11</v>
      </c>
      <c r="R596" t="s">
        <v>70</v>
      </c>
      <c r="S596" t="s">
        <v>10</v>
      </c>
      <c r="T596" t="s">
        <v>2020</v>
      </c>
      <c r="U596" t="s">
        <v>2021</v>
      </c>
    </row>
    <row r="597" spans="1:21" x14ac:dyDescent="0.3">
      <c r="A597" s="64">
        <v>46140</v>
      </c>
      <c r="B597" t="s">
        <v>1134</v>
      </c>
      <c r="C597" t="s">
        <v>1135</v>
      </c>
      <c r="E597" t="s">
        <v>19</v>
      </c>
      <c r="F597" t="s">
        <v>1136</v>
      </c>
      <c r="G597" t="s">
        <v>59</v>
      </c>
      <c r="H597" t="s">
        <v>60</v>
      </c>
      <c r="J597">
        <v>5.1610603535444373</v>
      </c>
      <c r="K597">
        <v>4.4875170428851678</v>
      </c>
      <c r="L597">
        <v>15.69794929377697</v>
      </c>
      <c r="M597">
        <v>10.42981111938659</v>
      </c>
      <c r="P597" t="s">
        <v>21</v>
      </c>
      <c r="Q597" t="s">
        <v>11</v>
      </c>
      <c r="R597" t="s">
        <v>61</v>
      </c>
      <c r="S597" t="s">
        <v>10</v>
      </c>
      <c r="T597" t="s">
        <v>2022</v>
      </c>
      <c r="U597" t="s">
        <v>2023</v>
      </c>
    </row>
    <row r="598" spans="1:21" x14ac:dyDescent="0.3">
      <c r="A598" s="64">
        <v>46140</v>
      </c>
      <c r="B598" t="s">
        <v>2024</v>
      </c>
      <c r="C598" t="s">
        <v>2025</v>
      </c>
      <c r="E598" t="s">
        <v>66</v>
      </c>
      <c r="F598" t="s">
        <v>233</v>
      </c>
      <c r="G598" t="s">
        <v>68</v>
      </c>
      <c r="H598" t="s">
        <v>69</v>
      </c>
      <c r="J598">
        <v>4.5016116526583776</v>
      </c>
      <c r="K598">
        <v>3.989883921376622</v>
      </c>
      <c r="L598">
        <v>15.57773515049238</v>
      </c>
      <c r="M598">
        <v>10.10589042698604</v>
      </c>
      <c r="P598" t="s">
        <v>7</v>
      </c>
      <c r="Q598" t="s">
        <v>11</v>
      </c>
      <c r="R598" t="s">
        <v>70</v>
      </c>
      <c r="S598" t="s">
        <v>10</v>
      </c>
      <c r="T598" t="s">
        <v>2026</v>
      </c>
      <c r="U598" t="s">
        <v>2027</v>
      </c>
    </row>
    <row r="599" spans="1:21" x14ac:dyDescent="0.3">
      <c r="A599" s="64">
        <v>46140</v>
      </c>
      <c r="B599" t="s">
        <v>1542</v>
      </c>
      <c r="C599" t="s">
        <v>1543</v>
      </c>
      <c r="E599" t="s">
        <v>19</v>
      </c>
      <c r="F599" t="s">
        <v>58</v>
      </c>
      <c r="G599" t="s">
        <v>68</v>
      </c>
      <c r="H599" t="s">
        <v>69</v>
      </c>
      <c r="J599">
        <v>5.5088945641443754</v>
      </c>
      <c r="K599">
        <v>4.7524574055373652</v>
      </c>
      <c r="L599">
        <v>14.770573274060069</v>
      </c>
      <c r="M599">
        <v>10.08480936441488</v>
      </c>
      <c r="P599" t="s">
        <v>21</v>
      </c>
      <c r="Q599" t="s">
        <v>11</v>
      </c>
      <c r="R599" t="s">
        <v>61</v>
      </c>
      <c r="S599" t="s">
        <v>10</v>
      </c>
      <c r="T599" t="s">
        <v>2028</v>
      </c>
      <c r="U599" t="s">
        <v>2029</v>
      </c>
    </row>
    <row r="600" spans="1:21" x14ac:dyDescent="0.3">
      <c r="A600" s="64">
        <v>46140</v>
      </c>
      <c r="B600" t="s">
        <v>1264</v>
      </c>
      <c r="C600" t="s">
        <v>1265</v>
      </c>
      <c r="E600" t="s">
        <v>66</v>
      </c>
      <c r="F600" t="s">
        <v>396</v>
      </c>
      <c r="G600" t="s">
        <v>116</v>
      </c>
      <c r="H600" t="s">
        <v>285</v>
      </c>
      <c r="J600">
        <v>21.523881035454359</v>
      </c>
      <c r="K600">
        <v>18.325989167355178</v>
      </c>
      <c r="L600">
        <v>1.1210866619825901</v>
      </c>
      <c r="M600">
        <v>9.8104880248150135</v>
      </c>
      <c r="P600" t="s">
        <v>9</v>
      </c>
      <c r="Q600" t="s">
        <v>11</v>
      </c>
      <c r="R600" t="s">
        <v>104</v>
      </c>
      <c r="S600" t="s">
        <v>10</v>
      </c>
      <c r="T600" t="s">
        <v>2030</v>
      </c>
      <c r="U600" t="s">
        <v>2031</v>
      </c>
    </row>
    <row r="601" spans="1:21" x14ac:dyDescent="0.3">
      <c r="A601" s="64">
        <v>46140</v>
      </c>
      <c r="B601" t="s">
        <v>236</v>
      </c>
      <c r="C601" t="s">
        <v>237</v>
      </c>
      <c r="E601" t="s">
        <v>66</v>
      </c>
      <c r="F601" t="s">
        <v>103</v>
      </c>
      <c r="G601" t="s">
        <v>59</v>
      </c>
      <c r="H601" t="s">
        <v>60</v>
      </c>
      <c r="J601">
        <v>10.6120033651867</v>
      </c>
      <c r="K601">
        <v>9.7761771916045301</v>
      </c>
      <c r="L601">
        <v>9.5155906970737654</v>
      </c>
      <c r="M601">
        <v>9.7596402165321194</v>
      </c>
      <c r="P601" t="s">
        <v>9</v>
      </c>
      <c r="Q601" t="s">
        <v>11</v>
      </c>
      <c r="R601" t="s">
        <v>104</v>
      </c>
      <c r="S601" t="s">
        <v>10</v>
      </c>
      <c r="T601" t="s">
        <v>2032</v>
      </c>
      <c r="U601" t="s">
        <v>2033</v>
      </c>
    </row>
    <row r="602" spans="1:21" x14ac:dyDescent="0.3">
      <c r="A602" s="64">
        <v>46140</v>
      </c>
      <c r="B602" t="s">
        <v>2034</v>
      </c>
      <c r="C602" t="s">
        <v>2035</v>
      </c>
      <c r="E602" t="s">
        <v>66</v>
      </c>
      <c r="F602" t="s">
        <v>396</v>
      </c>
      <c r="G602" t="s">
        <v>59</v>
      </c>
      <c r="H602" t="s">
        <v>60</v>
      </c>
      <c r="J602">
        <v>7.7901124659784422</v>
      </c>
      <c r="K602">
        <v>7.0250900170343851</v>
      </c>
      <c r="L602">
        <v>12.00431416582944</v>
      </c>
      <c r="M602">
        <v>9.7309435755194293</v>
      </c>
      <c r="P602" t="s">
        <v>7</v>
      </c>
      <c r="Q602" t="s">
        <v>11</v>
      </c>
      <c r="R602" t="s">
        <v>70</v>
      </c>
      <c r="S602" t="s">
        <v>10</v>
      </c>
      <c r="T602" t="s">
        <v>2036</v>
      </c>
      <c r="U602" t="s">
        <v>2037</v>
      </c>
    </row>
    <row r="603" spans="1:21" x14ac:dyDescent="0.3">
      <c r="A603" s="64">
        <v>46140</v>
      </c>
      <c r="B603" t="s">
        <v>197</v>
      </c>
      <c r="C603" t="s">
        <v>198</v>
      </c>
      <c r="E603" t="s">
        <v>19</v>
      </c>
      <c r="F603" t="s">
        <v>199</v>
      </c>
      <c r="G603" t="s">
        <v>200</v>
      </c>
      <c r="H603" t="s">
        <v>201</v>
      </c>
      <c r="J603">
        <v>17.221977426871131</v>
      </c>
      <c r="K603">
        <v>21.332927714763681</v>
      </c>
      <c r="L603">
        <v>0</v>
      </c>
      <c r="M603">
        <v>9.6210066724502088</v>
      </c>
      <c r="P603" t="s">
        <v>12</v>
      </c>
      <c r="Q603" t="s">
        <v>14</v>
      </c>
      <c r="R603" t="s">
        <v>146</v>
      </c>
      <c r="S603" t="s">
        <v>5</v>
      </c>
      <c r="T603" t="s">
        <v>2038</v>
      </c>
      <c r="U603" t="s">
        <v>2039</v>
      </c>
    </row>
    <row r="604" spans="1:21" x14ac:dyDescent="0.3">
      <c r="A604" s="64">
        <v>46140</v>
      </c>
      <c r="B604" t="s">
        <v>215</v>
      </c>
      <c r="C604" t="s">
        <v>216</v>
      </c>
      <c r="E604" t="s">
        <v>19</v>
      </c>
      <c r="F604" t="s">
        <v>109</v>
      </c>
      <c r="G604" t="s">
        <v>59</v>
      </c>
      <c r="H604" t="s">
        <v>60</v>
      </c>
      <c r="J604">
        <v>2.9974940949366331E-3</v>
      </c>
      <c r="K604">
        <v>4.4626008547779773E-3</v>
      </c>
      <c r="L604">
        <v>17.7768160646315</v>
      </c>
      <c r="M604">
        <v>9.272332371665911</v>
      </c>
      <c r="P604" t="s">
        <v>12</v>
      </c>
      <c r="Q604" t="s">
        <v>14</v>
      </c>
      <c r="R604" t="s">
        <v>146</v>
      </c>
      <c r="S604" t="s">
        <v>5</v>
      </c>
      <c r="T604" t="s">
        <v>2040</v>
      </c>
      <c r="U604" t="s">
        <v>2041</v>
      </c>
    </row>
    <row r="605" spans="1:21" x14ac:dyDescent="0.3">
      <c r="A605" s="64">
        <v>46140</v>
      </c>
      <c r="B605" t="s">
        <v>472</v>
      </c>
      <c r="C605" t="s">
        <v>473</v>
      </c>
      <c r="E605" t="s">
        <v>19</v>
      </c>
      <c r="F605" t="s">
        <v>109</v>
      </c>
      <c r="G605" t="s">
        <v>59</v>
      </c>
      <c r="H605" t="s">
        <v>60</v>
      </c>
      <c r="J605">
        <v>0</v>
      </c>
      <c r="K605">
        <v>0</v>
      </c>
      <c r="L605">
        <v>17.729448614148101</v>
      </c>
      <c r="M605">
        <v>9.2457045997380387</v>
      </c>
      <c r="P605" t="s">
        <v>12</v>
      </c>
      <c r="Q605" t="s">
        <v>14</v>
      </c>
      <c r="R605" t="s">
        <v>146</v>
      </c>
      <c r="S605" t="s">
        <v>5</v>
      </c>
      <c r="T605" t="s">
        <v>2040</v>
      </c>
      <c r="U605" t="s">
        <v>2041</v>
      </c>
    </row>
    <row r="606" spans="1:21" x14ac:dyDescent="0.3">
      <c r="A606" s="64">
        <v>46140</v>
      </c>
      <c r="B606" t="s">
        <v>499</v>
      </c>
      <c r="C606" t="s">
        <v>500</v>
      </c>
      <c r="E606" t="s">
        <v>19</v>
      </c>
      <c r="F606" t="s">
        <v>109</v>
      </c>
      <c r="G606" t="s">
        <v>59</v>
      </c>
      <c r="H606" t="s">
        <v>60</v>
      </c>
      <c r="J606">
        <v>0</v>
      </c>
      <c r="K606">
        <v>0</v>
      </c>
      <c r="L606">
        <v>17.729448614148101</v>
      </c>
      <c r="M606">
        <v>9.2457045997380387</v>
      </c>
      <c r="P606" t="s">
        <v>12</v>
      </c>
      <c r="Q606" t="s">
        <v>14</v>
      </c>
      <c r="R606" t="s">
        <v>146</v>
      </c>
      <c r="S606" t="s">
        <v>5</v>
      </c>
      <c r="T606" t="s">
        <v>2040</v>
      </c>
      <c r="U606" t="s">
        <v>2041</v>
      </c>
    </row>
    <row r="607" spans="1:21" x14ac:dyDescent="0.3">
      <c r="A607" s="64">
        <v>46140</v>
      </c>
      <c r="B607" t="s">
        <v>464</v>
      </c>
      <c r="C607" t="s">
        <v>465</v>
      </c>
      <c r="E607" t="s">
        <v>19</v>
      </c>
      <c r="F607" t="s">
        <v>109</v>
      </c>
      <c r="G607" t="s">
        <v>59</v>
      </c>
      <c r="H607" t="s">
        <v>60</v>
      </c>
      <c r="J607">
        <v>0</v>
      </c>
      <c r="K607">
        <v>0</v>
      </c>
      <c r="L607">
        <v>17.729448614148101</v>
      </c>
      <c r="M607">
        <v>9.2457045997380387</v>
      </c>
      <c r="P607" t="s">
        <v>12</v>
      </c>
      <c r="Q607" t="s">
        <v>14</v>
      </c>
      <c r="R607" t="s">
        <v>146</v>
      </c>
      <c r="S607" t="s">
        <v>5</v>
      </c>
      <c r="T607" t="s">
        <v>2040</v>
      </c>
      <c r="U607" t="s">
        <v>2041</v>
      </c>
    </row>
    <row r="608" spans="1:21" x14ac:dyDescent="0.3">
      <c r="A608" s="64">
        <v>46140</v>
      </c>
      <c r="B608" t="s">
        <v>474</v>
      </c>
      <c r="C608" t="s">
        <v>475</v>
      </c>
      <c r="E608" t="s">
        <v>19</v>
      </c>
      <c r="F608" t="s">
        <v>476</v>
      </c>
      <c r="G608" t="s">
        <v>98</v>
      </c>
      <c r="H608" t="s">
        <v>477</v>
      </c>
      <c r="J608">
        <v>0</v>
      </c>
      <c r="K608">
        <v>27.540622418066651</v>
      </c>
      <c r="L608">
        <v>0</v>
      </c>
      <c r="M608">
        <v>9.2457045997380387</v>
      </c>
      <c r="P608" t="s">
        <v>6</v>
      </c>
      <c r="Q608" t="s">
        <v>6</v>
      </c>
      <c r="R608" t="s">
        <v>188</v>
      </c>
      <c r="S608" t="s">
        <v>10</v>
      </c>
      <c r="T608" t="s">
        <v>2042</v>
      </c>
      <c r="U608" t="s">
        <v>2043</v>
      </c>
    </row>
    <row r="609" spans="1:21" x14ac:dyDescent="0.3">
      <c r="A609" s="64">
        <v>46140</v>
      </c>
      <c r="B609" t="s">
        <v>508</v>
      </c>
      <c r="C609" t="s">
        <v>509</v>
      </c>
      <c r="E609" t="s">
        <v>19</v>
      </c>
      <c r="F609" t="s">
        <v>109</v>
      </c>
      <c r="G609" t="s">
        <v>59</v>
      </c>
      <c r="H609" t="s">
        <v>60</v>
      </c>
      <c r="J609">
        <v>0</v>
      </c>
      <c r="K609">
        <v>0</v>
      </c>
      <c r="L609">
        <v>17.729448614148101</v>
      </c>
      <c r="M609">
        <v>9.2457045997380387</v>
      </c>
      <c r="P609" t="s">
        <v>12</v>
      </c>
      <c r="Q609" t="s">
        <v>14</v>
      </c>
      <c r="R609" t="s">
        <v>146</v>
      </c>
      <c r="S609" t="s">
        <v>5</v>
      </c>
      <c r="T609" t="s">
        <v>2040</v>
      </c>
      <c r="U609" t="s">
        <v>2041</v>
      </c>
    </row>
    <row r="610" spans="1:21" x14ac:dyDescent="0.3">
      <c r="A610" s="64">
        <v>46140</v>
      </c>
      <c r="B610" t="s">
        <v>448</v>
      </c>
      <c r="C610" t="s">
        <v>449</v>
      </c>
      <c r="E610" t="s">
        <v>19</v>
      </c>
      <c r="F610" t="s">
        <v>85</v>
      </c>
      <c r="G610" t="s">
        <v>59</v>
      </c>
      <c r="H610" t="s">
        <v>60</v>
      </c>
      <c r="J610">
        <v>0</v>
      </c>
      <c r="K610">
        <v>0</v>
      </c>
      <c r="L610">
        <v>17.729448614148101</v>
      </c>
      <c r="M610">
        <v>9.2457045997380387</v>
      </c>
      <c r="P610" t="s">
        <v>12</v>
      </c>
      <c r="Q610" t="s">
        <v>14</v>
      </c>
      <c r="R610" t="s">
        <v>146</v>
      </c>
      <c r="S610" t="s">
        <v>5</v>
      </c>
      <c r="T610" t="s">
        <v>2040</v>
      </c>
      <c r="U610" t="s">
        <v>2041</v>
      </c>
    </row>
    <row r="611" spans="1:21" x14ac:dyDescent="0.3">
      <c r="A611" s="64">
        <v>46140</v>
      </c>
      <c r="B611" t="s">
        <v>462</v>
      </c>
      <c r="C611" t="s">
        <v>463</v>
      </c>
      <c r="E611" t="s">
        <v>19</v>
      </c>
      <c r="F611" t="s">
        <v>58</v>
      </c>
      <c r="G611" t="s">
        <v>59</v>
      </c>
      <c r="H611" t="s">
        <v>60</v>
      </c>
      <c r="J611">
        <v>0</v>
      </c>
      <c r="K611">
        <v>0</v>
      </c>
      <c r="L611">
        <v>17.729448614148101</v>
      </c>
      <c r="M611">
        <v>9.2457045997380387</v>
      </c>
      <c r="P611" t="s">
        <v>12</v>
      </c>
      <c r="Q611" t="s">
        <v>14</v>
      </c>
      <c r="R611" t="s">
        <v>146</v>
      </c>
      <c r="S611" t="s">
        <v>5</v>
      </c>
      <c r="T611" t="s">
        <v>2040</v>
      </c>
      <c r="U611" t="s">
        <v>2041</v>
      </c>
    </row>
    <row r="612" spans="1:21" x14ac:dyDescent="0.3">
      <c r="A612" s="64">
        <v>46140</v>
      </c>
      <c r="B612" t="s">
        <v>543</v>
      </c>
      <c r="C612" t="s">
        <v>544</v>
      </c>
      <c r="E612" t="s">
        <v>66</v>
      </c>
      <c r="F612" t="s">
        <v>103</v>
      </c>
      <c r="G612" t="s">
        <v>59</v>
      </c>
      <c r="H612" t="s">
        <v>60</v>
      </c>
      <c r="J612">
        <v>0</v>
      </c>
      <c r="K612">
        <v>0</v>
      </c>
      <c r="L612">
        <v>17.729448614148101</v>
      </c>
      <c r="M612">
        <v>9.2457045997380387</v>
      </c>
      <c r="P612" t="s">
        <v>12</v>
      </c>
      <c r="Q612" t="s">
        <v>14</v>
      </c>
      <c r="R612" t="s">
        <v>146</v>
      </c>
      <c r="S612" t="s">
        <v>5</v>
      </c>
      <c r="T612" t="s">
        <v>2040</v>
      </c>
      <c r="U612" t="s">
        <v>2041</v>
      </c>
    </row>
    <row r="613" spans="1:21" x14ac:dyDescent="0.3">
      <c r="A613" s="64">
        <v>46140</v>
      </c>
      <c r="B613" t="s">
        <v>558</v>
      </c>
      <c r="C613" t="s">
        <v>559</v>
      </c>
      <c r="E613" t="s">
        <v>19</v>
      </c>
      <c r="F613" t="s">
        <v>109</v>
      </c>
      <c r="G613" t="s">
        <v>59</v>
      </c>
      <c r="H613" t="s">
        <v>60</v>
      </c>
      <c r="J613">
        <v>0</v>
      </c>
      <c r="K613">
        <v>0</v>
      </c>
      <c r="L613">
        <v>17.729448614148101</v>
      </c>
      <c r="M613">
        <v>9.2457045997380387</v>
      </c>
      <c r="P613" t="s">
        <v>12</v>
      </c>
      <c r="Q613" t="s">
        <v>14</v>
      </c>
      <c r="R613" t="s">
        <v>146</v>
      </c>
      <c r="S613" t="s">
        <v>5</v>
      </c>
      <c r="T613" t="s">
        <v>2040</v>
      </c>
      <c r="U613" t="s">
        <v>2041</v>
      </c>
    </row>
    <row r="614" spans="1:21" x14ac:dyDescent="0.3">
      <c r="A614" s="64">
        <v>46140</v>
      </c>
      <c r="B614" t="s">
        <v>466</v>
      </c>
      <c r="C614" t="s">
        <v>467</v>
      </c>
      <c r="E614" t="s">
        <v>19</v>
      </c>
      <c r="F614" t="s">
        <v>109</v>
      </c>
      <c r="G614" t="s">
        <v>59</v>
      </c>
      <c r="H614" t="s">
        <v>60</v>
      </c>
      <c r="J614">
        <v>0</v>
      </c>
      <c r="K614">
        <v>0</v>
      </c>
      <c r="L614">
        <v>17.729448614148101</v>
      </c>
      <c r="M614">
        <v>9.2457045997380387</v>
      </c>
      <c r="P614" t="s">
        <v>12</v>
      </c>
      <c r="Q614" t="s">
        <v>14</v>
      </c>
      <c r="R614" t="s">
        <v>146</v>
      </c>
      <c r="S614" t="s">
        <v>5</v>
      </c>
      <c r="T614" t="s">
        <v>2040</v>
      </c>
      <c r="U614" t="s">
        <v>2041</v>
      </c>
    </row>
    <row r="615" spans="1:21" x14ac:dyDescent="0.3">
      <c r="A615" s="64">
        <v>46140</v>
      </c>
      <c r="B615" t="s">
        <v>547</v>
      </c>
      <c r="C615" t="s">
        <v>548</v>
      </c>
      <c r="G615" t="s">
        <v>59</v>
      </c>
      <c r="H615" t="s">
        <v>60</v>
      </c>
      <c r="J615">
        <v>0</v>
      </c>
      <c r="K615">
        <v>0</v>
      </c>
      <c r="L615">
        <v>17.729448614148101</v>
      </c>
      <c r="M615">
        <v>9.2457045997380387</v>
      </c>
      <c r="P615" t="s">
        <v>12</v>
      </c>
      <c r="Q615" t="s">
        <v>14</v>
      </c>
      <c r="R615" t="s">
        <v>146</v>
      </c>
      <c r="S615" t="s">
        <v>5</v>
      </c>
      <c r="T615" t="s">
        <v>2040</v>
      </c>
      <c r="U615" t="s">
        <v>2041</v>
      </c>
    </row>
    <row r="616" spans="1:21" x14ac:dyDescent="0.3">
      <c r="A616" s="64">
        <v>46140</v>
      </c>
      <c r="B616" t="s">
        <v>520</v>
      </c>
      <c r="C616" t="s">
        <v>521</v>
      </c>
      <c r="E616" t="s">
        <v>19</v>
      </c>
      <c r="F616" t="s">
        <v>58</v>
      </c>
      <c r="G616" t="s">
        <v>59</v>
      </c>
      <c r="H616" t="s">
        <v>60</v>
      </c>
      <c r="J616">
        <v>0</v>
      </c>
      <c r="K616">
        <v>0</v>
      </c>
      <c r="L616">
        <v>17.729448614148101</v>
      </c>
      <c r="M616">
        <v>9.2457045997380387</v>
      </c>
      <c r="P616" t="s">
        <v>12</v>
      </c>
      <c r="Q616" t="s">
        <v>14</v>
      </c>
      <c r="R616" t="s">
        <v>146</v>
      </c>
      <c r="S616" t="s">
        <v>5</v>
      </c>
      <c r="T616" t="s">
        <v>2044</v>
      </c>
      <c r="U616" t="s">
        <v>2041</v>
      </c>
    </row>
    <row r="617" spans="1:21" x14ac:dyDescent="0.3">
      <c r="A617" s="64">
        <v>46140</v>
      </c>
      <c r="B617" t="s">
        <v>571</v>
      </c>
      <c r="C617" t="s">
        <v>572</v>
      </c>
      <c r="E617" t="s">
        <v>19</v>
      </c>
      <c r="F617" t="s">
        <v>58</v>
      </c>
      <c r="G617" t="s">
        <v>59</v>
      </c>
      <c r="H617" t="s">
        <v>60</v>
      </c>
      <c r="J617">
        <v>0</v>
      </c>
      <c r="K617">
        <v>0</v>
      </c>
      <c r="L617">
        <v>17.729448614148101</v>
      </c>
      <c r="M617">
        <v>9.2457045997380387</v>
      </c>
      <c r="P617" t="s">
        <v>12</v>
      </c>
      <c r="Q617" t="s">
        <v>14</v>
      </c>
      <c r="R617" t="s">
        <v>146</v>
      </c>
      <c r="S617" t="s">
        <v>5</v>
      </c>
      <c r="T617" t="s">
        <v>2044</v>
      </c>
      <c r="U617" t="s">
        <v>2041</v>
      </c>
    </row>
    <row r="618" spans="1:21" x14ac:dyDescent="0.3">
      <c r="A618" s="64">
        <v>46140</v>
      </c>
      <c r="B618" t="s">
        <v>1304</v>
      </c>
      <c r="C618" t="s">
        <v>1305</v>
      </c>
      <c r="E618" t="s">
        <v>19</v>
      </c>
      <c r="F618" t="s">
        <v>820</v>
      </c>
      <c r="G618" t="s">
        <v>110</v>
      </c>
      <c r="H618" t="s">
        <v>1306</v>
      </c>
      <c r="J618">
        <v>0</v>
      </c>
      <c r="K618">
        <v>27.540622418066651</v>
      </c>
      <c r="L618">
        <v>0</v>
      </c>
      <c r="M618">
        <v>9.2457045997380387</v>
      </c>
      <c r="P618" t="s">
        <v>157</v>
      </c>
      <c r="Q618" t="s">
        <v>157</v>
      </c>
      <c r="R618" t="s">
        <v>156</v>
      </c>
      <c r="S618" t="s">
        <v>157</v>
      </c>
      <c r="T618" t="s">
        <v>2045</v>
      </c>
      <c r="U618" t="s">
        <v>2046</v>
      </c>
    </row>
    <row r="619" spans="1:21" x14ac:dyDescent="0.3">
      <c r="A619" s="64">
        <v>46140</v>
      </c>
      <c r="B619" t="s">
        <v>363</v>
      </c>
      <c r="C619" t="s">
        <v>364</v>
      </c>
      <c r="E619" t="s">
        <v>19</v>
      </c>
      <c r="F619" t="s">
        <v>109</v>
      </c>
      <c r="G619" t="s">
        <v>68</v>
      </c>
      <c r="H619" t="s">
        <v>365</v>
      </c>
      <c r="J619">
        <v>32.368814670935087</v>
      </c>
      <c r="K619">
        <v>13.77031120903332</v>
      </c>
      <c r="L619">
        <v>0</v>
      </c>
      <c r="M619">
        <v>9.2451160421535636</v>
      </c>
      <c r="P619" t="s">
        <v>15</v>
      </c>
      <c r="Q619" t="s">
        <v>15</v>
      </c>
      <c r="R619" t="s">
        <v>524</v>
      </c>
      <c r="S619" t="s">
        <v>15</v>
      </c>
      <c r="T619" t="s">
        <v>2047</v>
      </c>
      <c r="U619" t="s">
        <v>2048</v>
      </c>
    </row>
    <row r="620" spans="1:21" x14ac:dyDescent="0.3">
      <c r="A620" s="64">
        <v>46140</v>
      </c>
      <c r="B620" t="s">
        <v>2049</v>
      </c>
      <c r="C620" t="s">
        <v>2050</v>
      </c>
      <c r="E620" t="s">
        <v>19</v>
      </c>
      <c r="F620" t="s">
        <v>261</v>
      </c>
      <c r="G620" t="s">
        <v>143</v>
      </c>
      <c r="H620" t="s">
        <v>2051</v>
      </c>
      <c r="J620">
        <v>32.368065297411363</v>
      </c>
      <c r="K620">
        <v>13.77031120903332</v>
      </c>
      <c r="L620">
        <v>0</v>
      </c>
      <c r="M620">
        <v>9.2450090316836597</v>
      </c>
      <c r="P620" t="s">
        <v>4</v>
      </c>
      <c r="Q620" t="s">
        <v>4</v>
      </c>
      <c r="R620" t="s">
        <v>4</v>
      </c>
      <c r="S620" t="s">
        <v>4</v>
      </c>
      <c r="T620" t="s">
        <v>2052</v>
      </c>
      <c r="U620" t="s">
        <v>2053</v>
      </c>
    </row>
    <row r="621" spans="1:21" x14ac:dyDescent="0.3">
      <c r="A621" s="64">
        <v>46140</v>
      </c>
      <c r="B621" t="s">
        <v>368</v>
      </c>
      <c r="C621" t="s">
        <v>369</v>
      </c>
      <c r="E621" t="s">
        <v>19</v>
      </c>
      <c r="F621" t="s">
        <v>109</v>
      </c>
      <c r="G621" t="s">
        <v>143</v>
      </c>
      <c r="H621" t="s">
        <v>370</v>
      </c>
      <c r="J621">
        <v>32.368065297411363</v>
      </c>
      <c r="K621">
        <v>13.77031120903332</v>
      </c>
      <c r="L621">
        <v>0</v>
      </c>
      <c r="M621">
        <v>9.2450090316836597</v>
      </c>
      <c r="N621" t="s">
        <v>156</v>
      </c>
      <c r="O621" t="s">
        <v>252</v>
      </c>
      <c r="P621" t="s">
        <v>157</v>
      </c>
      <c r="Q621" t="s">
        <v>157</v>
      </c>
      <c r="R621" t="s">
        <v>156</v>
      </c>
      <c r="S621" t="s">
        <v>157</v>
      </c>
      <c r="T621" t="s">
        <v>2054</v>
      </c>
      <c r="U621" t="s">
        <v>2055</v>
      </c>
    </row>
    <row r="622" spans="1:21" x14ac:dyDescent="0.3">
      <c r="A622" s="64">
        <v>46140</v>
      </c>
      <c r="B622" t="s">
        <v>373</v>
      </c>
      <c r="C622" t="s">
        <v>374</v>
      </c>
      <c r="E622" t="s">
        <v>19</v>
      </c>
      <c r="F622" t="s">
        <v>109</v>
      </c>
      <c r="G622" t="s">
        <v>116</v>
      </c>
      <c r="H622" t="s">
        <v>375</v>
      </c>
      <c r="J622">
        <v>32.363569056268958</v>
      </c>
      <c r="K622">
        <v>13.77031120903332</v>
      </c>
      <c r="L622">
        <v>0</v>
      </c>
      <c r="M622">
        <v>9.2443669688642345</v>
      </c>
      <c r="P622" t="s">
        <v>4</v>
      </c>
      <c r="Q622" t="s">
        <v>4</v>
      </c>
      <c r="R622" t="s">
        <v>4</v>
      </c>
      <c r="S622" t="s">
        <v>4</v>
      </c>
      <c r="T622" t="s">
        <v>2056</v>
      </c>
      <c r="U622" t="s">
        <v>2057</v>
      </c>
    </row>
    <row r="623" spans="1:21" x14ac:dyDescent="0.3">
      <c r="A623" s="64">
        <v>46140</v>
      </c>
      <c r="B623" t="s">
        <v>378</v>
      </c>
      <c r="C623" t="s">
        <v>379</v>
      </c>
      <c r="E623" t="s">
        <v>19</v>
      </c>
      <c r="F623" t="s">
        <v>380</v>
      </c>
      <c r="G623" t="s">
        <v>122</v>
      </c>
      <c r="H623" t="s">
        <v>381</v>
      </c>
      <c r="J623">
        <v>32.363569056268958</v>
      </c>
      <c r="K623">
        <v>13.77031120903332</v>
      </c>
      <c r="L623">
        <v>0</v>
      </c>
      <c r="M623">
        <v>9.2443669688642345</v>
      </c>
      <c r="P623" t="s">
        <v>4</v>
      </c>
      <c r="Q623" t="s">
        <v>4</v>
      </c>
      <c r="R623" t="s">
        <v>4</v>
      </c>
      <c r="S623" t="s">
        <v>4</v>
      </c>
      <c r="T623" t="s">
        <v>2058</v>
      </c>
      <c r="U623" t="s">
        <v>2059</v>
      </c>
    </row>
    <row r="624" spans="1:21" x14ac:dyDescent="0.3">
      <c r="A624" s="64">
        <v>46140</v>
      </c>
      <c r="B624" t="s">
        <v>2060</v>
      </c>
      <c r="C624" t="s">
        <v>2061</v>
      </c>
      <c r="E624" t="s">
        <v>19</v>
      </c>
      <c r="F624" t="s">
        <v>109</v>
      </c>
      <c r="G624" t="s">
        <v>68</v>
      </c>
      <c r="H624" t="s">
        <v>1359</v>
      </c>
      <c r="J624">
        <v>9.0719158783257203</v>
      </c>
      <c r="K624">
        <v>3.8891566449401749</v>
      </c>
      <c r="L624">
        <v>12.689209879461639</v>
      </c>
      <c r="M624">
        <v>9.2183812597557893</v>
      </c>
      <c r="P624" t="s">
        <v>19</v>
      </c>
      <c r="Q624" t="s">
        <v>11</v>
      </c>
      <c r="R624" t="s">
        <v>80</v>
      </c>
      <c r="S624" t="s">
        <v>10</v>
      </c>
      <c r="T624" t="s">
        <v>2062</v>
      </c>
      <c r="U624" t="s">
        <v>2063</v>
      </c>
    </row>
    <row r="625" spans="1:21" x14ac:dyDescent="0.3">
      <c r="A625" s="64">
        <v>46140</v>
      </c>
      <c r="B625" t="s">
        <v>1680</v>
      </c>
      <c r="C625" t="s">
        <v>1681</v>
      </c>
      <c r="E625" t="s">
        <v>19</v>
      </c>
      <c r="F625" t="s">
        <v>109</v>
      </c>
      <c r="G625" t="s">
        <v>110</v>
      </c>
      <c r="H625" t="s">
        <v>111</v>
      </c>
      <c r="J625">
        <v>8.7164630369011498</v>
      </c>
      <c r="K625">
        <v>11.11942004889311</v>
      </c>
      <c r="L625">
        <v>7.8496586533936572</v>
      </c>
      <c r="M625">
        <v>9.0711348531673686</v>
      </c>
      <c r="P625" t="s">
        <v>19</v>
      </c>
      <c r="Q625" t="s">
        <v>11</v>
      </c>
      <c r="R625" t="s">
        <v>80</v>
      </c>
      <c r="S625" t="s">
        <v>10</v>
      </c>
      <c r="T625" t="s">
        <v>2064</v>
      </c>
      <c r="U625" t="s">
        <v>2065</v>
      </c>
    </row>
    <row r="626" spans="1:21" x14ac:dyDescent="0.3">
      <c r="A626" s="64">
        <v>46140</v>
      </c>
      <c r="B626" t="s">
        <v>2066</v>
      </c>
      <c r="C626" t="s">
        <v>2067</v>
      </c>
      <c r="E626" t="s">
        <v>66</v>
      </c>
      <c r="F626" t="s">
        <v>396</v>
      </c>
      <c r="G626" t="s">
        <v>143</v>
      </c>
      <c r="H626" t="s">
        <v>290</v>
      </c>
      <c r="J626">
        <v>14.61340819075253</v>
      </c>
      <c r="K626">
        <v>18.647030797896029</v>
      </c>
      <c r="L626">
        <v>0.1292772294781632</v>
      </c>
      <c r="M626">
        <v>8.4142332485810414</v>
      </c>
      <c r="P626" t="s">
        <v>7</v>
      </c>
      <c r="Q626" t="s">
        <v>11</v>
      </c>
      <c r="R626" t="s">
        <v>70</v>
      </c>
      <c r="S626" t="s">
        <v>10</v>
      </c>
      <c r="T626" t="s">
        <v>2068</v>
      </c>
      <c r="U626" t="s">
        <v>2069</v>
      </c>
    </row>
    <row r="627" spans="1:21" x14ac:dyDescent="0.3">
      <c r="A627" s="64">
        <v>46140</v>
      </c>
      <c r="B627" t="s">
        <v>1619</v>
      </c>
      <c r="C627" t="s">
        <v>1620</v>
      </c>
      <c r="E627" t="s">
        <v>19</v>
      </c>
      <c r="F627" t="s">
        <v>109</v>
      </c>
      <c r="G627" t="s">
        <v>110</v>
      </c>
      <c r="H627" t="s">
        <v>111</v>
      </c>
      <c r="J627">
        <v>8.7401931984860664</v>
      </c>
      <c r="K627">
        <v>10.997654796998409</v>
      </c>
      <c r="L627">
        <v>6.1572555579632589</v>
      </c>
      <c r="M627">
        <v>8.1510766680078657</v>
      </c>
      <c r="P627" t="s">
        <v>19</v>
      </c>
      <c r="Q627" t="s">
        <v>11</v>
      </c>
      <c r="R627" t="s">
        <v>80</v>
      </c>
      <c r="S627" t="s">
        <v>10</v>
      </c>
      <c r="T627" t="s">
        <v>2070</v>
      </c>
      <c r="U627" t="s">
        <v>2071</v>
      </c>
    </row>
    <row r="628" spans="1:21" x14ac:dyDescent="0.3">
      <c r="A628" s="64">
        <v>46140</v>
      </c>
      <c r="B628" t="s">
        <v>204</v>
      </c>
      <c r="C628" t="s">
        <v>205</v>
      </c>
      <c r="E628" t="s">
        <v>19</v>
      </c>
      <c r="F628" t="s">
        <v>109</v>
      </c>
      <c r="G628" t="s">
        <v>59</v>
      </c>
      <c r="H628" t="s">
        <v>204</v>
      </c>
      <c r="J628">
        <v>14.913906973769929</v>
      </c>
      <c r="K628">
        <v>17.81820894152208</v>
      </c>
      <c r="L628">
        <v>0</v>
      </c>
      <c r="M628">
        <v>8.1114827941432459</v>
      </c>
      <c r="P628" t="s">
        <v>6</v>
      </c>
      <c r="Q628" t="s">
        <v>6</v>
      </c>
      <c r="R628" t="s">
        <v>188</v>
      </c>
      <c r="S628" t="s">
        <v>10</v>
      </c>
      <c r="T628" t="s">
        <v>2072</v>
      </c>
      <c r="U628" t="s">
        <v>2073</v>
      </c>
    </row>
    <row r="629" spans="1:21" x14ac:dyDescent="0.3">
      <c r="A629" s="64">
        <v>46140</v>
      </c>
      <c r="B629" t="s">
        <v>1191</v>
      </c>
      <c r="C629" t="s">
        <v>1192</v>
      </c>
      <c r="E629" t="s">
        <v>66</v>
      </c>
      <c r="F629" t="s">
        <v>193</v>
      </c>
      <c r="G629" t="s">
        <v>143</v>
      </c>
      <c r="H629" t="s">
        <v>1191</v>
      </c>
      <c r="J629">
        <v>0</v>
      </c>
      <c r="K629">
        <v>23.73784897538685</v>
      </c>
      <c r="L629">
        <v>0</v>
      </c>
      <c r="M629">
        <v>7.9690696937788417</v>
      </c>
      <c r="P629" t="s">
        <v>24</v>
      </c>
      <c r="Q629" t="s">
        <v>22</v>
      </c>
      <c r="R629" t="s">
        <v>167</v>
      </c>
      <c r="S629" t="s">
        <v>5</v>
      </c>
      <c r="T629" t="s">
        <v>2074</v>
      </c>
      <c r="U629" t="s">
        <v>2075</v>
      </c>
    </row>
    <row r="630" spans="1:21" x14ac:dyDescent="0.3">
      <c r="A630" s="64">
        <v>46140</v>
      </c>
      <c r="B630" t="s">
        <v>2076</v>
      </c>
      <c r="C630" t="s">
        <v>2077</v>
      </c>
      <c r="E630" t="s">
        <v>19</v>
      </c>
      <c r="F630" t="s">
        <v>109</v>
      </c>
      <c r="G630" t="s">
        <v>68</v>
      </c>
      <c r="H630" t="s">
        <v>69</v>
      </c>
      <c r="J630">
        <v>10.713293686478099</v>
      </c>
      <c r="K630">
        <v>9.2206896375858101</v>
      </c>
      <c r="L630">
        <v>6.0944979611134089</v>
      </c>
      <c r="M630">
        <v>7.8035601669934058</v>
      </c>
      <c r="P630" t="s">
        <v>19</v>
      </c>
      <c r="Q630" t="s">
        <v>11</v>
      </c>
      <c r="R630" t="s">
        <v>80</v>
      </c>
      <c r="S630" t="s">
        <v>10</v>
      </c>
      <c r="T630" t="s">
        <v>2078</v>
      </c>
      <c r="U630" t="s">
        <v>2079</v>
      </c>
    </row>
    <row r="631" spans="1:21" x14ac:dyDescent="0.3">
      <c r="A631" s="64">
        <v>46140</v>
      </c>
      <c r="B631" t="s">
        <v>2080</v>
      </c>
      <c r="C631" t="s">
        <v>2081</v>
      </c>
      <c r="E631" t="s">
        <v>66</v>
      </c>
      <c r="F631" t="s">
        <v>137</v>
      </c>
      <c r="G631" t="s">
        <v>110</v>
      </c>
      <c r="H631" t="s">
        <v>111</v>
      </c>
      <c r="J631">
        <v>17.6889620277448</v>
      </c>
      <c r="K631">
        <v>15.150104892370569</v>
      </c>
      <c r="L631">
        <v>0</v>
      </c>
      <c r="M631">
        <v>7.6120470960212083</v>
      </c>
      <c r="P631" t="s">
        <v>7</v>
      </c>
      <c r="Q631" t="s">
        <v>11</v>
      </c>
      <c r="R631" t="s">
        <v>70</v>
      </c>
      <c r="S631" t="s">
        <v>10</v>
      </c>
      <c r="T631" t="s">
        <v>2082</v>
      </c>
      <c r="U631" t="s">
        <v>2083</v>
      </c>
    </row>
    <row r="632" spans="1:21" x14ac:dyDescent="0.3">
      <c r="A632" s="64">
        <v>46140</v>
      </c>
      <c r="B632" t="s">
        <v>231</v>
      </c>
      <c r="C632" t="s">
        <v>232</v>
      </c>
      <c r="E632" t="s">
        <v>66</v>
      </c>
      <c r="F632" t="s">
        <v>233</v>
      </c>
      <c r="G632" t="s">
        <v>59</v>
      </c>
      <c r="H632" t="s">
        <v>60</v>
      </c>
      <c r="J632">
        <v>6.409017061736388</v>
      </c>
      <c r="K632">
        <v>5.4577608453951054</v>
      </c>
      <c r="L632">
        <v>9.1039213819339135</v>
      </c>
      <c r="M632">
        <v>7.4950311471807742</v>
      </c>
      <c r="P632" t="s">
        <v>7</v>
      </c>
      <c r="Q632" t="s">
        <v>11</v>
      </c>
      <c r="R632" t="s">
        <v>70</v>
      </c>
      <c r="S632" t="s">
        <v>10</v>
      </c>
      <c r="T632" t="s">
        <v>2084</v>
      </c>
      <c r="U632" t="s">
        <v>2085</v>
      </c>
    </row>
    <row r="633" spans="1:21" x14ac:dyDescent="0.3">
      <c r="A633" s="64">
        <v>46140</v>
      </c>
      <c r="B633" t="s">
        <v>2086</v>
      </c>
      <c r="C633" t="s">
        <v>2087</v>
      </c>
      <c r="E633" t="s">
        <v>66</v>
      </c>
      <c r="F633" t="s">
        <v>103</v>
      </c>
      <c r="G633" t="s">
        <v>68</v>
      </c>
      <c r="H633" t="s">
        <v>69</v>
      </c>
      <c r="J633">
        <v>4.1472828715194101</v>
      </c>
      <c r="K633">
        <v>3.565139947162804</v>
      </c>
      <c r="L633">
        <v>10.833431830270079</v>
      </c>
      <c r="M633">
        <v>7.4386009593845319</v>
      </c>
      <c r="P633" t="s">
        <v>9</v>
      </c>
      <c r="Q633" t="s">
        <v>11</v>
      </c>
      <c r="R633" t="s">
        <v>104</v>
      </c>
      <c r="S633" t="s">
        <v>10</v>
      </c>
      <c r="T633" t="s">
        <v>2088</v>
      </c>
      <c r="U633" t="s">
        <v>2089</v>
      </c>
    </row>
    <row r="634" spans="1:21" x14ac:dyDescent="0.3">
      <c r="A634" s="64">
        <v>46140</v>
      </c>
      <c r="B634" t="s">
        <v>2090</v>
      </c>
      <c r="C634" t="s">
        <v>2091</v>
      </c>
      <c r="E634" t="s">
        <v>66</v>
      </c>
      <c r="F634" t="s">
        <v>67</v>
      </c>
      <c r="G634" t="s">
        <v>59</v>
      </c>
      <c r="H634" t="s">
        <v>60</v>
      </c>
      <c r="J634">
        <v>0</v>
      </c>
      <c r="K634">
        <v>12.014968413286139</v>
      </c>
      <c r="L634">
        <v>6.0904709356317497</v>
      </c>
      <c r="M634">
        <v>7.2096743856306569</v>
      </c>
      <c r="P634" t="s">
        <v>157</v>
      </c>
      <c r="Q634" t="s">
        <v>157</v>
      </c>
      <c r="R634" t="s">
        <v>156</v>
      </c>
      <c r="S634" t="s">
        <v>157</v>
      </c>
      <c r="T634" t="s">
        <v>2092</v>
      </c>
      <c r="U634" t="s">
        <v>2093</v>
      </c>
    </row>
    <row r="635" spans="1:21" x14ac:dyDescent="0.3">
      <c r="A635" s="64">
        <v>46140</v>
      </c>
      <c r="B635" t="s">
        <v>2094</v>
      </c>
      <c r="C635" t="s">
        <v>2095</v>
      </c>
      <c r="E635" t="s">
        <v>66</v>
      </c>
      <c r="F635" t="s">
        <v>103</v>
      </c>
      <c r="G635" t="s">
        <v>59</v>
      </c>
      <c r="H635" t="s">
        <v>60</v>
      </c>
      <c r="J635">
        <v>3.2942460103353599</v>
      </c>
      <c r="K635">
        <v>2.8133510817344471</v>
      </c>
      <c r="L635">
        <v>11.08090538384255</v>
      </c>
      <c r="M635">
        <v>7.1934578079119191</v>
      </c>
      <c r="P635" t="s">
        <v>9</v>
      </c>
      <c r="Q635" t="s">
        <v>11</v>
      </c>
      <c r="R635" t="s">
        <v>104</v>
      </c>
      <c r="S635" t="s">
        <v>10</v>
      </c>
      <c r="T635" t="s">
        <v>2096</v>
      </c>
      <c r="U635" t="s">
        <v>2097</v>
      </c>
    </row>
    <row r="636" spans="1:21" x14ac:dyDescent="0.3">
      <c r="A636" s="64">
        <v>46140</v>
      </c>
      <c r="B636" t="s">
        <v>1294</v>
      </c>
      <c r="C636" t="s">
        <v>1295</v>
      </c>
      <c r="E636" t="s">
        <v>19</v>
      </c>
      <c r="F636" t="s">
        <v>109</v>
      </c>
      <c r="G636" t="s">
        <v>98</v>
      </c>
      <c r="H636" t="s">
        <v>351</v>
      </c>
      <c r="J636">
        <v>0.17722683836312839</v>
      </c>
      <c r="K636">
        <v>0.45555717059205508</v>
      </c>
      <c r="L636">
        <v>13.377320423668159</v>
      </c>
      <c r="M636">
        <v>7.1543633162401941</v>
      </c>
      <c r="P636" t="s">
        <v>12</v>
      </c>
      <c r="Q636" t="s">
        <v>14</v>
      </c>
      <c r="R636" t="s">
        <v>146</v>
      </c>
      <c r="S636" t="s">
        <v>5</v>
      </c>
      <c r="T636" t="s">
        <v>2098</v>
      </c>
      <c r="U636" t="s">
        <v>2099</v>
      </c>
    </row>
    <row r="637" spans="1:21" x14ac:dyDescent="0.3">
      <c r="A637" s="64">
        <v>46140</v>
      </c>
      <c r="B637" t="s">
        <v>345</v>
      </c>
      <c r="C637" t="s">
        <v>346</v>
      </c>
      <c r="E637" t="s">
        <v>136</v>
      </c>
      <c r="G637" t="s">
        <v>59</v>
      </c>
      <c r="H637" t="s">
        <v>60</v>
      </c>
      <c r="J637">
        <v>0</v>
      </c>
      <c r="K637">
        <v>0.14025316972163421</v>
      </c>
      <c r="L637">
        <v>13.505263840461231</v>
      </c>
      <c r="M637">
        <v>7.0899251782794428</v>
      </c>
      <c r="P637" t="s">
        <v>12</v>
      </c>
      <c r="Q637" t="s">
        <v>14</v>
      </c>
      <c r="R637" t="s">
        <v>146</v>
      </c>
      <c r="S637" t="s">
        <v>5</v>
      </c>
      <c r="T637" t="s">
        <v>2040</v>
      </c>
      <c r="U637" t="s">
        <v>2041</v>
      </c>
    </row>
    <row r="638" spans="1:21" x14ac:dyDescent="0.3">
      <c r="A638" s="64">
        <v>46140</v>
      </c>
      <c r="B638" t="s">
        <v>2100</v>
      </c>
      <c r="C638" t="s">
        <v>2101</v>
      </c>
      <c r="E638" t="s">
        <v>66</v>
      </c>
      <c r="F638" t="s">
        <v>67</v>
      </c>
      <c r="G638" t="s">
        <v>59</v>
      </c>
      <c r="H638" t="s">
        <v>60</v>
      </c>
      <c r="J638">
        <v>3.281131973670012</v>
      </c>
      <c r="K638">
        <v>2.861005283719412</v>
      </c>
      <c r="L638">
        <v>10.202299027944679</v>
      </c>
      <c r="M638">
        <v>6.7494000279654074</v>
      </c>
      <c r="P638" t="s">
        <v>7</v>
      </c>
      <c r="Q638" t="s">
        <v>11</v>
      </c>
      <c r="R638" t="s">
        <v>70</v>
      </c>
      <c r="S638" t="s">
        <v>10</v>
      </c>
      <c r="T638" t="s">
        <v>2102</v>
      </c>
      <c r="U638" t="s">
        <v>2103</v>
      </c>
    </row>
    <row r="639" spans="1:21" x14ac:dyDescent="0.3">
      <c r="A639" s="64">
        <v>46140</v>
      </c>
      <c r="B639" t="s">
        <v>1400</v>
      </c>
      <c r="C639" t="s">
        <v>1401</v>
      </c>
      <c r="E639" t="s">
        <v>19</v>
      </c>
      <c r="F639" t="s">
        <v>109</v>
      </c>
      <c r="G639" t="s">
        <v>200</v>
      </c>
      <c r="H639" t="s">
        <v>1402</v>
      </c>
      <c r="J639">
        <v>9.2264117198022451</v>
      </c>
      <c r="K639">
        <v>11.79898692103913</v>
      </c>
      <c r="L639">
        <v>2.5284984470316312</v>
      </c>
      <c r="M639">
        <v>6.5971697498052277</v>
      </c>
      <c r="P639" t="s">
        <v>24</v>
      </c>
      <c r="Q639" t="s">
        <v>22</v>
      </c>
      <c r="R639" t="s">
        <v>391</v>
      </c>
      <c r="S639" t="s">
        <v>5</v>
      </c>
      <c r="T639" t="s">
        <v>2104</v>
      </c>
      <c r="U639" t="s">
        <v>2105</v>
      </c>
    </row>
    <row r="640" spans="1:21" x14ac:dyDescent="0.3">
      <c r="A640" s="64">
        <v>46140</v>
      </c>
      <c r="B640" t="s">
        <v>2106</v>
      </c>
      <c r="C640" t="s">
        <v>2107</v>
      </c>
      <c r="E640" t="s">
        <v>390</v>
      </c>
      <c r="F640" t="s">
        <v>390</v>
      </c>
      <c r="G640" t="s">
        <v>68</v>
      </c>
      <c r="H640" t="s">
        <v>69</v>
      </c>
      <c r="J640">
        <v>6.6533128304737241</v>
      </c>
      <c r="K640">
        <v>6.0006574898592699</v>
      </c>
      <c r="L640">
        <v>6.7708093931056519</v>
      </c>
      <c r="M640">
        <v>6.4954820179606374</v>
      </c>
      <c r="P640" t="s">
        <v>23</v>
      </c>
      <c r="Q640" t="s">
        <v>11</v>
      </c>
      <c r="R640" t="s">
        <v>1116</v>
      </c>
      <c r="S640" t="s">
        <v>10</v>
      </c>
      <c r="T640" t="s">
        <v>2108</v>
      </c>
      <c r="U640" t="s">
        <v>2109</v>
      </c>
    </row>
    <row r="641" spans="1:21" x14ac:dyDescent="0.3">
      <c r="A641" s="64">
        <v>46140</v>
      </c>
      <c r="B641" t="s">
        <v>1505</v>
      </c>
      <c r="C641" t="s">
        <v>1506</v>
      </c>
      <c r="E641" t="s">
        <v>19</v>
      </c>
      <c r="F641" t="s">
        <v>58</v>
      </c>
      <c r="G641" t="s">
        <v>68</v>
      </c>
      <c r="H641" t="s">
        <v>69</v>
      </c>
      <c r="J641">
        <v>2.7595680011510382</v>
      </c>
      <c r="K641">
        <v>2.4642056910486181</v>
      </c>
      <c r="L641">
        <v>9.9728148454583039</v>
      </c>
      <c r="M641">
        <v>6.4220371654496002</v>
      </c>
      <c r="P641" t="s">
        <v>21</v>
      </c>
      <c r="Q641" t="s">
        <v>11</v>
      </c>
      <c r="R641" t="s">
        <v>61</v>
      </c>
      <c r="S641" t="s">
        <v>10</v>
      </c>
      <c r="T641" t="s">
        <v>2110</v>
      </c>
      <c r="U641" t="s">
        <v>2111</v>
      </c>
    </row>
    <row r="642" spans="1:21" x14ac:dyDescent="0.3">
      <c r="A642" s="64">
        <v>46140</v>
      </c>
      <c r="B642" t="s">
        <v>1327</v>
      </c>
      <c r="C642" t="s">
        <v>1328</v>
      </c>
      <c r="E642" t="s">
        <v>19</v>
      </c>
      <c r="F642" t="s">
        <v>820</v>
      </c>
      <c r="G642" t="s">
        <v>143</v>
      </c>
      <c r="H642" t="s">
        <v>1329</v>
      </c>
      <c r="J642">
        <v>13.978938607324279</v>
      </c>
      <c r="K642">
        <v>6.5351665037218361</v>
      </c>
      <c r="L642">
        <v>4.1284580632875656</v>
      </c>
      <c r="M642">
        <v>6.3430655566982939</v>
      </c>
      <c r="P642" t="s">
        <v>24</v>
      </c>
      <c r="Q642" t="s">
        <v>22</v>
      </c>
      <c r="R642" t="s">
        <v>167</v>
      </c>
      <c r="S642" t="s">
        <v>5</v>
      </c>
      <c r="T642" t="s">
        <v>2112</v>
      </c>
      <c r="U642" t="s">
        <v>2113</v>
      </c>
    </row>
    <row r="643" spans="1:21" x14ac:dyDescent="0.3">
      <c r="A643" s="64">
        <v>46140</v>
      </c>
      <c r="B643" t="s">
        <v>1551</v>
      </c>
      <c r="C643" t="s">
        <v>1552</v>
      </c>
      <c r="E643" t="s">
        <v>19</v>
      </c>
      <c r="F643" t="s">
        <v>109</v>
      </c>
      <c r="G643" t="s">
        <v>110</v>
      </c>
      <c r="H643" t="s">
        <v>111</v>
      </c>
      <c r="J643">
        <v>9.8117973374259115</v>
      </c>
      <c r="K643">
        <v>12.51531097102794</v>
      </c>
      <c r="L643">
        <v>1.264728028069438</v>
      </c>
      <c r="M643">
        <v>6.2621991935690984</v>
      </c>
      <c r="P643" t="s">
        <v>19</v>
      </c>
      <c r="Q643" t="s">
        <v>11</v>
      </c>
      <c r="R643" t="s">
        <v>80</v>
      </c>
      <c r="S643" t="s">
        <v>10</v>
      </c>
      <c r="T643" t="s">
        <v>2114</v>
      </c>
      <c r="U643" t="s">
        <v>2115</v>
      </c>
    </row>
    <row r="644" spans="1:21" x14ac:dyDescent="0.3">
      <c r="A644" s="64">
        <v>46140</v>
      </c>
      <c r="B644" t="s">
        <v>399</v>
      </c>
      <c r="C644" t="s">
        <v>400</v>
      </c>
      <c r="E644" t="s">
        <v>136</v>
      </c>
      <c r="F644" t="s">
        <v>233</v>
      </c>
      <c r="G644" t="s">
        <v>59</v>
      </c>
      <c r="H644" t="s">
        <v>399</v>
      </c>
      <c r="J644">
        <v>15.06977666670663</v>
      </c>
      <c r="K644">
        <v>0</v>
      </c>
      <c r="L644">
        <v>7.8177847266174627</v>
      </c>
      <c r="M644">
        <v>6.2288480019810244</v>
      </c>
      <c r="P644" t="s">
        <v>7</v>
      </c>
      <c r="Q644" t="s">
        <v>11</v>
      </c>
      <c r="R644" t="s">
        <v>70</v>
      </c>
      <c r="S644" t="s">
        <v>10</v>
      </c>
      <c r="T644" t="s">
        <v>2116</v>
      </c>
      <c r="U644" t="s">
        <v>2117</v>
      </c>
    </row>
    <row r="645" spans="1:21" x14ac:dyDescent="0.3">
      <c r="A645" s="64">
        <v>46140</v>
      </c>
      <c r="B645" t="s">
        <v>597</v>
      </c>
      <c r="C645" t="s">
        <v>598</v>
      </c>
      <c r="E645" t="s">
        <v>66</v>
      </c>
      <c r="F645" t="s">
        <v>233</v>
      </c>
      <c r="G645" t="s">
        <v>110</v>
      </c>
      <c r="H645" t="s">
        <v>599</v>
      </c>
      <c r="J645">
        <v>0</v>
      </c>
      <c r="K645">
        <v>18.386393657496662</v>
      </c>
      <c r="L645">
        <v>0</v>
      </c>
      <c r="M645">
        <v>6.1725244197892319</v>
      </c>
      <c r="P645" t="s">
        <v>7</v>
      </c>
      <c r="Q645" t="s">
        <v>11</v>
      </c>
      <c r="R645" t="s">
        <v>70</v>
      </c>
      <c r="S645" t="s">
        <v>10</v>
      </c>
      <c r="T645" t="s">
        <v>2118</v>
      </c>
      <c r="U645" t="s">
        <v>2119</v>
      </c>
    </row>
    <row r="646" spans="1:21" x14ac:dyDescent="0.3">
      <c r="A646" s="64">
        <v>46140</v>
      </c>
      <c r="B646" t="s">
        <v>458</v>
      </c>
      <c r="C646" t="s">
        <v>459</v>
      </c>
      <c r="E646" t="s">
        <v>19</v>
      </c>
      <c r="F646" t="s">
        <v>109</v>
      </c>
      <c r="G646" t="s">
        <v>59</v>
      </c>
      <c r="H646" t="s">
        <v>60</v>
      </c>
      <c r="J646">
        <v>0</v>
      </c>
      <c r="K646">
        <v>0</v>
      </c>
      <c r="L646">
        <v>11.819632409432071</v>
      </c>
      <c r="M646">
        <v>6.1638030664920258</v>
      </c>
      <c r="P646" t="s">
        <v>12</v>
      </c>
      <c r="Q646" t="s">
        <v>14</v>
      </c>
      <c r="R646" t="s">
        <v>146</v>
      </c>
      <c r="S646" t="s">
        <v>5</v>
      </c>
      <c r="T646" t="s">
        <v>2044</v>
      </c>
      <c r="U646" t="s">
        <v>2041</v>
      </c>
    </row>
    <row r="647" spans="1:21" x14ac:dyDescent="0.3">
      <c r="A647" s="64">
        <v>46140</v>
      </c>
      <c r="B647" t="s">
        <v>2120</v>
      </c>
      <c r="C647" t="s">
        <v>2121</v>
      </c>
      <c r="E647" t="s">
        <v>19</v>
      </c>
      <c r="F647" t="s">
        <v>820</v>
      </c>
      <c r="G647" t="s">
        <v>122</v>
      </c>
      <c r="H647" t="s">
        <v>2122</v>
      </c>
      <c r="J647">
        <v>0</v>
      </c>
      <c r="K647">
        <v>17.815340126686859</v>
      </c>
      <c r="L647">
        <v>0</v>
      </c>
      <c r="M647">
        <v>5.9808151629555439</v>
      </c>
      <c r="P647" t="s">
        <v>19</v>
      </c>
      <c r="Q647" t="s">
        <v>11</v>
      </c>
      <c r="R647" t="s">
        <v>80</v>
      </c>
      <c r="S647" t="s">
        <v>10</v>
      </c>
      <c r="T647" t="s">
        <v>2123</v>
      </c>
      <c r="U647" t="s">
        <v>2124</v>
      </c>
    </row>
    <row r="648" spans="1:21" x14ac:dyDescent="0.3">
      <c r="A648" s="64">
        <v>46140</v>
      </c>
      <c r="B648" t="s">
        <v>423</v>
      </c>
      <c r="C648" t="s">
        <v>424</v>
      </c>
      <c r="E648" t="s">
        <v>66</v>
      </c>
      <c r="F648" t="s">
        <v>193</v>
      </c>
      <c r="G648" t="s">
        <v>110</v>
      </c>
      <c r="H648" t="s">
        <v>425</v>
      </c>
      <c r="J648">
        <v>0</v>
      </c>
      <c r="K648">
        <v>17.515708355008819</v>
      </c>
      <c r="L648">
        <v>0</v>
      </c>
      <c r="M648">
        <v>5.8802253212454314</v>
      </c>
      <c r="P648" t="s">
        <v>157</v>
      </c>
      <c r="Q648" t="s">
        <v>157</v>
      </c>
      <c r="R648" t="s">
        <v>156</v>
      </c>
      <c r="S648" t="s">
        <v>157</v>
      </c>
      <c r="T648" t="s">
        <v>2125</v>
      </c>
      <c r="U648" t="s">
        <v>2093</v>
      </c>
    </row>
    <row r="649" spans="1:21" x14ac:dyDescent="0.3">
      <c r="A649" s="64">
        <v>46140</v>
      </c>
      <c r="B649" t="s">
        <v>670</v>
      </c>
      <c r="C649" t="s">
        <v>671</v>
      </c>
      <c r="E649" t="s">
        <v>19</v>
      </c>
      <c r="F649" t="s">
        <v>109</v>
      </c>
      <c r="G649" t="s">
        <v>181</v>
      </c>
      <c r="H649" t="s">
        <v>672</v>
      </c>
      <c r="J649">
        <v>6.6819139199629105E-2</v>
      </c>
      <c r="K649">
        <v>12.533639510252931</v>
      </c>
      <c r="L649">
        <v>2.7585982353726579</v>
      </c>
      <c r="M649">
        <v>5.655806530777638</v>
      </c>
      <c r="P649" t="s">
        <v>15</v>
      </c>
      <c r="Q649" t="s">
        <v>15</v>
      </c>
      <c r="R649" t="s">
        <v>524</v>
      </c>
      <c r="S649" t="s">
        <v>15</v>
      </c>
      <c r="T649" t="s">
        <v>2126</v>
      </c>
      <c r="U649" t="s">
        <v>2127</v>
      </c>
    </row>
    <row r="650" spans="1:21" x14ac:dyDescent="0.3">
      <c r="A650" s="64">
        <v>46140</v>
      </c>
      <c r="B650" t="s">
        <v>624</v>
      </c>
      <c r="C650" t="s">
        <v>625</v>
      </c>
      <c r="E650" t="s">
        <v>19</v>
      </c>
      <c r="F650" t="s">
        <v>261</v>
      </c>
      <c r="G650" t="s">
        <v>200</v>
      </c>
      <c r="H650" t="s">
        <v>626</v>
      </c>
      <c r="J650">
        <v>19.613852819043281</v>
      </c>
      <c r="K650">
        <v>4.2364874792931912</v>
      </c>
      <c r="L650">
        <v>2.7189258580724811</v>
      </c>
      <c r="M650">
        <v>5.6409828058686244</v>
      </c>
      <c r="P650" t="s">
        <v>24</v>
      </c>
      <c r="Q650" t="s">
        <v>22</v>
      </c>
      <c r="R650" t="s">
        <v>167</v>
      </c>
      <c r="S650" t="s">
        <v>5</v>
      </c>
      <c r="T650" t="s">
        <v>2128</v>
      </c>
      <c r="U650" t="s">
        <v>2129</v>
      </c>
    </row>
    <row r="651" spans="1:21" x14ac:dyDescent="0.3">
      <c r="A651" s="64">
        <v>46140</v>
      </c>
      <c r="B651" t="s">
        <v>699</v>
      </c>
      <c r="C651" t="s">
        <v>700</v>
      </c>
      <c r="E651" t="s">
        <v>66</v>
      </c>
      <c r="F651" t="s">
        <v>103</v>
      </c>
      <c r="G651" t="s">
        <v>59</v>
      </c>
      <c r="H651" t="s">
        <v>60</v>
      </c>
      <c r="J651">
        <v>1.2166079157824059</v>
      </c>
      <c r="K651">
        <v>1.290169782837093</v>
      </c>
      <c r="L651">
        <v>9.4923344758978008</v>
      </c>
      <c r="M651">
        <v>5.5570001968992653</v>
      </c>
      <c r="P651" t="s">
        <v>12</v>
      </c>
      <c r="Q651" t="s">
        <v>14</v>
      </c>
      <c r="R651" t="s">
        <v>146</v>
      </c>
      <c r="S651" t="s">
        <v>5</v>
      </c>
      <c r="T651" t="s">
        <v>2130</v>
      </c>
      <c r="U651" t="s">
        <v>2131</v>
      </c>
    </row>
    <row r="652" spans="1:21" x14ac:dyDescent="0.3">
      <c r="A652" s="64">
        <v>46140</v>
      </c>
      <c r="B652" t="s">
        <v>259</v>
      </c>
      <c r="C652" t="s">
        <v>260</v>
      </c>
      <c r="E652" t="s">
        <v>19</v>
      </c>
      <c r="F652" t="s">
        <v>261</v>
      </c>
      <c r="G652" t="s">
        <v>200</v>
      </c>
      <c r="H652" t="s">
        <v>262</v>
      </c>
      <c r="J652">
        <v>0</v>
      </c>
      <c r="K652">
        <v>15.98198843779457</v>
      </c>
      <c r="L652">
        <v>0</v>
      </c>
      <c r="M652">
        <v>5.3653378550857926</v>
      </c>
      <c r="P652" t="s">
        <v>12</v>
      </c>
      <c r="Q652" t="s">
        <v>14</v>
      </c>
      <c r="R652" t="s">
        <v>146</v>
      </c>
      <c r="S652" t="s">
        <v>5</v>
      </c>
      <c r="T652" t="s">
        <v>2132</v>
      </c>
      <c r="U652" t="s">
        <v>2133</v>
      </c>
    </row>
    <row r="653" spans="1:21" x14ac:dyDescent="0.3">
      <c r="A653" s="64">
        <v>46140</v>
      </c>
      <c r="B653" t="s">
        <v>450</v>
      </c>
      <c r="C653" t="s">
        <v>451</v>
      </c>
      <c r="E653" t="s">
        <v>19</v>
      </c>
      <c r="F653" t="s">
        <v>109</v>
      </c>
      <c r="G653" t="s">
        <v>110</v>
      </c>
      <c r="H653" t="s">
        <v>450</v>
      </c>
      <c r="J653">
        <v>0</v>
      </c>
      <c r="K653">
        <v>15.336471604258261</v>
      </c>
      <c r="L653">
        <v>0</v>
      </c>
      <c r="M653">
        <v>5.1486304086658512</v>
      </c>
      <c r="P653" t="s">
        <v>19</v>
      </c>
      <c r="Q653" t="s">
        <v>11</v>
      </c>
      <c r="R653" t="s">
        <v>80</v>
      </c>
      <c r="S653" t="s">
        <v>10</v>
      </c>
      <c r="T653" t="s">
        <v>2134</v>
      </c>
      <c r="U653" t="s">
        <v>2135</v>
      </c>
    </row>
    <row r="654" spans="1:21" x14ac:dyDescent="0.3">
      <c r="A654" s="64">
        <v>46140</v>
      </c>
      <c r="B654" t="s">
        <v>1105</v>
      </c>
      <c r="C654" t="s">
        <v>1106</v>
      </c>
      <c r="E654" t="s">
        <v>66</v>
      </c>
      <c r="F654" t="s">
        <v>103</v>
      </c>
      <c r="G654" t="s">
        <v>68</v>
      </c>
      <c r="H654" t="s">
        <v>69</v>
      </c>
      <c r="J654">
        <v>2.1393365146737331</v>
      </c>
      <c r="K654">
        <v>1.8544762861640669</v>
      </c>
      <c r="L654">
        <v>7.8899124362232289</v>
      </c>
      <c r="M654">
        <v>5.0425651979122943</v>
      </c>
      <c r="P654" t="s">
        <v>9</v>
      </c>
      <c r="Q654" t="s">
        <v>11</v>
      </c>
      <c r="R654" t="s">
        <v>104</v>
      </c>
      <c r="S654" t="s">
        <v>10</v>
      </c>
      <c r="T654" t="s">
        <v>2136</v>
      </c>
      <c r="U654" t="s">
        <v>2137</v>
      </c>
    </row>
    <row r="655" spans="1:21" x14ac:dyDescent="0.3">
      <c r="A655" s="64">
        <v>46140</v>
      </c>
      <c r="B655" t="s">
        <v>2138</v>
      </c>
      <c r="C655" t="s">
        <v>2139</v>
      </c>
      <c r="E655" t="s">
        <v>66</v>
      </c>
      <c r="F655" t="s">
        <v>67</v>
      </c>
      <c r="G655" t="s">
        <v>59</v>
      </c>
      <c r="H655" t="s">
        <v>60</v>
      </c>
      <c r="J655">
        <v>2.2598607564076429</v>
      </c>
      <c r="K655">
        <v>1.9715133062007211</v>
      </c>
      <c r="L655">
        <v>7.756633768689789</v>
      </c>
      <c r="M655">
        <v>5.029563425818913</v>
      </c>
      <c r="P655" t="s">
        <v>7</v>
      </c>
      <c r="Q655" t="s">
        <v>11</v>
      </c>
      <c r="R655" t="s">
        <v>70</v>
      </c>
      <c r="S655" t="s">
        <v>10</v>
      </c>
      <c r="T655" t="s">
        <v>2140</v>
      </c>
      <c r="U655" t="s">
        <v>2141</v>
      </c>
    </row>
    <row r="656" spans="1:21" x14ac:dyDescent="0.3">
      <c r="A656" s="64">
        <v>46140</v>
      </c>
      <c r="B656" t="s">
        <v>1424</v>
      </c>
      <c r="C656" t="s">
        <v>1425</v>
      </c>
      <c r="E656" t="s">
        <v>66</v>
      </c>
      <c r="F656" t="s">
        <v>193</v>
      </c>
      <c r="G656" t="s">
        <v>181</v>
      </c>
      <c r="H656" t="s">
        <v>1424</v>
      </c>
      <c r="J656">
        <v>32.363569056268958</v>
      </c>
      <c r="K656">
        <v>0.94086501354930641</v>
      </c>
      <c r="L656">
        <v>0</v>
      </c>
      <c r="M656">
        <v>4.9373739059962958</v>
      </c>
      <c r="P656" t="s">
        <v>2142</v>
      </c>
      <c r="Q656" t="s">
        <v>22</v>
      </c>
      <c r="R656" t="s">
        <v>2142</v>
      </c>
      <c r="S656" t="s">
        <v>5</v>
      </c>
      <c r="T656" t="s">
        <v>2143</v>
      </c>
      <c r="U656" t="s">
        <v>2144</v>
      </c>
    </row>
    <row r="657" spans="1:21" x14ac:dyDescent="0.3">
      <c r="A657" s="64">
        <v>46140</v>
      </c>
      <c r="B657" t="s">
        <v>592</v>
      </c>
      <c r="C657" t="s">
        <v>593</v>
      </c>
      <c r="E657" t="s">
        <v>19</v>
      </c>
      <c r="F657" t="s">
        <v>594</v>
      </c>
      <c r="G657" t="s">
        <v>59</v>
      </c>
      <c r="H657" t="s">
        <v>60</v>
      </c>
      <c r="J657">
        <v>0.37968258535864019</v>
      </c>
      <c r="K657">
        <v>0.38208363509015297</v>
      </c>
      <c r="L657">
        <v>9.030424882952806</v>
      </c>
      <c r="M657">
        <v>4.8917517756603974</v>
      </c>
      <c r="P657" t="s">
        <v>12</v>
      </c>
      <c r="Q657" t="s">
        <v>14</v>
      </c>
      <c r="R657" t="s">
        <v>146</v>
      </c>
      <c r="S657" t="s">
        <v>5</v>
      </c>
      <c r="T657" t="s">
        <v>2040</v>
      </c>
      <c r="U657" t="s">
        <v>2041</v>
      </c>
    </row>
    <row r="658" spans="1:21" x14ac:dyDescent="0.3">
      <c r="A658" s="64">
        <v>46140</v>
      </c>
      <c r="B658" t="s">
        <v>337</v>
      </c>
      <c r="C658" t="s">
        <v>338</v>
      </c>
      <c r="E658" t="s">
        <v>66</v>
      </c>
      <c r="F658" t="s">
        <v>233</v>
      </c>
      <c r="G658" t="s">
        <v>122</v>
      </c>
      <c r="H658" t="s">
        <v>123</v>
      </c>
      <c r="J658">
        <v>0</v>
      </c>
      <c r="K658">
        <v>14.171892159762811</v>
      </c>
      <c r="L658">
        <v>0</v>
      </c>
      <c r="M658">
        <v>4.7576676568702148</v>
      </c>
      <c r="P658" t="s">
        <v>7</v>
      </c>
      <c r="Q658" t="s">
        <v>11</v>
      </c>
      <c r="R658" t="s">
        <v>70</v>
      </c>
      <c r="S658" t="s">
        <v>10</v>
      </c>
      <c r="T658" t="s">
        <v>2145</v>
      </c>
      <c r="U658" t="s">
        <v>2146</v>
      </c>
    </row>
    <row r="659" spans="1:21" x14ac:dyDescent="0.3">
      <c r="A659" s="64">
        <v>46140</v>
      </c>
      <c r="B659" t="s">
        <v>522</v>
      </c>
      <c r="C659" t="s">
        <v>523</v>
      </c>
      <c r="E659" t="s">
        <v>19</v>
      </c>
      <c r="F659" t="s">
        <v>221</v>
      </c>
      <c r="G659" t="s">
        <v>59</v>
      </c>
      <c r="H659" t="s">
        <v>522</v>
      </c>
      <c r="J659">
        <v>0</v>
      </c>
      <c r="K659">
        <v>13.77031120903332</v>
      </c>
      <c r="L659">
        <v>0</v>
      </c>
      <c r="M659">
        <v>4.6228522998690194</v>
      </c>
      <c r="P659" t="s">
        <v>15</v>
      </c>
      <c r="Q659" t="s">
        <v>15</v>
      </c>
      <c r="R659" t="s">
        <v>524</v>
      </c>
      <c r="S659" t="s">
        <v>15</v>
      </c>
      <c r="T659" t="s">
        <v>2147</v>
      </c>
      <c r="U659" t="s">
        <v>2148</v>
      </c>
    </row>
    <row r="660" spans="1:21" x14ac:dyDescent="0.3">
      <c r="A660" s="64">
        <v>46140</v>
      </c>
      <c r="B660" t="s">
        <v>527</v>
      </c>
      <c r="C660" t="s">
        <v>528</v>
      </c>
      <c r="E660" t="s">
        <v>19</v>
      </c>
      <c r="F660" t="s">
        <v>261</v>
      </c>
      <c r="G660" t="s">
        <v>122</v>
      </c>
      <c r="H660" t="s">
        <v>529</v>
      </c>
      <c r="J660">
        <v>0</v>
      </c>
      <c r="K660">
        <v>13.77031120903332</v>
      </c>
      <c r="L660">
        <v>0</v>
      </c>
      <c r="M660">
        <v>4.6228522998690194</v>
      </c>
      <c r="P660" t="s">
        <v>4</v>
      </c>
      <c r="Q660" t="s">
        <v>4</v>
      </c>
      <c r="R660" t="s">
        <v>4</v>
      </c>
      <c r="S660" t="s">
        <v>4</v>
      </c>
      <c r="T660" t="s">
        <v>2149</v>
      </c>
      <c r="U660" t="s">
        <v>2150</v>
      </c>
    </row>
    <row r="661" spans="1:21" x14ac:dyDescent="0.3">
      <c r="A661" s="64">
        <v>46140</v>
      </c>
      <c r="B661" t="s">
        <v>532</v>
      </c>
      <c r="C661" t="s">
        <v>533</v>
      </c>
      <c r="E661" t="s">
        <v>136</v>
      </c>
      <c r="F661" t="s">
        <v>534</v>
      </c>
      <c r="G661" t="s">
        <v>535</v>
      </c>
      <c r="H661" t="s">
        <v>532</v>
      </c>
      <c r="J661">
        <v>32.363943743030831</v>
      </c>
      <c r="K661">
        <v>0</v>
      </c>
      <c r="L661">
        <v>0</v>
      </c>
      <c r="M661">
        <v>4.6215681742301671</v>
      </c>
      <c r="P661" t="s">
        <v>15</v>
      </c>
      <c r="Q661" t="s">
        <v>15</v>
      </c>
      <c r="R661" t="s">
        <v>524</v>
      </c>
      <c r="S661" t="s">
        <v>15</v>
      </c>
      <c r="T661" t="s">
        <v>2151</v>
      </c>
      <c r="U661" t="s">
        <v>2152</v>
      </c>
    </row>
    <row r="662" spans="1:21" x14ac:dyDescent="0.3">
      <c r="A662" s="64">
        <v>46140</v>
      </c>
      <c r="B662" t="s">
        <v>328</v>
      </c>
      <c r="C662" t="s">
        <v>329</v>
      </c>
      <c r="E662" t="s">
        <v>136</v>
      </c>
      <c r="F662" t="s">
        <v>330</v>
      </c>
      <c r="G662" t="s">
        <v>116</v>
      </c>
      <c r="H662" t="s">
        <v>285</v>
      </c>
      <c r="J662">
        <v>10.07095568105064</v>
      </c>
      <c r="K662">
        <v>8.581634569941281</v>
      </c>
      <c r="L662">
        <v>0.35688039407529981</v>
      </c>
      <c r="M662">
        <v>4.5051942882091591</v>
      </c>
      <c r="P662" t="s">
        <v>7</v>
      </c>
      <c r="Q662" t="s">
        <v>11</v>
      </c>
      <c r="R662" t="s">
        <v>70</v>
      </c>
      <c r="S662" t="s">
        <v>10</v>
      </c>
      <c r="T662" t="s">
        <v>2153</v>
      </c>
      <c r="U662" t="s">
        <v>2154</v>
      </c>
    </row>
    <row r="663" spans="1:21" x14ac:dyDescent="0.3">
      <c r="A663" s="64">
        <v>46140</v>
      </c>
      <c r="B663" t="s">
        <v>384</v>
      </c>
      <c r="C663" t="s">
        <v>385</v>
      </c>
      <c r="E663" t="s">
        <v>19</v>
      </c>
      <c r="F663" t="s">
        <v>221</v>
      </c>
      <c r="G663" t="s">
        <v>68</v>
      </c>
      <c r="H663" t="s">
        <v>384</v>
      </c>
      <c r="J663">
        <v>15.41873493759217</v>
      </c>
      <c r="K663">
        <v>6.5616170425451612</v>
      </c>
      <c r="L663">
        <v>0</v>
      </c>
      <c r="M663">
        <v>4.4046044464990448</v>
      </c>
      <c r="P663" t="s">
        <v>12</v>
      </c>
      <c r="Q663" t="s">
        <v>14</v>
      </c>
      <c r="R663" t="s">
        <v>146</v>
      </c>
      <c r="S663" t="s">
        <v>5</v>
      </c>
      <c r="T663" t="s">
        <v>2155</v>
      </c>
      <c r="U663" t="s">
        <v>2156</v>
      </c>
    </row>
    <row r="664" spans="1:21" x14ac:dyDescent="0.3">
      <c r="A664" s="64">
        <v>46140</v>
      </c>
      <c r="B664" t="s">
        <v>228</v>
      </c>
      <c r="C664" t="s">
        <v>229</v>
      </c>
      <c r="E664" t="s">
        <v>66</v>
      </c>
      <c r="F664" t="s">
        <v>103</v>
      </c>
      <c r="G664" t="s">
        <v>68</v>
      </c>
      <c r="H664" t="s">
        <v>69</v>
      </c>
      <c r="J664">
        <v>1.8021184289933609</v>
      </c>
      <c r="K664">
        <v>1.570410491277102</v>
      </c>
      <c r="L664">
        <v>6.648543230305541</v>
      </c>
      <c r="M664">
        <v>4.2516864850056946</v>
      </c>
      <c r="P664" t="s">
        <v>9</v>
      </c>
      <c r="Q664" t="s">
        <v>11</v>
      </c>
      <c r="R664" t="s">
        <v>104</v>
      </c>
      <c r="S664" t="s">
        <v>10</v>
      </c>
      <c r="T664" t="s">
        <v>2157</v>
      </c>
      <c r="U664" t="s">
        <v>2158</v>
      </c>
    </row>
    <row r="665" spans="1:21" x14ac:dyDescent="0.3">
      <c r="A665" s="64">
        <v>46140</v>
      </c>
      <c r="B665" t="s">
        <v>2159</v>
      </c>
      <c r="C665" t="s">
        <v>2160</v>
      </c>
      <c r="E665" t="s">
        <v>136</v>
      </c>
      <c r="F665" t="s">
        <v>938</v>
      </c>
      <c r="G665" t="s">
        <v>2161</v>
      </c>
      <c r="H665" t="s">
        <v>752</v>
      </c>
      <c r="J665">
        <v>0</v>
      </c>
      <c r="K665">
        <v>11.663166712567699</v>
      </c>
      <c r="L665">
        <v>0</v>
      </c>
      <c r="M665">
        <v>3.915459588566145</v>
      </c>
      <c r="P665" t="s">
        <v>157</v>
      </c>
      <c r="Q665" t="s">
        <v>157</v>
      </c>
      <c r="R665" t="s">
        <v>156</v>
      </c>
      <c r="S665" t="s">
        <v>157</v>
      </c>
      <c r="T665" t="s">
        <v>2162</v>
      </c>
      <c r="U665" t="s">
        <v>2163</v>
      </c>
    </row>
    <row r="666" spans="1:21" x14ac:dyDescent="0.3">
      <c r="A666" s="64">
        <v>46140</v>
      </c>
      <c r="B666" t="s">
        <v>1315</v>
      </c>
      <c r="C666" t="s">
        <v>1316</v>
      </c>
      <c r="E666" t="s">
        <v>19</v>
      </c>
      <c r="F666" t="s">
        <v>221</v>
      </c>
      <c r="G666" t="s">
        <v>122</v>
      </c>
      <c r="H666" t="s">
        <v>1317</v>
      </c>
      <c r="J666">
        <v>13.680188362528931</v>
      </c>
      <c r="K666">
        <v>5.822365960470707</v>
      </c>
      <c r="L666">
        <v>0</v>
      </c>
      <c r="M666">
        <v>3.9081650415343301</v>
      </c>
      <c r="P666" t="s">
        <v>4</v>
      </c>
      <c r="Q666" t="s">
        <v>4</v>
      </c>
      <c r="R666" t="s">
        <v>4</v>
      </c>
      <c r="S666" t="s">
        <v>4</v>
      </c>
      <c r="T666" t="s">
        <v>2164</v>
      </c>
      <c r="U666" t="s">
        <v>2165</v>
      </c>
    </row>
    <row r="667" spans="1:21" x14ac:dyDescent="0.3">
      <c r="A667" s="64">
        <v>46140</v>
      </c>
      <c r="B667" t="s">
        <v>690</v>
      </c>
      <c r="C667" t="s">
        <v>691</v>
      </c>
      <c r="E667" t="s">
        <v>66</v>
      </c>
      <c r="F667" t="s">
        <v>568</v>
      </c>
      <c r="G667" t="s">
        <v>68</v>
      </c>
      <c r="H667" t="s">
        <v>69</v>
      </c>
      <c r="J667">
        <v>3.2853784236378392</v>
      </c>
      <c r="K667">
        <v>2.8879402674500438</v>
      </c>
      <c r="L667">
        <v>4.6911218144449043</v>
      </c>
      <c r="M667">
        <v>3.8850329449566678</v>
      </c>
      <c r="P667" t="s">
        <v>9</v>
      </c>
      <c r="Q667" t="s">
        <v>11</v>
      </c>
      <c r="R667" t="s">
        <v>104</v>
      </c>
      <c r="S667" t="s">
        <v>10</v>
      </c>
      <c r="T667" t="s">
        <v>2166</v>
      </c>
      <c r="U667" t="s">
        <v>2167</v>
      </c>
    </row>
    <row r="668" spans="1:21" x14ac:dyDescent="0.3">
      <c r="A668" s="64">
        <v>46140</v>
      </c>
      <c r="B668" t="s">
        <v>2168</v>
      </c>
      <c r="C668" t="s">
        <v>2169</v>
      </c>
      <c r="E668" t="s">
        <v>19</v>
      </c>
      <c r="F668" t="s">
        <v>109</v>
      </c>
      <c r="G668" t="s">
        <v>68</v>
      </c>
      <c r="H668" t="s">
        <v>69</v>
      </c>
      <c r="J668">
        <v>1.8437086595606069</v>
      </c>
      <c r="K668">
        <v>1.6173740526535909</v>
      </c>
      <c r="L668">
        <v>5.540452691921284</v>
      </c>
      <c r="M668">
        <v>3.695535237834338</v>
      </c>
      <c r="P668" t="s">
        <v>19</v>
      </c>
      <c r="Q668" t="s">
        <v>11</v>
      </c>
      <c r="R668" t="s">
        <v>80</v>
      </c>
      <c r="S668" t="s">
        <v>10</v>
      </c>
      <c r="T668" t="s">
        <v>2170</v>
      </c>
      <c r="U668" t="s">
        <v>2171</v>
      </c>
    </row>
    <row r="669" spans="1:21" x14ac:dyDescent="0.3">
      <c r="A669" s="64">
        <v>46140</v>
      </c>
      <c r="B669" t="s">
        <v>636</v>
      </c>
      <c r="C669" t="s">
        <v>637</v>
      </c>
      <c r="E669" t="s">
        <v>66</v>
      </c>
      <c r="G669" t="s">
        <v>355</v>
      </c>
      <c r="H669" t="s">
        <v>638</v>
      </c>
      <c r="J669">
        <v>9.9525546643006439</v>
      </c>
      <c r="K669">
        <v>4.2628463403272914</v>
      </c>
      <c r="L669">
        <v>1.5630077081498071</v>
      </c>
      <c r="M669">
        <v>3.6674012066206978</v>
      </c>
      <c r="P669" t="s">
        <v>157</v>
      </c>
      <c r="Q669" t="s">
        <v>157</v>
      </c>
      <c r="R669" t="s">
        <v>156</v>
      </c>
      <c r="S669" t="s">
        <v>157</v>
      </c>
      <c r="T669" t="s">
        <v>2172</v>
      </c>
      <c r="U669" t="s">
        <v>2173</v>
      </c>
    </row>
    <row r="670" spans="1:21" x14ac:dyDescent="0.3">
      <c r="A670" s="64">
        <v>46140</v>
      </c>
      <c r="B670" t="s">
        <v>302</v>
      </c>
      <c r="C670" t="s">
        <v>303</v>
      </c>
      <c r="E670" t="s">
        <v>19</v>
      </c>
      <c r="F670" t="s">
        <v>109</v>
      </c>
      <c r="G670" t="s">
        <v>59</v>
      </c>
      <c r="H670" t="s">
        <v>60</v>
      </c>
      <c r="J670">
        <v>2.512649425080633</v>
      </c>
      <c r="K670">
        <v>3.929638809837102</v>
      </c>
      <c r="L670">
        <v>3.7589577491917789</v>
      </c>
      <c r="M670">
        <v>3.6382846364354959</v>
      </c>
      <c r="P670" t="s">
        <v>19</v>
      </c>
      <c r="Q670" t="s">
        <v>11</v>
      </c>
      <c r="R670" t="s">
        <v>80</v>
      </c>
      <c r="S670" t="s">
        <v>10</v>
      </c>
      <c r="T670" t="s">
        <v>2174</v>
      </c>
      <c r="U670" t="s">
        <v>2175</v>
      </c>
    </row>
    <row r="671" spans="1:21" x14ac:dyDescent="0.3">
      <c r="A671" s="64">
        <v>46140</v>
      </c>
      <c r="B671" t="s">
        <v>1416</v>
      </c>
      <c r="C671" t="s">
        <v>1417</v>
      </c>
      <c r="E671" t="s">
        <v>66</v>
      </c>
      <c r="F671" t="s">
        <v>938</v>
      </c>
      <c r="G671" t="s">
        <v>98</v>
      </c>
      <c r="H671" t="s">
        <v>1416</v>
      </c>
      <c r="J671">
        <v>24.48278239391869</v>
      </c>
      <c r="K671">
        <v>0</v>
      </c>
      <c r="L671">
        <v>0.1635799917899507</v>
      </c>
      <c r="M671">
        <v>3.58144415635411</v>
      </c>
      <c r="P671" t="s">
        <v>16</v>
      </c>
      <c r="Q671" t="s">
        <v>22</v>
      </c>
      <c r="R671" t="s">
        <v>172</v>
      </c>
      <c r="S671" t="s">
        <v>5</v>
      </c>
      <c r="T671" t="s">
        <v>2176</v>
      </c>
      <c r="U671" t="s">
        <v>2177</v>
      </c>
    </row>
    <row r="672" spans="1:21" x14ac:dyDescent="0.3">
      <c r="A672" s="64">
        <v>46140</v>
      </c>
      <c r="B672" t="s">
        <v>2178</v>
      </c>
      <c r="C672" t="s">
        <v>2179</v>
      </c>
      <c r="E672" t="s">
        <v>66</v>
      </c>
      <c r="F672" t="s">
        <v>233</v>
      </c>
      <c r="G672" t="s">
        <v>355</v>
      </c>
      <c r="H672" t="s">
        <v>356</v>
      </c>
      <c r="J672">
        <v>1.9408774264714701</v>
      </c>
      <c r="K672">
        <v>3.3855202627579382</v>
      </c>
      <c r="L672">
        <v>3.878316884344895</v>
      </c>
      <c r="M672">
        <v>3.4362131990993978</v>
      </c>
      <c r="P672" t="s">
        <v>7</v>
      </c>
      <c r="Q672" t="s">
        <v>11</v>
      </c>
      <c r="R672" t="s">
        <v>70</v>
      </c>
      <c r="S672" t="s">
        <v>10</v>
      </c>
      <c r="T672" t="s">
        <v>2180</v>
      </c>
      <c r="U672" t="s">
        <v>2181</v>
      </c>
    </row>
    <row r="673" spans="1:21" x14ac:dyDescent="0.3">
      <c r="A673" s="64">
        <v>46140</v>
      </c>
      <c r="B673" t="s">
        <v>1531</v>
      </c>
      <c r="C673" t="s">
        <v>1532</v>
      </c>
      <c r="E673" t="s">
        <v>19</v>
      </c>
      <c r="F673" t="s">
        <v>221</v>
      </c>
      <c r="G673" t="s">
        <v>98</v>
      </c>
      <c r="H673" t="s">
        <v>1533</v>
      </c>
      <c r="J673">
        <v>22.776084193614139</v>
      </c>
      <c r="K673">
        <v>0</v>
      </c>
      <c r="L673">
        <v>0</v>
      </c>
      <c r="M673">
        <v>3.2524227170386348</v>
      </c>
      <c r="P673" t="s">
        <v>12</v>
      </c>
      <c r="Q673" t="s">
        <v>14</v>
      </c>
      <c r="R673" t="s">
        <v>146</v>
      </c>
      <c r="S673" t="s">
        <v>5</v>
      </c>
      <c r="T673" t="s">
        <v>2182</v>
      </c>
      <c r="U673" t="s">
        <v>2183</v>
      </c>
    </row>
    <row r="674" spans="1:21" x14ac:dyDescent="0.3">
      <c r="A674" s="64">
        <v>46140</v>
      </c>
      <c r="B674" t="s">
        <v>2184</v>
      </c>
      <c r="C674" t="s">
        <v>2185</v>
      </c>
      <c r="E674" t="s">
        <v>66</v>
      </c>
      <c r="F674" t="s">
        <v>67</v>
      </c>
      <c r="G674" t="s">
        <v>68</v>
      </c>
      <c r="H674" t="s">
        <v>69</v>
      </c>
      <c r="J674">
        <v>2.283216231230691</v>
      </c>
      <c r="K674">
        <v>2.149379825984068</v>
      </c>
      <c r="L674">
        <v>4.1553395189409619</v>
      </c>
      <c r="M674">
        <v>3.2145766808491221</v>
      </c>
      <c r="P674" t="s">
        <v>7</v>
      </c>
      <c r="Q674" t="s">
        <v>11</v>
      </c>
      <c r="R674" t="s">
        <v>70</v>
      </c>
      <c r="S674" t="s">
        <v>10</v>
      </c>
      <c r="T674" t="s">
        <v>2186</v>
      </c>
      <c r="U674" t="s">
        <v>2187</v>
      </c>
    </row>
    <row r="675" spans="1:21" x14ac:dyDescent="0.3">
      <c r="A675" s="64">
        <v>46140</v>
      </c>
      <c r="B675" t="s">
        <v>659</v>
      </c>
      <c r="C675" t="s">
        <v>660</v>
      </c>
      <c r="E675" t="s">
        <v>19</v>
      </c>
      <c r="F675" t="s">
        <v>261</v>
      </c>
      <c r="G675" t="s">
        <v>143</v>
      </c>
      <c r="H675" t="s">
        <v>659</v>
      </c>
      <c r="J675">
        <v>9.1854459671714448</v>
      </c>
      <c r="K675">
        <v>5.5805500626083351</v>
      </c>
      <c r="L675">
        <v>0</v>
      </c>
      <c r="M675">
        <v>3.185135857026935</v>
      </c>
      <c r="P675" t="s">
        <v>19</v>
      </c>
      <c r="Q675" t="s">
        <v>11</v>
      </c>
      <c r="R675" t="s">
        <v>80</v>
      </c>
      <c r="S675" t="s">
        <v>10</v>
      </c>
      <c r="T675" t="s">
        <v>2188</v>
      </c>
      <c r="U675" t="s">
        <v>2189</v>
      </c>
    </row>
    <row r="676" spans="1:21" x14ac:dyDescent="0.3">
      <c r="A676" s="64">
        <v>46140</v>
      </c>
      <c r="B676" t="s">
        <v>2190</v>
      </c>
      <c r="C676" t="s">
        <v>2191</v>
      </c>
      <c r="E676" t="s">
        <v>66</v>
      </c>
      <c r="F676" t="s">
        <v>103</v>
      </c>
      <c r="G676" t="s">
        <v>68</v>
      </c>
      <c r="H676" t="s">
        <v>69</v>
      </c>
      <c r="J676">
        <v>1.389588304177708</v>
      </c>
      <c r="K676">
        <v>1.440995066488503</v>
      </c>
      <c r="L676">
        <v>4.7817526763806537</v>
      </c>
      <c r="M676">
        <v>3.1758210556654198</v>
      </c>
      <c r="P676" t="s">
        <v>9</v>
      </c>
      <c r="Q676" t="s">
        <v>11</v>
      </c>
      <c r="R676" t="s">
        <v>104</v>
      </c>
      <c r="S676" t="s">
        <v>10</v>
      </c>
      <c r="T676" t="s">
        <v>2192</v>
      </c>
      <c r="U676" t="s">
        <v>2193</v>
      </c>
    </row>
    <row r="677" spans="1:21" x14ac:dyDescent="0.3">
      <c r="A677" s="64">
        <v>46140</v>
      </c>
      <c r="B677" t="s">
        <v>2194</v>
      </c>
      <c r="C677" t="s">
        <v>2195</v>
      </c>
      <c r="E677" t="s">
        <v>19</v>
      </c>
      <c r="F677" t="s">
        <v>109</v>
      </c>
      <c r="G677" t="s">
        <v>68</v>
      </c>
      <c r="H677" t="s">
        <v>69</v>
      </c>
      <c r="J677">
        <v>1.0450013788472841</v>
      </c>
      <c r="K677">
        <v>1.1077875359983129</v>
      </c>
      <c r="L677">
        <v>5.0392127249287011</v>
      </c>
      <c r="M677">
        <v>3.149014932954374</v>
      </c>
      <c r="P677" t="s">
        <v>19</v>
      </c>
      <c r="Q677" t="s">
        <v>11</v>
      </c>
      <c r="R677" t="s">
        <v>80</v>
      </c>
      <c r="S677" t="s">
        <v>10</v>
      </c>
      <c r="T677" t="s">
        <v>2196</v>
      </c>
      <c r="U677" t="s">
        <v>2197</v>
      </c>
    </row>
    <row r="678" spans="1:21" x14ac:dyDescent="0.3">
      <c r="A678" s="64">
        <v>46140</v>
      </c>
      <c r="B678" t="s">
        <v>645</v>
      </c>
      <c r="C678" t="s">
        <v>646</v>
      </c>
      <c r="E678" t="s">
        <v>136</v>
      </c>
      <c r="F678" t="s">
        <v>193</v>
      </c>
      <c r="G678" t="s">
        <v>98</v>
      </c>
      <c r="H678" t="s">
        <v>645</v>
      </c>
      <c r="J678">
        <v>0</v>
      </c>
      <c r="K678">
        <v>0</v>
      </c>
      <c r="L678">
        <v>5.9098162047160336</v>
      </c>
      <c r="M678">
        <v>3.0819015332460129</v>
      </c>
      <c r="P678" t="s">
        <v>12</v>
      </c>
      <c r="Q678" t="s">
        <v>14</v>
      </c>
      <c r="R678" t="s">
        <v>146</v>
      </c>
      <c r="S678" t="s">
        <v>5</v>
      </c>
      <c r="T678" t="s">
        <v>2198</v>
      </c>
      <c r="U678" t="s">
        <v>2199</v>
      </c>
    </row>
    <row r="679" spans="1:21" x14ac:dyDescent="0.3">
      <c r="A679" s="64">
        <v>46140</v>
      </c>
      <c r="B679" t="s">
        <v>649</v>
      </c>
      <c r="C679" t="s">
        <v>650</v>
      </c>
      <c r="E679" t="s">
        <v>136</v>
      </c>
      <c r="F679" t="s">
        <v>193</v>
      </c>
      <c r="G679" t="s">
        <v>355</v>
      </c>
      <c r="H679" t="s">
        <v>651</v>
      </c>
      <c r="J679">
        <v>0</v>
      </c>
      <c r="K679">
        <v>9.1802074726888829</v>
      </c>
      <c r="L679">
        <v>0</v>
      </c>
      <c r="M679">
        <v>3.0819015332460129</v>
      </c>
      <c r="P679" t="s">
        <v>12</v>
      </c>
      <c r="Q679" t="s">
        <v>14</v>
      </c>
      <c r="R679" t="s">
        <v>146</v>
      </c>
      <c r="S679" t="s">
        <v>5</v>
      </c>
      <c r="T679" t="s">
        <v>2200</v>
      </c>
      <c r="U679" t="s">
        <v>2201</v>
      </c>
    </row>
    <row r="680" spans="1:21" x14ac:dyDescent="0.3">
      <c r="A680" s="64">
        <v>46140</v>
      </c>
      <c r="B680" t="s">
        <v>654</v>
      </c>
      <c r="C680" t="s">
        <v>655</v>
      </c>
      <c r="E680" t="s">
        <v>19</v>
      </c>
      <c r="F680" t="s">
        <v>221</v>
      </c>
      <c r="G680" t="s">
        <v>143</v>
      </c>
      <c r="H680" t="s">
        <v>656</v>
      </c>
      <c r="J680">
        <v>21.578710198274241</v>
      </c>
      <c r="K680">
        <v>0</v>
      </c>
      <c r="L680">
        <v>0</v>
      </c>
      <c r="M680">
        <v>3.0814378212097608</v>
      </c>
      <c r="P680" t="s">
        <v>4</v>
      </c>
      <c r="Q680" t="s">
        <v>4</v>
      </c>
      <c r="R680" t="s">
        <v>4</v>
      </c>
      <c r="S680" t="s">
        <v>4</v>
      </c>
      <c r="T680" t="s">
        <v>2202</v>
      </c>
      <c r="U680" t="s">
        <v>2203</v>
      </c>
    </row>
    <row r="681" spans="1:21" x14ac:dyDescent="0.3">
      <c r="A681" s="64">
        <v>46140</v>
      </c>
      <c r="B681" t="s">
        <v>573</v>
      </c>
      <c r="C681" t="s">
        <v>574</v>
      </c>
      <c r="E681" t="s">
        <v>19</v>
      </c>
      <c r="F681" t="s">
        <v>221</v>
      </c>
      <c r="G681" t="s">
        <v>122</v>
      </c>
      <c r="H681" t="s">
        <v>573</v>
      </c>
      <c r="J681">
        <v>2.694747191348033</v>
      </c>
      <c r="K681">
        <v>7.6265317346172026</v>
      </c>
      <c r="L681">
        <v>0</v>
      </c>
      <c r="M681">
        <v>2.945124317629904</v>
      </c>
      <c r="P681" t="s">
        <v>12</v>
      </c>
      <c r="Q681" t="s">
        <v>14</v>
      </c>
      <c r="R681" t="s">
        <v>146</v>
      </c>
      <c r="S681" t="s">
        <v>5</v>
      </c>
      <c r="T681" t="s">
        <v>2204</v>
      </c>
      <c r="U681" t="s">
        <v>2205</v>
      </c>
    </row>
    <row r="682" spans="1:21" x14ac:dyDescent="0.3">
      <c r="A682" s="64">
        <v>46140</v>
      </c>
      <c r="B682" t="s">
        <v>2206</v>
      </c>
      <c r="C682" t="s">
        <v>2207</v>
      </c>
      <c r="E682" t="s">
        <v>66</v>
      </c>
      <c r="F682" t="s">
        <v>2208</v>
      </c>
      <c r="G682" t="s">
        <v>116</v>
      </c>
      <c r="H682" t="s">
        <v>285</v>
      </c>
      <c r="J682">
        <v>0</v>
      </c>
      <c r="K682">
        <v>8.6305106745412452</v>
      </c>
      <c r="L682">
        <v>0</v>
      </c>
      <c r="M682">
        <v>2.8973619778959181</v>
      </c>
      <c r="P682" t="s">
        <v>7</v>
      </c>
      <c r="Q682" t="s">
        <v>11</v>
      </c>
      <c r="R682" t="s">
        <v>70</v>
      </c>
      <c r="S682" t="s">
        <v>10</v>
      </c>
      <c r="T682" t="s">
        <v>2209</v>
      </c>
      <c r="U682" t="s">
        <v>2210</v>
      </c>
    </row>
    <row r="683" spans="1:21" x14ac:dyDescent="0.3">
      <c r="A683" s="64">
        <v>46140</v>
      </c>
      <c r="B683" t="s">
        <v>888</v>
      </c>
      <c r="C683" t="s">
        <v>889</v>
      </c>
      <c r="E683" t="s">
        <v>19</v>
      </c>
      <c r="F683" t="s">
        <v>58</v>
      </c>
      <c r="G683" t="s">
        <v>59</v>
      </c>
      <c r="H683" t="s">
        <v>60</v>
      </c>
      <c r="J683">
        <v>0</v>
      </c>
      <c r="K683">
        <v>0</v>
      </c>
      <c r="L683">
        <v>5.5478741625024348</v>
      </c>
      <c r="M683">
        <v>2.8931528994130118</v>
      </c>
      <c r="P683" t="s">
        <v>12</v>
      </c>
      <c r="Q683" t="s">
        <v>14</v>
      </c>
      <c r="R683" t="s">
        <v>146</v>
      </c>
      <c r="S683" t="s">
        <v>5</v>
      </c>
      <c r="T683" t="s">
        <v>2040</v>
      </c>
      <c r="U683" t="s">
        <v>2041</v>
      </c>
    </row>
    <row r="684" spans="1:21" x14ac:dyDescent="0.3">
      <c r="A684" s="64">
        <v>46140</v>
      </c>
      <c r="B684" t="s">
        <v>1491</v>
      </c>
      <c r="C684" t="s">
        <v>1492</v>
      </c>
      <c r="E684" t="s">
        <v>19</v>
      </c>
      <c r="F684" t="s">
        <v>820</v>
      </c>
      <c r="G684" t="s">
        <v>116</v>
      </c>
      <c r="H684" t="s">
        <v>1491</v>
      </c>
      <c r="J684">
        <v>0</v>
      </c>
      <c r="K684">
        <v>8.5396648714260941</v>
      </c>
      <c r="L684">
        <v>0</v>
      </c>
      <c r="M684">
        <v>2.8668639939731699</v>
      </c>
      <c r="P684" t="s">
        <v>12</v>
      </c>
      <c r="Q684" t="s">
        <v>14</v>
      </c>
      <c r="R684" t="s">
        <v>146</v>
      </c>
      <c r="S684" t="s">
        <v>5</v>
      </c>
      <c r="T684" t="s">
        <v>2211</v>
      </c>
      <c r="U684" t="s">
        <v>2212</v>
      </c>
    </row>
    <row r="685" spans="1:21" x14ac:dyDescent="0.3">
      <c r="A685" s="64">
        <v>46140</v>
      </c>
      <c r="B685" t="s">
        <v>1333</v>
      </c>
      <c r="C685" t="s">
        <v>1334</v>
      </c>
      <c r="E685" t="s">
        <v>19</v>
      </c>
      <c r="F685" t="s">
        <v>109</v>
      </c>
      <c r="G685" t="s">
        <v>122</v>
      </c>
      <c r="H685" t="s">
        <v>1333</v>
      </c>
      <c r="J685">
        <v>4.5901626240462967</v>
      </c>
      <c r="K685">
        <v>2.00710786063765</v>
      </c>
      <c r="L685">
        <v>2.906314446590279</v>
      </c>
      <c r="M685">
        <v>2.8448937882794829</v>
      </c>
      <c r="P685" t="s">
        <v>12</v>
      </c>
      <c r="Q685" t="s">
        <v>14</v>
      </c>
      <c r="R685" t="s">
        <v>146</v>
      </c>
      <c r="S685" t="s">
        <v>5</v>
      </c>
      <c r="T685" t="s">
        <v>2213</v>
      </c>
      <c r="U685" t="s">
        <v>2214</v>
      </c>
    </row>
    <row r="686" spans="1:21" x14ac:dyDescent="0.3">
      <c r="A686" s="64">
        <v>46140</v>
      </c>
      <c r="B686" t="s">
        <v>1536</v>
      </c>
      <c r="C686" t="s">
        <v>1537</v>
      </c>
      <c r="E686" t="s">
        <v>19</v>
      </c>
      <c r="F686" t="s">
        <v>109</v>
      </c>
      <c r="G686" t="s">
        <v>122</v>
      </c>
      <c r="H686" t="s">
        <v>123</v>
      </c>
      <c r="J686">
        <v>4.4038184078110696</v>
      </c>
      <c r="K686">
        <v>5.7208949172251309</v>
      </c>
      <c r="L686">
        <v>0.34542328511361092</v>
      </c>
      <c r="M686">
        <v>2.729569561085857</v>
      </c>
      <c r="P686" t="s">
        <v>19</v>
      </c>
      <c r="Q686" t="s">
        <v>11</v>
      </c>
      <c r="R686" t="s">
        <v>80</v>
      </c>
      <c r="S686" t="s">
        <v>10</v>
      </c>
      <c r="T686" t="s">
        <v>2215</v>
      </c>
      <c r="U686" t="s">
        <v>1539</v>
      </c>
    </row>
    <row r="687" spans="1:21" x14ac:dyDescent="0.3">
      <c r="A687" s="64">
        <v>46140</v>
      </c>
      <c r="B687" t="s">
        <v>2216</v>
      </c>
      <c r="C687" t="s">
        <v>2217</v>
      </c>
      <c r="E687" t="s">
        <v>66</v>
      </c>
      <c r="F687" t="s">
        <v>1282</v>
      </c>
      <c r="G687" t="s">
        <v>59</v>
      </c>
      <c r="H687" t="s">
        <v>2218</v>
      </c>
      <c r="J687">
        <v>3.982545591885184</v>
      </c>
      <c r="K687">
        <v>1.694991431806359</v>
      </c>
      <c r="L687">
        <v>2.7484918575893489</v>
      </c>
      <c r="M687">
        <v>2.571042372723201</v>
      </c>
      <c r="P687" t="s">
        <v>7</v>
      </c>
      <c r="Q687" t="s">
        <v>11</v>
      </c>
      <c r="R687" t="s">
        <v>70</v>
      </c>
      <c r="S687" t="s">
        <v>10</v>
      </c>
      <c r="T687" t="s">
        <v>2219</v>
      </c>
      <c r="U687" t="s">
        <v>2220</v>
      </c>
    </row>
    <row r="688" spans="1:21" x14ac:dyDescent="0.3">
      <c r="A688" s="64">
        <v>46140</v>
      </c>
      <c r="B688" t="s">
        <v>1380</v>
      </c>
      <c r="C688" t="s">
        <v>1381</v>
      </c>
      <c r="E688" t="s">
        <v>19</v>
      </c>
      <c r="F688" t="s">
        <v>109</v>
      </c>
      <c r="G688" t="s">
        <v>110</v>
      </c>
      <c r="H688" t="s">
        <v>111</v>
      </c>
      <c r="J688">
        <v>0</v>
      </c>
      <c r="K688">
        <v>7.5885465011509261</v>
      </c>
      <c r="L688">
        <v>1.43641366086848E-2</v>
      </c>
      <c r="M688">
        <v>2.5550533197501379</v>
      </c>
      <c r="P688" t="s">
        <v>12</v>
      </c>
      <c r="Q688" t="s">
        <v>14</v>
      </c>
      <c r="R688" t="s">
        <v>146</v>
      </c>
      <c r="S688" t="s">
        <v>5</v>
      </c>
      <c r="T688" t="s">
        <v>2221</v>
      </c>
      <c r="U688" t="s">
        <v>2222</v>
      </c>
    </row>
    <row r="689" spans="1:21" x14ac:dyDescent="0.3">
      <c r="A689" s="64">
        <v>46140</v>
      </c>
      <c r="B689" t="s">
        <v>675</v>
      </c>
      <c r="C689" t="s">
        <v>676</v>
      </c>
      <c r="E689" t="s">
        <v>19</v>
      </c>
      <c r="F689" t="s">
        <v>109</v>
      </c>
      <c r="G689" t="s">
        <v>122</v>
      </c>
      <c r="H689" t="s">
        <v>677</v>
      </c>
      <c r="J689">
        <v>1.210737823179822</v>
      </c>
      <c r="K689">
        <v>6.6933700201624564</v>
      </c>
      <c r="L689">
        <v>0</v>
      </c>
      <c r="M689">
        <v>2.4199347664175468</v>
      </c>
      <c r="P689" t="s">
        <v>12</v>
      </c>
      <c r="Q689" t="s">
        <v>14</v>
      </c>
      <c r="R689" t="s">
        <v>146</v>
      </c>
      <c r="S689" t="s">
        <v>5</v>
      </c>
      <c r="T689" t="s">
        <v>2223</v>
      </c>
      <c r="U689" t="s">
        <v>2224</v>
      </c>
    </row>
    <row r="690" spans="1:21" x14ac:dyDescent="0.3">
      <c r="A690" s="64">
        <v>46140</v>
      </c>
      <c r="B690" t="s">
        <v>2225</v>
      </c>
      <c r="C690" t="s">
        <v>2226</v>
      </c>
      <c r="E690" t="s">
        <v>66</v>
      </c>
      <c r="F690" t="s">
        <v>103</v>
      </c>
      <c r="G690" t="s">
        <v>68</v>
      </c>
      <c r="H690" t="s">
        <v>69</v>
      </c>
      <c r="J690">
        <v>0.68517719186759862</v>
      </c>
      <c r="K690">
        <v>0.90797989534563506</v>
      </c>
      <c r="L690">
        <v>3.8178849096126459</v>
      </c>
      <c r="M690">
        <v>2.3936458609777049</v>
      </c>
      <c r="P690" t="s">
        <v>9</v>
      </c>
      <c r="Q690" t="s">
        <v>11</v>
      </c>
      <c r="R690" t="s">
        <v>104</v>
      </c>
      <c r="S690" t="s">
        <v>10</v>
      </c>
      <c r="T690" t="s">
        <v>2227</v>
      </c>
      <c r="U690" t="s">
        <v>2228</v>
      </c>
    </row>
    <row r="691" spans="1:21" x14ac:dyDescent="0.3">
      <c r="A691" s="64">
        <v>46140</v>
      </c>
      <c r="B691" t="s">
        <v>295</v>
      </c>
      <c r="C691" t="s">
        <v>2229</v>
      </c>
      <c r="E691" t="s">
        <v>19</v>
      </c>
      <c r="F691" t="s">
        <v>109</v>
      </c>
      <c r="G691" t="s">
        <v>122</v>
      </c>
      <c r="H691" t="s">
        <v>295</v>
      </c>
      <c r="J691">
        <v>0.39417047348416723</v>
      </c>
      <c r="K691">
        <v>0.33469506410844918</v>
      </c>
      <c r="L691">
        <v>3.7629933875723141</v>
      </c>
      <c r="M691">
        <v>2.1310064976757328</v>
      </c>
      <c r="P691" t="s">
        <v>19</v>
      </c>
      <c r="Q691" t="s">
        <v>11</v>
      </c>
      <c r="R691" t="s">
        <v>80</v>
      </c>
      <c r="S691" t="s">
        <v>10</v>
      </c>
      <c r="T691" t="s">
        <v>2230</v>
      </c>
      <c r="U691" t="s">
        <v>2231</v>
      </c>
    </row>
    <row r="692" spans="1:21" x14ac:dyDescent="0.3">
      <c r="A692" s="64">
        <v>46140</v>
      </c>
      <c r="B692" t="s">
        <v>2232</v>
      </c>
      <c r="C692" t="s">
        <v>2233</v>
      </c>
      <c r="E692" t="s">
        <v>19</v>
      </c>
      <c r="F692" t="s">
        <v>109</v>
      </c>
      <c r="G692" t="s">
        <v>59</v>
      </c>
      <c r="H692" t="s">
        <v>60</v>
      </c>
      <c r="J692">
        <v>1.5064905738802361</v>
      </c>
      <c r="K692">
        <v>1.5456005555725549</v>
      </c>
      <c r="L692">
        <v>2.462423418631682</v>
      </c>
      <c r="M692">
        <v>2.018128287004934</v>
      </c>
      <c r="P692" t="s">
        <v>19</v>
      </c>
      <c r="Q692" t="s">
        <v>11</v>
      </c>
      <c r="R692" t="s">
        <v>80</v>
      </c>
      <c r="S692" t="s">
        <v>10</v>
      </c>
      <c r="T692" t="s">
        <v>2234</v>
      </c>
      <c r="U692" t="s">
        <v>2235</v>
      </c>
    </row>
    <row r="693" spans="1:21" x14ac:dyDescent="0.3">
      <c r="A693" s="64">
        <v>46140</v>
      </c>
      <c r="B693" t="s">
        <v>2236</v>
      </c>
      <c r="C693" t="s">
        <v>2237</v>
      </c>
      <c r="E693" t="s">
        <v>19</v>
      </c>
      <c r="F693" t="s">
        <v>109</v>
      </c>
      <c r="G693" t="s">
        <v>59</v>
      </c>
      <c r="H693" t="s">
        <v>60</v>
      </c>
      <c r="J693">
        <v>1.065234463988106</v>
      </c>
      <c r="K693">
        <v>0.90176412986933541</v>
      </c>
      <c r="L693">
        <v>2.941296372905025</v>
      </c>
      <c r="M693">
        <v>1.9887004077812309</v>
      </c>
      <c r="P693" t="s">
        <v>19</v>
      </c>
      <c r="Q693" t="s">
        <v>11</v>
      </c>
      <c r="R693" t="s">
        <v>80</v>
      </c>
      <c r="S693" t="s">
        <v>10</v>
      </c>
      <c r="T693" t="s">
        <v>2238</v>
      </c>
      <c r="U693" t="s">
        <v>2239</v>
      </c>
    </row>
    <row r="694" spans="1:21" x14ac:dyDescent="0.3">
      <c r="A694" s="64">
        <v>46140</v>
      </c>
      <c r="B694" t="s">
        <v>2240</v>
      </c>
      <c r="C694" t="s">
        <v>2241</v>
      </c>
      <c r="E694" t="s">
        <v>19</v>
      </c>
      <c r="F694" t="s">
        <v>109</v>
      </c>
      <c r="G694" t="s">
        <v>59</v>
      </c>
      <c r="H694" t="s">
        <v>60</v>
      </c>
      <c r="J694">
        <v>0.8823873241969713</v>
      </c>
      <c r="K694">
        <v>0.79434295215071837</v>
      </c>
      <c r="L694">
        <v>3.0468727769788591</v>
      </c>
      <c r="M694">
        <v>1.9815842115325899</v>
      </c>
      <c r="P694" t="s">
        <v>19</v>
      </c>
      <c r="Q694" t="s">
        <v>11</v>
      </c>
      <c r="R694" t="s">
        <v>80</v>
      </c>
      <c r="S694" t="s">
        <v>10</v>
      </c>
      <c r="T694" t="s">
        <v>2242</v>
      </c>
      <c r="U694" t="s">
        <v>2243</v>
      </c>
    </row>
    <row r="695" spans="1:21" x14ac:dyDescent="0.3">
      <c r="A695" s="64">
        <v>46140</v>
      </c>
      <c r="B695" t="s">
        <v>2244</v>
      </c>
      <c r="C695" t="s">
        <v>2245</v>
      </c>
      <c r="E695" t="s">
        <v>19</v>
      </c>
      <c r="F695" t="s">
        <v>820</v>
      </c>
      <c r="G695" t="s">
        <v>181</v>
      </c>
      <c r="H695" t="s">
        <v>2244</v>
      </c>
      <c r="J695">
        <v>6.8647610597540449</v>
      </c>
      <c r="K695">
        <v>2.9293787039587089</v>
      </c>
      <c r="L695">
        <v>0</v>
      </c>
      <c r="M695">
        <v>1.9637134630585591</v>
      </c>
      <c r="P695" t="s">
        <v>19</v>
      </c>
      <c r="Q695" t="s">
        <v>11</v>
      </c>
      <c r="R695" t="s">
        <v>80</v>
      </c>
      <c r="S695" t="s">
        <v>10</v>
      </c>
      <c r="T695" t="s">
        <v>2246</v>
      </c>
      <c r="U695" t="s">
        <v>2247</v>
      </c>
    </row>
    <row r="696" spans="1:21" x14ac:dyDescent="0.3">
      <c r="A696" s="64">
        <v>46140</v>
      </c>
      <c r="B696" t="s">
        <v>1565</v>
      </c>
      <c r="C696" t="s">
        <v>1566</v>
      </c>
      <c r="E696" t="s">
        <v>19</v>
      </c>
      <c r="F696" t="s">
        <v>109</v>
      </c>
      <c r="G696" t="s">
        <v>110</v>
      </c>
      <c r="H696" t="s">
        <v>111</v>
      </c>
      <c r="J696">
        <v>1.296416196060094</v>
      </c>
      <c r="K696">
        <v>2.2111124711418482</v>
      </c>
      <c r="L696">
        <v>1.822193329787444</v>
      </c>
      <c r="M696">
        <v>1.877677045255441</v>
      </c>
      <c r="P696" t="s">
        <v>19</v>
      </c>
      <c r="Q696" t="s">
        <v>11</v>
      </c>
      <c r="R696" t="s">
        <v>80</v>
      </c>
      <c r="S696" t="s">
        <v>10</v>
      </c>
      <c r="T696" t="s">
        <v>2248</v>
      </c>
      <c r="U696" t="s">
        <v>2249</v>
      </c>
    </row>
    <row r="697" spans="1:21" x14ac:dyDescent="0.3">
      <c r="A697" s="64">
        <v>46140</v>
      </c>
      <c r="B697" t="s">
        <v>2250</v>
      </c>
      <c r="C697" t="s">
        <v>2251</v>
      </c>
      <c r="E697" t="s">
        <v>19</v>
      </c>
      <c r="F697" t="s">
        <v>221</v>
      </c>
      <c r="G697" t="s">
        <v>200</v>
      </c>
      <c r="H697" t="s">
        <v>2252</v>
      </c>
      <c r="J697">
        <v>0.1463776283027389</v>
      </c>
      <c r="K697">
        <v>7.6780689923224454E-2</v>
      </c>
      <c r="L697">
        <v>3.398623122265342</v>
      </c>
      <c r="M697">
        <v>1.8190219476978591</v>
      </c>
      <c r="P697" t="s">
        <v>24</v>
      </c>
      <c r="Q697" t="s">
        <v>22</v>
      </c>
      <c r="R697" t="s">
        <v>167</v>
      </c>
      <c r="S697" t="s">
        <v>5</v>
      </c>
      <c r="T697" t="s">
        <v>2253</v>
      </c>
      <c r="U697" t="s">
        <v>2254</v>
      </c>
    </row>
    <row r="698" spans="1:21" x14ac:dyDescent="0.3">
      <c r="A698" s="64">
        <v>46140</v>
      </c>
      <c r="B698" t="s">
        <v>2255</v>
      </c>
      <c r="C698" t="s">
        <v>2256</v>
      </c>
      <c r="E698" t="s">
        <v>19</v>
      </c>
      <c r="F698" t="s">
        <v>109</v>
      </c>
      <c r="G698" t="s">
        <v>116</v>
      </c>
      <c r="H698" t="s">
        <v>2255</v>
      </c>
      <c r="J698">
        <v>6.0896590450383474</v>
      </c>
      <c r="K698">
        <v>2.6138090720850289</v>
      </c>
      <c r="L698">
        <v>0</v>
      </c>
      <c r="M698">
        <v>1.7470886018154681</v>
      </c>
      <c r="P698" t="s">
        <v>19</v>
      </c>
      <c r="Q698" t="s">
        <v>11</v>
      </c>
      <c r="R698" t="s">
        <v>80</v>
      </c>
      <c r="S698" t="s">
        <v>10</v>
      </c>
      <c r="T698" t="s">
        <v>2257</v>
      </c>
      <c r="U698" t="s">
        <v>2258</v>
      </c>
    </row>
    <row r="699" spans="1:21" x14ac:dyDescent="0.3">
      <c r="A699" s="64">
        <v>46140</v>
      </c>
      <c r="B699" t="s">
        <v>1759</v>
      </c>
      <c r="C699" t="s">
        <v>1760</v>
      </c>
      <c r="E699" t="s">
        <v>19</v>
      </c>
      <c r="F699" t="s">
        <v>221</v>
      </c>
      <c r="G699" t="s">
        <v>122</v>
      </c>
      <c r="H699" t="s">
        <v>1761</v>
      </c>
      <c r="J699">
        <v>6.0907831053239496</v>
      </c>
      <c r="K699">
        <v>2.6106215000459012</v>
      </c>
      <c r="L699">
        <v>0</v>
      </c>
      <c r="M699">
        <v>1.7461790128212811</v>
      </c>
      <c r="P699" t="s">
        <v>19</v>
      </c>
      <c r="Q699" t="s">
        <v>11</v>
      </c>
      <c r="R699" t="s">
        <v>80</v>
      </c>
      <c r="S699" t="s">
        <v>10</v>
      </c>
      <c r="T699" t="s">
        <v>2259</v>
      </c>
      <c r="U699" t="s">
        <v>840</v>
      </c>
    </row>
    <row r="700" spans="1:21" x14ac:dyDescent="0.3">
      <c r="A700" s="64">
        <v>46140</v>
      </c>
      <c r="B700" t="s">
        <v>2260</v>
      </c>
      <c r="C700" t="s">
        <v>2261</v>
      </c>
      <c r="E700" t="s">
        <v>19</v>
      </c>
      <c r="F700" t="s">
        <v>109</v>
      </c>
      <c r="G700" t="s">
        <v>59</v>
      </c>
      <c r="H700" t="s">
        <v>60</v>
      </c>
      <c r="J700">
        <v>1.096333465223073</v>
      </c>
      <c r="K700">
        <v>1.0252825463855471</v>
      </c>
      <c r="L700">
        <v>2.2161810767685099</v>
      </c>
      <c r="M700">
        <v>1.656468568884778</v>
      </c>
      <c r="P700" t="s">
        <v>19</v>
      </c>
      <c r="Q700" t="s">
        <v>11</v>
      </c>
      <c r="R700" t="s">
        <v>80</v>
      </c>
      <c r="S700" t="s">
        <v>10</v>
      </c>
      <c r="T700" t="s">
        <v>2262</v>
      </c>
      <c r="U700" t="s">
        <v>2263</v>
      </c>
    </row>
    <row r="701" spans="1:21" x14ac:dyDescent="0.3">
      <c r="A701" s="64">
        <v>46140</v>
      </c>
      <c r="B701" t="s">
        <v>755</v>
      </c>
      <c r="C701" t="s">
        <v>756</v>
      </c>
      <c r="E701" t="s">
        <v>19</v>
      </c>
      <c r="F701" t="s">
        <v>199</v>
      </c>
      <c r="G701" t="s">
        <v>200</v>
      </c>
      <c r="H701" t="s">
        <v>755</v>
      </c>
      <c r="J701">
        <v>2.6228073330695541E-3</v>
      </c>
      <c r="K701">
        <v>4.7290528741639788</v>
      </c>
      <c r="L701">
        <v>4.5143906842662019E-3</v>
      </c>
      <c r="M701">
        <v>1.5903263345655121</v>
      </c>
      <c r="P701" t="s">
        <v>12</v>
      </c>
      <c r="Q701" t="s">
        <v>14</v>
      </c>
      <c r="R701" t="s">
        <v>146</v>
      </c>
      <c r="S701" t="s">
        <v>5</v>
      </c>
      <c r="T701" t="s">
        <v>2264</v>
      </c>
      <c r="U701" t="s">
        <v>2265</v>
      </c>
    </row>
    <row r="702" spans="1:21" x14ac:dyDescent="0.3">
      <c r="A702" s="64">
        <v>46140</v>
      </c>
      <c r="B702" t="s">
        <v>1526</v>
      </c>
      <c r="C702" t="s">
        <v>1527</v>
      </c>
      <c r="E702" t="s">
        <v>66</v>
      </c>
      <c r="F702" t="s">
        <v>103</v>
      </c>
      <c r="G702" t="s">
        <v>68</v>
      </c>
      <c r="H702" t="s">
        <v>69</v>
      </c>
      <c r="J702">
        <v>1.365358560243636</v>
      </c>
      <c r="K702">
        <v>1.159957465038711</v>
      </c>
      <c r="L702">
        <v>1.877461055405621</v>
      </c>
      <c r="M702">
        <v>1.563458635459561</v>
      </c>
      <c r="P702" t="s">
        <v>9</v>
      </c>
      <c r="Q702" t="s">
        <v>11</v>
      </c>
      <c r="R702" t="s">
        <v>104</v>
      </c>
      <c r="S702" t="s">
        <v>10</v>
      </c>
      <c r="T702" t="s">
        <v>2266</v>
      </c>
      <c r="U702" t="s">
        <v>1529</v>
      </c>
    </row>
    <row r="703" spans="1:21" x14ac:dyDescent="0.3">
      <c r="A703" s="64">
        <v>46140</v>
      </c>
      <c r="B703" t="s">
        <v>680</v>
      </c>
      <c r="C703" t="s">
        <v>681</v>
      </c>
      <c r="E703" t="s">
        <v>19</v>
      </c>
      <c r="F703" t="s">
        <v>221</v>
      </c>
      <c r="G703" t="s">
        <v>200</v>
      </c>
      <c r="H703" t="s">
        <v>682</v>
      </c>
      <c r="J703">
        <v>10.902510501220981</v>
      </c>
      <c r="K703">
        <v>0</v>
      </c>
      <c r="L703">
        <v>0</v>
      </c>
      <c r="M703">
        <v>1.5568774915604411</v>
      </c>
      <c r="P703" t="s">
        <v>4</v>
      </c>
      <c r="Q703" t="s">
        <v>4</v>
      </c>
      <c r="R703" t="s">
        <v>4</v>
      </c>
      <c r="S703" t="s">
        <v>4</v>
      </c>
      <c r="T703" t="s">
        <v>2267</v>
      </c>
      <c r="U703" t="s">
        <v>2268</v>
      </c>
    </row>
    <row r="704" spans="1:21" x14ac:dyDescent="0.3">
      <c r="A704" s="64">
        <v>46140</v>
      </c>
      <c r="B704" t="s">
        <v>1589</v>
      </c>
      <c r="C704" t="s">
        <v>1590</v>
      </c>
      <c r="E704" t="s">
        <v>19</v>
      </c>
      <c r="F704" t="s">
        <v>820</v>
      </c>
      <c r="G704" t="s">
        <v>200</v>
      </c>
      <c r="H704" t="s">
        <v>1591</v>
      </c>
      <c r="J704">
        <v>0</v>
      </c>
      <c r="K704">
        <v>4.5901037363444406</v>
      </c>
      <c r="L704">
        <v>0</v>
      </c>
      <c r="M704">
        <v>1.540950766623006</v>
      </c>
      <c r="P704" t="s">
        <v>12</v>
      </c>
      <c r="Q704" t="s">
        <v>14</v>
      </c>
      <c r="R704" t="s">
        <v>146</v>
      </c>
      <c r="S704" t="s">
        <v>5</v>
      </c>
      <c r="T704" t="s">
        <v>2269</v>
      </c>
      <c r="U704" t="s">
        <v>2270</v>
      </c>
    </row>
    <row r="705" spans="1:21" x14ac:dyDescent="0.3">
      <c r="A705" s="64">
        <v>46140</v>
      </c>
      <c r="B705" t="s">
        <v>1495</v>
      </c>
      <c r="C705" t="s">
        <v>1496</v>
      </c>
      <c r="E705" t="s">
        <v>19</v>
      </c>
      <c r="F705" t="s">
        <v>109</v>
      </c>
      <c r="G705" t="s">
        <v>200</v>
      </c>
      <c r="H705" t="s">
        <v>631</v>
      </c>
      <c r="J705">
        <v>2.104490645820094</v>
      </c>
      <c r="K705">
        <v>2.5201475803353151</v>
      </c>
      <c r="L705">
        <v>0.72983494102222313</v>
      </c>
      <c r="M705">
        <v>1.5271642510836589</v>
      </c>
      <c r="P705" t="s">
        <v>19</v>
      </c>
      <c r="Q705" t="s">
        <v>11</v>
      </c>
      <c r="R705" t="s">
        <v>80</v>
      </c>
      <c r="S705" t="s">
        <v>10</v>
      </c>
      <c r="T705" t="s">
        <v>2271</v>
      </c>
      <c r="U705" t="s">
        <v>2272</v>
      </c>
    </row>
    <row r="706" spans="1:21" x14ac:dyDescent="0.3">
      <c r="A706" s="64">
        <v>46140</v>
      </c>
      <c r="B706" t="s">
        <v>2273</v>
      </c>
      <c r="C706" t="s">
        <v>2274</v>
      </c>
      <c r="E706" t="s">
        <v>19</v>
      </c>
      <c r="F706" t="s">
        <v>109</v>
      </c>
      <c r="G706" t="s">
        <v>59</v>
      </c>
      <c r="H706" t="s">
        <v>60</v>
      </c>
      <c r="J706">
        <v>1.1861333924838831</v>
      </c>
      <c r="K706">
        <v>1.10768128359701</v>
      </c>
      <c r="L706">
        <v>1.7764332945912049</v>
      </c>
      <c r="M706">
        <v>1.4676307596601921</v>
      </c>
      <c r="P706" t="s">
        <v>19</v>
      </c>
      <c r="Q706" t="s">
        <v>11</v>
      </c>
      <c r="R706" t="s">
        <v>80</v>
      </c>
      <c r="S706" t="s">
        <v>10</v>
      </c>
      <c r="T706" t="s">
        <v>2275</v>
      </c>
      <c r="U706" t="s">
        <v>2276</v>
      </c>
    </row>
    <row r="707" spans="1:21" x14ac:dyDescent="0.3">
      <c r="A707" s="64">
        <v>46140</v>
      </c>
      <c r="B707" t="s">
        <v>2277</v>
      </c>
      <c r="C707" t="s">
        <v>2278</v>
      </c>
      <c r="E707" t="s">
        <v>19</v>
      </c>
      <c r="F707" t="s">
        <v>109</v>
      </c>
      <c r="G707" t="s">
        <v>59</v>
      </c>
      <c r="H707" t="s">
        <v>60</v>
      </c>
      <c r="J707">
        <v>0.5667761751176017</v>
      </c>
      <c r="K707">
        <v>0.49492368527528652</v>
      </c>
      <c r="L707">
        <v>2.3293841533750528</v>
      </c>
      <c r="M707">
        <v>1.461834359207038</v>
      </c>
      <c r="P707" t="s">
        <v>19</v>
      </c>
      <c r="Q707" t="s">
        <v>11</v>
      </c>
      <c r="R707" t="s">
        <v>80</v>
      </c>
      <c r="S707" t="s">
        <v>10</v>
      </c>
      <c r="T707" t="s">
        <v>2279</v>
      </c>
      <c r="U707" t="s">
        <v>2280</v>
      </c>
    </row>
    <row r="708" spans="1:21" x14ac:dyDescent="0.3">
      <c r="A708" s="64">
        <v>46140</v>
      </c>
      <c r="B708" t="s">
        <v>2281</v>
      </c>
      <c r="C708" t="s">
        <v>2282</v>
      </c>
      <c r="E708" t="s">
        <v>66</v>
      </c>
      <c r="F708" t="s">
        <v>103</v>
      </c>
      <c r="G708" t="s">
        <v>59</v>
      </c>
      <c r="H708" t="s">
        <v>60</v>
      </c>
      <c r="J708">
        <v>1.0637357169406381</v>
      </c>
      <c r="K708">
        <v>0.90144537266542346</v>
      </c>
      <c r="L708">
        <v>1.893979812505608</v>
      </c>
      <c r="M708">
        <v>1.442215773057903</v>
      </c>
      <c r="P708" t="s">
        <v>9</v>
      </c>
      <c r="Q708" t="s">
        <v>11</v>
      </c>
      <c r="R708" t="s">
        <v>104</v>
      </c>
      <c r="S708" t="s">
        <v>10</v>
      </c>
      <c r="T708" t="s">
        <v>2283</v>
      </c>
      <c r="U708" t="s">
        <v>2284</v>
      </c>
    </row>
    <row r="709" spans="1:21" x14ac:dyDescent="0.3">
      <c r="A709" s="64">
        <v>46140</v>
      </c>
      <c r="B709" t="s">
        <v>2285</v>
      </c>
      <c r="C709" t="s">
        <v>2286</v>
      </c>
      <c r="E709" t="s">
        <v>66</v>
      </c>
      <c r="F709" t="s">
        <v>193</v>
      </c>
      <c r="G709" t="s">
        <v>110</v>
      </c>
      <c r="H709" t="s">
        <v>2285</v>
      </c>
      <c r="J709">
        <v>9.9275755468428386</v>
      </c>
      <c r="K709">
        <v>0</v>
      </c>
      <c r="L709">
        <v>0</v>
      </c>
      <c r="M709">
        <v>1.417656870214848</v>
      </c>
      <c r="P709" t="s">
        <v>12</v>
      </c>
      <c r="Q709" t="s">
        <v>14</v>
      </c>
      <c r="R709" t="s">
        <v>146</v>
      </c>
      <c r="S709" t="s">
        <v>5</v>
      </c>
      <c r="T709" t="s">
        <v>2287</v>
      </c>
      <c r="U709" t="s">
        <v>2288</v>
      </c>
    </row>
    <row r="710" spans="1:21" x14ac:dyDescent="0.3">
      <c r="A710" s="64">
        <v>46140</v>
      </c>
      <c r="B710" t="s">
        <v>2289</v>
      </c>
      <c r="C710" t="s">
        <v>2290</v>
      </c>
      <c r="E710" t="s">
        <v>19</v>
      </c>
      <c r="F710" t="s">
        <v>109</v>
      </c>
      <c r="G710" t="s">
        <v>122</v>
      </c>
      <c r="H710" t="s">
        <v>123</v>
      </c>
      <c r="J710">
        <v>1.900286360602536</v>
      </c>
      <c r="K710">
        <v>3.2367137747313088</v>
      </c>
      <c r="L710">
        <v>9.8154933492679508E-2</v>
      </c>
      <c r="M710">
        <v>1.409149537857451</v>
      </c>
      <c r="P710" t="s">
        <v>19</v>
      </c>
      <c r="Q710" t="s">
        <v>11</v>
      </c>
      <c r="R710" t="s">
        <v>80</v>
      </c>
      <c r="S710" t="s">
        <v>10</v>
      </c>
      <c r="T710" t="s">
        <v>2291</v>
      </c>
      <c r="U710" t="s">
        <v>2292</v>
      </c>
    </row>
    <row r="711" spans="1:21" x14ac:dyDescent="0.3">
      <c r="A711" s="64">
        <v>46140</v>
      </c>
      <c r="B711" t="s">
        <v>584</v>
      </c>
      <c r="C711" t="s">
        <v>585</v>
      </c>
      <c r="E711" t="s">
        <v>19</v>
      </c>
      <c r="F711" t="s">
        <v>109</v>
      </c>
      <c r="G711" t="s">
        <v>110</v>
      </c>
      <c r="H711" t="s">
        <v>111</v>
      </c>
      <c r="J711">
        <v>2.256238784376261</v>
      </c>
      <c r="K711">
        <v>2.877261901118966</v>
      </c>
      <c r="L711">
        <v>0.22606414996049179</v>
      </c>
      <c r="M711">
        <v>1.4060105640735889</v>
      </c>
      <c r="P711" t="s">
        <v>19</v>
      </c>
      <c r="Q711" t="s">
        <v>11</v>
      </c>
      <c r="R711" t="s">
        <v>80</v>
      </c>
      <c r="S711" t="s">
        <v>10</v>
      </c>
      <c r="T711" t="s">
        <v>2293</v>
      </c>
      <c r="U711" t="s">
        <v>2294</v>
      </c>
    </row>
    <row r="712" spans="1:21" x14ac:dyDescent="0.3">
      <c r="A712" s="64">
        <v>46140</v>
      </c>
      <c r="B712" t="s">
        <v>1461</v>
      </c>
      <c r="C712" t="s">
        <v>1462</v>
      </c>
      <c r="E712" t="s">
        <v>19</v>
      </c>
      <c r="F712" t="s">
        <v>221</v>
      </c>
      <c r="G712" t="s">
        <v>122</v>
      </c>
      <c r="H712" t="s">
        <v>1463</v>
      </c>
      <c r="J712">
        <v>8.9924822848099009</v>
      </c>
      <c r="K712">
        <v>3.8516495472797757E-2</v>
      </c>
      <c r="L712">
        <v>0</v>
      </c>
      <c r="M712">
        <v>1.297056070632618</v>
      </c>
      <c r="P712" t="s">
        <v>12</v>
      </c>
      <c r="Q712" t="s">
        <v>14</v>
      </c>
      <c r="R712" t="s">
        <v>146</v>
      </c>
      <c r="S712" t="s">
        <v>5</v>
      </c>
      <c r="T712" t="s">
        <v>2295</v>
      </c>
      <c r="U712" t="s">
        <v>2296</v>
      </c>
    </row>
    <row r="713" spans="1:21" x14ac:dyDescent="0.3">
      <c r="A713" s="64">
        <v>46140</v>
      </c>
      <c r="B713" t="s">
        <v>2297</v>
      </c>
      <c r="C713" t="s">
        <v>2298</v>
      </c>
      <c r="E713" t="s">
        <v>19</v>
      </c>
      <c r="F713" t="s">
        <v>820</v>
      </c>
      <c r="G713" t="s">
        <v>122</v>
      </c>
      <c r="H713" t="s">
        <v>2299</v>
      </c>
      <c r="J713">
        <v>0</v>
      </c>
      <c r="K713">
        <v>3.8594590987756319</v>
      </c>
      <c r="L713">
        <v>0</v>
      </c>
      <c r="M713">
        <v>1.29566493452386</v>
      </c>
      <c r="P713" t="s">
        <v>19</v>
      </c>
      <c r="Q713" t="s">
        <v>11</v>
      </c>
      <c r="R713" t="s">
        <v>80</v>
      </c>
      <c r="S713" t="s">
        <v>10</v>
      </c>
      <c r="T713" t="s">
        <v>2230</v>
      </c>
      <c r="U713" t="s">
        <v>2231</v>
      </c>
    </row>
    <row r="714" spans="1:21" x14ac:dyDescent="0.3">
      <c r="A714" s="64">
        <v>46140</v>
      </c>
      <c r="B714" t="s">
        <v>694</v>
      </c>
      <c r="C714" t="s">
        <v>695</v>
      </c>
      <c r="E714" t="s">
        <v>19</v>
      </c>
      <c r="F714" t="s">
        <v>109</v>
      </c>
      <c r="G714" t="s">
        <v>68</v>
      </c>
      <c r="H714" t="s">
        <v>696</v>
      </c>
      <c r="J714">
        <v>0</v>
      </c>
      <c r="K714">
        <v>3.7672320144435258</v>
      </c>
      <c r="L714">
        <v>0</v>
      </c>
      <c r="M714">
        <v>1.2647032385648611</v>
      </c>
      <c r="P714" t="s">
        <v>15</v>
      </c>
      <c r="Q714" t="s">
        <v>15</v>
      </c>
      <c r="R714" t="s">
        <v>524</v>
      </c>
      <c r="S714" t="s">
        <v>15</v>
      </c>
      <c r="T714" t="s">
        <v>2300</v>
      </c>
      <c r="U714" t="s">
        <v>2301</v>
      </c>
    </row>
    <row r="715" spans="1:21" x14ac:dyDescent="0.3">
      <c r="A715" s="64">
        <v>46140</v>
      </c>
      <c r="B715" t="s">
        <v>711</v>
      </c>
      <c r="C715" t="s">
        <v>712</v>
      </c>
      <c r="E715" t="s">
        <v>19</v>
      </c>
      <c r="F715" t="s">
        <v>109</v>
      </c>
      <c r="G715" t="s">
        <v>143</v>
      </c>
      <c r="H715" t="s">
        <v>290</v>
      </c>
      <c r="J715">
        <v>1.7966230231526441</v>
      </c>
      <c r="K715">
        <v>1.6214116439031521</v>
      </c>
      <c r="L715">
        <v>0.76300925652323337</v>
      </c>
      <c r="M715">
        <v>1.198784789103766</v>
      </c>
      <c r="P715" t="s">
        <v>19</v>
      </c>
      <c r="Q715" t="s">
        <v>11</v>
      </c>
      <c r="R715" t="s">
        <v>80</v>
      </c>
      <c r="S715" t="s">
        <v>10</v>
      </c>
      <c r="T715" t="s">
        <v>2302</v>
      </c>
      <c r="U715" t="s">
        <v>2303</v>
      </c>
    </row>
    <row r="716" spans="1:21" x14ac:dyDescent="0.3">
      <c r="A716" s="64">
        <v>46140</v>
      </c>
      <c r="B716" t="s">
        <v>2304</v>
      </c>
      <c r="C716" t="s">
        <v>2305</v>
      </c>
      <c r="E716" t="s">
        <v>136</v>
      </c>
      <c r="F716" t="s">
        <v>430</v>
      </c>
      <c r="G716" t="s">
        <v>2306</v>
      </c>
      <c r="H716" t="s">
        <v>631</v>
      </c>
      <c r="J716">
        <v>1.7291794060165699</v>
      </c>
      <c r="K716">
        <v>2.2100499471288049</v>
      </c>
      <c r="L716">
        <v>8.327779200511308E-2</v>
      </c>
      <c r="M716">
        <v>1.0322943330108749</v>
      </c>
      <c r="O716" t="s">
        <v>2307</v>
      </c>
      <c r="P716" t="s">
        <v>157</v>
      </c>
      <c r="Q716" t="s">
        <v>157</v>
      </c>
      <c r="R716" t="s">
        <v>156</v>
      </c>
      <c r="S716" t="s">
        <v>157</v>
      </c>
      <c r="T716" t="s">
        <v>2125</v>
      </c>
      <c r="U716" t="s">
        <v>2093</v>
      </c>
    </row>
    <row r="717" spans="1:21" x14ac:dyDescent="0.3">
      <c r="A717" s="64">
        <v>46140</v>
      </c>
      <c r="B717" t="s">
        <v>2308</v>
      </c>
      <c r="C717" t="s">
        <v>2309</v>
      </c>
      <c r="E717" t="s">
        <v>19</v>
      </c>
      <c r="F717" t="s">
        <v>109</v>
      </c>
      <c r="G717" t="s">
        <v>200</v>
      </c>
      <c r="H717" t="s">
        <v>631</v>
      </c>
      <c r="J717">
        <v>1.20836480702133</v>
      </c>
      <c r="K717">
        <v>1.546609953384946</v>
      </c>
      <c r="L717">
        <v>0.58003751638879586</v>
      </c>
      <c r="M717">
        <v>0.99425211095986954</v>
      </c>
      <c r="P717" t="s">
        <v>19</v>
      </c>
      <c r="Q717" t="s">
        <v>11</v>
      </c>
      <c r="R717" t="s">
        <v>80</v>
      </c>
      <c r="S717" t="s">
        <v>10</v>
      </c>
      <c r="T717" t="s">
        <v>2310</v>
      </c>
      <c r="U717" t="s">
        <v>2311</v>
      </c>
    </row>
    <row r="718" spans="1:21" x14ac:dyDescent="0.3">
      <c r="A718" s="64">
        <v>46140</v>
      </c>
      <c r="B718" t="s">
        <v>1545</v>
      </c>
      <c r="C718" t="s">
        <v>1546</v>
      </c>
      <c r="E718" t="s">
        <v>19</v>
      </c>
      <c r="F718" t="s">
        <v>109</v>
      </c>
      <c r="G718" t="s">
        <v>181</v>
      </c>
      <c r="H718" t="s">
        <v>1545</v>
      </c>
      <c r="J718">
        <v>0</v>
      </c>
      <c r="K718">
        <v>2.5946836398502602</v>
      </c>
      <c r="L718">
        <v>0</v>
      </c>
      <c r="M718">
        <v>0.87106522502161599</v>
      </c>
      <c r="P718" t="s">
        <v>19</v>
      </c>
      <c r="Q718" t="s">
        <v>11</v>
      </c>
      <c r="R718" t="s">
        <v>80</v>
      </c>
      <c r="S718" t="s">
        <v>10</v>
      </c>
      <c r="T718" t="s">
        <v>2312</v>
      </c>
      <c r="U718" t="s">
        <v>2313</v>
      </c>
    </row>
    <row r="719" spans="1:21" x14ac:dyDescent="0.3">
      <c r="A719" s="64">
        <v>46140</v>
      </c>
      <c r="B719" t="s">
        <v>2314</v>
      </c>
      <c r="C719" t="s">
        <v>2315</v>
      </c>
      <c r="E719" t="s">
        <v>19</v>
      </c>
      <c r="F719" t="s">
        <v>109</v>
      </c>
      <c r="G719" t="s">
        <v>116</v>
      </c>
      <c r="H719" t="s">
        <v>117</v>
      </c>
      <c r="J719">
        <v>1.320770835581454</v>
      </c>
      <c r="K719">
        <v>1.689731937941797</v>
      </c>
      <c r="L719">
        <v>0.212897024735864</v>
      </c>
      <c r="M719">
        <v>0.86689181669534532</v>
      </c>
      <c r="P719" t="s">
        <v>19</v>
      </c>
      <c r="Q719" t="s">
        <v>11</v>
      </c>
      <c r="R719" t="s">
        <v>80</v>
      </c>
      <c r="S719" t="s">
        <v>10</v>
      </c>
      <c r="T719" t="s">
        <v>2316</v>
      </c>
      <c r="U719" t="s">
        <v>2317</v>
      </c>
    </row>
    <row r="720" spans="1:21" x14ac:dyDescent="0.3">
      <c r="A720" s="64">
        <v>46140</v>
      </c>
      <c r="B720" t="s">
        <v>2318</v>
      </c>
      <c r="C720" t="s">
        <v>2319</v>
      </c>
      <c r="E720" t="s">
        <v>19</v>
      </c>
      <c r="F720" t="s">
        <v>109</v>
      </c>
      <c r="G720" t="s">
        <v>200</v>
      </c>
      <c r="H720" t="s">
        <v>631</v>
      </c>
      <c r="J720">
        <v>1.418189393666895</v>
      </c>
      <c r="K720">
        <v>1.824513108996263</v>
      </c>
      <c r="L720">
        <v>4.9248468372633601E-2</v>
      </c>
      <c r="M720">
        <v>0.84070992172540815</v>
      </c>
      <c r="P720" t="s">
        <v>19</v>
      </c>
      <c r="Q720" t="s">
        <v>11</v>
      </c>
      <c r="R720" t="s">
        <v>80</v>
      </c>
      <c r="S720" t="s">
        <v>10</v>
      </c>
      <c r="T720" t="s">
        <v>2320</v>
      </c>
      <c r="U720" t="s">
        <v>2321</v>
      </c>
    </row>
    <row r="721" spans="1:21" x14ac:dyDescent="0.3">
      <c r="A721" s="64">
        <v>46140</v>
      </c>
      <c r="B721" t="s">
        <v>2322</v>
      </c>
      <c r="C721" t="s">
        <v>2323</v>
      </c>
      <c r="E721" t="s">
        <v>19</v>
      </c>
      <c r="F721" t="s">
        <v>109</v>
      </c>
      <c r="G721" t="s">
        <v>110</v>
      </c>
      <c r="H721" t="s">
        <v>2324</v>
      </c>
      <c r="J721">
        <v>0</v>
      </c>
      <c r="K721">
        <v>2.4883249861446868</v>
      </c>
      <c r="L721">
        <v>0</v>
      </c>
      <c r="M721">
        <v>0.83535939823018956</v>
      </c>
      <c r="P721" t="s">
        <v>19</v>
      </c>
      <c r="Q721" t="s">
        <v>11</v>
      </c>
      <c r="R721" t="s">
        <v>80</v>
      </c>
      <c r="S721" t="s">
        <v>10</v>
      </c>
      <c r="T721" t="s">
        <v>2325</v>
      </c>
      <c r="U721" t="s">
        <v>2326</v>
      </c>
    </row>
    <row r="722" spans="1:21" x14ac:dyDescent="0.3">
      <c r="A722" s="64">
        <v>46140</v>
      </c>
      <c r="B722" t="s">
        <v>763</v>
      </c>
      <c r="C722" t="s">
        <v>764</v>
      </c>
      <c r="E722" t="s">
        <v>19</v>
      </c>
      <c r="F722" t="s">
        <v>109</v>
      </c>
      <c r="G722" t="s">
        <v>143</v>
      </c>
      <c r="H722" t="s">
        <v>290</v>
      </c>
      <c r="J722">
        <v>0.64133884072915048</v>
      </c>
      <c r="K722">
        <v>0.54820926452937846</v>
      </c>
      <c r="L722">
        <v>1.017630678074801</v>
      </c>
      <c r="M722">
        <v>0.80630605565115165</v>
      </c>
      <c r="P722" t="s">
        <v>19</v>
      </c>
      <c r="Q722" t="s">
        <v>11</v>
      </c>
      <c r="R722" t="s">
        <v>80</v>
      </c>
      <c r="S722" t="s">
        <v>10</v>
      </c>
      <c r="T722" t="s">
        <v>2327</v>
      </c>
      <c r="U722" t="s">
        <v>2328</v>
      </c>
    </row>
    <row r="723" spans="1:21" x14ac:dyDescent="0.3">
      <c r="A723" s="64">
        <v>46140</v>
      </c>
      <c r="B723" t="s">
        <v>2329</v>
      </c>
      <c r="C723" t="s">
        <v>2330</v>
      </c>
      <c r="E723" t="s">
        <v>19</v>
      </c>
      <c r="F723" t="s">
        <v>261</v>
      </c>
      <c r="G723" t="s">
        <v>98</v>
      </c>
      <c r="H723" t="s">
        <v>2331</v>
      </c>
      <c r="J723">
        <v>1.3215202091051881</v>
      </c>
      <c r="K723">
        <v>0.56473151293219215</v>
      </c>
      <c r="L723">
        <v>0.7260045045932404</v>
      </c>
      <c r="M723">
        <v>0.75690288871196476</v>
      </c>
      <c r="P723" t="s">
        <v>12</v>
      </c>
      <c r="Q723" t="s">
        <v>14</v>
      </c>
      <c r="R723" t="s">
        <v>146</v>
      </c>
      <c r="S723" t="s">
        <v>5</v>
      </c>
      <c r="T723" t="s">
        <v>2332</v>
      </c>
      <c r="U723" t="s">
        <v>2333</v>
      </c>
    </row>
    <row r="724" spans="1:21" x14ac:dyDescent="0.3">
      <c r="A724" s="64">
        <v>46140</v>
      </c>
      <c r="B724" t="s">
        <v>2334</v>
      </c>
      <c r="C724" t="s">
        <v>2335</v>
      </c>
      <c r="E724" t="s">
        <v>19</v>
      </c>
      <c r="F724" t="s">
        <v>109</v>
      </c>
      <c r="G724" t="s">
        <v>59</v>
      </c>
      <c r="H724" t="s">
        <v>60</v>
      </c>
      <c r="J724">
        <v>0.132639113700946</v>
      </c>
      <c r="K724">
        <v>0.21824243227896831</v>
      </c>
      <c r="L724">
        <v>0.93052244964070108</v>
      </c>
      <c r="M724">
        <v>0.57746416576064219</v>
      </c>
      <c r="P724" t="s">
        <v>19</v>
      </c>
      <c r="Q724" t="s">
        <v>11</v>
      </c>
      <c r="R724" t="s">
        <v>80</v>
      </c>
      <c r="S724" t="s">
        <v>10</v>
      </c>
      <c r="T724" t="s">
        <v>2336</v>
      </c>
      <c r="U724" t="s">
        <v>2337</v>
      </c>
    </row>
    <row r="725" spans="1:21" x14ac:dyDescent="0.3">
      <c r="A725" s="64">
        <v>46140</v>
      </c>
      <c r="B725" t="s">
        <v>2338</v>
      </c>
      <c r="C725" t="s">
        <v>2339</v>
      </c>
      <c r="E725" t="s">
        <v>19</v>
      </c>
      <c r="F725" t="s">
        <v>109</v>
      </c>
      <c r="G725" t="s">
        <v>200</v>
      </c>
      <c r="H725" t="s">
        <v>2340</v>
      </c>
      <c r="J725">
        <v>1.573184817492576</v>
      </c>
      <c r="K725">
        <v>0.85962031136156136</v>
      </c>
      <c r="L725">
        <v>5.2943902717133458E-2</v>
      </c>
      <c r="M725">
        <v>0.54084473939101496</v>
      </c>
      <c r="P725" t="s">
        <v>19</v>
      </c>
      <c r="Q725" t="s">
        <v>11</v>
      </c>
      <c r="R725" t="s">
        <v>80</v>
      </c>
      <c r="S725" t="s">
        <v>10</v>
      </c>
      <c r="T725" t="s">
        <v>2341</v>
      </c>
      <c r="U725" t="s">
        <v>2342</v>
      </c>
    </row>
    <row r="726" spans="1:21" x14ac:dyDescent="0.3">
      <c r="A726" s="64">
        <v>46140</v>
      </c>
      <c r="B726" t="s">
        <v>2343</v>
      </c>
      <c r="C726" t="s">
        <v>2344</v>
      </c>
      <c r="E726" t="s">
        <v>66</v>
      </c>
      <c r="F726" t="s">
        <v>103</v>
      </c>
      <c r="G726" t="s">
        <v>68</v>
      </c>
      <c r="H726" t="s">
        <v>69</v>
      </c>
      <c r="J726">
        <v>0</v>
      </c>
      <c r="K726">
        <v>0.92418338654453636</v>
      </c>
      <c r="L726">
        <v>0.32353507694799583</v>
      </c>
      <c r="M726">
        <v>0.47897886329198458</v>
      </c>
      <c r="P726" t="s">
        <v>9</v>
      </c>
      <c r="Q726" t="s">
        <v>11</v>
      </c>
      <c r="R726" t="s">
        <v>104</v>
      </c>
      <c r="S726" t="s">
        <v>10</v>
      </c>
      <c r="T726" t="s">
        <v>2345</v>
      </c>
      <c r="U726" t="s">
        <v>2346</v>
      </c>
    </row>
    <row r="727" spans="1:21" x14ac:dyDescent="0.3">
      <c r="A727" s="64">
        <v>46140</v>
      </c>
      <c r="B727" t="s">
        <v>1624</v>
      </c>
      <c r="C727" t="s">
        <v>1625</v>
      </c>
      <c r="E727" t="s">
        <v>19</v>
      </c>
      <c r="F727" t="s">
        <v>109</v>
      </c>
      <c r="G727" t="s">
        <v>181</v>
      </c>
      <c r="H727" t="s">
        <v>1624</v>
      </c>
      <c r="J727">
        <v>1.5018694371505421</v>
      </c>
      <c r="K727">
        <v>0.67390585527232894</v>
      </c>
      <c r="L727">
        <v>0</v>
      </c>
      <c r="M727">
        <v>0.44070478522285272</v>
      </c>
      <c r="P727" t="s">
        <v>19</v>
      </c>
      <c r="Q727" t="s">
        <v>11</v>
      </c>
      <c r="R727" t="s">
        <v>80</v>
      </c>
      <c r="S727" t="s">
        <v>10</v>
      </c>
      <c r="T727" t="s">
        <v>2347</v>
      </c>
      <c r="U727" t="s">
        <v>2348</v>
      </c>
    </row>
    <row r="728" spans="1:21" x14ac:dyDescent="0.3">
      <c r="A728" s="64">
        <v>46140</v>
      </c>
      <c r="B728" t="s">
        <v>554</v>
      </c>
      <c r="C728" t="s">
        <v>555</v>
      </c>
      <c r="E728" t="s">
        <v>66</v>
      </c>
      <c r="F728" t="s">
        <v>233</v>
      </c>
      <c r="G728" t="s">
        <v>68</v>
      </c>
      <c r="H728" t="s">
        <v>554</v>
      </c>
      <c r="J728">
        <v>1.199622115911098</v>
      </c>
      <c r="K728">
        <v>0.61573266555824135</v>
      </c>
      <c r="L728">
        <v>0</v>
      </c>
      <c r="M728">
        <v>0.37801448493720607</v>
      </c>
      <c r="P728" t="s">
        <v>12</v>
      </c>
      <c r="Q728" t="s">
        <v>14</v>
      </c>
      <c r="R728" t="s">
        <v>146</v>
      </c>
      <c r="S728" t="s">
        <v>5</v>
      </c>
      <c r="T728" t="s">
        <v>2349</v>
      </c>
      <c r="U728" t="s">
        <v>2350</v>
      </c>
    </row>
    <row r="729" spans="1:21" x14ac:dyDescent="0.3">
      <c r="A729" s="64">
        <v>46140</v>
      </c>
      <c r="B729" t="s">
        <v>2351</v>
      </c>
      <c r="C729" t="s">
        <v>2352</v>
      </c>
      <c r="E729" t="s">
        <v>19</v>
      </c>
      <c r="F729" t="s">
        <v>109</v>
      </c>
      <c r="G729" t="s">
        <v>68</v>
      </c>
      <c r="H729" t="s">
        <v>69</v>
      </c>
      <c r="J729">
        <v>0.1694833119512088</v>
      </c>
      <c r="K729">
        <v>0.14344074176076479</v>
      </c>
      <c r="L729">
        <v>0.55688389618860645</v>
      </c>
      <c r="M729">
        <v>0.36276549297583321</v>
      </c>
      <c r="P729" t="s">
        <v>19</v>
      </c>
      <c r="Q729" t="s">
        <v>11</v>
      </c>
      <c r="R729" t="s">
        <v>80</v>
      </c>
      <c r="S729" t="s">
        <v>10</v>
      </c>
      <c r="T729" t="s">
        <v>2353</v>
      </c>
      <c r="U729" t="s">
        <v>2354</v>
      </c>
    </row>
    <row r="730" spans="1:21" x14ac:dyDescent="0.3">
      <c r="A730" s="64">
        <v>46140</v>
      </c>
      <c r="B730" t="s">
        <v>2355</v>
      </c>
      <c r="C730" t="s">
        <v>2356</v>
      </c>
      <c r="E730" t="s">
        <v>19</v>
      </c>
      <c r="F730" t="s">
        <v>820</v>
      </c>
      <c r="G730" t="s">
        <v>122</v>
      </c>
      <c r="H730" t="s">
        <v>2355</v>
      </c>
      <c r="J730">
        <v>1.138922860488631</v>
      </c>
      <c r="K730">
        <v>0.49726123810398087</v>
      </c>
      <c r="L730">
        <v>0</v>
      </c>
      <c r="M730">
        <v>0.32957441222715889</v>
      </c>
      <c r="P730" t="s">
        <v>19</v>
      </c>
      <c r="Q730" t="s">
        <v>11</v>
      </c>
      <c r="R730" t="s">
        <v>80</v>
      </c>
      <c r="S730" t="s">
        <v>10</v>
      </c>
      <c r="T730" t="s">
        <v>2357</v>
      </c>
      <c r="U730" t="s">
        <v>2358</v>
      </c>
    </row>
    <row r="731" spans="1:21" x14ac:dyDescent="0.3">
      <c r="A731" s="64">
        <v>46140</v>
      </c>
      <c r="B731" t="s">
        <v>2359</v>
      </c>
      <c r="C731" t="s">
        <v>2360</v>
      </c>
      <c r="E731" t="s">
        <v>19</v>
      </c>
      <c r="F731" t="s">
        <v>261</v>
      </c>
      <c r="G731" t="s">
        <v>181</v>
      </c>
      <c r="H731" t="s">
        <v>2361</v>
      </c>
      <c r="J731">
        <v>1.025517667230196</v>
      </c>
      <c r="K731">
        <v>0.44527486612914779</v>
      </c>
      <c r="L731">
        <v>2.0541233088833051E-2</v>
      </c>
      <c r="M731">
        <v>0.30663975446342739</v>
      </c>
      <c r="P731" t="s">
        <v>19</v>
      </c>
      <c r="Q731" t="s">
        <v>11</v>
      </c>
      <c r="R731" t="s">
        <v>80</v>
      </c>
      <c r="S731" t="s">
        <v>10</v>
      </c>
      <c r="T731" t="s">
        <v>2362</v>
      </c>
      <c r="U731" t="s">
        <v>2363</v>
      </c>
    </row>
    <row r="732" spans="1:21" x14ac:dyDescent="0.3">
      <c r="A732" s="64">
        <v>46140</v>
      </c>
      <c r="B732" t="s">
        <v>2364</v>
      </c>
      <c r="C732" t="s">
        <v>2365</v>
      </c>
      <c r="E732" t="s">
        <v>19</v>
      </c>
      <c r="F732" t="s">
        <v>2366</v>
      </c>
      <c r="G732" t="s">
        <v>68</v>
      </c>
      <c r="H732" t="s">
        <v>2367</v>
      </c>
      <c r="J732">
        <v>0</v>
      </c>
      <c r="K732">
        <v>0.86197260558088618</v>
      </c>
      <c r="L732">
        <v>0</v>
      </c>
      <c r="M732">
        <v>0.28937414569974862</v>
      </c>
      <c r="P732" t="s">
        <v>19</v>
      </c>
      <c r="Q732" t="s">
        <v>11</v>
      </c>
      <c r="R732" t="s">
        <v>80</v>
      </c>
      <c r="S732" t="s">
        <v>10</v>
      </c>
      <c r="T732" t="s">
        <v>2368</v>
      </c>
      <c r="U732" t="s">
        <v>2369</v>
      </c>
    </row>
    <row r="733" spans="1:21" x14ac:dyDescent="0.3">
      <c r="A733" s="64">
        <v>46140</v>
      </c>
      <c r="B733" t="s">
        <v>2370</v>
      </c>
      <c r="C733" t="s">
        <v>2371</v>
      </c>
      <c r="E733" t="s">
        <v>19</v>
      </c>
      <c r="F733" t="s">
        <v>109</v>
      </c>
      <c r="G733" t="s">
        <v>143</v>
      </c>
      <c r="H733" t="s">
        <v>144</v>
      </c>
      <c r="J733">
        <v>0.29225567425632171</v>
      </c>
      <c r="K733">
        <v>0.4749482338300845</v>
      </c>
      <c r="L733">
        <v>0.13577529127733021</v>
      </c>
      <c r="M733">
        <v>0.27198494434028758</v>
      </c>
      <c r="P733" t="s">
        <v>19</v>
      </c>
      <c r="Q733" t="s">
        <v>11</v>
      </c>
      <c r="R733" t="s">
        <v>80</v>
      </c>
      <c r="S733" t="s">
        <v>10</v>
      </c>
      <c r="T733" t="s">
        <v>2372</v>
      </c>
      <c r="U733" t="s">
        <v>2373</v>
      </c>
    </row>
    <row r="734" spans="1:21" x14ac:dyDescent="0.3">
      <c r="A734" s="64">
        <v>46140</v>
      </c>
      <c r="B734" t="s">
        <v>1436</v>
      </c>
      <c r="C734" t="s">
        <v>1437</v>
      </c>
      <c r="E734" t="s">
        <v>19</v>
      </c>
      <c r="F734" t="s">
        <v>221</v>
      </c>
      <c r="G734" t="s">
        <v>98</v>
      </c>
      <c r="H734" t="s">
        <v>1436</v>
      </c>
      <c r="J734">
        <v>0.42926613351238357</v>
      </c>
      <c r="K734">
        <v>0.20931723056941079</v>
      </c>
      <c r="L734">
        <v>0.26323990351677828</v>
      </c>
      <c r="M734">
        <v>0.26884597055642578</v>
      </c>
      <c r="P734" t="s">
        <v>19</v>
      </c>
      <c r="Q734" t="s">
        <v>11</v>
      </c>
      <c r="R734" t="s">
        <v>80</v>
      </c>
      <c r="S734" t="s">
        <v>10</v>
      </c>
      <c r="T734" t="s">
        <v>2374</v>
      </c>
      <c r="U734" t="s">
        <v>2375</v>
      </c>
    </row>
    <row r="735" spans="1:21" x14ac:dyDescent="0.3">
      <c r="A735" s="64">
        <v>46140</v>
      </c>
      <c r="B735" t="s">
        <v>854</v>
      </c>
      <c r="C735" t="s">
        <v>855</v>
      </c>
      <c r="E735" t="s">
        <v>19</v>
      </c>
      <c r="F735" t="s">
        <v>109</v>
      </c>
      <c r="G735" t="s">
        <v>59</v>
      </c>
      <c r="H735" t="s">
        <v>60</v>
      </c>
      <c r="J735">
        <v>0.1131554020838579</v>
      </c>
      <c r="K735">
        <v>9.5627161173842179E-2</v>
      </c>
      <c r="L735">
        <v>0.4030850334999031</v>
      </c>
      <c r="M735">
        <v>0.25846595497570157</v>
      </c>
      <c r="P735" t="s">
        <v>12</v>
      </c>
      <c r="Q735" t="s">
        <v>14</v>
      </c>
      <c r="R735" t="s">
        <v>146</v>
      </c>
      <c r="S735" t="s">
        <v>5</v>
      </c>
      <c r="T735" t="s">
        <v>2040</v>
      </c>
      <c r="U735" t="s">
        <v>2041</v>
      </c>
    </row>
    <row r="736" spans="1:21" x14ac:dyDescent="0.3">
      <c r="A736" s="64">
        <v>46140</v>
      </c>
      <c r="B736" t="s">
        <v>870</v>
      </c>
      <c r="C736" t="s">
        <v>871</v>
      </c>
      <c r="E736" t="s">
        <v>19</v>
      </c>
      <c r="F736" t="s">
        <v>820</v>
      </c>
      <c r="G736" t="s">
        <v>116</v>
      </c>
      <c r="H736" t="s">
        <v>872</v>
      </c>
      <c r="J736">
        <v>0.71602640192798817</v>
      </c>
      <c r="K736">
        <v>0.31238205983455158</v>
      </c>
      <c r="L736">
        <v>0</v>
      </c>
      <c r="M736">
        <v>0.20711876449991851</v>
      </c>
      <c r="P736" t="s">
        <v>15</v>
      </c>
      <c r="Q736" t="s">
        <v>15</v>
      </c>
      <c r="R736" t="s">
        <v>15</v>
      </c>
      <c r="S736" t="s">
        <v>15</v>
      </c>
      <c r="T736" t="s">
        <v>2376</v>
      </c>
      <c r="U736" t="s">
        <v>2377</v>
      </c>
    </row>
    <row r="737" spans="1:21" x14ac:dyDescent="0.3">
      <c r="A737" s="64">
        <v>46140</v>
      </c>
      <c r="B737" t="s">
        <v>2378</v>
      </c>
      <c r="C737" t="s">
        <v>2379</v>
      </c>
      <c r="E737" t="s">
        <v>19</v>
      </c>
      <c r="F737" t="s">
        <v>820</v>
      </c>
      <c r="G737" t="s">
        <v>116</v>
      </c>
      <c r="H737" t="s">
        <v>2380</v>
      </c>
      <c r="J737">
        <v>0</v>
      </c>
      <c r="K737">
        <v>0.60935752147998545</v>
      </c>
      <c r="L737">
        <v>0</v>
      </c>
      <c r="M737">
        <v>0.20456834830053111</v>
      </c>
      <c r="P737" t="s">
        <v>19</v>
      </c>
      <c r="Q737" t="s">
        <v>11</v>
      </c>
      <c r="R737" t="s">
        <v>80</v>
      </c>
      <c r="S737" t="s">
        <v>10</v>
      </c>
      <c r="T737" t="s">
        <v>2381</v>
      </c>
      <c r="U737" t="s">
        <v>2382</v>
      </c>
    </row>
    <row r="738" spans="1:21" x14ac:dyDescent="0.3">
      <c r="A738" s="64">
        <v>46140</v>
      </c>
      <c r="B738" t="s">
        <v>828</v>
      </c>
      <c r="C738" t="s">
        <v>829</v>
      </c>
      <c r="E738" t="s">
        <v>19</v>
      </c>
      <c r="F738" t="s">
        <v>830</v>
      </c>
      <c r="G738" t="s">
        <v>122</v>
      </c>
      <c r="H738" t="s">
        <v>828</v>
      </c>
      <c r="J738">
        <v>0</v>
      </c>
      <c r="K738">
        <v>0.50523016820180133</v>
      </c>
      <c r="L738">
        <v>0</v>
      </c>
      <c r="M738">
        <v>0.1696115947984351</v>
      </c>
      <c r="P738" t="s">
        <v>12</v>
      </c>
      <c r="Q738" t="s">
        <v>14</v>
      </c>
      <c r="R738" t="s">
        <v>146</v>
      </c>
      <c r="S738" t="s">
        <v>5</v>
      </c>
      <c r="T738" t="s">
        <v>2383</v>
      </c>
      <c r="U738" t="s">
        <v>2384</v>
      </c>
    </row>
    <row r="739" spans="1:21" x14ac:dyDescent="0.3">
      <c r="A739" s="64">
        <v>46140</v>
      </c>
      <c r="B739" t="s">
        <v>1407</v>
      </c>
      <c r="C739" t="s">
        <v>1408</v>
      </c>
      <c r="E739" t="s">
        <v>19</v>
      </c>
      <c r="F739" t="s">
        <v>109</v>
      </c>
      <c r="G739" t="s">
        <v>110</v>
      </c>
      <c r="H739" t="s">
        <v>111</v>
      </c>
      <c r="J739">
        <v>0.14612783712816091</v>
      </c>
      <c r="K739">
        <v>0.2295051868172221</v>
      </c>
      <c r="L739">
        <v>0.1356042896510363</v>
      </c>
      <c r="M739">
        <v>0.1686306654909783</v>
      </c>
      <c r="P739" t="s">
        <v>19</v>
      </c>
      <c r="Q739" t="s">
        <v>11</v>
      </c>
      <c r="R739" t="s">
        <v>80</v>
      </c>
      <c r="S739" t="s">
        <v>10</v>
      </c>
      <c r="T739" t="s">
        <v>2385</v>
      </c>
      <c r="U739" t="s">
        <v>2386</v>
      </c>
    </row>
    <row r="740" spans="1:21" x14ac:dyDescent="0.3">
      <c r="A740" s="64">
        <v>46140</v>
      </c>
      <c r="B740" t="s">
        <v>2387</v>
      </c>
      <c r="C740" t="s">
        <v>2388</v>
      </c>
      <c r="E740" t="s">
        <v>19</v>
      </c>
      <c r="F740" t="s">
        <v>380</v>
      </c>
      <c r="G740" t="s">
        <v>110</v>
      </c>
      <c r="H740" t="s">
        <v>2389</v>
      </c>
      <c r="J740">
        <v>0.39429536907145618</v>
      </c>
      <c r="K740">
        <v>0.17798307213095579</v>
      </c>
      <c r="L740">
        <v>0</v>
      </c>
      <c r="M740">
        <v>0.1160563124220693</v>
      </c>
      <c r="P740" t="s">
        <v>19</v>
      </c>
      <c r="Q740" t="s">
        <v>11</v>
      </c>
      <c r="R740" t="s">
        <v>80</v>
      </c>
      <c r="S740" t="s">
        <v>10</v>
      </c>
      <c r="T740" t="s">
        <v>2390</v>
      </c>
      <c r="U740" t="s">
        <v>2391</v>
      </c>
    </row>
    <row r="741" spans="1:21" x14ac:dyDescent="0.3">
      <c r="A741" s="64">
        <v>46140</v>
      </c>
      <c r="B741" t="s">
        <v>1651</v>
      </c>
      <c r="C741" t="s">
        <v>1652</v>
      </c>
      <c r="E741" t="s">
        <v>19</v>
      </c>
      <c r="F741" t="s">
        <v>820</v>
      </c>
      <c r="G741" t="s">
        <v>122</v>
      </c>
      <c r="H741" t="s">
        <v>1651</v>
      </c>
      <c r="J741">
        <v>0.22393778800922429</v>
      </c>
      <c r="K741">
        <v>9.5892792177103059E-2</v>
      </c>
      <c r="L741">
        <v>0</v>
      </c>
      <c r="M741">
        <v>6.4170611785990428E-2</v>
      </c>
      <c r="P741" t="s">
        <v>19</v>
      </c>
      <c r="Q741" t="s">
        <v>11</v>
      </c>
      <c r="R741" t="s">
        <v>80</v>
      </c>
      <c r="S741" t="s">
        <v>10</v>
      </c>
      <c r="T741" t="s">
        <v>2392</v>
      </c>
      <c r="U741" t="s">
        <v>2393</v>
      </c>
    </row>
    <row r="742" spans="1:21" x14ac:dyDescent="0.3">
      <c r="A742" s="64">
        <v>46140</v>
      </c>
      <c r="B742" t="s">
        <v>890</v>
      </c>
      <c r="C742" t="s">
        <v>891</v>
      </c>
      <c r="E742" t="s">
        <v>19</v>
      </c>
      <c r="F742" t="s">
        <v>109</v>
      </c>
      <c r="G742" t="s">
        <v>68</v>
      </c>
      <c r="H742" t="s">
        <v>890</v>
      </c>
      <c r="J742">
        <v>0.19471222058359211</v>
      </c>
      <c r="K742">
        <v>0.1014769157522758</v>
      </c>
      <c r="L742">
        <v>0</v>
      </c>
      <c r="M742">
        <v>6.1871858151278658E-2</v>
      </c>
      <c r="P742" t="s">
        <v>12</v>
      </c>
      <c r="Q742" t="s">
        <v>14</v>
      </c>
      <c r="R742" t="s">
        <v>146</v>
      </c>
      <c r="S742" t="s">
        <v>5</v>
      </c>
      <c r="T742" t="s">
        <v>2394</v>
      </c>
      <c r="U742" t="s">
        <v>2395</v>
      </c>
    </row>
    <row r="743" spans="1:21" x14ac:dyDescent="0.3">
      <c r="A743" s="64">
        <v>46140</v>
      </c>
      <c r="B743" t="s">
        <v>856</v>
      </c>
      <c r="C743" t="s">
        <v>857</v>
      </c>
      <c r="E743" t="s">
        <v>19</v>
      </c>
      <c r="F743" t="s">
        <v>820</v>
      </c>
      <c r="G743" t="s">
        <v>122</v>
      </c>
      <c r="H743" t="s">
        <v>856</v>
      </c>
      <c r="J743">
        <v>5.8950717200420437E-2</v>
      </c>
      <c r="K743">
        <v>3.8250864469537391E-2</v>
      </c>
      <c r="L743">
        <v>0</v>
      </c>
      <c r="M743">
        <v>2.1259413354336051E-2</v>
      </c>
      <c r="P743" t="s">
        <v>16</v>
      </c>
      <c r="Q743" t="s">
        <v>22</v>
      </c>
      <c r="R743" t="s">
        <v>172</v>
      </c>
      <c r="S743" t="s">
        <v>5</v>
      </c>
      <c r="T743" t="s">
        <v>2396</v>
      </c>
      <c r="U743" t="s">
        <v>2397</v>
      </c>
    </row>
    <row r="744" spans="1:21" x14ac:dyDescent="0.3">
      <c r="A744" s="64">
        <v>46140</v>
      </c>
      <c r="B744" t="s">
        <v>824</v>
      </c>
      <c r="C744" t="s">
        <v>825</v>
      </c>
      <c r="E744" t="s">
        <v>19</v>
      </c>
      <c r="F744" t="s">
        <v>109</v>
      </c>
      <c r="G744" t="s">
        <v>116</v>
      </c>
      <c r="H744" t="s">
        <v>824</v>
      </c>
      <c r="J744">
        <v>2.7352133616296782E-2</v>
      </c>
      <c r="K744">
        <v>2.071921825433273E-2</v>
      </c>
      <c r="L744">
        <v>0</v>
      </c>
      <c r="M744">
        <v>1.0861562695294169E-2</v>
      </c>
      <c r="P744" t="s">
        <v>19</v>
      </c>
      <c r="Q744" t="s">
        <v>11</v>
      </c>
      <c r="R744" t="s">
        <v>80</v>
      </c>
      <c r="S744" t="s">
        <v>10</v>
      </c>
      <c r="T744" t="s">
        <v>2398</v>
      </c>
      <c r="U744" t="s">
        <v>2399</v>
      </c>
    </row>
    <row r="745" spans="1:21" x14ac:dyDescent="0.3">
      <c r="A745" s="64">
        <v>46140</v>
      </c>
      <c r="B745" t="s">
        <v>1773</v>
      </c>
      <c r="C745" t="s">
        <v>1774</v>
      </c>
      <c r="E745" t="s">
        <v>66</v>
      </c>
      <c r="F745" t="s">
        <v>67</v>
      </c>
      <c r="G745" t="s">
        <v>110</v>
      </c>
      <c r="H745" t="s">
        <v>1775</v>
      </c>
      <c r="J745">
        <v>0</v>
      </c>
      <c r="K745">
        <v>0</v>
      </c>
      <c r="L745">
        <v>1.3509128477215471E-2</v>
      </c>
      <c r="M745">
        <v>7.0448559353713854E-3</v>
      </c>
      <c r="P745" t="s">
        <v>16</v>
      </c>
      <c r="Q745" t="s">
        <v>22</v>
      </c>
      <c r="R745" t="s">
        <v>172</v>
      </c>
      <c r="S745" t="s">
        <v>5</v>
      </c>
      <c r="T745" t="s">
        <v>2400</v>
      </c>
      <c r="U745" t="s">
        <v>2401</v>
      </c>
    </row>
    <row r="746" spans="1:21" x14ac:dyDescent="0.3">
      <c r="A746" s="64">
        <v>46140</v>
      </c>
      <c r="B746" t="s">
        <v>894</v>
      </c>
      <c r="C746" t="s">
        <v>895</v>
      </c>
      <c r="E746" t="s">
        <v>66</v>
      </c>
      <c r="F746" t="s">
        <v>79</v>
      </c>
      <c r="G746" t="s">
        <v>143</v>
      </c>
      <c r="H746" t="s">
        <v>896</v>
      </c>
      <c r="J746">
        <v>0</v>
      </c>
      <c r="K746">
        <v>1.6735721707835941E-2</v>
      </c>
      <c r="L746">
        <v>0</v>
      </c>
      <c r="M746">
        <v>5.6183748074106451E-3</v>
      </c>
      <c r="P746" t="s">
        <v>4</v>
      </c>
      <c r="Q746" t="s">
        <v>4</v>
      </c>
      <c r="R746" t="s">
        <v>4</v>
      </c>
      <c r="S746" t="s">
        <v>4</v>
      </c>
      <c r="T746" t="s">
        <v>2402</v>
      </c>
      <c r="U746" t="s">
        <v>2403</v>
      </c>
    </row>
    <row r="747" spans="1:21" x14ac:dyDescent="0.3">
      <c r="A747" s="64">
        <v>46140</v>
      </c>
      <c r="B747" t="s">
        <v>2404</v>
      </c>
      <c r="C747" t="s">
        <v>2405</v>
      </c>
      <c r="E747" t="s">
        <v>19</v>
      </c>
      <c r="F747" t="s">
        <v>261</v>
      </c>
      <c r="G747" t="s">
        <v>143</v>
      </c>
      <c r="H747" t="s">
        <v>2406</v>
      </c>
      <c r="J747">
        <v>0</v>
      </c>
      <c r="K747">
        <v>8.2350376657603884E-3</v>
      </c>
      <c r="L747">
        <v>0</v>
      </c>
      <c r="M747">
        <v>2.7645971274559799E-3</v>
      </c>
      <c r="P747" t="s">
        <v>19</v>
      </c>
      <c r="Q747" t="s">
        <v>11</v>
      </c>
      <c r="R747" t="s">
        <v>80</v>
      </c>
      <c r="S747" t="s">
        <v>10</v>
      </c>
      <c r="T747" t="s">
        <v>2407</v>
      </c>
      <c r="U747" t="s">
        <v>2408</v>
      </c>
    </row>
    <row r="748" spans="1:21" x14ac:dyDescent="0.3">
      <c r="A748" s="64">
        <v>46140</v>
      </c>
      <c r="B748" t="s">
        <v>810</v>
      </c>
      <c r="C748" t="s">
        <v>811</v>
      </c>
      <c r="E748" t="s">
        <v>19</v>
      </c>
      <c r="F748" t="s">
        <v>109</v>
      </c>
      <c r="G748" t="s">
        <v>181</v>
      </c>
      <c r="H748" t="s">
        <v>810</v>
      </c>
      <c r="J748">
        <v>0</v>
      </c>
      <c r="K748">
        <v>2.9219410358671881E-3</v>
      </c>
      <c r="L748">
        <v>0</v>
      </c>
      <c r="M748">
        <v>9.8092930745670003E-4</v>
      </c>
      <c r="P748" t="s">
        <v>15</v>
      </c>
      <c r="Q748" t="s">
        <v>15</v>
      </c>
      <c r="R748" t="s">
        <v>524</v>
      </c>
      <c r="S748" t="s">
        <v>15</v>
      </c>
      <c r="T748" t="s">
        <v>2409</v>
      </c>
      <c r="U748" t="s">
        <v>2410</v>
      </c>
    </row>
    <row r="749" spans="1:21" x14ac:dyDescent="0.3">
      <c r="A749" s="64">
        <v>46140</v>
      </c>
      <c r="B749" t="s">
        <v>1179</v>
      </c>
      <c r="C749" t="s">
        <v>1180</v>
      </c>
      <c r="E749" t="s">
        <v>19</v>
      </c>
      <c r="F749" t="s">
        <v>58</v>
      </c>
      <c r="G749" t="s">
        <v>68</v>
      </c>
      <c r="H749" t="s">
        <v>69</v>
      </c>
      <c r="J749">
        <v>0</v>
      </c>
      <c r="K749">
        <v>0</v>
      </c>
      <c r="L749">
        <v>0</v>
      </c>
      <c r="M749">
        <v>0</v>
      </c>
      <c r="P749" t="s">
        <v>21</v>
      </c>
      <c r="Q749" t="s">
        <v>11</v>
      </c>
      <c r="R749" t="s">
        <v>61</v>
      </c>
      <c r="S749" t="s">
        <v>10</v>
      </c>
      <c r="T749" t="s">
        <v>2411</v>
      </c>
      <c r="U749" t="s">
        <v>2412</v>
      </c>
    </row>
    <row r="750" spans="1:21" x14ac:dyDescent="0.3">
      <c r="A750" s="64">
        <v>46140</v>
      </c>
      <c r="B750" t="s">
        <v>1201</v>
      </c>
      <c r="C750" t="s">
        <v>1202</v>
      </c>
      <c r="E750" t="s">
        <v>19</v>
      </c>
      <c r="F750" t="s">
        <v>58</v>
      </c>
      <c r="G750" t="s">
        <v>68</v>
      </c>
      <c r="H750" t="s">
        <v>69</v>
      </c>
      <c r="J750">
        <v>0</v>
      </c>
      <c r="K750">
        <v>0</v>
      </c>
      <c r="L750">
        <v>0</v>
      </c>
      <c r="M750">
        <v>0</v>
      </c>
      <c r="P750" t="s">
        <v>21</v>
      </c>
      <c r="Q750" t="s">
        <v>11</v>
      </c>
      <c r="R750" t="s">
        <v>61</v>
      </c>
      <c r="S750" t="s">
        <v>10</v>
      </c>
      <c r="T750" t="s">
        <v>2411</v>
      </c>
      <c r="U750" t="s">
        <v>2412</v>
      </c>
    </row>
    <row r="751" spans="1:21" x14ac:dyDescent="0.3">
      <c r="A751" s="64">
        <v>46140</v>
      </c>
      <c r="B751" t="s">
        <v>1320</v>
      </c>
      <c r="C751" t="s">
        <v>1321</v>
      </c>
      <c r="E751" t="s">
        <v>19</v>
      </c>
      <c r="F751" t="s">
        <v>85</v>
      </c>
      <c r="G751" t="s">
        <v>68</v>
      </c>
      <c r="H751" t="s">
        <v>69</v>
      </c>
      <c r="J751">
        <v>0</v>
      </c>
      <c r="K751">
        <v>0</v>
      </c>
      <c r="L751">
        <v>0</v>
      </c>
      <c r="M751">
        <v>0</v>
      </c>
      <c r="P751" t="s">
        <v>19</v>
      </c>
      <c r="Q751" t="s">
        <v>11</v>
      </c>
      <c r="R751" t="s">
        <v>80</v>
      </c>
      <c r="S751" t="s">
        <v>10</v>
      </c>
      <c r="T751" t="s">
        <v>2411</v>
      </c>
      <c r="U751" t="s">
        <v>2412</v>
      </c>
    </row>
    <row r="752" spans="1:21" x14ac:dyDescent="0.3">
      <c r="A752" s="64">
        <v>46140</v>
      </c>
      <c r="B752" t="s">
        <v>1370</v>
      </c>
      <c r="C752" t="s">
        <v>1371</v>
      </c>
      <c r="E752" t="s">
        <v>19</v>
      </c>
      <c r="F752" t="s">
        <v>109</v>
      </c>
      <c r="G752" t="s">
        <v>68</v>
      </c>
      <c r="H752" t="s">
        <v>69</v>
      </c>
      <c r="J752">
        <v>0</v>
      </c>
      <c r="K752">
        <v>0</v>
      </c>
      <c r="L752">
        <v>0</v>
      </c>
      <c r="M752">
        <v>0</v>
      </c>
      <c r="P752" t="s">
        <v>19</v>
      </c>
      <c r="Q752" t="s">
        <v>11</v>
      </c>
      <c r="R752" t="s">
        <v>80</v>
      </c>
      <c r="S752" t="s">
        <v>10</v>
      </c>
      <c r="T752" t="s">
        <v>2413</v>
      </c>
      <c r="U752" t="s">
        <v>1373</v>
      </c>
    </row>
    <row r="753" spans="1:21" x14ac:dyDescent="0.3">
      <c r="A753" s="64">
        <v>46140</v>
      </c>
      <c r="B753" t="s">
        <v>1449</v>
      </c>
      <c r="C753" t="s">
        <v>1450</v>
      </c>
      <c r="E753" t="s">
        <v>19</v>
      </c>
      <c r="F753" t="s">
        <v>109</v>
      </c>
      <c r="G753" t="s">
        <v>59</v>
      </c>
      <c r="H753" t="s">
        <v>60</v>
      </c>
      <c r="J753">
        <v>0</v>
      </c>
      <c r="K753">
        <v>0</v>
      </c>
      <c r="L753">
        <v>0</v>
      </c>
      <c r="M753">
        <v>0</v>
      </c>
      <c r="P753" t="s">
        <v>19</v>
      </c>
      <c r="Q753" t="s">
        <v>11</v>
      </c>
      <c r="R753" t="s">
        <v>80</v>
      </c>
      <c r="S753" t="s">
        <v>10</v>
      </c>
      <c r="T753" t="s">
        <v>2414</v>
      </c>
      <c r="U753" t="s">
        <v>2415</v>
      </c>
    </row>
    <row r="754" spans="1:21" x14ac:dyDescent="0.3">
      <c r="A754" s="64">
        <v>46140</v>
      </c>
      <c r="B754" t="s">
        <v>1484</v>
      </c>
      <c r="C754" t="s">
        <v>1485</v>
      </c>
      <c r="E754" t="s">
        <v>19</v>
      </c>
      <c r="F754" t="s">
        <v>109</v>
      </c>
      <c r="G754" t="s">
        <v>116</v>
      </c>
      <c r="H754" t="s">
        <v>166</v>
      </c>
      <c r="J754">
        <v>0</v>
      </c>
      <c r="K754">
        <v>0</v>
      </c>
      <c r="L754">
        <v>0</v>
      </c>
      <c r="M754">
        <v>0</v>
      </c>
      <c r="P754" t="s">
        <v>19</v>
      </c>
      <c r="Q754" t="s">
        <v>11</v>
      </c>
      <c r="R754" t="s">
        <v>80</v>
      </c>
      <c r="S754" t="s">
        <v>10</v>
      </c>
      <c r="T754" t="s">
        <v>2230</v>
      </c>
      <c r="U754" t="s">
        <v>2231</v>
      </c>
    </row>
    <row r="755" spans="1:21" x14ac:dyDescent="0.3">
      <c r="A755" s="64">
        <v>46140</v>
      </c>
      <c r="B755" t="s">
        <v>1486</v>
      </c>
      <c r="C755" t="s">
        <v>1487</v>
      </c>
      <c r="E755" t="s">
        <v>19</v>
      </c>
      <c r="F755" t="s">
        <v>1158</v>
      </c>
      <c r="G755" t="s">
        <v>355</v>
      </c>
      <c r="H755" t="s">
        <v>1488</v>
      </c>
      <c r="J755">
        <v>0</v>
      </c>
      <c r="K755">
        <v>0</v>
      </c>
      <c r="L755">
        <v>0</v>
      </c>
      <c r="M755">
        <v>0</v>
      </c>
      <c r="P755" t="s">
        <v>19</v>
      </c>
      <c r="Q755" t="s">
        <v>11</v>
      </c>
      <c r="R755" t="s">
        <v>80</v>
      </c>
      <c r="S755" t="s">
        <v>10</v>
      </c>
      <c r="T755" t="s">
        <v>2416</v>
      </c>
      <c r="U755" t="s">
        <v>2417</v>
      </c>
    </row>
    <row r="756" spans="1:21" x14ac:dyDescent="0.3">
      <c r="A756" s="64">
        <v>46140</v>
      </c>
      <c r="B756" t="s">
        <v>879</v>
      </c>
      <c r="C756" t="s">
        <v>880</v>
      </c>
      <c r="E756" t="s">
        <v>19</v>
      </c>
      <c r="F756" t="s">
        <v>820</v>
      </c>
      <c r="G756" t="s">
        <v>122</v>
      </c>
      <c r="H756" t="s">
        <v>879</v>
      </c>
      <c r="J756">
        <v>0</v>
      </c>
      <c r="K756">
        <v>0</v>
      </c>
      <c r="L756">
        <v>0</v>
      </c>
      <c r="M756">
        <v>0</v>
      </c>
      <c r="P756" t="s">
        <v>12</v>
      </c>
      <c r="Q756" t="s">
        <v>14</v>
      </c>
      <c r="R756" t="s">
        <v>146</v>
      </c>
      <c r="S756" t="s">
        <v>5</v>
      </c>
      <c r="T756" t="s">
        <v>2418</v>
      </c>
      <c r="U756" t="s">
        <v>2419</v>
      </c>
    </row>
    <row r="757" spans="1:21" x14ac:dyDescent="0.3">
      <c r="A757" s="64">
        <v>46140</v>
      </c>
      <c r="B757" t="s">
        <v>904</v>
      </c>
      <c r="C757" t="s">
        <v>905</v>
      </c>
      <c r="E757" t="s">
        <v>19</v>
      </c>
      <c r="F757" t="s">
        <v>109</v>
      </c>
      <c r="G757" t="s">
        <v>59</v>
      </c>
      <c r="H757" t="s">
        <v>60</v>
      </c>
      <c r="J757">
        <v>0</v>
      </c>
      <c r="K757">
        <v>0</v>
      </c>
      <c r="L757">
        <v>0</v>
      </c>
      <c r="M757">
        <v>0</v>
      </c>
      <c r="P757" t="s">
        <v>12</v>
      </c>
      <c r="Q757" t="s">
        <v>14</v>
      </c>
      <c r="R757" t="s">
        <v>146</v>
      </c>
      <c r="S757" t="s">
        <v>5</v>
      </c>
      <c r="T757" t="s">
        <v>2040</v>
      </c>
      <c r="U757" t="s">
        <v>2041</v>
      </c>
    </row>
    <row r="758" spans="1:21" x14ac:dyDescent="0.3">
      <c r="A758" s="64">
        <v>46140</v>
      </c>
      <c r="B758" t="s">
        <v>1540</v>
      </c>
      <c r="C758" t="s">
        <v>1541</v>
      </c>
      <c r="E758" t="s">
        <v>19</v>
      </c>
      <c r="F758" t="s">
        <v>109</v>
      </c>
      <c r="G758" t="s">
        <v>200</v>
      </c>
      <c r="H758" t="s">
        <v>631</v>
      </c>
      <c r="J758">
        <v>0</v>
      </c>
      <c r="K758">
        <v>0</v>
      </c>
      <c r="L758">
        <v>0</v>
      </c>
      <c r="M758">
        <v>0</v>
      </c>
      <c r="P758" t="s">
        <v>19</v>
      </c>
      <c r="Q758" t="s">
        <v>11</v>
      </c>
      <c r="R758" t="s">
        <v>80</v>
      </c>
      <c r="S758" t="s">
        <v>10</v>
      </c>
      <c r="T758" t="s">
        <v>2420</v>
      </c>
      <c r="U758" t="s">
        <v>2421</v>
      </c>
    </row>
    <row r="759" spans="1:21" x14ac:dyDescent="0.3">
      <c r="A759" s="64">
        <v>46140</v>
      </c>
      <c r="B759" t="s">
        <v>454</v>
      </c>
      <c r="C759" t="s">
        <v>455</v>
      </c>
      <c r="E759" t="s">
        <v>19</v>
      </c>
      <c r="F759" t="s">
        <v>109</v>
      </c>
      <c r="G759" t="s">
        <v>110</v>
      </c>
      <c r="H759" t="s">
        <v>111</v>
      </c>
      <c r="J759">
        <v>0</v>
      </c>
      <c r="K759">
        <v>0</v>
      </c>
      <c r="L759">
        <v>0</v>
      </c>
      <c r="M759">
        <v>0</v>
      </c>
      <c r="P759" t="s">
        <v>19</v>
      </c>
      <c r="Q759" t="s">
        <v>11</v>
      </c>
      <c r="R759" t="s">
        <v>80</v>
      </c>
      <c r="S759" t="s">
        <v>10</v>
      </c>
      <c r="T759" t="s">
        <v>2248</v>
      </c>
      <c r="U759" t="s">
        <v>2249</v>
      </c>
    </row>
    <row r="760" spans="1:21" x14ac:dyDescent="0.3">
      <c r="A760" s="64">
        <v>46140</v>
      </c>
      <c r="B760" t="s">
        <v>1594</v>
      </c>
      <c r="C760" t="s">
        <v>1595</v>
      </c>
      <c r="E760" t="s">
        <v>19</v>
      </c>
      <c r="F760" t="s">
        <v>109</v>
      </c>
      <c r="G760" t="s">
        <v>143</v>
      </c>
      <c r="H760" t="s">
        <v>290</v>
      </c>
      <c r="J760">
        <v>0</v>
      </c>
      <c r="K760">
        <v>0</v>
      </c>
      <c r="L760">
        <v>0</v>
      </c>
      <c r="M760">
        <v>0</v>
      </c>
      <c r="P760" t="s">
        <v>19</v>
      </c>
      <c r="Q760" t="s">
        <v>11</v>
      </c>
      <c r="R760" t="s">
        <v>80</v>
      </c>
      <c r="S760" t="s">
        <v>10</v>
      </c>
      <c r="T760" t="s">
        <v>2422</v>
      </c>
      <c r="U760" t="s">
        <v>2423</v>
      </c>
    </row>
    <row r="761" spans="1:21" x14ac:dyDescent="0.3">
      <c r="A761" s="64">
        <v>46140</v>
      </c>
      <c r="B761" t="s">
        <v>1596</v>
      </c>
      <c r="C761" t="s">
        <v>1597</v>
      </c>
      <c r="E761" t="s">
        <v>19</v>
      </c>
      <c r="F761" t="s">
        <v>109</v>
      </c>
      <c r="G761" t="s">
        <v>110</v>
      </c>
      <c r="H761" t="s">
        <v>111</v>
      </c>
      <c r="J761">
        <v>0</v>
      </c>
      <c r="K761">
        <v>0</v>
      </c>
      <c r="L761">
        <v>0</v>
      </c>
      <c r="M761">
        <v>0</v>
      </c>
      <c r="P761" t="s">
        <v>19</v>
      </c>
      <c r="Q761" t="s">
        <v>11</v>
      </c>
      <c r="R761" t="s">
        <v>80</v>
      </c>
      <c r="S761" t="s">
        <v>10</v>
      </c>
      <c r="T761" t="s">
        <v>2424</v>
      </c>
      <c r="U761" t="s">
        <v>2425</v>
      </c>
    </row>
    <row r="762" spans="1:21" x14ac:dyDescent="0.3">
      <c r="A762" s="64">
        <v>46140</v>
      </c>
      <c r="B762" t="s">
        <v>1602</v>
      </c>
      <c r="C762" t="s">
        <v>1603</v>
      </c>
      <c r="E762" t="s">
        <v>19</v>
      </c>
      <c r="F762" t="s">
        <v>109</v>
      </c>
      <c r="G762" t="s">
        <v>59</v>
      </c>
      <c r="H762" t="s">
        <v>60</v>
      </c>
      <c r="J762">
        <v>0</v>
      </c>
      <c r="K762">
        <v>0</v>
      </c>
      <c r="L762">
        <v>0</v>
      </c>
      <c r="M762">
        <v>0</v>
      </c>
      <c r="P762" t="s">
        <v>12</v>
      </c>
      <c r="Q762" t="s">
        <v>14</v>
      </c>
      <c r="R762" t="s">
        <v>146</v>
      </c>
      <c r="S762" t="s">
        <v>5</v>
      </c>
      <c r="T762" t="s">
        <v>2426</v>
      </c>
      <c r="U762" t="s">
        <v>2427</v>
      </c>
    </row>
    <row r="763" spans="1:21" x14ac:dyDescent="0.3">
      <c r="A763" s="64">
        <v>46140</v>
      </c>
      <c r="B763" t="s">
        <v>906</v>
      </c>
      <c r="C763" t="s">
        <v>907</v>
      </c>
      <c r="E763" t="s">
        <v>19</v>
      </c>
      <c r="F763" t="s">
        <v>109</v>
      </c>
      <c r="G763" t="s">
        <v>68</v>
      </c>
      <c r="H763" t="s">
        <v>906</v>
      </c>
      <c r="J763">
        <v>0</v>
      </c>
      <c r="K763">
        <v>0</v>
      </c>
      <c r="L763">
        <v>0</v>
      </c>
      <c r="M763">
        <v>0</v>
      </c>
      <c r="P763" t="s">
        <v>12</v>
      </c>
      <c r="Q763" t="s">
        <v>14</v>
      </c>
      <c r="R763" t="s">
        <v>146</v>
      </c>
      <c r="S763" t="s">
        <v>5</v>
      </c>
      <c r="T763" t="s">
        <v>2428</v>
      </c>
      <c r="U763" t="s">
        <v>2429</v>
      </c>
    </row>
    <row r="764" spans="1:21" x14ac:dyDescent="0.3">
      <c r="A764" s="64">
        <v>46140</v>
      </c>
      <c r="B764" t="s">
        <v>2430</v>
      </c>
      <c r="C764" t="s">
        <v>2431</v>
      </c>
      <c r="E764" t="s">
        <v>19</v>
      </c>
      <c r="F764" t="s">
        <v>2432</v>
      </c>
      <c r="G764" t="s">
        <v>143</v>
      </c>
      <c r="H764" t="s">
        <v>1997</v>
      </c>
      <c r="J764">
        <v>0</v>
      </c>
      <c r="K764">
        <v>0</v>
      </c>
      <c r="L764">
        <v>0</v>
      </c>
      <c r="M764">
        <v>0</v>
      </c>
      <c r="P764" t="s">
        <v>19</v>
      </c>
      <c r="Q764" t="s">
        <v>11</v>
      </c>
      <c r="R764" t="s">
        <v>80</v>
      </c>
      <c r="S764" t="s">
        <v>10</v>
      </c>
      <c r="T764" t="s">
        <v>2433</v>
      </c>
      <c r="U764" t="s">
        <v>2434</v>
      </c>
    </row>
    <row r="765" spans="1:21" x14ac:dyDescent="0.3">
      <c r="A765" s="64">
        <v>46140</v>
      </c>
      <c r="B765" t="s">
        <v>1637</v>
      </c>
      <c r="C765" t="s">
        <v>1638</v>
      </c>
      <c r="E765" t="s">
        <v>19</v>
      </c>
      <c r="F765" t="s">
        <v>109</v>
      </c>
      <c r="G765" t="s">
        <v>181</v>
      </c>
      <c r="H765" t="s">
        <v>1639</v>
      </c>
      <c r="J765">
        <v>0</v>
      </c>
      <c r="K765">
        <v>0</v>
      </c>
      <c r="L765">
        <v>0</v>
      </c>
      <c r="M765">
        <v>0</v>
      </c>
      <c r="P765" t="s">
        <v>19</v>
      </c>
      <c r="Q765" t="s">
        <v>11</v>
      </c>
      <c r="R765" t="s">
        <v>80</v>
      </c>
      <c r="S765" t="s">
        <v>10</v>
      </c>
      <c r="T765" t="s">
        <v>2435</v>
      </c>
      <c r="U765" t="s">
        <v>1641</v>
      </c>
    </row>
    <row r="766" spans="1:21" x14ac:dyDescent="0.3">
      <c r="A766" s="64">
        <v>46140</v>
      </c>
      <c r="B766" t="s">
        <v>1644</v>
      </c>
      <c r="C766" t="s">
        <v>1645</v>
      </c>
      <c r="E766" t="s">
        <v>19</v>
      </c>
      <c r="F766" t="s">
        <v>109</v>
      </c>
      <c r="G766" t="s">
        <v>143</v>
      </c>
      <c r="H766" t="s">
        <v>290</v>
      </c>
      <c r="J766">
        <v>0</v>
      </c>
      <c r="K766">
        <v>0</v>
      </c>
      <c r="L766">
        <v>0</v>
      </c>
      <c r="M766">
        <v>0</v>
      </c>
      <c r="P766" t="s">
        <v>19</v>
      </c>
      <c r="Q766" t="s">
        <v>11</v>
      </c>
      <c r="R766" t="s">
        <v>80</v>
      </c>
      <c r="S766" t="s">
        <v>10</v>
      </c>
      <c r="T766" t="s">
        <v>2436</v>
      </c>
      <c r="U766" t="s">
        <v>2437</v>
      </c>
    </row>
    <row r="767" spans="1:21" x14ac:dyDescent="0.3">
      <c r="A767" s="64">
        <v>46140</v>
      </c>
      <c r="B767" t="s">
        <v>1676</v>
      </c>
      <c r="C767" t="s">
        <v>1677</v>
      </c>
      <c r="E767" t="s">
        <v>19</v>
      </c>
      <c r="F767" t="s">
        <v>109</v>
      </c>
      <c r="G767" t="s">
        <v>116</v>
      </c>
      <c r="H767" t="s">
        <v>285</v>
      </c>
      <c r="J767">
        <v>0</v>
      </c>
      <c r="K767">
        <v>0</v>
      </c>
      <c r="L767">
        <v>0</v>
      </c>
      <c r="M767">
        <v>0</v>
      </c>
      <c r="P767" t="s">
        <v>19</v>
      </c>
      <c r="Q767" t="s">
        <v>11</v>
      </c>
      <c r="R767" t="s">
        <v>80</v>
      </c>
      <c r="S767" t="s">
        <v>10</v>
      </c>
      <c r="T767" t="s">
        <v>2438</v>
      </c>
      <c r="U767" t="s">
        <v>1679</v>
      </c>
    </row>
    <row r="768" spans="1:21" x14ac:dyDescent="0.3">
      <c r="A768" s="64">
        <v>46140</v>
      </c>
      <c r="B768" t="s">
        <v>1682</v>
      </c>
      <c r="C768" t="s">
        <v>1683</v>
      </c>
      <c r="E768" t="s">
        <v>19</v>
      </c>
      <c r="F768" t="s">
        <v>221</v>
      </c>
      <c r="G768" t="s">
        <v>98</v>
      </c>
      <c r="H768" t="s">
        <v>1684</v>
      </c>
      <c r="J768">
        <v>0</v>
      </c>
      <c r="K768">
        <v>0</v>
      </c>
      <c r="L768">
        <v>0</v>
      </c>
      <c r="M768">
        <v>0</v>
      </c>
      <c r="P768" t="s">
        <v>19</v>
      </c>
      <c r="Q768" t="s">
        <v>11</v>
      </c>
      <c r="R768" t="s">
        <v>80</v>
      </c>
      <c r="S768" t="s">
        <v>10</v>
      </c>
      <c r="T768" t="s">
        <v>2439</v>
      </c>
      <c r="U768" t="s">
        <v>2440</v>
      </c>
    </row>
    <row r="769" spans="1:21" x14ac:dyDescent="0.3">
      <c r="A769" s="64">
        <v>46140</v>
      </c>
      <c r="B769" t="s">
        <v>2441</v>
      </c>
      <c r="C769" t="s">
        <v>2442</v>
      </c>
      <c r="E769" t="s">
        <v>19</v>
      </c>
      <c r="F769" t="s">
        <v>109</v>
      </c>
      <c r="G769" t="s">
        <v>143</v>
      </c>
      <c r="H769" t="s">
        <v>1997</v>
      </c>
      <c r="J769">
        <v>0</v>
      </c>
      <c r="K769">
        <v>0</v>
      </c>
      <c r="L769">
        <v>0</v>
      </c>
      <c r="M769">
        <v>0</v>
      </c>
      <c r="P769" t="s">
        <v>19</v>
      </c>
      <c r="Q769" t="s">
        <v>11</v>
      </c>
      <c r="R769" t="s">
        <v>80</v>
      </c>
      <c r="S769" t="s">
        <v>10</v>
      </c>
      <c r="T769" t="s">
        <v>2443</v>
      </c>
      <c r="U769" t="s">
        <v>2444</v>
      </c>
    </row>
    <row r="770" spans="1:21" x14ac:dyDescent="0.3">
      <c r="A770" s="64">
        <v>46140</v>
      </c>
      <c r="B770" t="s">
        <v>910</v>
      </c>
      <c r="C770" t="s">
        <v>911</v>
      </c>
      <c r="E770" t="s">
        <v>19</v>
      </c>
      <c r="F770" t="s">
        <v>109</v>
      </c>
      <c r="G770" t="s">
        <v>200</v>
      </c>
      <c r="H770" t="s">
        <v>912</v>
      </c>
      <c r="J770">
        <v>0</v>
      </c>
      <c r="K770">
        <v>0</v>
      </c>
      <c r="L770">
        <v>0</v>
      </c>
      <c r="M770">
        <v>0</v>
      </c>
      <c r="P770" t="s">
        <v>15</v>
      </c>
      <c r="Q770" t="s">
        <v>15</v>
      </c>
      <c r="R770" t="s">
        <v>524</v>
      </c>
      <c r="S770" t="s">
        <v>15</v>
      </c>
      <c r="T770" t="s">
        <v>2445</v>
      </c>
      <c r="U770" t="s">
        <v>2446</v>
      </c>
    </row>
    <row r="771" spans="1:21" x14ac:dyDescent="0.3">
      <c r="A771" s="64">
        <v>46140</v>
      </c>
      <c r="B771" t="s">
        <v>883</v>
      </c>
      <c r="C771" t="s">
        <v>884</v>
      </c>
      <c r="E771" t="s">
        <v>19</v>
      </c>
      <c r="F771" t="s">
        <v>109</v>
      </c>
      <c r="G771" t="s">
        <v>122</v>
      </c>
      <c r="H771" t="s">
        <v>885</v>
      </c>
      <c r="J771">
        <v>0</v>
      </c>
      <c r="K771">
        <v>0</v>
      </c>
      <c r="L771">
        <v>0</v>
      </c>
      <c r="M771">
        <v>0</v>
      </c>
      <c r="P771" t="s">
        <v>12</v>
      </c>
      <c r="Q771" t="s">
        <v>14</v>
      </c>
      <c r="R771" t="s">
        <v>146</v>
      </c>
      <c r="S771" t="s">
        <v>5</v>
      </c>
      <c r="T771" t="s">
        <v>2447</v>
      </c>
      <c r="U771" t="s">
        <v>2448</v>
      </c>
    </row>
    <row r="772" spans="1:21" x14ac:dyDescent="0.3">
      <c r="A772" s="64">
        <v>46140</v>
      </c>
      <c r="B772" t="s">
        <v>2449</v>
      </c>
      <c r="C772" t="s">
        <v>2450</v>
      </c>
      <c r="E772" t="s">
        <v>66</v>
      </c>
      <c r="F772" t="s">
        <v>1282</v>
      </c>
      <c r="G772" t="s">
        <v>143</v>
      </c>
      <c r="H772" t="s">
        <v>2451</v>
      </c>
      <c r="J772">
        <v>0</v>
      </c>
      <c r="K772">
        <v>0</v>
      </c>
      <c r="L772">
        <v>0</v>
      </c>
      <c r="M772">
        <v>0</v>
      </c>
      <c r="P772" t="s">
        <v>12</v>
      </c>
      <c r="Q772" t="s">
        <v>14</v>
      </c>
      <c r="R772" t="s">
        <v>146</v>
      </c>
      <c r="S772" t="s">
        <v>5</v>
      </c>
      <c r="T772" t="s">
        <v>2452</v>
      </c>
      <c r="U772" t="s">
        <v>2453</v>
      </c>
    </row>
    <row r="773" spans="1:21" x14ac:dyDescent="0.3">
      <c r="A773" s="64">
        <v>46140</v>
      </c>
      <c r="B773" t="s">
        <v>915</v>
      </c>
      <c r="C773" t="s">
        <v>916</v>
      </c>
      <c r="E773" t="s">
        <v>19</v>
      </c>
      <c r="F773" t="s">
        <v>109</v>
      </c>
      <c r="G773" t="s">
        <v>59</v>
      </c>
      <c r="H773" t="s">
        <v>60</v>
      </c>
      <c r="J773">
        <v>0</v>
      </c>
      <c r="K773">
        <v>0</v>
      </c>
      <c r="L773">
        <v>0</v>
      </c>
      <c r="M773">
        <v>0</v>
      </c>
      <c r="P773" t="s">
        <v>12</v>
      </c>
      <c r="Q773" t="s">
        <v>14</v>
      </c>
      <c r="R773" t="s">
        <v>146</v>
      </c>
      <c r="S773" t="s">
        <v>5</v>
      </c>
      <c r="T773" t="s">
        <v>2040</v>
      </c>
      <c r="U773" t="s">
        <v>2041</v>
      </c>
    </row>
    <row r="774" spans="1:21" x14ac:dyDescent="0.3">
      <c r="A774" s="64">
        <v>46140</v>
      </c>
      <c r="B774" t="s">
        <v>2454</v>
      </c>
      <c r="C774" t="s">
        <v>2455</v>
      </c>
      <c r="E774" t="s">
        <v>19</v>
      </c>
      <c r="F774" t="s">
        <v>109</v>
      </c>
      <c r="G774" t="s">
        <v>68</v>
      </c>
      <c r="H774" t="s">
        <v>69</v>
      </c>
      <c r="J774">
        <v>0</v>
      </c>
      <c r="K774">
        <v>0</v>
      </c>
      <c r="L774">
        <v>0</v>
      </c>
      <c r="M774">
        <v>0</v>
      </c>
      <c r="P774" t="s">
        <v>19</v>
      </c>
      <c r="Q774" t="s">
        <v>11</v>
      </c>
      <c r="R774" t="s">
        <v>80</v>
      </c>
      <c r="S774" t="s">
        <v>10</v>
      </c>
      <c r="T774" t="s">
        <v>2456</v>
      </c>
      <c r="U774" t="s">
        <v>2457</v>
      </c>
    </row>
    <row r="775" spans="1:21" x14ac:dyDescent="0.3">
      <c r="A775" s="64">
        <v>46140</v>
      </c>
      <c r="B775" t="s">
        <v>841</v>
      </c>
      <c r="C775" t="s">
        <v>842</v>
      </c>
      <c r="E775" t="s">
        <v>19</v>
      </c>
      <c r="F775" t="s">
        <v>221</v>
      </c>
      <c r="G775" t="s">
        <v>116</v>
      </c>
      <c r="H775" t="s">
        <v>843</v>
      </c>
      <c r="J775">
        <v>0</v>
      </c>
      <c r="K775">
        <v>0</v>
      </c>
      <c r="L775">
        <v>0</v>
      </c>
      <c r="M775">
        <v>0</v>
      </c>
      <c r="P775" t="s">
        <v>12</v>
      </c>
      <c r="Q775" t="s">
        <v>14</v>
      </c>
      <c r="R775" t="s">
        <v>146</v>
      </c>
      <c r="S775" t="s">
        <v>5</v>
      </c>
      <c r="T775" t="s">
        <v>2458</v>
      </c>
      <c r="U775" t="s">
        <v>2459</v>
      </c>
    </row>
    <row r="776" spans="1:21" x14ac:dyDescent="0.3">
      <c r="A776" s="64">
        <v>46140</v>
      </c>
      <c r="B776" t="s">
        <v>875</v>
      </c>
      <c r="C776" t="s">
        <v>876</v>
      </c>
      <c r="E776" t="s">
        <v>19</v>
      </c>
      <c r="F776" t="s">
        <v>261</v>
      </c>
      <c r="G776" t="s">
        <v>110</v>
      </c>
      <c r="H776" t="s">
        <v>875</v>
      </c>
      <c r="J776">
        <v>0</v>
      </c>
      <c r="K776">
        <v>0</v>
      </c>
      <c r="L776">
        <v>0</v>
      </c>
      <c r="M776">
        <v>0</v>
      </c>
      <c r="P776" t="s">
        <v>24</v>
      </c>
      <c r="Q776" t="s">
        <v>22</v>
      </c>
      <c r="R776" t="s">
        <v>391</v>
      </c>
      <c r="S776" t="s">
        <v>5</v>
      </c>
      <c r="T776" t="s">
        <v>2460</v>
      </c>
      <c r="U776" t="s">
        <v>2461</v>
      </c>
    </row>
    <row r="777" spans="1:21" x14ac:dyDescent="0.3">
      <c r="A777" s="64">
        <v>46140</v>
      </c>
      <c r="B777" t="s">
        <v>917</v>
      </c>
      <c r="C777" t="s">
        <v>918</v>
      </c>
      <c r="E777" t="s">
        <v>66</v>
      </c>
      <c r="F777" t="s">
        <v>103</v>
      </c>
      <c r="G777" t="s">
        <v>59</v>
      </c>
      <c r="H777" t="s">
        <v>60</v>
      </c>
      <c r="J777">
        <v>0</v>
      </c>
      <c r="K777">
        <v>0</v>
      </c>
      <c r="L777">
        <v>0</v>
      </c>
      <c r="M777">
        <v>0</v>
      </c>
      <c r="P777" t="s">
        <v>12</v>
      </c>
      <c r="Q777" t="s">
        <v>14</v>
      </c>
      <c r="R777" t="s">
        <v>146</v>
      </c>
      <c r="S777" t="s">
        <v>5</v>
      </c>
      <c r="T777" t="s">
        <v>2040</v>
      </c>
      <c r="U777" t="s">
        <v>2041</v>
      </c>
    </row>
    <row r="778" spans="1:21" x14ac:dyDescent="0.3">
      <c r="A778" s="64">
        <v>46140</v>
      </c>
      <c r="B778" t="s">
        <v>919</v>
      </c>
      <c r="C778" t="s">
        <v>920</v>
      </c>
      <c r="E778" t="s">
        <v>19</v>
      </c>
      <c r="F778" t="s">
        <v>221</v>
      </c>
      <c r="G778" t="s">
        <v>68</v>
      </c>
      <c r="H778" t="s">
        <v>921</v>
      </c>
      <c r="J778">
        <v>0</v>
      </c>
      <c r="K778">
        <v>0</v>
      </c>
      <c r="L778">
        <v>0</v>
      </c>
      <c r="M778">
        <v>0</v>
      </c>
      <c r="P778" t="s">
        <v>12</v>
      </c>
      <c r="Q778" t="s">
        <v>14</v>
      </c>
      <c r="R778" t="s">
        <v>146</v>
      </c>
      <c r="S778" t="s">
        <v>5</v>
      </c>
      <c r="T778" t="s">
        <v>2462</v>
      </c>
      <c r="U778" t="s">
        <v>2463</v>
      </c>
    </row>
    <row r="779" spans="1:21" x14ac:dyDescent="0.3">
      <c r="A779" s="64">
        <v>46140</v>
      </c>
      <c r="B779" t="s">
        <v>924</v>
      </c>
      <c r="C779" t="s">
        <v>925</v>
      </c>
      <c r="E779" t="s">
        <v>19</v>
      </c>
      <c r="F779" t="s">
        <v>109</v>
      </c>
      <c r="G779" t="s">
        <v>59</v>
      </c>
      <c r="H779" t="s">
        <v>926</v>
      </c>
      <c r="J779">
        <v>0</v>
      </c>
      <c r="K779">
        <v>0</v>
      </c>
      <c r="L779">
        <v>0</v>
      </c>
      <c r="M779">
        <v>0</v>
      </c>
      <c r="P779" t="s">
        <v>6</v>
      </c>
      <c r="Q779" t="s">
        <v>6</v>
      </c>
      <c r="R779" t="s">
        <v>188</v>
      </c>
      <c r="S779" t="s">
        <v>10</v>
      </c>
      <c r="T779" t="s">
        <v>2464</v>
      </c>
      <c r="U779" t="s">
        <v>2465</v>
      </c>
    </row>
    <row r="780" spans="1:21" x14ac:dyDescent="0.3">
      <c r="A780" s="64">
        <v>46140</v>
      </c>
      <c r="B780" t="s">
        <v>929</v>
      </c>
      <c r="C780" t="s">
        <v>930</v>
      </c>
      <c r="E780" t="s">
        <v>66</v>
      </c>
      <c r="F780" t="s">
        <v>193</v>
      </c>
      <c r="G780" t="s">
        <v>200</v>
      </c>
      <c r="H780" t="s">
        <v>931</v>
      </c>
      <c r="J780">
        <v>0</v>
      </c>
      <c r="K780">
        <v>0</v>
      </c>
      <c r="L780">
        <v>0</v>
      </c>
      <c r="M780">
        <v>0</v>
      </c>
      <c r="P780" t="s">
        <v>15</v>
      </c>
      <c r="Q780" t="s">
        <v>15</v>
      </c>
      <c r="R780" t="s">
        <v>524</v>
      </c>
      <c r="S780" t="s">
        <v>15</v>
      </c>
      <c r="T780" t="s">
        <v>2466</v>
      </c>
      <c r="U780" t="s">
        <v>2467</v>
      </c>
    </row>
    <row r="781" spans="1:21" x14ac:dyDescent="0.3">
      <c r="A781" s="64">
        <v>46140</v>
      </c>
      <c r="B781" t="s">
        <v>868</v>
      </c>
      <c r="C781" t="s">
        <v>869</v>
      </c>
      <c r="E781" t="s">
        <v>19</v>
      </c>
      <c r="F781" t="s">
        <v>109</v>
      </c>
      <c r="G781" t="s">
        <v>59</v>
      </c>
      <c r="H781" t="s">
        <v>60</v>
      </c>
      <c r="J781">
        <v>0</v>
      </c>
      <c r="K781">
        <v>0</v>
      </c>
      <c r="L781">
        <v>0</v>
      </c>
      <c r="M781">
        <v>0</v>
      </c>
      <c r="P781" t="s">
        <v>12</v>
      </c>
      <c r="Q781" t="s">
        <v>14</v>
      </c>
      <c r="R781" t="s">
        <v>146</v>
      </c>
      <c r="S781" t="s">
        <v>5</v>
      </c>
      <c r="T781" t="s">
        <v>2040</v>
      </c>
      <c r="U781" t="s">
        <v>2041</v>
      </c>
    </row>
    <row r="782" spans="1:21" x14ac:dyDescent="0.3">
      <c r="A782" s="64">
        <v>46140</v>
      </c>
      <c r="B782" t="s">
        <v>934</v>
      </c>
      <c r="C782" t="s">
        <v>935</v>
      </c>
      <c r="E782" t="s">
        <v>19</v>
      </c>
      <c r="F782" t="s">
        <v>109</v>
      </c>
      <c r="G782" t="s">
        <v>59</v>
      </c>
      <c r="H782" t="s">
        <v>60</v>
      </c>
      <c r="J782">
        <v>0</v>
      </c>
      <c r="K782">
        <v>0</v>
      </c>
      <c r="L782">
        <v>0</v>
      </c>
      <c r="M782">
        <v>0</v>
      </c>
      <c r="P782" t="s">
        <v>12</v>
      </c>
      <c r="Q782" t="s">
        <v>14</v>
      </c>
      <c r="R782" t="s">
        <v>146</v>
      </c>
      <c r="S782" t="s">
        <v>5</v>
      </c>
      <c r="T782" t="s">
        <v>2040</v>
      </c>
      <c r="U782" t="s">
        <v>2041</v>
      </c>
    </row>
    <row r="783" spans="1:21" x14ac:dyDescent="0.3">
      <c r="A783" s="64">
        <v>46140</v>
      </c>
      <c r="B783" t="s">
        <v>936</v>
      </c>
      <c r="C783" t="s">
        <v>937</v>
      </c>
      <c r="E783" t="s">
        <v>66</v>
      </c>
      <c r="F783" t="s">
        <v>938</v>
      </c>
      <c r="G783" t="s">
        <v>59</v>
      </c>
      <c r="H783" t="s">
        <v>60</v>
      </c>
      <c r="J783">
        <v>0</v>
      </c>
      <c r="K783">
        <v>0</v>
      </c>
      <c r="L783">
        <v>0</v>
      </c>
      <c r="M783">
        <v>0</v>
      </c>
      <c r="P783" t="s">
        <v>12</v>
      </c>
      <c r="Q783" t="s">
        <v>14</v>
      </c>
      <c r="R783" t="s">
        <v>146</v>
      </c>
      <c r="S783" t="s">
        <v>5</v>
      </c>
      <c r="T783" t="s">
        <v>2040</v>
      </c>
      <c r="U783" t="s">
        <v>2041</v>
      </c>
    </row>
    <row r="784" spans="1:21" x14ac:dyDescent="0.3">
      <c r="A784" s="64">
        <v>46140</v>
      </c>
      <c r="B784" t="s">
        <v>939</v>
      </c>
      <c r="C784" t="s">
        <v>940</v>
      </c>
      <c r="E784" t="s">
        <v>19</v>
      </c>
      <c r="F784" t="s">
        <v>109</v>
      </c>
      <c r="G784" t="s">
        <v>59</v>
      </c>
      <c r="H784" t="s">
        <v>60</v>
      </c>
      <c r="J784">
        <v>0</v>
      </c>
      <c r="K784">
        <v>0</v>
      </c>
      <c r="L784">
        <v>0</v>
      </c>
      <c r="M784">
        <v>0</v>
      </c>
      <c r="P784" t="s">
        <v>15</v>
      </c>
      <c r="Q784" t="s">
        <v>15</v>
      </c>
      <c r="R784" t="s">
        <v>524</v>
      </c>
      <c r="S784" t="s">
        <v>15</v>
      </c>
      <c r="T784" t="s">
        <v>2468</v>
      </c>
      <c r="U784" t="s">
        <v>2469</v>
      </c>
    </row>
    <row r="785" spans="1:21" x14ac:dyDescent="0.3">
      <c r="A785" s="64">
        <v>46140</v>
      </c>
      <c r="B785" t="s">
        <v>947</v>
      </c>
      <c r="C785" t="s">
        <v>948</v>
      </c>
      <c r="E785" t="s">
        <v>19</v>
      </c>
      <c r="F785" t="s">
        <v>261</v>
      </c>
      <c r="G785" t="s">
        <v>110</v>
      </c>
      <c r="H785" t="s">
        <v>947</v>
      </c>
      <c r="J785">
        <v>0</v>
      </c>
      <c r="K785">
        <v>0</v>
      </c>
      <c r="L785">
        <v>0</v>
      </c>
      <c r="M785">
        <v>0</v>
      </c>
      <c r="P785" t="s">
        <v>18</v>
      </c>
      <c r="Q785" t="s">
        <v>18</v>
      </c>
      <c r="R785" t="s">
        <v>949</v>
      </c>
      <c r="S785" t="s">
        <v>13</v>
      </c>
      <c r="T785" t="s">
        <v>2470</v>
      </c>
      <c r="U785" t="s">
        <v>2471</v>
      </c>
    </row>
    <row r="786" spans="1:21" x14ac:dyDescent="0.3">
      <c r="A786" s="64">
        <v>46140</v>
      </c>
      <c r="B786" t="s">
        <v>2472</v>
      </c>
      <c r="C786" t="s">
        <v>2473</v>
      </c>
      <c r="E786" t="s">
        <v>19</v>
      </c>
      <c r="F786" t="s">
        <v>820</v>
      </c>
      <c r="G786" t="s">
        <v>116</v>
      </c>
      <c r="H786" t="s">
        <v>2474</v>
      </c>
      <c r="J786">
        <v>0</v>
      </c>
      <c r="K786">
        <v>0</v>
      </c>
      <c r="L786">
        <v>0</v>
      </c>
      <c r="M786">
        <v>0</v>
      </c>
      <c r="P786" t="s">
        <v>19</v>
      </c>
      <c r="Q786" t="s">
        <v>11</v>
      </c>
      <c r="R786" t="s">
        <v>80</v>
      </c>
      <c r="S786" t="s">
        <v>10</v>
      </c>
      <c r="T786" t="s">
        <v>2475</v>
      </c>
      <c r="U786" t="s">
        <v>2476</v>
      </c>
    </row>
    <row r="787" spans="1:21" x14ac:dyDescent="0.3">
      <c r="A787" s="64">
        <v>46140</v>
      </c>
      <c r="B787" t="s">
        <v>956</v>
      </c>
      <c r="C787" t="s">
        <v>957</v>
      </c>
      <c r="E787" t="s">
        <v>66</v>
      </c>
      <c r="F787" t="s">
        <v>396</v>
      </c>
      <c r="G787" t="s">
        <v>181</v>
      </c>
      <c r="H787" t="s">
        <v>672</v>
      </c>
      <c r="J787">
        <v>0</v>
      </c>
      <c r="K787">
        <v>0</v>
      </c>
      <c r="L787">
        <v>0</v>
      </c>
      <c r="M787">
        <v>0</v>
      </c>
      <c r="P787" t="s">
        <v>20</v>
      </c>
      <c r="Q787" t="s">
        <v>20</v>
      </c>
      <c r="R787" t="s">
        <v>958</v>
      </c>
      <c r="S787" t="s">
        <v>13</v>
      </c>
      <c r="T787" t="s">
        <v>2477</v>
      </c>
      <c r="U787" t="s">
        <v>2478</v>
      </c>
    </row>
    <row r="788" spans="1:21" x14ac:dyDescent="0.3">
      <c r="A788" s="64">
        <v>46140</v>
      </c>
      <c r="B788" t="s">
        <v>961</v>
      </c>
      <c r="C788" t="s">
        <v>962</v>
      </c>
      <c r="E788" t="s">
        <v>66</v>
      </c>
      <c r="F788" t="s">
        <v>103</v>
      </c>
      <c r="G788" t="s">
        <v>68</v>
      </c>
      <c r="H788" t="s">
        <v>69</v>
      </c>
      <c r="J788">
        <v>0</v>
      </c>
      <c r="K788">
        <v>0</v>
      </c>
      <c r="L788">
        <v>0</v>
      </c>
      <c r="M788">
        <v>0</v>
      </c>
      <c r="P788" t="s">
        <v>9</v>
      </c>
      <c r="Q788" t="s">
        <v>11</v>
      </c>
      <c r="R788" t="s">
        <v>104</v>
      </c>
      <c r="S788" t="s">
        <v>10</v>
      </c>
      <c r="T788" t="s">
        <v>2479</v>
      </c>
      <c r="U788" t="s">
        <v>2480</v>
      </c>
    </row>
    <row r="789" spans="1:21" x14ac:dyDescent="0.3">
      <c r="A789" s="64">
        <v>46140</v>
      </c>
      <c r="B789" t="s">
        <v>1805</v>
      </c>
      <c r="C789" t="s">
        <v>1806</v>
      </c>
      <c r="E789" t="s">
        <v>19</v>
      </c>
      <c r="F789" t="s">
        <v>221</v>
      </c>
      <c r="G789" t="s">
        <v>59</v>
      </c>
      <c r="H789" t="s">
        <v>1807</v>
      </c>
      <c r="J789">
        <v>0</v>
      </c>
      <c r="K789">
        <v>0</v>
      </c>
      <c r="L789">
        <v>0</v>
      </c>
      <c r="M789">
        <v>0</v>
      </c>
      <c r="P789" t="s">
        <v>157</v>
      </c>
      <c r="Q789" t="s">
        <v>157</v>
      </c>
      <c r="R789" t="s">
        <v>156</v>
      </c>
      <c r="S789" t="s">
        <v>157</v>
      </c>
      <c r="T789" t="s">
        <v>2481</v>
      </c>
      <c r="U789" t="s">
        <v>2482</v>
      </c>
    </row>
    <row r="790" spans="1:21" x14ac:dyDescent="0.3">
      <c r="A790" s="64">
        <v>46140</v>
      </c>
      <c r="B790" t="s">
        <v>965</v>
      </c>
      <c r="C790" t="s">
        <v>966</v>
      </c>
      <c r="E790" t="s">
        <v>66</v>
      </c>
      <c r="F790" t="s">
        <v>193</v>
      </c>
      <c r="G790" t="s">
        <v>59</v>
      </c>
      <c r="H790" t="s">
        <v>967</v>
      </c>
      <c r="J790">
        <v>0</v>
      </c>
      <c r="K790">
        <v>0</v>
      </c>
      <c r="L790">
        <v>0</v>
      </c>
      <c r="M790">
        <v>0</v>
      </c>
      <c r="P790" t="s">
        <v>24</v>
      </c>
      <c r="Q790" t="s">
        <v>22</v>
      </c>
      <c r="R790" t="s">
        <v>167</v>
      </c>
      <c r="S790" t="s">
        <v>5</v>
      </c>
      <c r="T790" t="s">
        <v>2483</v>
      </c>
      <c r="U790" t="s">
        <v>2484</v>
      </c>
    </row>
    <row r="791" spans="1:21" x14ac:dyDescent="0.3">
      <c r="A791" s="64">
        <v>46140</v>
      </c>
      <c r="B791" t="s">
        <v>2485</v>
      </c>
      <c r="C791" t="s">
        <v>2486</v>
      </c>
      <c r="E791" t="s">
        <v>19</v>
      </c>
      <c r="F791" t="s">
        <v>2487</v>
      </c>
      <c r="G791" t="s">
        <v>116</v>
      </c>
      <c r="H791" t="s">
        <v>2485</v>
      </c>
      <c r="J791">
        <v>0</v>
      </c>
      <c r="K791">
        <v>0</v>
      </c>
      <c r="L791">
        <v>0</v>
      </c>
      <c r="M791">
        <v>0</v>
      </c>
      <c r="P791" t="s">
        <v>19</v>
      </c>
      <c r="Q791" t="s">
        <v>11</v>
      </c>
      <c r="R791" t="s">
        <v>80</v>
      </c>
      <c r="S791" t="s">
        <v>10</v>
      </c>
      <c r="T791" t="s">
        <v>2488</v>
      </c>
      <c r="U791" t="s">
        <v>2489</v>
      </c>
    </row>
    <row r="792" spans="1:21" x14ac:dyDescent="0.3">
      <c r="A792" s="64">
        <v>46140</v>
      </c>
      <c r="B792" t="s">
        <v>970</v>
      </c>
      <c r="C792" t="s">
        <v>971</v>
      </c>
      <c r="E792" t="s">
        <v>19</v>
      </c>
      <c r="F792" t="s">
        <v>820</v>
      </c>
      <c r="G792" t="s">
        <v>68</v>
      </c>
      <c r="H792" t="s">
        <v>972</v>
      </c>
      <c r="J792">
        <v>0</v>
      </c>
      <c r="K792">
        <v>0</v>
      </c>
      <c r="L792">
        <v>0</v>
      </c>
      <c r="M792">
        <v>0</v>
      </c>
      <c r="P792" t="s">
        <v>12</v>
      </c>
      <c r="Q792" t="s">
        <v>14</v>
      </c>
      <c r="R792" t="s">
        <v>146</v>
      </c>
      <c r="S792" t="s">
        <v>5</v>
      </c>
      <c r="T792" t="s">
        <v>2490</v>
      </c>
      <c r="U792" t="s">
        <v>2491</v>
      </c>
    </row>
    <row r="793" spans="1:21" x14ac:dyDescent="0.3">
      <c r="A793" s="64">
        <v>46140</v>
      </c>
      <c r="B793" t="s">
        <v>2492</v>
      </c>
      <c r="C793" t="s">
        <v>2493</v>
      </c>
      <c r="E793" t="s">
        <v>19</v>
      </c>
      <c r="F793" t="s">
        <v>109</v>
      </c>
      <c r="G793" t="s">
        <v>59</v>
      </c>
      <c r="H793" t="s">
        <v>2492</v>
      </c>
      <c r="J793">
        <v>0</v>
      </c>
      <c r="K793">
        <v>0</v>
      </c>
      <c r="L793">
        <v>0</v>
      </c>
      <c r="M793">
        <v>0</v>
      </c>
      <c r="P793" t="s">
        <v>19</v>
      </c>
      <c r="Q793" t="s">
        <v>11</v>
      </c>
      <c r="R793" t="s">
        <v>80</v>
      </c>
      <c r="S793" t="s">
        <v>10</v>
      </c>
      <c r="T793" t="s">
        <v>2494</v>
      </c>
      <c r="U793" t="s">
        <v>2495</v>
      </c>
    </row>
    <row r="794" spans="1:21" x14ac:dyDescent="0.3">
      <c r="A794" s="64">
        <v>46140</v>
      </c>
      <c r="B794" t="s">
        <v>1814</v>
      </c>
      <c r="C794" t="s">
        <v>1815</v>
      </c>
      <c r="E794" t="s">
        <v>66</v>
      </c>
      <c r="F794" t="s">
        <v>103</v>
      </c>
      <c r="G794" t="s">
        <v>116</v>
      </c>
      <c r="H794" t="s">
        <v>1814</v>
      </c>
      <c r="J794">
        <v>0</v>
      </c>
      <c r="K794">
        <v>0</v>
      </c>
      <c r="L794">
        <v>0</v>
      </c>
      <c r="M794">
        <v>0</v>
      </c>
      <c r="P794" t="s">
        <v>4</v>
      </c>
      <c r="Q794" t="s">
        <v>4</v>
      </c>
      <c r="R794" t="s">
        <v>4</v>
      </c>
      <c r="S794" t="s">
        <v>4</v>
      </c>
      <c r="T794" t="s">
        <v>2496</v>
      </c>
      <c r="U794" t="s">
        <v>2497</v>
      </c>
    </row>
    <row r="795" spans="1:21" x14ac:dyDescent="0.3">
      <c r="A795" s="64">
        <v>46140</v>
      </c>
      <c r="B795" t="s">
        <v>973</v>
      </c>
      <c r="C795" t="s">
        <v>974</v>
      </c>
      <c r="E795" t="s">
        <v>19</v>
      </c>
      <c r="F795" t="s">
        <v>109</v>
      </c>
      <c r="G795" t="s">
        <v>68</v>
      </c>
      <c r="H795" t="s">
        <v>69</v>
      </c>
      <c r="J795">
        <v>0</v>
      </c>
      <c r="K795">
        <v>0</v>
      </c>
      <c r="L795">
        <v>0</v>
      </c>
      <c r="M795">
        <v>0</v>
      </c>
      <c r="P795" t="s">
        <v>19</v>
      </c>
      <c r="Q795" t="s">
        <v>11</v>
      </c>
      <c r="R795" t="s">
        <v>80</v>
      </c>
      <c r="S795" t="s">
        <v>10</v>
      </c>
      <c r="T795" t="s">
        <v>2498</v>
      </c>
      <c r="U795" t="s">
        <v>2499</v>
      </c>
    </row>
    <row r="796" spans="1:21" x14ac:dyDescent="0.3">
      <c r="A796" s="64">
        <v>46140</v>
      </c>
      <c r="B796" t="s">
        <v>1824</v>
      </c>
      <c r="C796" t="s">
        <v>1825</v>
      </c>
      <c r="E796" t="s">
        <v>19</v>
      </c>
      <c r="F796" t="s">
        <v>109</v>
      </c>
      <c r="G796" t="s">
        <v>59</v>
      </c>
      <c r="H796" t="s">
        <v>1826</v>
      </c>
      <c r="J796">
        <v>0</v>
      </c>
      <c r="K796">
        <v>0</v>
      </c>
      <c r="L796">
        <v>0</v>
      </c>
      <c r="M796">
        <v>0</v>
      </c>
      <c r="P796" t="s">
        <v>19</v>
      </c>
      <c r="Q796" t="s">
        <v>11</v>
      </c>
      <c r="R796" t="s">
        <v>80</v>
      </c>
      <c r="S796" t="s">
        <v>10</v>
      </c>
      <c r="T796" t="s">
        <v>2500</v>
      </c>
      <c r="U796" t="s">
        <v>2501</v>
      </c>
    </row>
    <row r="797" spans="1:21" x14ac:dyDescent="0.3">
      <c r="A797" s="64">
        <v>46140</v>
      </c>
      <c r="B797" t="s">
        <v>2502</v>
      </c>
      <c r="C797" t="s">
        <v>2503</v>
      </c>
      <c r="E797" t="s">
        <v>66</v>
      </c>
      <c r="F797" t="s">
        <v>938</v>
      </c>
      <c r="G797" t="s">
        <v>68</v>
      </c>
      <c r="H797" t="s">
        <v>1066</v>
      </c>
      <c r="J797">
        <v>0</v>
      </c>
      <c r="K797">
        <v>0</v>
      </c>
      <c r="L797">
        <v>0</v>
      </c>
      <c r="M797">
        <v>0</v>
      </c>
      <c r="P797" t="s">
        <v>157</v>
      </c>
      <c r="Q797" t="s">
        <v>157</v>
      </c>
      <c r="R797" t="s">
        <v>156</v>
      </c>
      <c r="S797" t="s">
        <v>157</v>
      </c>
      <c r="T797" t="s">
        <v>2504</v>
      </c>
      <c r="U797" t="s">
        <v>2505</v>
      </c>
    </row>
    <row r="798" spans="1:21" x14ac:dyDescent="0.3">
      <c r="A798" s="64">
        <v>46140</v>
      </c>
      <c r="B798" t="s">
        <v>1829</v>
      </c>
      <c r="C798" t="s">
        <v>1830</v>
      </c>
      <c r="E798" t="s">
        <v>19</v>
      </c>
      <c r="F798" t="s">
        <v>441</v>
      </c>
      <c r="G798" t="s">
        <v>59</v>
      </c>
      <c r="H798" t="s">
        <v>60</v>
      </c>
      <c r="J798">
        <v>0</v>
      </c>
      <c r="K798">
        <v>0</v>
      </c>
      <c r="L798">
        <v>0</v>
      </c>
      <c r="M798">
        <v>0</v>
      </c>
      <c r="P798" t="s">
        <v>157</v>
      </c>
      <c r="Q798" t="s">
        <v>157</v>
      </c>
      <c r="R798" t="s">
        <v>156</v>
      </c>
      <c r="S798" t="s">
        <v>157</v>
      </c>
      <c r="T798" t="s">
        <v>2506</v>
      </c>
      <c r="U798" t="s">
        <v>2507</v>
      </c>
    </row>
    <row r="799" spans="1:21" x14ac:dyDescent="0.3">
      <c r="A799" s="64">
        <v>46140</v>
      </c>
      <c r="B799" t="s">
        <v>2508</v>
      </c>
      <c r="C799" t="s">
        <v>2509</v>
      </c>
      <c r="E799" t="s">
        <v>19</v>
      </c>
      <c r="F799" t="s">
        <v>221</v>
      </c>
      <c r="G799" t="s">
        <v>181</v>
      </c>
      <c r="H799" t="s">
        <v>2510</v>
      </c>
      <c r="J799">
        <v>0</v>
      </c>
      <c r="K799">
        <v>0</v>
      </c>
      <c r="L799">
        <v>0</v>
      </c>
      <c r="M799">
        <v>0</v>
      </c>
      <c r="P799" t="s">
        <v>12</v>
      </c>
      <c r="Q799" t="s">
        <v>14</v>
      </c>
      <c r="R799" t="s">
        <v>146</v>
      </c>
      <c r="S799" t="s">
        <v>5</v>
      </c>
      <c r="T799" t="s">
        <v>2511</v>
      </c>
      <c r="U799" t="s">
        <v>2512</v>
      </c>
    </row>
    <row r="800" spans="1:21" x14ac:dyDescent="0.3">
      <c r="A800" s="64">
        <v>46140</v>
      </c>
      <c r="B800" t="s">
        <v>982</v>
      </c>
      <c r="C800" t="s">
        <v>983</v>
      </c>
      <c r="E800" t="s">
        <v>66</v>
      </c>
      <c r="F800" t="s">
        <v>193</v>
      </c>
      <c r="G800" t="s">
        <v>355</v>
      </c>
      <c r="H800" t="s">
        <v>982</v>
      </c>
      <c r="J800">
        <v>0</v>
      </c>
      <c r="K800">
        <v>0</v>
      </c>
      <c r="L800">
        <v>0</v>
      </c>
      <c r="M800">
        <v>0</v>
      </c>
      <c r="P800" t="s">
        <v>7</v>
      </c>
      <c r="Q800" t="s">
        <v>11</v>
      </c>
      <c r="R800" t="s">
        <v>70</v>
      </c>
      <c r="S800" t="s">
        <v>10</v>
      </c>
      <c r="T800" t="s">
        <v>2513</v>
      </c>
      <c r="U800" t="s">
        <v>2514</v>
      </c>
    </row>
    <row r="801" spans="1:21" x14ac:dyDescent="0.3">
      <c r="A801" s="64">
        <v>46140</v>
      </c>
      <c r="B801" t="s">
        <v>2515</v>
      </c>
      <c r="C801" t="s">
        <v>2516</v>
      </c>
      <c r="E801" t="s">
        <v>66</v>
      </c>
      <c r="F801" t="s">
        <v>103</v>
      </c>
      <c r="G801" t="s">
        <v>68</v>
      </c>
      <c r="H801" t="s">
        <v>2517</v>
      </c>
      <c r="J801">
        <v>0</v>
      </c>
      <c r="K801">
        <v>0</v>
      </c>
      <c r="L801">
        <v>0</v>
      </c>
      <c r="M801">
        <v>0</v>
      </c>
      <c r="P801" t="s">
        <v>9</v>
      </c>
      <c r="Q801" t="s">
        <v>11</v>
      </c>
      <c r="R801" t="s">
        <v>104</v>
      </c>
      <c r="S801" t="s">
        <v>10</v>
      </c>
      <c r="T801" t="s">
        <v>2518</v>
      </c>
      <c r="U801" t="s">
        <v>2519</v>
      </c>
    </row>
    <row r="802" spans="1:21" x14ac:dyDescent="0.3">
      <c r="A802" s="64">
        <v>46140</v>
      </c>
      <c r="B802" t="s">
        <v>2520</v>
      </c>
      <c r="C802" t="s">
        <v>2521</v>
      </c>
      <c r="E802" t="s">
        <v>19</v>
      </c>
      <c r="F802" t="s">
        <v>221</v>
      </c>
      <c r="G802" t="s">
        <v>68</v>
      </c>
      <c r="H802" t="s">
        <v>2520</v>
      </c>
      <c r="J802">
        <v>0</v>
      </c>
      <c r="K802">
        <v>0</v>
      </c>
      <c r="L802">
        <v>0</v>
      </c>
      <c r="M802">
        <v>0</v>
      </c>
      <c r="P802" t="s">
        <v>12</v>
      </c>
      <c r="Q802" t="s">
        <v>14</v>
      </c>
      <c r="R802" t="s">
        <v>146</v>
      </c>
      <c r="S802" t="s">
        <v>5</v>
      </c>
      <c r="T802" t="s">
        <v>2522</v>
      </c>
      <c r="U802" t="s">
        <v>2523</v>
      </c>
    </row>
    <row r="803" spans="1:21" x14ac:dyDescent="0.3">
      <c r="A803" s="64">
        <v>46140</v>
      </c>
      <c r="B803" t="s">
        <v>995</v>
      </c>
      <c r="C803" t="s">
        <v>996</v>
      </c>
      <c r="E803" t="s">
        <v>19</v>
      </c>
      <c r="F803" t="s">
        <v>109</v>
      </c>
      <c r="G803" t="s">
        <v>68</v>
      </c>
      <c r="H803" t="s">
        <v>995</v>
      </c>
      <c r="J803">
        <v>0</v>
      </c>
      <c r="K803">
        <v>0</v>
      </c>
      <c r="L803">
        <v>0</v>
      </c>
      <c r="M803">
        <v>0</v>
      </c>
      <c r="P803" t="s">
        <v>12</v>
      </c>
      <c r="Q803" t="s">
        <v>14</v>
      </c>
      <c r="R803" t="s">
        <v>146</v>
      </c>
      <c r="S803" t="s">
        <v>5</v>
      </c>
      <c r="T803" t="s">
        <v>2524</v>
      </c>
      <c r="U803" t="s">
        <v>2525</v>
      </c>
    </row>
    <row r="804" spans="1:21" x14ac:dyDescent="0.3">
      <c r="A804" s="64">
        <v>46140</v>
      </c>
      <c r="B804" t="s">
        <v>999</v>
      </c>
      <c r="C804" t="s">
        <v>1000</v>
      </c>
      <c r="E804" t="s">
        <v>19</v>
      </c>
      <c r="F804" t="s">
        <v>109</v>
      </c>
      <c r="G804" t="s">
        <v>68</v>
      </c>
      <c r="H804" t="s">
        <v>999</v>
      </c>
      <c r="J804">
        <v>0</v>
      </c>
      <c r="K804">
        <v>0</v>
      </c>
      <c r="L804">
        <v>0</v>
      </c>
      <c r="M804">
        <v>0</v>
      </c>
      <c r="P804" t="s">
        <v>15</v>
      </c>
      <c r="Q804" t="s">
        <v>15</v>
      </c>
      <c r="R804" t="s">
        <v>15</v>
      </c>
      <c r="S804" t="s">
        <v>15</v>
      </c>
      <c r="T804" t="s">
        <v>2526</v>
      </c>
      <c r="U804" t="s">
        <v>2527</v>
      </c>
    </row>
    <row r="805" spans="1:21" x14ac:dyDescent="0.3">
      <c r="A805" s="64">
        <v>46140</v>
      </c>
      <c r="B805" t="s">
        <v>1847</v>
      </c>
      <c r="C805" t="s">
        <v>1848</v>
      </c>
      <c r="E805" t="s">
        <v>19</v>
      </c>
      <c r="F805" t="s">
        <v>271</v>
      </c>
      <c r="G805" t="s">
        <v>355</v>
      </c>
      <c r="H805" t="s">
        <v>1849</v>
      </c>
      <c r="J805">
        <v>0</v>
      </c>
      <c r="K805">
        <v>0</v>
      </c>
      <c r="L805">
        <v>0</v>
      </c>
      <c r="M805">
        <v>0</v>
      </c>
      <c r="P805" t="s">
        <v>12</v>
      </c>
      <c r="Q805" t="s">
        <v>14</v>
      </c>
      <c r="R805" t="s">
        <v>146</v>
      </c>
      <c r="S805" t="s">
        <v>5</v>
      </c>
      <c r="T805" t="s">
        <v>2528</v>
      </c>
      <c r="U805" t="s">
        <v>2529</v>
      </c>
    </row>
    <row r="806" spans="1:21" x14ac:dyDescent="0.3">
      <c r="A806" s="64">
        <v>46140</v>
      </c>
      <c r="B806" t="s">
        <v>1003</v>
      </c>
      <c r="C806" t="s">
        <v>1004</v>
      </c>
      <c r="E806" t="s">
        <v>19</v>
      </c>
      <c r="F806" t="s">
        <v>221</v>
      </c>
      <c r="G806" t="s">
        <v>122</v>
      </c>
      <c r="H806" t="s">
        <v>1003</v>
      </c>
      <c r="J806">
        <v>0</v>
      </c>
      <c r="K806">
        <v>0</v>
      </c>
      <c r="L806">
        <v>0</v>
      </c>
      <c r="M806">
        <v>0</v>
      </c>
      <c r="P806" t="s">
        <v>4</v>
      </c>
      <c r="Q806" t="s">
        <v>4</v>
      </c>
      <c r="R806" t="s">
        <v>4</v>
      </c>
      <c r="S806" t="s">
        <v>4</v>
      </c>
      <c r="T806" t="s">
        <v>2530</v>
      </c>
      <c r="U806" t="s">
        <v>2531</v>
      </c>
    </row>
    <row r="807" spans="1:21" x14ac:dyDescent="0.3">
      <c r="A807" s="64">
        <v>46140</v>
      </c>
      <c r="B807" t="s">
        <v>1854</v>
      </c>
      <c r="C807" t="s">
        <v>1855</v>
      </c>
      <c r="E807" t="s">
        <v>19</v>
      </c>
      <c r="F807" t="s">
        <v>1158</v>
      </c>
      <c r="G807" t="s">
        <v>98</v>
      </c>
      <c r="H807" t="s">
        <v>1856</v>
      </c>
      <c r="J807">
        <v>0</v>
      </c>
      <c r="K807">
        <v>0</v>
      </c>
      <c r="L807">
        <v>0</v>
      </c>
      <c r="M807">
        <v>0</v>
      </c>
      <c r="P807" t="s">
        <v>19</v>
      </c>
      <c r="Q807" t="s">
        <v>11</v>
      </c>
      <c r="R807" t="s">
        <v>80</v>
      </c>
      <c r="S807" t="s">
        <v>10</v>
      </c>
      <c r="T807" t="s">
        <v>2532</v>
      </c>
      <c r="U807" t="s">
        <v>1858</v>
      </c>
    </row>
    <row r="808" spans="1:21" x14ac:dyDescent="0.3">
      <c r="A808" s="64">
        <v>46140</v>
      </c>
      <c r="B808" t="s">
        <v>1864</v>
      </c>
      <c r="C808" t="s">
        <v>1865</v>
      </c>
      <c r="E808" t="s">
        <v>19</v>
      </c>
      <c r="F808" t="s">
        <v>109</v>
      </c>
      <c r="G808" t="s">
        <v>59</v>
      </c>
      <c r="H808" t="s">
        <v>1864</v>
      </c>
      <c r="J808">
        <v>0</v>
      </c>
      <c r="K808">
        <v>0</v>
      </c>
      <c r="L808">
        <v>0</v>
      </c>
      <c r="M808">
        <v>0</v>
      </c>
      <c r="P808" t="s">
        <v>19</v>
      </c>
      <c r="Q808" t="s">
        <v>11</v>
      </c>
      <c r="R808" t="s">
        <v>80</v>
      </c>
      <c r="S808" t="s">
        <v>10</v>
      </c>
      <c r="T808" t="s">
        <v>2533</v>
      </c>
      <c r="U808" t="s">
        <v>2534</v>
      </c>
    </row>
    <row r="809" spans="1:21" x14ac:dyDescent="0.3">
      <c r="A809" s="64">
        <v>46140</v>
      </c>
      <c r="B809" t="s">
        <v>1026</v>
      </c>
      <c r="C809" t="s">
        <v>1027</v>
      </c>
      <c r="E809" t="s">
        <v>66</v>
      </c>
      <c r="G809" t="s">
        <v>59</v>
      </c>
      <c r="H809" t="s">
        <v>1028</v>
      </c>
      <c r="J809">
        <v>0</v>
      </c>
      <c r="K809">
        <v>0</v>
      </c>
      <c r="L809">
        <v>0</v>
      </c>
      <c r="M809">
        <v>0</v>
      </c>
      <c r="P809" t="s">
        <v>4</v>
      </c>
      <c r="Q809" t="s">
        <v>4</v>
      </c>
      <c r="R809" t="s">
        <v>4</v>
      </c>
      <c r="S809" t="s">
        <v>4</v>
      </c>
      <c r="T809" t="s">
        <v>2535</v>
      </c>
      <c r="U809" t="s">
        <v>2536</v>
      </c>
    </row>
    <row r="810" spans="1:21" x14ac:dyDescent="0.3">
      <c r="A810" s="64">
        <v>46140</v>
      </c>
      <c r="B810" t="s">
        <v>1031</v>
      </c>
      <c r="C810" t="s">
        <v>1032</v>
      </c>
      <c r="E810" t="s">
        <v>19</v>
      </c>
      <c r="F810" t="s">
        <v>109</v>
      </c>
      <c r="G810" t="s">
        <v>122</v>
      </c>
      <c r="H810" t="s">
        <v>1031</v>
      </c>
      <c r="J810">
        <v>0</v>
      </c>
      <c r="K810">
        <v>0</v>
      </c>
      <c r="L810">
        <v>0</v>
      </c>
      <c r="M810">
        <v>0</v>
      </c>
      <c r="P810" t="s">
        <v>4</v>
      </c>
      <c r="Q810" t="s">
        <v>4</v>
      </c>
      <c r="R810" t="s">
        <v>4</v>
      </c>
      <c r="S810" t="s">
        <v>4</v>
      </c>
      <c r="T810" t="s">
        <v>2537</v>
      </c>
      <c r="U810" t="s">
        <v>2538</v>
      </c>
    </row>
    <row r="811" spans="1:21" x14ac:dyDescent="0.3">
      <c r="A811" s="64">
        <v>46140</v>
      </c>
      <c r="B811" t="s">
        <v>2539</v>
      </c>
      <c r="C811" t="s">
        <v>2540</v>
      </c>
      <c r="E811" t="s">
        <v>19</v>
      </c>
      <c r="F811" t="s">
        <v>261</v>
      </c>
      <c r="G811" t="s">
        <v>355</v>
      </c>
      <c r="H811" t="s">
        <v>2539</v>
      </c>
      <c r="J811">
        <v>0</v>
      </c>
      <c r="K811">
        <v>0</v>
      </c>
      <c r="L811">
        <v>0</v>
      </c>
      <c r="M811">
        <v>0</v>
      </c>
      <c r="P811" t="s">
        <v>19</v>
      </c>
      <c r="Q811" t="s">
        <v>11</v>
      </c>
      <c r="R811" t="s">
        <v>80</v>
      </c>
      <c r="S811" t="s">
        <v>10</v>
      </c>
      <c r="T811" t="s">
        <v>2541</v>
      </c>
      <c r="U811" t="s">
        <v>2542</v>
      </c>
    </row>
    <row r="812" spans="1:21" x14ac:dyDescent="0.3">
      <c r="A812" s="64">
        <v>46140</v>
      </c>
      <c r="B812" t="s">
        <v>2543</v>
      </c>
      <c r="C812" t="s">
        <v>2544</v>
      </c>
      <c r="E812" t="s">
        <v>19</v>
      </c>
      <c r="F812" t="s">
        <v>109</v>
      </c>
      <c r="G812" t="s">
        <v>355</v>
      </c>
      <c r="H812" t="s">
        <v>2545</v>
      </c>
      <c r="J812">
        <v>0</v>
      </c>
      <c r="K812">
        <v>0</v>
      </c>
      <c r="L812">
        <v>0</v>
      </c>
      <c r="M812">
        <v>0</v>
      </c>
      <c r="P812" t="s">
        <v>19</v>
      </c>
      <c r="Q812" t="s">
        <v>11</v>
      </c>
      <c r="R812" t="s">
        <v>80</v>
      </c>
      <c r="S812" t="s">
        <v>10</v>
      </c>
      <c r="T812" t="s">
        <v>2353</v>
      </c>
      <c r="U812" t="s">
        <v>2354</v>
      </c>
    </row>
    <row r="813" spans="1:21" x14ac:dyDescent="0.3">
      <c r="A813" s="64">
        <v>46140</v>
      </c>
      <c r="B813" t="s">
        <v>1041</v>
      </c>
      <c r="C813" t="s">
        <v>1042</v>
      </c>
      <c r="E813" t="s">
        <v>19</v>
      </c>
      <c r="F813" t="s">
        <v>109</v>
      </c>
      <c r="G813" t="s">
        <v>59</v>
      </c>
      <c r="H813" t="s">
        <v>1043</v>
      </c>
      <c r="J813">
        <v>0</v>
      </c>
      <c r="K813">
        <v>0</v>
      </c>
      <c r="L813">
        <v>0</v>
      </c>
      <c r="M813">
        <v>0</v>
      </c>
      <c r="P813" t="s">
        <v>15</v>
      </c>
      <c r="Q813" t="s">
        <v>15</v>
      </c>
      <c r="R813" t="s">
        <v>15</v>
      </c>
      <c r="S813" t="s">
        <v>15</v>
      </c>
      <c r="T813" t="s">
        <v>2546</v>
      </c>
      <c r="U813" t="s">
        <v>2547</v>
      </c>
    </row>
    <row r="814" spans="1:21" x14ac:dyDescent="0.3">
      <c r="A814" s="64">
        <v>46140</v>
      </c>
      <c r="B814" t="s">
        <v>1050</v>
      </c>
      <c r="C814" t="s">
        <v>1051</v>
      </c>
      <c r="E814" t="s">
        <v>66</v>
      </c>
      <c r="F814" t="s">
        <v>233</v>
      </c>
      <c r="G814" t="s">
        <v>59</v>
      </c>
      <c r="H814" t="s">
        <v>1052</v>
      </c>
      <c r="J814">
        <v>0</v>
      </c>
      <c r="K814">
        <v>0</v>
      </c>
      <c r="L814">
        <v>0</v>
      </c>
      <c r="M814">
        <v>0</v>
      </c>
      <c r="P814" t="s">
        <v>15</v>
      </c>
      <c r="Q814" t="s">
        <v>15</v>
      </c>
      <c r="R814" t="s">
        <v>15</v>
      </c>
      <c r="S814" t="s">
        <v>15</v>
      </c>
      <c r="T814" t="s">
        <v>2548</v>
      </c>
      <c r="U814" t="s">
        <v>2549</v>
      </c>
    </row>
    <row r="815" spans="1:21" x14ac:dyDescent="0.3">
      <c r="A815" s="64">
        <v>46140</v>
      </c>
      <c r="B815" t="s">
        <v>1055</v>
      </c>
      <c r="C815" t="s">
        <v>1056</v>
      </c>
      <c r="E815" t="s">
        <v>19</v>
      </c>
      <c r="F815" t="s">
        <v>109</v>
      </c>
      <c r="G815" t="s">
        <v>59</v>
      </c>
      <c r="H815" t="s">
        <v>1055</v>
      </c>
      <c r="J815">
        <v>0</v>
      </c>
      <c r="K815">
        <v>0</v>
      </c>
      <c r="L815">
        <v>0</v>
      </c>
      <c r="M815">
        <v>0</v>
      </c>
      <c r="P815" t="s">
        <v>24</v>
      </c>
      <c r="Q815" t="s">
        <v>22</v>
      </c>
      <c r="R815" t="s">
        <v>391</v>
      </c>
      <c r="S815" t="s">
        <v>5</v>
      </c>
      <c r="T815" t="s">
        <v>2550</v>
      </c>
      <c r="U815" t="s">
        <v>2551</v>
      </c>
    </row>
    <row r="816" spans="1:21" x14ac:dyDescent="0.3">
      <c r="A816" s="64">
        <v>46140</v>
      </c>
      <c r="B816" t="s">
        <v>2552</v>
      </c>
      <c r="C816" t="s">
        <v>2553</v>
      </c>
      <c r="E816" t="s">
        <v>19</v>
      </c>
      <c r="F816" t="s">
        <v>271</v>
      </c>
      <c r="G816" t="s">
        <v>68</v>
      </c>
      <c r="H816" t="s">
        <v>2554</v>
      </c>
      <c r="J816">
        <v>0</v>
      </c>
      <c r="K816">
        <v>0</v>
      </c>
      <c r="L816">
        <v>0</v>
      </c>
      <c r="M816">
        <v>0</v>
      </c>
      <c r="P816" t="s">
        <v>19</v>
      </c>
      <c r="Q816" t="s">
        <v>11</v>
      </c>
      <c r="R816" t="s">
        <v>80</v>
      </c>
      <c r="S816" t="s">
        <v>10</v>
      </c>
      <c r="T816" t="s">
        <v>2353</v>
      </c>
      <c r="U816" t="s">
        <v>2354</v>
      </c>
    </row>
    <row r="817" spans="1:21" x14ac:dyDescent="0.3">
      <c r="A817" s="64">
        <v>46140</v>
      </c>
      <c r="B817" t="s">
        <v>1059</v>
      </c>
      <c r="C817" t="s">
        <v>1060</v>
      </c>
      <c r="E817" t="s">
        <v>19</v>
      </c>
      <c r="F817" t="s">
        <v>109</v>
      </c>
      <c r="G817" t="s">
        <v>355</v>
      </c>
      <c r="H817" t="s">
        <v>1061</v>
      </c>
      <c r="J817">
        <v>0</v>
      </c>
      <c r="K817">
        <v>0</v>
      </c>
      <c r="L817">
        <v>0</v>
      </c>
      <c r="M817">
        <v>0</v>
      </c>
      <c r="P817" t="s">
        <v>15</v>
      </c>
      <c r="Q817" t="s">
        <v>15</v>
      </c>
      <c r="R817" t="s">
        <v>524</v>
      </c>
      <c r="S817" t="s">
        <v>15</v>
      </c>
      <c r="T817" t="s">
        <v>2555</v>
      </c>
      <c r="U817" t="s">
        <v>2556</v>
      </c>
    </row>
    <row r="818" spans="1:21" x14ac:dyDescent="0.3">
      <c r="A818" s="64">
        <v>46140</v>
      </c>
      <c r="B818" t="s">
        <v>1064</v>
      </c>
      <c r="C818" t="s">
        <v>1065</v>
      </c>
      <c r="E818" t="s">
        <v>19</v>
      </c>
      <c r="F818" t="s">
        <v>109</v>
      </c>
      <c r="G818" t="s">
        <v>68</v>
      </c>
      <c r="H818" t="s">
        <v>1066</v>
      </c>
      <c r="J818">
        <v>0</v>
      </c>
      <c r="K818">
        <v>0</v>
      </c>
      <c r="L818">
        <v>0</v>
      </c>
      <c r="M818">
        <v>0</v>
      </c>
      <c r="P818" t="s">
        <v>24</v>
      </c>
      <c r="Q818" t="s">
        <v>22</v>
      </c>
      <c r="R818" t="s">
        <v>167</v>
      </c>
      <c r="S818" t="s">
        <v>5</v>
      </c>
      <c r="T818" t="s">
        <v>2557</v>
      </c>
      <c r="U818" t="s">
        <v>2558</v>
      </c>
    </row>
    <row r="819" spans="1:21" x14ac:dyDescent="0.3">
      <c r="A819" s="64">
        <v>46142</v>
      </c>
      <c r="B819" t="s">
        <v>2559</v>
      </c>
      <c r="C819" t="s">
        <v>2560</v>
      </c>
      <c r="E819" t="s">
        <v>66</v>
      </c>
      <c r="F819" t="s">
        <v>67</v>
      </c>
      <c r="G819" t="s">
        <v>68</v>
      </c>
      <c r="H819" t="s">
        <v>69</v>
      </c>
      <c r="J819">
        <v>0.21332166308965711</v>
      </c>
      <c r="K819">
        <v>0.26169966441241482</v>
      </c>
      <c r="L819">
        <v>106.3766916848887</v>
      </c>
      <c r="M819">
        <v>55.592545507985861</v>
      </c>
      <c r="N819" t="s">
        <v>1</v>
      </c>
      <c r="P819" t="s">
        <v>24</v>
      </c>
      <c r="Q819" t="s">
        <v>22</v>
      </c>
      <c r="R819" t="s">
        <v>1766</v>
      </c>
      <c r="S819" t="s">
        <v>5</v>
      </c>
      <c r="T819" t="s">
        <v>2561</v>
      </c>
      <c r="U819" t="s">
        <v>2562</v>
      </c>
    </row>
    <row r="820" spans="1:21" x14ac:dyDescent="0.3">
      <c r="A820" s="64">
        <v>46142</v>
      </c>
      <c r="B820" t="s">
        <v>2563</v>
      </c>
      <c r="C820" t="s">
        <v>2564</v>
      </c>
      <c r="E820" t="s">
        <v>66</v>
      </c>
      <c r="F820" t="s">
        <v>103</v>
      </c>
      <c r="G820" t="s">
        <v>59</v>
      </c>
      <c r="H820" t="s">
        <v>60</v>
      </c>
      <c r="J820">
        <v>30.551708771467059</v>
      </c>
      <c r="K820">
        <v>26.016325468955589</v>
      </c>
      <c r="L820">
        <v>75.627179244725482</v>
      </c>
      <c r="M820">
        <v>52.535470403757643</v>
      </c>
      <c r="N820" t="s">
        <v>1</v>
      </c>
      <c r="P820" t="s">
        <v>9</v>
      </c>
      <c r="Q820" t="s">
        <v>11</v>
      </c>
      <c r="R820" t="s">
        <v>104</v>
      </c>
      <c r="S820" t="s">
        <v>10</v>
      </c>
      <c r="T820" t="s">
        <v>2565</v>
      </c>
      <c r="U820" t="s">
        <v>2566</v>
      </c>
    </row>
    <row r="821" spans="1:21" x14ac:dyDescent="0.3">
      <c r="A821" s="64">
        <v>46142</v>
      </c>
      <c r="B821" t="s">
        <v>1091</v>
      </c>
      <c r="C821" t="s">
        <v>1092</v>
      </c>
      <c r="E821" t="s">
        <v>66</v>
      </c>
      <c r="F821" t="s">
        <v>568</v>
      </c>
      <c r="G821" t="s">
        <v>68</v>
      </c>
      <c r="H821" t="s">
        <v>69</v>
      </c>
      <c r="J821">
        <v>28.122489598695491</v>
      </c>
      <c r="K821">
        <v>23.929103297734532</v>
      </c>
      <c r="L821">
        <v>77.566337686897938</v>
      </c>
      <c r="M821">
        <v>52.499122514146777</v>
      </c>
      <c r="N821" t="s">
        <v>1</v>
      </c>
      <c r="P821" t="s">
        <v>9</v>
      </c>
      <c r="Q821" t="s">
        <v>11</v>
      </c>
      <c r="R821" t="s">
        <v>104</v>
      </c>
      <c r="S821" t="s">
        <v>10</v>
      </c>
      <c r="T821" t="s">
        <v>2567</v>
      </c>
      <c r="U821" t="s">
        <v>2568</v>
      </c>
    </row>
    <row r="822" spans="1:21" x14ac:dyDescent="0.3">
      <c r="A822" s="64">
        <v>46142</v>
      </c>
      <c r="B822" t="s">
        <v>1367</v>
      </c>
      <c r="C822" t="s">
        <v>1368</v>
      </c>
      <c r="E822" t="s">
        <v>19</v>
      </c>
      <c r="F822" t="s">
        <v>732</v>
      </c>
      <c r="G822" t="s">
        <v>68</v>
      </c>
      <c r="H822" t="s">
        <v>1359</v>
      </c>
      <c r="J822">
        <v>32.370188522395281</v>
      </c>
      <c r="K822">
        <v>55.081244836133287</v>
      </c>
      <c r="L822">
        <v>53.188345842444321</v>
      </c>
      <c r="M822">
        <v>50.850982926836231</v>
      </c>
      <c r="N822" t="s">
        <v>1</v>
      </c>
      <c r="O822" t="s">
        <v>2569</v>
      </c>
      <c r="P822" t="s">
        <v>157</v>
      </c>
      <c r="Q822" t="s">
        <v>157</v>
      </c>
      <c r="R822" t="s">
        <v>2570</v>
      </c>
      <c r="S822" t="s">
        <v>157</v>
      </c>
      <c r="T822" t="s">
        <v>2571</v>
      </c>
      <c r="U822" t="s">
        <v>2572</v>
      </c>
    </row>
    <row r="823" spans="1:21" x14ac:dyDescent="0.3">
      <c r="A823" s="64">
        <v>46142</v>
      </c>
      <c r="B823" t="s">
        <v>1165</v>
      </c>
      <c r="C823" t="s">
        <v>1166</v>
      </c>
      <c r="E823" t="s">
        <v>136</v>
      </c>
      <c r="F823" t="s">
        <v>103</v>
      </c>
      <c r="G823" t="s">
        <v>155</v>
      </c>
      <c r="H823" t="s">
        <v>69</v>
      </c>
      <c r="J823">
        <v>23.755015806785529</v>
      </c>
      <c r="K823">
        <v>20.398495380995609</v>
      </c>
      <c r="L823">
        <v>73.250325039891294</v>
      </c>
      <c r="M823">
        <v>48.43943064722788</v>
      </c>
      <c r="P823" t="s">
        <v>9</v>
      </c>
      <c r="Q823" t="s">
        <v>11</v>
      </c>
      <c r="R823" t="s">
        <v>104</v>
      </c>
      <c r="S823" t="s">
        <v>10</v>
      </c>
      <c r="T823" t="s">
        <v>2573</v>
      </c>
      <c r="U823" t="s">
        <v>2574</v>
      </c>
    </row>
    <row r="824" spans="1:21" x14ac:dyDescent="0.3">
      <c r="A824" s="64">
        <v>46142</v>
      </c>
      <c r="B824" t="s">
        <v>2575</v>
      </c>
      <c r="C824" t="s">
        <v>2576</v>
      </c>
      <c r="E824" t="s">
        <v>19</v>
      </c>
      <c r="F824" t="s">
        <v>109</v>
      </c>
      <c r="G824" t="s">
        <v>59</v>
      </c>
      <c r="H824" t="s">
        <v>60</v>
      </c>
      <c r="J824">
        <v>24.28294945425624</v>
      </c>
      <c r="K824">
        <v>20.704767927755171</v>
      </c>
      <c r="L824">
        <v>70.959416252432334</v>
      </c>
      <c r="M824">
        <v>47.42295602868451</v>
      </c>
      <c r="N824" t="s">
        <v>1</v>
      </c>
      <c r="P824" t="s">
        <v>19</v>
      </c>
      <c r="Q824" t="s">
        <v>11</v>
      </c>
      <c r="R824" t="s">
        <v>80</v>
      </c>
      <c r="S824" t="s">
        <v>10</v>
      </c>
      <c r="T824" t="s">
        <v>2577</v>
      </c>
      <c r="U824" t="s">
        <v>2578</v>
      </c>
    </row>
    <row r="825" spans="1:21" x14ac:dyDescent="0.3">
      <c r="A825" s="64">
        <v>46142</v>
      </c>
      <c r="B825" t="s">
        <v>2579</v>
      </c>
      <c r="C825" t="s">
        <v>2580</v>
      </c>
      <c r="E825" t="s">
        <v>136</v>
      </c>
      <c r="F825" t="s">
        <v>430</v>
      </c>
      <c r="G825" t="s">
        <v>535</v>
      </c>
      <c r="H825" t="s">
        <v>138</v>
      </c>
      <c r="J825">
        <v>27.116330747495091</v>
      </c>
      <c r="K825">
        <v>23.376059548945801</v>
      </c>
      <c r="L825">
        <v>67.442596806072658</v>
      </c>
      <c r="M825">
        <v>46.890364919970438</v>
      </c>
      <c r="N825" t="s">
        <v>1</v>
      </c>
      <c r="P825" t="s">
        <v>7</v>
      </c>
      <c r="Q825" t="s">
        <v>11</v>
      </c>
      <c r="R825" t="s">
        <v>70</v>
      </c>
      <c r="S825" t="s">
        <v>10</v>
      </c>
      <c r="T825" t="s">
        <v>2581</v>
      </c>
      <c r="U825" t="s">
        <v>2582</v>
      </c>
    </row>
    <row r="826" spans="1:21" x14ac:dyDescent="0.3">
      <c r="A826" s="64">
        <v>46142</v>
      </c>
      <c r="B826" t="s">
        <v>904</v>
      </c>
      <c r="C826" t="s">
        <v>905</v>
      </c>
      <c r="E826" t="s">
        <v>19</v>
      </c>
      <c r="F826" t="s">
        <v>109</v>
      </c>
      <c r="G826" t="s">
        <v>59</v>
      </c>
      <c r="H826" t="s">
        <v>60</v>
      </c>
      <c r="J826">
        <v>20.189246789683821</v>
      </c>
      <c r="K826">
        <v>17.176550690045602</v>
      </c>
      <c r="L826">
        <v>55.352439823843703</v>
      </c>
      <c r="M826">
        <v>37.515052806099888</v>
      </c>
      <c r="N826" t="s">
        <v>1</v>
      </c>
      <c r="P826" t="s">
        <v>24</v>
      </c>
      <c r="Q826" t="s">
        <v>22</v>
      </c>
      <c r="R826" t="s">
        <v>1766</v>
      </c>
      <c r="S826" t="s">
        <v>5</v>
      </c>
      <c r="T826" t="s">
        <v>2583</v>
      </c>
      <c r="U826" t="s">
        <v>2584</v>
      </c>
    </row>
    <row r="827" spans="1:21" x14ac:dyDescent="0.3">
      <c r="A827" s="64">
        <v>46142</v>
      </c>
      <c r="B827" t="s">
        <v>2585</v>
      </c>
      <c r="C827" t="s">
        <v>2586</v>
      </c>
      <c r="E827" t="s">
        <v>66</v>
      </c>
      <c r="F827" t="s">
        <v>396</v>
      </c>
      <c r="G827" t="s">
        <v>59</v>
      </c>
      <c r="H827" t="s">
        <v>2587</v>
      </c>
      <c r="J827">
        <v>32.372936225315627</v>
      </c>
      <c r="K827">
        <v>55.081244836133287</v>
      </c>
      <c r="L827">
        <v>26.59417292122215</v>
      </c>
      <c r="M827">
        <v>36.982818398952148</v>
      </c>
      <c r="N827" t="s">
        <v>157</v>
      </c>
      <c r="O827" t="s">
        <v>2588</v>
      </c>
      <c r="P827" t="s">
        <v>157</v>
      </c>
      <c r="Q827" t="s">
        <v>157</v>
      </c>
      <c r="R827" t="s">
        <v>2570</v>
      </c>
      <c r="S827" t="s">
        <v>157</v>
      </c>
      <c r="T827" t="s">
        <v>2589</v>
      </c>
      <c r="U827" t="s">
        <v>2590</v>
      </c>
    </row>
    <row r="828" spans="1:21" x14ac:dyDescent="0.3">
      <c r="A828" s="64">
        <v>46142</v>
      </c>
      <c r="B828" t="s">
        <v>2591</v>
      </c>
      <c r="C828" t="s">
        <v>2592</v>
      </c>
      <c r="E828" t="s">
        <v>19</v>
      </c>
      <c r="F828" t="s">
        <v>58</v>
      </c>
      <c r="G828" t="s">
        <v>68</v>
      </c>
      <c r="H828" t="s">
        <v>69</v>
      </c>
      <c r="J828">
        <v>18.06702097046869</v>
      </c>
      <c r="K828">
        <v>19.202677730516712</v>
      </c>
      <c r="L828">
        <v>49.514273300544801</v>
      </c>
      <c r="M828">
        <v>34.847656328028471</v>
      </c>
      <c r="N828" t="s">
        <v>1</v>
      </c>
      <c r="P828" t="s">
        <v>21</v>
      </c>
      <c r="Q828" t="s">
        <v>11</v>
      </c>
      <c r="R828" t="s">
        <v>61</v>
      </c>
      <c r="S828" t="s">
        <v>10</v>
      </c>
      <c r="T828" t="s">
        <v>2593</v>
      </c>
      <c r="U828" t="s">
        <v>2594</v>
      </c>
    </row>
    <row r="829" spans="1:21" x14ac:dyDescent="0.3">
      <c r="A829" s="64">
        <v>46142</v>
      </c>
      <c r="B829" t="s">
        <v>1069</v>
      </c>
      <c r="C829" t="s">
        <v>1070</v>
      </c>
      <c r="E829" t="s">
        <v>66</v>
      </c>
      <c r="F829" t="s">
        <v>103</v>
      </c>
      <c r="G829" t="s">
        <v>68</v>
      </c>
      <c r="H829" t="s">
        <v>69</v>
      </c>
      <c r="J829">
        <v>14.321652098845361</v>
      </c>
      <c r="K829">
        <v>12.18672541999449</v>
      </c>
      <c r="L829">
        <v>47.647893150522997</v>
      </c>
      <c r="M829">
        <v>30.984185992757521</v>
      </c>
      <c r="N829" t="s">
        <v>1</v>
      </c>
      <c r="P829" t="s">
        <v>9</v>
      </c>
      <c r="Q829" t="s">
        <v>11</v>
      </c>
      <c r="R829" t="s">
        <v>104</v>
      </c>
      <c r="S829" t="s">
        <v>10</v>
      </c>
      <c r="T829" t="s">
        <v>2595</v>
      </c>
      <c r="U829" t="s">
        <v>2596</v>
      </c>
    </row>
    <row r="830" spans="1:21" x14ac:dyDescent="0.3">
      <c r="A830" s="64">
        <v>46142</v>
      </c>
      <c r="B830" t="s">
        <v>1502</v>
      </c>
      <c r="C830" t="s">
        <v>1503</v>
      </c>
      <c r="E830" t="s">
        <v>66</v>
      </c>
      <c r="F830" t="s">
        <v>103</v>
      </c>
      <c r="G830" t="s">
        <v>68</v>
      </c>
      <c r="H830" t="s">
        <v>69</v>
      </c>
      <c r="J830">
        <v>13.47948115375546</v>
      </c>
      <c r="K830">
        <v>11.517069660774331</v>
      </c>
      <c r="L830">
        <v>45.667660117714803</v>
      </c>
      <c r="M830">
        <v>29.60644402781702</v>
      </c>
      <c r="N830" t="s">
        <v>1</v>
      </c>
      <c r="P830" t="s">
        <v>9</v>
      </c>
      <c r="Q830" t="s">
        <v>11</v>
      </c>
      <c r="R830" t="s">
        <v>104</v>
      </c>
      <c r="S830" t="s">
        <v>10</v>
      </c>
      <c r="T830" t="s">
        <v>2597</v>
      </c>
      <c r="U830" t="s">
        <v>2598</v>
      </c>
    </row>
    <row r="831" spans="1:21" x14ac:dyDescent="0.3">
      <c r="A831" s="64">
        <v>46142</v>
      </c>
      <c r="B831" t="s">
        <v>2599</v>
      </c>
      <c r="C831" t="s">
        <v>2600</v>
      </c>
      <c r="E831" t="s">
        <v>66</v>
      </c>
      <c r="F831" t="s">
        <v>938</v>
      </c>
      <c r="G831" t="s">
        <v>59</v>
      </c>
      <c r="H831" t="s">
        <v>2601</v>
      </c>
      <c r="J831">
        <v>65.459951986032294</v>
      </c>
      <c r="K831">
        <v>55.081244836133287</v>
      </c>
      <c r="L831">
        <v>0</v>
      </c>
      <c r="M831">
        <v>27.839084290847691</v>
      </c>
      <c r="N831" t="s">
        <v>1</v>
      </c>
      <c r="P831" t="s">
        <v>18</v>
      </c>
      <c r="Q831" t="s">
        <v>18</v>
      </c>
      <c r="R831" t="s">
        <v>949</v>
      </c>
      <c r="S831" t="s">
        <v>13</v>
      </c>
      <c r="T831" t="s">
        <v>2602</v>
      </c>
      <c r="U831" t="s">
        <v>2603</v>
      </c>
    </row>
    <row r="832" spans="1:21" x14ac:dyDescent="0.3">
      <c r="A832" s="64">
        <v>46142</v>
      </c>
      <c r="B832" t="s">
        <v>1922</v>
      </c>
      <c r="C832" t="s">
        <v>1923</v>
      </c>
      <c r="E832" t="s">
        <v>19</v>
      </c>
      <c r="F832" t="s">
        <v>1924</v>
      </c>
      <c r="G832" t="s">
        <v>116</v>
      </c>
      <c r="H832" t="s">
        <v>687</v>
      </c>
      <c r="J832">
        <v>64.745872450631268</v>
      </c>
      <c r="K832">
        <v>55.081244836133287</v>
      </c>
      <c r="L832">
        <v>0</v>
      </c>
      <c r="M832">
        <v>27.737113799214111</v>
      </c>
      <c r="N832" t="s">
        <v>145</v>
      </c>
      <c r="P832" t="s">
        <v>24</v>
      </c>
      <c r="Q832" t="s">
        <v>22</v>
      </c>
      <c r="R832" t="s">
        <v>167</v>
      </c>
      <c r="S832" t="s">
        <v>5</v>
      </c>
      <c r="T832" t="s">
        <v>2604</v>
      </c>
      <c r="U832" t="s">
        <v>2605</v>
      </c>
    </row>
    <row r="833" spans="1:21" x14ac:dyDescent="0.3">
      <c r="A833" s="64">
        <v>46142</v>
      </c>
      <c r="B833" t="s">
        <v>2606</v>
      </c>
      <c r="C833" t="s">
        <v>2607</v>
      </c>
      <c r="E833" t="s">
        <v>66</v>
      </c>
      <c r="F833" t="s">
        <v>67</v>
      </c>
      <c r="G833" t="s">
        <v>98</v>
      </c>
      <c r="H833" t="s">
        <v>351</v>
      </c>
      <c r="J833">
        <v>28.694261597304649</v>
      </c>
      <c r="K833">
        <v>13.59648228049954</v>
      </c>
      <c r="L833">
        <v>34.517328073596907</v>
      </c>
      <c r="M833">
        <v>26.662425485042789</v>
      </c>
      <c r="N833" t="s">
        <v>1</v>
      </c>
      <c r="P833" t="s">
        <v>7</v>
      </c>
      <c r="Q833" t="s">
        <v>11</v>
      </c>
      <c r="R833" t="s">
        <v>70</v>
      </c>
      <c r="S833" t="s">
        <v>10</v>
      </c>
      <c r="T833" t="s">
        <v>2608</v>
      </c>
      <c r="U833" t="s">
        <v>2609</v>
      </c>
    </row>
    <row r="834" spans="1:21" x14ac:dyDescent="0.3">
      <c r="A834" s="64">
        <v>46142</v>
      </c>
      <c r="B834" t="s">
        <v>604</v>
      </c>
      <c r="C834" t="s">
        <v>605</v>
      </c>
      <c r="E834" t="s">
        <v>66</v>
      </c>
      <c r="F834" t="s">
        <v>137</v>
      </c>
      <c r="G834" t="s">
        <v>355</v>
      </c>
      <c r="H834" t="s">
        <v>356</v>
      </c>
      <c r="J834">
        <v>16.321230451342679</v>
      </c>
      <c r="K834">
        <v>30.197729343683172</v>
      </c>
      <c r="L834">
        <v>24.470332722652319</v>
      </c>
      <c r="M834">
        <v>25.22939477731834</v>
      </c>
      <c r="N834" t="s">
        <v>1</v>
      </c>
      <c r="P834" t="s">
        <v>7</v>
      </c>
      <c r="Q834" t="s">
        <v>11</v>
      </c>
      <c r="R834" t="s">
        <v>70</v>
      </c>
      <c r="S834" t="s">
        <v>10</v>
      </c>
      <c r="T834" t="s">
        <v>2610</v>
      </c>
      <c r="U834" t="s">
        <v>2611</v>
      </c>
    </row>
    <row r="835" spans="1:21" x14ac:dyDescent="0.3">
      <c r="A835" s="64">
        <v>46142</v>
      </c>
      <c r="B835" t="s">
        <v>2612</v>
      </c>
      <c r="C835" t="s">
        <v>2613</v>
      </c>
      <c r="E835" t="s">
        <v>66</v>
      </c>
      <c r="F835" t="s">
        <v>67</v>
      </c>
      <c r="G835" t="s">
        <v>59</v>
      </c>
      <c r="H835" t="s">
        <v>2614</v>
      </c>
      <c r="J835">
        <v>13.63997198342186</v>
      </c>
      <c r="K835">
        <v>11.8833748142708</v>
      </c>
      <c r="L835">
        <v>35.84454009591412</v>
      </c>
      <c r="M835">
        <v>24.62969026889591</v>
      </c>
      <c r="N835" t="s">
        <v>1</v>
      </c>
      <c r="P835" t="s">
        <v>7</v>
      </c>
      <c r="Q835" t="s">
        <v>11</v>
      </c>
      <c r="R835" t="s">
        <v>70</v>
      </c>
      <c r="S835" t="s">
        <v>10</v>
      </c>
      <c r="T835" t="s">
        <v>2615</v>
      </c>
      <c r="U835" t="s">
        <v>2616</v>
      </c>
    </row>
    <row r="836" spans="1:21" x14ac:dyDescent="0.3">
      <c r="A836" s="64">
        <v>46142</v>
      </c>
      <c r="B836" t="s">
        <v>2617</v>
      </c>
      <c r="C836" t="s">
        <v>2618</v>
      </c>
      <c r="E836" t="s">
        <v>19</v>
      </c>
      <c r="F836" t="s">
        <v>109</v>
      </c>
      <c r="G836" t="s">
        <v>181</v>
      </c>
      <c r="H836" t="s">
        <v>672</v>
      </c>
      <c r="J836">
        <v>15.847376593168111</v>
      </c>
      <c r="K836">
        <v>20.203097214997062</v>
      </c>
      <c r="L836">
        <v>25.886226188365541</v>
      </c>
      <c r="M836">
        <v>22.54478744867064</v>
      </c>
      <c r="N836" t="s">
        <v>1</v>
      </c>
      <c r="P836" t="s">
        <v>24</v>
      </c>
      <c r="Q836" t="s">
        <v>22</v>
      </c>
      <c r="R836" t="s">
        <v>167</v>
      </c>
      <c r="S836" t="s">
        <v>5</v>
      </c>
      <c r="T836" t="s">
        <v>2619</v>
      </c>
      <c r="U836" t="s">
        <v>2620</v>
      </c>
    </row>
    <row r="837" spans="1:21" x14ac:dyDescent="0.3">
      <c r="A837" s="64">
        <v>46142</v>
      </c>
      <c r="B837" t="s">
        <v>2621</v>
      </c>
      <c r="C837" t="s">
        <v>2622</v>
      </c>
      <c r="E837" t="s">
        <v>1115</v>
      </c>
      <c r="G837" t="s">
        <v>59</v>
      </c>
      <c r="H837" t="s">
        <v>60</v>
      </c>
      <c r="J837">
        <v>22.06505361517771</v>
      </c>
      <c r="K837">
        <v>18.78276824056223</v>
      </c>
      <c r="L837">
        <v>24.828854732340041</v>
      </c>
      <c r="M837">
        <v>22.404443217391051</v>
      </c>
      <c r="N837" t="s">
        <v>1</v>
      </c>
      <c r="P837" t="s">
        <v>23</v>
      </c>
      <c r="Q837" t="s">
        <v>11</v>
      </c>
      <c r="R837" t="s">
        <v>1116</v>
      </c>
      <c r="S837" t="s">
        <v>10</v>
      </c>
      <c r="T837" t="s">
        <v>2623</v>
      </c>
      <c r="U837" t="s">
        <v>2624</v>
      </c>
    </row>
    <row r="838" spans="1:21" x14ac:dyDescent="0.3">
      <c r="A838" s="64">
        <v>46142</v>
      </c>
      <c r="B838" t="s">
        <v>2625</v>
      </c>
      <c r="C838" t="s">
        <v>2626</v>
      </c>
      <c r="E838" t="s">
        <v>19</v>
      </c>
      <c r="F838" t="s">
        <v>109</v>
      </c>
      <c r="G838" t="s">
        <v>110</v>
      </c>
      <c r="H838" t="s">
        <v>111</v>
      </c>
      <c r="J838">
        <v>21.581957483543761</v>
      </c>
      <c r="K838">
        <v>27.540622418066651</v>
      </c>
      <c r="L838">
        <v>17.728422604390339</v>
      </c>
      <c r="M838">
        <v>21.572775680372569</v>
      </c>
      <c r="N838" t="s">
        <v>157</v>
      </c>
      <c r="O838" t="s">
        <v>2588</v>
      </c>
      <c r="P838" t="s">
        <v>157</v>
      </c>
      <c r="Q838" t="s">
        <v>157</v>
      </c>
      <c r="R838" t="s">
        <v>2570</v>
      </c>
      <c r="S838" t="s">
        <v>157</v>
      </c>
      <c r="T838" t="s">
        <v>2627</v>
      </c>
      <c r="U838" t="s">
        <v>2628</v>
      </c>
    </row>
    <row r="839" spans="1:21" x14ac:dyDescent="0.3">
      <c r="A839" s="64">
        <v>46142</v>
      </c>
      <c r="B839" t="s">
        <v>2629</v>
      </c>
      <c r="C839" t="s">
        <v>2630</v>
      </c>
      <c r="E839" t="s">
        <v>66</v>
      </c>
      <c r="F839" t="s">
        <v>67</v>
      </c>
      <c r="G839" t="s">
        <v>59</v>
      </c>
      <c r="H839" t="s">
        <v>60</v>
      </c>
      <c r="J839">
        <v>12.631939698412131</v>
      </c>
      <c r="K839">
        <v>15.39278537694952</v>
      </c>
      <c r="L839">
        <v>27.83366110925061</v>
      </c>
      <c r="M839">
        <v>21.486311220689831</v>
      </c>
      <c r="N839" t="s">
        <v>1</v>
      </c>
      <c r="P839" t="s">
        <v>7</v>
      </c>
      <c r="Q839" t="s">
        <v>11</v>
      </c>
      <c r="R839" t="s">
        <v>70</v>
      </c>
      <c r="S839" t="s">
        <v>10</v>
      </c>
      <c r="T839" t="s">
        <v>2631</v>
      </c>
      <c r="U839" t="s">
        <v>2632</v>
      </c>
    </row>
    <row r="840" spans="1:21" x14ac:dyDescent="0.3">
      <c r="A840" s="64">
        <v>46142</v>
      </c>
      <c r="B840" t="s">
        <v>204</v>
      </c>
      <c r="C840" t="s">
        <v>205</v>
      </c>
      <c r="E840" t="s">
        <v>19</v>
      </c>
      <c r="F840" t="s">
        <v>109</v>
      </c>
      <c r="G840" t="s">
        <v>59</v>
      </c>
      <c r="H840" t="s">
        <v>204</v>
      </c>
      <c r="J840">
        <v>32.729975993016147</v>
      </c>
      <c r="K840">
        <v>41.310933627099971</v>
      </c>
      <c r="L840">
        <v>0</v>
      </c>
      <c r="M840">
        <v>18.542394445292871</v>
      </c>
      <c r="N840" t="s">
        <v>1</v>
      </c>
      <c r="P840" t="s">
        <v>18</v>
      </c>
      <c r="Q840" t="s">
        <v>18</v>
      </c>
      <c r="R840" t="s">
        <v>949</v>
      </c>
      <c r="S840" t="s">
        <v>13</v>
      </c>
      <c r="T840" t="s">
        <v>2633</v>
      </c>
      <c r="U840" t="s">
        <v>2633</v>
      </c>
    </row>
    <row r="841" spans="1:21" x14ac:dyDescent="0.3">
      <c r="A841" s="64">
        <v>46142</v>
      </c>
      <c r="B841" t="s">
        <v>2634</v>
      </c>
      <c r="C841" t="s">
        <v>2635</v>
      </c>
      <c r="E841" t="s">
        <v>19</v>
      </c>
      <c r="F841" t="s">
        <v>58</v>
      </c>
      <c r="G841" t="s">
        <v>68</v>
      </c>
      <c r="H841" t="s">
        <v>69</v>
      </c>
      <c r="J841">
        <v>0</v>
      </c>
      <c r="K841">
        <v>9.1802074726888829</v>
      </c>
      <c r="L841">
        <v>29.549081023580172</v>
      </c>
      <c r="M841">
        <v>18.491409199476081</v>
      </c>
      <c r="N841" t="s">
        <v>1</v>
      </c>
      <c r="P841" t="s">
        <v>12</v>
      </c>
      <c r="Q841" t="s">
        <v>14</v>
      </c>
      <c r="R841" t="s">
        <v>146</v>
      </c>
      <c r="S841" t="s">
        <v>5</v>
      </c>
      <c r="T841" t="s">
        <v>2636</v>
      </c>
      <c r="U841" t="s">
        <v>2636</v>
      </c>
    </row>
    <row r="842" spans="1:21" x14ac:dyDescent="0.3">
      <c r="A842" s="64">
        <v>46142</v>
      </c>
      <c r="B842" t="s">
        <v>2637</v>
      </c>
      <c r="C842" t="s">
        <v>2638</v>
      </c>
      <c r="E842" t="s">
        <v>66</v>
      </c>
      <c r="F842" t="s">
        <v>137</v>
      </c>
      <c r="G842" t="s">
        <v>200</v>
      </c>
      <c r="H842" t="s">
        <v>631</v>
      </c>
      <c r="J842">
        <v>32.372936225315627</v>
      </c>
      <c r="K842">
        <v>41.310933627099971</v>
      </c>
      <c r="L842">
        <v>0</v>
      </c>
      <c r="M842">
        <v>18.491409199476081</v>
      </c>
      <c r="N842" t="s">
        <v>1</v>
      </c>
      <c r="P842" t="s">
        <v>7</v>
      </c>
      <c r="Q842" t="s">
        <v>11</v>
      </c>
      <c r="R842" t="s">
        <v>70</v>
      </c>
      <c r="S842" t="s">
        <v>10</v>
      </c>
      <c r="T842" t="s">
        <v>2639</v>
      </c>
      <c r="U842" t="s">
        <v>2640</v>
      </c>
    </row>
    <row r="843" spans="1:21" x14ac:dyDescent="0.3">
      <c r="A843" s="64">
        <v>46142</v>
      </c>
      <c r="B843" t="s">
        <v>2641</v>
      </c>
      <c r="C843" t="s">
        <v>2642</v>
      </c>
      <c r="E843" t="s">
        <v>19</v>
      </c>
      <c r="F843" t="s">
        <v>109</v>
      </c>
      <c r="G843" t="s">
        <v>200</v>
      </c>
      <c r="H843" t="s">
        <v>631</v>
      </c>
      <c r="J843">
        <v>32.372936225315627</v>
      </c>
      <c r="K843">
        <v>41.310933627099971</v>
      </c>
      <c r="L843">
        <v>0</v>
      </c>
      <c r="M843">
        <v>18.491409199476081</v>
      </c>
      <c r="N843" t="s">
        <v>157</v>
      </c>
      <c r="O843" t="s">
        <v>2643</v>
      </c>
      <c r="P843" t="s">
        <v>157</v>
      </c>
      <c r="Q843" t="s">
        <v>157</v>
      </c>
      <c r="R843" t="s">
        <v>2570</v>
      </c>
      <c r="S843" t="s">
        <v>157</v>
      </c>
      <c r="T843" t="s">
        <v>2644</v>
      </c>
      <c r="U843" t="s">
        <v>2645</v>
      </c>
    </row>
    <row r="844" spans="1:21" x14ac:dyDescent="0.3">
      <c r="A844" s="64">
        <v>46142</v>
      </c>
      <c r="B844" t="s">
        <v>492</v>
      </c>
      <c r="C844" t="s">
        <v>493</v>
      </c>
      <c r="E844" t="s">
        <v>136</v>
      </c>
      <c r="F844" t="s">
        <v>430</v>
      </c>
      <c r="G844" t="s">
        <v>494</v>
      </c>
      <c r="H844" t="s">
        <v>290</v>
      </c>
      <c r="J844">
        <v>32.371062791506297</v>
      </c>
      <c r="K844">
        <v>41.310933627099971</v>
      </c>
      <c r="L844">
        <v>0</v>
      </c>
      <c r="M844">
        <v>18.491141673301321</v>
      </c>
      <c r="N844" t="s">
        <v>2570</v>
      </c>
      <c r="O844" t="s">
        <v>252</v>
      </c>
      <c r="P844" t="s">
        <v>157</v>
      </c>
      <c r="Q844" t="s">
        <v>157</v>
      </c>
      <c r="R844" t="s">
        <v>2570</v>
      </c>
      <c r="S844" t="s">
        <v>157</v>
      </c>
      <c r="T844" t="s">
        <v>2646</v>
      </c>
      <c r="U844" t="s">
        <v>2647</v>
      </c>
    </row>
    <row r="845" spans="1:21" x14ac:dyDescent="0.3">
      <c r="A845" s="64">
        <v>46142</v>
      </c>
      <c r="B845" t="s">
        <v>2648</v>
      </c>
      <c r="C845" t="s">
        <v>2649</v>
      </c>
      <c r="E845" t="s">
        <v>66</v>
      </c>
      <c r="F845" t="s">
        <v>103</v>
      </c>
      <c r="G845" t="s">
        <v>68</v>
      </c>
      <c r="H845" t="s">
        <v>69</v>
      </c>
      <c r="J845">
        <v>8.1760398307015336</v>
      </c>
      <c r="K845">
        <v>6.958469761416608</v>
      </c>
      <c r="L845">
        <v>27.70226345960641</v>
      </c>
      <c r="M845">
        <v>17.94998972699489</v>
      </c>
      <c r="N845" t="s">
        <v>1</v>
      </c>
      <c r="P845" t="s">
        <v>12</v>
      </c>
      <c r="Q845" t="s">
        <v>14</v>
      </c>
      <c r="R845" t="s">
        <v>2650</v>
      </c>
      <c r="S845" t="s">
        <v>5</v>
      </c>
      <c r="T845" t="s">
        <v>2651</v>
      </c>
      <c r="U845" t="s">
        <v>2652</v>
      </c>
    </row>
    <row r="846" spans="1:21" x14ac:dyDescent="0.3">
      <c r="A846" s="64">
        <v>46142</v>
      </c>
      <c r="B846" t="s">
        <v>2236</v>
      </c>
      <c r="C846" t="s">
        <v>2237</v>
      </c>
      <c r="E846" t="s">
        <v>19</v>
      </c>
      <c r="F846" t="s">
        <v>109</v>
      </c>
      <c r="G846" t="s">
        <v>59</v>
      </c>
      <c r="H846" t="s">
        <v>60</v>
      </c>
      <c r="J846">
        <v>10.106426027840721</v>
      </c>
      <c r="K846">
        <v>8.6112258637045205</v>
      </c>
      <c r="L846">
        <v>25.84781922309994</v>
      </c>
      <c r="M846">
        <v>17.813426532318591</v>
      </c>
      <c r="N846" t="s">
        <v>1</v>
      </c>
      <c r="P846" t="s">
        <v>19</v>
      </c>
      <c r="Q846" t="s">
        <v>11</v>
      </c>
      <c r="R846" t="s">
        <v>80</v>
      </c>
      <c r="S846" t="s">
        <v>10</v>
      </c>
      <c r="T846" t="s">
        <v>2653</v>
      </c>
      <c r="U846" t="s">
        <v>2654</v>
      </c>
    </row>
    <row r="847" spans="1:21" x14ac:dyDescent="0.3">
      <c r="A847" s="64">
        <v>46142</v>
      </c>
      <c r="B847" t="s">
        <v>2655</v>
      </c>
      <c r="C847" t="s">
        <v>2656</v>
      </c>
      <c r="E847" t="s">
        <v>66</v>
      </c>
      <c r="F847" t="s">
        <v>1282</v>
      </c>
      <c r="G847" t="s">
        <v>143</v>
      </c>
      <c r="H847" t="s">
        <v>290</v>
      </c>
      <c r="J847">
        <v>20.51222677841325</v>
      </c>
      <c r="K847">
        <v>26.136390682429429</v>
      </c>
      <c r="L847">
        <v>11.460870997467531</v>
      </c>
      <c r="M847">
        <v>17.680144992052689</v>
      </c>
      <c r="N847" t="s">
        <v>1</v>
      </c>
      <c r="P847" t="s">
        <v>24</v>
      </c>
      <c r="Q847" t="s">
        <v>22</v>
      </c>
      <c r="R847" t="s">
        <v>167</v>
      </c>
      <c r="S847" t="s">
        <v>5</v>
      </c>
      <c r="T847" t="s">
        <v>2657</v>
      </c>
      <c r="U847" t="s">
        <v>2658</v>
      </c>
    </row>
    <row r="848" spans="1:21" x14ac:dyDescent="0.3">
      <c r="A848" s="64">
        <v>46142</v>
      </c>
      <c r="B848" t="s">
        <v>699</v>
      </c>
      <c r="C848" t="s">
        <v>700</v>
      </c>
      <c r="E848" t="s">
        <v>66</v>
      </c>
      <c r="F848" t="s">
        <v>103</v>
      </c>
      <c r="G848" t="s">
        <v>59</v>
      </c>
      <c r="H848" t="s">
        <v>60</v>
      </c>
      <c r="J848">
        <v>10.554176708271889</v>
      </c>
      <c r="K848">
        <v>9.2471464855105729</v>
      </c>
      <c r="L848">
        <v>24.452890556770349</v>
      </c>
      <c r="M848">
        <v>17.363411836214048</v>
      </c>
      <c r="N848" t="s">
        <v>1</v>
      </c>
      <c r="P848" t="s">
        <v>9</v>
      </c>
      <c r="Q848" t="s">
        <v>11</v>
      </c>
      <c r="R848" t="s">
        <v>104</v>
      </c>
      <c r="S848" t="s">
        <v>10</v>
      </c>
      <c r="T848" t="s">
        <v>2659</v>
      </c>
      <c r="U848" t="s">
        <v>2660</v>
      </c>
    </row>
    <row r="849" spans="1:21" x14ac:dyDescent="0.3">
      <c r="A849" s="64">
        <v>46142</v>
      </c>
      <c r="B849" t="s">
        <v>101</v>
      </c>
      <c r="C849" t="s">
        <v>102</v>
      </c>
      <c r="E849" t="s">
        <v>66</v>
      </c>
      <c r="F849" t="s">
        <v>103</v>
      </c>
      <c r="G849" t="s">
        <v>68</v>
      </c>
      <c r="H849" t="s">
        <v>69</v>
      </c>
      <c r="J849">
        <v>5.5278786934123074</v>
      </c>
      <c r="K849">
        <v>9.0459044374402851</v>
      </c>
      <c r="L849">
        <v>23.23511957528121</v>
      </c>
      <c r="M849">
        <v>15.94304403409496</v>
      </c>
      <c r="N849" t="s">
        <v>1</v>
      </c>
      <c r="P849" t="s">
        <v>9</v>
      </c>
      <c r="Q849" t="s">
        <v>11</v>
      </c>
      <c r="R849" t="s">
        <v>104</v>
      </c>
      <c r="S849" t="s">
        <v>10</v>
      </c>
      <c r="T849" t="s">
        <v>2661</v>
      </c>
      <c r="U849" t="s">
        <v>2662</v>
      </c>
    </row>
    <row r="850" spans="1:21" x14ac:dyDescent="0.3">
      <c r="A850" s="64">
        <v>46142</v>
      </c>
      <c r="B850" t="s">
        <v>562</v>
      </c>
      <c r="C850" t="s">
        <v>563</v>
      </c>
      <c r="E850" t="s">
        <v>66</v>
      </c>
      <c r="F850" t="s">
        <v>103</v>
      </c>
      <c r="G850" t="s">
        <v>59</v>
      </c>
      <c r="H850" t="s">
        <v>60</v>
      </c>
      <c r="J850">
        <v>6.6593078186635966</v>
      </c>
      <c r="K850">
        <v>23.760374484463352</v>
      </c>
      <c r="L850">
        <v>10.77460727082499</v>
      </c>
      <c r="M850">
        <v>14.546414721216321</v>
      </c>
      <c r="N850" t="s">
        <v>1</v>
      </c>
      <c r="P850" t="s">
        <v>9</v>
      </c>
      <c r="Q850" t="s">
        <v>11</v>
      </c>
      <c r="R850" t="s">
        <v>104</v>
      </c>
      <c r="S850" t="s">
        <v>10</v>
      </c>
      <c r="T850" t="s">
        <v>2663</v>
      </c>
      <c r="U850" t="s">
        <v>2664</v>
      </c>
    </row>
    <row r="851" spans="1:21" x14ac:dyDescent="0.3">
      <c r="A851" s="64">
        <v>46142</v>
      </c>
      <c r="B851" t="s">
        <v>2665</v>
      </c>
      <c r="C851" t="s">
        <v>2666</v>
      </c>
      <c r="E851" t="s">
        <v>19</v>
      </c>
      <c r="F851" t="s">
        <v>261</v>
      </c>
      <c r="G851" t="s">
        <v>122</v>
      </c>
      <c r="H851" t="s">
        <v>2665</v>
      </c>
      <c r="J851">
        <v>65.455405208788008</v>
      </c>
      <c r="K851">
        <v>13.77031120903332</v>
      </c>
      <c r="L851">
        <v>0</v>
      </c>
      <c r="M851">
        <v>13.969878111870541</v>
      </c>
      <c r="N851" t="s">
        <v>145</v>
      </c>
      <c r="P851" t="s">
        <v>12</v>
      </c>
      <c r="Q851" t="s">
        <v>14</v>
      </c>
      <c r="R851" t="s">
        <v>146</v>
      </c>
      <c r="S851" t="s">
        <v>5</v>
      </c>
      <c r="T851" t="s">
        <v>2667</v>
      </c>
      <c r="U851" t="s">
        <v>2668</v>
      </c>
    </row>
    <row r="852" spans="1:21" x14ac:dyDescent="0.3">
      <c r="A852" s="64">
        <v>46142</v>
      </c>
      <c r="B852" t="s">
        <v>246</v>
      </c>
      <c r="C852" t="s">
        <v>247</v>
      </c>
      <c r="E852" t="s">
        <v>19</v>
      </c>
      <c r="F852" t="s">
        <v>109</v>
      </c>
      <c r="G852" t="s">
        <v>98</v>
      </c>
      <c r="H852" t="s">
        <v>246</v>
      </c>
      <c r="J852">
        <v>0.57451970152952136</v>
      </c>
      <c r="K852">
        <v>41.310933627099971</v>
      </c>
      <c r="L852">
        <v>0</v>
      </c>
      <c r="M852">
        <v>13.95059825986708</v>
      </c>
      <c r="N852" t="s">
        <v>1</v>
      </c>
      <c r="P852" t="s">
        <v>24</v>
      </c>
      <c r="Q852" t="s">
        <v>22</v>
      </c>
      <c r="R852" t="s">
        <v>1766</v>
      </c>
      <c r="S852" t="s">
        <v>5</v>
      </c>
      <c r="T852" t="s">
        <v>2669</v>
      </c>
    </row>
    <row r="853" spans="1:21" x14ac:dyDescent="0.3">
      <c r="A853" s="64">
        <v>46142</v>
      </c>
      <c r="B853" t="s">
        <v>2670</v>
      </c>
      <c r="C853" t="s">
        <v>2671</v>
      </c>
      <c r="E853" t="s">
        <v>19</v>
      </c>
      <c r="F853" t="s">
        <v>85</v>
      </c>
      <c r="G853" t="s">
        <v>68</v>
      </c>
      <c r="H853" t="s">
        <v>69</v>
      </c>
      <c r="J853">
        <v>32.372936225315627</v>
      </c>
      <c r="K853">
        <v>27.540622418066651</v>
      </c>
      <c r="L853">
        <v>0</v>
      </c>
      <c r="M853">
        <v>13.868556899607061</v>
      </c>
      <c r="N853" t="s">
        <v>1</v>
      </c>
      <c r="P853" t="s">
        <v>19</v>
      </c>
      <c r="Q853" t="s">
        <v>11</v>
      </c>
      <c r="R853" t="s">
        <v>80</v>
      </c>
      <c r="S853" t="s">
        <v>10</v>
      </c>
      <c r="T853" t="s">
        <v>2672</v>
      </c>
      <c r="U853" t="s">
        <v>2673</v>
      </c>
    </row>
    <row r="854" spans="1:21" x14ac:dyDescent="0.3">
      <c r="A854" s="64">
        <v>46142</v>
      </c>
      <c r="B854" t="s">
        <v>2674</v>
      </c>
      <c r="C854" t="s">
        <v>2675</v>
      </c>
      <c r="E854" t="s">
        <v>66</v>
      </c>
      <c r="F854" t="s">
        <v>103</v>
      </c>
      <c r="G854" t="s">
        <v>59</v>
      </c>
      <c r="H854" t="s">
        <v>60</v>
      </c>
      <c r="J854">
        <v>32.372936225315627</v>
      </c>
      <c r="K854">
        <v>27.540622418066651</v>
      </c>
      <c r="L854">
        <v>0</v>
      </c>
      <c r="M854">
        <v>13.868556899607061</v>
      </c>
      <c r="N854" t="s">
        <v>1</v>
      </c>
      <c r="P854" t="s">
        <v>9</v>
      </c>
      <c r="Q854" t="s">
        <v>11</v>
      </c>
      <c r="R854" t="s">
        <v>104</v>
      </c>
      <c r="S854" t="s">
        <v>10</v>
      </c>
      <c r="T854" t="s">
        <v>2565</v>
      </c>
      <c r="U854" t="s">
        <v>2566</v>
      </c>
    </row>
    <row r="855" spans="1:21" x14ac:dyDescent="0.3">
      <c r="A855" s="64">
        <v>46142</v>
      </c>
      <c r="B855" t="s">
        <v>2676</v>
      </c>
      <c r="C855" t="s">
        <v>2677</v>
      </c>
      <c r="E855" t="s">
        <v>19</v>
      </c>
      <c r="F855" t="s">
        <v>58</v>
      </c>
      <c r="G855" t="s">
        <v>59</v>
      </c>
      <c r="H855" t="s">
        <v>60</v>
      </c>
      <c r="J855">
        <v>32.372936225315627</v>
      </c>
      <c r="K855">
        <v>27.540622418066651</v>
      </c>
      <c r="L855">
        <v>0</v>
      </c>
      <c r="M855">
        <v>13.868556899607061</v>
      </c>
      <c r="N855" t="s">
        <v>1</v>
      </c>
      <c r="P855" t="s">
        <v>21</v>
      </c>
      <c r="Q855" t="s">
        <v>11</v>
      </c>
      <c r="R855" t="s">
        <v>61</v>
      </c>
      <c r="S855" t="s">
        <v>10</v>
      </c>
      <c r="T855" t="s">
        <v>2678</v>
      </c>
      <c r="U855" t="s">
        <v>2679</v>
      </c>
    </row>
    <row r="856" spans="1:21" x14ac:dyDescent="0.3">
      <c r="A856" s="64">
        <v>46142</v>
      </c>
      <c r="B856" t="s">
        <v>1621</v>
      </c>
      <c r="C856" t="s">
        <v>1622</v>
      </c>
      <c r="E856" t="s">
        <v>19</v>
      </c>
      <c r="F856" t="s">
        <v>58</v>
      </c>
      <c r="G856" t="s">
        <v>59</v>
      </c>
      <c r="H856" t="s">
        <v>60</v>
      </c>
      <c r="J856">
        <v>32.372936225315627</v>
      </c>
      <c r="K856">
        <v>27.540622418066651</v>
      </c>
      <c r="L856">
        <v>0</v>
      </c>
      <c r="M856">
        <v>13.868556899607061</v>
      </c>
      <c r="N856" t="s">
        <v>1</v>
      </c>
      <c r="P856" t="s">
        <v>4</v>
      </c>
      <c r="Q856" t="s">
        <v>4</v>
      </c>
      <c r="R856" t="s">
        <v>4</v>
      </c>
      <c r="S856" t="s">
        <v>4</v>
      </c>
      <c r="T856" t="s">
        <v>2680</v>
      </c>
      <c r="U856" t="s">
        <v>2681</v>
      </c>
    </row>
    <row r="857" spans="1:21" x14ac:dyDescent="0.3">
      <c r="A857" s="64">
        <v>46142</v>
      </c>
      <c r="B857" t="s">
        <v>1105</v>
      </c>
      <c r="C857" t="s">
        <v>1106</v>
      </c>
      <c r="E857" t="s">
        <v>66</v>
      </c>
      <c r="F857" t="s">
        <v>103</v>
      </c>
      <c r="G857" t="s">
        <v>68</v>
      </c>
      <c r="H857" t="s">
        <v>69</v>
      </c>
      <c r="J857">
        <v>32.372936225315627</v>
      </c>
      <c r="K857">
        <v>27.540622418066651</v>
      </c>
      <c r="L857">
        <v>0</v>
      </c>
      <c r="M857">
        <v>13.868556899607061</v>
      </c>
      <c r="N857" t="s">
        <v>1</v>
      </c>
      <c r="P857" t="s">
        <v>9</v>
      </c>
      <c r="Q857" t="s">
        <v>11</v>
      </c>
      <c r="R857" t="s">
        <v>104</v>
      </c>
      <c r="S857" t="s">
        <v>10</v>
      </c>
      <c r="T857" t="s">
        <v>2682</v>
      </c>
      <c r="U857" t="s">
        <v>2683</v>
      </c>
    </row>
    <row r="858" spans="1:21" x14ac:dyDescent="0.3">
      <c r="A858" s="64">
        <v>46142</v>
      </c>
      <c r="B858" t="s">
        <v>2684</v>
      </c>
      <c r="C858" t="s">
        <v>2685</v>
      </c>
      <c r="E858" t="s">
        <v>390</v>
      </c>
      <c r="G858" t="s">
        <v>116</v>
      </c>
      <c r="H858" t="s">
        <v>285</v>
      </c>
      <c r="J858">
        <v>32.371062791506297</v>
      </c>
      <c r="K858">
        <v>27.523090771851439</v>
      </c>
      <c r="L858">
        <v>0</v>
      </c>
      <c r="M858">
        <v>13.862403797587559</v>
      </c>
      <c r="N858" t="s">
        <v>1</v>
      </c>
      <c r="P858" t="s">
        <v>23</v>
      </c>
      <c r="Q858" t="s">
        <v>11</v>
      </c>
      <c r="R858" t="s">
        <v>1116</v>
      </c>
      <c r="S858" t="s">
        <v>10</v>
      </c>
      <c r="T858" t="s">
        <v>2686</v>
      </c>
      <c r="U858" t="s">
        <v>2687</v>
      </c>
    </row>
    <row r="859" spans="1:21" x14ac:dyDescent="0.3">
      <c r="A859" s="64">
        <v>46142</v>
      </c>
      <c r="B859" t="s">
        <v>2688</v>
      </c>
      <c r="C859" t="s">
        <v>2689</v>
      </c>
      <c r="E859" t="s">
        <v>19</v>
      </c>
      <c r="F859" t="s">
        <v>58</v>
      </c>
      <c r="G859" t="s">
        <v>68</v>
      </c>
      <c r="H859" t="s">
        <v>69</v>
      </c>
      <c r="J859">
        <v>6.5135546682973029</v>
      </c>
      <c r="K859">
        <v>5.6413649948488844</v>
      </c>
      <c r="L859">
        <v>19.401502516049529</v>
      </c>
      <c r="M859">
        <v>12.941667879451989</v>
      </c>
      <c r="N859" t="s">
        <v>1</v>
      </c>
      <c r="P859" t="s">
        <v>4</v>
      </c>
      <c r="Q859" t="s">
        <v>4</v>
      </c>
      <c r="R859" t="s">
        <v>4</v>
      </c>
      <c r="S859" t="s">
        <v>4</v>
      </c>
      <c r="T859" t="s">
        <v>2690</v>
      </c>
      <c r="U859" t="s">
        <v>2691</v>
      </c>
    </row>
    <row r="860" spans="1:21" x14ac:dyDescent="0.3">
      <c r="A860" s="64">
        <v>46142</v>
      </c>
      <c r="B860" t="s">
        <v>2692</v>
      </c>
      <c r="C860" t="s">
        <v>2693</v>
      </c>
      <c r="E860" t="s">
        <v>66</v>
      </c>
      <c r="F860" t="s">
        <v>103</v>
      </c>
      <c r="G860" t="s">
        <v>68</v>
      </c>
      <c r="H860" t="s">
        <v>69</v>
      </c>
      <c r="J860">
        <v>10.38806557717748</v>
      </c>
      <c r="K860">
        <v>9.044416903822027</v>
      </c>
      <c r="L860">
        <v>15.334502437251979</v>
      </c>
      <c r="M860">
        <v>12.516497447443591</v>
      </c>
      <c r="N860" t="s">
        <v>1</v>
      </c>
      <c r="P860" t="s">
        <v>9</v>
      </c>
      <c r="Q860" t="s">
        <v>11</v>
      </c>
      <c r="R860" t="s">
        <v>104</v>
      </c>
      <c r="S860" t="s">
        <v>10</v>
      </c>
      <c r="T860" t="s">
        <v>2694</v>
      </c>
      <c r="U860" t="s">
        <v>2695</v>
      </c>
    </row>
    <row r="861" spans="1:21" x14ac:dyDescent="0.3">
      <c r="A861" s="64">
        <v>46142</v>
      </c>
      <c r="B861" t="s">
        <v>312</v>
      </c>
      <c r="C861" t="s">
        <v>313</v>
      </c>
      <c r="E861" t="s">
        <v>19</v>
      </c>
      <c r="F861" t="s">
        <v>261</v>
      </c>
      <c r="G861" t="s">
        <v>59</v>
      </c>
      <c r="H861" t="s">
        <v>314</v>
      </c>
      <c r="J861">
        <v>20.001020498892611</v>
      </c>
      <c r="K861">
        <v>27.540622418066651</v>
      </c>
      <c r="L861">
        <v>0</v>
      </c>
      <c r="M861">
        <v>12.10184847774463</v>
      </c>
      <c r="N861" t="s">
        <v>1</v>
      </c>
      <c r="P861" t="s">
        <v>24</v>
      </c>
      <c r="Q861" t="s">
        <v>22</v>
      </c>
      <c r="R861" t="s">
        <v>167</v>
      </c>
      <c r="S861" t="s">
        <v>5</v>
      </c>
      <c r="T861" t="s">
        <v>2696</v>
      </c>
      <c r="U861" t="s">
        <v>2697</v>
      </c>
    </row>
    <row r="862" spans="1:21" x14ac:dyDescent="0.3">
      <c r="A862" s="64">
        <v>46142</v>
      </c>
      <c r="B862" t="s">
        <v>2698</v>
      </c>
      <c r="C862" t="s">
        <v>2699</v>
      </c>
      <c r="E862" t="s">
        <v>66</v>
      </c>
      <c r="F862" t="s">
        <v>103</v>
      </c>
      <c r="G862" t="s">
        <v>59</v>
      </c>
      <c r="H862" t="s">
        <v>60</v>
      </c>
      <c r="J862">
        <v>11.686480102634199</v>
      </c>
      <c r="K862">
        <v>9.9729566388200386</v>
      </c>
      <c r="L862">
        <v>12.990206942064111</v>
      </c>
      <c r="M862">
        <v>11.79110914211847</v>
      </c>
      <c r="N862" t="s">
        <v>1</v>
      </c>
      <c r="P862" t="s">
        <v>9</v>
      </c>
      <c r="Q862" t="s">
        <v>11</v>
      </c>
      <c r="R862" t="s">
        <v>104</v>
      </c>
      <c r="S862" t="s">
        <v>10</v>
      </c>
      <c r="T862" t="s">
        <v>2700</v>
      </c>
      <c r="U862" t="s">
        <v>2701</v>
      </c>
    </row>
    <row r="863" spans="1:21" x14ac:dyDescent="0.3">
      <c r="A863" s="64">
        <v>46142</v>
      </c>
      <c r="B863" t="s">
        <v>2702</v>
      </c>
      <c r="C863" t="s">
        <v>2703</v>
      </c>
      <c r="E863" t="s">
        <v>19</v>
      </c>
      <c r="F863" t="s">
        <v>109</v>
      </c>
      <c r="G863" t="s">
        <v>68</v>
      </c>
      <c r="H863" t="s">
        <v>69</v>
      </c>
      <c r="J863">
        <v>5.0938665275829411</v>
      </c>
      <c r="K863">
        <v>4.4159560506067441</v>
      </c>
      <c r="L863">
        <v>17.927776300323721</v>
      </c>
      <c r="M863">
        <v>11.55902126797419</v>
      </c>
      <c r="N863" t="s">
        <v>1</v>
      </c>
      <c r="P863" t="s">
        <v>19</v>
      </c>
      <c r="Q863" t="s">
        <v>11</v>
      </c>
      <c r="R863" t="s">
        <v>80</v>
      </c>
      <c r="S863" t="s">
        <v>10</v>
      </c>
      <c r="T863" t="s">
        <v>2704</v>
      </c>
      <c r="U863" t="s">
        <v>2705</v>
      </c>
    </row>
    <row r="864" spans="1:21" x14ac:dyDescent="0.3">
      <c r="A864" s="64">
        <v>46142</v>
      </c>
      <c r="B864" t="s">
        <v>2706</v>
      </c>
      <c r="C864" t="s">
        <v>2707</v>
      </c>
      <c r="E864" t="s">
        <v>19</v>
      </c>
      <c r="F864" t="s">
        <v>221</v>
      </c>
      <c r="G864" t="s">
        <v>143</v>
      </c>
      <c r="H864" t="s">
        <v>2706</v>
      </c>
      <c r="J864">
        <v>16.279104426338169</v>
      </c>
      <c r="K864">
        <v>27.42055025597233</v>
      </c>
      <c r="L864">
        <v>0</v>
      </c>
      <c r="M864">
        <v>11.53004959697186</v>
      </c>
      <c r="N864" t="s">
        <v>145</v>
      </c>
      <c r="P864" t="s">
        <v>12</v>
      </c>
      <c r="Q864" t="s">
        <v>14</v>
      </c>
      <c r="R864" t="s">
        <v>146</v>
      </c>
      <c r="S864" t="s">
        <v>5</v>
      </c>
      <c r="T864" t="s">
        <v>2708</v>
      </c>
      <c r="U864" t="s">
        <v>2709</v>
      </c>
    </row>
    <row r="865" spans="1:21" x14ac:dyDescent="0.3">
      <c r="A865" s="64">
        <v>46142</v>
      </c>
      <c r="B865" t="s">
        <v>438</v>
      </c>
      <c r="C865" t="s">
        <v>439</v>
      </c>
      <c r="E865" t="s">
        <v>440</v>
      </c>
      <c r="F865" t="s">
        <v>441</v>
      </c>
      <c r="G865" t="s">
        <v>59</v>
      </c>
      <c r="H865" t="s">
        <v>138</v>
      </c>
      <c r="J865">
        <v>4.1650180449144507</v>
      </c>
      <c r="K865">
        <v>3.5825122147760542</v>
      </c>
      <c r="L865">
        <v>18.470809064782529</v>
      </c>
      <c r="M865">
        <v>11.429770455408031</v>
      </c>
      <c r="N865" t="s">
        <v>1</v>
      </c>
      <c r="P865" t="s">
        <v>21</v>
      </c>
      <c r="Q865" t="s">
        <v>11</v>
      </c>
      <c r="R865" t="s">
        <v>61</v>
      </c>
      <c r="S865" t="s">
        <v>10</v>
      </c>
      <c r="T865" t="s">
        <v>2710</v>
      </c>
      <c r="U865" t="s">
        <v>2711</v>
      </c>
    </row>
    <row r="866" spans="1:21" x14ac:dyDescent="0.3">
      <c r="A866" s="64">
        <v>46142</v>
      </c>
      <c r="B866" t="s">
        <v>2712</v>
      </c>
      <c r="C866" t="s">
        <v>2713</v>
      </c>
      <c r="E866" t="s">
        <v>19</v>
      </c>
      <c r="F866" t="s">
        <v>109</v>
      </c>
      <c r="G866" t="s">
        <v>68</v>
      </c>
      <c r="H866" t="s">
        <v>69</v>
      </c>
      <c r="J866">
        <v>0</v>
      </c>
      <c r="K866">
        <v>27.540622418066651</v>
      </c>
      <c r="L866">
        <v>2.9549081023580168</v>
      </c>
      <c r="M866">
        <v>10.786655366361041</v>
      </c>
      <c r="N866" t="s">
        <v>1</v>
      </c>
      <c r="P866" t="s">
        <v>12</v>
      </c>
      <c r="Q866" t="s">
        <v>14</v>
      </c>
      <c r="R866" t="s">
        <v>146</v>
      </c>
      <c r="S866" t="s">
        <v>5</v>
      </c>
      <c r="T866" t="s">
        <v>2714</v>
      </c>
      <c r="U866" t="s">
        <v>2715</v>
      </c>
    </row>
    <row r="867" spans="1:21" x14ac:dyDescent="0.3">
      <c r="A867" s="64">
        <v>46142</v>
      </c>
      <c r="B867" t="s">
        <v>2716</v>
      </c>
      <c r="C867" t="s">
        <v>2717</v>
      </c>
      <c r="E867" t="s">
        <v>19</v>
      </c>
      <c r="F867" t="s">
        <v>109</v>
      </c>
      <c r="G867" t="s">
        <v>143</v>
      </c>
      <c r="H867" t="s">
        <v>2718</v>
      </c>
      <c r="J867">
        <v>14.931267460403101</v>
      </c>
      <c r="K867">
        <v>25.38954255366172</v>
      </c>
      <c r="L867">
        <v>0.15202044577524751</v>
      </c>
      <c r="M867">
        <v>10.735022814632179</v>
      </c>
      <c r="N867" t="s">
        <v>2719</v>
      </c>
      <c r="P867" t="s">
        <v>19</v>
      </c>
      <c r="Q867" t="s">
        <v>11</v>
      </c>
      <c r="R867" t="s">
        <v>80</v>
      </c>
      <c r="S867" t="s">
        <v>10</v>
      </c>
      <c r="T867" t="s">
        <v>2720</v>
      </c>
      <c r="U867" t="s">
        <v>2721</v>
      </c>
    </row>
    <row r="868" spans="1:21" x14ac:dyDescent="0.3">
      <c r="A868" s="64">
        <v>46142</v>
      </c>
      <c r="B868" t="s">
        <v>2722</v>
      </c>
      <c r="C868" t="s">
        <v>2723</v>
      </c>
      <c r="E868" t="s">
        <v>19</v>
      </c>
      <c r="F868" t="s">
        <v>350</v>
      </c>
      <c r="G868" t="s">
        <v>68</v>
      </c>
      <c r="H868" t="s">
        <v>69</v>
      </c>
      <c r="J868">
        <v>4.4038184078110696</v>
      </c>
      <c r="K868">
        <v>4.3532671338372246</v>
      </c>
      <c r="L868">
        <v>15.76682874884813</v>
      </c>
      <c r="M868">
        <v>10.312527644371389</v>
      </c>
      <c r="N868" t="s">
        <v>1</v>
      </c>
      <c r="P868" t="s">
        <v>19</v>
      </c>
      <c r="Q868" t="s">
        <v>11</v>
      </c>
      <c r="R868" t="s">
        <v>80</v>
      </c>
      <c r="S868" t="s">
        <v>10</v>
      </c>
      <c r="T868" t="s">
        <v>2724</v>
      </c>
      <c r="U868" t="s">
        <v>2725</v>
      </c>
    </row>
    <row r="869" spans="1:21" x14ac:dyDescent="0.3">
      <c r="A869" s="64">
        <v>46142</v>
      </c>
      <c r="B869" t="s">
        <v>324</v>
      </c>
      <c r="C869" t="s">
        <v>325</v>
      </c>
      <c r="E869" t="s">
        <v>19</v>
      </c>
      <c r="F869" t="s">
        <v>221</v>
      </c>
      <c r="G869" t="s">
        <v>122</v>
      </c>
      <c r="H869" t="s">
        <v>324</v>
      </c>
      <c r="J869">
        <v>43.965441461758573</v>
      </c>
      <c r="K869">
        <v>11.844220804390179</v>
      </c>
      <c r="L869">
        <v>0</v>
      </c>
      <c r="M869">
        <v>10.25450251129611</v>
      </c>
      <c r="N869" t="s">
        <v>145</v>
      </c>
      <c r="P869" t="s">
        <v>24</v>
      </c>
      <c r="Q869" t="s">
        <v>22</v>
      </c>
      <c r="R869" t="s">
        <v>1766</v>
      </c>
      <c r="S869" t="s">
        <v>5</v>
      </c>
      <c r="T869" t="s">
        <v>2726</v>
      </c>
      <c r="U869" t="s">
        <v>2727</v>
      </c>
    </row>
    <row r="870" spans="1:21" x14ac:dyDescent="0.3">
      <c r="A870" s="64">
        <v>46142</v>
      </c>
      <c r="B870" t="s">
        <v>348</v>
      </c>
      <c r="C870" t="s">
        <v>349</v>
      </c>
      <c r="E870" t="s">
        <v>19</v>
      </c>
      <c r="F870" t="s">
        <v>350</v>
      </c>
      <c r="G870" t="s">
        <v>98</v>
      </c>
      <c r="H870" t="s">
        <v>351</v>
      </c>
      <c r="J870">
        <v>5.6365378543537599</v>
      </c>
      <c r="K870">
        <v>10.09179994967886</v>
      </c>
      <c r="L870">
        <v>11.061479599095581</v>
      </c>
      <c r="M870">
        <v>9.9612657769102793</v>
      </c>
      <c r="N870" t="s">
        <v>1</v>
      </c>
      <c r="P870" t="s">
        <v>19</v>
      </c>
      <c r="Q870" t="s">
        <v>11</v>
      </c>
      <c r="R870" t="s">
        <v>80</v>
      </c>
      <c r="S870" t="s">
        <v>10</v>
      </c>
      <c r="T870" t="s">
        <v>2728</v>
      </c>
      <c r="U870" t="s">
        <v>2729</v>
      </c>
    </row>
    <row r="871" spans="1:21" x14ac:dyDescent="0.3">
      <c r="A871" s="64">
        <v>46142</v>
      </c>
      <c r="B871" t="s">
        <v>2730</v>
      </c>
      <c r="C871" t="s">
        <v>2731</v>
      </c>
      <c r="E871" t="s">
        <v>66</v>
      </c>
      <c r="F871" t="s">
        <v>103</v>
      </c>
      <c r="G871" t="s">
        <v>181</v>
      </c>
      <c r="H871" t="s">
        <v>672</v>
      </c>
      <c r="J871">
        <v>8.0932340563289085</v>
      </c>
      <c r="K871">
        <v>10.31057364396435</v>
      </c>
      <c r="L871">
        <v>10.141422448984059</v>
      </c>
      <c r="M871">
        <v>9.9057273430299091</v>
      </c>
      <c r="N871" t="s">
        <v>1</v>
      </c>
      <c r="P871" t="s">
        <v>9</v>
      </c>
      <c r="Q871" t="s">
        <v>11</v>
      </c>
      <c r="R871" t="s">
        <v>104</v>
      </c>
      <c r="S871" t="s">
        <v>10</v>
      </c>
      <c r="T871" t="s">
        <v>2732</v>
      </c>
      <c r="U871" t="s">
        <v>2733</v>
      </c>
    </row>
    <row r="872" spans="1:21" x14ac:dyDescent="0.3">
      <c r="A872" s="64">
        <v>46142</v>
      </c>
      <c r="B872" t="s">
        <v>2049</v>
      </c>
      <c r="C872" t="s">
        <v>2050</v>
      </c>
      <c r="E872" t="s">
        <v>19</v>
      </c>
      <c r="F872" t="s">
        <v>261</v>
      </c>
      <c r="G872" t="s">
        <v>143</v>
      </c>
      <c r="H872" t="s">
        <v>2051</v>
      </c>
      <c r="J872">
        <v>32.730354891119838</v>
      </c>
      <c r="K872">
        <v>13.77031120903332</v>
      </c>
      <c r="L872">
        <v>0</v>
      </c>
      <c r="M872">
        <v>9.2967439521690061</v>
      </c>
      <c r="N872" t="s">
        <v>156</v>
      </c>
      <c r="O872" t="s">
        <v>2588</v>
      </c>
      <c r="P872" t="s">
        <v>157</v>
      </c>
      <c r="Q872" t="s">
        <v>157</v>
      </c>
      <c r="R872" t="s">
        <v>2570</v>
      </c>
      <c r="S872" t="s">
        <v>157</v>
      </c>
      <c r="T872" t="s">
        <v>2734</v>
      </c>
      <c r="U872" t="s">
        <v>2735</v>
      </c>
    </row>
    <row r="873" spans="1:21" x14ac:dyDescent="0.3">
      <c r="A873" s="64">
        <v>46142</v>
      </c>
      <c r="B873" t="s">
        <v>1339</v>
      </c>
      <c r="C873" t="s">
        <v>1340</v>
      </c>
      <c r="E873" t="s">
        <v>19</v>
      </c>
      <c r="F873" t="s">
        <v>1341</v>
      </c>
      <c r="G873" t="s">
        <v>122</v>
      </c>
      <c r="H873" t="s">
        <v>1339</v>
      </c>
      <c r="J873">
        <v>32.727702604393997</v>
      </c>
      <c r="K873">
        <v>13.77031120903332</v>
      </c>
      <c r="L873">
        <v>0</v>
      </c>
      <c r="M873">
        <v>9.2963652058697779</v>
      </c>
      <c r="N873" t="s">
        <v>145</v>
      </c>
      <c r="P873" t="s">
        <v>4</v>
      </c>
      <c r="Q873" t="s">
        <v>4</v>
      </c>
      <c r="R873" t="s">
        <v>4</v>
      </c>
      <c r="S873" t="s">
        <v>4</v>
      </c>
      <c r="T873" t="s">
        <v>2736</v>
      </c>
      <c r="U873" t="s">
        <v>2737</v>
      </c>
    </row>
    <row r="874" spans="1:21" x14ac:dyDescent="0.3">
      <c r="A874" s="64">
        <v>46142</v>
      </c>
      <c r="B874" t="s">
        <v>2738</v>
      </c>
      <c r="C874" t="s">
        <v>2739</v>
      </c>
      <c r="E874" t="s">
        <v>19</v>
      </c>
      <c r="F874" t="s">
        <v>820</v>
      </c>
      <c r="G874" t="s">
        <v>122</v>
      </c>
      <c r="H874" t="s">
        <v>2740</v>
      </c>
      <c r="J874">
        <v>32.727702604393997</v>
      </c>
      <c r="K874">
        <v>13.77031120903332</v>
      </c>
      <c r="L874">
        <v>0</v>
      </c>
      <c r="M874">
        <v>9.2963652058697779</v>
      </c>
      <c r="N874" t="s">
        <v>145</v>
      </c>
      <c r="P874" t="s">
        <v>4</v>
      </c>
      <c r="Q874" t="s">
        <v>4</v>
      </c>
      <c r="R874" t="s">
        <v>4</v>
      </c>
      <c r="S874" t="s">
        <v>4</v>
      </c>
      <c r="T874" t="s">
        <v>2741</v>
      </c>
      <c r="U874" t="s">
        <v>2742</v>
      </c>
    </row>
    <row r="875" spans="1:21" x14ac:dyDescent="0.3">
      <c r="A875" s="64">
        <v>46142</v>
      </c>
      <c r="B875" t="s">
        <v>1315</v>
      </c>
      <c r="C875" t="s">
        <v>1316</v>
      </c>
      <c r="E875" t="s">
        <v>19</v>
      </c>
      <c r="F875" t="s">
        <v>221</v>
      </c>
      <c r="G875" t="s">
        <v>122</v>
      </c>
      <c r="H875" t="s">
        <v>1317</v>
      </c>
      <c r="J875">
        <v>32.727702604393997</v>
      </c>
      <c r="K875">
        <v>13.77031120903332</v>
      </c>
      <c r="L875">
        <v>0</v>
      </c>
      <c r="M875">
        <v>9.2963652058697779</v>
      </c>
      <c r="N875" t="s">
        <v>145</v>
      </c>
      <c r="P875" t="s">
        <v>24</v>
      </c>
      <c r="Q875" t="s">
        <v>22</v>
      </c>
      <c r="R875" t="s">
        <v>1766</v>
      </c>
      <c r="S875" t="s">
        <v>5</v>
      </c>
      <c r="T875" t="s">
        <v>2743</v>
      </c>
      <c r="U875" t="s">
        <v>2744</v>
      </c>
    </row>
    <row r="876" spans="1:21" x14ac:dyDescent="0.3">
      <c r="A876" s="64">
        <v>46142</v>
      </c>
      <c r="B876" t="s">
        <v>2745</v>
      </c>
      <c r="C876" t="s">
        <v>2746</v>
      </c>
      <c r="E876" t="s">
        <v>390</v>
      </c>
      <c r="G876" t="s">
        <v>122</v>
      </c>
      <c r="H876" t="s">
        <v>123</v>
      </c>
      <c r="J876">
        <v>8.2980628194829116</v>
      </c>
      <c r="K876">
        <v>10.98416074203277</v>
      </c>
      <c r="L876">
        <v>6.941640017773226</v>
      </c>
      <c r="M876">
        <v>8.4924579020811386</v>
      </c>
      <c r="N876" t="s">
        <v>1</v>
      </c>
      <c r="P876" t="s">
        <v>23</v>
      </c>
      <c r="Q876" t="s">
        <v>11</v>
      </c>
      <c r="R876" t="s">
        <v>1116</v>
      </c>
      <c r="S876" t="s">
        <v>10</v>
      </c>
      <c r="T876" t="s">
        <v>2747</v>
      </c>
      <c r="U876" t="s">
        <v>2748</v>
      </c>
    </row>
    <row r="877" spans="1:21" x14ac:dyDescent="0.3">
      <c r="A877" s="64">
        <v>46142</v>
      </c>
      <c r="B877" t="s">
        <v>532</v>
      </c>
      <c r="C877" t="s">
        <v>533</v>
      </c>
      <c r="E877" t="s">
        <v>136</v>
      </c>
      <c r="F877" t="s">
        <v>534</v>
      </c>
      <c r="G877" t="s">
        <v>535</v>
      </c>
      <c r="H877" t="s">
        <v>532</v>
      </c>
      <c r="J877">
        <v>17.983640695475049</v>
      </c>
      <c r="K877">
        <v>0</v>
      </c>
      <c r="L877">
        <v>10.631307907990729</v>
      </c>
      <c r="M877">
        <v>8.1121676638753293</v>
      </c>
      <c r="P877" t="s">
        <v>24</v>
      </c>
      <c r="Q877" t="s">
        <v>22</v>
      </c>
      <c r="R877" t="s">
        <v>167</v>
      </c>
      <c r="S877" t="s">
        <v>5</v>
      </c>
      <c r="T877" t="s">
        <v>2749</v>
      </c>
      <c r="U877" t="s">
        <v>2750</v>
      </c>
    </row>
    <row r="878" spans="1:21" x14ac:dyDescent="0.3">
      <c r="A878" s="64">
        <v>46142</v>
      </c>
      <c r="B878" t="s">
        <v>2751</v>
      </c>
      <c r="C878" t="s">
        <v>2752</v>
      </c>
      <c r="E878" t="s">
        <v>66</v>
      </c>
      <c r="F878" t="s">
        <v>1282</v>
      </c>
      <c r="G878" t="s">
        <v>143</v>
      </c>
      <c r="H878" t="s">
        <v>290</v>
      </c>
      <c r="J878">
        <v>11.12007861427846</v>
      </c>
      <c r="K878">
        <v>14.289247937003379</v>
      </c>
      <c r="L878">
        <v>2.469263483683434</v>
      </c>
      <c r="M878">
        <v>7.6727041973786703</v>
      </c>
      <c r="N878" t="s">
        <v>1</v>
      </c>
      <c r="P878" t="s">
        <v>7</v>
      </c>
      <c r="Q878" t="s">
        <v>11</v>
      </c>
      <c r="R878" t="s">
        <v>70</v>
      </c>
      <c r="S878" t="s">
        <v>10</v>
      </c>
      <c r="T878" t="s">
        <v>2753</v>
      </c>
      <c r="U878" t="s">
        <v>2754</v>
      </c>
    </row>
    <row r="879" spans="1:21" x14ac:dyDescent="0.3">
      <c r="A879" s="64">
        <v>46142</v>
      </c>
      <c r="B879" t="s">
        <v>2755</v>
      </c>
      <c r="C879" t="s">
        <v>2756</v>
      </c>
      <c r="E879" t="s">
        <v>66</v>
      </c>
      <c r="F879" t="s">
        <v>103</v>
      </c>
      <c r="G879" t="s">
        <v>59</v>
      </c>
      <c r="H879" t="s">
        <v>60</v>
      </c>
      <c r="J879">
        <v>3.714269870388355</v>
      </c>
      <c r="K879">
        <v>3.2946744596427879</v>
      </c>
      <c r="L879">
        <v>11.08090538384257</v>
      </c>
      <c r="M879">
        <v>7.415022985848938</v>
      </c>
      <c r="N879" t="s">
        <v>1</v>
      </c>
      <c r="P879" t="s">
        <v>9</v>
      </c>
      <c r="Q879" t="s">
        <v>11</v>
      </c>
      <c r="R879" t="s">
        <v>104</v>
      </c>
      <c r="S879" t="s">
        <v>10</v>
      </c>
      <c r="T879" t="s">
        <v>2757</v>
      </c>
      <c r="U879" t="s">
        <v>2758</v>
      </c>
    </row>
    <row r="880" spans="1:21" x14ac:dyDescent="0.3">
      <c r="A880" s="64">
        <v>46142</v>
      </c>
      <c r="B880" t="s">
        <v>2759</v>
      </c>
      <c r="C880" t="s">
        <v>2760</v>
      </c>
      <c r="E880" t="s">
        <v>66</v>
      </c>
      <c r="F880" t="s">
        <v>568</v>
      </c>
      <c r="G880" t="s">
        <v>59</v>
      </c>
      <c r="H880" t="s">
        <v>60</v>
      </c>
      <c r="J880">
        <v>6.3932802177379706</v>
      </c>
      <c r="K880">
        <v>5.3740870793679942</v>
      </c>
      <c r="L880">
        <v>8.913528171218319</v>
      </c>
      <c r="M880">
        <v>7.365405797969939</v>
      </c>
      <c r="N880" t="s">
        <v>1</v>
      </c>
      <c r="P880" t="s">
        <v>9</v>
      </c>
      <c r="Q880" t="s">
        <v>11</v>
      </c>
      <c r="R880" t="s">
        <v>104</v>
      </c>
      <c r="S880" t="s">
        <v>10</v>
      </c>
      <c r="T880" t="s">
        <v>2761</v>
      </c>
      <c r="U880" t="s">
        <v>2762</v>
      </c>
    </row>
    <row r="881" spans="1:21" x14ac:dyDescent="0.3">
      <c r="A881" s="64">
        <v>46142</v>
      </c>
      <c r="B881" t="s">
        <v>2763</v>
      </c>
      <c r="C881" t="s">
        <v>2764</v>
      </c>
      <c r="E881" t="s">
        <v>19</v>
      </c>
      <c r="F881" t="s">
        <v>109</v>
      </c>
      <c r="G881" t="s">
        <v>143</v>
      </c>
      <c r="H881" t="s">
        <v>2765</v>
      </c>
      <c r="J881">
        <v>25.964118854777951</v>
      </c>
      <c r="K881">
        <v>9.0835121917102732</v>
      </c>
      <c r="L881">
        <v>0</v>
      </c>
      <c r="M881">
        <v>6.7571135840330898</v>
      </c>
      <c r="N881" t="s">
        <v>145</v>
      </c>
      <c r="P881" t="s">
        <v>19</v>
      </c>
      <c r="Q881" t="s">
        <v>11</v>
      </c>
      <c r="R881" t="s">
        <v>80</v>
      </c>
      <c r="S881" t="s">
        <v>10</v>
      </c>
      <c r="T881" t="s">
        <v>2766</v>
      </c>
      <c r="U881" t="s">
        <v>2767</v>
      </c>
    </row>
    <row r="882" spans="1:21" x14ac:dyDescent="0.3">
      <c r="A882" s="64">
        <v>46142</v>
      </c>
      <c r="B882" t="s">
        <v>2768</v>
      </c>
      <c r="C882" t="s">
        <v>2769</v>
      </c>
      <c r="E882" t="s">
        <v>390</v>
      </c>
      <c r="G882" t="s">
        <v>116</v>
      </c>
      <c r="H882" t="s">
        <v>117</v>
      </c>
      <c r="J882">
        <v>0</v>
      </c>
      <c r="K882">
        <v>14.34673048610899</v>
      </c>
      <c r="L882">
        <v>3.1267647367833531</v>
      </c>
      <c r="M882">
        <v>6.4469349347806864</v>
      </c>
      <c r="N882" t="s">
        <v>1</v>
      </c>
      <c r="P882" t="s">
        <v>23</v>
      </c>
      <c r="Q882" t="s">
        <v>11</v>
      </c>
      <c r="R882" t="s">
        <v>1116</v>
      </c>
      <c r="S882" t="s">
        <v>10</v>
      </c>
      <c r="T882" t="s">
        <v>2770</v>
      </c>
      <c r="U882" t="s">
        <v>2771</v>
      </c>
    </row>
    <row r="883" spans="1:21" x14ac:dyDescent="0.3">
      <c r="A883" s="64">
        <v>46142</v>
      </c>
      <c r="B883" t="s">
        <v>1470</v>
      </c>
      <c r="C883" t="s">
        <v>1471</v>
      </c>
      <c r="E883" t="s">
        <v>19</v>
      </c>
      <c r="F883" t="s">
        <v>221</v>
      </c>
      <c r="G883" t="s">
        <v>59</v>
      </c>
      <c r="H883" t="s">
        <v>1470</v>
      </c>
      <c r="J883">
        <v>11.50006264448648</v>
      </c>
      <c r="K883">
        <v>4.7707328185617</v>
      </c>
      <c r="L883">
        <v>5.9208291071697712</v>
      </c>
      <c r="M883">
        <v>6.3314425511438603</v>
      </c>
      <c r="N883" t="s">
        <v>1</v>
      </c>
      <c r="P883" t="s">
        <v>24</v>
      </c>
      <c r="Q883" t="s">
        <v>22</v>
      </c>
      <c r="R883" t="s">
        <v>1766</v>
      </c>
      <c r="S883" t="s">
        <v>5</v>
      </c>
      <c r="T883" t="s">
        <v>2772</v>
      </c>
      <c r="U883" t="s">
        <v>2773</v>
      </c>
    </row>
    <row r="884" spans="1:21" x14ac:dyDescent="0.3">
      <c r="A884" s="64">
        <v>46142</v>
      </c>
      <c r="B884" t="s">
        <v>92</v>
      </c>
      <c r="C884" t="s">
        <v>93</v>
      </c>
      <c r="E884" t="s">
        <v>66</v>
      </c>
      <c r="F884" t="s">
        <v>67</v>
      </c>
      <c r="G884" t="s">
        <v>68</v>
      </c>
      <c r="H884" t="s">
        <v>69</v>
      </c>
      <c r="J884">
        <v>4.3509875743878119</v>
      </c>
      <c r="K884">
        <v>3.7797166715967778</v>
      </c>
      <c r="L884">
        <v>8.1594109992623682</v>
      </c>
      <c r="M884">
        <v>6.1452545850419336</v>
      </c>
      <c r="N884" t="s">
        <v>1</v>
      </c>
      <c r="P884" t="s">
        <v>7</v>
      </c>
      <c r="Q884" t="s">
        <v>11</v>
      </c>
      <c r="R884" t="s">
        <v>70</v>
      </c>
      <c r="S884" t="s">
        <v>10</v>
      </c>
      <c r="T884" t="s">
        <v>2774</v>
      </c>
      <c r="U884" t="s">
        <v>2775</v>
      </c>
    </row>
    <row r="885" spans="1:21" x14ac:dyDescent="0.3">
      <c r="A885" s="64">
        <v>46142</v>
      </c>
      <c r="B885" t="s">
        <v>2776</v>
      </c>
      <c r="C885" t="s">
        <v>2777</v>
      </c>
      <c r="E885" t="s">
        <v>19</v>
      </c>
      <c r="F885" t="s">
        <v>109</v>
      </c>
      <c r="G885" t="s">
        <v>122</v>
      </c>
      <c r="H885" t="s">
        <v>1443</v>
      </c>
      <c r="J885">
        <v>2.3540939182307579</v>
      </c>
      <c r="K885">
        <v>5.0552236230538794</v>
      </c>
      <c r="L885">
        <v>7.8025990058375854</v>
      </c>
      <c r="M885">
        <v>6.1022273788065613</v>
      </c>
      <c r="N885" t="s">
        <v>145</v>
      </c>
      <c r="P885" t="s">
        <v>24</v>
      </c>
      <c r="Q885" t="s">
        <v>22</v>
      </c>
      <c r="R885" t="s">
        <v>1766</v>
      </c>
      <c r="S885" t="s">
        <v>5</v>
      </c>
      <c r="T885" t="s">
        <v>2778</v>
      </c>
    </row>
    <row r="886" spans="1:21" x14ac:dyDescent="0.3">
      <c r="A886" s="64">
        <v>46142</v>
      </c>
      <c r="B886" t="s">
        <v>2779</v>
      </c>
      <c r="C886" t="s">
        <v>2780</v>
      </c>
      <c r="E886" t="s">
        <v>390</v>
      </c>
      <c r="G886" t="s">
        <v>116</v>
      </c>
      <c r="H886" t="s">
        <v>117</v>
      </c>
      <c r="J886">
        <v>0</v>
      </c>
      <c r="K886">
        <v>5.579047961483929</v>
      </c>
      <c r="L886">
        <v>8.0757228033541484</v>
      </c>
      <c r="M886">
        <v>6.0843477925880256</v>
      </c>
      <c r="N886" t="s">
        <v>1</v>
      </c>
      <c r="P886" t="s">
        <v>23</v>
      </c>
      <c r="Q886" t="s">
        <v>11</v>
      </c>
      <c r="R886" t="s">
        <v>1116</v>
      </c>
      <c r="S886" t="s">
        <v>10</v>
      </c>
      <c r="T886" t="s">
        <v>2781</v>
      </c>
      <c r="U886" t="s">
        <v>2782</v>
      </c>
    </row>
    <row r="887" spans="1:21" x14ac:dyDescent="0.3">
      <c r="A887" s="64">
        <v>46142</v>
      </c>
      <c r="B887" t="s">
        <v>506</v>
      </c>
      <c r="C887" t="s">
        <v>507</v>
      </c>
      <c r="E887" t="s">
        <v>66</v>
      </c>
      <c r="F887" t="s">
        <v>103</v>
      </c>
      <c r="G887" t="s">
        <v>59</v>
      </c>
      <c r="H887" t="s">
        <v>60</v>
      </c>
      <c r="J887">
        <v>4.8489462809091606</v>
      </c>
      <c r="K887">
        <v>4.3229851994655073</v>
      </c>
      <c r="L887">
        <v>7.3802591892169938</v>
      </c>
      <c r="M887">
        <v>5.992425798940169</v>
      </c>
      <c r="N887" t="s">
        <v>1</v>
      </c>
      <c r="P887" t="s">
        <v>9</v>
      </c>
      <c r="Q887" t="s">
        <v>11</v>
      </c>
      <c r="R887" t="s">
        <v>104</v>
      </c>
      <c r="S887" t="s">
        <v>10</v>
      </c>
      <c r="T887" t="s">
        <v>2783</v>
      </c>
      <c r="U887" t="s">
        <v>2784</v>
      </c>
    </row>
    <row r="888" spans="1:21" x14ac:dyDescent="0.3">
      <c r="A888" s="64">
        <v>46142</v>
      </c>
      <c r="B888" t="s">
        <v>2785</v>
      </c>
      <c r="C888" t="s">
        <v>2786</v>
      </c>
      <c r="E888" t="s">
        <v>440</v>
      </c>
      <c r="F888" t="s">
        <v>109</v>
      </c>
      <c r="G888" t="s">
        <v>68</v>
      </c>
      <c r="H888" t="s">
        <v>69</v>
      </c>
      <c r="J888">
        <v>4.0897060057791688</v>
      </c>
      <c r="K888">
        <v>3.5866560584269198</v>
      </c>
      <c r="L888">
        <v>7.7566337686897926</v>
      </c>
      <c r="M888">
        <v>5.833087209252553</v>
      </c>
      <c r="N888" t="s">
        <v>1</v>
      </c>
      <c r="P888" t="s">
        <v>19</v>
      </c>
      <c r="Q888" t="s">
        <v>11</v>
      </c>
      <c r="R888" t="s">
        <v>80</v>
      </c>
      <c r="S888" t="s">
        <v>10</v>
      </c>
      <c r="T888" t="s">
        <v>2787</v>
      </c>
      <c r="U888" t="s">
        <v>2788</v>
      </c>
    </row>
    <row r="889" spans="1:21" x14ac:dyDescent="0.3">
      <c r="A889" s="64">
        <v>46142</v>
      </c>
      <c r="B889" t="s">
        <v>2789</v>
      </c>
      <c r="C889" t="s">
        <v>2790</v>
      </c>
      <c r="E889" t="s">
        <v>66</v>
      </c>
      <c r="F889" t="s">
        <v>2791</v>
      </c>
      <c r="G889" t="s">
        <v>59</v>
      </c>
      <c r="H889" t="s">
        <v>2792</v>
      </c>
      <c r="J889">
        <v>4.8214692517055742</v>
      </c>
      <c r="K889">
        <v>4.1752943616525737</v>
      </c>
      <c r="L889">
        <v>7.0149313148027774</v>
      </c>
      <c r="M889">
        <v>5.748406257401558</v>
      </c>
      <c r="N889" t="s">
        <v>1</v>
      </c>
      <c r="P889" t="s">
        <v>7</v>
      </c>
      <c r="Q889" t="s">
        <v>11</v>
      </c>
      <c r="R889" t="s">
        <v>70</v>
      </c>
      <c r="S889" t="s">
        <v>10</v>
      </c>
      <c r="T889" t="s">
        <v>2793</v>
      </c>
      <c r="U889" t="s">
        <v>2794</v>
      </c>
    </row>
    <row r="890" spans="1:21" x14ac:dyDescent="0.3">
      <c r="A890" s="64">
        <v>46142</v>
      </c>
      <c r="B890" t="s">
        <v>454</v>
      </c>
      <c r="C890" t="s">
        <v>455</v>
      </c>
      <c r="E890" t="s">
        <v>19</v>
      </c>
      <c r="F890" t="s">
        <v>109</v>
      </c>
      <c r="G890" t="s">
        <v>110</v>
      </c>
      <c r="H890" t="s">
        <v>111</v>
      </c>
      <c r="J890">
        <v>7.8459407934966361</v>
      </c>
      <c r="K890">
        <v>10.03899250623064</v>
      </c>
      <c r="L890">
        <v>2.0978479513731569</v>
      </c>
      <c r="M890">
        <v>5.5846088981345936</v>
      </c>
      <c r="N890" t="s">
        <v>1</v>
      </c>
      <c r="P890" t="s">
        <v>24</v>
      </c>
      <c r="Q890" t="s">
        <v>22</v>
      </c>
      <c r="R890" t="s">
        <v>167</v>
      </c>
      <c r="S890" t="s">
        <v>5</v>
      </c>
      <c r="T890" t="s">
        <v>2093</v>
      </c>
      <c r="U890" t="s">
        <v>2093</v>
      </c>
    </row>
    <row r="891" spans="1:21" x14ac:dyDescent="0.3">
      <c r="A891" s="64">
        <v>46142</v>
      </c>
      <c r="B891" t="s">
        <v>368</v>
      </c>
      <c r="C891" t="s">
        <v>369</v>
      </c>
      <c r="E891" t="s">
        <v>19</v>
      </c>
      <c r="F891" t="s">
        <v>109</v>
      </c>
      <c r="G891" t="s">
        <v>143</v>
      </c>
      <c r="H891" t="s">
        <v>370</v>
      </c>
      <c r="J891">
        <v>19.019169212861929</v>
      </c>
      <c r="K891">
        <v>8.0185358690640065</v>
      </c>
      <c r="L891">
        <v>0</v>
      </c>
      <c r="M891">
        <v>5.4078505823101919</v>
      </c>
      <c r="N891" t="s">
        <v>145</v>
      </c>
      <c r="P891" t="s">
        <v>24</v>
      </c>
      <c r="Q891" t="s">
        <v>22</v>
      </c>
      <c r="R891" t="s">
        <v>1766</v>
      </c>
      <c r="S891" t="s">
        <v>5</v>
      </c>
      <c r="T891" t="s">
        <v>2795</v>
      </c>
      <c r="U891" t="s">
        <v>2796</v>
      </c>
    </row>
    <row r="892" spans="1:21" x14ac:dyDescent="0.3">
      <c r="A892" s="64">
        <v>46142</v>
      </c>
      <c r="B892" t="s">
        <v>2797</v>
      </c>
      <c r="C892" t="s">
        <v>2798</v>
      </c>
      <c r="E892" t="s">
        <v>66</v>
      </c>
      <c r="F892" t="s">
        <v>103</v>
      </c>
      <c r="G892" t="s">
        <v>59</v>
      </c>
      <c r="H892" t="s">
        <v>60</v>
      </c>
      <c r="J892">
        <v>4.2774240734745748</v>
      </c>
      <c r="K892">
        <v>3.76930393626896</v>
      </c>
      <c r="L892">
        <v>6.4638614739081621</v>
      </c>
      <c r="M892">
        <v>5.247044370821242</v>
      </c>
      <c r="N892" t="s">
        <v>1</v>
      </c>
      <c r="P892" t="s">
        <v>9</v>
      </c>
      <c r="Q892" t="s">
        <v>11</v>
      </c>
      <c r="R892" t="s">
        <v>104</v>
      </c>
      <c r="S892" t="s">
        <v>10</v>
      </c>
      <c r="T892" t="s">
        <v>2799</v>
      </c>
      <c r="U892" t="s">
        <v>840</v>
      </c>
    </row>
    <row r="893" spans="1:21" x14ac:dyDescent="0.3">
      <c r="A893" s="64">
        <v>46142</v>
      </c>
      <c r="B893" t="s">
        <v>2800</v>
      </c>
      <c r="C893" t="s">
        <v>2801</v>
      </c>
      <c r="E893" t="s">
        <v>19</v>
      </c>
      <c r="F893" t="s">
        <v>261</v>
      </c>
      <c r="G893" t="s">
        <v>143</v>
      </c>
      <c r="H893" t="s">
        <v>2800</v>
      </c>
      <c r="J893">
        <v>7.9756787833228264</v>
      </c>
      <c r="K893">
        <v>12.16503872317192</v>
      </c>
      <c r="L893">
        <v>0</v>
      </c>
      <c r="M893">
        <v>5.2228700039768254</v>
      </c>
      <c r="N893" t="s">
        <v>145</v>
      </c>
      <c r="P893" t="s">
        <v>24</v>
      </c>
      <c r="Q893" t="s">
        <v>22</v>
      </c>
      <c r="R893" t="s">
        <v>1766</v>
      </c>
      <c r="S893" t="s">
        <v>5</v>
      </c>
      <c r="T893" t="s">
        <v>2802</v>
      </c>
    </row>
    <row r="894" spans="1:21" x14ac:dyDescent="0.3">
      <c r="A894" s="64">
        <v>46142</v>
      </c>
      <c r="B894" t="s">
        <v>2803</v>
      </c>
      <c r="C894" t="s">
        <v>2804</v>
      </c>
      <c r="E894" t="s">
        <v>19</v>
      </c>
      <c r="F894" t="s">
        <v>109</v>
      </c>
      <c r="G894" t="s">
        <v>59</v>
      </c>
      <c r="H894" t="s">
        <v>60</v>
      </c>
      <c r="J894">
        <v>1.6830929343069201</v>
      </c>
      <c r="K894">
        <v>1.837422775754731</v>
      </c>
      <c r="L894">
        <v>8.134923566377088</v>
      </c>
      <c r="M894">
        <v>5.0994590977447896</v>
      </c>
      <c r="N894" t="s">
        <v>1</v>
      </c>
      <c r="P894" t="s">
        <v>19</v>
      </c>
      <c r="Q894" t="s">
        <v>11</v>
      </c>
      <c r="R894" t="s">
        <v>80</v>
      </c>
      <c r="S894" t="s">
        <v>10</v>
      </c>
      <c r="T894" t="s">
        <v>2805</v>
      </c>
      <c r="U894" t="s">
        <v>2806</v>
      </c>
    </row>
    <row r="895" spans="1:21" x14ac:dyDescent="0.3">
      <c r="A895" s="64">
        <v>46142</v>
      </c>
      <c r="B895" t="s">
        <v>279</v>
      </c>
      <c r="C895" t="s">
        <v>280</v>
      </c>
      <c r="E895" t="s">
        <v>19</v>
      </c>
      <c r="F895" t="s">
        <v>109</v>
      </c>
      <c r="G895" t="s">
        <v>68</v>
      </c>
      <c r="H895" t="s">
        <v>69</v>
      </c>
      <c r="J895">
        <v>2.7640642422934421</v>
      </c>
      <c r="K895">
        <v>3.3260189180275468</v>
      </c>
      <c r="L895">
        <v>6.8153040162673184</v>
      </c>
      <c r="M895">
        <v>5.0653940981585643</v>
      </c>
      <c r="N895" t="s">
        <v>1</v>
      </c>
      <c r="P895" t="s">
        <v>24</v>
      </c>
      <c r="Q895" t="s">
        <v>22</v>
      </c>
      <c r="R895" t="s">
        <v>1766</v>
      </c>
      <c r="S895" t="s">
        <v>5</v>
      </c>
      <c r="T895" t="s">
        <v>2807</v>
      </c>
      <c r="U895" t="s">
        <v>2808</v>
      </c>
    </row>
    <row r="896" spans="1:21" x14ac:dyDescent="0.3">
      <c r="A896" s="64">
        <v>46142</v>
      </c>
      <c r="B896" t="s">
        <v>2809</v>
      </c>
      <c r="C896" t="s">
        <v>2810</v>
      </c>
      <c r="E896" t="s">
        <v>19</v>
      </c>
      <c r="F896" t="s">
        <v>109</v>
      </c>
      <c r="G896" t="s">
        <v>59</v>
      </c>
      <c r="H896" t="s">
        <v>60</v>
      </c>
      <c r="J896">
        <v>4.3673488963226754</v>
      </c>
      <c r="K896">
        <v>3.7052337382824838</v>
      </c>
      <c r="L896">
        <v>5.9865959349219802</v>
      </c>
      <c r="M896">
        <v>4.9894880048397274</v>
      </c>
      <c r="N896" t="s">
        <v>1</v>
      </c>
      <c r="P896" t="s">
        <v>19</v>
      </c>
      <c r="Q896" t="s">
        <v>11</v>
      </c>
      <c r="R896" t="s">
        <v>80</v>
      </c>
      <c r="S896" t="s">
        <v>10</v>
      </c>
      <c r="T896" t="s">
        <v>2811</v>
      </c>
      <c r="U896" t="s">
        <v>2812</v>
      </c>
    </row>
    <row r="897" spans="1:21" x14ac:dyDescent="0.3">
      <c r="A897" s="64">
        <v>46142</v>
      </c>
      <c r="B897" t="s">
        <v>1294</v>
      </c>
      <c r="C897" t="s">
        <v>1295</v>
      </c>
      <c r="E897" t="s">
        <v>19</v>
      </c>
      <c r="F897" t="s">
        <v>109</v>
      </c>
      <c r="G897" t="s">
        <v>98</v>
      </c>
      <c r="H897" t="s">
        <v>351</v>
      </c>
      <c r="J897">
        <v>0.85603435527898675</v>
      </c>
      <c r="K897">
        <v>1.8102221610208391</v>
      </c>
      <c r="L897">
        <v>8.0265769359572907</v>
      </c>
      <c r="M897">
        <v>4.9157221209189759</v>
      </c>
      <c r="N897" t="s">
        <v>1</v>
      </c>
      <c r="P897" t="s">
        <v>12</v>
      </c>
      <c r="Q897" t="s">
        <v>14</v>
      </c>
      <c r="R897" t="s">
        <v>146</v>
      </c>
      <c r="S897" t="s">
        <v>5</v>
      </c>
      <c r="T897" t="s">
        <v>2813</v>
      </c>
      <c r="U897" t="s">
        <v>2814</v>
      </c>
    </row>
    <row r="898" spans="1:21" x14ac:dyDescent="0.3">
      <c r="A898" s="64">
        <v>46142</v>
      </c>
      <c r="B898" t="s">
        <v>805</v>
      </c>
      <c r="C898" t="s">
        <v>806</v>
      </c>
      <c r="E898" t="s">
        <v>19</v>
      </c>
      <c r="F898" t="s">
        <v>109</v>
      </c>
      <c r="G898" t="s">
        <v>143</v>
      </c>
      <c r="H898" t="s">
        <v>807</v>
      </c>
      <c r="J898">
        <v>12.39135728373507</v>
      </c>
      <c r="K898">
        <v>9.3658130831115418</v>
      </c>
      <c r="L898">
        <v>0</v>
      </c>
      <c r="M898">
        <v>4.9136961518921467</v>
      </c>
      <c r="N898" t="s">
        <v>145</v>
      </c>
      <c r="P898" t="s">
        <v>18</v>
      </c>
      <c r="Q898" t="s">
        <v>18</v>
      </c>
      <c r="R898" t="s">
        <v>949</v>
      </c>
      <c r="S898" t="s">
        <v>13</v>
      </c>
      <c r="T898" t="s">
        <v>2815</v>
      </c>
      <c r="U898" t="s">
        <v>2816</v>
      </c>
    </row>
    <row r="899" spans="1:21" x14ac:dyDescent="0.3">
      <c r="A899" s="64">
        <v>46142</v>
      </c>
      <c r="B899" t="s">
        <v>2817</v>
      </c>
      <c r="C899" t="s">
        <v>2818</v>
      </c>
      <c r="E899" t="s">
        <v>19</v>
      </c>
      <c r="F899" t="s">
        <v>261</v>
      </c>
      <c r="G899" t="s">
        <v>110</v>
      </c>
      <c r="H899" t="s">
        <v>2819</v>
      </c>
      <c r="J899">
        <v>33.332423977884467</v>
      </c>
      <c r="K899">
        <v>0.27574093861482329</v>
      </c>
      <c r="L899">
        <v>0</v>
      </c>
      <c r="M899">
        <v>4.8524364757179752</v>
      </c>
      <c r="N899" t="s">
        <v>1</v>
      </c>
      <c r="P899" t="s">
        <v>24</v>
      </c>
      <c r="Q899" t="s">
        <v>22</v>
      </c>
      <c r="R899" t="s">
        <v>1766</v>
      </c>
      <c r="S899" t="s">
        <v>5</v>
      </c>
      <c r="T899" t="s">
        <v>2820</v>
      </c>
      <c r="U899" t="s">
        <v>2821</v>
      </c>
    </row>
    <row r="900" spans="1:21" x14ac:dyDescent="0.3">
      <c r="A900" s="64">
        <v>46142</v>
      </c>
      <c r="B900" t="s">
        <v>295</v>
      </c>
      <c r="C900" t="s">
        <v>2229</v>
      </c>
      <c r="E900" t="s">
        <v>19</v>
      </c>
      <c r="F900" t="s">
        <v>109</v>
      </c>
      <c r="G900" t="s">
        <v>122</v>
      </c>
      <c r="H900" t="s">
        <v>295</v>
      </c>
      <c r="J900">
        <v>5.8059819422215764</v>
      </c>
      <c r="K900">
        <v>5.5651820231137226</v>
      </c>
      <c r="L900">
        <v>4.054311758126544</v>
      </c>
      <c r="M900">
        <v>4.8116666728198076</v>
      </c>
      <c r="N900" t="s">
        <v>145</v>
      </c>
      <c r="P900" t="s">
        <v>19</v>
      </c>
      <c r="Q900" t="s">
        <v>11</v>
      </c>
      <c r="R900" t="s">
        <v>80</v>
      </c>
      <c r="S900" t="s">
        <v>10</v>
      </c>
      <c r="T900" t="s">
        <v>2822</v>
      </c>
      <c r="U900" t="s">
        <v>2823</v>
      </c>
    </row>
    <row r="901" spans="1:21" x14ac:dyDescent="0.3">
      <c r="A901" s="64">
        <v>46142</v>
      </c>
      <c r="B901" t="s">
        <v>2824</v>
      </c>
      <c r="C901" t="s">
        <v>2825</v>
      </c>
      <c r="E901" t="s">
        <v>19</v>
      </c>
      <c r="F901" t="s">
        <v>221</v>
      </c>
      <c r="G901" t="s">
        <v>122</v>
      </c>
      <c r="H901" t="s">
        <v>2826</v>
      </c>
      <c r="J901">
        <v>16.596999935334718</v>
      </c>
      <c r="K901">
        <v>6.9884860647850644</v>
      </c>
      <c r="L901">
        <v>0</v>
      </c>
      <c r="M901">
        <v>4.7161654335180563</v>
      </c>
      <c r="N901" t="s">
        <v>145</v>
      </c>
      <c r="P901" t="s">
        <v>4</v>
      </c>
      <c r="Q901" t="s">
        <v>4</v>
      </c>
      <c r="R901" t="s">
        <v>4</v>
      </c>
      <c r="S901" t="s">
        <v>4</v>
      </c>
      <c r="T901" t="s">
        <v>2827</v>
      </c>
      <c r="U901" t="s">
        <v>2828</v>
      </c>
    </row>
    <row r="902" spans="1:21" x14ac:dyDescent="0.3">
      <c r="A902" s="64">
        <v>46142</v>
      </c>
      <c r="B902" t="s">
        <v>2829</v>
      </c>
      <c r="C902" t="s">
        <v>2830</v>
      </c>
      <c r="E902" t="s">
        <v>19</v>
      </c>
      <c r="F902" t="s">
        <v>109</v>
      </c>
      <c r="G902" t="s">
        <v>68</v>
      </c>
      <c r="H902" t="s">
        <v>1359</v>
      </c>
      <c r="J902">
        <v>2.861607695966172</v>
      </c>
      <c r="K902">
        <v>5.1469194453794662</v>
      </c>
      <c r="L902">
        <v>4.8818570284130818</v>
      </c>
      <c r="M902">
        <v>4.6823501211358511</v>
      </c>
      <c r="N902" t="s">
        <v>1</v>
      </c>
      <c r="P902" t="s">
        <v>19</v>
      </c>
      <c r="Q902" t="s">
        <v>11</v>
      </c>
      <c r="R902" t="s">
        <v>80</v>
      </c>
      <c r="S902" t="s">
        <v>10</v>
      </c>
      <c r="T902" t="s">
        <v>2831</v>
      </c>
      <c r="U902" t="s">
        <v>840</v>
      </c>
    </row>
    <row r="903" spans="1:21" x14ac:dyDescent="0.3">
      <c r="A903" s="64">
        <v>46142</v>
      </c>
      <c r="B903" t="s">
        <v>654</v>
      </c>
      <c r="C903" t="s">
        <v>655</v>
      </c>
      <c r="E903" t="s">
        <v>19</v>
      </c>
      <c r="F903" t="s">
        <v>221</v>
      </c>
      <c r="G903" t="s">
        <v>143</v>
      </c>
      <c r="H903" t="s">
        <v>656</v>
      </c>
      <c r="J903">
        <v>32.730354891119838</v>
      </c>
      <c r="K903">
        <v>0</v>
      </c>
      <c r="L903">
        <v>0</v>
      </c>
      <c r="M903">
        <v>4.6738916522999867</v>
      </c>
      <c r="N903" t="s">
        <v>145</v>
      </c>
      <c r="P903" t="s">
        <v>15</v>
      </c>
      <c r="Q903" t="s">
        <v>15</v>
      </c>
      <c r="R903" t="s">
        <v>15</v>
      </c>
      <c r="S903" t="s">
        <v>15</v>
      </c>
      <c r="T903" t="s">
        <v>2832</v>
      </c>
      <c r="U903" t="s">
        <v>2833</v>
      </c>
    </row>
    <row r="904" spans="1:21" x14ac:dyDescent="0.3">
      <c r="A904" s="64">
        <v>46142</v>
      </c>
      <c r="B904" t="s">
        <v>2834</v>
      </c>
      <c r="C904" t="s">
        <v>2835</v>
      </c>
      <c r="E904" t="s">
        <v>66</v>
      </c>
      <c r="F904" t="s">
        <v>938</v>
      </c>
      <c r="G904" t="s">
        <v>59</v>
      </c>
      <c r="H904" t="s">
        <v>2601</v>
      </c>
      <c r="J904">
        <v>32.729975993016147</v>
      </c>
      <c r="K904">
        <v>0</v>
      </c>
      <c r="L904">
        <v>0</v>
      </c>
      <c r="M904">
        <v>4.6738375456858101</v>
      </c>
      <c r="N904" t="s">
        <v>1</v>
      </c>
      <c r="P904" t="s">
        <v>24</v>
      </c>
      <c r="Q904" t="s">
        <v>22</v>
      </c>
      <c r="R904" t="s">
        <v>1766</v>
      </c>
      <c r="S904" t="s">
        <v>5</v>
      </c>
      <c r="T904" t="s">
        <v>2836</v>
      </c>
      <c r="U904" t="s">
        <v>2837</v>
      </c>
    </row>
    <row r="905" spans="1:21" x14ac:dyDescent="0.3">
      <c r="A905" s="64">
        <v>46142</v>
      </c>
      <c r="B905" t="s">
        <v>2838</v>
      </c>
      <c r="C905" t="s">
        <v>2839</v>
      </c>
      <c r="E905" t="s">
        <v>66</v>
      </c>
      <c r="F905" t="s">
        <v>396</v>
      </c>
      <c r="G905" t="s">
        <v>98</v>
      </c>
      <c r="H905" t="s">
        <v>351</v>
      </c>
      <c r="J905">
        <v>4.318889408454532</v>
      </c>
      <c r="K905">
        <v>1.853573140752981</v>
      </c>
      <c r="L905">
        <v>6.5838704152411971</v>
      </c>
      <c r="M905">
        <v>4.672415982513062</v>
      </c>
      <c r="N905" t="s">
        <v>1</v>
      </c>
      <c r="P905" t="s">
        <v>7</v>
      </c>
      <c r="Q905" t="s">
        <v>11</v>
      </c>
      <c r="R905" t="s">
        <v>70</v>
      </c>
      <c r="S905" t="s">
        <v>10</v>
      </c>
      <c r="T905" t="s">
        <v>2840</v>
      </c>
      <c r="U905" t="s">
        <v>840</v>
      </c>
    </row>
    <row r="906" spans="1:21" x14ac:dyDescent="0.3">
      <c r="A906" s="64">
        <v>46142</v>
      </c>
      <c r="B906" t="s">
        <v>675</v>
      </c>
      <c r="C906" t="s">
        <v>676</v>
      </c>
      <c r="E906" t="s">
        <v>19</v>
      </c>
      <c r="F906" t="s">
        <v>109</v>
      </c>
      <c r="G906" t="s">
        <v>122</v>
      </c>
      <c r="H906" t="s">
        <v>677</v>
      </c>
      <c r="J906">
        <v>0</v>
      </c>
      <c r="K906">
        <v>13.77031120903332</v>
      </c>
      <c r="L906">
        <v>0</v>
      </c>
      <c r="M906">
        <v>4.6228522998690194</v>
      </c>
      <c r="N906" t="s">
        <v>145</v>
      </c>
      <c r="P906" t="s">
        <v>4</v>
      </c>
      <c r="Q906" t="s">
        <v>4</v>
      </c>
      <c r="R906" t="s">
        <v>4</v>
      </c>
      <c r="S906" t="s">
        <v>4</v>
      </c>
      <c r="T906" t="s">
        <v>2841</v>
      </c>
      <c r="U906" t="s">
        <v>2842</v>
      </c>
    </row>
    <row r="907" spans="1:21" x14ac:dyDescent="0.3">
      <c r="A907" s="64">
        <v>46142</v>
      </c>
      <c r="B907" t="s">
        <v>1304</v>
      </c>
      <c r="C907" t="s">
        <v>1305</v>
      </c>
      <c r="E907" t="s">
        <v>19</v>
      </c>
      <c r="F907" t="s">
        <v>820</v>
      </c>
      <c r="G907" t="s">
        <v>110</v>
      </c>
      <c r="H907" t="s">
        <v>1306</v>
      </c>
      <c r="J907">
        <v>0</v>
      </c>
      <c r="K907">
        <v>13.77031120903332</v>
      </c>
      <c r="L907">
        <v>0</v>
      </c>
      <c r="M907">
        <v>4.6228522998690194</v>
      </c>
      <c r="N907" t="s">
        <v>156</v>
      </c>
      <c r="O907" t="s">
        <v>2843</v>
      </c>
      <c r="P907" t="s">
        <v>157</v>
      </c>
      <c r="Q907" t="s">
        <v>157</v>
      </c>
      <c r="R907" t="s">
        <v>2570</v>
      </c>
      <c r="S907" t="s">
        <v>157</v>
      </c>
      <c r="T907" t="s">
        <v>2844</v>
      </c>
      <c r="U907" t="s">
        <v>2845</v>
      </c>
    </row>
    <row r="908" spans="1:21" x14ac:dyDescent="0.3">
      <c r="A908" s="64">
        <v>46142</v>
      </c>
      <c r="B908" t="s">
        <v>929</v>
      </c>
      <c r="C908" t="s">
        <v>930</v>
      </c>
      <c r="E908" t="s">
        <v>66</v>
      </c>
      <c r="F908" t="s">
        <v>193</v>
      </c>
      <c r="G908" t="s">
        <v>200</v>
      </c>
      <c r="H908" t="s">
        <v>931</v>
      </c>
      <c r="J908">
        <v>32.365442490078287</v>
      </c>
      <c r="K908">
        <v>0</v>
      </c>
      <c r="L908">
        <v>0</v>
      </c>
      <c r="M908">
        <v>4.6217821951699758</v>
      </c>
      <c r="N908" t="s">
        <v>1</v>
      </c>
      <c r="P908" t="s">
        <v>24</v>
      </c>
      <c r="Q908" t="s">
        <v>22</v>
      </c>
      <c r="R908" t="s">
        <v>1766</v>
      </c>
      <c r="S908" t="s">
        <v>5</v>
      </c>
      <c r="T908" t="s">
        <v>2846</v>
      </c>
      <c r="U908" t="s">
        <v>2847</v>
      </c>
    </row>
    <row r="909" spans="1:21" x14ac:dyDescent="0.3">
      <c r="A909" s="64">
        <v>46142</v>
      </c>
      <c r="B909" t="s">
        <v>1348</v>
      </c>
      <c r="C909" t="s">
        <v>1349</v>
      </c>
      <c r="E909" t="s">
        <v>66</v>
      </c>
      <c r="F909" t="s">
        <v>67</v>
      </c>
      <c r="G909" t="s">
        <v>355</v>
      </c>
      <c r="H909" t="s">
        <v>356</v>
      </c>
      <c r="J909">
        <v>2.843872522571131</v>
      </c>
      <c r="K909">
        <v>5.0707895998449581</v>
      </c>
      <c r="L909">
        <v>4.1948750949401026</v>
      </c>
      <c r="M909">
        <v>4.2960066546244224</v>
      </c>
      <c r="N909" t="s">
        <v>1</v>
      </c>
      <c r="P909" t="s">
        <v>7</v>
      </c>
      <c r="Q909" t="s">
        <v>11</v>
      </c>
      <c r="R909" t="s">
        <v>70</v>
      </c>
      <c r="S909" t="s">
        <v>10</v>
      </c>
      <c r="T909" t="s">
        <v>2848</v>
      </c>
      <c r="U909" t="s">
        <v>2775</v>
      </c>
    </row>
    <row r="910" spans="1:21" x14ac:dyDescent="0.3">
      <c r="A910" s="64">
        <v>46142</v>
      </c>
      <c r="B910" t="s">
        <v>2849</v>
      </c>
      <c r="C910" t="s">
        <v>2850</v>
      </c>
      <c r="E910" t="s">
        <v>19</v>
      </c>
      <c r="F910" t="s">
        <v>2851</v>
      </c>
      <c r="G910" t="s">
        <v>68</v>
      </c>
      <c r="H910" t="s">
        <v>2852</v>
      </c>
      <c r="J910">
        <v>14.228002691692129</v>
      </c>
      <c r="K910">
        <v>6.0547930883237964</v>
      </c>
      <c r="L910">
        <v>0</v>
      </c>
      <c r="M910">
        <v>4.0644213447281494</v>
      </c>
      <c r="N910" t="s">
        <v>1</v>
      </c>
      <c r="P910" t="s">
        <v>19</v>
      </c>
      <c r="Q910" t="s">
        <v>11</v>
      </c>
      <c r="R910" t="s">
        <v>80</v>
      </c>
      <c r="S910" t="s">
        <v>10</v>
      </c>
      <c r="T910" t="s">
        <v>2853</v>
      </c>
      <c r="U910" t="s">
        <v>2854</v>
      </c>
    </row>
    <row r="911" spans="1:21" x14ac:dyDescent="0.3">
      <c r="A911" s="64">
        <v>46142</v>
      </c>
      <c r="B911" t="s">
        <v>2855</v>
      </c>
      <c r="C911" t="s">
        <v>2856</v>
      </c>
      <c r="E911" t="s">
        <v>19</v>
      </c>
      <c r="F911" t="s">
        <v>109</v>
      </c>
      <c r="G911" t="s">
        <v>68</v>
      </c>
      <c r="H911" t="s">
        <v>69</v>
      </c>
      <c r="J911">
        <v>0.66681754053611186</v>
      </c>
      <c r="K911">
        <v>0.27827503901588241</v>
      </c>
      <c r="L911">
        <v>7.1010819341296267</v>
      </c>
      <c r="M911">
        <v>3.8917746045606441</v>
      </c>
      <c r="N911" t="s">
        <v>1</v>
      </c>
      <c r="P911" t="s">
        <v>24</v>
      </c>
      <c r="Q911" t="s">
        <v>22</v>
      </c>
      <c r="R911" t="s">
        <v>1766</v>
      </c>
      <c r="S911" t="s">
        <v>5</v>
      </c>
      <c r="T911" t="s">
        <v>2857</v>
      </c>
    </row>
    <row r="912" spans="1:21" x14ac:dyDescent="0.3">
      <c r="A912" s="64">
        <v>46142</v>
      </c>
      <c r="B912" t="s">
        <v>2080</v>
      </c>
      <c r="C912" t="s">
        <v>2081</v>
      </c>
      <c r="E912" t="s">
        <v>66</v>
      </c>
      <c r="F912" t="s">
        <v>137</v>
      </c>
      <c r="G912" t="s">
        <v>110</v>
      </c>
      <c r="H912" t="s">
        <v>111</v>
      </c>
      <c r="J912">
        <v>2.6265542006882252</v>
      </c>
      <c r="K912">
        <v>2.2796452699831011</v>
      </c>
      <c r="L912">
        <v>5.0077826260158869</v>
      </c>
      <c r="M912">
        <v>3.7518762502389902</v>
      </c>
      <c r="N912" t="s">
        <v>1</v>
      </c>
      <c r="P912" t="s">
        <v>24</v>
      </c>
      <c r="Q912" t="s">
        <v>22</v>
      </c>
      <c r="R912" t="s">
        <v>1766</v>
      </c>
      <c r="S912" t="s">
        <v>5</v>
      </c>
      <c r="T912" t="s">
        <v>2858</v>
      </c>
    </row>
    <row r="913" spans="1:21" x14ac:dyDescent="0.3">
      <c r="A913" s="64">
        <v>46142</v>
      </c>
      <c r="B913" t="s">
        <v>2859</v>
      </c>
      <c r="C913" t="s">
        <v>2860</v>
      </c>
      <c r="E913" t="s">
        <v>19</v>
      </c>
      <c r="F913" t="s">
        <v>109</v>
      </c>
      <c r="G913" t="s">
        <v>59</v>
      </c>
      <c r="H913" t="s">
        <v>60</v>
      </c>
      <c r="J913">
        <v>23.265799791374409</v>
      </c>
      <c r="K913">
        <v>0.2133548218189725</v>
      </c>
      <c r="L913">
        <v>0.66776135067754927</v>
      </c>
      <c r="M913">
        <v>3.7422096377909622</v>
      </c>
      <c r="N913" t="s">
        <v>1</v>
      </c>
      <c r="P913" t="s">
        <v>24</v>
      </c>
      <c r="Q913" t="s">
        <v>22</v>
      </c>
      <c r="R913" t="s">
        <v>1766</v>
      </c>
      <c r="S913" t="s">
        <v>5</v>
      </c>
      <c r="T913" t="s">
        <v>2861</v>
      </c>
      <c r="U913" t="s">
        <v>2862</v>
      </c>
    </row>
    <row r="914" spans="1:21" x14ac:dyDescent="0.3">
      <c r="A914" s="64">
        <v>46142</v>
      </c>
      <c r="B914" t="s">
        <v>2863</v>
      </c>
      <c r="C914" t="s">
        <v>2864</v>
      </c>
      <c r="E914" t="s">
        <v>19</v>
      </c>
      <c r="F914" t="s">
        <v>109</v>
      </c>
      <c r="G914" t="s">
        <v>181</v>
      </c>
      <c r="H914" t="s">
        <v>2863</v>
      </c>
      <c r="J914">
        <v>3.3599420841618568</v>
      </c>
      <c r="K914">
        <v>6.2587976988279941</v>
      </c>
      <c r="L914">
        <v>1.699379961783188</v>
      </c>
      <c r="M914">
        <v>3.4671572020534911</v>
      </c>
      <c r="N914" t="s">
        <v>1</v>
      </c>
      <c r="P914" t="s">
        <v>19</v>
      </c>
      <c r="Q914" t="s">
        <v>11</v>
      </c>
      <c r="R914" t="s">
        <v>80</v>
      </c>
      <c r="S914" t="s">
        <v>10</v>
      </c>
      <c r="T914" t="s">
        <v>2865</v>
      </c>
      <c r="U914" t="s">
        <v>840</v>
      </c>
    </row>
    <row r="915" spans="1:21" x14ac:dyDescent="0.3">
      <c r="A915" s="64">
        <v>46142</v>
      </c>
      <c r="B915" t="s">
        <v>2866</v>
      </c>
      <c r="C915" t="s">
        <v>2867</v>
      </c>
      <c r="E915" t="s">
        <v>19</v>
      </c>
      <c r="F915" t="s">
        <v>820</v>
      </c>
      <c r="G915" t="s">
        <v>122</v>
      </c>
      <c r="H915" t="s">
        <v>2866</v>
      </c>
      <c r="J915">
        <v>0.16545217194496981</v>
      </c>
      <c r="K915">
        <v>9.9162709827242104</v>
      </c>
      <c r="L915">
        <v>0</v>
      </c>
      <c r="M915">
        <v>3.3526330981900561</v>
      </c>
      <c r="N915" t="s">
        <v>145</v>
      </c>
      <c r="P915" t="s">
        <v>24</v>
      </c>
      <c r="Q915" t="s">
        <v>22</v>
      </c>
      <c r="R915" t="s">
        <v>1766</v>
      </c>
      <c r="S915" t="s">
        <v>5</v>
      </c>
      <c r="T915" t="s">
        <v>2868</v>
      </c>
      <c r="U915" t="s">
        <v>2869</v>
      </c>
    </row>
    <row r="916" spans="1:21" x14ac:dyDescent="0.3">
      <c r="A916" s="64">
        <v>46142</v>
      </c>
      <c r="B916" t="s">
        <v>1327</v>
      </c>
      <c r="C916" t="s">
        <v>1328</v>
      </c>
      <c r="E916" t="s">
        <v>19</v>
      </c>
      <c r="F916" t="s">
        <v>820</v>
      </c>
      <c r="G916" t="s">
        <v>143</v>
      </c>
      <c r="H916" t="s">
        <v>1329</v>
      </c>
      <c r="J916">
        <v>10.227470213557069</v>
      </c>
      <c r="K916">
        <v>4.3709454758846844</v>
      </c>
      <c r="L916">
        <v>0.68157828208209381</v>
      </c>
      <c r="M916">
        <v>3.2832938874933251</v>
      </c>
      <c r="N916" t="s">
        <v>145</v>
      </c>
      <c r="P916" t="s">
        <v>12</v>
      </c>
      <c r="Q916" t="s">
        <v>14</v>
      </c>
      <c r="R916" t="s">
        <v>146</v>
      </c>
      <c r="S916" t="s">
        <v>5</v>
      </c>
      <c r="T916" t="s">
        <v>2870</v>
      </c>
      <c r="U916" t="s">
        <v>2871</v>
      </c>
    </row>
    <row r="917" spans="1:21" x14ac:dyDescent="0.3">
      <c r="A917" s="64">
        <v>46142</v>
      </c>
      <c r="B917" t="s">
        <v>2872</v>
      </c>
      <c r="C917" t="s">
        <v>2873</v>
      </c>
      <c r="E917" t="s">
        <v>19</v>
      </c>
      <c r="F917" t="s">
        <v>109</v>
      </c>
      <c r="G917" t="s">
        <v>143</v>
      </c>
      <c r="H917" t="s">
        <v>2872</v>
      </c>
      <c r="J917">
        <v>11.459794611704609</v>
      </c>
      <c r="K917">
        <v>4.4647259028054034</v>
      </c>
      <c r="L917">
        <v>0</v>
      </c>
      <c r="M917">
        <v>3.1353175928066128</v>
      </c>
      <c r="N917" t="s">
        <v>145</v>
      </c>
      <c r="P917" t="s">
        <v>19</v>
      </c>
      <c r="Q917" t="s">
        <v>11</v>
      </c>
      <c r="R917" t="s">
        <v>80</v>
      </c>
      <c r="S917" t="s">
        <v>10</v>
      </c>
      <c r="T917" t="s">
        <v>2874</v>
      </c>
      <c r="U917" t="s">
        <v>2775</v>
      </c>
    </row>
    <row r="918" spans="1:21" x14ac:dyDescent="0.3">
      <c r="A918" s="64">
        <v>46142</v>
      </c>
      <c r="B918" t="s">
        <v>554</v>
      </c>
      <c r="C918" t="s">
        <v>555</v>
      </c>
      <c r="E918" t="s">
        <v>66</v>
      </c>
      <c r="F918" t="s">
        <v>233</v>
      </c>
      <c r="G918" t="s">
        <v>68</v>
      </c>
      <c r="H918" t="s">
        <v>554</v>
      </c>
      <c r="J918">
        <v>10.90999199767205</v>
      </c>
      <c r="K918">
        <v>4.5901037363444406</v>
      </c>
      <c r="L918">
        <v>0</v>
      </c>
      <c r="M918">
        <v>3.0988966151849429</v>
      </c>
      <c r="N918" t="s">
        <v>1</v>
      </c>
      <c r="P918" t="s">
        <v>4</v>
      </c>
      <c r="Q918" t="s">
        <v>4</v>
      </c>
      <c r="R918" t="s">
        <v>4</v>
      </c>
      <c r="S918" t="s">
        <v>4</v>
      </c>
      <c r="T918" t="s">
        <v>2875</v>
      </c>
      <c r="U918" t="s">
        <v>2876</v>
      </c>
    </row>
    <row r="919" spans="1:21" x14ac:dyDescent="0.3">
      <c r="A919" s="64">
        <v>46142</v>
      </c>
      <c r="B919" t="s">
        <v>2877</v>
      </c>
      <c r="C919" t="s">
        <v>2878</v>
      </c>
      <c r="E919" t="s">
        <v>66</v>
      </c>
      <c r="F919" t="s">
        <v>103</v>
      </c>
      <c r="G919" t="s">
        <v>355</v>
      </c>
      <c r="H919" t="s">
        <v>356</v>
      </c>
      <c r="J919">
        <v>0</v>
      </c>
      <c r="K919">
        <v>9.1802074726888829</v>
      </c>
      <c r="L919">
        <v>0</v>
      </c>
      <c r="M919">
        <v>3.0819015332460129</v>
      </c>
      <c r="N919" t="s">
        <v>1</v>
      </c>
      <c r="P919" t="s">
        <v>4</v>
      </c>
      <c r="Q919" t="s">
        <v>4</v>
      </c>
      <c r="R919" t="s">
        <v>4</v>
      </c>
      <c r="S919" t="s">
        <v>4</v>
      </c>
      <c r="T919" t="s">
        <v>2879</v>
      </c>
      <c r="U919" t="s">
        <v>2880</v>
      </c>
    </row>
    <row r="920" spans="1:21" x14ac:dyDescent="0.3">
      <c r="A920" s="64">
        <v>46142</v>
      </c>
      <c r="B920" t="s">
        <v>236</v>
      </c>
      <c r="C920" t="s">
        <v>237</v>
      </c>
      <c r="E920" t="s">
        <v>66</v>
      </c>
      <c r="F920" t="s">
        <v>103</v>
      </c>
      <c r="G920" t="s">
        <v>59</v>
      </c>
      <c r="H920" t="s">
        <v>60</v>
      </c>
      <c r="J920">
        <v>2.640792297639174</v>
      </c>
      <c r="K920">
        <v>2.3492405928373992</v>
      </c>
      <c r="L920">
        <v>3.5677779309952351</v>
      </c>
      <c r="M920">
        <v>3.0263274292090081</v>
      </c>
      <c r="N920" t="s">
        <v>2570</v>
      </c>
      <c r="O920" t="s">
        <v>2843</v>
      </c>
      <c r="P920" t="s">
        <v>157</v>
      </c>
      <c r="Q920" t="s">
        <v>157</v>
      </c>
      <c r="R920" t="s">
        <v>2570</v>
      </c>
      <c r="S920" t="s">
        <v>157</v>
      </c>
      <c r="T920" t="s">
        <v>2881</v>
      </c>
      <c r="U920" t="s">
        <v>2882</v>
      </c>
    </row>
    <row r="921" spans="1:21" x14ac:dyDescent="0.3">
      <c r="A921" s="64">
        <v>46142</v>
      </c>
      <c r="B921" t="s">
        <v>2883</v>
      </c>
      <c r="C921" t="s">
        <v>2884</v>
      </c>
      <c r="E921" t="s">
        <v>66</v>
      </c>
      <c r="F921" t="s">
        <v>67</v>
      </c>
      <c r="G921" t="s">
        <v>355</v>
      </c>
      <c r="H921" t="s">
        <v>1573</v>
      </c>
      <c r="J921">
        <v>1.734799707444576</v>
      </c>
      <c r="K921">
        <v>3.2440983166219559</v>
      </c>
      <c r="L921">
        <v>3.2319307369540788</v>
      </c>
      <c r="M921">
        <v>3.0222253611960048</v>
      </c>
      <c r="N921" t="s">
        <v>1</v>
      </c>
      <c r="P921" t="s">
        <v>7</v>
      </c>
      <c r="Q921" t="s">
        <v>11</v>
      </c>
      <c r="R921" t="s">
        <v>70</v>
      </c>
      <c r="S921" t="s">
        <v>10</v>
      </c>
      <c r="T921" t="s">
        <v>2885</v>
      </c>
      <c r="U921" t="s">
        <v>2886</v>
      </c>
    </row>
    <row r="922" spans="1:21" x14ac:dyDescent="0.3">
      <c r="A922" s="64">
        <v>46142</v>
      </c>
      <c r="B922" t="s">
        <v>2887</v>
      </c>
      <c r="C922" t="s">
        <v>2888</v>
      </c>
      <c r="E922" t="s">
        <v>19</v>
      </c>
      <c r="F922" t="s">
        <v>109</v>
      </c>
      <c r="G922" t="s">
        <v>122</v>
      </c>
      <c r="H922" t="s">
        <v>123</v>
      </c>
      <c r="J922">
        <v>2.08575630772674</v>
      </c>
      <c r="K922">
        <v>2.663694574497383</v>
      </c>
      <c r="L922">
        <v>3.3470148314498518</v>
      </c>
      <c r="M922">
        <v>2.9375087391883752</v>
      </c>
      <c r="N922" t="s">
        <v>1</v>
      </c>
      <c r="P922" t="s">
        <v>24</v>
      </c>
      <c r="Q922" t="s">
        <v>22</v>
      </c>
      <c r="R922" t="s">
        <v>1766</v>
      </c>
      <c r="S922" t="s">
        <v>5</v>
      </c>
      <c r="T922" t="s">
        <v>2889</v>
      </c>
    </row>
    <row r="923" spans="1:21" x14ac:dyDescent="0.3">
      <c r="A923" s="64">
        <v>46142</v>
      </c>
      <c r="B923" t="s">
        <v>2890</v>
      </c>
      <c r="C923" t="s">
        <v>2891</v>
      </c>
      <c r="E923" t="s">
        <v>19</v>
      </c>
      <c r="F923" t="s">
        <v>221</v>
      </c>
      <c r="G923" t="s">
        <v>200</v>
      </c>
      <c r="H923" t="s">
        <v>2890</v>
      </c>
      <c r="J923">
        <v>2.4807721842313719</v>
      </c>
      <c r="K923">
        <v>7.6631966911320051</v>
      </c>
      <c r="L923">
        <v>0</v>
      </c>
      <c r="M923">
        <v>2.9268775551933741</v>
      </c>
      <c r="N923" t="s">
        <v>1</v>
      </c>
      <c r="P923" t="s">
        <v>24</v>
      </c>
      <c r="Q923" t="s">
        <v>22</v>
      </c>
      <c r="R923" t="s">
        <v>1766</v>
      </c>
      <c r="S923" t="s">
        <v>5</v>
      </c>
      <c r="T923" t="s">
        <v>2892</v>
      </c>
    </row>
    <row r="924" spans="1:21" x14ac:dyDescent="0.3">
      <c r="A924" s="64">
        <v>46142</v>
      </c>
      <c r="B924" t="s">
        <v>2893</v>
      </c>
      <c r="C924" t="s">
        <v>2894</v>
      </c>
      <c r="E924" t="s">
        <v>19</v>
      </c>
      <c r="F924" t="s">
        <v>109</v>
      </c>
      <c r="G924" t="s">
        <v>68</v>
      </c>
      <c r="H924" t="s">
        <v>69</v>
      </c>
      <c r="J924">
        <v>1.408197746683773</v>
      </c>
      <c r="K924">
        <v>1.2803414357164471</v>
      </c>
      <c r="L924">
        <v>4.3725115843341733</v>
      </c>
      <c r="M924">
        <v>2.9111306583569481</v>
      </c>
      <c r="N924" t="s">
        <v>1</v>
      </c>
      <c r="P924" t="s">
        <v>19</v>
      </c>
      <c r="Q924" t="s">
        <v>11</v>
      </c>
      <c r="R924" t="s">
        <v>80</v>
      </c>
      <c r="S924" t="s">
        <v>10</v>
      </c>
      <c r="T924" t="s">
        <v>2895</v>
      </c>
      <c r="U924" t="s">
        <v>840</v>
      </c>
    </row>
    <row r="925" spans="1:21" x14ac:dyDescent="0.3">
      <c r="A925" s="64">
        <v>46142</v>
      </c>
      <c r="B925" t="s">
        <v>2896</v>
      </c>
      <c r="C925" t="s">
        <v>2897</v>
      </c>
      <c r="E925" t="s">
        <v>66</v>
      </c>
      <c r="F925" t="s">
        <v>938</v>
      </c>
      <c r="G925" t="s">
        <v>200</v>
      </c>
      <c r="H925" t="s">
        <v>631</v>
      </c>
      <c r="J925">
        <v>4.4238017017773137</v>
      </c>
      <c r="K925">
        <v>5.6587372624621306</v>
      </c>
      <c r="L925">
        <v>0.69477960763198032</v>
      </c>
      <c r="M925">
        <v>2.893741456997486</v>
      </c>
      <c r="N925" t="s">
        <v>1</v>
      </c>
      <c r="P925" t="s">
        <v>7</v>
      </c>
      <c r="Q925" t="s">
        <v>11</v>
      </c>
      <c r="R925" t="s">
        <v>70</v>
      </c>
      <c r="S925" t="s">
        <v>10</v>
      </c>
      <c r="T925" t="s">
        <v>2898</v>
      </c>
      <c r="U925" t="s">
        <v>2899</v>
      </c>
    </row>
    <row r="926" spans="1:21" x14ac:dyDescent="0.3">
      <c r="A926" s="64">
        <v>46142</v>
      </c>
      <c r="B926" t="s">
        <v>2900</v>
      </c>
      <c r="C926" t="s">
        <v>2901</v>
      </c>
      <c r="E926" t="s">
        <v>1115</v>
      </c>
      <c r="G926" t="s">
        <v>59</v>
      </c>
      <c r="H926" t="s">
        <v>60</v>
      </c>
      <c r="J926">
        <v>1.628638458248904</v>
      </c>
      <c r="K926">
        <v>1.761771066026091</v>
      </c>
      <c r="L926">
        <v>3.784026587606458</v>
      </c>
      <c r="M926">
        <v>2.7973428586919611</v>
      </c>
      <c r="N926" t="s">
        <v>1</v>
      </c>
      <c r="P926" t="s">
        <v>23</v>
      </c>
      <c r="Q926" t="s">
        <v>11</v>
      </c>
      <c r="R926" t="s">
        <v>1116</v>
      </c>
      <c r="S926" t="s">
        <v>10</v>
      </c>
      <c r="T926" t="s">
        <v>2902</v>
      </c>
      <c r="U926" t="s">
        <v>2903</v>
      </c>
    </row>
    <row r="927" spans="1:21" x14ac:dyDescent="0.3">
      <c r="A927" s="64">
        <v>46142</v>
      </c>
      <c r="B927" t="s">
        <v>2904</v>
      </c>
      <c r="C927" t="s">
        <v>2905</v>
      </c>
      <c r="E927" t="s">
        <v>19</v>
      </c>
      <c r="F927" t="s">
        <v>109</v>
      </c>
      <c r="G927" t="s">
        <v>98</v>
      </c>
      <c r="H927" t="s">
        <v>351</v>
      </c>
      <c r="J927">
        <v>1.80486613191372</v>
      </c>
      <c r="K927">
        <v>3.0664443016412162</v>
      </c>
      <c r="L927">
        <v>2.483354017690051</v>
      </c>
      <c r="M927">
        <v>2.582216144027532</v>
      </c>
      <c r="N927" t="s">
        <v>1</v>
      </c>
      <c r="P927" t="s">
        <v>16</v>
      </c>
      <c r="Q927" t="s">
        <v>22</v>
      </c>
      <c r="R927" t="s">
        <v>172</v>
      </c>
      <c r="S927" t="s">
        <v>5</v>
      </c>
      <c r="T927" t="s">
        <v>2906</v>
      </c>
      <c r="U927" t="s">
        <v>2907</v>
      </c>
    </row>
    <row r="928" spans="1:21" x14ac:dyDescent="0.3">
      <c r="A928" s="64">
        <v>46142</v>
      </c>
      <c r="B928" t="s">
        <v>2908</v>
      </c>
      <c r="C928" t="s">
        <v>2909</v>
      </c>
      <c r="E928" t="s">
        <v>19</v>
      </c>
      <c r="F928" t="s">
        <v>109</v>
      </c>
      <c r="G928" t="s">
        <v>59</v>
      </c>
      <c r="H928" t="s">
        <v>60</v>
      </c>
      <c r="J928">
        <v>1.6373811493591359</v>
      </c>
      <c r="K928">
        <v>1.4541703642502311</v>
      </c>
      <c r="L928">
        <v>3.32427161515277</v>
      </c>
      <c r="M928">
        <v>2.455569252895704</v>
      </c>
      <c r="N928" t="s">
        <v>1</v>
      </c>
      <c r="P928" t="s">
        <v>19</v>
      </c>
      <c r="Q928" t="s">
        <v>11</v>
      </c>
      <c r="R928" t="s">
        <v>80</v>
      </c>
      <c r="S928" t="s">
        <v>10</v>
      </c>
      <c r="T928" t="s">
        <v>2910</v>
      </c>
      <c r="U928" t="s">
        <v>2911</v>
      </c>
    </row>
    <row r="929" spans="1:21" x14ac:dyDescent="0.3">
      <c r="A929" s="64">
        <v>46142</v>
      </c>
      <c r="B929" t="s">
        <v>2912</v>
      </c>
      <c r="C929" t="s">
        <v>2913</v>
      </c>
      <c r="E929" t="s">
        <v>19</v>
      </c>
      <c r="F929" t="s">
        <v>261</v>
      </c>
      <c r="G929" t="s">
        <v>98</v>
      </c>
      <c r="H929" t="s">
        <v>2912</v>
      </c>
      <c r="J929">
        <v>1.2112374055289781</v>
      </c>
      <c r="K929">
        <v>6.4773057621102232</v>
      </c>
      <c r="L929">
        <v>0</v>
      </c>
      <c r="M929">
        <v>2.347470843213967</v>
      </c>
      <c r="N929" t="s">
        <v>1</v>
      </c>
      <c r="P929" t="s">
        <v>15</v>
      </c>
      <c r="Q929" t="s">
        <v>15</v>
      </c>
      <c r="R929" t="s">
        <v>15</v>
      </c>
      <c r="S929" t="s">
        <v>15</v>
      </c>
      <c r="T929" t="s">
        <v>2914</v>
      </c>
      <c r="U929" t="s">
        <v>2915</v>
      </c>
    </row>
    <row r="930" spans="1:21" x14ac:dyDescent="0.3">
      <c r="A930" s="64">
        <v>46142</v>
      </c>
      <c r="B930" t="s">
        <v>2916</v>
      </c>
      <c r="C930" t="s">
        <v>2917</v>
      </c>
      <c r="E930" t="s">
        <v>19</v>
      </c>
      <c r="F930" t="s">
        <v>221</v>
      </c>
      <c r="G930" t="s">
        <v>122</v>
      </c>
      <c r="H930" t="s">
        <v>2916</v>
      </c>
      <c r="J930">
        <v>8.1181444703105559</v>
      </c>
      <c r="K930">
        <v>3.5238608892560972</v>
      </c>
      <c r="L930">
        <v>0</v>
      </c>
      <c r="M930">
        <v>2.3422710245735612</v>
      </c>
      <c r="N930" t="s">
        <v>145</v>
      </c>
      <c r="P930" t="s">
        <v>24</v>
      </c>
      <c r="Q930" t="s">
        <v>22</v>
      </c>
      <c r="R930" t="s">
        <v>1766</v>
      </c>
      <c r="S930" t="s">
        <v>5</v>
      </c>
      <c r="T930" t="s">
        <v>2918</v>
      </c>
    </row>
    <row r="931" spans="1:21" x14ac:dyDescent="0.3">
      <c r="A931" s="64">
        <v>46142</v>
      </c>
      <c r="B931" t="s">
        <v>107</v>
      </c>
      <c r="C931" t="s">
        <v>108</v>
      </c>
      <c r="E931" t="s">
        <v>19</v>
      </c>
      <c r="F931" t="s">
        <v>109</v>
      </c>
      <c r="G931" t="s">
        <v>110</v>
      </c>
      <c r="H931" t="s">
        <v>111</v>
      </c>
      <c r="J931">
        <v>0.1592418737935086</v>
      </c>
      <c r="K931">
        <v>4.695824875642189</v>
      </c>
      <c r="L931">
        <v>1.11578561156748</v>
      </c>
      <c r="M931">
        <v>2.1810517274343448</v>
      </c>
      <c r="N931" t="s">
        <v>1</v>
      </c>
      <c r="P931" t="s">
        <v>19</v>
      </c>
      <c r="Q931" t="s">
        <v>11</v>
      </c>
      <c r="R931" t="s">
        <v>80</v>
      </c>
      <c r="S931" t="s">
        <v>10</v>
      </c>
      <c r="T931" t="s">
        <v>2919</v>
      </c>
      <c r="U931" t="s">
        <v>2920</v>
      </c>
    </row>
    <row r="932" spans="1:21" x14ac:dyDescent="0.3">
      <c r="A932" s="64">
        <v>46142</v>
      </c>
      <c r="B932" t="s">
        <v>2351</v>
      </c>
      <c r="C932" t="s">
        <v>2352</v>
      </c>
      <c r="E932" t="s">
        <v>19</v>
      </c>
      <c r="F932" t="s">
        <v>109</v>
      </c>
      <c r="G932" t="s">
        <v>68</v>
      </c>
      <c r="H932" t="s">
        <v>69</v>
      </c>
      <c r="J932">
        <v>0.89650052556063131</v>
      </c>
      <c r="K932">
        <v>0.82111855727939542</v>
      </c>
      <c r="L932">
        <v>3.388328824362453</v>
      </c>
      <c r="M932">
        <v>2.170653876775305</v>
      </c>
      <c r="N932" t="s">
        <v>1</v>
      </c>
      <c r="P932" t="s">
        <v>19</v>
      </c>
      <c r="Q932" t="s">
        <v>11</v>
      </c>
      <c r="R932" t="s">
        <v>80</v>
      </c>
      <c r="S932" t="s">
        <v>10</v>
      </c>
      <c r="T932" t="s">
        <v>2921</v>
      </c>
      <c r="U932" t="s">
        <v>2922</v>
      </c>
    </row>
    <row r="933" spans="1:21" x14ac:dyDescent="0.3">
      <c r="A933" s="64">
        <v>46142</v>
      </c>
      <c r="B933" t="s">
        <v>1505</v>
      </c>
      <c r="C933" t="s">
        <v>1506</v>
      </c>
      <c r="E933" t="s">
        <v>19</v>
      </c>
      <c r="F933" t="s">
        <v>58</v>
      </c>
      <c r="G933" t="s">
        <v>68</v>
      </c>
      <c r="H933" t="s">
        <v>69</v>
      </c>
      <c r="J933">
        <v>0.7689821309385354</v>
      </c>
      <c r="K933">
        <v>0.76501728939074032</v>
      </c>
      <c r="L933">
        <v>3.3420215839620742</v>
      </c>
      <c r="M933">
        <v>2.109461723068319</v>
      </c>
      <c r="N933" t="s">
        <v>1</v>
      </c>
      <c r="P933" t="s">
        <v>21</v>
      </c>
      <c r="Q933" t="s">
        <v>11</v>
      </c>
      <c r="R933" t="s">
        <v>61</v>
      </c>
      <c r="S933" t="s">
        <v>10</v>
      </c>
      <c r="T933" t="s">
        <v>2923</v>
      </c>
      <c r="U933" t="s">
        <v>2924</v>
      </c>
    </row>
    <row r="934" spans="1:21" x14ac:dyDescent="0.3">
      <c r="A934" s="64">
        <v>46142</v>
      </c>
      <c r="B934" t="s">
        <v>2925</v>
      </c>
      <c r="C934" t="s">
        <v>2926</v>
      </c>
      <c r="E934" t="s">
        <v>66</v>
      </c>
      <c r="F934" t="s">
        <v>103</v>
      </c>
      <c r="G934" t="s">
        <v>68</v>
      </c>
      <c r="H934" t="s">
        <v>69</v>
      </c>
      <c r="J934">
        <v>0.74537686494090938</v>
      </c>
      <c r="K934">
        <v>0.67300270986124222</v>
      </c>
      <c r="L934">
        <v>3.0369204823285578</v>
      </c>
      <c r="M934">
        <v>1.9160938039511131</v>
      </c>
      <c r="N934" t="s">
        <v>1</v>
      </c>
      <c r="P934" t="s">
        <v>24</v>
      </c>
      <c r="Q934" t="s">
        <v>22</v>
      </c>
      <c r="R934" t="s">
        <v>1766</v>
      </c>
      <c r="S934" t="s">
        <v>5</v>
      </c>
      <c r="T934" t="s">
        <v>2927</v>
      </c>
    </row>
    <row r="935" spans="1:21" x14ac:dyDescent="0.3">
      <c r="A935" s="64">
        <v>46142</v>
      </c>
      <c r="B935" t="s">
        <v>2928</v>
      </c>
      <c r="C935" t="s">
        <v>2929</v>
      </c>
      <c r="E935" t="s">
        <v>66</v>
      </c>
      <c r="F935" t="s">
        <v>233</v>
      </c>
      <c r="G935" t="s">
        <v>59</v>
      </c>
      <c r="H935" t="s">
        <v>2908</v>
      </c>
      <c r="J935">
        <v>1.6421271816761189</v>
      </c>
      <c r="K935">
        <v>1.3952002815263631</v>
      </c>
      <c r="L935">
        <v>2.2531174280479882</v>
      </c>
      <c r="M935">
        <v>1.8778553960386151</v>
      </c>
      <c r="N935" t="s">
        <v>1</v>
      </c>
      <c r="P935" t="s">
        <v>7</v>
      </c>
      <c r="Q935" t="s">
        <v>11</v>
      </c>
      <c r="R935" t="s">
        <v>70</v>
      </c>
      <c r="S935" t="s">
        <v>10</v>
      </c>
      <c r="T935" t="s">
        <v>2930</v>
      </c>
      <c r="U935" t="s">
        <v>2931</v>
      </c>
    </row>
    <row r="936" spans="1:21" x14ac:dyDescent="0.3">
      <c r="A936" s="64">
        <v>46142</v>
      </c>
      <c r="B936" t="s">
        <v>2932</v>
      </c>
      <c r="C936" t="s">
        <v>2933</v>
      </c>
      <c r="E936" t="s">
        <v>66</v>
      </c>
      <c r="F936" t="s">
        <v>193</v>
      </c>
      <c r="G936" t="s">
        <v>59</v>
      </c>
      <c r="H936" t="s">
        <v>2934</v>
      </c>
      <c r="J936">
        <v>1.610029015742839</v>
      </c>
      <c r="K936">
        <v>1.368105919193775</v>
      </c>
      <c r="L936">
        <v>2.2103328211492621</v>
      </c>
      <c r="M936">
        <v>1.8418642079941101</v>
      </c>
      <c r="N936" t="s">
        <v>1</v>
      </c>
      <c r="P936" t="s">
        <v>7</v>
      </c>
      <c r="Q936" t="s">
        <v>11</v>
      </c>
      <c r="R936" t="s">
        <v>70</v>
      </c>
      <c r="S936" t="s">
        <v>10</v>
      </c>
      <c r="T936" t="s">
        <v>2935</v>
      </c>
      <c r="U936" t="s">
        <v>840</v>
      </c>
    </row>
    <row r="937" spans="1:21" x14ac:dyDescent="0.3">
      <c r="A937" s="64">
        <v>46142</v>
      </c>
      <c r="B937" t="s">
        <v>2936</v>
      </c>
      <c r="C937" t="s">
        <v>2937</v>
      </c>
      <c r="E937" t="s">
        <v>19</v>
      </c>
      <c r="F937" t="s">
        <v>109</v>
      </c>
      <c r="G937" t="s">
        <v>59</v>
      </c>
      <c r="H937" t="s">
        <v>60</v>
      </c>
      <c r="J937">
        <v>1.173269146993114</v>
      </c>
      <c r="K937">
        <v>1.254415849798205</v>
      </c>
      <c r="L937">
        <v>2.308521954967202</v>
      </c>
      <c r="M937">
        <v>1.7925323813681939</v>
      </c>
      <c r="N937" t="s">
        <v>1</v>
      </c>
      <c r="P937" t="s">
        <v>19</v>
      </c>
      <c r="Q937" t="s">
        <v>11</v>
      </c>
      <c r="R937" t="s">
        <v>80</v>
      </c>
      <c r="S937" t="s">
        <v>10</v>
      </c>
      <c r="T937" t="s">
        <v>2938</v>
      </c>
      <c r="U937" t="s">
        <v>840</v>
      </c>
    </row>
    <row r="938" spans="1:21" x14ac:dyDescent="0.3">
      <c r="A938" s="64">
        <v>46142</v>
      </c>
      <c r="B938" t="s">
        <v>1443</v>
      </c>
      <c r="C938" t="s">
        <v>1444</v>
      </c>
      <c r="E938" t="s">
        <v>66</v>
      </c>
      <c r="F938" t="s">
        <v>233</v>
      </c>
      <c r="G938" t="s">
        <v>122</v>
      </c>
      <c r="H938" t="s">
        <v>1443</v>
      </c>
      <c r="J938">
        <v>2.6541812163538481</v>
      </c>
      <c r="K938">
        <v>3.9909995715903182</v>
      </c>
      <c r="L938">
        <v>0</v>
      </c>
      <c r="M938">
        <v>1.718841420735308</v>
      </c>
      <c r="N938" t="s">
        <v>145</v>
      </c>
      <c r="P938" t="s">
        <v>24</v>
      </c>
      <c r="Q938" t="s">
        <v>22</v>
      </c>
      <c r="R938" t="s">
        <v>1766</v>
      </c>
      <c r="S938" t="s">
        <v>5</v>
      </c>
      <c r="T938" t="s">
        <v>2939</v>
      </c>
      <c r="U938" t="s">
        <v>2869</v>
      </c>
    </row>
    <row r="939" spans="1:21" x14ac:dyDescent="0.3">
      <c r="A939" s="64">
        <v>46142</v>
      </c>
      <c r="B939" t="s">
        <v>2940</v>
      </c>
      <c r="C939" t="s">
        <v>2941</v>
      </c>
      <c r="E939" t="s">
        <v>19</v>
      </c>
      <c r="F939" t="s">
        <v>109</v>
      </c>
      <c r="G939" t="s">
        <v>143</v>
      </c>
      <c r="H939" t="s">
        <v>290</v>
      </c>
      <c r="J939">
        <v>2.237504446282907</v>
      </c>
      <c r="K939">
        <v>2.0498744521626189</v>
      </c>
      <c r="L939">
        <v>1.353648873742249</v>
      </c>
      <c r="M939">
        <v>1.7135943247353991</v>
      </c>
      <c r="N939" t="s">
        <v>1</v>
      </c>
      <c r="P939" t="s">
        <v>19</v>
      </c>
      <c r="Q939" t="s">
        <v>11</v>
      </c>
      <c r="R939" t="s">
        <v>80</v>
      </c>
      <c r="S939" t="s">
        <v>10</v>
      </c>
      <c r="T939" t="s">
        <v>2942</v>
      </c>
      <c r="U939" t="s">
        <v>2943</v>
      </c>
    </row>
    <row r="940" spans="1:21" x14ac:dyDescent="0.3">
      <c r="A940" s="64">
        <v>46142</v>
      </c>
      <c r="B940" t="s">
        <v>2944</v>
      </c>
      <c r="C940" t="s">
        <v>2945</v>
      </c>
      <c r="E940" t="s">
        <v>66</v>
      </c>
      <c r="F940" t="s">
        <v>103</v>
      </c>
      <c r="G940" t="s">
        <v>68</v>
      </c>
      <c r="H940" t="s">
        <v>69</v>
      </c>
      <c r="J940">
        <v>0.84754145534333292</v>
      </c>
      <c r="K940">
        <v>0.91610820404541082</v>
      </c>
      <c r="L940">
        <v>2.3615324591182998</v>
      </c>
      <c r="M940">
        <v>1.660089089783211</v>
      </c>
      <c r="N940" t="s">
        <v>1</v>
      </c>
      <c r="P940" t="s">
        <v>24</v>
      </c>
      <c r="Q940" t="s">
        <v>22</v>
      </c>
      <c r="R940" t="s">
        <v>1766</v>
      </c>
      <c r="S940" t="s">
        <v>5</v>
      </c>
      <c r="T940" t="s">
        <v>2946</v>
      </c>
      <c r="U940" t="s">
        <v>2869</v>
      </c>
    </row>
    <row r="941" spans="1:21" x14ac:dyDescent="0.3">
      <c r="A941" s="64">
        <v>46142</v>
      </c>
      <c r="B941" t="s">
        <v>2947</v>
      </c>
      <c r="C941" t="s">
        <v>2948</v>
      </c>
      <c r="E941" t="s">
        <v>66</v>
      </c>
      <c r="F941" t="s">
        <v>396</v>
      </c>
      <c r="G941" t="s">
        <v>143</v>
      </c>
      <c r="H941" t="s">
        <v>290</v>
      </c>
      <c r="J941">
        <v>1.2214788436866779</v>
      </c>
      <c r="K941">
        <v>1.581354488611443</v>
      </c>
      <c r="L941">
        <v>1.667094854738906</v>
      </c>
      <c r="M941">
        <v>1.574676899721202</v>
      </c>
      <c r="N941" t="s">
        <v>1</v>
      </c>
      <c r="P941" t="s">
        <v>24</v>
      </c>
      <c r="Q941" t="s">
        <v>22</v>
      </c>
      <c r="R941" t="s">
        <v>1766</v>
      </c>
      <c r="S941" t="s">
        <v>5</v>
      </c>
      <c r="T941" t="s">
        <v>2949</v>
      </c>
      <c r="U941" t="s">
        <v>2950</v>
      </c>
    </row>
    <row r="942" spans="1:21" x14ac:dyDescent="0.3">
      <c r="A942" s="64">
        <v>46142</v>
      </c>
      <c r="B942" t="s">
        <v>2951</v>
      </c>
      <c r="C942" t="s">
        <v>2952</v>
      </c>
      <c r="E942" t="s">
        <v>19</v>
      </c>
      <c r="F942" t="s">
        <v>109</v>
      </c>
      <c r="G942" t="s">
        <v>122</v>
      </c>
      <c r="H942" t="s">
        <v>2953</v>
      </c>
      <c r="J942">
        <v>0</v>
      </c>
      <c r="K942">
        <v>4.5901037363444406</v>
      </c>
      <c r="L942">
        <v>0</v>
      </c>
      <c r="M942">
        <v>1.540950766623006</v>
      </c>
      <c r="N942" t="s">
        <v>145</v>
      </c>
      <c r="P942" t="s">
        <v>12</v>
      </c>
      <c r="Q942" t="s">
        <v>14</v>
      </c>
      <c r="R942" t="s">
        <v>146</v>
      </c>
      <c r="S942" t="s">
        <v>5</v>
      </c>
      <c r="T942" t="s">
        <v>2954</v>
      </c>
      <c r="U942" t="s">
        <v>2955</v>
      </c>
    </row>
    <row r="943" spans="1:21" x14ac:dyDescent="0.3">
      <c r="A943" s="64">
        <v>46142</v>
      </c>
      <c r="B943" t="s">
        <v>680</v>
      </c>
      <c r="C943" t="s">
        <v>681</v>
      </c>
      <c r="E943" t="s">
        <v>19</v>
      </c>
      <c r="F943" t="s">
        <v>221</v>
      </c>
      <c r="G943" t="s">
        <v>200</v>
      </c>
      <c r="H943" t="s">
        <v>682</v>
      </c>
      <c r="J943">
        <v>10.788480830026099</v>
      </c>
      <c r="K943">
        <v>0</v>
      </c>
      <c r="L943">
        <v>0</v>
      </c>
      <c r="M943">
        <v>1.5405940650566581</v>
      </c>
      <c r="N943" t="s">
        <v>1</v>
      </c>
      <c r="P943" t="s">
        <v>12</v>
      </c>
      <c r="Q943" t="s">
        <v>14</v>
      </c>
      <c r="R943" t="s">
        <v>146</v>
      </c>
      <c r="S943" t="s">
        <v>5</v>
      </c>
      <c r="T943" t="s">
        <v>2956</v>
      </c>
      <c r="U943" t="s">
        <v>2957</v>
      </c>
    </row>
    <row r="944" spans="1:21" x14ac:dyDescent="0.3">
      <c r="A944" s="64">
        <v>46142</v>
      </c>
      <c r="B944" t="s">
        <v>814</v>
      </c>
      <c r="C944" t="s">
        <v>815</v>
      </c>
      <c r="E944" t="s">
        <v>19</v>
      </c>
      <c r="F944" t="s">
        <v>109</v>
      </c>
      <c r="G944" t="s">
        <v>143</v>
      </c>
      <c r="H944" t="s">
        <v>789</v>
      </c>
      <c r="J944">
        <v>4.0065948477941058</v>
      </c>
      <c r="K944">
        <v>1.905882429604173</v>
      </c>
      <c r="L944">
        <v>0.40430244070033589</v>
      </c>
      <c r="M944">
        <v>1.42280718489938</v>
      </c>
      <c r="N944" t="s">
        <v>145</v>
      </c>
      <c r="P944" t="s">
        <v>19</v>
      </c>
      <c r="Q944" t="s">
        <v>11</v>
      </c>
      <c r="R944" t="s">
        <v>80</v>
      </c>
      <c r="S944" t="s">
        <v>10</v>
      </c>
      <c r="T944" t="s">
        <v>2958</v>
      </c>
      <c r="U944" t="s">
        <v>2959</v>
      </c>
    </row>
    <row r="945" spans="1:21" x14ac:dyDescent="0.3">
      <c r="A945" s="64">
        <v>46142</v>
      </c>
      <c r="B945" t="s">
        <v>2960</v>
      </c>
      <c r="C945" t="s">
        <v>2961</v>
      </c>
      <c r="E945" t="s">
        <v>19</v>
      </c>
      <c r="F945" t="s">
        <v>221</v>
      </c>
      <c r="G945" t="s">
        <v>68</v>
      </c>
      <c r="H945" t="s">
        <v>2962</v>
      </c>
      <c r="J945">
        <v>3.2693854373797628</v>
      </c>
      <c r="K945">
        <v>2.6494567527226121</v>
      </c>
      <c r="L945">
        <v>0</v>
      </c>
      <c r="M945">
        <v>1.3563211289469621</v>
      </c>
      <c r="N945" t="s">
        <v>1</v>
      </c>
      <c r="P945" t="s">
        <v>24</v>
      </c>
      <c r="Q945" t="s">
        <v>22</v>
      </c>
      <c r="R945" t="s">
        <v>1766</v>
      </c>
      <c r="S945" t="s">
        <v>5</v>
      </c>
      <c r="T945" t="s">
        <v>2963</v>
      </c>
      <c r="U945" t="s">
        <v>2964</v>
      </c>
    </row>
    <row r="946" spans="1:21" x14ac:dyDescent="0.3">
      <c r="A946" s="64">
        <v>46142</v>
      </c>
      <c r="B946" t="s">
        <v>1594</v>
      </c>
      <c r="C946" t="s">
        <v>1595</v>
      </c>
      <c r="E946" t="s">
        <v>19</v>
      </c>
      <c r="F946" t="s">
        <v>109</v>
      </c>
      <c r="G946" t="s">
        <v>143</v>
      </c>
      <c r="H946" t="s">
        <v>290</v>
      </c>
      <c r="J946">
        <v>2.0226840361457818</v>
      </c>
      <c r="K946">
        <v>2.587511602762222</v>
      </c>
      <c r="L946">
        <v>0.22726116134454891</v>
      </c>
      <c r="M946">
        <v>1.27601067821809</v>
      </c>
      <c r="N946" t="s">
        <v>1</v>
      </c>
      <c r="P946" t="s">
        <v>19</v>
      </c>
      <c r="Q946" t="s">
        <v>11</v>
      </c>
      <c r="R946" t="s">
        <v>80</v>
      </c>
      <c r="S946" t="s">
        <v>10</v>
      </c>
      <c r="T946" t="s">
        <v>2965</v>
      </c>
      <c r="U946" t="s">
        <v>840</v>
      </c>
    </row>
    <row r="947" spans="1:21" x14ac:dyDescent="0.3">
      <c r="A947" s="64">
        <v>46142</v>
      </c>
      <c r="B947" t="s">
        <v>624</v>
      </c>
      <c r="C947" t="s">
        <v>625</v>
      </c>
      <c r="E947" t="s">
        <v>19</v>
      </c>
      <c r="F947" t="s">
        <v>261</v>
      </c>
      <c r="G947" t="s">
        <v>200</v>
      </c>
      <c r="H947" t="s">
        <v>626</v>
      </c>
      <c r="J947">
        <v>2.8259483566936638</v>
      </c>
      <c r="K947">
        <v>1.590077609655697</v>
      </c>
      <c r="L947">
        <v>0.53495529608550929</v>
      </c>
      <c r="M947">
        <v>1.2163256237855771</v>
      </c>
      <c r="N947" t="s">
        <v>1</v>
      </c>
      <c r="P947" t="s">
        <v>24</v>
      </c>
      <c r="Q947" t="s">
        <v>22</v>
      </c>
      <c r="R947" t="s">
        <v>1766</v>
      </c>
      <c r="S947" t="s">
        <v>5</v>
      </c>
      <c r="T947" t="s">
        <v>2966</v>
      </c>
      <c r="U947" t="s">
        <v>2869</v>
      </c>
    </row>
    <row r="948" spans="1:21" x14ac:dyDescent="0.3">
      <c r="A948" s="64">
        <v>46142</v>
      </c>
      <c r="B948" t="s">
        <v>1722</v>
      </c>
      <c r="C948" t="s">
        <v>1723</v>
      </c>
      <c r="E948" t="s">
        <v>19</v>
      </c>
      <c r="F948" t="s">
        <v>109</v>
      </c>
      <c r="G948" t="s">
        <v>143</v>
      </c>
      <c r="H948" t="s">
        <v>290</v>
      </c>
      <c r="J948">
        <v>1.953366985200373</v>
      </c>
      <c r="K948">
        <v>2.4953907708314209</v>
      </c>
      <c r="L948">
        <v>0.1183331253953558</v>
      </c>
      <c r="M948">
        <v>1.178381459508665</v>
      </c>
      <c r="N948" t="s">
        <v>1</v>
      </c>
      <c r="P948" t="s">
        <v>19</v>
      </c>
      <c r="Q948" t="s">
        <v>11</v>
      </c>
      <c r="R948" t="s">
        <v>80</v>
      </c>
      <c r="S948" t="s">
        <v>10</v>
      </c>
      <c r="T948" t="s">
        <v>2967</v>
      </c>
      <c r="U948" t="s">
        <v>2733</v>
      </c>
    </row>
    <row r="949" spans="1:21" x14ac:dyDescent="0.3">
      <c r="A949" s="64">
        <v>46142</v>
      </c>
      <c r="B949" t="s">
        <v>259</v>
      </c>
      <c r="C949" t="s">
        <v>260</v>
      </c>
      <c r="E949" t="s">
        <v>19</v>
      </c>
      <c r="F949" t="s">
        <v>261</v>
      </c>
      <c r="G949" t="s">
        <v>200</v>
      </c>
      <c r="H949" t="s">
        <v>262</v>
      </c>
      <c r="J949">
        <v>0</v>
      </c>
      <c r="K949">
        <v>3.21797305773738</v>
      </c>
      <c r="L949">
        <v>0</v>
      </c>
      <c r="M949">
        <v>1.080310671636745</v>
      </c>
      <c r="N949" t="s">
        <v>156</v>
      </c>
      <c r="O949" t="s">
        <v>2843</v>
      </c>
      <c r="P949" t="s">
        <v>157</v>
      </c>
      <c r="Q949" t="s">
        <v>157</v>
      </c>
      <c r="R949" t="s">
        <v>2570</v>
      </c>
      <c r="S949" t="s">
        <v>157</v>
      </c>
      <c r="T949" t="s">
        <v>2968</v>
      </c>
      <c r="U949" t="s">
        <v>2969</v>
      </c>
    </row>
    <row r="950" spans="1:21" x14ac:dyDescent="0.3">
      <c r="A950" s="64">
        <v>46142</v>
      </c>
      <c r="B950" t="s">
        <v>399</v>
      </c>
      <c r="C950" t="s">
        <v>400</v>
      </c>
      <c r="E950" t="s">
        <v>136</v>
      </c>
      <c r="F950" t="s">
        <v>233</v>
      </c>
      <c r="G950" t="s">
        <v>59</v>
      </c>
      <c r="H950" t="s">
        <v>399</v>
      </c>
      <c r="J950">
        <v>2.4083616096942948</v>
      </c>
      <c r="K950">
        <v>0</v>
      </c>
      <c r="L950">
        <v>1.3255208647028629</v>
      </c>
      <c r="M950">
        <v>1.0351577801111229</v>
      </c>
      <c r="N950" t="s">
        <v>1</v>
      </c>
      <c r="P950" t="s">
        <v>24</v>
      </c>
      <c r="Q950" t="s">
        <v>22</v>
      </c>
      <c r="R950" t="s">
        <v>1766</v>
      </c>
      <c r="S950" t="s">
        <v>5</v>
      </c>
      <c r="T950" t="s">
        <v>2970</v>
      </c>
      <c r="U950" t="s">
        <v>2971</v>
      </c>
    </row>
    <row r="951" spans="1:21" x14ac:dyDescent="0.3">
      <c r="A951" s="64">
        <v>46142</v>
      </c>
      <c r="B951" t="s">
        <v>2972</v>
      </c>
      <c r="C951" t="s">
        <v>2973</v>
      </c>
      <c r="E951" t="s">
        <v>19</v>
      </c>
      <c r="F951" t="s">
        <v>261</v>
      </c>
      <c r="G951" t="s">
        <v>122</v>
      </c>
      <c r="H951" t="s">
        <v>2972</v>
      </c>
      <c r="J951">
        <v>3.4460782530675589</v>
      </c>
      <c r="K951">
        <v>1.560847775159719</v>
      </c>
      <c r="L951">
        <v>0</v>
      </c>
      <c r="M951">
        <v>1.016094256888924</v>
      </c>
      <c r="N951" t="s">
        <v>145</v>
      </c>
      <c r="P951" t="s">
        <v>19</v>
      </c>
      <c r="Q951" t="s">
        <v>11</v>
      </c>
      <c r="R951" t="s">
        <v>80</v>
      </c>
      <c r="S951" t="s">
        <v>10</v>
      </c>
      <c r="T951" t="s">
        <v>2974</v>
      </c>
      <c r="U951" t="s">
        <v>2975</v>
      </c>
    </row>
    <row r="952" spans="1:21" x14ac:dyDescent="0.3">
      <c r="A952" s="64">
        <v>46142</v>
      </c>
      <c r="B952" t="s">
        <v>2976</v>
      </c>
      <c r="C952" t="s">
        <v>2977</v>
      </c>
      <c r="E952" t="s">
        <v>1115</v>
      </c>
      <c r="G952" t="s">
        <v>68</v>
      </c>
      <c r="H952" t="s">
        <v>69</v>
      </c>
      <c r="J952">
        <v>0.37893321183490603</v>
      </c>
      <c r="K952">
        <v>0.44466629945836689</v>
      </c>
      <c r="L952">
        <v>1.4453399457610201</v>
      </c>
      <c r="M952">
        <v>0.95711947790305085</v>
      </c>
      <c r="N952" t="s">
        <v>1</v>
      </c>
      <c r="P952" t="s">
        <v>23</v>
      </c>
      <c r="Q952" t="s">
        <v>11</v>
      </c>
      <c r="R952" t="s">
        <v>1116</v>
      </c>
      <c r="S952" t="s">
        <v>10</v>
      </c>
      <c r="T952" t="s">
        <v>2978</v>
      </c>
      <c r="U952" t="s">
        <v>2979</v>
      </c>
    </row>
    <row r="953" spans="1:21" x14ac:dyDescent="0.3">
      <c r="A953" s="64">
        <v>46142</v>
      </c>
      <c r="B953" t="s">
        <v>2980</v>
      </c>
      <c r="C953" t="s">
        <v>2981</v>
      </c>
      <c r="E953" t="s">
        <v>19</v>
      </c>
      <c r="F953" t="s">
        <v>109</v>
      </c>
      <c r="G953" t="s">
        <v>355</v>
      </c>
      <c r="H953" t="s">
        <v>2980</v>
      </c>
      <c r="J953">
        <v>0.60436974689159861</v>
      </c>
      <c r="K953">
        <v>1.0304357878488051</v>
      </c>
      <c r="L953">
        <v>1.002548334635682</v>
      </c>
      <c r="M953">
        <v>0.95505060881823356</v>
      </c>
      <c r="N953" t="s">
        <v>1</v>
      </c>
      <c r="P953" t="s">
        <v>24</v>
      </c>
      <c r="Q953" t="s">
        <v>22</v>
      </c>
      <c r="R953" t="s">
        <v>1766</v>
      </c>
      <c r="S953" t="s">
        <v>5</v>
      </c>
      <c r="T953" t="s">
        <v>2982</v>
      </c>
    </row>
    <row r="954" spans="1:21" x14ac:dyDescent="0.3">
      <c r="A954" s="64">
        <v>46142</v>
      </c>
      <c r="B954" t="s">
        <v>2983</v>
      </c>
      <c r="C954" t="s">
        <v>2984</v>
      </c>
      <c r="E954" t="s">
        <v>66</v>
      </c>
      <c r="F954" t="s">
        <v>938</v>
      </c>
      <c r="G954" t="s">
        <v>355</v>
      </c>
      <c r="H954" t="s">
        <v>356</v>
      </c>
      <c r="J954">
        <v>0.60474443365346564</v>
      </c>
      <c r="K954">
        <v>1.0293732638357631</v>
      </c>
      <c r="L954">
        <v>1.0026509356114579</v>
      </c>
      <c r="M954">
        <v>0.95480091772178999</v>
      </c>
      <c r="N954" t="s">
        <v>1</v>
      </c>
      <c r="P954" t="s">
        <v>24</v>
      </c>
      <c r="Q954" t="s">
        <v>22</v>
      </c>
      <c r="R954" t="s">
        <v>1766</v>
      </c>
      <c r="S954" t="s">
        <v>5</v>
      </c>
      <c r="T954" t="s">
        <v>2985</v>
      </c>
    </row>
    <row r="955" spans="1:21" x14ac:dyDescent="0.3">
      <c r="A955" s="64">
        <v>46142</v>
      </c>
      <c r="B955" t="s">
        <v>2986</v>
      </c>
      <c r="C955" t="s">
        <v>2987</v>
      </c>
      <c r="E955" t="s">
        <v>19</v>
      </c>
      <c r="F955" t="s">
        <v>109</v>
      </c>
      <c r="G955" t="s">
        <v>355</v>
      </c>
      <c r="H955" t="s">
        <v>356</v>
      </c>
      <c r="J955">
        <v>0.60362037336786445</v>
      </c>
      <c r="K955">
        <v>1.0276732254148959</v>
      </c>
      <c r="L955">
        <v>1.002719336261976</v>
      </c>
      <c r="M955">
        <v>0.95410534966741212</v>
      </c>
      <c r="N955" t="s">
        <v>1</v>
      </c>
      <c r="P955" t="s">
        <v>24</v>
      </c>
      <c r="Q955" t="s">
        <v>22</v>
      </c>
      <c r="R955" t="s">
        <v>1766</v>
      </c>
      <c r="S955" t="s">
        <v>5</v>
      </c>
      <c r="T955" t="s">
        <v>2988</v>
      </c>
    </row>
    <row r="956" spans="1:21" x14ac:dyDescent="0.3">
      <c r="A956" s="64">
        <v>46142</v>
      </c>
      <c r="B956" t="s">
        <v>2989</v>
      </c>
      <c r="C956" t="s">
        <v>2990</v>
      </c>
      <c r="E956" t="s">
        <v>19</v>
      </c>
      <c r="F956" t="s">
        <v>1158</v>
      </c>
      <c r="G956" t="s">
        <v>355</v>
      </c>
      <c r="H956" t="s">
        <v>2989</v>
      </c>
      <c r="J956">
        <v>0.60324568660599742</v>
      </c>
      <c r="K956">
        <v>1.0277794778161971</v>
      </c>
      <c r="L956">
        <v>1.0023089323588701</v>
      </c>
      <c r="M956">
        <v>0.95387349364928464</v>
      </c>
      <c r="N956" t="s">
        <v>1</v>
      </c>
      <c r="P956" t="s">
        <v>24</v>
      </c>
      <c r="Q956" t="s">
        <v>22</v>
      </c>
      <c r="R956" t="s">
        <v>1766</v>
      </c>
      <c r="S956" t="s">
        <v>5</v>
      </c>
      <c r="T956" t="s">
        <v>2991</v>
      </c>
    </row>
    <row r="957" spans="1:21" x14ac:dyDescent="0.3">
      <c r="A957" s="64">
        <v>46142</v>
      </c>
      <c r="B957" t="s">
        <v>2992</v>
      </c>
      <c r="C957" t="s">
        <v>2993</v>
      </c>
      <c r="E957" t="s">
        <v>66</v>
      </c>
      <c r="F957" t="s">
        <v>193</v>
      </c>
      <c r="G957" t="s">
        <v>110</v>
      </c>
      <c r="H957" t="s">
        <v>111</v>
      </c>
      <c r="J957">
        <v>0.82056400848890321</v>
      </c>
      <c r="K957">
        <v>1.379421799932679</v>
      </c>
      <c r="L957">
        <v>0.56977741881116373</v>
      </c>
      <c r="M957">
        <v>0.87739667782429165</v>
      </c>
      <c r="N957" t="s">
        <v>1</v>
      </c>
      <c r="P957" t="s">
        <v>7</v>
      </c>
      <c r="Q957" t="s">
        <v>11</v>
      </c>
      <c r="R957" t="s">
        <v>70</v>
      </c>
      <c r="S957" t="s">
        <v>10</v>
      </c>
      <c r="T957" t="s">
        <v>2994</v>
      </c>
      <c r="U957" t="s">
        <v>840</v>
      </c>
    </row>
    <row r="958" spans="1:21" x14ac:dyDescent="0.3">
      <c r="A958" s="64">
        <v>46142</v>
      </c>
      <c r="B958" t="s">
        <v>850</v>
      </c>
      <c r="C958" t="s">
        <v>851</v>
      </c>
      <c r="E958" t="s">
        <v>66</v>
      </c>
      <c r="F958" t="s">
        <v>193</v>
      </c>
      <c r="G958" t="s">
        <v>200</v>
      </c>
      <c r="H958" t="s">
        <v>850</v>
      </c>
      <c r="J958">
        <v>6.07779396424589</v>
      </c>
      <c r="K958">
        <v>0</v>
      </c>
      <c r="L958">
        <v>0</v>
      </c>
      <c r="M958">
        <v>0.86790841615943704</v>
      </c>
      <c r="N958" t="s">
        <v>1</v>
      </c>
      <c r="P958" t="s">
        <v>24</v>
      </c>
      <c r="Q958" t="s">
        <v>22</v>
      </c>
      <c r="R958" t="s">
        <v>1766</v>
      </c>
      <c r="S958" t="s">
        <v>5</v>
      </c>
      <c r="T958" t="s">
        <v>2995</v>
      </c>
      <c r="U958" t="s">
        <v>2996</v>
      </c>
    </row>
    <row r="959" spans="1:21" x14ac:dyDescent="0.3">
      <c r="A959" s="64">
        <v>46142</v>
      </c>
      <c r="B959" t="s">
        <v>2997</v>
      </c>
      <c r="C959" t="s">
        <v>2998</v>
      </c>
      <c r="E959" t="s">
        <v>19</v>
      </c>
      <c r="F959" t="s">
        <v>221</v>
      </c>
      <c r="G959" t="s">
        <v>200</v>
      </c>
      <c r="H959" t="s">
        <v>2999</v>
      </c>
      <c r="J959">
        <v>1.200854389963949</v>
      </c>
      <c r="K959">
        <v>0.58581806671525682</v>
      </c>
      <c r="L959">
        <v>0.78920670567145335</v>
      </c>
      <c r="M959">
        <v>0.77971004494318252</v>
      </c>
      <c r="N959" t="s">
        <v>1</v>
      </c>
      <c r="P959" t="s">
        <v>24</v>
      </c>
      <c r="Q959" t="s">
        <v>22</v>
      </c>
      <c r="R959" t="s">
        <v>1766</v>
      </c>
      <c r="S959" t="s">
        <v>5</v>
      </c>
      <c r="T959" t="s">
        <v>3000</v>
      </c>
    </row>
    <row r="960" spans="1:21" x14ac:dyDescent="0.3">
      <c r="A960" s="64">
        <v>46142</v>
      </c>
      <c r="B960" t="s">
        <v>3001</v>
      </c>
      <c r="C960" t="s">
        <v>3002</v>
      </c>
      <c r="E960" t="s">
        <v>19</v>
      </c>
      <c r="F960" t="s">
        <v>261</v>
      </c>
      <c r="G960" t="s">
        <v>200</v>
      </c>
      <c r="H960" t="s">
        <v>3001</v>
      </c>
      <c r="J960">
        <v>1.7524037295698141</v>
      </c>
      <c r="K960">
        <v>1.5439674069035441</v>
      </c>
      <c r="L960">
        <v>0</v>
      </c>
      <c r="M960">
        <v>0.7685707572035454</v>
      </c>
      <c r="N960" t="s">
        <v>1</v>
      </c>
      <c r="P960" t="s">
        <v>24</v>
      </c>
      <c r="Q960" t="s">
        <v>22</v>
      </c>
      <c r="R960" t="s">
        <v>1766</v>
      </c>
      <c r="S960" t="s">
        <v>5</v>
      </c>
      <c r="T960" t="s">
        <v>3003</v>
      </c>
      <c r="U960" t="s">
        <v>3004</v>
      </c>
    </row>
    <row r="961" spans="1:21" x14ac:dyDescent="0.3">
      <c r="A961" s="64">
        <v>46142</v>
      </c>
      <c r="B961" t="s">
        <v>3005</v>
      </c>
      <c r="C961" t="s">
        <v>3006</v>
      </c>
      <c r="E961" t="s">
        <v>66</v>
      </c>
      <c r="F961" t="s">
        <v>193</v>
      </c>
      <c r="G961" t="s">
        <v>200</v>
      </c>
      <c r="H961" t="s">
        <v>3007</v>
      </c>
      <c r="J961">
        <v>1.866199460044943</v>
      </c>
      <c r="K961">
        <v>1.3445067608745001</v>
      </c>
      <c r="L961">
        <v>0</v>
      </c>
      <c r="M961">
        <v>0.71785953753984666</v>
      </c>
      <c r="N961" t="s">
        <v>1</v>
      </c>
      <c r="P961" t="s">
        <v>7</v>
      </c>
      <c r="Q961" t="s">
        <v>11</v>
      </c>
      <c r="R961" t="s">
        <v>70</v>
      </c>
      <c r="S961" t="s">
        <v>10</v>
      </c>
      <c r="T961" t="s">
        <v>3008</v>
      </c>
      <c r="U961" t="s">
        <v>3009</v>
      </c>
    </row>
    <row r="962" spans="1:21" x14ac:dyDescent="0.3">
      <c r="A962" s="64">
        <v>46142</v>
      </c>
      <c r="B962" t="s">
        <v>3010</v>
      </c>
      <c r="C962" t="s">
        <v>3011</v>
      </c>
      <c r="E962" t="s">
        <v>19</v>
      </c>
      <c r="F962" t="s">
        <v>109</v>
      </c>
      <c r="G962" t="s">
        <v>110</v>
      </c>
      <c r="H962" t="s">
        <v>3010</v>
      </c>
      <c r="J962">
        <v>0.86780295681976183</v>
      </c>
      <c r="K962">
        <v>1.309636635232253</v>
      </c>
      <c r="L962">
        <v>0.25547051601368509</v>
      </c>
      <c r="M962">
        <v>0.69680725693741763</v>
      </c>
      <c r="N962" t="s">
        <v>1</v>
      </c>
      <c r="P962" t="s">
        <v>24</v>
      </c>
      <c r="Q962" t="s">
        <v>22</v>
      </c>
      <c r="R962" t="s">
        <v>1766</v>
      </c>
      <c r="S962" t="s">
        <v>5</v>
      </c>
      <c r="T962" t="s">
        <v>3012</v>
      </c>
    </row>
    <row r="963" spans="1:21" x14ac:dyDescent="0.3">
      <c r="A963" s="64">
        <v>46142</v>
      </c>
      <c r="B963" t="s">
        <v>3013</v>
      </c>
      <c r="C963" t="s">
        <v>3014</v>
      </c>
      <c r="E963" t="s">
        <v>19</v>
      </c>
      <c r="F963" t="s">
        <v>199</v>
      </c>
      <c r="G963" t="s">
        <v>98</v>
      </c>
      <c r="H963" t="s">
        <v>3013</v>
      </c>
      <c r="J963">
        <v>1.564317230795055</v>
      </c>
      <c r="K963">
        <v>0.66699944918755194</v>
      </c>
      <c r="L963">
        <v>0.20119740437688549</v>
      </c>
      <c r="M963">
        <v>0.55222590857077358</v>
      </c>
      <c r="N963" t="s">
        <v>1</v>
      </c>
      <c r="P963" t="s">
        <v>19</v>
      </c>
      <c r="Q963" t="s">
        <v>11</v>
      </c>
      <c r="R963" t="s">
        <v>80</v>
      </c>
      <c r="S963" t="s">
        <v>10</v>
      </c>
      <c r="T963" t="s">
        <v>3015</v>
      </c>
      <c r="U963" t="s">
        <v>3016</v>
      </c>
    </row>
    <row r="964" spans="1:21" x14ac:dyDescent="0.3">
      <c r="A964" s="64">
        <v>46142</v>
      </c>
      <c r="B964" t="s">
        <v>2250</v>
      </c>
      <c r="C964" t="s">
        <v>2251</v>
      </c>
      <c r="E964" t="s">
        <v>19</v>
      </c>
      <c r="F964" t="s">
        <v>221</v>
      </c>
      <c r="G964" t="s">
        <v>200</v>
      </c>
      <c r="H964" t="s">
        <v>2252</v>
      </c>
      <c r="J964">
        <v>1.1154760172656291</v>
      </c>
      <c r="K964">
        <v>0.59113160927049724</v>
      </c>
      <c r="L964">
        <v>0.35123734040760218</v>
      </c>
      <c r="M964">
        <v>0.54090582580540414</v>
      </c>
      <c r="N964" t="s">
        <v>1</v>
      </c>
      <c r="P964" t="s">
        <v>24</v>
      </c>
      <c r="Q964" t="s">
        <v>22</v>
      </c>
      <c r="R964" t="s">
        <v>1766</v>
      </c>
      <c r="S964" t="s">
        <v>5</v>
      </c>
      <c r="T964" t="s">
        <v>3017</v>
      </c>
    </row>
    <row r="965" spans="1:21" x14ac:dyDescent="0.3">
      <c r="A965" s="64">
        <v>46142</v>
      </c>
      <c r="B965" t="s">
        <v>759</v>
      </c>
      <c r="C965" t="s">
        <v>760</v>
      </c>
      <c r="E965" t="s">
        <v>19</v>
      </c>
      <c r="F965" t="s">
        <v>109</v>
      </c>
      <c r="G965" t="s">
        <v>68</v>
      </c>
      <c r="H965" t="s">
        <v>69</v>
      </c>
      <c r="J965">
        <v>0.2375514070237281</v>
      </c>
      <c r="K965">
        <v>0.2008170384650701</v>
      </c>
      <c r="L965">
        <v>0.81153951806543267</v>
      </c>
      <c r="M965">
        <v>0.5245474883929313</v>
      </c>
      <c r="N965" t="s">
        <v>1</v>
      </c>
      <c r="P965" t="s">
        <v>24</v>
      </c>
      <c r="Q965" t="s">
        <v>22</v>
      </c>
      <c r="R965" t="s">
        <v>1766</v>
      </c>
      <c r="S965" t="s">
        <v>5</v>
      </c>
      <c r="T965" t="s">
        <v>3018</v>
      </c>
    </row>
    <row r="966" spans="1:21" x14ac:dyDescent="0.3">
      <c r="A966" s="64">
        <v>46142</v>
      </c>
      <c r="B966" t="s">
        <v>3019</v>
      </c>
      <c r="C966" t="s">
        <v>3020</v>
      </c>
      <c r="E966" t="s">
        <v>19</v>
      </c>
      <c r="F966" t="s">
        <v>109</v>
      </c>
      <c r="G966" t="s">
        <v>181</v>
      </c>
      <c r="H966" t="s">
        <v>3021</v>
      </c>
      <c r="J966">
        <v>0.9289318508818728</v>
      </c>
      <c r="K966">
        <v>0.61206695771324415</v>
      </c>
      <c r="L966">
        <v>0.34510830653442232</v>
      </c>
      <c r="M966">
        <v>0.51809935299485277</v>
      </c>
      <c r="N966" t="s">
        <v>1</v>
      </c>
      <c r="P966" t="s">
        <v>24</v>
      </c>
      <c r="Q966" t="s">
        <v>22</v>
      </c>
      <c r="R966" t="s">
        <v>1766</v>
      </c>
      <c r="S966" t="s">
        <v>5</v>
      </c>
      <c r="T966" t="s">
        <v>3022</v>
      </c>
      <c r="U966" t="s">
        <v>2869</v>
      </c>
    </row>
    <row r="967" spans="1:21" x14ac:dyDescent="0.3">
      <c r="A967" s="64">
        <v>46142</v>
      </c>
      <c r="B967" t="s">
        <v>3023</v>
      </c>
      <c r="C967" t="s">
        <v>3024</v>
      </c>
      <c r="E967" t="s">
        <v>19</v>
      </c>
      <c r="F967" t="s">
        <v>261</v>
      </c>
      <c r="G967" t="s">
        <v>98</v>
      </c>
      <c r="H967" t="s">
        <v>3023</v>
      </c>
      <c r="J967">
        <v>8.9050553737075808E-2</v>
      </c>
      <c r="K967">
        <v>1.4920493453152039</v>
      </c>
      <c r="L967">
        <v>0</v>
      </c>
      <c r="M967">
        <v>0.51361458538436733</v>
      </c>
      <c r="N967" t="s">
        <v>1</v>
      </c>
      <c r="P967" t="s">
        <v>24</v>
      </c>
      <c r="Q967" t="s">
        <v>22</v>
      </c>
      <c r="R967" t="s">
        <v>1766</v>
      </c>
      <c r="S967" t="s">
        <v>5</v>
      </c>
      <c r="T967" t="s">
        <v>3025</v>
      </c>
      <c r="U967" t="s">
        <v>3026</v>
      </c>
    </row>
    <row r="968" spans="1:21" x14ac:dyDescent="0.3">
      <c r="A968" s="64">
        <v>46142</v>
      </c>
      <c r="B968" t="s">
        <v>468</v>
      </c>
      <c r="C968" t="s">
        <v>469</v>
      </c>
      <c r="E968" t="s">
        <v>66</v>
      </c>
      <c r="F968" t="s">
        <v>396</v>
      </c>
      <c r="G968" t="s">
        <v>143</v>
      </c>
      <c r="H968" t="s">
        <v>290</v>
      </c>
      <c r="J968">
        <v>0.80682549388711033</v>
      </c>
      <c r="K968">
        <v>1.034420252897716</v>
      </c>
      <c r="L968">
        <v>4.9761473251515198E-2</v>
      </c>
      <c r="M968">
        <v>0.48843145480020428</v>
      </c>
      <c r="N968" t="s">
        <v>1</v>
      </c>
      <c r="P968" t="s">
        <v>7</v>
      </c>
      <c r="Q968" t="s">
        <v>11</v>
      </c>
      <c r="R968" t="s">
        <v>70</v>
      </c>
      <c r="S968" t="s">
        <v>10</v>
      </c>
      <c r="T968" t="s">
        <v>3027</v>
      </c>
      <c r="U968" t="s">
        <v>840</v>
      </c>
    </row>
    <row r="969" spans="1:21" x14ac:dyDescent="0.3">
      <c r="A969" s="64">
        <v>46142</v>
      </c>
      <c r="B969" t="s">
        <v>474</v>
      </c>
      <c r="C969" t="s">
        <v>475</v>
      </c>
      <c r="E969" t="s">
        <v>19</v>
      </c>
      <c r="F969" t="s">
        <v>476</v>
      </c>
      <c r="G969" t="s">
        <v>98</v>
      </c>
      <c r="H969" t="s">
        <v>477</v>
      </c>
      <c r="J969">
        <v>1.278556127077763</v>
      </c>
      <c r="K969">
        <v>0.7765456749322539</v>
      </c>
      <c r="L969">
        <v>8.3107290140026449E-2</v>
      </c>
      <c r="M969">
        <v>0.48661253743158162</v>
      </c>
      <c r="N969" t="s">
        <v>1</v>
      </c>
      <c r="P969" t="s">
        <v>24</v>
      </c>
      <c r="Q969" t="s">
        <v>22</v>
      </c>
      <c r="R969" t="s">
        <v>1766</v>
      </c>
      <c r="S969" t="s">
        <v>5</v>
      </c>
      <c r="T969" t="s">
        <v>3028</v>
      </c>
    </row>
    <row r="970" spans="1:21" x14ac:dyDescent="0.3">
      <c r="A970" s="64">
        <v>46142</v>
      </c>
      <c r="B970" t="s">
        <v>715</v>
      </c>
      <c r="C970" t="s">
        <v>716</v>
      </c>
      <c r="E970" t="s">
        <v>19</v>
      </c>
      <c r="F970" t="s">
        <v>109</v>
      </c>
      <c r="G970" t="s">
        <v>355</v>
      </c>
      <c r="H970" t="s">
        <v>717</v>
      </c>
      <c r="J970">
        <v>1.2850960683511969</v>
      </c>
      <c r="K970">
        <v>0.8209060524767865</v>
      </c>
      <c r="L970">
        <v>0</v>
      </c>
      <c r="M970">
        <v>0.45909922990476631</v>
      </c>
      <c r="N970" t="s">
        <v>1</v>
      </c>
      <c r="P970" t="s">
        <v>24</v>
      </c>
      <c r="Q970" t="s">
        <v>22</v>
      </c>
      <c r="R970" t="s">
        <v>1766</v>
      </c>
      <c r="S970" t="s">
        <v>5</v>
      </c>
      <c r="T970" t="s">
        <v>3029</v>
      </c>
    </row>
    <row r="971" spans="1:21" x14ac:dyDescent="0.3">
      <c r="A971" s="64">
        <v>46142</v>
      </c>
      <c r="B971" t="s">
        <v>961</v>
      </c>
      <c r="C971" t="s">
        <v>962</v>
      </c>
      <c r="E971" t="s">
        <v>66</v>
      </c>
      <c r="F971" t="s">
        <v>103</v>
      </c>
      <c r="G971" t="s">
        <v>68</v>
      </c>
      <c r="H971" t="s">
        <v>69</v>
      </c>
      <c r="J971">
        <v>0</v>
      </c>
      <c r="K971">
        <v>1.3457929149198771</v>
      </c>
      <c r="L971">
        <v>0</v>
      </c>
      <c r="M971">
        <v>0.45179820393627312</v>
      </c>
      <c r="N971" t="s">
        <v>1</v>
      </c>
      <c r="P971" t="s">
        <v>9</v>
      </c>
      <c r="Q971" t="s">
        <v>11</v>
      </c>
      <c r="R971" t="s">
        <v>104</v>
      </c>
      <c r="S971" t="s">
        <v>10</v>
      </c>
      <c r="T971" t="s">
        <v>3030</v>
      </c>
      <c r="U971" t="s">
        <v>3031</v>
      </c>
    </row>
    <row r="972" spans="1:21" x14ac:dyDescent="0.3">
      <c r="A972" s="64">
        <v>46142</v>
      </c>
      <c r="B972" t="s">
        <v>185</v>
      </c>
      <c r="C972" t="s">
        <v>186</v>
      </c>
      <c r="E972" t="s">
        <v>19</v>
      </c>
      <c r="F972" t="s">
        <v>109</v>
      </c>
      <c r="G972" t="s">
        <v>59</v>
      </c>
      <c r="H972" t="s">
        <v>187</v>
      </c>
      <c r="J972">
        <v>0</v>
      </c>
      <c r="K972">
        <v>0.81203397696787905</v>
      </c>
      <c r="L972">
        <v>0.27527841800786668</v>
      </c>
      <c r="M972">
        <v>0.41616371745811598</v>
      </c>
      <c r="N972" t="s">
        <v>1</v>
      </c>
      <c r="P972" t="s">
        <v>24</v>
      </c>
      <c r="Q972" t="s">
        <v>22</v>
      </c>
      <c r="R972" t="s">
        <v>1766</v>
      </c>
      <c r="S972" t="s">
        <v>5</v>
      </c>
      <c r="T972" t="s">
        <v>3032</v>
      </c>
    </row>
    <row r="973" spans="1:21" x14ac:dyDescent="0.3">
      <c r="A973" s="64">
        <v>46142</v>
      </c>
      <c r="B973" t="s">
        <v>3033</v>
      </c>
      <c r="C973" t="s">
        <v>3034</v>
      </c>
      <c r="E973" t="s">
        <v>19</v>
      </c>
      <c r="F973" t="s">
        <v>261</v>
      </c>
      <c r="G973" t="s">
        <v>59</v>
      </c>
      <c r="H973" t="s">
        <v>3035</v>
      </c>
      <c r="J973">
        <v>1.2791599980600421</v>
      </c>
      <c r="K973">
        <v>0.58767780660959101</v>
      </c>
      <c r="L973">
        <v>0</v>
      </c>
      <c r="M973">
        <v>0.37995414741997002</v>
      </c>
      <c r="N973" t="s">
        <v>1</v>
      </c>
      <c r="P973" t="s">
        <v>24</v>
      </c>
      <c r="Q973" t="s">
        <v>22</v>
      </c>
      <c r="R973" t="s">
        <v>1766</v>
      </c>
      <c r="S973" t="s">
        <v>5</v>
      </c>
      <c r="T973" t="s">
        <v>3036</v>
      </c>
    </row>
    <row r="974" spans="1:21" x14ac:dyDescent="0.3">
      <c r="A974" s="64">
        <v>46142</v>
      </c>
      <c r="B974" t="s">
        <v>3037</v>
      </c>
      <c r="C974" t="s">
        <v>3038</v>
      </c>
      <c r="E974" t="s">
        <v>19</v>
      </c>
      <c r="F974" t="s">
        <v>221</v>
      </c>
      <c r="G974" t="s">
        <v>200</v>
      </c>
      <c r="H974" t="s">
        <v>3039</v>
      </c>
      <c r="J974">
        <v>1.238491601597232</v>
      </c>
      <c r="K974">
        <v>0.58900619224840123</v>
      </c>
      <c r="L974">
        <v>0</v>
      </c>
      <c r="M974">
        <v>0.37459265854573109</v>
      </c>
      <c r="N974" t="s">
        <v>1</v>
      </c>
      <c r="P974" t="s">
        <v>19</v>
      </c>
      <c r="Q974" t="s">
        <v>11</v>
      </c>
      <c r="R974" t="s">
        <v>80</v>
      </c>
      <c r="S974" t="s">
        <v>10</v>
      </c>
      <c r="T974" t="s">
        <v>3040</v>
      </c>
      <c r="U974" t="s">
        <v>840</v>
      </c>
    </row>
    <row r="975" spans="1:21" x14ac:dyDescent="0.3">
      <c r="A975" s="64">
        <v>46142</v>
      </c>
      <c r="B975" t="s">
        <v>3041</v>
      </c>
      <c r="C975" t="s">
        <v>3042</v>
      </c>
      <c r="E975" t="s">
        <v>19</v>
      </c>
      <c r="F975" t="s">
        <v>221</v>
      </c>
      <c r="G975" t="s">
        <v>200</v>
      </c>
      <c r="H975" t="s">
        <v>3043</v>
      </c>
      <c r="J975">
        <v>1.2434172769452121</v>
      </c>
      <c r="K975">
        <v>0.58581806671525682</v>
      </c>
      <c r="L975">
        <v>0</v>
      </c>
      <c r="M975">
        <v>0.37422575401664021</v>
      </c>
      <c r="N975" t="s">
        <v>1</v>
      </c>
      <c r="P975" t="s">
        <v>24</v>
      </c>
      <c r="Q975" t="s">
        <v>22</v>
      </c>
      <c r="R975" t="s">
        <v>1766</v>
      </c>
      <c r="S975" t="s">
        <v>5</v>
      </c>
      <c r="T975" t="s">
        <v>3044</v>
      </c>
    </row>
    <row r="976" spans="1:21" x14ac:dyDescent="0.3">
      <c r="A976" s="64">
        <v>46142</v>
      </c>
      <c r="B976" t="s">
        <v>3045</v>
      </c>
      <c r="C976" t="s">
        <v>3046</v>
      </c>
      <c r="E976" t="s">
        <v>19</v>
      </c>
      <c r="F976" t="s">
        <v>109</v>
      </c>
      <c r="G976" t="s">
        <v>143</v>
      </c>
      <c r="H976" t="s">
        <v>3047</v>
      </c>
      <c r="J976">
        <v>1.2355867161356029</v>
      </c>
      <c r="K976">
        <v>0.57273358733483481</v>
      </c>
      <c r="L976">
        <v>0</v>
      </c>
      <c r="M976">
        <v>0.36871494001241001</v>
      </c>
      <c r="N976" t="s">
        <v>145</v>
      </c>
      <c r="P976" t="s">
        <v>19</v>
      </c>
      <c r="Q976" t="s">
        <v>11</v>
      </c>
      <c r="R976" t="s">
        <v>80</v>
      </c>
      <c r="S976" t="s">
        <v>10</v>
      </c>
      <c r="T976" t="s">
        <v>3048</v>
      </c>
      <c r="U976" t="s">
        <v>840</v>
      </c>
    </row>
    <row r="977" spans="1:21" x14ac:dyDescent="0.3">
      <c r="A977" s="64">
        <v>46142</v>
      </c>
      <c r="B977" t="s">
        <v>3049</v>
      </c>
      <c r="C977" t="s">
        <v>3050</v>
      </c>
      <c r="E977" t="s">
        <v>19</v>
      </c>
      <c r="F977" t="s">
        <v>109</v>
      </c>
      <c r="G977" t="s">
        <v>68</v>
      </c>
      <c r="H977" t="s">
        <v>69</v>
      </c>
      <c r="J977">
        <v>0.16373811493591359</v>
      </c>
      <c r="K977">
        <v>0.13881876230402779</v>
      </c>
      <c r="L977">
        <v>0.5713848340983263</v>
      </c>
      <c r="M977">
        <v>0.36795550076619488</v>
      </c>
      <c r="N977" t="s">
        <v>1</v>
      </c>
      <c r="P977" t="s">
        <v>24</v>
      </c>
      <c r="Q977" t="s">
        <v>22</v>
      </c>
      <c r="R977" t="s">
        <v>1766</v>
      </c>
      <c r="S977" t="s">
        <v>5</v>
      </c>
      <c r="T977" t="s">
        <v>3051</v>
      </c>
    </row>
    <row r="978" spans="1:21" x14ac:dyDescent="0.3">
      <c r="A978" s="64">
        <v>46142</v>
      </c>
      <c r="B978" t="s">
        <v>3052</v>
      </c>
      <c r="C978" t="s">
        <v>3053</v>
      </c>
      <c r="E978" t="s">
        <v>19</v>
      </c>
      <c r="F978" t="s">
        <v>109</v>
      </c>
      <c r="G978" t="s">
        <v>98</v>
      </c>
      <c r="H978" t="s">
        <v>3054</v>
      </c>
      <c r="J978">
        <v>0.56939898245067122</v>
      </c>
      <c r="K978">
        <v>0.27174051633566942</v>
      </c>
      <c r="L978">
        <v>0.35390496577778641</v>
      </c>
      <c r="M978">
        <v>0.35709393807090078</v>
      </c>
      <c r="N978" t="s">
        <v>1</v>
      </c>
      <c r="P978" t="s">
        <v>24</v>
      </c>
      <c r="Q978" t="s">
        <v>22</v>
      </c>
      <c r="R978" t="s">
        <v>1766</v>
      </c>
      <c r="S978" t="s">
        <v>5</v>
      </c>
      <c r="T978" t="s">
        <v>3055</v>
      </c>
    </row>
    <row r="979" spans="1:21" x14ac:dyDescent="0.3">
      <c r="A979" s="64">
        <v>46142</v>
      </c>
      <c r="B979" t="s">
        <v>3056</v>
      </c>
      <c r="C979" t="s">
        <v>3057</v>
      </c>
      <c r="E979" t="s">
        <v>66</v>
      </c>
      <c r="F979" t="s">
        <v>103</v>
      </c>
      <c r="G979" t="s">
        <v>68</v>
      </c>
      <c r="H979" t="s">
        <v>69</v>
      </c>
      <c r="J979">
        <v>1.743792189729386</v>
      </c>
      <c r="K979">
        <v>0</v>
      </c>
      <c r="L979">
        <v>0.20704876911661399</v>
      </c>
      <c r="M979">
        <v>0.3569869276009966</v>
      </c>
      <c r="N979" t="s">
        <v>1</v>
      </c>
      <c r="P979" t="s">
        <v>24</v>
      </c>
      <c r="Q979" t="s">
        <v>22</v>
      </c>
      <c r="R979" t="s">
        <v>1766</v>
      </c>
      <c r="S979" t="s">
        <v>5</v>
      </c>
      <c r="T979" t="s">
        <v>3058</v>
      </c>
      <c r="U979" t="s">
        <v>3059</v>
      </c>
    </row>
    <row r="980" spans="1:21" x14ac:dyDescent="0.3">
      <c r="A980" s="64">
        <v>46142</v>
      </c>
      <c r="B980" t="s">
        <v>3060</v>
      </c>
      <c r="C980" t="s">
        <v>3061</v>
      </c>
      <c r="E980" t="s">
        <v>66</v>
      </c>
      <c r="F980" t="s">
        <v>396</v>
      </c>
      <c r="G980" t="s">
        <v>116</v>
      </c>
      <c r="H980" t="s">
        <v>285</v>
      </c>
      <c r="J980">
        <v>0.50208026090188596</v>
      </c>
      <c r="K980">
        <v>0.42872843926272741</v>
      </c>
      <c r="L980">
        <v>0.1766446799615643</v>
      </c>
      <c r="M980">
        <v>0.30774427636666629</v>
      </c>
      <c r="N980" t="s">
        <v>1</v>
      </c>
      <c r="P980" t="s">
        <v>24</v>
      </c>
      <c r="Q980" t="s">
        <v>22</v>
      </c>
      <c r="R980" t="s">
        <v>1766</v>
      </c>
      <c r="S980" t="s">
        <v>5</v>
      </c>
      <c r="T980" t="s">
        <v>3062</v>
      </c>
    </row>
    <row r="981" spans="1:21" x14ac:dyDescent="0.3">
      <c r="A981" s="64">
        <v>46142</v>
      </c>
      <c r="B981" t="s">
        <v>3063</v>
      </c>
      <c r="C981" t="s">
        <v>3064</v>
      </c>
      <c r="E981" t="s">
        <v>19</v>
      </c>
      <c r="F981" t="s">
        <v>261</v>
      </c>
      <c r="G981" t="s">
        <v>110</v>
      </c>
      <c r="H981" t="s">
        <v>3065</v>
      </c>
      <c r="J981">
        <v>0.91175513684789111</v>
      </c>
      <c r="K981">
        <v>0.44841108321948098</v>
      </c>
      <c r="L981">
        <v>0</v>
      </c>
      <c r="M981">
        <v>0.28073532186129929</v>
      </c>
      <c r="N981" t="s">
        <v>1</v>
      </c>
      <c r="P981" t="s">
        <v>24</v>
      </c>
      <c r="Q981" t="s">
        <v>22</v>
      </c>
      <c r="R981" t="s">
        <v>1766</v>
      </c>
      <c r="S981" t="s">
        <v>5</v>
      </c>
      <c r="T981" t="s">
        <v>3066</v>
      </c>
    </row>
    <row r="982" spans="1:21" x14ac:dyDescent="0.3">
      <c r="A982" s="64">
        <v>46142</v>
      </c>
      <c r="B982" t="s">
        <v>3067</v>
      </c>
      <c r="C982" t="s">
        <v>3068</v>
      </c>
      <c r="E982" t="s">
        <v>19</v>
      </c>
      <c r="F982" t="s">
        <v>221</v>
      </c>
      <c r="G982" t="s">
        <v>143</v>
      </c>
      <c r="H982" t="s">
        <v>3067</v>
      </c>
      <c r="J982">
        <v>1.333216127519925</v>
      </c>
      <c r="K982">
        <v>0.24625419084387379</v>
      </c>
      <c r="L982">
        <v>0</v>
      </c>
      <c r="M982">
        <v>0.27305351191080629</v>
      </c>
      <c r="N982" t="s">
        <v>145</v>
      </c>
      <c r="P982" t="s">
        <v>19</v>
      </c>
      <c r="Q982" t="s">
        <v>11</v>
      </c>
      <c r="R982" t="s">
        <v>80</v>
      </c>
      <c r="S982" t="s">
        <v>10</v>
      </c>
      <c r="T982" t="s">
        <v>3069</v>
      </c>
      <c r="U982" t="s">
        <v>2775</v>
      </c>
    </row>
    <row r="983" spans="1:21" x14ac:dyDescent="0.3">
      <c r="A983" s="64">
        <v>46142</v>
      </c>
      <c r="B983" t="s">
        <v>3070</v>
      </c>
      <c r="C983" t="s">
        <v>3071</v>
      </c>
      <c r="E983" t="s">
        <v>19</v>
      </c>
      <c r="F983" t="s">
        <v>109</v>
      </c>
      <c r="G983" t="s">
        <v>110</v>
      </c>
      <c r="H983" t="s">
        <v>3072</v>
      </c>
      <c r="J983">
        <v>0.88548486832533091</v>
      </c>
      <c r="K983">
        <v>0.43619134990899772</v>
      </c>
      <c r="L983">
        <v>0</v>
      </c>
      <c r="M983">
        <v>0.27288162453021442</v>
      </c>
      <c r="N983" t="s">
        <v>1</v>
      </c>
      <c r="P983" t="s">
        <v>24</v>
      </c>
      <c r="Q983" t="s">
        <v>22</v>
      </c>
      <c r="R983" t="s">
        <v>1766</v>
      </c>
      <c r="S983" t="s">
        <v>5</v>
      </c>
      <c r="T983" t="s">
        <v>3073</v>
      </c>
    </row>
    <row r="984" spans="1:21" x14ac:dyDescent="0.3">
      <c r="A984" s="64">
        <v>46142</v>
      </c>
      <c r="B984" t="s">
        <v>527</v>
      </c>
      <c r="C984" t="s">
        <v>528</v>
      </c>
      <c r="E984" t="s">
        <v>19</v>
      </c>
      <c r="F984" t="s">
        <v>261</v>
      </c>
      <c r="G984" t="s">
        <v>122</v>
      </c>
      <c r="H984" t="s">
        <v>529</v>
      </c>
      <c r="J984">
        <v>0.32787315906041348</v>
      </c>
      <c r="K984">
        <v>0.67018702122668006</v>
      </c>
      <c r="L984">
        <v>0</v>
      </c>
      <c r="M984">
        <v>0.27180976977359278</v>
      </c>
      <c r="N984" t="s">
        <v>145</v>
      </c>
      <c r="P984" t="s">
        <v>19</v>
      </c>
      <c r="Q984" t="s">
        <v>11</v>
      </c>
      <c r="R984" t="s">
        <v>80</v>
      </c>
      <c r="S984" t="s">
        <v>10</v>
      </c>
      <c r="T984" t="s">
        <v>3074</v>
      </c>
      <c r="U984" t="s">
        <v>3075</v>
      </c>
    </row>
    <row r="985" spans="1:21" x14ac:dyDescent="0.3">
      <c r="A985" s="64">
        <v>46142</v>
      </c>
      <c r="B985" t="s">
        <v>3076</v>
      </c>
      <c r="C985" t="s">
        <v>3077</v>
      </c>
      <c r="E985" t="s">
        <v>19</v>
      </c>
      <c r="F985" t="s">
        <v>109</v>
      </c>
      <c r="G985" t="s">
        <v>122</v>
      </c>
      <c r="H985" t="s">
        <v>123</v>
      </c>
      <c r="J985">
        <v>0.104287815386337</v>
      </c>
      <c r="K985">
        <v>0.76129845534509089</v>
      </c>
      <c r="L985">
        <v>0</v>
      </c>
      <c r="M985">
        <v>0.270468962683309</v>
      </c>
      <c r="N985" t="s">
        <v>1</v>
      </c>
      <c r="P985" t="s">
        <v>24</v>
      </c>
      <c r="Q985" t="s">
        <v>22</v>
      </c>
      <c r="R985" t="s">
        <v>1766</v>
      </c>
      <c r="S985" t="s">
        <v>5</v>
      </c>
      <c r="T985" t="s">
        <v>3078</v>
      </c>
      <c r="U985" t="s">
        <v>3079</v>
      </c>
    </row>
    <row r="986" spans="1:21" x14ac:dyDescent="0.3">
      <c r="A986" s="64">
        <v>46142</v>
      </c>
      <c r="B986" t="s">
        <v>3080</v>
      </c>
      <c r="C986" t="s">
        <v>3081</v>
      </c>
      <c r="E986" t="s">
        <v>19</v>
      </c>
      <c r="G986" t="s">
        <v>116</v>
      </c>
      <c r="H986" t="s">
        <v>117</v>
      </c>
      <c r="J986">
        <v>0.33284674012525528</v>
      </c>
      <c r="K986">
        <v>0.52217742620983232</v>
      </c>
      <c r="L986">
        <v>8.139677411588056E-2</v>
      </c>
      <c r="M986">
        <v>0.26527895489294667</v>
      </c>
      <c r="N986" t="s">
        <v>1</v>
      </c>
      <c r="P986" t="s">
        <v>24</v>
      </c>
      <c r="Q986" t="s">
        <v>22</v>
      </c>
      <c r="R986" t="s">
        <v>1766</v>
      </c>
      <c r="S986" t="s">
        <v>5</v>
      </c>
      <c r="T986" t="s">
        <v>3082</v>
      </c>
      <c r="U986" t="s">
        <v>3083</v>
      </c>
    </row>
    <row r="987" spans="1:21" x14ac:dyDescent="0.3">
      <c r="A987" s="64">
        <v>46142</v>
      </c>
      <c r="B987" t="s">
        <v>3084</v>
      </c>
      <c r="C987" t="s">
        <v>3085</v>
      </c>
      <c r="E987" t="s">
        <v>19</v>
      </c>
      <c r="F987" t="s">
        <v>820</v>
      </c>
      <c r="G987" t="s">
        <v>143</v>
      </c>
      <c r="H987" t="s">
        <v>3086</v>
      </c>
      <c r="J987">
        <v>0.47122294162342171</v>
      </c>
      <c r="K987">
        <v>0.24333208070441009</v>
      </c>
      <c r="L987">
        <v>0.22284931938616651</v>
      </c>
      <c r="M987">
        <v>0.26519334890079632</v>
      </c>
      <c r="N987" t="s">
        <v>145</v>
      </c>
      <c r="P987" t="s">
        <v>24</v>
      </c>
      <c r="Q987" t="s">
        <v>22</v>
      </c>
      <c r="R987" t="s">
        <v>1766</v>
      </c>
      <c r="S987" t="s">
        <v>5</v>
      </c>
      <c r="T987" t="s">
        <v>3087</v>
      </c>
      <c r="U987" t="s">
        <v>2869</v>
      </c>
    </row>
    <row r="988" spans="1:21" x14ac:dyDescent="0.3">
      <c r="A988" s="64">
        <v>46142</v>
      </c>
      <c r="B988" t="s">
        <v>1579</v>
      </c>
      <c r="C988" t="s">
        <v>1580</v>
      </c>
      <c r="E988" t="s">
        <v>66</v>
      </c>
      <c r="F988" t="s">
        <v>193</v>
      </c>
      <c r="G988" t="s">
        <v>143</v>
      </c>
      <c r="H988" t="s">
        <v>1581</v>
      </c>
      <c r="J988">
        <v>0.84532166933410924</v>
      </c>
      <c r="K988">
        <v>0.42397161659851401</v>
      </c>
      <c r="L988">
        <v>0</v>
      </c>
      <c r="M988">
        <v>0.26304401801270377</v>
      </c>
      <c r="N988" t="s">
        <v>145</v>
      </c>
      <c r="P988" t="s">
        <v>24</v>
      </c>
      <c r="Q988" t="s">
        <v>22</v>
      </c>
      <c r="R988" t="s">
        <v>1766</v>
      </c>
      <c r="S988" t="s">
        <v>5</v>
      </c>
      <c r="T988" t="s">
        <v>3088</v>
      </c>
      <c r="U988" t="s">
        <v>3089</v>
      </c>
    </row>
    <row r="989" spans="1:21" x14ac:dyDescent="0.3">
      <c r="A989" s="64">
        <v>46142</v>
      </c>
      <c r="B989" t="s">
        <v>3090</v>
      </c>
      <c r="C989" t="s">
        <v>3091</v>
      </c>
      <c r="E989" t="s">
        <v>19</v>
      </c>
      <c r="F989" t="s">
        <v>261</v>
      </c>
      <c r="G989" t="s">
        <v>98</v>
      </c>
      <c r="H989" t="s">
        <v>3090</v>
      </c>
      <c r="J989">
        <v>0.83792449512207789</v>
      </c>
      <c r="K989">
        <v>0.4157125201029544</v>
      </c>
      <c r="L989">
        <v>0</v>
      </c>
      <c r="M989">
        <v>0.25921502826503218</v>
      </c>
      <c r="N989" t="s">
        <v>1</v>
      </c>
      <c r="P989" t="s">
        <v>24</v>
      </c>
      <c r="Q989" t="s">
        <v>22</v>
      </c>
      <c r="R989" t="s">
        <v>1766</v>
      </c>
      <c r="S989" t="s">
        <v>5</v>
      </c>
      <c r="T989" t="s">
        <v>3092</v>
      </c>
    </row>
    <row r="990" spans="1:21" x14ac:dyDescent="0.3">
      <c r="A990" s="64">
        <v>46142</v>
      </c>
      <c r="B990" t="s">
        <v>3093</v>
      </c>
      <c r="C990" t="s">
        <v>3094</v>
      </c>
      <c r="E990" t="s">
        <v>66</v>
      </c>
      <c r="F990" t="s">
        <v>396</v>
      </c>
      <c r="G990" t="s">
        <v>355</v>
      </c>
      <c r="H990" t="s">
        <v>3095</v>
      </c>
      <c r="J990">
        <v>0.59120734112549911</v>
      </c>
      <c r="K990">
        <v>0.25899022817915662</v>
      </c>
      <c r="L990">
        <v>0.16296454985805481</v>
      </c>
      <c r="M990">
        <v>0.25635450863113329</v>
      </c>
      <c r="N990" t="s">
        <v>1</v>
      </c>
      <c r="P990" t="s">
        <v>24</v>
      </c>
      <c r="Q990" t="s">
        <v>22</v>
      </c>
      <c r="R990" t="s">
        <v>1766</v>
      </c>
      <c r="S990" t="s">
        <v>5</v>
      </c>
      <c r="T990" t="s">
        <v>3096</v>
      </c>
    </row>
    <row r="991" spans="1:21" x14ac:dyDescent="0.3">
      <c r="A991" s="64">
        <v>46142</v>
      </c>
      <c r="B991" t="s">
        <v>3097</v>
      </c>
      <c r="C991" t="s">
        <v>3098</v>
      </c>
      <c r="E991" t="s">
        <v>19</v>
      </c>
      <c r="F991" t="s">
        <v>221</v>
      </c>
      <c r="G991" t="s">
        <v>200</v>
      </c>
      <c r="H991" t="s">
        <v>3099</v>
      </c>
      <c r="J991">
        <v>0.20170637347177761</v>
      </c>
      <c r="K991">
        <v>0.59979480536260155</v>
      </c>
      <c r="L991">
        <v>0</v>
      </c>
      <c r="M991">
        <v>0.23016168568599429</v>
      </c>
      <c r="N991" t="s">
        <v>1</v>
      </c>
      <c r="P991" t="s">
        <v>24</v>
      </c>
      <c r="Q991" t="s">
        <v>22</v>
      </c>
      <c r="R991" t="s">
        <v>1766</v>
      </c>
      <c r="S991" t="s">
        <v>5</v>
      </c>
      <c r="T991" t="s">
        <v>3100</v>
      </c>
    </row>
    <row r="992" spans="1:21" x14ac:dyDescent="0.3">
      <c r="A992" s="64">
        <v>46142</v>
      </c>
      <c r="B992" t="s">
        <v>3101</v>
      </c>
      <c r="C992" t="s">
        <v>3102</v>
      </c>
      <c r="E992" t="s">
        <v>66</v>
      </c>
      <c r="F992" t="s">
        <v>396</v>
      </c>
      <c r="G992" t="s">
        <v>181</v>
      </c>
      <c r="H992" t="s">
        <v>3103</v>
      </c>
      <c r="J992">
        <v>0.3447118209177128</v>
      </c>
      <c r="K992">
        <v>0.44339127064271661</v>
      </c>
      <c r="L992">
        <v>4.8222458614870407E-2</v>
      </c>
      <c r="M992">
        <v>0.22322384022052719</v>
      </c>
      <c r="N992" t="s">
        <v>1</v>
      </c>
      <c r="P992" t="s">
        <v>12</v>
      </c>
      <c r="Q992" t="s">
        <v>14</v>
      </c>
      <c r="R992" t="s">
        <v>146</v>
      </c>
      <c r="S992" t="s">
        <v>5</v>
      </c>
      <c r="T992" t="s">
        <v>3104</v>
      </c>
      <c r="U992" t="s">
        <v>3105</v>
      </c>
    </row>
    <row r="993" spans="1:21" x14ac:dyDescent="0.3">
      <c r="A993" s="64">
        <v>46142</v>
      </c>
      <c r="B993" t="s">
        <v>3106</v>
      </c>
      <c r="C993" t="s">
        <v>3107</v>
      </c>
      <c r="E993" t="s">
        <v>19</v>
      </c>
      <c r="F993" t="s">
        <v>261</v>
      </c>
      <c r="G993" t="s">
        <v>110</v>
      </c>
      <c r="H993" t="s">
        <v>3108</v>
      </c>
      <c r="J993">
        <v>0.39759041013951529</v>
      </c>
      <c r="K993">
        <v>0.24811371547807801</v>
      </c>
      <c r="L993">
        <v>0.1103986499353202</v>
      </c>
      <c r="M993">
        <v>0.1976421426501179</v>
      </c>
      <c r="N993" t="s">
        <v>1</v>
      </c>
      <c r="P993" t="s">
        <v>24</v>
      </c>
      <c r="Q993" t="s">
        <v>22</v>
      </c>
      <c r="R993" t="s">
        <v>1766</v>
      </c>
      <c r="S993" t="s">
        <v>5</v>
      </c>
      <c r="T993" t="s">
        <v>3109</v>
      </c>
      <c r="U993" t="s">
        <v>2869</v>
      </c>
    </row>
    <row r="994" spans="1:21" x14ac:dyDescent="0.3">
      <c r="A994" s="64">
        <v>46142</v>
      </c>
      <c r="B994" t="s">
        <v>197</v>
      </c>
      <c r="C994" t="s">
        <v>198</v>
      </c>
      <c r="E994" t="s">
        <v>19</v>
      </c>
      <c r="F994" t="s">
        <v>199</v>
      </c>
      <c r="G994" t="s">
        <v>200</v>
      </c>
      <c r="H994" t="s">
        <v>201</v>
      </c>
      <c r="J994">
        <v>0.2275914609502562</v>
      </c>
      <c r="K994">
        <v>0.33820698364105378</v>
      </c>
      <c r="L994">
        <v>9.1930474295582681E-2</v>
      </c>
      <c r="M994">
        <v>0.1939807153916501</v>
      </c>
      <c r="N994" t="s">
        <v>1</v>
      </c>
      <c r="P994" t="s">
        <v>24</v>
      </c>
      <c r="Q994" t="s">
        <v>22</v>
      </c>
      <c r="R994" t="s">
        <v>1766</v>
      </c>
      <c r="S994" t="s">
        <v>5</v>
      </c>
      <c r="T994" t="s">
        <v>3110</v>
      </c>
      <c r="U994" t="s">
        <v>2869</v>
      </c>
    </row>
    <row r="995" spans="1:21" x14ac:dyDescent="0.3">
      <c r="A995" s="64">
        <v>46142</v>
      </c>
      <c r="B995" t="s">
        <v>3111</v>
      </c>
      <c r="C995" t="s">
        <v>3112</v>
      </c>
      <c r="E995" t="s">
        <v>19</v>
      </c>
      <c r="F995" t="s">
        <v>221</v>
      </c>
      <c r="G995" t="s">
        <v>200</v>
      </c>
      <c r="H995" t="s">
        <v>3111</v>
      </c>
      <c r="J995">
        <v>0.24325258256947471</v>
      </c>
      <c r="K995">
        <v>0.16339143357364239</v>
      </c>
      <c r="L995">
        <v>0.18899099737998151</v>
      </c>
      <c r="M995">
        <v>0.1881454778925962</v>
      </c>
      <c r="N995" t="s">
        <v>1</v>
      </c>
      <c r="P995" t="s">
        <v>24</v>
      </c>
      <c r="Q995" t="s">
        <v>22</v>
      </c>
      <c r="R995" t="s">
        <v>1766</v>
      </c>
      <c r="S995" t="s">
        <v>5</v>
      </c>
      <c r="T995" t="s">
        <v>3113</v>
      </c>
      <c r="U995" t="s">
        <v>2869</v>
      </c>
    </row>
    <row r="996" spans="1:21" x14ac:dyDescent="0.3">
      <c r="A996" s="64">
        <v>46142</v>
      </c>
      <c r="B996" t="s">
        <v>3114</v>
      </c>
      <c r="C996" t="s">
        <v>3115</v>
      </c>
      <c r="E996" t="s">
        <v>19</v>
      </c>
      <c r="F996" t="s">
        <v>221</v>
      </c>
      <c r="G996" t="s">
        <v>200</v>
      </c>
      <c r="H996" t="s">
        <v>3114</v>
      </c>
      <c r="J996">
        <v>0.2280966584218439</v>
      </c>
      <c r="K996">
        <v>0.1524986713354001</v>
      </c>
      <c r="L996">
        <v>0.18940140128308749</v>
      </c>
      <c r="M996">
        <v>0.18253840834471841</v>
      </c>
      <c r="N996" t="s">
        <v>1</v>
      </c>
      <c r="P996" t="s">
        <v>24</v>
      </c>
      <c r="Q996" t="s">
        <v>22</v>
      </c>
      <c r="R996" t="s">
        <v>1766</v>
      </c>
      <c r="S996" t="s">
        <v>5</v>
      </c>
      <c r="T996" t="s">
        <v>3116</v>
      </c>
      <c r="U996" t="s">
        <v>2869</v>
      </c>
    </row>
    <row r="997" spans="1:21" x14ac:dyDescent="0.3">
      <c r="A997" s="64">
        <v>46142</v>
      </c>
      <c r="B997" t="s">
        <v>3117</v>
      </c>
      <c r="C997" t="s">
        <v>3118</v>
      </c>
      <c r="E997" t="s">
        <v>19</v>
      </c>
      <c r="F997" t="s">
        <v>261</v>
      </c>
      <c r="G997" t="s">
        <v>59</v>
      </c>
      <c r="H997" t="s">
        <v>3119</v>
      </c>
      <c r="J997">
        <v>0.1856600708084776</v>
      </c>
      <c r="K997">
        <v>0.104924246287966</v>
      </c>
      <c r="L997">
        <v>0.1536962617129265</v>
      </c>
      <c r="M997">
        <v>0.14188736258110249</v>
      </c>
      <c r="N997" t="s">
        <v>1</v>
      </c>
      <c r="P997" t="s">
        <v>24</v>
      </c>
      <c r="Q997" t="s">
        <v>22</v>
      </c>
      <c r="R997" t="s">
        <v>1766</v>
      </c>
      <c r="S997" t="s">
        <v>5</v>
      </c>
      <c r="T997" t="s">
        <v>3120</v>
      </c>
    </row>
    <row r="998" spans="1:21" x14ac:dyDescent="0.3">
      <c r="A998" s="64">
        <v>46142</v>
      </c>
      <c r="B998" t="s">
        <v>3121</v>
      </c>
      <c r="C998" t="s">
        <v>3122</v>
      </c>
      <c r="E998" t="s">
        <v>19</v>
      </c>
      <c r="F998" t="s">
        <v>261</v>
      </c>
      <c r="G998" t="s">
        <v>200</v>
      </c>
      <c r="H998" t="s">
        <v>3123</v>
      </c>
      <c r="J998">
        <v>0.16772556056711449</v>
      </c>
      <c r="K998">
        <v>9.9628922910757894E-2</v>
      </c>
      <c r="L998">
        <v>0.1240787800388303</v>
      </c>
      <c r="M998">
        <v>0.1221034372198677</v>
      </c>
      <c r="N998" t="s">
        <v>1</v>
      </c>
      <c r="P998" t="s">
        <v>24</v>
      </c>
      <c r="Q998" t="s">
        <v>22</v>
      </c>
      <c r="R998" t="s">
        <v>1766</v>
      </c>
      <c r="S998" t="s">
        <v>5</v>
      </c>
      <c r="T998" t="s">
        <v>3124</v>
      </c>
      <c r="U998" t="s">
        <v>2869</v>
      </c>
    </row>
    <row r="999" spans="1:21" x14ac:dyDescent="0.3">
      <c r="A999" s="64">
        <v>46142</v>
      </c>
      <c r="B999" t="s">
        <v>3125</v>
      </c>
      <c r="C999" t="s">
        <v>3126</v>
      </c>
      <c r="E999" t="s">
        <v>19</v>
      </c>
      <c r="F999" t="s">
        <v>221</v>
      </c>
      <c r="G999" t="s">
        <v>143</v>
      </c>
      <c r="H999" t="s">
        <v>3127</v>
      </c>
      <c r="J999">
        <v>0.2053627722003977</v>
      </c>
      <c r="K999">
        <v>0.2250024807386847</v>
      </c>
      <c r="L999">
        <v>0</v>
      </c>
      <c r="M999">
        <v>0.1048617128492807</v>
      </c>
      <c r="N999" t="s">
        <v>145</v>
      </c>
      <c r="P999" t="s">
        <v>24</v>
      </c>
      <c r="Q999" t="s">
        <v>22</v>
      </c>
      <c r="R999" t="s">
        <v>1766</v>
      </c>
      <c r="S999" t="s">
        <v>5</v>
      </c>
      <c r="T999" t="s">
        <v>3128</v>
      </c>
    </row>
    <row r="1000" spans="1:21" x14ac:dyDescent="0.3">
      <c r="A1000" s="64">
        <v>46142</v>
      </c>
      <c r="B1000" t="s">
        <v>846</v>
      </c>
      <c r="C1000" t="s">
        <v>847</v>
      </c>
      <c r="E1000" t="s">
        <v>19</v>
      </c>
      <c r="F1000" t="s">
        <v>820</v>
      </c>
      <c r="G1000" t="s">
        <v>59</v>
      </c>
      <c r="H1000" t="s">
        <v>848</v>
      </c>
      <c r="J1000">
        <v>0.147012464232019</v>
      </c>
      <c r="K1000">
        <v>0.24809935704546951</v>
      </c>
      <c r="L1000">
        <v>0</v>
      </c>
      <c r="M1000">
        <v>0.10428318204223309</v>
      </c>
      <c r="N1000" t="s">
        <v>156</v>
      </c>
      <c r="O1000" t="s">
        <v>2843</v>
      </c>
      <c r="P1000" t="s">
        <v>157</v>
      </c>
      <c r="Q1000" t="s">
        <v>157</v>
      </c>
      <c r="R1000" t="s">
        <v>2570</v>
      </c>
      <c r="S1000" t="s">
        <v>157</v>
      </c>
      <c r="T1000" t="s">
        <v>3129</v>
      </c>
    </row>
    <row r="1001" spans="1:21" x14ac:dyDescent="0.3">
      <c r="A1001" s="64">
        <v>46142</v>
      </c>
      <c r="B1001" t="s">
        <v>1692</v>
      </c>
      <c r="C1001" t="s">
        <v>1693</v>
      </c>
      <c r="E1001" t="s">
        <v>19</v>
      </c>
      <c r="F1001" t="s">
        <v>261</v>
      </c>
      <c r="G1001" t="s">
        <v>98</v>
      </c>
      <c r="H1001" t="s">
        <v>1694</v>
      </c>
      <c r="J1001">
        <v>0.59987350574919363</v>
      </c>
      <c r="K1001">
        <v>0</v>
      </c>
      <c r="L1001">
        <v>0</v>
      </c>
      <c r="M1001">
        <v>8.5661881158452538E-2</v>
      </c>
      <c r="N1001" t="s">
        <v>1</v>
      </c>
      <c r="P1001" t="s">
        <v>19</v>
      </c>
      <c r="Q1001" t="s">
        <v>11</v>
      </c>
      <c r="R1001" t="s">
        <v>80</v>
      </c>
      <c r="S1001" t="s">
        <v>10</v>
      </c>
      <c r="T1001" t="s">
        <v>3130</v>
      </c>
      <c r="U1001" t="s">
        <v>3131</v>
      </c>
    </row>
    <row r="1002" spans="1:21" x14ac:dyDescent="0.3">
      <c r="A1002" s="64">
        <v>46142</v>
      </c>
      <c r="B1002" t="s">
        <v>3132</v>
      </c>
      <c r="C1002" t="s">
        <v>3133</v>
      </c>
      <c r="E1002" t="s">
        <v>19</v>
      </c>
      <c r="F1002" t="s">
        <v>221</v>
      </c>
      <c r="G1002" t="s">
        <v>68</v>
      </c>
      <c r="H1002" t="s">
        <v>3132</v>
      </c>
      <c r="J1002">
        <v>0.26434457700826097</v>
      </c>
      <c r="K1002">
        <v>0.13440928764990029</v>
      </c>
      <c r="L1002">
        <v>0</v>
      </c>
      <c r="M1002">
        <v>8.28711292992724E-2</v>
      </c>
      <c r="N1002" t="s">
        <v>1</v>
      </c>
      <c r="P1002" t="s">
        <v>24</v>
      </c>
      <c r="Q1002" t="s">
        <v>22</v>
      </c>
      <c r="R1002" t="s">
        <v>1766</v>
      </c>
      <c r="S1002" t="s">
        <v>5</v>
      </c>
      <c r="T1002" t="s">
        <v>3134</v>
      </c>
    </row>
    <row r="1003" spans="1:21" x14ac:dyDescent="0.3">
      <c r="A1003" s="64">
        <v>46142</v>
      </c>
      <c r="B1003" t="s">
        <v>580</v>
      </c>
      <c r="C1003" t="s">
        <v>581</v>
      </c>
      <c r="E1003" t="s">
        <v>66</v>
      </c>
      <c r="F1003" t="s">
        <v>396</v>
      </c>
      <c r="G1003" t="s">
        <v>143</v>
      </c>
      <c r="H1003" t="s">
        <v>290</v>
      </c>
      <c r="J1003">
        <v>4.8709279042720287E-2</v>
      </c>
      <c r="K1003">
        <v>0.17653836476704371</v>
      </c>
      <c r="L1003">
        <v>2.547924231778614E-2</v>
      </c>
      <c r="M1003">
        <v>7.950877913895095E-2</v>
      </c>
      <c r="N1003" t="s">
        <v>1</v>
      </c>
      <c r="P1003" t="s">
        <v>7</v>
      </c>
      <c r="Q1003" t="s">
        <v>11</v>
      </c>
      <c r="R1003" t="s">
        <v>70</v>
      </c>
      <c r="S1003" t="s">
        <v>10</v>
      </c>
      <c r="T1003" t="s">
        <v>3135</v>
      </c>
      <c r="U1003" t="s">
        <v>3136</v>
      </c>
    </row>
    <row r="1004" spans="1:21" x14ac:dyDescent="0.3">
      <c r="A1004" s="64">
        <v>46142</v>
      </c>
      <c r="B1004" t="s">
        <v>906</v>
      </c>
      <c r="C1004" t="s">
        <v>907</v>
      </c>
      <c r="G1004" t="s">
        <v>68</v>
      </c>
      <c r="H1004" t="s">
        <v>906</v>
      </c>
      <c r="J1004">
        <v>0.25297763389753791</v>
      </c>
      <c r="K1004">
        <v>0.12511220253577701</v>
      </c>
      <c r="L1004">
        <v>0</v>
      </c>
      <c r="M1004">
        <v>7.8126792168470932E-2</v>
      </c>
      <c r="N1004" t="s">
        <v>1</v>
      </c>
      <c r="P1004" t="s">
        <v>24</v>
      </c>
      <c r="Q1004" t="s">
        <v>22</v>
      </c>
      <c r="R1004" t="s">
        <v>1766</v>
      </c>
      <c r="S1004" t="s">
        <v>5</v>
      </c>
      <c r="T1004" t="s">
        <v>3137</v>
      </c>
    </row>
    <row r="1005" spans="1:21" x14ac:dyDescent="0.3">
      <c r="A1005" s="64">
        <v>46142</v>
      </c>
      <c r="B1005" t="s">
        <v>3138</v>
      </c>
      <c r="C1005" t="s">
        <v>3139</v>
      </c>
      <c r="G1005" t="s">
        <v>68</v>
      </c>
      <c r="H1005" t="s">
        <v>3138</v>
      </c>
      <c r="J1005">
        <v>7.4137728955494114E-2</v>
      </c>
      <c r="K1005">
        <v>3.4532030423887541E-2</v>
      </c>
      <c r="L1005">
        <v>0.10137914942341431</v>
      </c>
      <c r="M1005">
        <v>7.5047728235342698E-2</v>
      </c>
      <c r="N1005" t="s">
        <v>1</v>
      </c>
      <c r="P1005" t="s">
        <v>24</v>
      </c>
      <c r="Q1005" t="s">
        <v>22</v>
      </c>
      <c r="R1005" t="s">
        <v>1766</v>
      </c>
      <c r="S1005" t="s">
        <v>5</v>
      </c>
      <c r="T1005" t="s">
        <v>3140</v>
      </c>
    </row>
    <row r="1006" spans="1:21" x14ac:dyDescent="0.3">
      <c r="A1006" s="64">
        <v>46142</v>
      </c>
      <c r="B1006" t="s">
        <v>1682</v>
      </c>
      <c r="C1006" t="s">
        <v>1683</v>
      </c>
      <c r="E1006" t="s">
        <v>19</v>
      </c>
      <c r="F1006" t="s">
        <v>221</v>
      </c>
      <c r="G1006" t="s">
        <v>98</v>
      </c>
      <c r="H1006" t="s">
        <v>1684</v>
      </c>
      <c r="J1006">
        <v>8.0682549388711042E-2</v>
      </c>
      <c r="K1006">
        <v>5.950134473039087E-2</v>
      </c>
      <c r="L1006">
        <v>7.4898712316714161E-2</v>
      </c>
      <c r="M1006">
        <v>7.0555569823618491E-2</v>
      </c>
      <c r="N1006" t="s">
        <v>1</v>
      </c>
      <c r="P1006" t="s">
        <v>24</v>
      </c>
      <c r="Q1006" t="s">
        <v>22</v>
      </c>
      <c r="R1006" t="s">
        <v>1766</v>
      </c>
      <c r="S1006" t="s">
        <v>5</v>
      </c>
      <c r="T1006" t="s">
        <v>3141</v>
      </c>
    </row>
    <row r="1007" spans="1:21" x14ac:dyDescent="0.3">
      <c r="A1007" s="64">
        <v>46142</v>
      </c>
      <c r="B1007" t="s">
        <v>787</v>
      </c>
      <c r="C1007" t="s">
        <v>788</v>
      </c>
      <c r="E1007" t="s">
        <v>19</v>
      </c>
      <c r="F1007" t="s">
        <v>109</v>
      </c>
      <c r="G1007" t="s">
        <v>143</v>
      </c>
      <c r="H1007" t="s">
        <v>789</v>
      </c>
      <c r="J1007">
        <v>0.26358678080087938</v>
      </c>
      <c r="K1007">
        <v>9.51014027207195E-2</v>
      </c>
      <c r="L1007">
        <v>0</v>
      </c>
      <c r="M1007">
        <v>6.9566805722403022E-2</v>
      </c>
      <c r="N1007" t="s">
        <v>145</v>
      </c>
      <c r="P1007" t="s">
        <v>24</v>
      </c>
      <c r="Q1007" t="s">
        <v>22</v>
      </c>
      <c r="R1007" t="s">
        <v>1766</v>
      </c>
      <c r="S1007" t="s">
        <v>5</v>
      </c>
      <c r="T1007" t="s">
        <v>3142</v>
      </c>
    </row>
    <row r="1008" spans="1:21" x14ac:dyDescent="0.3">
      <c r="A1008" s="64">
        <v>46142</v>
      </c>
      <c r="B1008" t="s">
        <v>373</v>
      </c>
      <c r="C1008" t="s">
        <v>374</v>
      </c>
      <c r="E1008" t="s">
        <v>19</v>
      </c>
      <c r="F1008" t="s">
        <v>109</v>
      </c>
      <c r="G1008" t="s">
        <v>116</v>
      </c>
      <c r="H1008" t="s">
        <v>375</v>
      </c>
      <c r="J1008">
        <v>0.180102898621013</v>
      </c>
      <c r="K1008">
        <v>0.10704929431405109</v>
      </c>
      <c r="L1008">
        <v>0</v>
      </c>
      <c r="M1008">
        <v>6.1656360080851277E-2</v>
      </c>
      <c r="N1008" t="s">
        <v>145</v>
      </c>
      <c r="P1008" t="s">
        <v>24</v>
      </c>
      <c r="Q1008" t="s">
        <v>22</v>
      </c>
      <c r="R1008" t="s">
        <v>1766</v>
      </c>
      <c r="S1008" t="s">
        <v>5</v>
      </c>
      <c r="T1008" t="s">
        <v>3143</v>
      </c>
    </row>
    <row r="1009" spans="1:21" x14ac:dyDescent="0.3">
      <c r="A1009" s="64">
        <v>46142</v>
      </c>
      <c r="B1009" t="s">
        <v>3144</v>
      </c>
      <c r="C1009" t="s">
        <v>3145</v>
      </c>
      <c r="E1009" t="s">
        <v>19</v>
      </c>
      <c r="F1009" t="s">
        <v>732</v>
      </c>
      <c r="G1009" t="s">
        <v>143</v>
      </c>
      <c r="H1009" t="s">
        <v>3144</v>
      </c>
      <c r="J1009">
        <v>0.42335548119048771</v>
      </c>
      <c r="K1009">
        <v>0</v>
      </c>
      <c r="L1009">
        <v>0</v>
      </c>
      <c r="M1009">
        <v>6.0455123571804451E-2</v>
      </c>
      <c r="N1009" t="s">
        <v>145</v>
      </c>
      <c r="P1009" t="s">
        <v>19</v>
      </c>
      <c r="Q1009" t="s">
        <v>11</v>
      </c>
      <c r="R1009" t="s">
        <v>80</v>
      </c>
      <c r="S1009" t="s">
        <v>10</v>
      </c>
      <c r="T1009" t="s">
        <v>3146</v>
      </c>
      <c r="U1009" t="s">
        <v>1654</v>
      </c>
    </row>
    <row r="1010" spans="1:21" x14ac:dyDescent="0.3">
      <c r="A1010" s="64">
        <v>46142</v>
      </c>
      <c r="B1010" t="s">
        <v>3147</v>
      </c>
      <c r="C1010" t="s">
        <v>3148</v>
      </c>
      <c r="E1010" t="s">
        <v>66</v>
      </c>
      <c r="F1010" t="s">
        <v>193</v>
      </c>
      <c r="G1010" t="s">
        <v>355</v>
      </c>
      <c r="H1010" t="s">
        <v>3149</v>
      </c>
      <c r="J1010">
        <v>0.42146099067203391</v>
      </c>
      <c r="K1010">
        <v>0</v>
      </c>
      <c r="L1010">
        <v>0</v>
      </c>
      <c r="M1010">
        <v>6.0184590500928239E-2</v>
      </c>
      <c r="N1010" t="s">
        <v>1</v>
      </c>
      <c r="P1010" t="s">
        <v>24</v>
      </c>
      <c r="Q1010" t="s">
        <v>22</v>
      </c>
      <c r="R1010" t="s">
        <v>1766</v>
      </c>
      <c r="S1010" t="s">
        <v>5</v>
      </c>
      <c r="T1010" t="s">
        <v>3150</v>
      </c>
    </row>
    <row r="1011" spans="1:21" x14ac:dyDescent="0.3">
      <c r="A1011" s="64">
        <v>46142</v>
      </c>
      <c r="B1011" t="s">
        <v>3151</v>
      </c>
      <c r="C1011" t="s">
        <v>3152</v>
      </c>
      <c r="E1011" t="s">
        <v>19</v>
      </c>
      <c r="F1011" t="s">
        <v>261</v>
      </c>
      <c r="G1011" t="s">
        <v>110</v>
      </c>
      <c r="H1011" t="s">
        <v>3153</v>
      </c>
      <c r="J1011">
        <v>0.28947815121974879</v>
      </c>
      <c r="K1011">
        <v>5.1535397005082632E-2</v>
      </c>
      <c r="L1011">
        <v>0</v>
      </c>
      <c r="M1011">
        <v>5.8638480414610408E-2</v>
      </c>
      <c r="N1011" t="s">
        <v>1</v>
      </c>
      <c r="P1011" t="s">
        <v>24</v>
      </c>
      <c r="Q1011" t="s">
        <v>22</v>
      </c>
      <c r="R1011" t="s">
        <v>1766</v>
      </c>
      <c r="S1011" t="s">
        <v>5</v>
      </c>
      <c r="T1011" t="s">
        <v>3154</v>
      </c>
    </row>
    <row r="1012" spans="1:21" x14ac:dyDescent="0.3">
      <c r="A1012" s="64">
        <v>46142</v>
      </c>
      <c r="B1012" t="s">
        <v>2285</v>
      </c>
      <c r="C1012" t="s">
        <v>2286</v>
      </c>
      <c r="E1012" t="s">
        <v>66</v>
      </c>
      <c r="F1012" t="s">
        <v>193</v>
      </c>
      <c r="G1012" t="s">
        <v>110</v>
      </c>
      <c r="H1012" t="s">
        <v>2285</v>
      </c>
      <c r="J1012">
        <v>0.40832585641075392</v>
      </c>
      <c r="K1012">
        <v>0</v>
      </c>
      <c r="L1012">
        <v>0</v>
      </c>
      <c r="M1012">
        <v>5.8308894542853172E-2</v>
      </c>
      <c r="N1012" t="s">
        <v>1</v>
      </c>
      <c r="P1012" t="s">
        <v>24</v>
      </c>
      <c r="Q1012" t="s">
        <v>22</v>
      </c>
      <c r="R1012" t="s">
        <v>1766</v>
      </c>
      <c r="S1012" t="s">
        <v>5</v>
      </c>
      <c r="T1012" t="s">
        <v>3155</v>
      </c>
    </row>
    <row r="1013" spans="1:21" x14ac:dyDescent="0.3">
      <c r="A1013" s="64">
        <v>46142</v>
      </c>
      <c r="B1013" t="s">
        <v>3156</v>
      </c>
      <c r="C1013" t="s">
        <v>3157</v>
      </c>
      <c r="E1013" t="s">
        <v>66</v>
      </c>
      <c r="F1013" t="s">
        <v>193</v>
      </c>
      <c r="G1013" t="s">
        <v>143</v>
      </c>
      <c r="H1013" t="s">
        <v>3156</v>
      </c>
      <c r="J1013">
        <v>0.1581268086069483</v>
      </c>
      <c r="K1013">
        <v>7.3584046239215717E-2</v>
      </c>
      <c r="L1013">
        <v>0</v>
      </c>
      <c r="M1013">
        <v>4.72835066912419E-2</v>
      </c>
      <c r="N1013" t="s">
        <v>145</v>
      </c>
      <c r="P1013" t="s">
        <v>24</v>
      </c>
      <c r="Q1013" t="s">
        <v>22</v>
      </c>
      <c r="R1013" t="s">
        <v>1766</v>
      </c>
      <c r="S1013" t="s">
        <v>5</v>
      </c>
      <c r="T1013" t="s">
        <v>3158</v>
      </c>
    </row>
    <row r="1014" spans="1:21" x14ac:dyDescent="0.3">
      <c r="A1014" s="64">
        <v>46142</v>
      </c>
      <c r="B1014" t="s">
        <v>910</v>
      </c>
      <c r="C1014" t="s">
        <v>911</v>
      </c>
      <c r="E1014" t="s">
        <v>19</v>
      </c>
      <c r="F1014" t="s">
        <v>109</v>
      </c>
      <c r="G1014" t="s">
        <v>200</v>
      </c>
      <c r="H1014" t="s">
        <v>912</v>
      </c>
      <c r="J1014">
        <v>0.28139499167434567</v>
      </c>
      <c r="K1014">
        <v>0</v>
      </c>
      <c r="L1014">
        <v>0</v>
      </c>
      <c r="M1014">
        <v>4.0183178794146873E-2</v>
      </c>
      <c r="N1014" t="s">
        <v>1</v>
      </c>
      <c r="P1014" t="s">
        <v>24</v>
      </c>
      <c r="Q1014" t="s">
        <v>22</v>
      </c>
      <c r="R1014" t="s">
        <v>1766</v>
      </c>
      <c r="S1014" t="s">
        <v>5</v>
      </c>
      <c r="T1014" t="s">
        <v>3159</v>
      </c>
    </row>
    <row r="1015" spans="1:21" x14ac:dyDescent="0.3">
      <c r="A1015" s="64">
        <v>46142</v>
      </c>
      <c r="B1015" t="s">
        <v>659</v>
      </c>
      <c r="C1015" t="s">
        <v>660</v>
      </c>
      <c r="E1015" t="s">
        <v>19</v>
      </c>
      <c r="F1015" t="s">
        <v>261</v>
      </c>
      <c r="G1015" t="s">
        <v>143</v>
      </c>
      <c r="H1015" t="s">
        <v>659</v>
      </c>
      <c r="J1015">
        <v>0.27204883844997341</v>
      </c>
      <c r="K1015">
        <v>0</v>
      </c>
      <c r="L1015">
        <v>0</v>
      </c>
      <c r="M1015">
        <v>3.8848548977824228E-2</v>
      </c>
      <c r="N1015" t="s">
        <v>145</v>
      </c>
      <c r="P1015" t="s">
        <v>19</v>
      </c>
      <c r="Q1015" t="s">
        <v>11</v>
      </c>
      <c r="R1015" t="s">
        <v>80</v>
      </c>
      <c r="S1015" t="s">
        <v>10</v>
      </c>
      <c r="T1015" t="s">
        <v>3160</v>
      </c>
      <c r="U1015" t="s">
        <v>3161</v>
      </c>
    </row>
    <row r="1016" spans="1:21" x14ac:dyDescent="0.3">
      <c r="A1016" s="64">
        <v>46142</v>
      </c>
      <c r="B1016" t="s">
        <v>3162</v>
      </c>
      <c r="C1016" t="s">
        <v>3163</v>
      </c>
      <c r="E1016" t="s">
        <v>19</v>
      </c>
      <c r="F1016" t="s">
        <v>261</v>
      </c>
      <c r="G1016" t="s">
        <v>110</v>
      </c>
      <c r="H1016" t="s">
        <v>3164</v>
      </c>
      <c r="J1016">
        <v>0.1148061254183035</v>
      </c>
      <c r="K1016">
        <v>5.2863628886656397E-2</v>
      </c>
      <c r="L1016">
        <v>0</v>
      </c>
      <c r="M1016">
        <v>3.4141234042316268E-2</v>
      </c>
      <c r="N1016" t="s">
        <v>1</v>
      </c>
      <c r="P1016" t="s">
        <v>24</v>
      </c>
      <c r="Q1016" t="s">
        <v>22</v>
      </c>
      <c r="R1016" t="s">
        <v>1766</v>
      </c>
      <c r="S1016" t="s">
        <v>5</v>
      </c>
      <c r="T1016" t="s">
        <v>3165</v>
      </c>
    </row>
    <row r="1017" spans="1:21" x14ac:dyDescent="0.3">
      <c r="A1017" s="64">
        <v>46142</v>
      </c>
      <c r="B1017" t="s">
        <v>3166</v>
      </c>
      <c r="C1017" t="s">
        <v>3167</v>
      </c>
      <c r="E1017" t="s">
        <v>19</v>
      </c>
      <c r="F1017" t="s">
        <v>261</v>
      </c>
      <c r="G1017" t="s">
        <v>200</v>
      </c>
      <c r="H1017" t="s">
        <v>3168</v>
      </c>
      <c r="J1017">
        <v>4.0668396462809377E-2</v>
      </c>
      <c r="K1017">
        <v>4.7290528741639873E-2</v>
      </c>
      <c r="L1017">
        <v>2.2503814020272659E-2</v>
      </c>
      <c r="M1017">
        <v>3.3418900735962521E-2</v>
      </c>
      <c r="N1017" t="s">
        <v>1</v>
      </c>
      <c r="P1017" t="s">
        <v>24</v>
      </c>
      <c r="Q1017" t="s">
        <v>22</v>
      </c>
      <c r="R1017" t="s">
        <v>1766</v>
      </c>
      <c r="S1017" t="s">
        <v>5</v>
      </c>
      <c r="T1017" t="s">
        <v>3169</v>
      </c>
    </row>
    <row r="1018" spans="1:21" x14ac:dyDescent="0.3">
      <c r="A1018" s="64">
        <v>46142</v>
      </c>
      <c r="B1018" t="s">
        <v>3170</v>
      </c>
      <c r="C1018" t="s">
        <v>3171</v>
      </c>
      <c r="E1018" t="s">
        <v>19</v>
      </c>
      <c r="F1018" t="s">
        <v>109</v>
      </c>
      <c r="G1018" t="s">
        <v>59</v>
      </c>
      <c r="H1018" t="s">
        <v>3170</v>
      </c>
      <c r="J1018">
        <v>4.483627560340786E-2</v>
      </c>
      <c r="K1018">
        <v>3.5328923433669682E-2</v>
      </c>
      <c r="L1018">
        <v>0</v>
      </c>
      <c r="M1018">
        <v>1.8262943091805348E-2</v>
      </c>
      <c r="N1018" t="s">
        <v>1</v>
      </c>
      <c r="P1018" t="s">
        <v>24</v>
      </c>
      <c r="Q1018" t="s">
        <v>22</v>
      </c>
      <c r="R1018" t="s">
        <v>1766</v>
      </c>
      <c r="S1018" t="s">
        <v>5</v>
      </c>
      <c r="T1018" t="s">
        <v>3172</v>
      </c>
    </row>
    <row r="1019" spans="1:21" x14ac:dyDescent="0.3">
      <c r="A1019" s="64">
        <v>46142</v>
      </c>
      <c r="B1019" t="s">
        <v>3173</v>
      </c>
      <c r="C1019" t="s">
        <v>3174</v>
      </c>
      <c r="E1019" t="s">
        <v>19</v>
      </c>
      <c r="F1019" t="s">
        <v>261</v>
      </c>
      <c r="G1019" t="s">
        <v>143</v>
      </c>
      <c r="H1019" t="s">
        <v>3173</v>
      </c>
      <c r="J1019">
        <v>0</v>
      </c>
      <c r="K1019">
        <v>4.1706481081432267E-2</v>
      </c>
      <c r="L1019">
        <v>0</v>
      </c>
      <c r="M1019">
        <v>1.400134674227727E-2</v>
      </c>
      <c r="N1019" t="s">
        <v>145</v>
      </c>
      <c r="P1019" t="s">
        <v>24</v>
      </c>
      <c r="Q1019" t="s">
        <v>22</v>
      </c>
      <c r="R1019" t="s">
        <v>1766</v>
      </c>
      <c r="S1019" t="s">
        <v>5</v>
      </c>
      <c r="T1019" t="s">
        <v>3175</v>
      </c>
      <c r="U1019" t="s">
        <v>2869</v>
      </c>
    </row>
    <row r="1020" spans="1:21" x14ac:dyDescent="0.3">
      <c r="A1020" s="64">
        <v>46142</v>
      </c>
      <c r="B1020" t="s">
        <v>1287</v>
      </c>
      <c r="C1020" t="s">
        <v>1288</v>
      </c>
      <c r="E1020" t="s">
        <v>19</v>
      </c>
      <c r="F1020" t="s">
        <v>221</v>
      </c>
      <c r="G1020" t="s">
        <v>143</v>
      </c>
      <c r="H1020" t="s">
        <v>1289</v>
      </c>
      <c r="J1020">
        <v>0</v>
      </c>
      <c r="K1020">
        <v>2.337688111570739E-2</v>
      </c>
      <c r="L1020">
        <v>0</v>
      </c>
      <c r="M1020">
        <v>7.8478886198752006E-3</v>
      </c>
      <c r="N1020" t="s">
        <v>145</v>
      </c>
      <c r="P1020" t="s">
        <v>18</v>
      </c>
      <c r="Q1020" t="s">
        <v>18</v>
      </c>
      <c r="R1020" t="s">
        <v>949</v>
      </c>
      <c r="S1020" t="s">
        <v>13</v>
      </c>
      <c r="T1020" t="s">
        <v>3176</v>
      </c>
      <c r="U1020" t="s">
        <v>3177</v>
      </c>
    </row>
    <row r="1021" spans="1:21" x14ac:dyDescent="0.3">
      <c r="A1021" s="64">
        <v>46142</v>
      </c>
      <c r="B1021" t="s">
        <v>1003</v>
      </c>
      <c r="C1021" t="s">
        <v>1004</v>
      </c>
      <c r="E1021" t="s">
        <v>19</v>
      </c>
      <c r="F1021" t="s">
        <v>221</v>
      </c>
      <c r="G1021" t="s">
        <v>122</v>
      </c>
      <c r="H1021" t="s">
        <v>1003</v>
      </c>
      <c r="J1021">
        <v>3.2837835653200119E-3</v>
      </c>
      <c r="K1021">
        <v>2.0453587251072349E-2</v>
      </c>
      <c r="L1021">
        <v>0</v>
      </c>
      <c r="M1021">
        <v>7.335429141716354E-3</v>
      </c>
      <c r="N1021" t="s">
        <v>145</v>
      </c>
      <c r="P1021" t="s">
        <v>24</v>
      </c>
      <c r="Q1021" t="s">
        <v>22</v>
      </c>
      <c r="R1021" t="s">
        <v>1766</v>
      </c>
      <c r="S1021" t="s">
        <v>5</v>
      </c>
      <c r="T1021" t="s">
        <v>3178</v>
      </c>
      <c r="U1021" t="s">
        <v>3179</v>
      </c>
    </row>
    <row r="1022" spans="1:21" x14ac:dyDescent="0.3">
      <c r="A1022" s="64">
        <v>46142</v>
      </c>
      <c r="B1022" t="s">
        <v>3180</v>
      </c>
      <c r="C1022" t="s">
        <v>3181</v>
      </c>
      <c r="E1022" t="s">
        <v>19</v>
      </c>
      <c r="F1022" t="s">
        <v>261</v>
      </c>
      <c r="G1022" t="s">
        <v>200</v>
      </c>
      <c r="H1022" t="s">
        <v>3182</v>
      </c>
      <c r="J1022">
        <v>0</v>
      </c>
      <c r="K1022">
        <v>1.9925784582151881E-2</v>
      </c>
      <c r="L1022">
        <v>0</v>
      </c>
      <c r="M1022">
        <v>6.6893157085562973E-3</v>
      </c>
      <c r="N1022" t="s">
        <v>1</v>
      </c>
      <c r="P1022" t="s">
        <v>24</v>
      </c>
      <c r="Q1022" t="s">
        <v>22</v>
      </c>
      <c r="R1022" t="s">
        <v>1766</v>
      </c>
      <c r="S1022" t="s">
        <v>5</v>
      </c>
      <c r="T1022" t="s">
        <v>3183</v>
      </c>
    </row>
    <row r="1023" spans="1:21" x14ac:dyDescent="0.3">
      <c r="A1023" s="64">
        <v>46142</v>
      </c>
      <c r="B1023" t="s">
        <v>3184</v>
      </c>
      <c r="C1023" t="s">
        <v>3185</v>
      </c>
      <c r="E1023" t="s">
        <v>19</v>
      </c>
      <c r="F1023" t="s">
        <v>109</v>
      </c>
      <c r="G1023" t="s">
        <v>122</v>
      </c>
      <c r="H1023" t="s">
        <v>3184</v>
      </c>
      <c r="J1023">
        <v>3.4100829332169347E-2</v>
      </c>
      <c r="K1023">
        <v>3.453203042388448E-3</v>
      </c>
      <c r="L1023">
        <v>0</v>
      </c>
      <c r="M1023">
        <v>6.0288753664024686E-3</v>
      </c>
      <c r="N1023" t="s">
        <v>145</v>
      </c>
      <c r="P1023" t="s">
        <v>24</v>
      </c>
      <c r="Q1023" t="s">
        <v>22</v>
      </c>
      <c r="R1023" t="s">
        <v>1766</v>
      </c>
      <c r="S1023" t="s">
        <v>5</v>
      </c>
      <c r="T1023" t="s">
        <v>3186</v>
      </c>
      <c r="U1023" t="s">
        <v>3187</v>
      </c>
    </row>
    <row r="1024" spans="1:21" x14ac:dyDescent="0.3">
      <c r="A1024" s="64">
        <v>46142</v>
      </c>
      <c r="B1024" t="s">
        <v>3188</v>
      </c>
      <c r="C1024" t="s">
        <v>3189</v>
      </c>
      <c r="E1024" t="s">
        <v>19</v>
      </c>
      <c r="F1024" t="s">
        <v>221</v>
      </c>
      <c r="G1024" t="s">
        <v>200</v>
      </c>
      <c r="H1024" t="s">
        <v>3190</v>
      </c>
      <c r="J1024">
        <v>0</v>
      </c>
      <c r="K1024">
        <v>1.6737659049007481E-2</v>
      </c>
      <c r="L1024">
        <v>0</v>
      </c>
      <c r="M1024">
        <v>5.6190251951872558E-3</v>
      </c>
      <c r="N1024" t="s">
        <v>1</v>
      </c>
      <c r="P1024" t="s">
        <v>24</v>
      </c>
      <c r="Q1024" t="s">
        <v>22</v>
      </c>
      <c r="R1024" t="s">
        <v>1766</v>
      </c>
      <c r="S1024" t="s">
        <v>5</v>
      </c>
      <c r="T1024" t="s">
        <v>3191</v>
      </c>
    </row>
    <row r="1025" spans="1:21" x14ac:dyDescent="0.3">
      <c r="A1025" s="64">
        <v>46142</v>
      </c>
      <c r="B1025" t="s">
        <v>3192</v>
      </c>
      <c r="C1025" t="s">
        <v>3193</v>
      </c>
      <c r="E1025" t="s">
        <v>19</v>
      </c>
      <c r="F1025" t="s">
        <v>109</v>
      </c>
      <c r="G1025" t="s">
        <v>143</v>
      </c>
      <c r="H1025" t="s">
        <v>3192</v>
      </c>
      <c r="J1025">
        <v>1.326143362917697E-2</v>
      </c>
      <c r="K1025">
        <v>1.0625855052594309E-2</v>
      </c>
      <c r="L1025">
        <v>0</v>
      </c>
      <c r="M1025">
        <v>5.4609535960767818E-3</v>
      </c>
      <c r="N1025" t="s">
        <v>145</v>
      </c>
      <c r="P1025" t="s">
        <v>24</v>
      </c>
      <c r="Q1025" t="s">
        <v>22</v>
      </c>
      <c r="R1025" t="s">
        <v>1766</v>
      </c>
      <c r="S1025" t="s">
        <v>5</v>
      </c>
      <c r="T1025" t="s">
        <v>3194</v>
      </c>
    </row>
    <row r="1026" spans="1:21" x14ac:dyDescent="0.3">
      <c r="A1026" s="64">
        <v>46142</v>
      </c>
      <c r="B1026" t="s">
        <v>3195</v>
      </c>
      <c r="C1026" t="s">
        <v>3196</v>
      </c>
      <c r="E1026" t="s">
        <v>19</v>
      </c>
      <c r="F1026" t="s">
        <v>109</v>
      </c>
      <c r="G1026" t="s">
        <v>59</v>
      </c>
      <c r="H1026" t="s">
        <v>3197</v>
      </c>
      <c r="J1026">
        <v>0</v>
      </c>
      <c r="K1026">
        <v>0</v>
      </c>
      <c r="L1026">
        <v>6.4980617991668068E-3</v>
      </c>
      <c r="M1026">
        <v>3.388664880305156E-3</v>
      </c>
      <c r="N1026" t="s">
        <v>1</v>
      </c>
      <c r="P1026" t="s">
        <v>24</v>
      </c>
      <c r="Q1026" t="s">
        <v>22</v>
      </c>
      <c r="R1026" t="s">
        <v>1766</v>
      </c>
      <c r="S1026" t="s">
        <v>5</v>
      </c>
      <c r="T1026" t="s">
        <v>3198</v>
      </c>
    </row>
    <row r="1027" spans="1:21" x14ac:dyDescent="0.3">
      <c r="A1027" s="64">
        <v>46142</v>
      </c>
      <c r="B1027" t="s">
        <v>1031</v>
      </c>
      <c r="C1027" t="s">
        <v>1032</v>
      </c>
      <c r="E1027" t="s">
        <v>19</v>
      </c>
      <c r="F1027" t="s">
        <v>109</v>
      </c>
      <c r="G1027" t="s">
        <v>122</v>
      </c>
      <c r="H1027" t="s">
        <v>1031</v>
      </c>
      <c r="J1027">
        <v>0</v>
      </c>
      <c r="K1027">
        <v>5.3126200652126054E-4</v>
      </c>
      <c r="L1027">
        <v>0</v>
      </c>
      <c r="M1027">
        <v>1.7835078317392989E-4</v>
      </c>
      <c r="N1027" t="s">
        <v>145</v>
      </c>
      <c r="P1027" t="s">
        <v>18</v>
      </c>
      <c r="Q1027" t="s">
        <v>18</v>
      </c>
      <c r="R1027" t="s">
        <v>949</v>
      </c>
      <c r="S1027" t="s">
        <v>13</v>
      </c>
      <c r="T1027" t="s">
        <v>3199</v>
      </c>
      <c r="U1027" t="s">
        <v>3200</v>
      </c>
    </row>
    <row r="1028" spans="1:21" x14ac:dyDescent="0.3">
      <c r="A1028" s="64">
        <v>46142</v>
      </c>
      <c r="B1028" t="s">
        <v>3201</v>
      </c>
      <c r="C1028" t="s">
        <v>3202</v>
      </c>
      <c r="G1028" t="s">
        <v>68</v>
      </c>
      <c r="H1028" t="s">
        <v>69</v>
      </c>
      <c r="J1028">
        <v>0</v>
      </c>
      <c r="K1028">
        <v>0</v>
      </c>
      <c r="L1028">
        <v>0</v>
      </c>
      <c r="M1028">
        <v>0</v>
      </c>
      <c r="N1028" t="s">
        <v>157</v>
      </c>
      <c r="O1028" t="s">
        <v>2843</v>
      </c>
      <c r="P1028" t="s">
        <v>157</v>
      </c>
      <c r="Q1028" t="s">
        <v>157</v>
      </c>
      <c r="R1028" t="s">
        <v>2570</v>
      </c>
      <c r="S1028" t="s">
        <v>157</v>
      </c>
      <c r="T1028" t="s">
        <v>2636</v>
      </c>
      <c r="U1028" t="s">
        <v>2636</v>
      </c>
    </row>
    <row r="1029" spans="1:21" x14ac:dyDescent="0.3">
      <c r="A1029" s="64">
        <v>46142</v>
      </c>
      <c r="B1029" t="s">
        <v>3203</v>
      </c>
      <c r="C1029" t="s">
        <v>3204</v>
      </c>
      <c r="E1029" t="s">
        <v>19</v>
      </c>
      <c r="F1029" t="s">
        <v>1158</v>
      </c>
      <c r="G1029" t="s">
        <v>59</v>
      </c>
      <c r="H1029" t="s">
        <v>3203</v>
      </c>
      <c r="J1029">
        <v>0</v>
      </c>
      <c r="K1029">
        <v>0</v>
      </c>
      <c r="L1029">
        <v>0</v>
      </c>
      <c r="M1029">
        <v>0</v>
      </c>
      <c r="N1029" t="s">
        <v>157</v>
      </c>
      <c r="O1029" t="s">
        <v>2843</v>
      </c>
      <c r="P1029" t="s">
        <v>157</v>
      </c>
      <c r="Q1029" t="s">
        <v>157</v>
      </c>
      <c r="R1029" t="s">
        <v>2570</v>
      </c>
      <c r="S1029" t="s">
        <v>157</v>
      </c>
      <c r="T1029" t="s">
        <v>2636</v>
      </c>
      <c r="U1029" t="s">
        <v>2636</v>
      </c>
    </row>
    <row r="1030" spans="1:21" x14ac:dyDescent="0.3">
      <c r="A1030" s="64">
        <v>46142</v>
      </c>
      <c r="B1030" t="s">
        <v>3205</v>
      </c>
      <c r="C1030" t="s">
        <v>3206</v>
      </c>
      <c r="E1030" t="s">
        <v>19</v>
      </c>
      <c r="F1030" t="s">
        <v>109</v>
      </c>
      <c r="G1030" t="s">
        <v>68</v>
      </c>
      <c r="H1030" t="s">
        <v>978</v>
      </c>
      <c r="J1030">
        <v>0</v>
      </c>
      <c r="K1030">
        <v>0</v>
      </c>
      <c r="L1030">
        <v>0</v>
      </c>
      <c r="M1030">
        <v>0</v>
      </c>
      <c r="N1030" t="s">
        <v>1</v>
      </c>
      <c r="P1030" t="s">
        <v>19</v>
      </c>
      <c r="Q1030" t="s">
        <v>11</v>
      </c>
      <c r="R1030" t="s">
        <v>80</v>
      </c>
      <c r="S1030" t="s">
        <v>10</v>
      </c>
      <c r="T1030" t="s">
        <v>3207</v>
      </c>
      <c r="U1030" t="s">
        <v>3208</v>
      </c>
    </row>
    <row r="1031" spans="1:21" x14ac:dyDescent="0.3">
      <c r="A1031" s="64">
        <v>46142</v>
      </c>
      <c r="B1031" t="s">
        <v>1820</v>
      </c>
      <c r="C1031" t="s">
        <v>1821</v>
      </c>
      <c r="E1031" t="s">
        <v>19</v>
      </c>
      <c r="F1031" t="s">
        <v>109</v>
      </c>
      <c r="G1031" t="s">
        <v>59</v>
      </c>
      <c r="H1031" t="s">
        <v>1820</v>
      </c>
      <c r="J1031">
        <v>0</v>
      </c>
      <c r="K1031">
        <v>0</v>
      </c>
      <c r="L1031">
        <v>0</v>
      </c>
      <c r="M1031">
        <v>0</v>
      </c>
      <c r="N1031" t="s">
        <v>1</v>
      </c>
      <c r="P1031" t="s">
        <v>18</v>
      </c>
      <c r="Q1031" t="s">
        <v>18</v>
      </c>
      <c r="R1031" t="s">
        <v>949</v>
      </c>
      <c r="S1031" t="s">
        <v>13</v>
      </c>
      <c r="T1031" t="s">
        <v>3209</v>
      </c>
      <c r="U1031" t="s">
        <v>3209</v>
      </c>
    </row>
    <row r="1032" spans="1:21" x14ac:dyDescent="0.3">
      <c r="A1032" s="64">
        <v>46142</v>
      </c>
      <c r="B1032" t="s">
        <v>1824</v>
      </c>
      <c r="C1032" t="s">
        <v>1825</v>
      </c>
      <c r="E1032" t="s">
        <v>19</v>
      </c>
      <c r="F1032" t="s">
        <v>109</v>
      </c>
      <c r="G1032" t="s">
        <v>59</v>
      </c>
      <c r="H1032" t="s">
        <v>1826</v>
      </c>
      <c r="J1032">
        <v>0</v>
      </c>
      <c r="K1032">
        <v>0</v>
      </c>
      <c r="L1032">
        <v>0</v>
      </c>
      <c r="M1032">
        <v>0</v>
      </c>
      <c r="N1032" t="s">
        <v>1</v>
      </c>
      <c r="P1032" t="s">
        <v>18</v>
      </c>
      <c r="Q1032" t="s">
        <v>18</v>
      </c>
      <c r="R1032" t="s">
        <v>949</v>
      </c>
      <c r="S1032" t="s">
        <v>13</v>
      </c>
      <c r="T1032" t="s">
        <v>3209</v>
      </c>
      <c r="U1032" t="s">
        <v>3209</v>
      </c>
    </row>
    <row r="1033" spans="1:21" x14ac:dyDescent="0.3">
      <c r="A1033" s="64">
        <v>46142</v>
      </c>
      <c r="B1033" t="s">
        <v>3210</v>
      </c>
      <c r="C1033" t="s">
        <v>3211</v>
      </c>
      <c r="E1033" t="s">
        <v>19</v>
      </c>
      <c r="F1033" t="s">
        <v>109</v>
      </c>
      <c r="G1033" t="s">
        <v>59</v>
      </c>
      <c r="H1033" t="s">
        <v>1807</v>
      </c>
      <c r="J1033">
        <v>0</v>
      </c>
      <c r="K1033">
        <v>0</v>
      </c>
      <c r="L1033">
        <v>0</v>
      </c>
      <c r="M1033">
        <v>0</v>
      </c>
      <c r="N1033" t="s">
        <v>1</v>
      </c>
      <c r="P1033" t="s">
        <v>19</v>
      </c>
      <c r="Q1033" t="s">
        <v>11</v>
      </c>
      <c r="R1033" t="s">
        <v>80</v>
      </c>
      <c r="S1033" t="s">
        <v>10</v>
      </c>
      <c r="T1033" t="s">
        <v>3212</v>
      </c>
      <c r="U1033" t="s">
        <v>3213</v>
      </c>
    </row>
    <row r="1034" spans="1:21" x14ac:dyDescent="0.3">
      <c r="A1034" s="64">
        <v>46142</v>
      </c>
      <c r="B1034" t="s">
        <v>3214</v>
      </c>
      <c r="C1034" t="s">
        <v>3215</v>
      </c>
      <c r="E1034" t="s">
        <v>19</v>
      </c>
      <c r="F1034" t="s">
        <v>3216</v>
      </c>
      <c r="G1034" t="s">
        <v>59</v>
      </c>
      <c r="H1034" t="s">
        <v>60</v>
      </c>
      <c r="J1034">
        <v>0</v>
      </c>
      <c r="K1034">
        <v>0</v>
      </c>
      <c r="L1034">
        <v>0</v>
      </c>
      <c r="M1034">
        <v>0</v>
      </c>
      <c r="N1034" t="s">
        <v>1</v>
      </c>
      <c r="P1034" t="s">
        <v>19</v>
      </c>
      <c r="Q1034" t="s">
        <v>11</v>
      </c>
      <c r="R1034" t="s">
        <v>80</v>
      </c>
      <c r="S1034" t="s">
        <v>10</v>
      </c>
      <c r="T1034" t="s">
        <v>3217</v>
      </c>
      <c r="U1034" t="s">
        <v>3218</v>
      </c>
    </row>
    <row r="1035" spans="1:21" x14ac:dyDescent="0.3">
      <c r="A1035" s="64">
        <v>46142</v>
      </c>
      <c r="B1035" t="s">
        <v>1424</v>
      </c>
      <c r="C1035" t="s">
        <v>1425</v>
      </c>
      <c r="E1035" t="s">
        <v>66</v>
      </c>
      <c r="F1035" t="s">
        <v>193</v>
      </c>
      <c r="G1035" t="s">
        <v>181</v>
      </c>
      <c r="H1035" t="s">
        <v>1424</v>
      </c>
      <c r="J1035">
        <v>0</v>
      </c>
      <c r="K1035">
        <v>0</v>
      </c>
      <c r="L1035">
        <v>0</v>
      </c>
      <c r="M1035">
        <v>0</v>
      </c>
      <c r="N1035" t="s">
        <v>156</v>
      </c>
      <c r="O1035" t="s">
        <v>2843</v>
      </c>
      <c r="P1035" t="s">
        <v>157</v>
      </c>
      <c r="Q1035" t="s">
        <v>157</v>
      </c>
      <c r="R1035" t="s">
        <v>2570</v>
      </c>
      <c r="S1035" t="s">
        <v>157</v>
      </c>
      <c r="T1035" t="s">
        <v>3219</v>
      </c>
    </row>
    <row r="1036" spans="1:21" x14ac:dyDescent="0.3">
      <c r="A1036" s="64">
        <v>46142</v>
      </c>
      <c r="B1036" t="s">
        <v>745</v>
      </c>
      <c r="C1036" t="s">
        <v>746</v>
      </c>
      <c r="E1036" t="s">
        <v>19</v>
      </c>
      <c r="F1036" t="s">
        <v>221</v>
      </c>
      <c r="G1036" t="s">
        <v>110</v>
      </c>
      <c r="H1036" t="s">
        <v>747</v>
      </c>
      <c r="J1036">
        <v>0</v>
      </c>
      <c r="K1036">
        <v>0</v>
      </c>
      <c r="L1036">
        <v>0</v>
      </c>
      <c r="M1036">
        <v>0</v>
      </c>
      <c r="N1036" t="s">
        <v>1</v>
      </c>
      <c r="P1036" t="s">
        <v>24</v>
      </c>
      <c r="Q1036" t="s">
        <v>22</v>
      </c>
      <c r="R1036" t="s">
        <v>1766</v>
      </c>
      <c r="S1036" t="s">
        <v>5</v>
      </c>
      <c r="T1036" t="s">
        <v>3220</v>
      </c>
    </row>
    <row r="1037" spans="1:21" x14ac:dyDescent="0.3">
      <c r="A1037" s="64">
        <v>46142</v>
      </c>
      <c r="B1037" t="s">
        <v>2492</v>
      </c>
      <c r="C1037" t="s">
        <v>2493</v>
      </c>
      <c r="E1037" t="s">
        <v>19</v>
      </c>
      <c r="F1037" t="s">
        <v>109</v>
      </c>
      <c r="G1037" t="s">
        <v>59</v>
      </c>
      <c r="H1037" t="s">
        <v>2492</v>
      </c>
      <c r="J1037">
        <v>0</v>
      </c>
      <c r="K1037">
        <v>0</v>
      </c>
      <c r="L1037">
        <v>0</v>
      </c>
      <c r="M1037">
        <v>0</v>
      </c>
      <c r="N1037" t="s">
        <v>157</v>
      </c>
      <c r="O1037" t="s">
        <v>252</v>
      </c>
      <c r="P1037" t="s">
        <v>157</v>
      </c>
      <c r="Q1037" t="s">
        <v>157</v>
      </c>
      <c r="R1037" t="s">
        <v>2570</v>
      </c>
      <c r="S1037" t="s">
        <v>157</v>
      </c>
      <c r="T1037" t="s">
        <v>3221</v>
      </c>
      <c r="U1037" t="s">
        <v>3222</v>
      </c>
    </row>
    <row r="1038" spans="1:21" x14ac:dyDescent="0.3">
      <c r="A1038" s="64">
        <v>46142</v>
      </c>
      <c r="B1038" t="s">
        <v>890</v>
      </c>
      <c r="C1038" t="s">
        <v>891</v>
      </c>
      <c r="E1038" t="s">
        <v>19</v>
      </c>
      <c r="F1038" t="s">
        <v>109</v>
      </c>
      <c r="G1038" t="s">
        <v>68</v>
      </c>
      <c r="H1038" t="s">
        <v>890</v>
      </c>
      <c r="J1038">
        <v>0</v>
      </c>
      <c r="K1038">
        <v>0</v>
      </c>
      <c r="L1038">
        <v>0</v>
      </c>
      <c r="M1038">
        <v>0</v>
      </c>
      <c r="N1038" t="s">
        <v>1</v>
      </c>
      <c r="P1038" t="s">
        <v>24</v>
      </c>
      <c r="Q1038" t="s">
        <v>22</v>
      </c>
      <c r="R1038" t="s">
        <v>1766</v>
      </c>
      <c r="S1038" t="s">
        <v>5</v>
      </c>
      <c r="T1038" t="s">
        <v>3223</v>
      </c>
      <c r="U1038" t="s">
        <v>3224</v>
      </c>
    </row>
    <row r="1039" spans="1:21" x14ac:dyDescent="0.3">
      <c r="A1039" s="64">
        <v>46142</v>
      </c>
      <c r="B1039" t="s">
        <v>3225</v>
      </c>
      <c r="C1039" t="s">
        <v>3226</v>
      </c>
      <c r="E1039" t="s">
        <v>19</v>
      </c>
      <c r="F1039" t="s">
        <v>221</v>
      </c>
      <c r="G1039" t="s">
        <v>98</v>
      </c>
      <c r="H1039" t="s">
        <v>3227</v>
      </c>
      <c r="J1039">
        <v>0</v>
      </c>
      <c r="K1039">
        <v>0</v>
      </c>
      <c r="L1039">
        <v>0</v>
      </c>
      <c r="M1039">
        <v>0</v>
      </c>
      <c r="N1039" t="s">
        <v>1</v>
      </c>
      <c r="P1039" t="s">
        <v>15</v>
      </c>
      <c r="Q1039" t="s">
        <v>15</v>
      </c>
      <c r="R1039" t="s">
        <v>15</v>
      </c>
      <c r="S1039" t="s">
        <v>15</v>
      </c>
      <c r="T1039" t="s">
        <v>3228</v>
      </c>
      <c r="U1039" t="s">
        <v>3229</v>
      </c>
    </row>
    <row r="1040" spans="1:21" x14ac:dyDescent="0.3">
      <c r="A1040" s="64">
        <v>46142</v>
      </c>
      <c r="B1040" t="s">
        <v>3230</v>
      </c>
      <c r="C1040" t="s">
        <v>3231</v>
      </c>
      <c r="E1040" t="s">
        <v>19</v>
      </c>
      <c r="F1040" t="s">
        <v>261</v>
      </c>
      <c r="G1040" t="s">
        <v>200</v>
      </c>
      <c r="H1040" t="s">
        <v>3232</v>
      </c>
      <c r="J1040">
        <v>0</v>
      </c>
      <c r="K1040">
        <v>0</v>
      </c>
      <c r="L1040">
        <v>0</v>
      </c>
      <c r="M1040">
        <v>0</v>
      </c>
      <c r="N1040" t="s">
        <v>1</v>
      </c>
      <c r="P1040" t="s">
        <v>24</v>
      </c>
      <c r="Q1040" t="s">
        <v>22</v>
      </c>
      <c r="R1040" t="s">
        <v>1766</v>
      </c>
      <c r="S1040" t="s">
        <v>5</v>
      </c>
      <c r="T1040" t="s">
        <v>3233</v>
      </c>
      <c r="U1040" t="s">
        <v>3234</v>
      </c>
    </row>
    <row r="1041" spans="1:21" x14ac:dyDescent="0.3">
      <c r="A1041" s="64">
        <v>46142</v>
      </c>
      <c r="B1041" t="s">
        <v>3235</v>
      </c>
      <c r="C1041" t="s">
        <v>3236</v>
      </c>
      <c r="E1041" t="s">
        <v>136</v>
      </c>
      <c r="F1041" t="s">
        <v>620</v>
      </c>
      <c r="G1041" t="s">
        <v>59</v>
      </c>
      <c r="H1041" t="s">
        <v>3235</v>
      </c>
      <c r="J1041">
        <v>0</v>
      </c>
      <c r="K1041">
        <v>0</v>
      </c>
      <c r="L1041">
        <v>0</v>
      </c>
      <c r="M1041">
        <v>0</v>
      </c>
      <c r="N1041" t="s">
        <v>1</v>
      </c>
      <c r="P1041" t="s">
        <v>7</v>
      </c>
      <c r="Q1041" t="s">
        <v>11</v>
      </c>
      <c r="R1041" t="s">
        <v>70</v>
      </c>
      <c r="S1041" t="s">
        <v>10</v>
      </c>
      <c r="T1041" t="s">
        <v>3237</v>
      </c>
      <c r="U1041" t="s">
        <v>2794</v>
      </c>
    </row>
    <row r="1042" spans="1:21" x14ac:dyDescent="0.3">
      <c r="A1042" s="64">
        <v>46142</v>
      </c>
      <c r="B1042" t="s">
        <v>1808</v>
      </c>
      <c r="C1042" t="s">
        <v>1809</v>
      </c>
      <c r="E1042" t="s">
        <v>66</v>
      </c>
      <c r="F1042" t="s">
        <v>103</v>
      </c>
      <c r="G1042" t="s">
        <v>59</v>
      </c>
      <c r="H1042" t="s">
        <v>60</v>
      </c>
      <c r="J1042">
        <v>0</v>
      </c>
      <c r="K1042">
        <v>0</v>
      </c>
      <c r="L1042">
        <v>0</v>
      </c>
      <c r="M1042">
        <v>0</v>
      </c>
      <c r="N1042" t="s">
        <v>1</v>
      </c>
      <c r="P1042" t="s">
        <v>9</v>
      </c>
      <c r="Q1042" t="s">
        <v>11</v>
      </c>
      <c r="R1042" t="s">
        <v>104</v>
      </c>
      <c r="S1042" t="s">
        <v>10</v>
      </c>
      <c r="T1042" t="s">
        <v>3238</v>
      </c>
      <c r="U1042" t="s">
        <v>3239</v>
      </c>
    </row>
    <row r="1043" spans="1:21" x14ac:dyDescent="0.3">
      <c r="A1043" s="64">
        <v>46142</v>
      </c>
      <c r="B1043" t="s">
        <v>3240</v>
      </c>
      <c r="C1043" t="s">
        <v>3241</v>
      </c>
      <c r="E1043" t="s">
        <v>19</v>
      </c>
      <c r="F1043" t="s">
        <v>109</v>
      </c>
      <c r="G1043" t="s">
        <v>181</v>
      </c>
      <c r="H1043" t="s">
        <v>3240</v>
      </c>
      <c r="J1043">
        <v>0</v>
      </c>
      <c r="K1043">
        <v>0</v>
      </c>
      <c r="L1043">
        <v>0</v>
      </c>
      <c r="M1043">
        <v>0</v>
      </c>
      <c r="N1043" t="s">
        <v>1</v>
      </c>
      <c r="P1043" t="s">
        <v>16</v>
      </c>
      <c r="Q1043" t="s">
        <v>22</v>
      </c>
      <c r="R1043" t="s">
        <v>172</v>
      </c>
      <c r="S1043" t="s">
        <v>5</v>
      </c>
      <c r="T1043" t="s">
        <v>3242</v>
      </c>
      <c r="U1043" t="s">
        <v>3243</v>
      </c>
    </row>
    <row r="1044" spans="1:21" x14ac:dyDescent="0.3">
      <c r="A1044" s="64">
        <v>46142</v>
      </c>
      <c r="B1044" t="s">
        <v>1676</v>
      </c>
      <c r="C1044" t="s">
        <v>1677</v>
      </c>
      <c r="E1044" t="s">
        <v>19</v>
      </c>
      <c r="F1044" t="s">
        <v>109</v>
      </c>
      <c r="G1044" t="s">
        <v>116</v>
      </c>
      <c r="H1044" t="s">
        <v>285</v>
      </c>
      <c r="J1044">
        <v>0</v>
      </c>
      <c r="K1044">
        <v>0</v>
      </c>
      <c r="L1044">
        <v>0</v>
      </c>
      <c r="M1044">
        <v>0</v>
      </c>
      <c r="N1044" t="s">
        <v>1</v>
      </c>
      <c r="P1044" t="s">
        <v>4</v>
      </c>
      <c r="Q1044" t="s">
        <v>4</v>
      </c>
      <c r="R1044" t="s">
        <v>4</v>
      </c>
      <c r="S1044" t="s">
        <v>4</v>
      </c>
      <c r="T1044" t="s">
        <v>3244</v>
      </c>
      <c r="U1044" t="s">
        <v>3245</v>
      </c>
    </row>
    <row r="1045" spans="1:21" x14ac:dyDescent="0.3">
      <c r="A1045" s="64">
        <v>46142</v>
      </c>
      <c r="B1045" t="s">
        <v>573</v>
      </c>
      <c r="C1045" t="s">
        <v>574</v>
      </c>
      <c r="E1045" t="s">
        <v>19</v>
      </c>
      <c r="F1045" t="s">
        <v>221</v>
      </c>
      <c r="G1045" t="s">
        <v>122</v>
      </c>
      <c r="H1045" t="s">
        <v>573</v>
      </c>
      <c r="J1045">
        <v>0</v>
      </c>
      <c r="K1045">
        <v>0</v>
      </c>
      <c r="L1045">
        <v>0</v>
      </c>
      <c r="M1045">
        <v>0</v>
      </c>
      <c r="N1045" t="s">
        <v>145</v>
      </c>
      <c r="P1045" t="s">
        <v>24</v>
      </c>
      <c r="Q1045" t="s">
        <v>22</v>
      </c>
      <c r="R1045" t="s">
        <v>1766</v>
      </c>
      <c r="S1045" t="s">
        <v>5</v>
      </c>
      <c r="T1045" t="s">
        <v>2743</v>
      </c>
      <c r="U1045" t="s">
        <v>2744</v>
      </c>
    </row>
    <row r="1046" spans="1:21" x14ac:dyDescent="0.3">
      <c r="A1046" s="64">
        <v>46142</v>
      </c>
      <c r="B1046" t="s">
        <v>3246</v>
      </c>
      <c r="C1046" t="s">
        <v>3247</v>
      </c>
      <c r="E1046" t="s">
        <v>66</v>
      </c>
      <c r="F1046" t="s">
        <v>1282</v>
      </c>
      <c r="G1046" t="s">
        <v>59</v>
      </c>
      <c r="H1046" t="s">
        <v>3248</v>
      </c>
      <c r="J1046">
        <v>0</v>
      </c>
      <c r="K1046">
        <v>0</v>
      </c>
      <c r="L1046">
        <v>0</v>
      </c>
      <c r="M1046">
        <v>0</v>
      </c>
      <c r="N1046" t="s">
        <v>1</v>
      </c>
      <c r="P1046" t="s">
        <v>12</v>
      </c>
      <c r="Q1046" t="s">
        <v>14</v>
      </c>
      <c r="R1046" t="s">
        <v>146</v>
      </c>
      <c r="S1046" t="s">
        <v>5</v>
      </c>
      <c r="T1046" t="s">
        <v>3249</v>
      </c>
      <c r="U1046" t="s">
        <v>3250</v>
      </c>
    </row>
    <row r="1047" spans="1:21" x14ac:dyDescent="0.3">
      <c r="A1047" s="64">
        <v>46142</v>
      </c>
      <c r="B1047" t="s">
        <v>3251</v>
      </c>
      <c r="C1047" t="s">
        <v>3252</v>
      </c>
      <c r="E1047" t="s">
        <v>19</v>
      </c>
      <c r="F1047" t="s">
        <v>109</v>
      </c>
      <c r="G1047" t="s">
        <v>98</v>
      </c>
      <c r="H1047" t="s">
        <v>3251</v>
      </c>
      <c r="J1047">
        <v>0</v>
      </c>
      <c r="K1047">
        <v>0</v>
      </c>
      <c r="L1047">
        <v>0</v>
      </c>
      <c r="M1047">
        <v>0</v>
      </c>
      <c r="N1047" t="s">
        <v>1</v>
      </c>
      <c r="P1047" t="s">
        <v>12</v>
      </c>
      <c r="Q1047" t="s">
        <v>14</v>
      </c>
      <c r="R1047" t="s">
        <v>146</v>
      </c>
      <c r="S1047" t="s">
        <v>5</v>
      </c>
      <c r="T1047" t="s">
        <v>3253</v>
      </c>
      <c r="U1047" t="s">
        <v>3254</v>
      </c>
    </row>
    <row r="1048" spans="1:21" x14ac:dyDescent="0.3">
      <c r="A1048" s="64">
        <v>46142</v>
      </c>
      <c r="B1048" t="s">
        <v>3255</v>
      </c>
      <c r="C1048" t="s">
        <v>3256</v>
      </c>
      <c r="E1048" t="s">
        <v>19</v>
      </c>
      <c r="F1048" t="s">
        <v>109</v>
      </c>
      <c r="G1048" t="s">
        <v>181</v>
      </c>
      <c r="H1048" t="s">
        <v>3257</v>
      </c>
      <c r="J1048">
        <v>0</v>
      </c>
      <c r="K1048">
        <v>0</v>
      </c>
      <c r="L1048">
        <v>0</v>
      </c>
      <c r="M1048">
        <v>0</v>
      </c>
      <c r="N1048" t="s">
        <v>2570</v>
      </c>
      <c r="O1048" t="s">
        <v>252</v>
      </c>
      <c r="P1048" t="s">
        <v>157</v>
      </c>
      <c r="Q1048" t="s">
        <v>157</v>
      </c>
      <c r="R1048" t="s">
        <v>2570</v>
      </c>
      <c r="S1048" t="s">
        <v>157</v>
      </c>
      <c r="T1048" t="s">
        <v>3258</v>
      </c>
      <c r="U1048" t="s">
        <v>3259</v>
      </c>
    </row>
    <row r="1049" spans="1:21" x14ac:dyDescent="0.3">
      <c r="A1049" s="64">
        <v>46142</v>
      </c>
      <c r="B1049" t="s">
        <v>3260</v>
      </c>
      <c r="C1049" t="s">
        <v>3261</v>
      </c>
      <c r="E1049" t="s">
        <v>19</v>
      </c>
      <c r="F1049" t="s">
        <v>109</v>
      </c>
      <c r="G1049" t="s">
        <v>122</v>
      </c>
      <c r="H1049" t="s">
        <v>3260</v>
      </c>
      <c r="J1049">
        <v>0</v>
      </c>
      <c r="K1049">
        <v>0</v>
      </c>
      <c r="L1049">
        <v>0</v>
      </c>
      <c r="M1049">
        <v>0</v>
      </c>
      <c r="N1049" t="s">
        <v>145</v>
      </c>
      <c r="P1049" t="s">
        <v>20</v>
      </c>
      <c r="Q1049" t="s">
        <v>20</v>
      </c>
      <c r="R1049" t="s">
        <v>958</v>
      </c>
      <c r="S1049" t="s">
        <v>13</v>
      </c>
      <c r="T1049" t="s">
        <v>3262</v>
      </c>
      <c r="U1049" t="s">
        <v>3263</v>
      </c>
    </row>
    <row r="1050" spans="1:21" x14ac:dyDescent="0.3">
      <c r="A1050" s="64">
        <v>46142</v>
      </c>
      <c r="B1050" t="s">
        <v>3264</v>
      </c>
      <c r="C1050" t="s">
        <v>3265</v>
      </c>
      <c r="E1050" t="s">
        <v>19</v>
      </c>
      <c r="F1050" t="s">
        <v>261</v>
      </c>
      <c r="G1050" t="s">
        <v>122</v>
      </c>
      <c r="H1050" t="s">
        <v>3264</v>
      </c>
      <c r="J1050">
        <v>0</v>
      </c>
      <c r="K1050">
        <v>0</v>
      </c>
      <c r="L1050">
        <v>0</v>
      </c>
      <c r="M1050">
        <v>0</v>
      </c>
      <c r="N1050" t="s">
        <v>145</v>
      </c>
      <c r="P1050" t="s">
        <v>12</v>
      </c>
      <c r="Q1050" t="s">
        <v>14</v>
      </c>
      <c r="R1050" t="s">
        <v>146</v>
      </c>
      <c r="S1050" t="s">
        <v>5</v>
      </c>
      <c r="T1050" t="s">
        <v>3266</v>
      </c>
      <c r="U1050" t="s">
        <v>3267</v>
      </c>
    </row>
    <row r="1051" spans="1:21" x14ac:dyDescent="0.3">
      <c r="A1051" s="64">
        <v>46142</v>
      </c>
      <c r="B1051" t="s">
        <v>618</v>
      </c>
      <c r="C1051" t="s">
        <v>619</v>
      </c>
      <c r="E1051" t="s">
        <v>136</v>
      </c>
      <c r="F1051" t="s">
        <v>620</v>
      </c>
      <c r="G1051" t="s">
        <v>181</v>
      </c>
      <c r="H1051" t="s">
        <v>621</v>
      </c>
      <c r="J1051">
        <v>0</v>
      </c>
      <c r="K1051">
        <v>0</v>
      </c>
      <c r="L1051">
        <v>0</v>
      </c>
      <c r="M1051">
        <v>0</v>
      </c>
      <c r="N1051" t="s">
        <v>145</v>
      </c>
      <c r="P1051" t="s">
        <v>7</v>
      </c>
      <c r="Q1051" t="s">
        <v>11</v>
      </c>
      <c r="R1051" t="s">
        <v>70</v>
      </c>
      <c r="S1051" t="s">
        <v>10</v>
      </c>
      <c r="T1051" t="s">
        <v>3268</v>
      </c>
      <c r="U1051" t="s">
        <v>3269</v>
      </c>
    </row>
    <row r="1052" spans="1:21" x14ac:dyDescent="0.3">
      <c r="A1052" s="64">
        <v>46142</v>
      </c>
      <c r="B1052" t="s">
        <v>3270</v>
      </c>
      <c r="C1052" t="s">
        <v>3271</v>
      </c>
      <c r="G1052" t="s">
        <v>116</v>
      </c>
      <c r="H1052" t="s">
        <v>3272</v>
      </c>
      <c r="J1052">
        <v>0</v>
      </c>
      <c r="K1052">
        <v>0</v>
      </c>
      <c r="L1052">
        <v>0</v>
      </c>
      <c r="M1052">
        <v>0</v>
      </c>
      <c r="N1052" t="s">
        <v>145</v>
      </c>
      <c r="P1052" t="s">
        <v>4</v>
      </c>
      <c r="Q1052" t="s">
        <v>4</v>
      </c>
      <c r="R1052" t="s">
        <v>4</v>
      </c>
      <c r="S1052" t="s">
        <v>4</v>
      </c>
      <c r="T1052" t="s">
        <v>3273</v>
      </c>
      <c r="U1052" t="s">
        <v>3274</v>
      </c>
    </row>
    <row r="1053" spans="1:21" x14ac:dyDescent="0.3">
      <c r="A1053" s="64">
        <v>46142</v>
      </c>
      <c r="B1053" t="s">
        <v>337</v>
      </c>
      <c r="C1053" t="s">
        <v>338</v>
      </c>
      <c r="E1053" t="s">
        <v>66</v>
      </c>
      <c r="G1053" t="s">
        <v>122</v>
      </c>
      <c r="H1053" t="s">
        <v>123</v>
      </c>
      <c r="J1053">
        <v>0</v>
      </c>
      <c r="K1053">
        <v>0</v>
      </c>
      <c r="L1053">
        <v>0</v>
      </c>
      <c r="M1053">
        <v>0</v>
      </c>
      <c r="N1053" t="s">
        <v>1</v>
      </c>
      <c r="P1053" t="s">
        <v>4</v>
      </c>
      <c r="Q1053" t="s">
        <v>4</v>
      </c>
      <c r="R1053" t="s">
        <v>4</v>
      </c>
      <c r="S1053" t="s">
        <v>4</v>
      </c>
      <c r="T1053" t="s">
        <v>3275</v>
      </c>
      <c r="U1053" t="s">
        <v>3276</v>
      </c>
    </row>
    <row r="1054" spans="1:21" x14ac:dyDescent="0.3">
      <c r="A1054" s="64">
        <v>46142</v>
      </c>
      <c r="B1054" t="s">
        <v>1759</v>
      </c>
      <c r="C1054" t="s">
        <v>1760</v>
      </c>
      <c r="E1054" t="s">
        <v>19</v>
      </c>
      <c r="F1054" t="s">
        <v>221</v>
      </c>
      <c r="G1054" t="s">
        <v>122</v>
      </c>
      <c r="H1054" t="s">
        <v>1761</v>
      </c>
      <c r="J1054">
        <v>0</v>
      </c>
      <c r="K1054">
        <v>0</v>
      </c>
      <c r="L1054">
        <v>0</v>
      </c>
      <c r="M1054">
        <v>0</v>
      </c>
      <c r="N1054" t="s">
        <v>145</v>
      </c>
      <c r="P1054" t="s">
        <v>4</v>
      </c>
      <c r="Q1054" t="s">
        <v>4</v>
      </c>
      <c r="R1054" t="s">
        <v>4</v>
      </c>
      <c r="S1054" t="s">
        <v>4</v>
      </c>
      <c r="T1054" t="s">
        <v>3277</v>
      </c>
      <c r="U1054" t="s">
        <v>3278</v>
      </c>
    </row>
    <row r="1055" spans="1:21" x14ac:dyDescent="0.3">
      <c r="A1055" s="64">
        <v>46142</v>
      </c>
      <c r="B1055" t="s">
        <v>3279</v>
      </c>
      <c r="C1055" t="s">
        <v>3280</v>
      </c>
      <c r="E1055" t="s">
        <v>19</v>
      </c>
      <c r="F1055" t="s">
        <v>820</v>
      </c>
      <c r="G1055" t="s">
        <v>122</v>
      </c>
      <c r="H1055" t="s">
        <v>3281</v>
      </c>
      <c r="J1055">
        <v>0</v>
      </c>
      <c r="K1055">
        <v>0</v>
      </c>
      <c r="L1055">
        <v>0</v>
      </c>
      <c r="M1055">
        <v>0</v>
      </c>
      <c r="N1055" t="s">
        <v>145</v>
      </c>
      <c r="P1055" t="s">
        <v>24</v>
      </c>
      <c r="Q1055" t="s">
        <v>22</v>
      </c>
      <c r="R1055" t="s">
        <v>1766</v>
      </c>
      <c r="S1055" t="s">
        <v>5</v>
      </c>
      <c r="T1055" t="s">
        <v>3282</v>
      </c>
    </row>
    <row r="1056" spans="1:21" x14ac:dyDescent="0.3">
      <c r="A1056" s="64">
        <v>46142</v>
      </c>
      <c r="B1056" t="s">
        <v>3283</v>
      </c>
      <c r="C1056" t="s">
        <v>3284</v>
      </c>
      <c r="E1056" t="s">
        <v>19</v>
      </c>
      <c r="F1056" t="s">
        <v>261</v>
      </c>
      <c r="G1056" t="s">
        <v>200</v>
      </c>
      <c r="H1056" t="s">
        <v>3285</v>
      </c>
      <c r="J1056">
        <v>0</v>
      </c>
      <c r="K1056">
        <v>0</v>
      </c>
      <c r="L1056">
        <v>0</v>
      </c>
      <c r="M1056">
        <v>0</v>
      </c>
      <c r="N1056" t="s">
        <v>1</v>
      </c>
      <c r="P1056" t="s">
        <v>24</v>
      </c>
      <c r="Q1056" t="s">
        <v>22</v>
      </c>
      <c r="R1056" t="s">
        <v>1766</v>
      </c>
      <c r="S1056" t="s">
        <v>5</v>
      </c>
      <c r="T1056" t="s">
        <v>3286</v>
      </c>
    </row>
    <row r="1057" spans="1:21" x14ac:dyDescent="0.3">
      <c r="A1057" s="64">
        <v>46142</v>
      </c>
      <c r="B1057" t="s">
        <v>879</v>
      </c>
      <c r="C1057" t="s">
        <v>880</v>
      </c>
      <c r="E1057" t="s">
        <v>19</v>
      </c>
      <c r="F1057" t="s">
        <v>820</v>
      </c>
      <c r="G1057" t="s">
        <v>122</v>
      </c>
      <c r="H1057" t="s">
        <v>879</v>
      </c>
      <c r="J1057">
        <v>0</v>
      </c>
      <c r="K1057">
        <v>0</v>
      </c>
      <c r="L1057">
        <v>0</v>
      </c>
      <c r="M1057">
        <v>0</v>
      </c>
      <c r="N1057" t="s">
        <v>145</v>
      </c>
      <c r="P1057" t="s">
        <v>12</v>
      </c>
      <c r="Q1057" t="s">
        <v>14</v>
      </c>
      <c r="R1057" t="s">
        <v>146</v>
      </c>
      <c r="S1057" t="s">
        <v>5</v>
      </c>
      <c r="T1057" t="s">
        <v>3287</v>
      </c>
      <c r="U1057" t="s">
        <v>3288</v>
      </c>
    </row>
    <row r="1058" spans="1:21" x14ac:dyDescent="0.3">
      <c r="A1058" s="64">
        <v>46142</v>
      </c>
      <c r="B1058" t="s">
        <v>1786</v>
      </c>
      <c r="C1058" t="s">
        <v>1787</v>
      </c>
      <c r="E1058" t="s">
        <v>19</v>
      </c>
      <c r="F1058" t="s">
        <v>109</v>
      </c>
      <c r="G1058" t="s">
        <v>59</v>
      </c>
      <c r="H1058" t="s">
        <v>1786</v>
      </c>
      <c r="J1058">
        <v>0</v>
      </c>
      <c r="K1058">
        <v>0</v>
      </c>
      <c r="L1058">
        <v>0</v>
      </c>
      <c r="M1058">
        <v>0</v>
      </c>
      <c r="N1058" t="s">
        <v>1</v>
      </c>
      <c r="P1058" t="s">
        <v>19</v>
      </c>
      <c r="Q1058" t="s">
        <v>11</v>
      </c>
      <c r="R1058" t="s">
        <v>80</v>
      </c>
      <c r="S1058" t="s">
        <v>10</v>
      </c>
      <c r="T1058" t="s">
        <v>3289</v>
      </c>
      <c r="U1058" t="s">
        <v>3290</v>
      </c>
    </row>
    <row r="1059" spans="1:21" x14ac:dyDescent="0.3">
      <c r="A1059" s="64">
        <v>46142</v>
      </c>
      <c r="B1059" t="s">
        <v>3291</v>
      </c>
      <c r="C1059" t="s">
        <v>3292</v>
      </c>
      <c r="E1059" t="s">
        <v>19</v>
      </c>
      <c r="F1059" t="s">
        <v>380</v>
      </c>
      <c r="G1059" t="s">
        <v>59</v>
      </c>
      <c r="H1059" t="s">
        <v>3291</v>
      </c>
      <c r="J1059">
        <v>0</v>
      </c>
      <c r="K1059">
        <v>0</v>
      </c>
      <c r="L1059">
        <v>0</v>
      </c>
      <c r="M1059">
        <v>0</v>
      </c>
      <c r="N1059" t="s">
        <v>1</v>
      </c>
      <c r="P1059" t="s">
        <v>24</v>
      </c>
      <c r="Q1059" t="s">
        <v>22</v>
      </c>
      <c r="R1059" t="s">
        <v>1766</v>
      </c>
      <c r="S1059" t="s">
        <v>5</v>
      </c>
      <c r="T1059" t="s">
        <v>3293</v>
      </c>
      <c r="U1059" t="s">
        <v>3294</v>
      </c>
    </row>
    <row r="1060" spans="1:21" x14ac:dyDescent="0.3">
      <c r="A1060" s="64">
        <v>46142</v>
      </c>
      <c r="B1060" t="s">
        <v>3295</v>
      </c>
      <c r="C1060" t="s">
        <v>3296</v>
      </c>
      <c r="G1060" t="s">
        <v>116</v>
      </c>
      <c r="H1060" t="s">
        <v>2474</v>
      </c>
      <c r="J1060">
        <v>0</v>
      </c>
      <c r="K1060">
        <v>0</v>
      </c>
      <c r="L1060">
        <v>0</v>
      </c>
      <c r="M1060">
        <v>0</v>
      </c>
      <c r="N1060" t="s">
        <v>145</v>
      </c>
      <c r="P1060" t="s">
        <v>24</v>
      </c>
      <c r="Q1060" t="s">
        <v>22</v>
      </c>
      <c r="R1060" t="s">
        <v>1766</v>
      </c>
      <c r="S1060" t="s">
        <v>5</v>
      </c>
      <c r="T1060" t="s">
        <v>3297</v>
      </c>
    </row>
    <row r="1061" spans="1:21" x14ac:dyDescent="0.3">
      <c r="A1061" s="64">
        <v>46142</v>
      </c>
      <c r="B1061" t="s">
        <v>3298</v>
      </c>
      <c r="C1061" t="s">
        <v>3299</v>
      </c>
      <c r="E1061" t="s">
        <v>66</v>
      </c>
      <c r="F1061" t="s">
        <v>193</v>
      </c>
      <c r="G1061" t="s">
        <v>59</v>
      </c>
      <c r="H1061" t="s">
        <v>272</v>
      </c>
      <c r="J1061">
        <v>0</v>
      </c>
      <c r="K1061">
        <v>0</v>
      </c>
      <c r="L1061">
        <v>0</v>
      </c>
      <c r="M1061">
        <v>0</v>
      </c>
      <c r="N1061" t="s">
        <v>1</v>
      </c>
      <c r="P1061" t="s">
        <v>7</v>
      </c>
      <c r="Q1061" t="s">
        <v>11</v>
      </c>
      <c r="R1061" t="s">
        <v>70</v>
      </c>
      <c r="S1061" t="s">
        <v>10</v>
      </c>
      <c r="T1061" t="s">
        <v>3300</v>
      </c>
      <c r="U1061" t="s">
        <v>3301</v>
      </c>
    </row>
    <row r="1062" spans="1:21" x14ac:dyDescent="0.3">
      <c r="A1062" s="64">
        <v>46142</v>
      </c>
      <c r="B1062" t="s">
        <v>3302</v>
      </c>
      <c r="C1062" t="s">
        <v>3303</v>
      </c>
      <c r="E1062" t="s">
        <v>66</v>
      </c>
      <c r="F1062" t="s">
        <v>193</v>
      </c>
      <c r="G1062" t="s">
        <v>181</v>
      </c>
      <c r="H1062" t="s">
        <v>3302</v>
      </c>
      <c r="J1062">
        <v>0</v>
      </c>
      <c r="K1062">
        <v>0</v>
      </c>
      <c r="L1062">
        <v>0</v>
      </c>
      <c r="M1062">
        <v>0</v>
      </c>
      <c r="N1062" t="s">
        <v>1</v>
      </c>
      <c r="P1062" t="s">
        <v>16</v>
      </c>
      <c r="Q1062" t="s">
        <v>22</v>
      </c>
      <c r="R1062" t="s">
        <v>172</v>
      </c>
      <c r="S1062" t="s">
        <v>5</v>
      </c>
      <c r="T1062" t="s">
        <v>3304</v>
      </c>
      <c r="U1062" t="s">
        <v>3305</v>
      </c>
    </row>
    <row r="1063" spans="1:21" x14ac:dyDescent="0.3">
      <c r="A1063" s="64">
        <v>46142</v>
      </c>
      <c r="B1063" t="s">
        <v>1814</v>
      </c>
      <c r="C1063" t="s">
        <v>1815</v>
      </c>
      <c r="E1063" t="s">
        <v>66</v>
      </c>
      <c r="F1063" t="s">
        <v>103</v>
      </c>
      <c r="G1063" t="s">
        <v>116</v>
      </c>
      <c r="H1063" t="s">
        <v>1814</v>
      </c>
      <c r="J1063">
        <v>0</v>
      </c>
      <c r="K1063">
        <v>0</v>
      </c>
      <c r="L1063">
        <v>0</v>
      </c>
      <c r="M1063">
        <v>0</v>
      </c>
      <c r="N1063" t="s">
        <v>1</v>
      </c>
      <c r="P1063" t="s">
        <v>24</v>
      </c>
      <c r="Q1063" t="s">
        <v>22</v>
      </c>
      <c r="R1063" t="s">
        <v>1766</v>
      </c>
      <c r="S1063" t="s">
        <v>5</v>
      </c>
      <c r="T1063" t="s">
        <v>3306</v>
      </c>
      <c r="U1063" t="s">
        <v>3307</v>
      </c>
    </row>
    <row r="1064" spans="1:21" x14ac:dyDescent="0.3">
      <c r="A1064" s="64">
        <v>46142</v>
      </c>
      <c r="B1064" t="s">
        <v>943</v>
      </c>
      <c r="C1064" t="s">
        <v>944</v>
      </c>
      <c r="E1064" t="s">
        <v>19</v>
      </c>
      <c r="F1064" t="s">
        <v>109</v>
      </c>
      <c r="G1064" t="s">
        <v>122</v>
      </c>
      <c r="H1064" t="s">
        <v>943</v>
      </c>
      <c r="J1064">
        <v>0</v>
      </c>
      <c r="K1064">
        <v>0</v>
      </c>
      <c r="L1064">
        <v>0</v>
      </c>
      <c r="M1064">
        <v>0</v>
      </c>
      <c r="N1064" t="s">
        <v>145</v>
      </c>
      <c r="P1064" t="s">
        <v>12</v>
      </c>
      <c r="Q1064" t="s">
        <v>14</v>
      </c>
      <c r="R1064" t="s">
        <v>146</v>
      </c>
      <c r="S1064" t="s">
        <v>5</v>
      </c>
      <c r="T1064" t="s">
        <v>3308</v>
      </c>
      <c r="U1064" t="s">
        <v>3309</v>
      </c>
    </row>
    <row r="1065" spans="1:21" x14ac:dyDescent="0.3">
      <c r="A1065" s="64">
        <v>46142</v>
      </c>
      <c r="B1065" t="s">
        <v>924</v>
      </c>
      <c r="C1065" t="s">
        <v>925</v>
      </c>
      <c r="E1065" t="s">
        <v>19</v>
      </c>
      <c r="F1065" t="s">
        <v>109</v>
      </c>
      <c r="G1065" t="s">
        <v>59</v>
      </c>
      <c r="H1065" t="s">
        <v>926</v>
      </c>
      <c r="J1065">
        <v>0</v>
      </c>
      <c r="K1065">
        <v>0</v>
      </c>
      <c r="L1065">
        <v>0</v>
      </c>
      <c r="M1065">
        <v>0</v>
      </c>
      <c r="N1065" t="s">
        <v>1</v>
      </c>
      <c r="P1065" t="s">
        <v>24</v>
      </c>
      <c r="Q1065" t="s">
        <v>22</v>
      </c>
      <c r="R1065" t="s">
        <v>1766</v>
      </c>
      <c r="S1065" t="s">
        <v>5</v>
      </c>
      <c r="T1065" t="s">
        <v>3310</v>
      </c>
      <c r="U1065" t="s">
        <v>3311</v>
      </c>
    </row>
    <row r="1066" spans="1:21" x14ac:dyDescent="0.3">
      <c r="A1066" s="64">
        <v>46142</v>
      </c>
      <c r="B1066" t="s">
        <v>3312</v>
      </c>
      <c r="C1066" t="s">
        <v>3313</v>
      </c>
      <c r="E1066" t="s">
        <v>19</v>
      </c>
      <c r="F1066" t="s">
        <v>3314</v>
      </c>
      <c r="G1066" t="s">
        <v>3315</v>
      </c>
      <c r="H1066" t="s">
        <v>3316</v>
      </c>
      <c r="J1066">
        <v>0</v>
      </c>
      <c r="K1066">
        <v>0</v>
      </c>
      <c r="L1066">
        <v>0</v>
      </c>
      <c r="M1066">
        <v>0</v>
      </c>
      <c r="P1066" t="s">
        <v>19</v>
      </c>
      <c r="Q1066" t="s">
        <v>11</v>
      </c>
      <c r="R1066" t="s">
        <v>80</v>
      </c>
      <c r="S1066" t="s">
        <v>10</v>
      </c>
      <c r="T1066" t="s">
        <v>3317</v>
      </c>
      <c r="U1066" t="s">
        <v>3318</v>
      </c>
    </row>
    <row r="1067" spans="1:21" x14ac:dyDescent="0.3">
      <c r="A1067" s="64">
        <v>46142</v>
      </c>
      <c r="B1067" t="s">
        <v>3319</v>
      </c>
      <c r="C1067" t="s">
        <v>3320</v>
      </c>
      <c r="E1067" t="s">
        <v>19</v>
      </c>
      <c r="F1067" t="s">
        <v>109</v>
      </c>
      <c r="G1067" t="s">
        <v>68</v>
      </c>
      <c r="H1067" t="s">
        <v>69</v>
      </c>
      <c r="J1067">
        <v>0</v>
      </c>
      <c r="K1067">
        <v>0</v>
      </c>
      <c r="L1067">
        <v>0</v>
      </c>
      <c r="M1067">
        <v>0</v>
      </c>
      <c r="N1067" t="s">
        <v>145</v>
      </c>
      <c r="P1067" t="s">
        <v>19</v>
      </c>
      <c r="Q1067" t="s">
        <v>11</v>
      </c>
      <c r="R1067" t="s">
        <v>80</v>
      </c>
      <c r="S1067" t="s">
        <v>10</v>
      </c>
      <c r="T1067" t="s">
        <v>3321</v>
      </c>
      <c r="U1067" t="s">
        <v>3322</v>
      </c>
    </row>
    <row r="1068" spans="1:21" x14ac:dyDescent="0.3">
      <c r="A1068" s="64">
        <v>46142</v>
      </c>
      <c r="B1068" t="s">
        <v>3323</v>
      </c>
      <c r="C1068" t="s">
        <v>3324</v>
      </c>
      <c r="E1068" t="s">
        <v>66</v>
      </c>
      <c r="F1068" t="s">
        <v>233</v>
      </c>
      <c r="G1068" t="s">
        <v>143</v>
      </c>
      <c r="H1068" t="s">
        <v>3323</v>
      </c>
      <c r="J1068">
        <v>0</v>
      </c>
      <c r="K1068">
        <v>0</v>
      </c>
      <c r="L1068">
        <v>0</v>
      </c>
      <c r="M1068">
        <v>0</v>
      </c>
      <c r="N1068" t="s">
        <v>145</v>
      </c>
      <c r="P1068" t="s">
        <v>7</v>
      </c>
      <c r="Q1068" t="s">
        <v>11</v>
      </c>
      <c r="R1068" t="s">
        <v>70</v>
      </c>
      <c r="S1068" t="s">
        <v>10</v>
      </c>
      <c r="T1068" t="s">
        <v>3325</v>
      </c>
      <c r="U1068" t="s">
        <v>3326</v>
      </c>
    </row>
    <row r="1069" spans="1:21" x14ac:dyDescent="0.3">
      <c r="A1069" s="64">
        <v>46142</v>
      </c>
      <c r="B1069" t="s">
        <v>3327</v>
      </c>
      <c r="C1069" t="s">
        <v>3328</v>
      </c>
      <c r="E1069" t="s">
        <v>19</v>
      </c>
      <c r="F1069" t="s">
        <v>221</v>
      </c>
      <c r="G1069" t="s">
        <v>200</v>
      </c>
      <c r="H1069" t="s">
        <v>3329</v>
      </c>
      <c r="J1069">
        <v>0</v>
      </c>
      <c r="K1069">
        <v>0</v>
      </c>
      <c r="L1069">
        <v>0</v>
      </c>
      <c r="M1069">
        <v>0</v>
      </c>
      <c r="N1069" t="s">
        <v>1</v>
      </c>
      <c r="P1069" t="s">
        <v>19</v>
      </c>
      <c r="Q1069" t="s">
        <v>11</v>
      </c>
      <c r="R1069" t="s">
        <v>80</v>
      </c>
      <c r="S1069" t="s">
        <v>10</v>
      </c>
      <c r="T1069" t="s">
        <v>3330</v>
      </c>
      <c r="U1069" t="s">
        <v>3331</v>
      </c>
    </row>
    <row r="1070" spans="1:21" x14ac:dyDescent="0.3">
      <c r="A1070" s="64">
        <v>46142</v>
      </c>
      <c r="B1070" t="s">
        <v>3332</v>
      </c>
      <c r="C1070" t="s">
        <v>3333</v>
      </c>
      <c r="E1070" t="s">
        <v>19</v>
      </c>
      <c r="F1070" t="s">
        <v>199</v>
      </c>
      <c r="G1070" t="s">
        <v>143</v>
      </c>
      <c r="H1070" t="s">
        <v>3332</v>
      </c>
      <c r="J1070">
        <v>0</v>
      </c>
      <c r="K1070">
        <v>0</v>
      </c>
      <c r="L1070">
        <v>0</v>
      </c>
      <c r="M1070">
        <v>0</v>
      </c>
      <c r="N1070" t="s">
        <v>145</v>
      </c>
      <c r="P1070" t="s">
        <v>12</v>
      </c>
      <c r="Q1070" t="s">
        <v>14</v>
      </c>
      <c r="R1070" t="s">
        <v>146</v>
      </c>
      <c r="S1070" t="s">
        <v>5</v>
      </c>
      <c r="T1070" t="s">
        <v>3334</v>
      </c>
      <c r="U1070" t="s">
        <v>3335</v>
      </c>
    </row>
    <row r="1071" spans="1:21" x14ac:dyDescent="0.3">
      <c r="A1071" s="64">
        <v>46142</v>
      </c>
      <c r="B1071" t="s">
        <v>999</v>
      </c>
      <c r="C1071" t="s">
        <v>1000</v>
      </c>
      <c r="E1071" t="s">
        <v>19</v>
      </c>
      <c r="F1071" t="s">
        <v>109</v>
      </c>
      <c r="G1071" t="s">
        <v>68</v>
      </c>
      <c r="H1071" t="s">
        <v>999</v>
      </c>
      <c r="J1071">
        <v>0</v>
      </c>
      <c r="K1071">
        <v>0</v>
      </c>
      <c r="L1071">
        <v>0</v>
      </c>
      <c r="M1071">
        <v>0</v>
      </c>
      <c r="N1071" t="s">
        <v>1</v>
      </c>
      <c r="P1071" t="s">
        <v>19</v>
      </c>
      <c r="Q1071" t="s">
        <v>11</v>
      </c>
      <c r="R1071" t="s">
        <v>80</v>
      </c>
      <c r="S1071" t="s">
        <v>10</v>
      </c>
      <c r="T1071" t="s">
        <v>3336</v>
      </c>
      <c r="U1071" t="s">
        <v>3337</v>
      </c>
    </row>
    <row r="1072" spans="1:21" x14ac:dyDescent="0.3">
      <c r="A1072" s="64">
        <v>46142</v>
      </c>
      <c r="B1072" t="s">
        <v>3338</v>
      </c>
      <c r="C1072" t="s">
        <v>3339</v>
      </c>
      <c r="E1072" t="s">
        <v>19</v>
      </c>
      <c r="F1072" t="s">
        <v>261</v>
      </c>
      <c r="G1072" t="s">
        <v>110</v>
      </c>
      <c r="H1072" t="s">
        <v>3338</v>
      </c>
      <c r="J1072">
        <v>0</v>
      </c>
      <c r="K1072">
        <v>0</v>
      </c>
      <c r="L1072">
        <v>0</v>
      </c>
      <c r="M1072">
        <v>0</v>
      </c>
      <c r="N1072" t="s">
        <v>1</v>
      </c>
      <c r="P1072" t="s">
        <v>16</v>
      </c>
      <c r="Q1072" t="s">
        <v>22</v>
      </c>
      <c r="R1072" t="s">
        <v>172</v>
      </c>
      <c r="S1072" t="s">
        <v>5</v>
      </c>
      <c r="T1072" t="s">
        <v>3340</v>
      </c>
      <c r="U1072" t="s">
        <v>3341</v>
      </c>
    </row>
    <row r="1073" spans="1:21" x14ac:dyDescent="0.3">
      <c r="A1073" s="64">
        <v>46142</v>
      </c>
      <c r="B1073" t="s">
        <v>3342</v>
      </c>
      <c r="C1073" t="s">
        <v>3343</v>
      </c>
      <c r="E1073" t="s">
        <v>19</v>
      </c>
      <c r="F1073" t="s">
        <v>3314</v>
      </c>
      <c r="G1073" t="s">
        <v>59</v>
      </c>
      <c r="H1073" t="s">
        <v>3344</v>
      </c>
      <c r="J1073">
        <v>0</v>
      </c>
      <c r="K1073">
        <v>0</v>
      </c>
      <c r="L1073">
        <v>0</v>
      </c>
      <c r="M1073">
        <v>0</v>
      </c>
      <c r="N1073" t="s">
        <v>1</v>
      </c>
      <c r="P1073" t="s">
        <v>19</v>
      </c>
      <c r="Q1073" t="s">
        <v>11</v>
      </c>
      <c r="R1073" t="s">
        <v>80</v>
      </c>
      <c r="S1073" t="s">
        <v>10</v>
      </c>
      <c r="T1073" t="s">
        <v>3345</v>
      </c>
      <c r="U1073" t="s">
        <v>3346</v>
      </c>
    </row>
    <row r="1074" spans="1:21" x14ac:dyDescent="0.3">
      <c r="A1074" s="64">
        <v>46142</v>
      </c>
      <c r="B1074" t="s">
        <v>3347</v>
      </c>
      <c r="C1074" t="s">
        <v>3348</v>
      </c>
      <c r="E1074" t="s">
        <v>19</v>
      </c>
      <c r="F1074" t="s">
        <v>109</v>
      </c>
      <c r="G1074" t="s">
        <v>116</v>
      </c>
      <c r="H1074" t="s">
        <v>3347</v>
      </c>
      <c r="J1074">
        <v>0</v>
      </c>
      <c r="K1074">
        <v>0</v>
      </c>
      <c r="L1074">
        <v>0</v>
      </c>
      <c r="M1074">
        <v>0</v>
      </c>
      <c r="N1074" t="s">
        <v>145</v>
      </c>
      <c r="P1074" t="s">
        <v>19</v>
      </c>
      <c r="Q1074" t="s">
        <v>11</v>
      </c>
      <c r="R1074" t="s">
        <v>80</v>
      </c>
      <c r="S1074" t="s">
        <v>10</v>
      </c>
      <c r="T1074" t="s">
        <v>3349</v>
      </c>
      <c r="U1074" t="s">
        <v>3350</v>
      </c>
    </row>
    <row r="1075" spans="1:21" x14ac:dyDescent="0.3">
      <c r="A1075" s="64">
        <v>46142</v>
      </c>
      <c r="B1075" t="s">
        <v>3351</v>
      </c>
      <c r="C1075" t="s">
        <v>3352</v>
      </c>
      <c r="G1075" t="s">
        <v>59</v>
      </c>
      <c r="H1075" t="s">
        <v>3351</v>
      </c>
      <c r="J1075">
        <v>0</v>
      </c>
      <c r="K1075">
        <v>0</v>
      </c>
      <c r="L1075">
        <v>0</v>
      </c>
      <c r="M1075">
        <v>0</v>
      </c>
      <c r="N1075" t="s">
        <v>1</v>
      </c>
      <c r="P1075" t="s">
        <v>12</v>
      </c>
      <c r="Q1075" t="s">
        <v>14</v>
      </c>
      <c r="R1075" t="s">
        <v>146</v>
      </c>
      <c r="S1075" t="s">
        <v>5</v>
      </c>
      <c r="T1075" t="s">
        <v>3353</v>
      </c>
      <c r="U1075" t="s">
        <v>3354</v>
      </c>
    </row>
    <row r="1076" spans="1:21" x14ac:dyDescent="0.3">
      <c r="A1076" s="64">
        <v>46142</v>
      </c>
      <c r="B1076" t="s">
        <v>3355</v>
      </c>
      <c r="C1076" t="s">
        <v>3356</v>
      </c>
      <c r="E1076" t="s">
        <v>66</v>
      </c>
      <c r="F1076" t="s">
        <v>103</v>
      </c>
      <c r="G1076" t="s">
        <v>59</v>
      </c>
      <c r="H1076" t="s">
        <v>60</v>
      </c>
      <c r="J1076">
        <v>0</v>
      </c>
      <c r="K1076">
        <v>0</v>
      </c>
      <c r="L1076">
        <v>0</v>
      </c>
      <c r="M1076">
        <v>0</v>
      </c>
      <c r="N1076" t="s">
        <v>156</v>
      </c>
      <c r="O1076" t="s">
        <v>2843</v>
      </c>
      <c r="P1076" t="s">
        <v>157</v>
      </c>
      <c r="Q1076" t="s">
        <v>157</v>
      </c>
      <c r="R1076" t="s">
        <v>2570</v>
      </c>
      <c r="S1076" t="s">
        <v>157</v>
      </c>
      <c r="T1076" t="s">
        <v>3357</v>
      </c>
    </row>
    <row r="1077" spans="1:21" x14ac:dyDescent="0.3">
      <c r="A1077" s="64">
        <v>46142</v>
      </c>
      <c r="B1077" t="s">
        <v>1066</v>
      </c>
      <c r="C1077" t="s">
        <v>3358</v>
      </c>
      <c r="E1077" t="s">
        <v>19</v>
      </c>
      <c r="F1077" t="s">
        <v>109</v>
      </c>
      <c r="G1077" t="s">
        <v>68</v>
      </c>
      <c r="H1077" t="s">
        <v>1066</v>
      </c>
      <c r="J1077">
        <v>0</v>
      </c>
      <c r="K1077">
        <v>0</v>
      </c>
      <c r="L1077">
        <v>0</v>
      </c>
      <c r="M1077">
        <v>0</v>
      </c>
      <c r="N1077" t="s">
        <v>1</v>
      </c>
      <c r="P1077" t="s">
        <v>19</v>
      </c>
      <c r="Q1077" t="s">
        <v>11</v>
      </c>
      <c r="R1077" t="s">
        <v>80</v>
      </c>
      <c r="S1077" t="s">
        <v>10</v>
      </c>
      <c r="T1077" t="s">
        <v>3359</v>
      </c>
      <c r="U1077" t="s">
        <v>3360</v>
      </c>
    </row>
    <row r="1078" spans="1:21" x14ac:dyDescent="0.3">
      <c r="A1078" t="s">
        <v>3361</v>
      </c>
      <c r="B1078" t="s">
        <v>1069</v>
      </c>
      <c r="C1078" t="s">
        <v>1070</v>
      </c>
      <c r="E1078" t="s">
        <v>66</v>
      </c>
      <c r="F1078" t="s">
        <v>103</v>
      </c>
      <c r="G1078" t="s">
        <v>68</v>
      </c>
      <c r="H1078" t="s">
        <v>69</v>
      </c>
      <c r="J1078">
        <v>32.256033955613113</v>
      </c>
      <c r="K1078">
        <v>27.442445199261499</v>
      </c>
      <c r="L1078">
        <v>106.3766916848887</v>
      </c>
      <c r="M1078">
        <v>69.293131639999686</v>
      </c>
      <c r="N1078" t="s">
        <v>1</v>
      </c>
      <c r="P1078" t="s">
        <v>18</v>
      </c>
      <c r="Q1078" t="s">
        <v>18</v>
      </c>
      <c r="R1078" t="s">
        <v>949</v>
      </c>
      <c r="S1078" t="s">
        <v>13</v>
      </c>
      <c r="T1078" t="s">
        <v>3362</v>
      </c>
      <c r="U1078" t="s">
        <v>3363</v>
      </c>
    </row>
    <row r="1079" spans="1:21" x14ac:dyDescent="0.3">
      <c r="A1079" t="s">
        <v>3361</v>
      </c>
      <c r="B1079" t="s">
        <v>1502</v>
      </c>
      <c r="C1079" t="s">
        <v>1503</v>
      </c>
      <c r="E1079" t="s">
        <v>66</v>
      </c>
      <c r="F1079" t="s">
        <v>103</v>
      </c>
      <c r="G1079" t="s">
        <v>68</v>
      </c>
      <c r="H1079" t="s">
        <v>69</v>
      </c>
      <c r="J1079">
        <v>30.64175848990244</v>
      </c>
      <c r="K1079">
        <v>26.13107806236421</v>
      </c>
      <c r="L1079">
        <v>101.9659783372404</v>
      </c>
      <c r="M1079">
        <v>66.322235634201149</v>
      </c>
      <c r="N1079" t="s">
        <v>1</v>
      </c>
      <c r="P1079" t="s">
        <v>9</v>
      </c>
      <c r="Q1079" t="s">
        <v>11</v>
      </c>
      <c r="R1079" t="s">
        <v>104</v>
      </c>
      <c r="S1079" t="s">
        <v>10</v>
      </c>
      <c r="T1079" t="s">
        <v>3364</v>
      </c>
      <c r="U1079" t="s">
        <v>3365</v>
      </c>
    </row>
    <row r="1080" spans="1:21" x14ac:dyDescent="0.3">
      <c r="A1080" t="s">
        <v>3361</v>
      </c>
      <c r="B1080" t="s">
        <v>2559</v>
      </c>
      <c r="C1080" t="s">
        <v>2560</v>
      </c>
      <c r="E1080" t="s">
        <v>66</v>
      </c>
      <c r="F1080" t="s">
        <v>67</v>
      </c>
      <c r="G1080" t="s">
        <v>68</v>
      </c>
      <c r="H1080" t="s">
        <v>69</v>
      </c>
      <c r="J1080">
        <v>0.43850840697177162</v>
      </c>
      <c r="K1080">
        <v>0.48382030933899139</v>
      </c>
      <c r="L1080">
        <v>106.3766916848887</v>
      </c>
      <c r="M1080">
        <v>55.699270616637158</v>
      </c>
      <c r="N1080" t="s">
        <v>1</v>
      </c>
      <c r="P1080" t="s">
        <v>7</v>
      </c>
      <c r="Q1080" t="s">
        <v>11</v>
      </c>
      <c r="R1080" t="s">
        <v>70</v>
      </c>
      <c r="S1080" t="s">
        <v>10</v>
      </c>
      <c r="T1080" t="s">
        <v>3366</v>
      </c>
      <c r="U1080" t="s">
        <v>3367</v>
      </c>
    </row>
    <row r="1081" spans="1:21" x14ac:dyDescent="0.3">
      <c r="A1081" t="s">
        <v>3361</v>
      </c>
      <c r="B1081" t="s">
        <v>1367</v>
      </c>
      <c r="C1081" t="s">
        <v>1368</v>
      </c>
      <c r="E1081" t="s">
        <v>19</v>
      </c>
      <c r="F1081" t="s">
        <v>732</v>
      </c>
      <c r="G1081" t="s">
        <v>68</v>
      </c>
      <c r="H1081" t="s">
        <v>1359</v>
      </c>
      <c r="J1081">
        <v>32.372936225315627</v>
      </c>
      <c r="K1081">
        <v>55.081244836133287</v>
      </c>
      <c r="L1081">
        <v>53.188345842444321</v>
      </c>
      <c r="M1081">
        <v>50.851375298559219</v>
      </c>
      <c r="N1081" t="s">
        <v>1</v>
      </c>
      <c r="O1081" t="s">
        <v>2569</v>
      </c>
      <c r="P1081" t="s">
        <v>19</v>
      </c>
      <c r="Q1081" t="s">
        <v>11</v>
      </c>
      <c r="R1081" t="s">
        <v>80</v>
      </c>
      <c r="S1081" t="s">
        <v>10</v>
      </c>
      <c r="T1081" t="s">
        <v>3368</v>
      </c>
      <c r="U1081" t="s">
        <v>3369</v>
      </c>
    </row>
    <row r="1082" spans="1:21" x14ac:dyDescent="0.3">
      <c r="A1082" t="s">
        <v>3361</v>
      </c>
      <c r="B1082" t="s">
        <v>2670</v>
      </c>
      <c r="C1082" t="s">
        <v>2671</v>
      </c>
      <c r="E1082" t="s">
        <v>19</v>
      </c>
      <c r="F1082" t="s">
        <v>85</v>
      </c>
      <c r="G1082" t="s">
        <v>68</v>
      </c>
      <c r="H1082" t="s">
        <v>69</v>
      </c>
      <c r="J1082">
        <v>19.525676534417229</v>
      </c>
      <c r="K1082">
        <v>16.609853507689269</v>
      </c>
      <c r="L1082">
        <v>64.268738221407986</v>
      </c>
      <c r="M1082">
        <v>41.879795852559553</v>
      </c>
      <c r="N1082" t="s">
        <v>1</v>
      </c>
      <c r="P1082" t="s">
        <v>19</v>
      </c>
      <c r="Q1082" t="s">
        <v>11</v>
      </c>
      <c r="R1082" t="s">
        <v>80</v>
      </c>
      <c r="S1082" t="s">
        <v>10</v>
      </c>
      <c r="T1082" t="s">
        <v>3370</v>
      </c>
      <c r="U1082" t="s">
        <v>3371</v>
      </c>
    </row>
    <row r="1083" spans="1:21" x14ac:dyDescent="0.3">
      <c r="A1083" t="s">
        <v>3361</v>
      </c>
      <c r="B1083" t="s">
        <v>2676</v>
      </c>
      <c r="C1083" t="s">
        <v>2677</v>
      </c>
      <c r="E1083" t="s">
        <v>19</v>
      </c>
      <c r="F1083" t="s">
        <v>58</v>
      </c>
      <c r="G1083" t="s">
        <v>59</v>
      </c>
      <c r="H1083" t="s">
        <v>60</v>
      </c>
      <c r="J1083">
        <v>22.279249547378392</v>
      </c>
      <c r="K1083">
        <v>19.014504727806852</v>
      </c>
      <c r="L1083">
        <v>56.95428045798888</v>
      </c>
      <c r="M1083">
        <v>39.265868939283692</v>
      </c>
      <c r="N1083" t="s">
        <v>1</v>
      </c>
      <c r="P1083" t="s">
        <v>21</v>
      </c>
      <c r="Q1083" t="s">
        <v>11</v>
      </c>
      <c r="R1083" t="s">
        <v>61</v>
      </c>
      <c r="S1083" t="s">
        <v>10</v>
      </c>
      <c r="T1083" t="s">
        <v>3372</v>
      </c>
      <c r="U1083" t="s">
        <v>3373</v>
      </c>
    </row>
    <row r="1084" spans="1:21" x14ac:dyDescent="0.3">
      <c r="A1084" t="s">
        <v>3361</v>
      </c>
      <c r="B1084" t="s">
        <v>3374</v>
      </c>
      <c r="C1084" t="s">
        <v>3375</v>
      </c>
      <c r="E1084" t="s">
        <v>19</v>
      </c>
      <c r="F1084" t="s">
        <v>109</v>
      </c>
      <c r="G1084" t="s">
        <v>68</v>
      </c>
      <c r="H1084" t="s">
        <v>69</v>
      </c>
      <c r="J1084">
        <v>18.109735261321529</v>
      </c>
      <c r="K1084">
        <v>15.409360751552979</v>
      </c>
      <c r="L1084">
        <v>59.83688907274982</v>
      </c>
      <c r="M1084">
        <v>38.963421681177273</v>
      </c>
      <c r="N1084" t="s">
        <v>1</v>
      </c>
      <c r="P1084" t="s">
        <v>19</v>
      </c>
      <c r="Q1084" t="s">
        <v>11</v>
      </c>
      <c r="R1084" t="s">
        <v>80</v>
      </c>
      <c r="S1084" t="s">
        <v>10</v>
      </c>
      <c r="T1084" t="s">
        <v>3376</v>
      </c>
      <c r="U1084" t="s">
        <v>3377</v>
      </c>
    </row>
    <row r="1085" spans="1:21" x14ac:dyDescent="0.3">
      <c r="A1085" t="s">
        <v>3361</v>
      </c>
      <c r="B1085" t="s">
        <v>2585</v>
      </c>
      <c r="C1085" t="s">
        <v>2586</v>
      </c>
      <c r="E1085" t="s">
        <v>66</v>
      </c>
      <c r="F1085" t="s">
        <v>396</v>
      </c>
      <c r="G1085" t="s">
        <v>59</v>
      </c>
      <c r="H1085" t="s">
        <v>2587</v>
      </c>
      <c r="J1085">
        <v>32.372936225315627</v>
      </c>
      <c r="K1085">
        <v>55.081244836133287</v>
      </c>
      <c r="L1085">
        <v>26.59417292122215</v>
      </c>
      <c r="M1085">
        <v>36.982818398952148</v>
      </c>
      <c r="N1085" t="s">
        <v>157</v>
      </c>
      <c r="O1085" t="s">
        <v>2588</v>
      </c>
      <c r="P1085" t="s">
        <v>157</v>
      </c>
      <c r="Q1085" t="s">
        <v>157</v>
      </c>
      <c r="R1085" t="s">
        <v>2570</v>
      </c>
      <c r="S1085" t="s">
        <v>157</v>
      </c>
      <c r="T1085" t="s">
        <v>3378</v>
      </c>
      <c r="U1085" t="s">
        <v>3379</v>
      </c>
    </row>
    <row r="1086" spans="1:21" x14ac:dyDescent="0.3">
      <c r="A1086" t="s">
        <v>3361</v>
      </c>
      <c r="B1086" t="s">
        <v>3380</v>
      </c>
      <c r="C1086" t="s">
        <v>3381</v>
      </c>
      <c r="E1086" t="s">
        <v>66</v>
      </c>
      <c r="F1086" t="s">
        <v>568</v>
      </c>
      <c r="G1086" t="s">
        <v>68</v>
      </c>
      <c r="H1086" t="s">
        <v>69</v>
      </c>
      <c r="J1086">
        <v>16.977431866959218</v>
      </c>
      <c r="K1086">
        <v>14.446076481328481</v>
      </c>
      <c r="L1086">
        <v>56.512617457597017</v>
      </c>
      <c r="M1086">
        <v>36.744773608649837</v>
      </c>
      <c r="N1086" t="s">
        <v>1</v>
      </c>
      <c r="P1086" t="s">
        <v>9</v>
      </c>
      <c r="Q1086" t="s">
        <v>11</v>
      </c>
      <c r="R1086" t="s">
        <v>104</v>
      </c>
      <c r="S1086" t="s">
        <v>10</v>
      </c>
      <c r="T1086" t="s">
        <v>3382</v>
      </c>
      <c r="U1086" t="s">
        <v>3383</v>
      </c>
    </row>
    <row r="1087" spans="1:21" x14ac:dyDescent="0.3">
      <c r="A1087" t="s">
        <v>3361</v>
      </c>
      <c r="B1087" t="s">
        <v>488</v>
      </c>
      <c r="C1087" t="s">
        <v>489</v>
      </c>
      <c r="E1087" t="s">
        <v>66</v>
      </c>
      <c r="F1087" t="s">
        <v>103</v>
      </c>
      <c r="G1087" t="s">
        <v>68</v>
      </c>
      <c r="H1087" t="s">
        <v>69</v>
      </c>
      <c r="J1087">
        <v>16.80170377564356</v>
      </c>
      <c r="K1087">
        <v>14.29689810989729</v>
      </c>
      <c r="L1087">
        <v>55.40452691921282</v>
      </c>
      <c r="M1087">
        <v>36.091742216058428</v>
      </c>
      <c r="N1087" t="s">
        <v>1</v>
      </c>
      <c r="P1087" t="s">
        <v>9</v>
      </c>
      <c r="Q1087" t="s">
        <v>11</v>
      </c>
      <c r="R1087" t="s">
        <v>104</v>
      </c>
      <c r="S1087" t="s">
        <v>10</v>
      </c>
      <c r="T1087" t="s">
        <v>3384</v>
      </c>
      <c r="U1087" t="s">
        <v>3385</v>
      </c>
    </row>
    <row r="1088" spans="1:21" x14ac:dyDescent="0.3">
      <c r="A1088" t="s">
        <v>3361</v>
      </c>
      <c r="B1088" t="s">
        <v>2755</v>
      </c>
      <c r="C1088" t="s">
        <v>2756</v>
      </c>
      <c r="E1088" t="s">
        <v>66</v>
      </c>
      <c r="F1088" t="s">
        <v>103</v>
      </c>
      <c r="G1088" t="s">
        <v>59</v>
      </c>
      <c r="H1088" t="s">
        <v>60</v>
      </c>
      <c r="J1088">
        <v>18.854237857151421</v>
      </c>
      <c r="K1088">
        <v>16.112220386180731</v>
      </c>
      <c r="L1088">
        <v>52.634437374553222</v>
      </c>
      <c r="M1088">
        <v>35.549698515836127</v>
      </c>
      <c r="N1088" t="s">
        <v>1</v>
      </c>
      <c r="P1088" t="s">
        <v>9</v>
      </c>
      <c r="Q1088" t="s">
        <v>11</v>
      </c>
      <c r="R1088" t="s">
        <v>104</v>
      </c>
      <c r="S1088" t="s">
        <v>10</v>
      </c>
      <c r="T1088" t="s">
        <v>3386</v>
      </c>
      <c r="U1088" t="s">
        <v>3387</v>
      </c>
    </row>
    <row r="1089" spans="1:21" x14ac:dyDescent="0.3">
      <c r="A1089" t="s">
        <v>3361</v>
      </c>
      <c r="B1089" t="s">
        <v>2688</v>
      </c>
      <c r="C1089" t="s">
        <v>2689</v>
      </c>
      <c r="E1089" t="s">
        <v>19</v>
      </c>
      <c r="F1089" t="s">
        <v>58</v>
      </c>
      <c r="G1089" t="s">
        <v>68</v>
      </c>
      <c r="H1089" t="s">
        <v>69</v>
      </c>
      <c r="J1089">
        <v>17.716439056948388</v>
      </c>
      <c r="K1089">
        <v>15.164236461744039</v>
      </c>
      <c r="L1089">
        <v>49.020489004458653</v>
      </c>
      <c r="M1089">
        <v>33.184339089069823</v>
      </c>
      <c r="N1089" t="s">
        <v>1</v>
      </c>
      <c r="P1089" t="s">
        <v>21</v>
      </c>
      <c r="Q1089" t="s">
        <v>11</v>
      </c>
      <c r="R1089" t="s">
        <v>61</v>
      </c>
      <c r="S1089" t="s">
        <v>10</v>
      </c>
      <c r="T1089" t="s">
        <v>3388</v>
      </c>
      <c r="U1089" t="s">
        <v>3389</v>
      </c>
    </row>
    <row r="1090" spans="1:21" x14ac:dyDescent="0.3">
      <c r="A1090" t="s">
        <v>3361</v>
      </c>
      <c r="B1090" t="s">
        <v>2591</v>
      </c>
      <c r="C1090" t="s">
        <v>2592</v>
      </c>
      <c r="E1090" t="s">
        <v>19</v>
      </c>
      <c r="F1090" t="s">
        <v>58</v>
      </c>
      <c r="G1090" t="s">
        <v>68</v>
      </c>
      <c r="H1090" t="s">
        <v>69</v>
      </c>
      <c r="J1090">
        <v>19.233545755748189</v>
      </c>
      <c r="K1090">
        <v>18.246831128383501</v>
      </c>
      <c r="L1090">
        <v>42.253475847456691</v>
      </c>
      <c r="M1090">
        <v>30.906924433486569</v>
      </c>
      <c r="N1090" t="s">
        <v>1</v>
      </c>
      <c r="P1090" t="s">
        <v>21</v>
      </c>
      <c r="Q1090" t="s">
        <v>11</v>
      </c>
      <c r="R1090" t="s">
        <v>61</v>
      </c>
      <c r="S1090" t="s">
        <v>10</v>
      </c>
      <c r="T1090" t="s">
        <v>3390</v>
      </c>
      <c r="U1090" t="s">
        <v>3391</v>
      </c>
    </row>
    <row r="1091" spans="1:21" x14ac:dyDescent="0.3">
      <c r="A1091" t="s">
        <v>3361</v>
      </c>
      <c r="B1091" t="s">
        <v>1512</v>
      </c>
      <c r="C1091" t="s">
        <v>1513</v>
      </c>
      <c r="E1091" t="s">
        <v>19</v>
      </c>
      <c r="F1091" t="s">
        <v>58</v>
      </c>
      <c r="G1091" t="s">
        <v>59</v>
      </c>
      <c r="H1091" t="s">
        <v>60</v>
      </c>
      <c r="J1091">
        <v>13.62748242469296</v>
      </c>
      <c r="K1091">
        <v>13.23113339861481</v>
      </c>
      <c r="L1091">
        <v>43.569675365040609</v>
      </c>
      <c r="M1091">
        <v>29.108934518153259</v>
      </c>
      <c r="N1091" t="s">
        <v>1</v>
      </c>
      <c r="P1091" t="s">
        <v>21</v>
      </c>
      <c r="Q1091" t="s">
        <v>11</v>
      </c>
      <c r="R1091" t="s">
        <v>61</v>
      </c>
      <c r="S1091" t="s">
        <v>10</v>
      </c>
      <c r="T1091" t="s">
        <v>3392</v>
      </c>
      <c r="U1091" t="s">
        <v>3393</v>
      </c>
    </row>
    <row r="1092" spans="1:21" x14ac:dyDescent="0.3">
      <c r="A1092" t="s">
        <v>3361</v>
      </c>
      <c r="B1092" t="s">
        <v>1505</v>
      </c>
      <c r="C1092" t="s">
        <v>1506</v>
      </c>
      <c r="E1092" t="s">
        <v>19</v>
      </c>
      <c r="F1092" t="s">
        <v>58</v>
      </c>
      <c r="G1092" t="s">
        <v>68</v>
      </c>
      <c r="H1092" t="s">
        <v>69</v>
      </c>
      <c r="J1092">
        <v>13.30025598599571</v>
      </c>
      <c r="K1092">
        <v>11.319387068147741</v>
      </c>
      <c r="L1092">
        <v>44.323621535370279</v>
      </c>
      <c r="M1092">
        <v>28.8135856212172</v>
      </c>
      <c r="N1092" t="s">
        <v>1</v>
      </c>
      <c r="P1092" t="s">
        <v>21</v>
      </c>
      <c r="Q1092" t="s">
        <v>11</v>
      </c>
      <c r="R1092" t="s">
        <v>61</v>
      </c>
      <c r="S1092" t="s">
        <v>10</v>
      </c>
      <c r="T1092" t="s">
        <v>3394</v>
      </c>
      <c r="U1092" t="s">
        <v>3395</v>
      </c>
    </row>
    <row r="1093" spans="1:21" x14ac:dyDescent="0.3">
      <c r="A1093" t="s">
        <v>3361</v>
      </c>
      <c r="B1093" t="s">
        <v>3396</v>
      </c>
      <c r="C1093" t="s">
        <v>3397</v>
      </c>
      <c r="E1093" t="s">
        <v>19</v>
      </c>
      <c r="F1093" t="s">
        <v>109</v>
      </c>
      <c r="G1093" t="s">
        <v>68</v>
      </c>
      <c r="H1093" t="s">
        <v>69</v>
      </c>
      <c r="J1093">
        <v>12.69126510237442</v>
      </c>
      <c r="K1093">
        <v>10.6514844735491</v>
      </c>
      <c r="L1093">
        <v>43.475761271880003</v>
      </c>
      <c r="M1093">
        <v>28.06024974816869</v>
      </c>
      <c r="N1093" t="s">
        <v>1</v>
      </c>
      <c r="P1093" t="s">
        <v>16</v>
      </c>
      <c r="Q1093" t="s">
        <v>22</v>
      </c>
      <c r="R1093" t="s">
        <v>172</v>
      </c>
      <c r="S1093" t="s">
        <v>5</v>
      </c>
      <c r="T1093" t="s">
        <v>3398</v>
      </c>
      <c r="U1093" t="s">
        <v>3399</v>
      </c>
    </row>
    <row r="1094" spans="1:21" x14ac:dyDescent="0.3">
      <c r="A1094" t="s">
        <v>3361</v>
      </c>
      <c r="B1094" t="s">
        <v>1922</v>
      </c>
      <c r="C1094" t="s">
        <v>1923</v>
      </c>
      <c r="E1094" t="s">
        <v>19</v>
      </c>
      <c r="F1094" t="s">
        <v>1924</v>
      </c>
      <c r="G1094" t="s">
        <v>116</v>
      </c>
      <c r="H1094" t="s">
        <v>687</v>
      </c>
      <c r="J1094">
        <v>64.742125583012609</v>
      </c>
      <c r="K1094">
        <v>55.081244836133287</v>
      </c>
      <c r="L1094">
        <v>0</v>
      </c>
      <c r="M1094">
        <v>27.736578746864591</v>
      </c>
      <c r="N1094" t="s">
        <v>145</v>
      </c>
      <c r="P1094" t="s">
        <v>15</v>
      </c>
      <c r="Q1094" t="s">
        <v>15</v>
      </c>
      <c r="R1094" t="s">
        <v>15</v>
      </c>
      <c r="S1094" t="s">
        <v>15</v>
      </c>
      <c r="T1094" t="s">
        <v>3400</v>
      </c>
      <c r="U1094" t="s">
        <v>3401</v>
      </c>
    </row>
    <row r="1095" spans="1:21" x14ac:dyDescent="0.3">
      <c r="A1095" t="s">
        <v>3361</v>
      </c>
      <c r="B1095" t="s">
        <v>250</v>
      </c>
      <c r="C1095" t="s">
        <v>251</v>
      </c>
      <c r="E1095" t="s">
        <v>19</v>
      </c>
      <c r="F1095" t="s">
        <v>109</v>
      </c>
      <c r="G1095" t="s">
        <v>116</v>
      </c>
      <c r="H1095" t="s">
        <v>166</v>
      </c>
      <c r="J1095">
        <v>14.492883949018619</v>
      </c>
      <c r="K1095">
        <v>28.849545749733949</v>
      </c>
      <c r="L1095">
        <v>30.47864586411362</v>
      </c>
      <c r="M1095">
        <v>27.648972842169549</v>
      </c>
      <c r="N1095" t="s">
        <v>1</v>
      </c>
      <c r="P1095" t="s">
        <v>19</v>
      </c>
      <c r="Q1095" t="s">
        <v>11</v>
      </c>
      <c r="R1095" t="s">
        <v>80</v>
      </c>
      <c r="S1095" t="s">
        <v>10</v>
      </c>
      <c r="T1095" t="s">
        <v>3402</v>
      </c>
      <c r="U1095" t="s">
        <v>3403</v>
      </c>
    </row>
    <row r="1096" spans="1:21" x14ac:dyDescent="0.3">
      <c r="A1096" t="s">
        <v>3361</v>
      </c>
      <c r="B1096" t="s">
        <v>2606</v>
      </c>
      <c r="C1096" t="s">
        <v>2607</v>
      </c>
      <c r="E1096" t="s">
        <v>66</v>
      </c>
      <c r="F1096" t="s">
        <v>67</v>
      </c>
      <c r="G1096" t="s">
        <v>98</v>
      </c>
      <c r="H1096" t="s">
        <v>351</v>
      </c>
      <c r="J1096">
        <v>27.806628658441539</v>
      </c>
      <c r="K1096">
        <v>12.90153844976896</v>
      </c>
      <c r="L1096">
        <v>33.20605340285028</v>
      </c>
      <c r="M1096">
        <v>25.618556186203921</v>
      </c>
      <c r="N1096" t="s">
        <v>1</v>
      </c>
      <c r="P1096" t="s">
        <v>7</v>
      </c>
      <c r="Q1096" t="s">
        <v>11</v>
      </c>
      <c r="R1096" t="s">
        <v>70</v>
      </c>
      <c r="S1096" t="s">
        <v>10</v>
      </c>
      <c r="T1096" t="s">
        <v>3404</v>
      </c>
      <c r="U1096" t="s">
        <v>3405</v>
      </c>
    </row>
    <row r="1097" spans="1:21" x14ac:dyDescent="0.3">
      <c r="A1097" t="s">
        <v>3361</v>
      </c>
      <c r="B1097" t="s">
        <v>1165</v>
      </c>
      <c r="C1097" t="s">
        <v>1166</v>
      </c>
      <c r="E1097" t="s">
        <v>136</v>
      </c>
      <c r="F1097" t="s">
        <v>103</v>
      </c>
      <c r="G1097" t="s">
        <v>155</v>
      </c>
      <c r="H1097" t="s">
        <v>69</v>
      </c>
      <c r="J1097">
        <v>11.62927792365582</v>
      </c>
      <c r="K1097">
        <v>10.0553553760315</v>
      </c>
      <c r="L1097">
        <v>35.668613622783013</v>
      </c>
      <c r="M1097">
        <v>23.637132490376199</v>
      </c>
      <c r="P1097" t="s">
        <v>9</v>
      </c>
      <c r="Q1097" t="s">
        <v>11</v>
      </c>
      <c r="R1097" t="s">
        <v>104</v>
      </c>
      <c r="S1097" t="s">
        <v>10</v>
      </c>
      <c r="T1097" t="s">
        <v>3406</v>
      </c>
      <c r="U1097" t="s">
        <v>3407</v>
      </c>
    </row>
    <row r="1098" spans="1:21" x14ac:dyDescent="0.3">
      <c r="A1098" t="s">
        <v>3361</v>
      </c>
      <c r="B1098" t="s">
        <v>2800</v>
      </c>
      <c r="C1098" t="s">
        <v>2801</v>
      </c>
      <c r="E1098" t="s">
        <v>19</v>
      </c>
      <c r="F1098" t="s">
        <v>261</v>
      </c>
      <c r="G1098" t="s">
        <v>143</v>
      </c>
      <c r="H1098" t="s">
        <v>2800</v>
      </c>
      <c r="J1098">
        <v>32.730733789223542</v>
      </c>
      <c r="K1098">
        <v>55.081244836133287</v>
      </c>
      <c r="L1098">
        <v>0</v>
      </c>
      <c r="M1098">
        <v>23.165354958390239</v>
      </c>
      <c r="N1098" t="s">
        <v>145</v>
      </c>
      <c r="P1098" t="s">
        <v>24</v>
      </c>
      <c r="Q1098" t="s">
        <v>22</v>
      </c>
      <c r="R1098" t="s">
        <v>391</v>
      </c>
      <c r="S1098" t="s">
        <v>5</v>
      </c>
      <c r="T1098" t="s">
        <v>3408</v>
      </c>
      <c r="U1098" t="s">
        <v>3409</v>
      </c>
    </row>
    <row r="1099" spans="1:21" x14ac:dyDescent="0.3">
      <c r="A1099" t="s">
        <v>3361</v>
      </c>
      <c r="B1099" t="s">
        <v>3410</v>
      </c>
      <c r="C1099" t="s">
        <v>3411</v>
      </c>
      <c r="E1099" t="s">
        <v>136</v>
      </c>
      <c r="F1099" t="s">
        <v>430</v>
      </c>
      <c r="G1099" t="s">
        <v>2161</v>
      </c>
      <c r="H1099" t="s">
        <v>3412</v>
      </c>
      <c r="J1099">
        <v>32.372936225315627</v>
      </c>
      <c r="K1099">
        <v>55.081244836133287</v>
      </c>
      <c r="L1099">
        <v>0</v>
      </c>
      <c r="M1099">
        <v>23.114261499345091</v>
      </c>
      <c r="P1099" t="s">
        <v>24</v>
      </c>
      <c r="Q1099" t="s">
        <v>22</v>
      </c>
      <c r="R1099" t="s">
        <v>391</v>
      </c>
      <c r="S1099" t="s">
        <v>5</v>
      </c>
      <c r="T1099" t="s">
        <v>3413</v>
      </c>
      <c r="U1099" t="s">
        <v>3414</v>
      </c>
    </row>
    <row r="1100" spans="1:21" x14ac:dyDescent="0.3">
      <c r="A1100" t="s">
        <v>3361</v>
      </c>
      <c r="B1100" t="s">
        <v>2648</v>
      </c>
      <c r="C1100" t="s">
        <v>2649</v>
      </c>
      <c r="E1100" t="s">
        <v>66</v>
      </c>
      <c r="F1100" t="s">
        <v>103</v>
      </c>
      <c r="G1100" t="s">
        <v>68</v>
      </c>
      <c r="H1100" t="s">
        <v>69</v>
      </c>
      <c r="J1100">
        <v>10.524326662909809</v>
      </c>
      <c r="K1100">
        <v>8.9908656935646736</v>
      </c>
      <c r="L1100">
        <v>34.426902413612709</v>
      </c>
      <c r="M1100">
        <v>22.474445899786829</v>
      </c>
      <c r="N1100" t="s">
        <v>1</v>
      </c>
      <c r="P1100" t="s">
        <v>9</v>
      </c>
      <c r="Q1100" t="s">
        <v>11</v>
      </c>
      <c r="R1100" t="s">
        <v>104</v>
      </c>
      <c r="S1100" t="s">
        <v>10</v>
      </c>
      <c r="T1100" t="s">
        <v>3415</v>
      </c>
      <c r="U1100" t="s">
        <v>3416</v>
      </c>
    </row>
    <row r="1101" spans="1:21" x14ac:dyDescent="0.3">
      <c r="A1101" t="s">
        <v>3361</v>
      </c>
      <c r="B1101" t="s">
        <v>2625</v>
      </c>
      <c r="C1101" t="s">
        <v>2626</v>
      </c>
      <c r="E1101" t="s">
        <v>19</v>
      </c>
      <c r="F1101" t="s">
        <v>109</v>
      </c>
      <c r="G1101" t="s">
        <v>110</v>
      </c>
      <c r="H1101" t="s">
        <v>111</v>
      </c>
      <c r="J1101">
        <v>21.581957483543761</v>
      </c>
      <c r="K1101">
        <v>27.540622418066651</v>
      </c>
      <c r="L1101">
        <v>17.729448614148101</v>
      </c>
      <c r="M1101">
        <v>21.573310732722089</v>
      </c>
      <c r="N1101" t="s">
        <v>157</v>
      </c>
      <c r="O1101" t="s">
        <v>2588</v>
      </c>
      <c r="P1101" t="s">
        <v>157</v>
      </c>
      <c r="Q1101" t="s">
        <v>157</v>
      </c>
      <c r="R1101" t="s">
        <v>2570</v>
      </c>
      <c r="S1101" t="s">
        <v>157</v>
      </c>
      <c r="T1101" t="s">
        <v>3417</v>
      </c>
      <c r="U1101" t="s">
        <v>3418</v>
      </c>
    </row>
    <row r="1102" spans="1:21" x14ac:dyDescent="0.3">
      <c r="A1102" t="s">
        <v>3361</v>
      </c>
      <c r="B1102" t="s">
        <v>3419</v>
      </c>
      <c r="C1102" t="s">
        <v>3420</v>
      </c>
      <c r="E1102" t="s">
        <v>390</v>
      </c>
      <c r="G1102" t="s">
        <v>116</v>
      </c>
      <c r="H1102" t="s">
        <v>687</v>
      </c>
      <c r="J1102">
        <v>22.718507327873901</v>
      </c>
      <c r="K1102">
        <v>20.780685268487069</v>
      </c>
      <c r="L1102">
        <v>17.779894093904801</v>
      </c>
      <c r="M1102">
        <v>19.492527815588151</v>
      </c>
      <c r="N1102" t="s">
        <v>145</v>
      </c>
      <c r="P1102" t="s">
        <v>23</v>
      </c>
      <c r="Q1102" t="s">
        <v>11</v>
      </c>
      <c r="R1102" t="s">
        <v>1116</v>
      </c>
      <c r="S1102" t="s">
        <v>10</v>
      </c>
      <c r="T1102" t="s">
        <v>3421</v>
      </c>
      <c r="U1102" t="s">
        <v>3422</v>
      </c>
    </row>
    <row r="1103" spans="1:21" x14ac:dyDescent="0.3">
      <c r="A1103" t="s">
        <v>3361</v>
      </c>
      <c r="B1103" t="s">
        <v>101</v>
      </c>
      <c r="C1103" t="s">
        <v>102</v>
      </c>
      <c r="E1103" t="s">
        <v>66</v>
      </c>
      <c r="F1103" t="s">
        <v>103</v>
      </c>
      <c r="G1103" t="s">
        <v>68</v>
      </c>
      <c r="H1103" t="s">
        <v>69</v>
      </c>
      <c r="J1103">
        <v>6.6134711381285243</v>
      </c>
      <c r="K1103">
        <v>10.8915617742961</v>
      </c>
      <c r="L1103">
        <v>26.987613462999079</v>
      </c>
      <c r="M1103">
        <v>18.674557618717419</v>
      </c>
      <c r="N1103" t="s">
        <v>1</v>
      </c>
      <c r="P1103" t="s">
        <v>9</v>
      </c>
      <c r="Q1103" t="s">
        <v>11</v>
      </c>
      <c r="R1103" t="s">
        <v>104</v>
      </c>
      <c r="S1103" t="s">
        <v>10</v>
      </c>
      <c r="T1103" t="s">
        <v>3423</v>
      </c>
      <c r="U1103" t="s">
        <v>3424</v>
      </c>
    </row>
    <row r="1104" spans="1:21" x14ac:dyDescent="0.3">
      <c r="A1104" t="s">
        <v>3361</v>
      </c>
      <c r="B1104" t="s">
        <v>204</v>
      </c>
      <c r="C1104" t="s">
        <v>205</v>
      </c>
      <c r="E1104" t="s">
        <v>19</v>
      </c>
      <c r="F1104" t="s">
        <v>109</v>
      </c>
      <c r="G1104" t="s">
        <v>59</v>
      </c>
      <c r="H1104" t="s">
        <v>204</v>
      </c>
      <c r="J1104">
        <v>32.729597094912457</v>
      </c>
      <c r="K1104">
        <v>41.310933627099971</v>
      </c>
      <c r="L1104">
        <v>0</v>
      </c>
      <c r="M1104">
        <v>18.542340338678692</v>
      </c>
      <c r="N1104" t="s">
        <v>1</v>
      </c>
      <c r="P1104" t="s">
        <v>18</v>
      </c>
      <c r="Q1104" t="s">
        <v>18</v>
      </c>
      <c r="R1104" t="s">
        <v>949</v>
      </c>
      <c r="S1104" t="s">
        <v>13</v>
      </c>
      <c r="T1104" t="s">
        <v>3425</v>
      </c>
      <c r="U1104" t="s">
        <v>3426</v>
      </c>
    </row>
    <row r="1105" spans="1:21" x14ac:dyDescent="0.3">
      <c r="A1105" t="s">
        <v>3361</v>
      </c>
      <c r="B1105" t="s">
        <v>3427</v>
      </c>
      <c r="C1105" t="s">
        <v>3428</v>
      </c>
      <c r="E1105" t="s">
        <v>19</v>
      </c>
      <c r="F1105" t="s">
        <v>58</v>
      </c>
      <c r="G1105" t="s">
        <v>181</v>
      </c>
      <c r="H1105" t="s">
        <v>672</v>
      </c>
      <c r="J1105">
        <v>0</v>
      </c>
      <c r="K1105">
        <v>0</v>
      </c>
      <c r="L1105">
        <v>35.458897228296209</v>
      </c>
      <c r="M1105">
        <v>18.491409199476081</v>
      </c>
      <c r="N1105" t="s">
        <v>1</v>
      </c>
      <c r="P1105" t="s">
        <v>21</v>
      </c>
      <c r="Q1105" t="s">
        <v>11</v>
      </c>
      <c r="R1105" t="s">
        <v>61</v>
      </c>
      <c r="S1105" t="s">
        <v>10</v>
      </c>
      <c r="T1105" t="s">
        <v>3429</v>
      </c>
      <c r="U1105" t="s">
        <v>3430</v>
      </c>
    </row>
    <row r="1106" spans="1:21" x14ac:dyDescent="0.3">
      <c r="A1106" t="s">
        <v>3361</v>
      </c>
      <c r="B1106" t="s">
        <v>2637</v>
      </c>
      <c r="C1106" t="s">
        <v>2638</v>
      </c>
      <c r="E1106" t="s">
        <v>66</v>
      </c>
      <c r="F1106" t="s">
        <v>137</v>
      </c>
      <c r="G1106" t="s">
        <v>200</v>
      </c>
      <c r="H1106" t="s">
        <v>631</v>
      </c>
      <c r="J1106">
        <v>32.372936225315627</v>
      </c>
      <c r="K1106">
        <v>41.310933627099971</v>
      </c>
      <c r="L1106">
        <v>0</v>
      </c>
      <c r="M1106">
        <v>18.491409199476081</v>
      </c>
      <c r="N1106" t="s">
        <v>1</v>
      </c>
      <c r="P1106" t="s">
        <v>7</v>
      </c>
      <c r="Q1106" t="s">
        <v>11</v>
      </c>
      <c r="R1106" t="s">
        <v>70</v>
      </c>
      <c r="S1106" t="s">
        <v>10</v>
      </c>
      <c r="T1106" t="s">
        <v>3431</v>
      </c>
      <c r="U1106" t="s">
        <v>3432</v>
      </c>
    </row>
    <row r="1107" spans="1:21" x14ac:dyDescent="0.3">
      <c r="A1107" t="s">
        <v>3361</v>
      </c>
      <c r="B1107" t="s">
        <v>454</v>
      </c>
      <c r="C1107" t="s">
        <v>455</v>
      </c>
      <c r="E1107" t="s">
        <v>19</v>
      </c>
      <c r="F1107" t="s">
        <v>109</v>
      </c>
      <c r="G1107" t="s">
        <v>110</v>
      </c>
      <c r="H1107" t="s">
        <v>111</v>
      </c>
      <c r="J1107">
        <v>32.372936225315627</v>
      </c>
      <c r="K1107">
        <v>41.310933627099971</v>
      </c>
      <c r="L1107">
        <v>0</v>
      </c>
      <c r="M1107">
        <v>18.491409199476081</v>
      </c>
      <c r="N1107" t="s">
        <v>1</v>
      </c>
      <c r="P1107" t="s">
        <v>4</v>
      </c>
      <c r="Q1107" t="s">
        <v>4</v>
      </c>
      <c r="R1107" t="s">
        <v>4</v>
      </c>
      <c r="S1107" t="s">
        <v>4</v>
      </c>
      <c r="T1107" t="s">
        <v>3433</v>
      </c>
      <c r="U1107" t="s">
        <v>3434</v>
      </c>
    </row>
    <row r="1108" spans="1:21" x14ac:dyDescent="0.3">
      <c r="A1108" t="s">
        <v>3361</v>
      </c>
      <c r="B1108" t="s">
        <v>492</v>
      </c>
      <c r="C1108" t="s">
        <v>493</v>
      </c>
      <c r="E1108" t="s">
        <v>136</v>
      </c>
      <c r="F1108" t="s">
        <v>430</v>
      </c>
      <c r="G1108" t="s">
        <v>494</v>
      </c>
      <c r="H1108" t="s">
        <v>290</v>
      </c>
      <c r="J1108">
        <v>32.372936225315627</v>
      </c>
      <c r="K1108">
        <v>41.310933627099971</v>
      </c>
      <c r="L1108">
        <v>0</v>
      </c>
      <c r="M1108">
        <v>18.491409199476081</v>
      </c>
      <c r="N1108" t="s">
        <v>2570</v>
      </c>
      <c r="O1108" t="s">
        <v>252</v>
      </c>
      <c r="P1108" t="s">
        <v>157</v>
      </c>
      <c r="Q1108" t="s">
        <v>157</v>
      </c>
      <c r="R1108" t="s">
        <v>156</v>
      </c>
      <c r="S1108" t="s">
        <v>157</v>
      </c>
      <c r="T1108" t="s">
        <v>3435</v>
      </c>
      <c r="U1108" t="s">
        <v>3436</v>
      </c>
    </row>
    <row r="1109" spans="1:21" x14ac:dyDescent="0.3">
      <c r="A1109" t="s">
        <v>3361</v>
      </c>
      <c r="B1109" t="s">
        <v>1134</v>
      </c>
      <c r="C1109" t="s">
        <v>1135</v>
      </c>
      <c r="E1109" t="s">
        <v>19</v>
      </c>
      <c r="F1109" t="s">
        <v>1136</v>
      </c>
      <c r="G1109" t="s">
        <v>59</v>
      </c>
      <c r="H1109" t="s">
        <v>60</v>
      </c>
      <c r="J1109">
        <v>9.5446456762146852</v>
      </c>
      <c r="K1109">
        <v>8.1722971939165827</v>
      </c>
      <c r="L1109">
        <v>26.77885467761951</v>
      </c>
      <c r="M1109">
        <v>18.071375270023079</v>
      </c>
      <c r="N1109" t="s">
        <v>1</v>
      </c>
      <c r="P1109" t="s">
        <v>21</v>
      </c>
      <c r="Q1109" t="s">
        <v>11</v>
      </c>
      <c r="R1109" t="s">
        <v>61</v>
      </c>
      <c r="S1109" t="s">
        <v>10</v>
      </c>
      <c r="T1109" t="s">
        <v>3437</v>
      </c>
      <c r="U1109" t="s">
        <v>3438</v>
      </c>
    </row>
    <row r="1110" spans="1:21" x14ac:dyDescent="0.3">
      <c r="A1110" t="s">
        <v>3361</v>
      </c>
      <c r="B1110" t="s">
        <v>2641</v>
      </c>
      <c r="C1110" t="s">
        <v>2642</v>
      </c>
      <c r="E1110" t="s">
        <v>19</v>
      </c>
      <c r="F1110" t="s">
        <v>109</v>
      </c>
      <c r="G1110" t="s">
        <v>200</v>
      </c>
      <c r="H1110" t="s">
        <v>631</v>
      </c>
      <c r="J1110">
        <v>27.281567609478479</v>
      </c>
      <c r="K1110">
        <v>34.90210753763035</v>
      </c>
      <c r="L1110">
        <v>3.5217784935221852</v>
      </c>
      <c r="M1110">
        <v>17.449412583860539</v>
      </c>
      <c r="N1110" t="s">
        <v>157</v>
      </c>
      <c r="O1110" t="s">
        <v>2643</v>
      </c>
      <c r="P1110" t="s">
        <v>157</v>
      </c>
      <c r="Q1110" t="s">
        <v>157</v>
      </c>
      <c r="R1110" t="s">
        <v>2570</v>
      </c>
      <c r="S1110" t="s">
        <v>157</v>
      </c>
      <c r="T1110" t="s">
        <v>3439</v>
      </c>
      <c r="U1110" t="s">
        <v>3440</v>
      </c>
    </row>
    <row r="1111" spans="1:21" x14ac:dyDescent="0.3">
      <c r="A1111" t="s">
        <v>3361</v>
      </c>
      <c r="B1111" t="s">
        <v>3010</v>
      </c>
      <c r="C1111" t="s">
        <v>3011</v>
      </c>
      <c r="E1111" t="s">
        <v>19</v>
      </c>
      <c r="F1111" t="s">
        <v>109</v>
      </c>
      <c r="G1111" t="s">
        <v>110</v>
      </c>
      <c r="H1111" t="s">
        <v>3010</v>
      </c>
      <c r="J1111">
        <v>29.374959584202269</v>
      </c>
      <c r="K1111">
        <v>37.194477379724923</v>
      </c>
      <c r="L1111">
        <v>0</v>
      </c>
      <c r="M1111">
        <v>16.68135657079112</v>
      </c>
      <c r="N1111" t="s">
        <v>1</v>
      </c>
      <c r="P1111" t="s">
        <v>24</v>
      </c>
      <c r="Q1111" t="s">
        <v>22</v>
      </c>
      <c r="R1111" t="s">
        <v>391</v>
      </c>
      <c r="S1111" t="s">
        <v>5</v>
      </c>
      <c r="T1111" t="s">
        <v>3441</v>
      </c>
      <c r="U1111" t="s">
        <v>3442</v>
      </c>
    </row>
    <row r="1112" spans="1:21" x14ac:dyDescent="0.3">
      <c r="A1112" t="s">
        <v>3361</v>
      </c>
      <c r="B1112" t="s">
        <v>56</v>
      </c>
      <c r="C1112" t="s">
        <v>57</v>
      </c>
      <c r="E1112" t="s">
        <v>19</v>
      </c>
      <c r="F1112" t="s">
        <v>58</v>
      </c>
      <c r="G1112" t="s">
        <v>59</v>
      </c>
      <c r="H1112" t="s">
        <v>60</v>
      </c>
      <c r="J1112">
        <v>9.3085930162384258</v>
      </c>
      <c r="K1112">
        <v>7.9586236148936953</v>
      </c>
      <c r="L1112">
        <v>24.131749502590459</v>
      </c>
      <c r="M1112">
        <v>16.585499225244192</v>
      </c>
      <c r="N1112" t="s">
        <v>1</v>
      </c>
      <c r="P1112" t="s">
        <v>21</v>
      </c>
      <c r="Q1112" t="s">
        <v>11</v>
      </c>
      <c r="R1112" t="s">
        <v>61</v>
      </c>
      <c r="S1112" t="s">
        <v>10</v>
      </c>
      <c r="T1112" t="s">
        <v>3443</v>
      </c>
      <c r="U1112" t="s">
        <v>3444</v>
      </c>
    </row>
    <row r="1113" spans="1:21" x14ac:dyDescent="0.3">
      <c r="A1113" t="s">
        <v>3361</v>
      </c>
      <c r="B1113" t="s">
        <v>2634</v>
      </c>
      <c r="C1113" t="s">
        <v>2635</v>
      </c>
      <c r="E1113" t="s">
        <v>19</v>
      </c>
      <c r="F1113" t="s">
        <v>58</v>
      </c>
      <c r="G1113" t="s">
        <v>68</v>
      </c>
      <c r="H1113" t="s">
        <v>69</v>
      </c>
      <c r="J1113">
        <v>0.28376277432066788</v>
      </c>
      <c r="K1113">
        <v>7.3825762212225996</v>
      </c>
      <c r="L1113">
        <v>24.554191920186842</v>
      </c>
      <c r="M1113">
        <v>15.32366743428844</v>
      </c>
      <c r="N1113" t="s">
        <v>1</v>
      </c>
      <c r="P1113" t="s">
        <v>24</v>
      </c>
      <c r="Q1113" t="s">
        <v>22</v>
      </c>
      <c r="R1113" t="s">
        <v>391</v>
      </c>
      <c r="S1113" t="s">
        <v>5</v>
      </c>
      <c r="T1113" t="s">
        <v>3445</v>
      </c>
      <c r="U1113" t="s">
        <v>3446</v>
      </c>
    </row>
    <row r="1114" spans="1:21" x14ac:dyDescent="0.3">
      <c r="A1114" t="s">
        <v>3361</v>
      </c>
      <c r="B1114" t="s">
        <v>2759</v>
      </c>
      <c r="C1114" t="s">
        <v>2760</v>
      </c>
      <c r="E1114" t="s">
        <v>66</v>
      </c>
      <c r="F1114" t="s">
        <v>568</v>
      </c>
      <c r="G1114" t="s">
        <v>59</v>
      </c>
      <c r="H1114" t="s">
        <v>60</v>
      </c>
      <c r="J1114">
        <v>12.89322126702077</v>
      </c>
      <c r="K1114">
        <v>10.93804719986672</v>
      </c>
      <c r="L1114">
        <v>18.215914040628888</v>
      </c>
      <c r="M1114">
        <v>15.012570163198101</v>
      </c>
      <c r="N1114" t="s">
        <v>1</v>
      </c>
      <c r="P1114" t="s">
        <v>9</v>
      </c>
      <c r="Q1114" t="s">
        <v>11</v>
      </c>
      <c r="R1114" t="s">
        <v>104</v>
      </c>
      <c r="S1114" t="s">
        <v>10</v>
      </c>
      <c r="T1114" t="s">
        <v>3447</v>
      </c>
      <c r="U1114" t="s">
        <v>3448</v>
      </c>
    </row>
    <row r="1115" spans="1:21" x14ac:dyDescent="0.3">
      <c r="A1115" t="s">
        <v>3361</v>
      </c>
      <c r="B1115" t="s">
        <v>3449</v>
      </c>
      <c r="C1115" t="s">
        <v>3450</v>
      </c>
      <c r="E1115" t="s">
        <v>66</v>
      </c>
      <c r="F1115" t="s">
        <v>67</v>
      </c>
      <c r="G1115" t="s">
        <v>181</v>
      </c>
      <c r="H1115" t="s">
        <v>672</v>
      </c>
      <c r="J1115">
        <v>13.817823299721431</v>
      </c>
      <c r="K1115">
        <v>11.722296173893531</v>
      </c>
      <c r="L1115">
        <v>16.02712742439266</v>
      </c>
      <c r="M1115">
        <v>14.26645749686816</v>
      </c>
      <c r="N1115" t="s">
        <v>1</v>
      </c>
      <c r="P1115" t="s">
        <v>7</v>
      </c>
      <c r="Q1115" t="s">
        <v>11</v>
      </c>
      <c r="R1115" t="s">
        <v>70</v>
      </c>
      <c r="S1115" t="s">
        <v>10</v>
      </c>
      <c r="T1115" t="s">
        <v>3451</v>
      </c>
      <c r="U1115" t="s">
        <v>3452</v>
      </c>
    </row>
    <row r="1116" spans="1:21" x14ac:dyDescent="0.3">
      <c r="A1116" t="s">
        <v>3361</v>
      </c>
      <c r="B1116" t="s">
        <v>571</v>
      </c>
      <c r="C1116" t="s">
        <v>572</v>
      </c>
      <c r="E1116" t="s">
        <v>19</v>
      </c>
      <c r="F1116" t="s">
        <v>58</v>
      </c>
      <c r="G1116" t="s">
        <v>59</v>
      </c>
      <c r="H1116" t="s">
        <v>60</v>
      </c>
      <c r="J1116">
        <v>10.861794539764761</v>
      </c>
      <c r="K1116">
        <v>9.2433213990636158</v>
      </c>
      <c r="L1116">
        <v>17.984617240903809</v>
      </c>
      <c r="M1116">
        <v>14.03292498138018</v>
      </c>
      <c r="N1116" t="s">
        <v>1</v>
      </c>
      <c r="P1116" t="s">
        <v>21</v>
      </c>
      <c r="Q1116" t="s">
        <v>11</v>
      </c>
      <c r="R1116" t="s">
        <v>61</v>
      </c>
      <c r="S1116" t="s">
        <v>10</v>
      </c>
      <c r="T1116" t="s">
        <v>3453</v>
      </c>
      <c r="U1116" t="s">
        <v>3454</v>
      </c>
    </row>
    <row r="1117" spans="1:21" x14ac:dyDescent="0.3">
      <c r="A1117" t="s">
        <v>3361</v>
      </c>
      <c r="B1117" t="s">
        <v>2665</v>
      </c>
      <c r="C1117" t="s">
        <v>2666</v>
      </c>
      <c r="E1117" t="s">
        <v>19</v>
      </c>
      <c r="F1117" t="s">
        <v>261</v>
      </c>
      <c r="G1117" t="s">
        <v>122</v>
      </c>
      <c r="H1117" t="s">
        <v>2665</v>
      </c>
      <c r="J1117">
        <v>65.456163004995389</v>
      </c>
      <c r="K1117">
        <v>13.77031120903332</v>
      </c>
      <c r="L1117">
        <v>0</v>
      </c>
      <c r="M1117">
        <v>13.96998632509889</v>
      </c>
      <c r="N1117" t="s">
        <v>145</v>
      </c>
      <c r="P1117" t="s">
        <v>4</v>
      </c>
      <c r="Q1117" t="s">
        <v>4</v>
      </c>
      <c r="R1117" t="s">
        <v>4</v>
      </c>
      <c r="S1117" t="s">
        <v>4</v>
      </c>
      <c r="T1117" t="s">
        <v>3455</v>
      </c>
      <c r="U1117" t="s">
        <v>3456</v>
      </c>
    </row>
    <row r="1118" spans="1:21" x14ac:dyDescent="0.3">
      <c r="A1118" t="s">
        <v>3361</v>
      </c>
      <c r="B1118" t="s">
        <v>3457</v>
      </c>
      <c r="C1118" t="s">
        <v>3458</v>
      </c>
      <c r="E1118" t="s">
        <v>19</v>
      </c>
      <c r="F1118" t="s">
        <v>820</v>
      </c>
      <c r="G1118" t="s">
        <v>122</v>
      </c>
      <c r="H1118" t="s">
        <v>3459</v>
      </c>
      <c r="J1118">
        <v>65.456163004995389</v>
      </c>
      <c r="K1118">
        <v>13.77031120903332</v>
      </c>
      <c r="L1118">
        <v>0</v>
      </c>
      <c r="M1118">
        <v>13.96998632509889</v>
      </c>
      <c r="N1118" t="s">
        <v>156</v>
      </c>
      <c r="O1118" t="s">
        <v>2843</v>
      </c>
      <c r="P1118" t="s">
        <v>157</v>
      </c>
      <c r="Q1118" t="s">
        <v>157</v>
      </c>
      <c r="R1118" t="s">
        <v>2570</v>
      </c>
      <c r="S1118" t="s">
        <v>157</v>
      </c>
      <c r="T1118" t="s">
        <v>3460</v>
      </c>
      <c r="U1118" t="s">
        <v>3461</v>
      </c>
    </row>
    <row r="1119" spans="1:21" x14ac:dyDescent="0.3">
      <c r="A1119" t="s">
        <v>3361</v>
      </c>
      <c r="B1119" t="s">
        <v>246</v>
      </c>
      <c r="C1119" t="s">
        <v>247</v>
      </c>
      <c r="E1119" t="s">
        <v>19</v>
      </c>
      <c r="F1119" t="s">
        <v>109</v>
      </c>
      <c r="G1119" t="s">
        <v>98</v>
      </c>
      <c r="H1119" t="s">
        <v>246</v>
      </c>
      <c r="J1119">
        <v>0.64346206571306386</v>
      </c>
      <c r="K1119">
        <v>41.310933627099971</v>
      </c>
      <c r="L1119">
        <v>0</v>
      </c>
      <c r="M1119">
        <v>13.960443223098279</v>
      </c>
      <c r="N1119" t="s">
        <v>1</v>
      </c>
      <c r="P1119" t="s">
        <v>2142</v>
      </c>
      <c r="Q1119" t="s">
        <v>22</v>
      </c>
      <c r="R1119" t="s">
        <v>2142</v>
      </c>
      <c r="S1119" t="s">
        <v>5</v>
      </c>
      <c r="T1119" t="s">
        <v>3462</v>
      </c>
      <c r="U1119" t="s">
        <v>3463</v>
      </c>
    </row>
    <row r="1120" spans="1:21" x14ac:dyDescent="0.3">
      <c r="A1120" t="s">
        <v>3361</v>
      </c>
      <c r="B1120" t="s">
        <v>3464</v>
      </c>
      <c r="C1120" t="s">
        <v>3465</v>
      </c>
      <c r="E1120" t="s">
        <v>19</v>
      </c>
      <c r="F1120" t="s">
        <v>109</v>
      </c>
      <c r="G1120" t="s">
        <v>110</v>
      </c>
      <c r="H1120" t="s">
        <v>111</v>
      </c>
      <c r="J1120">
        <v>18.822389482392719</v>
      </c>
      <c r="K1120">
        <v>23.85063589937133</v>
      </c>
      <c r="L1120">
        <v>6.1981249466474928</v>
      </c>
      <c r="M1120">
        <v>13.92702028633148</v>
      </c>
      <c r="N1120" t="s">
        <v>1</v>
      </c>
      <c r="P1120" t="s">
        <v>19</v>
      </c>
      <c r="Q1120" t="s">
        <v>11</v>
      </c>
      <c r="R1120" t="s">
        <v>80</v>
      </c>
      <c r="S1120" t="s">
        <v>10</v>
      </c>
      <c r="T1120" t="s">
        <v>3466</v>
      </c>
      <c r="U1120" t="s">
        <v>3467</v>
      </c>
    </row>
    <row r="1121" spans="1:21" x14ac:dyDescent="0.3">
      <c r="A1121" t="s">
        <v>3361</v>
      </c>
      <c r="B1121" t="s">
        <v>2674</v>
      </c>
      <c r="C1121" t="s">
        <v>2675</v>
      </c>
      <c r="E1121" t="s">
        <v>66</v>
      </c>
      <c r="F1121" t="s">
        <v>103</v>
      </c>
      <c r="G1121" t="s">
        <v>59</v>
      </c>
      <c r="H1121" t="s">
        <v>60</v>
      </c>
      <c r="J1121">
        <v>32.372936225315627</v>
      </c>
      <c r="K1121">
        <v>27.540622418066651</v>
      </c>
      <c r="L1121">
        <v>0</v>
      </c>
      <c r="M1121">
        <v>13.868556899607061</v>
      </c>
      <c r="N1121" t="s">
        <v>1</v>
      </c>
      <c r="P1121" t="s">
        <v>9</v>
      </c>
      <c r="Q1121" t="s">
        <v>11</v>
      </c>
      <c r="R1121" t="s">
        <v>104</v>
      </c>
      <c r="S1121" t="s">
        <v>10</v>
      </c>
      <c r="T1121" t="s">
        <v>3468</v>
      </c>
      <c r="U1121" t="s">
        <v>3469</v>
      </c>
    </row>
    <row r="1122" spans="1:21" x14ac:dyDescent="0.3">
      <c r="A1122" t="s">
        <v>3361</v>
      </c>
      <c r="B1122" t="s">
        <v>1621</v>
      </c>
      <c r="C1122" t="s">
        <v>1622</v>
      </c>
      <c r="E1122" t="s">
        <v>19</v>
      </c>
      <c r="F1122" t="s">
        <v>58</v>
      </c>
      <c r="G1122" t="s">
        <v>59</v>
      </c>
      <c r="H1122" t="s">
        <v>60</v>
      </c>
      <c r="J1122">
        <v>32.372936225315627</v>
      </c>
      <c r="K1122">
        <v>27.540622418066651</v>
      </c>
      <c r="L1122">
        <v>0</v>
      </c>
      <c r="M1122">
        <v>13.868556899607061</v>
      </c>
      <c r="N1122" t="s">
        <v>1</v>
      </c>
      <c r="P1122" t="s">
        <v>4</v>
      </c>
      <c r="Q1122" t="s">
        <v>4</v>
      </c>
      <c r="R1122" t="s">
        <v>4</v>
      </c>
      <c r="S1122" t="s">
        <v>4</v>
      </c>
      <c r="T1122" t="s">
        <v>3470</v>
      </c>
      <c r="U1122" t="s">
        <v>3471</v>
      </c>
    </row>
    <row r="1123" spans="1:21" x14ac:dyDescent="0.3">
      <c r="A1123" t="s">
        <v>3361</v>
      </c>
      <c r="B1123" t="s">
        <v>1105</v>
      </c>
      <c r="C1123" t="s">
        <v>1106</v>
      </c>
      <c r="E1123" t="s">
        <v>66</v>
      </c>
      <c r="F1123" t="s">
        <v>103</v>
      </c>
      <c r="G1123" t="s">
        <v>68</v>
      </c>
      <c r="H1123" t="s">
        <v>69</v>
      </c>
      <c r="J1123">
        <v>32.372936225315627</v>
      </c>
      <c r="K1123">
        <v>27.540622418066651</v>
      </c>
      <c r="L1123">
        <v>0</v>
      </c>
      <c r="M1123">
        <v>13.868556899607061</v>
      </c>
      <c r="N1123" t="s">
        <v>1</v>
      </c>
      <c r="P1123" t="s">
        <v>9</v>
      </c>
      <c r="Q1123" t="s">
        <v>11</v>
      </c>
      <c r="R1123" t="s">
        <v>104</v>
      </c>
      <c r="S1123" t="s">
        <v>10</v>
      </c>
      <c r="T1123" t="s">
        <v>3472</v>
      </c>
      <c r="U1123" t="s">
        <v>3473</v>
      </c>
    </row>
    <row r="1124" spans="1:21" x14ac:dyDescent="0.3">
      <c r="A1124" t="s">
        <v>3361</v>
      </c>
      <c r="B1124" t="s">
        <v>3474</v>
      </c>
      <c r="C1124" t="s">
        <v>3475</v>
      </c>
      <c r="E1124" t="s">
        <v>66</v>
      </c>
      <c r="F1124" t="s">
        <v>103</v>
      </c>
      <c r="G1124" t="s">
        <v>59</v>
      </c>
      <c r="H1124" t="s">
        <v>60</v>
      </c>
      <c r="J1124">
        <v>0</v>
      </c>
      <c r="K1124">
        <v>41.310933627099971</v>
      </c>
      <c r="L1124">
        <v>0</v>
      </c>
      <c r="M1124">
        <v>13.868556899607061</v>
      </c>
      <c r="N1124" t="s">
        <v>1</v>
      </c>
      <c r="P1124" t="s">
        <v>9</v>
      </c>
      <c r="Q1124" t="s">
        <v>11</v>
      </c>
      <c r="R1124" t="s">
        <v>104</v>
      </c>
      <c r="S1124" t="s">
        <v>10</v>
      </c>
      <c r="T1124" t="s">
        <v>3476</v>
      </c>
      <c r="U1124" t="s">
        <v>3477</v>
      </c>
    </row>
    <row r="1125" spans="1:21" x14ac:dyDescent="0.3">
      <c r="A1125" t="s">
        <v>3361</v>
      </c>
      <c r="B1125" t="s">
        <v>3478</v>
      </c>
      <c r="C1125" t="s">
        <v>3479</v>
      </c>
      <c r="E1125" t="s">
        <v>136</v>
      </c>
      <c r="F1125" t="s">
        <v>396</v>
      </c>
      <c r="G1125" t="s">
        <v>535</v>
      </c>
      <c r="H1125" t="s">
        <v>138</v>
      </c>
      <c r="J1125">
        <v>32.372936225315627</v>
      </c>
      <c r="K1125">
        <v>27.540622418066651</v>
      </c>
      <c r="L1125">
        <v>0</v>
      </c>
      <c r="M1125">
        <v>13.868556899607061</v>
      </c>
      <c r="P1125" t="s">
        <v>7</v>
      </c>
      <c r="Q1125" t="s">
        <v>11</v>
      </c>
      <c r="R1125" t="s">
        <v>70</v>
      </c>
      <c r="S1125" t="s">
        <v>10</v>
      </c>
      <c r="T1125" t="s">
        <v>3480</v>
      </c>
      <c r="U1125" t="s">
        <v>3481</v>
      </c>
    </row>
    <row r="1126" spans="1:21" x14ac:dyDescent="0.3">
      <c r="A1126" t="s">
        <v>3361</v>
      </c>
      <c r="B1126" t="s">
        <v>2684</v>
      </c>
      <c r="C1126" t="s">
        <v>2685</v>
      </c>
      <c r="E1126" t="s">
        <v>390</v>
      </c>
      <c r="G1126" t="s">
        <v>116</v>
      </c>
      <c r="H1126" t="s">
        <v>285</v>
      </c>
      <c r="J1126">
        <v>32.372936225315627</v>
      </c>
      <c r="K1126">
        <v>27.523356402854699</v>
      </c>
      <c r="L1126">
        <v>0</v>
      </c>
      <c r="M1126">
        <v>13.8627604991539</v>
      </c>
      <c r="N1126" t="s">
        <v>1</v>
      </c>
      <c r="P1126" t="s">
        <v>23</v>
      </c>
      <c r="Q1126" t="s">
        <v>11</v>
      </c>
      <c r="R1126" t="s">
        <v>1116</v>
      </c>
      <c r="S1126" t="s">
        <v>10</v>
      </c>
      <c r="T1126" t="s">
        <v>3482</v>
      </c>
      <c r="U1126" t="s">
        <v>3483</v>
      </c>
    </row>
    <row r="1127" spans="1:21" x14ac:dyDescent="0.3">
      <c r="A1127" t="s">
        <v>3361</v>
      </c>
      <c r="B1127" t="s">
        <v>130</v>
      </c>
      <c r="C1127" t="s">
        <v>131</v>
      </c>
      <c r="E1127" t="s">
        <v>66</v>
      </c>
      <c r="F1127" t="s">
        <v>103</v>
      </c>
      <c r="G1127" t="s">
        <v>68</v>
      </c>
      <c r="H1127" t="s">
        <v>69</v>
      </c>
      <c r="J1127">
        <v>5.2668469159782418</v>
      </c>
      <c r="K1127">
        <v>4.6194293991044209</v>
      </c>
      <c r="L1127">
        <v>19.311042655740071</v>
      </c>
      <c r="M1127">
        <v>12.3733887790248</v>
      </c>
      <c r="N1127" t="s">
        <v>1</v>
      </c>
      <c r="P1127" t="s">
        <v>9</v>
      </c>
      <c r="Q1127" t="s">
        <v>11</v>
      </c>
      <c r="R1127" t="s">
        <v>104</v>
      </c>
      <c r="S1127" t="s">
        <v>10</v>
      </c>
      <c r="T1127" t="s">
        <v>3484</v>
      </c>
      <c r="U1127" t="s">
        <v>3485</v>
      </c>
    </row>
    <row r="1128" spans="1:21" x14ac:dyDescent="0.3">
      <c r="A1128" t="s">
        <v>3361</v>
      </c>
      <c r="B1128" t="s">
        <v>312</v>
      </c>
      <c r="C1128" t="s">
        <v>313</v>
      </c>
      <c r="E1128" t="s">
        <v>19</v>
      </c>
      <c r="F1128" t="s">
        <v>261</v>
      </c>
      <c r="G1128" t="s">
        <v>59</v>
      </c>
      <c r="H1128" t="s">
        <v>314</v>
      </c>
      <c r="J1128">
        <v>21.81897360040092</v>
      </c>
      <c r="K1128">
        <v>27.540622418066651</v>
      </c>
      <c r="L1128">
        <v>0</v>
      </c>
      <c r="M1128">
        <v>12.361452012557439</v>
      </c>
      <c r="N1128" t="s">
        <v>1</v>
      </c>
      <c r="P1128" t="s">
        <v>15</v>
      </c>
      <c r="Q1128" t="s">
        <v>15</v>
      </c>
      <c r="R1128" t="s">
        <v>15</v>
      </c>
      <c r="S1128" t="s">
        <v>15</v>
      </c>
      <c r="T1128" t="s">
        <v>3486</v>
      </c>
      <c r="U1128" t="s">
        <v>3487</v>
      </c>
    </row>
    <row r="1129" spans="1:21" x14ac:dyDescent="0.3">
      <c r="A1129" t="s">
        <v>3361</v>
      </c>
      <c r="B1129" t="s">
        <v>2159</v>
      </c>
      <c r="C1129" t="s">
        <v>2160</v>
      </c>
      <c r="E1129" t="s">
        <v>136</v>
      </c>
      <c r="F1129" t="s">
        <v>938</v>
      </c>
      <c r="G1129" t="s">
        <v>2161</v>
      </c>
      <c r="H1129" t="s">
        <v>752</v>
      </c>
      <c r="J1129">
        <v>0</v>
      </c>
      <c r="K1129">
        <v>10.41273532781841</v>
      </c>
      <c r="L1129">
        <v>15.7082093913546</v>
      </c>
      <c r="M1129">
        <v>11.68732682138954</v>
      </c>
      <c r="P1129" t="s">
        <v>7</v>
      </c>
      <c r="Q1129" t="s">
        <v>11</v>
      </c>
      <c r="R1129" t="s">
        <v>70</v>
      </c>
      <c r="S1129" t="s">
        <v>10</v>
      </c>
      <c r="T1129" t="s">
        <v>3488</v>
      </c>
      <c r="U1129" t="s">
        <v>3489</v>
      </c>
    </row>
    <row r="1130" spans="1:21" x14ac:dyDescent="0.3">
      <c r="A1130" t="s">
        <v>3361</v>
      </c>
      <c r="B1130" t="s">
        <v>83</v>
      </c>
      <c r="C1130" t="s">
        <v>84</v>
      </c>
      <c r="E1130" t="s">
        <v>19</v>
      </c>
      <c r="F1130" t="s">
        <v>85</v>
      </c>
      <c r="G1130" t="s">
        <v>59</v>
      </c>
      <c r="H1130" t="s">
        <v>60</v>
      </c>
      <c r="J1130">
        <v>4.8751743542398547</v>
      </c>
      <c r="K1130">
        <v>4.2547711578281673</v>
      </c>
      <c r="L1130">
        <v>17.72944861414808</v>
      </c>
      <c r="M1130">
        <v>11.37025479906286</v>
      </c>
      <c r="N1130" t="s">
        <v>1</v>
      </c>
      <c r="P1130" t="s">
        <v>19</v>
      </c>
      <c r="Q1130" t="s">
        <v>11</v>
      </c>
      <c r="R1130" t="s">
        <v>80</v>
      </c>
      <c r="S1130" t="s">
        <v>10</v>
      </c>
      <c r="T1130" t="s">
        <v>3490</v>
      </c>
      <c r="U1130" t="s">
        <v>3491</v>
      </c>
    </row>
    <row r="1131" spans="1:21" x14ac:dyDescent="0.3">
      <c r="A1131" t="s">
        <v>3361</v>
      </c>
      <c r="B1131" t="s">
        <v>1405</v>
      </c>
      <c r="C1131" t="s">
        <v>1406</v>
      </c>
      <c r="E1131" t="s">
        <v>19</v>
      </c>
      <c r="F1131" t="s">
        <v>109</v>
      </c>
      <c r="G1131" t="s">
        <v>110</v>
      </c>
      <c r="H1131" t="s">
        <v>111</v>
      </c>
      <c r="J1131">
        <v>8.6921083973797906</v>
      </c>
      <c r="K1131">
        <v>11.12595457157332</v>
      </c>
      <c r="L1131">
        <v>12.119398260325219</v>
      </c>
      <c r="M1131">
        <v>11.29647108006381</v>
      </c>
      <c r="N1131" t="s">
        <v>1</v>
      </c>
      <c r="P1131" t="s">
        <v>19</v>
      </c>
      <c r="Q1131" t="s">
        <v>11</v>
      </c>
      <c r="R1131" t="s">
        <v>80</v>
      </c>
      <c r="S1131" t="s">
        <v>10</v>
      </c>
      <c r="T1131" t="s">
        <v>3492</v>
      </c>
      <c r="U1131" t="s">
        <v>3493</v>
      </c>
    </row>
    <row r="1132" spans="1:21" x14ac:dyDescent="0.3">
      <c r="A1132" t="s">
        <v>3361</v>
      </c>
      <c r="B1132" t="s">
        <v>3494</v>
      </c>
      <c r="C1132" t="s">
        <v>3495</v>
      </c>
      <c r="E1132" t="s">
        <v>19</v>
      </c>
      <c r="F1132" t="s">
        <v>109</v>
      </c>
      <c r="G1132" t="s">
        <v>68</v>
      </c>
      <c r="H1132" t="s">
        <v>69</v>
      </c>
      <c r="J1132">
        <v>10.437274438569361</v>
      </c>
      <c r="K1132">
        <v>8.883763273049972</v>
      </c>
      <c r="L1132">
        <v>11.819632409432071</v>
      </c>
      <c r="M1132">
        <v>10.636626687555109</v>
      </c>
      <c r="N1132" t="s">
        <v>1</v>
      </c>
      <c r="P1132" t="s">
        <v>4</v>
      </c>
      <c r="Q1132" t="s">
        <v>4</v>
      </c>
      <c r="R1132" t="s">
        <v>4</v>
      </c>
      <c r="S1132" t="s">
        <v>4</v>
      </c>
      <c r="T1132" t="s">
        <v>3496</v>
      </c>
      <c r="U1132" t="s">
        <v>3497</v>
      </c>
    </row>
    <row r="1133" spans="1:21" x14ac:dyDescent="0.3">
      <c r="A1133" t="s">
        <v>3361</v>
      </c>
      <c r="B1133" t="s">
        <v>3498</v>
      </c>
      <c r="C1133" t="s">
        <v>3499</v>
      </c>
      <c r="E1133" t="s">
        <v>19</v>
      </c>
      <c r="F1133" t="s">
        <v>109</v>
      </c>
      <c r="G1133" t="s">
        <v>68</v>
      </c>
      <c r="H1133" t="s">
        <v>3500</v>
      </c>
      <c r="J1133">
        <v>7.3734607867822497</v>
      </c>
      <c r="K1133">
        <v>12.554146223704659</v>
      </c>
      <c r="L1133">
        <v>10.237354361334919</v>
      </c>
      <c r="M1133">
        <v>10.606164373788999</v>
      </c>
      <c r="N1133" t="s">
        <v>1</v>
      </c>
      <c r="P1133" t="s">
        <v>24</v>
      </c>
      <c r="Q1133" t="s">
        <v>22</v>
      </c>
      <c r="R1133" t="s">
        <v>167</v>
      </c>
      <c r="S1133" t="s">
        <v>5</v>
      </c>
      <c r="T1133" t="s">
        <v>3501</v>
      </c>
      <c r="U1133" t="s">
        <v>3502</v>
      </c>
    </row>
    <row r="1134" spans="1:21" x14ac:dyDescent="0.3">
      <c r="A1134" t="s">
        <v>3361</v>
      </c>
      <c r="B1134" t="s">
        <v>1995</v>
      </c>
      <c r="C1134" t="s">
        <v>1996</v>
      </c>
      <c r="E1134" t="s">
        <v>390</v>
      </c>
      <c r="G1134" t="s">
        <v>143</v>
      </c>
      <c r="H1134" t="s">
        <v>1997</v>
      </c>
      <c r="J1134">
        <v>13.20458596613231</v>
      </c>
      <c r="K1134">
        <v>25.020793594935249</v>
      </c>
      <c r="L1134">
        <v>0.58123452777285289</v>
      </c>
      <c r="M1134">
        <v>10.58848981117646</v>
      </c>
      <c r="N1134" t="s">
        <v>2719</v>
      </c>
      <c r="P1134" t="s">
        <v>23</v>
      </c>
      <c r="Q1134" t="s">
        <v>11</v>
      </c>
      <c r="R1134" t="s">
        <v>1116</v>
      </c>
      <c r="S1134" t="s">
        <v>10</v>
      </c>
      <c r="T1134" t="s">
        <v>3503</v>
      </c>
      <c r="U1134" t="s">
        <v>3504</v>
      </c>
    </row>
    <row r="1135" spans="1:21" x14ac:dyDescent="0.3">
      <c r="A1135" t="s">
        <v>3361</v>
      </c>
      <c r="B1135" t="s">
        <v>3505</v>
      </c>
      <c r="C1135" t="s">
        <v>3506</v>
      </c>
      <c r="E1135" t="s">
        <v>19</v>
      </c>
      <c r="F1135" t="s">
        <v>1158</v>
      </c>
      <c r="G1135" t="s">
        <v>143</v>
      </c>
      <c r="H1135" t="s">
        <v>290</v>
      </c>
      <c r="J1135">
        <v>7.9695874249127741</v>
      </c>
      <c r="K1135">
        <v>10.16081088432599</v>
      </c>
      <c r="L1135">
        <v>11.0407200016635</v>
      </c>
      <c r="M1135">
        <v>10.306766914074871</v>
      </c>
      <c r="N1135" t="s">
        <v>1</v>
      </c>
      <c r="P1135" t="s">
        <v>12</v>
      </c>
      <c r="Q1135" t="s">
        <v>14</v>
      </c>
      <c r="R1135" t="s">
        <v>146</v>
      </c>
      <c r="S1135" t="s">
        <v>5</v>
      </c>
      <c r="T1135" t="s">
        <v>3507</v>
      </c>
      <c r="U1135" t="s">
        <v>3508</v>
      </c>
    </row>
    <row r="1136" spans="1:21" x14ac:dyDescent="0.3">
      <c r="A1136" t="s">
        <v>3361</v>
      </c>
      <c r="B1136" t="s">
        <v>1280</v>
      </c>
      <c r="C1136" t="s">
        <v>1281</v>
      </c>
      <c r="E1136" t="s">
        <v>66</v>
      </c>
      <c r="F1136" t="s">
        <v>1282</v>
      </c>
      <c r="G1136" t="s">
        <v>143</v>
      </c>
      <c r="H1136" t="s">
        <v>290</v>
      </c>
      <c r="J1136">
        <v>7.9021438077766986</v>
      </c>
      <c r="K1136">
        <v>10.122135010251229</v>
      </c>
      <c r="L1136">
        <v>10.90186668111288</v>
      </c>
      <c r="M1136">
        <v>10.21174161679979</v>
      </c>
      <c r="N1136" t="s">
        <v>1</v>
      </c>
      <c r="P1136" t="s">
        <v>12</v>
      </c>
      <c r="Q1136" t="s">
        <v>14</v>
      </c>
      <c r="R1136" t="s">
        <v>146</v>
      </c>
      <c r="S1136" t="s">
        <v>5</v>
      </c>
      <c r="T1136" t="s">
        <v>3509</v>
      </c>
      <c r="U1136" t="s">
        <v>3510</v>
      </c>
    </row>
    <row r="1137" spans="1:21" x14ac:dyDescent="0.3">
      <c r="A1137" t="s">
        <v>3361</v>
      </c>
      <c r="B1137" t="s">
        <v>562</v>
      </c>
      <c r="C1137" t="s">
        <v>563</v>
      </c>
      <c r="E1137" t="s">
        <v>66</v>
      </c>
      <c r="F1137" t="s">
        <v>103</v>
      </c>
      <c r="G1137" t="s">
        <v>59</v>
      </c>
      <c r="H1137" t="s">
        <v>60</v>
      </c>
      <c r="J1137">
        <v>1.010280405580934</v>
      </c>
      <c r="K1137">
        <v>23.07371834103451</v>
      </c>
      <c r="L1137">
        <v>3.5145964252178441</v>
      </c>
      <c r="M1137">
        <v>9.7232031515296793</v>
      </c>
      <c r="N1137" t="s">
        <v>1</v>
      </c>
      <c r="P1137" t="s">
        <v>9</v>
      </c>
      <c r="Q1137" t="s">
        <v>11</v>
      </c>
      <c r="R1137" t="s">
        <v>104</v>
      </c>
      <c r="S1137" t="s">
        <v>10</v>
      </c>
      <c r="T1137" t="s">
        <v>3511</v>
      </c>
      <c r="U1137" t="s">
        <v>3512</v>
      </c>
    </row>
    <row r="1138" spans="1:21" x14ac:dyDescent="0.3">
      <c r="A1138" t="s">
        <v>3361</v>
      </c>
      <c r="B1138" t="s">
        <v>2629</v>
      </c>
      <c r="C1138" t="s">
        <v>2630</v>
      </c>
      <c r="E1138" t="s">
        <v>66</v>
      </c>
      <c r="F1138" t="s">
        <v>67</v>
      </c>
      <c r="G1138" t="s">
        <v>59</v>
      </c>
      <c r="H1138" t="s">
        <v>60</v>
      </c>
      <c r="J1138">
        <v>5.5043983230019702</v>
      </c>
      <c r="K1138">
        <v>7.7799070758999136</v>
      </c>
      <c r="L1138">
        <v>11.92640582488996</v>
      </c>
      <c r="M1138">
        <v>9.6173162915592982</v>
      </c>
      <c r="N1138" t="s">
        <v>1</v>
      </c>
      <c r="P1138" t="s">
        <v>7</v>
      </c>
      <c r="Q1138" t="s">
        <v>11</v>
      </c>
      <c r="R1138" t="s">
        <v>70</v>
      </c>
      <c r="S1138" t="s">
        <v>10</v>
      </c>
      <c r="T1138" t="s">
        <v>3513</v>
      </c>
      <c r="U1138" t="s">
        <v>3514</v>
      </c>
    </row>
    <row r="1139" spans="1:21" x14ac:dyDescent="0.3">
      <c r="A1139" t="s">
        <v>3361</v>
      </c>
      <c r="B1139" t="s">
        <v>3515</v>
      </c>
      <c r="C1139" t="s">
        <v>3516</v>
      </c>
      <c r="E1139" t="s">
        <v>19</v>
      </c>
      <c r="F1139" t="s">
        <v>58</v>
      </c>
      <c r="G1139" t="s">
        <v>59</v>
      </c>
      <c r="H1139" t="s">
        <v>60</v>
      </c>
      <c r="J1139">
        <v>0</v>
      </c>
      <c r="K1139">
        <v>2.0703811656143429</v>
      </c>
      <c r="L1139">
        <v>16.984428728710981</v>
      </c>
      <c r="M1139">
        <v>9.5522360907791182</v>
      </c>
      <c r="N1139" t="s">
        <v>1</v>
      </c>
      <c r="P1139" t="s">
        <v>21</v>
      </c>
      <c r="Q1139" t="s">
        <v>11</v>
      </c>
      <c r="R1139" t="s">
        <v>61</v>
      </c>
      <c r="S1139" t="s">
        <v>10</v>
      </c>
      <c r="T1139" t="s">
        <v>3517</v>
      </c>
      <c r="U1139" t="s">
        <v>3518</v>
      </c>
    </row>
    <row r="1140" spans="1:21" x14ac:dyDescent="0.3">
      <c r="A1140" t="s">
        <v>3361</v>
      </c>
      <c r="B1140" t="s">
        <v>324</v>
      </c>
      <c r="C1140" t="s">
        <v>325</v>
      </c>
      <c r="E1140" t="s">
        <v>19</v>
      </c>
      <c r="F1140" t="s">
        <v>221</v>
      </c>
      <c r="G1140" t="s">
        <v>122</v>
      </c>
      <c r="H1140" t="s">
        <v>324</v>
      </c>
      <c r="J1140">
        <v>37.391306763987913</v>
      </c>
      <c r="K1140">
        <v>11.862283712611911</v>
      </c>
      <c r="L1140">
        <v>0</v>
      </c>
      <c r="M1140">
        <v>9.3217806109074512</v>
      </c>
      <c r="N1140" t="s">
        <v>145</v>
      </c>
      <c r="P1140" t="s">
        <v>24</v>
      </c>
      <c r="Q1140" t="s">
        <v>22</v>
      </c>
      <c r="R1140" t="s">
        <v>391</v>
      </c>
      <c r="S1140" t="s">
        <v>5</v>
      </c>
      <c r="T1140" t="s">
        <v>3519</v>
      </c>
      <c r="U1140" t="s">
        <v>3520</v>
      </c>
    </row>
    <row r="1141" spans="1:21" x14ac:dyDescent="0.3">
      <c r="A1141" t="s">
        <v>3361</v>
      </c>
      <c r="B1141" t="s">
        <v>368</v>
      </c>
      <c r="C1141" t="s">
        <v>369</v>
      </c>
      <c r="E1141" t="s">
        <v>19</v>
      </c>
      <c r="F1141" t="s">
        <v>109</v>
      </c>
      <c r="G1141" t="s">
        <v>143</v>
      </c>
      <c r="H1141" t="s">
        <v>370</v>
      </c>
      <c r="J1141">
        <v>32.730733789223542</v>
      </c>
      <c r="K1141">
        <v>13.77031120903332</v>
      </c>
      <c r="L1141">
        <v>0</v>
      </c>
      <c r="M1141">
        <v>9.29679805878318</v>
      </c>
      <c r="N1141" t="s">
        <v>145</v>
      </c>
      <c r="P1141" t="s">
        <v>24</v>
      </c>
      <c r="Q1141" t="s">
        <v>22</v>
      </c>
      <c r="R1141" t="s">
        <v>391</v>
      </c>
      <c r="S1141" t="s">
        <v>5</v>
      </c>
      <c r="T1141" t="s">
        <v>3521</v>
      </c>
      <c r="U1141" t="s">
        <v>3522</v>
      </c>
    </row>
    <row r="1142" spans="1:21" x14ac:dyDescent="0.3">
      <c r="A1142" t="s">
        <v>3361</v>
      </c>
      <c r="B1142" t="s">
        <v>2049</v>
      </c>
      <c r="C1142" t="s">
        <v>2050</v>
      </c>
      <c r="E1142" t="s">
        <v>19</v>
      </c>
      <c r="F1142" t="s">
        <v>261</v>
      </c>
      <c r="G1142" t="s">
        <v>143</v>
      </c>
      <c r="H1142" t="s">
        <v>2051</v>
      </c>
      <c r="J1142">
        <v>32.730733789223542</v>
      </c>
      <c r="K1142">
        <v>13.77031120903332</v>
      </c>
      <c r="L1142">
        <v>0</v>
      </c>
      <c r="M1142">
        <v>9.29679805878318</v>
      </c>
      <c r="N1142" t="s">
        <v>156</v>
      </c>
      <c r="O1142" t="s">
        <v>2588</v>
      </c>
      <c r="P1142" t="s">
        <v>157</v>
      </c>
      <c r="Q1142" t="s">
        <v>157</v>
      </c>
      <c r="R1142" t="s">
        <v>2570</v>
      </c>
      <c r="S1142" t="s">
        <v>157</v>
      </c>
      <c r="T1142" t="s">
        <v>3523</v>
      </c>
      <c r="U1142" t="s">
        <v>3524</v>
      </c>
    </row>
    <row r="1143" spans="1:21" x14ac:dyDescent="0.3">
      <c r="A1143" t="s">
        <v>3361</v>
      </c>
      <c r="B1143" t="s">
        <v>1461</v>
      </c>
      <c r="C1143" t="s">
        <v>1462</v>
      </c>
      <c r="E1143" t="s">
        <v>19</v>
      </c>
      <c r="F1143" t="s">
        <v>221</v>
      </c>
      <c r="G1143" t="s">
        <v>122</v>
      </c>
      <c r="H1143" t="s">
        <v>1463</v>
      </c>
      <c r="J1143">
        <v>32.730607489855643</v>
      </c>
      <c r="K1143">
        <v>13.77031120903332</v>
      </c>
      <c r="L1143">
        <v>0</v>
      </c>
      <c r="M1143">
        <v>9.2967800232451214</v>
      </c>
      <c r="N1143" t="s">
        <v>145</v>
      </c>
      <c r="P1143" t="s">
        <v>19</v>
      </c>
      <c r="Q1143" t="s">
        <v>11</v>
      </c>
      <c r="R1143" t="s">
        <v>80</v>
      </c>
      <c r="S1143" t="s">
        <v>10</v>
      </c>
      <c r="T1143" t="s">
        <v>3525</v>
      </c>
      <c r="U1143" t="s">
        <v>3526</v>
      </c>
    </row>
    <row r="1144" spans="1:21" x14ac:dyDescent="0.3">
      <c r="A1144" t="s">
        <v>3361</v>
      </c>
      <c r="B1144" t="s">
        <v>2738</v>
      </c>
      <c r="C1144" t="s">
        <v>2739</v>
      </c>
      <c r="E1144" t="s">
        <v>19</v>
      </c>
      <c r="F1144" t="s">
        <v>820</v>
      </c>
      <c r="G1144" t="s">
        <v>122</v>
      </c>
      <c r="H1144" t="s">
        <v>2740</v>
      </c>
      <c r="J1144">
        <v>32.728081502497702</v>
      </c>
      <c r="K1144">
        <v>13.77031120903332</v>
      </c>
      <c r="L1144">
        <v>0</v>
      </c>
      <c r="M1144">
        <v>9.2964193124839536</v>
      </c>
      <c r="N1144" t="s">
        <v>145</v>
      </c>
      <c r="P1144" t="s">
        <v>4</v>
      </c>
      <c r="Q1144" t="s">
        <v>4</v>
      </c>
      <c r="R1144" t="s">
        <v>4</v>
      </c>
      <c r="S1144" t="s">
        <v>4</v>
      </c>
      <c r="T1144" t="s">
        <v>3527</v>
      </c>
      <c r="U1144" t="s">
        <v>3528</v>
      </c>
    </row>
    <row r="1145" spans="1:21" x14ac:dyDescent="0.3">
      <c r="A1145" t="s">
        <v>3361</v>
      </c>
      <c r="B1145" t="s">
        <v>3529</v>
      </c>
      <c r="C1145" t="s">
        <v>3530</v>
      </c>
      <c r="E1145" t="s">
        <v>19</v>
      </c>
      <c r="F1145" t="s">
        <v>261</v>
      </c>
      <c r="G1145" t="s">
        <v>116</v>
      </c>
      <c r="H1145" t="s">
        <v>3529</v>
      </c>
      <c r="J1145">
        <v>32.728081502497702</v>
      </c>
      <c r="K1145">
        <v>13.77031120903332</v>
      </c>
      <c r="L1145">
        <v>0</v>
      </c>
      <c r="M1145">
        <v>9.2964193124839536</v>
      </c>
      <c r="N1145" t="s">
        <v>156</v>
      </c>
      <c r="O1145" t="s">
        <v>2588</v>
      </c>
      <c r="P1145" t="s">
        <v>157</v>
      </c>
      <c r="Q1145" t="s">
        <v>157</v>
      </c>
      <c r="R1145" t="s">
        <v>2570</v>
      </c>
      <c r="S1145" t="s">
        <v>157</v>
      </c>
      <c r="T1145" t="s">
        <v>3531</v>
      </c>
      <c r="U1145" t="s">
        <v>3532</v>
      </c>
    </row>
    <row r="1146" spans="1:21" x14ac:dyDescent="0.3">
      <c r="A1146" t="s">
        <v>3361</v>
      </c>
      <c r="B1146" t="s">
        <v>1339</v>
      </c>
      <c r="C1146" t="s">
        <v>1340</v>
      </c>
      <c r="E1146" t="s">
        <v>19</v>
      </c>
      <c r="F1146" t="s">
        <v>1341</v>
      </c>
      <c r="G1146" t="s">
        <v>122</v>
      </c>
      <c r="H1146" t="s">
        <v>1339</v>
      </c>
      <c r="J1146">
        <v>32.728081502497702</v>
      </c>
      <c r="K1146">
        <v>13.77031120903332</v>
      </c>
      <c r="L1146">
        <v>0</v>
      </c>
      <c r="M1146">
        <v>9.2964193124839536</v>
      </c>
      <c r="N1146" t="s">
        <v>145</v>
      </c>
      <c r="P1146" t="s">
        <v>4</v>
      </c>
      <c r="Q1146" t="s">
        <v>4</v>
      </c>
      <c r="R1146" t="s">
        <v>4</v>
      </c>
      <c r="S1146" t="s">
        <v>4</v>
      </c>
      <c r="T1146" t="s">
        <v>3533</v>
      </c>
      <c r="U1146" t="s">
        <v>2737</v>
      </c>
    </row>
    <row r="1147" spans="1:21" x14ac:dyDescent="0.3">
      <c r="A1147" t="s">
        <v>3361</v>
      </c>
      <c r="B1147" t="s">
        <v>1294</v>
      </c>
      <c r="C1147" t="s">
        <v>1295</v>
      </c>
      <c r="E1147" t="s">
        <v>19</v>
      </c>
      <c r="F1147" t="s">
        <v>109</v>
      </c>
      <c r="G1147" t="s">
        <v>98</v>
      </c>
      <c r="H1147" t="s">
        <v>351</v>
      </c>
      <c r="J1147">
        <v>0</v>
      </c>
      <c r="K1147">
        <v>0</v>
      </c>
      <c r="L1147">
        <v>17.729448614148101</v>
      </c>
      <c r="M1147">
        <v>9.2457045997380387</v>
      </c>
      <c r="N1147" t="s">
        <v>1</v>
      </c>
      <c r="P1147" t="s">
        <v>12</v>
      </c>
      <c r="Q1147" t="s">
        <v>14</v>
      </c>
      <c r="R1147" t="s">
        <v>146</v>
      </c>
      <c r="S1147" t="s">
        <v>5</v>
      </c>
      <c r="T1147" t="s">
        <v>3534</v>
      </c>
      <c r="U1147" t="s">
        <v>3535</v>
      </c>
    </row>
    <row r="1148" spans="1:21" x14ac:dyDescent="0.3">
      <c r="A1148" t="s">
        <v>3361</v>
      </c>
      <c r="B1148" t="s">
        <v>2016</v>
      </c>
      <c r="C1148" t="s">
        <v>2017</v>
      </c>
      <c r="E1148" t="s">
        <v>19</v>
      </c>
      <c r="F1148" t="s">
        <v>109</v>
      </c>
      <c r="G1148" t="s">
        <v>116</v>
      </c>
      <c r="H1148" t="s">
        <v>117</v>
      </c>
      <c r="J1148">
        <v>4.6230101635033112</v>
      </c>
      <c r="K1148">
        <v>5.897805165396738</v>
      </c>
      <c r="L1148">
        <v>12.20011102793592</v>
      </c>
      <c r="M1148">
        <v>9.002344956097172</v>
      </c>
      <c r="N1148" t="s">
        <v>1</v>
      </c>
      <c r="P1148" t="s">
        <v>19</v>
      </c>
      <c r="Q1148" t="s">
        <v>11</v>
      </c>
      <c r="R1148" t="s">
        <v>80</v>
      </c>
      <c r="S1148" t="s">
        <v>10</v>
      </c>
      <c r="T1148" t="s">
        <v>3536</v>
      </c>
      <c r="U1148" t="s">
        <v>3537</v>
      </c>
    </row>
    <row r="1149" spans="1:21" x14ac:dyDescent="0.3">
      <c r="A1149" t="s">
        <v>3361</v>
      </c>
      <c r="B1149" t="s">
        <v>3538</v>
      </c>
      <c r="C1149" t="s">
        <v>3539</v>
      </c>
      <c r="E1149" t="s">
        <v>19</v>
      </c>
      <c r="F1149" t="s">
        <v>109</v>
      </c>
      <c r="G1149" t="s">
        <v>181</v>
      </c>
      <c r="H1149" t="s">
        <v>672</v>
      </c>
      <c r="J1149">
        <v>14.88193370342394</v>
      </c>
      <c r="K1149">
        <v>18.979547687777739</v>
      </c>
      <c r="L1149">
        <v>0.42169001044067539</v>
      </c>
      <c r="M1149">
        <v>8.716698341765758</v>
      </c>
      <c r="N1149" t="s">
        <v>1</v>
      </c>
      <c r="P1149" t="s">
        <v>19</v>
      </c>
      <c r="Q1149" t="s">
        <v>11</v>
      </c>
      <c r="R1149" t="s">
        <v>80</v>
      </c>
      <c r="S1149" t="s">
        <v>10</v>
      </c>
      <c r="T1149" t="s">
        <v>3540</v>
      </c>
      <c r="U1149" t="s">
        <v>3430</v>
      </c>
    </row>
    <row r="1150" spans="1:21" x14ac:dyDescent="0.3">
      <c r="A1150" t="s">
        <v>3361</v>
      </c>
      <c r="B1150" t="s">
        <v>3541</v>
      </c>
      <c r="C1150" t="s">
        <v>3542</v>
      </c>
      <c r="E1150" t="s">
        <v>66</v>
      </c>
      <c r="F1150" t="s">
        <v>430</v>
      </c>
      <c r="G1150" t="s">
        <v>110</v>
      </c>
      <c r="H1150" t="s">
        <v>111</v>
      </c>
      <c r="J1150">
        <v>11.521617927412681</v>
      </c>
      <c r="K1150">
        <v>19.60080547820381</v>
      </c>
      <c r="L1150">
        <v>0.70315868732037989</v>
      </c>
      <c r="M1150">
        <v>8.5921916600320181</v>
      </c>
      <c r="N1150" t="s">
        <v>1</v>
      </c>
      <c r="P1150" t="s">
        <v>7</v>
      </c>
      <c r="Q1150" t="s">
        <v>11</v>
      </c>
      <c r="R1150" t="s">
        <v>70</v>
      </c>
      <c r="S1150" t="s">
        <v>10</v>
      </c>
      <c r="T1150" t="s">
        <v>3543</v>
      </c>
      <c r="U1150" t="s">
        <v>3544</v>
      </c>
    </row>
    <row r="1151" spans="1:21" x14ac:dyDescent="0.3">
      <c r="A1151" t="s">
        <v>3361</v>
      </c>
      <c r="B1151" t="s">
        <v>506</v>
      </c>
      <c r="C1151" t="s">
        <v>507</v>
      </c>
      <c r="E1151" t="s">
        <v>66</v>
      </c>
      <c r="F1151" t="s">
        <v>103</v>
      </c>
      <c r="G1151" t="s">
        <v>59</v>
      </c>
      <c r="H1151" t="s">
        <v>60</v>
      </c>
      <c r="J1151">
        <v>7.0733366905267197</v>
      </c>
      <c r="K1151">
        <v>6.1894148807763063</v>
      </c>
      <c r="L1151">
        <v>10.40698797461843</v>
      </c>
      <c r="M1151">
        <v>8.5150549463092808</v>
      </c>
      <c r="N1151" t="s">
        <v>1</v>
      </c>
      <c r="P1151" t="s">
        <v>9</v>
      </c>
      <c r="Q1151" t="s">
        <v>11</v>
      </c>
      <c r="R1151" t="s">
        <v>104</v>
      </c>
      <c r="S1151" t="s">
        <v>10</v>
      </c>
      <c r="T1151" t="s">
        <v>3545</v>
      </c>
      <c r="U1151" t="s">
        <v>3546</v>
      </c>
    </row>
    <row r="1152" spans="1:21" x14ac:dyDescent="0.3">
      <c r="A1152" t="s">
        <v>3361</v>
      </c>
      <c r="B1152" t="s">
        <v>1584</v>
      </c>
      <c r="C1152" t="s">
        <v>1585</v>
      </c>
      <c r="E1152" t="s">
        <v>19</v>
      </c>
      <c r="F1152" t="s">
        <v>109</v>
      </c>
      <c r="G1152" t="s">
        <v>143</v>
      </c>
      <c r="H1152" t="s">
        <v>290</v>
      </c>
      <c r="J1152">
        <v>5.7258381992654126</v>
      </c>
      <c r="K1152">
        <v>7.303630687053527</v>
      </c>
      <c r="L1152">
        <v>8.6567863295007097</v>
      </c>
      <c r="M1152">
        <v>7.7839772510009064</v>
      </c>
      <c r="N1152" t="s">
        <v>1</v>
      </c>
      <c r="P1152" t="s">
        <v>19</v>
      </c>
      <c r="Q1152" t="s">
        <v>11</v>
      </c>
      <c r="R1152" t="s">
        <v>80</v>
      </c>
      <c r="S1152" t="s">
        <v>10</v>
      </c>
      <c r="T1152" t="s">
        <v>3547</v>
      </c>
      <c r="U1152" t="s">
        <v>840</v>
      </c>
    </row>
    <row r="1153" spans="1:21" x14ac:dyDescent="0.3">
      <c r="A1153" t="s">
        <v>3361</v>
      </c>
      <c r="B1153" t="s">
        <v>1320</v>
      </c>
      <c r="C1153" t="s">
        <v>1321</v>
      </c>
      <c r="E1153" t="s">
        <v>19</v>
      </c>
      <c r="F1153" t="s">
        <v>85</v>
      </c>
      <c r="G1153" t="s">
        <v>68</v>
      </c>
      <c r="H1153" t="s">
        <v>69</v>
      </c>
      <c r="J1153">
        <v>3.2036967095508149</v>
      </c>
      <c r="K1153">
        <v>2.8267388842987842</v>
      </c>
      <c r="L1153">
        <v>12.18899592222683</v>
      </c>
      <c r="M1153">
        <v>7.7628783533514314</v>
      </c>
      <c r="N1153" t="s">
        <v>1</v>
      </c>
      <c r="P1153" t="s">
        <v>19</v>
      </c>
      <c r="Q1153" t="s">
        <v>11</v>
      </c>
      <c r="R1153" t="s">
        <v>80</v>
      </c>
      <c r="S1153" t="s">
        <v>10</v>
      </c>
      <c r="T1153" t="s">
        <v>3548</v>
      </c>
      <c r="U1153" t="s">
        <v>3549</v>
      </c>
    </row>
    <row r="1154" spans="1:21" x14ac:dyDescent="0.3">
      <c r="A1154" t="s">
        <v>3361</v>
      </c>
      <c r="B1154" t="s">
        <v>3550</v>
      </c>
      <c r="C1154" t="s">
        <v>3551</v>
      </c>
      <c r="E1154" t="s">
        <v>136</v>
      </c>
      <c r="F1154" t="s">
        <v>430</v>
      </c>
      <c r="G1154" t="s">
        <v>2161</v>
      </c>
      <c r="H1154" t="s">
        <v>3552</v>
      </c>
      <c r="J1154">
        <v>10.308257296899789</v>
      </c>
      <c r="K1154">
        <v>17.53998702870685</v>
      </c>
      <c r="L1154">
        <v>0.52754001711657872</v>
      </c>
      <c r="M1154">
        <v>7.6355002240085836</v>
      </c>
      <c r="P1154" t="s">
        <v>12</v>
      </c>
      <c r="Q1154" t="s">
        <v>14</v>
      </c>
      <c r="R1154" t="s">
        <v>146</v>
      </c>
      <c r="S1154" t="s">
        <v>5</v>
      </c>
      <c r="T1154" t="s">
        <v>3553</v>
      </c>
      <c r="U1154" t="s">
        <v>3553</v>
      </c>
    </row>
    <row r="1155" spans="1:21" x14ac:dyDescent="0.3">
      <c r="A1155" t="s">
        <v>3361</v>
      </c>
      <c r="B1155" t="s">
        <v>2809</v>
      </c>
      <c r="C1155" t="s">
        <v>2810</v>
      </c>
      <c r="E1155" t="s">
        <v>19</v>
      </c>
      <c r="F1155" t="s">
        <v>109</v>
      </c>
      <c r="G1155" t="s">
        <v>59</v>
      </c>
      <c r="H1155" t="s">
        <v>60</v>
      </c>
      <c r="J1155">
        <v>6.6737957067891234</v>
      </c>
      <c r="K1155">
        <v>5.6718594340232098</v>
      </c>
      <c r="L1155">
        <v>9.1528278470539579</v>
      </c>
      <c r="M1155">
        <v>7.6302210408266351</v>
      </c>
      <c r="N1155" t="s">
        <v>1</v>
      </c>
      <c r="P1155" t="s">
        <v>16</v>
      </c>
      <c r="Q1155" t="s">
        <v>22</v>
      </c>
      <c r="R1155" t="s">
        <v>172</v>
      </c>
      <c r="S1155" t="s">
        <v>5</v>
      </c>
      <c r="T1155" t="s">
        <v>3554</v>
      </c>
      <c r="U1155" t="s">
        <v>3555</v>
      </c>
    </row>
    <row r="1156" spans="1:21" x14ac:dyDescent="0.3">
      <c r="A1156" t="s">
        <v>3361</v>
      </c>
      <c r="B1156" t="s">
        <v>3556</v>
      </c>
      <c r="C1156" t="s">
        <v>3557</v>
      </c>
      <c r="E1156" t="s">
        <v>19</v>
      </c>
      <c r="F1156" t="s">
        <v>109</v>
      </c>
      <c r="G1156" t="s">
        <v>110</v>
      </c>
      <c r="H1156" t="s">
        <v>111</v>
      </c>
      <c r="J1156">
        <v>11.54784600074338</v>
      </c>
      <c r="K1156">
        <v>14.298810653120761</v>
      </c>
      <c r="L1156">
        <v>2.0846808261485288</v>
      </c>
      <c r="M1156">
        <v>7.5364441990337667</v>
      </c>
      <c r="N1156" t="s">
        <v>1</v>
      </c>
      <c r="P1156" t="s">
        <v>19</v>
      </c>
      <c r="Q1156" t="s">
        <v>11</v>
      </c>
      <c r="R1156" t="s">
        <v>80</v>
      </c>
      <c r="S1156" t="s">
        <v>10</v>
      </c>
      <c r="T1156" t="s">
        <v>3558</v>
      </c>
      <c r="U1156" t="s">
        <v>3559</v>
      </c>
    </row>
    <row r="1157" spans="1:21" x14ac:dyDescent="0.3">
      <c r="A1157" t="s">
        <v>3361</v>
      </c>
      <c r="B1157" t="s">
        <v>2716</v>
      </c>
      <c r="C1157" t="s">
        <v>2717</v>
      </c>
      <c r="E1157" t="s">
        <v>19</v>
      </c>
      <c r="F1157" t="s">
        <v>109</v>
      </c>
      <c r="G1157" t="s">
        <v>143</v>
      </c>
      <c r="H1157" t="s">
        <v>2718</v>
      </c>
      <c r="J1157">
        <v>7.931494270789619</v>
      </c>
      <c r="K1157">
        <v>13.485023511531359</v>
      </c>
      <c r="L1157">
        <v>3.478686083696132</v>
      </c>
      <c r="M1157">
        <v>7.4737895689047562</v>
      </c>
      <c r="N1157" t="s">
        <v>2719</v>
      </c>
      <c r="P1157" t="s">
        <v>19</v>
      </c>
      <c r="Q1157" t="s">
        <v>11</v>
      </c>
      <c r="R1157" t="s">
        <v>80</v>
      </c>
      <c r="S1157" t="s">
        <v>10</v>
      </c>
      <c r="T1157" t="s">
        <v>3560</v>
      </c>
      <c r="U1157" t="s">
        <v>1654</v>
      </c>
    </row>
    <row r="1158" spans="1:21" x14ac:dyDescent="0.3">
      <c r="A1158" t="s">
        <v>3361</v>
      </c>
      <c r="B1158" t="s">
        <v>1201</v>
      </c>
      <c r="C1158" t="s">
        <v>1202</v>
      </c>
      <c r="E1158" t="s">
        <v>66</v>
      </c>
      <c r="F1158" t="s">
        <v>58</v>
      </c>
      <c r="G1158" t="s">
        <v>68</v>
      </c>
      <c r="H1158" t="s">
        <v>69</v>
      </c>
      <c r="J1158">
        <v>5.6235487132757012</v>
      </c>
      <c r="K1158">
        <v>4.8221589807929668</v>
      </c>
      <c r="L1158">
        <v>9.4209583970827406</v>
      </c>
      <c r="M1158">
        <v>7.3348186386556069</v>
      </c>
      <c r="N1158" t="s">
        <v>1</v>
      </c>
      <c r="P1158" t="s">
        <v>9</v>
      </c>
      <c r="Q1158" t="s">
        <v>11</v>
      </c>
      <c r="R1158" t="s">
        <v>104</v>
      </c>
      <c r="S1158" t="s">
        <v>10</v>
      </c>
      <c r="T1158" t="s">
        <v>3561</v>
      </c>
      <c r="U1158" t="s">
        <v>3562</v>
      </c>
    </row>
    <row r="1159" spans="1:21" x14ac:dyDescent="0.3">
      <c r="A1159" t="s">
        <v>3361</v>
      </c>
      <c r="B1159" t="s">
        <v>3563</v>
      </c>
      <c r="C1159" t="s">
        <v>3564</v>
      </c>
      <c r="E1159" t="s">
        <v>19</v>
      </c>
      <c r="F1159" t="s">
        <v>109</v>
      </c>
      <c r="G1159" t="s">
        <v>355</v>
      </c>
      <c r="H1159" t="s">
        <v>3563</v>
      </c>
      <c r="J1159">
        <v>25.635235300774369</v>
      </c>
      <c r="K1159">
        <v>10.789931352448569</v>
      </c>
      <c r="L1159">
        <v>0</v>
      </c>
      <c r="M1159">
        <v>7.2830136370555589</v>
      </c>
      <c r="N1159" t="s">
        <v>1</v>
      </c>
      <c r="P1159" t="s">
        <v>12</v>
      </c>
      <c r="Q1159" t="s">
        <v>14</v>
      </c>
      <c r="R1159" t="s">
        <v>146</v>
      </c>
      <c r="S1159" t="s">
        <v>5</v>
      </c>
      <c r="T1159" t="s">
        <v>3565</v>
      </c>
      <c r="U1159" t="s">
        <v>3566</v>
      </c>
    </row>
    <row r="1160" spans="1:21" x14ac:dyDescent="0.3">
      <c r="A1160" t="s">
        <v>3361</v>
      </c>
      <c r="B1160" t="s">
        <v>3567</v>
      </c>
      <c r="C1160" t="s">
        <v>3568</v>
      </c>
      <c r="E1160" t="s">
        <v>66</v>
      </c>
      <c r="F1160" t="s">
        <v>396</v>
      </c>
      <c r="G1160" t="s">
        <v>68</v>
      </c>
      <c r="H1160" t="s">
        <v>69</v>
      </c>
      <c r="J1160">
        <v>1.984590882022629</v>
      </c>
      <c r="K1160">
        <v>1.757149086569356</v>
      </c>
      <c r="L1160">
        <v>12.00592158111661</v>
      </c>
      <c r="M1160">
        <v>7.1342453478981751</v>
      </c>
      <c r="N1160" t="s">
        <v>1</v>
      </c>
      <c r="P1160" t="s">
        <v>7</v>
      </c>
      <c r="Q1160" t="s">
        <v>11</v>
      </c>
      <c r="R1160" t="s">
        <v>70</v>
      </c>
      <c r="S1160" t="s">
        <v>10</v>
      </c>
      <c r="T1160" t="s">
        <v>3569</v>
      </c>
      <c r="U1160" t="s">
        <v>3570</v>
      </c>
    </row>
    <row r="1161" spans="1:21" x14ac:dyDescent="0.3">
      <c r="A1161" t="s">
        <v>3361</v>
      </c>
      <c r="B1161" t="s">
        <v>3571</v>
      </c>
      <c r="C1161" t="s">
        <v>3572</v>
      </c>
      <c r="E1161" t="s">
        <v>66</v>
      </c>
      <c r="F1161" t="s">
        <v>396</v>
      </c>
      <c r="G1161" t="s">
        <v>110</v>
      </c>
      <c r="H1161" t="s">
        <v>111</v>
      </c>
      <c r="J1161">
        <v>8.0357820861759564</v>
      </c>
      <c r="K1161">
        <v>13.91741765863909</v>
      </c>
      <c r="L1161">
        <v>2.4420742251027101</v>
      </c>
      <c r="M1161">
        <v>7.0932603379247956</v>
      </c>
      <c r="N1161" t="s">
        <v>1</v>
      </c>
      <c r="P1161" t="s">
        <v>7</v>
      </c>
      <c r="Q1161" t="s">
        <v>11</v>
      </c>
      <c r="R1161" t="s">
        <v>70</v>
      </c>
      <c r="S1161" t="s">
        <v>10</v>
      </c>
      <c r="T1161" t="s">
        <v>3430</v>
      </c>
      <c r="U1161" t="s">
        <v>3430</v>
      </c>
    </row>
    <row r="1162" spans="1:21" x14ac:dyDescent="0.3">
      <c r="A1162" t="s">
        <v>3361</v>
      </c>
      <c r="B1162" t="s">
        <v>2730</v>
      </c>
      <c r="C1162" t="s">
        <v>2731</v>
      </c>
      <c r="E1162" t="s">
        <v>66</v>
      </c>
      <c r="F1162" t="s">
        <v>103</v>
      </c>
      <c r="G1162" t="s">
        <v>181</v>
      </c>
      <c r="H1162" t="s">
        <v>672</v>
      </c>
      <c r="J1162">
        <v>5.1032336966296166</v>
      </c>
      <c r="K1162">
        <v>6.5591201111145114</v>
      </c>
      <c r="L1162">
        <v>7.3977013550989694</v>
      </c>
      <c r="M1162">
        <v>6.7885301897937707</v>
      </c>
      <c r="N1162" t="s">
        <v>1</v>
      </c>
      <c r="P1162" t="s">
        <v>9</v>
      </c>
      <c r="Q1162" t="s">
        <v>11</v>
      </c>
      <c r="R1162" t="s">
        <v>104</v>
      </c>
      <c r="S1162" t="s">
        <v>10</v>
      </c>
      <c r="T1162" t="s">
        <v>3573</v>
      </c>
      <c r="U1162" t="s">
        <v>3574</v>
      </c>
    </row>
    <row r="1163" spans="1:21" x14ac:dyDescent="0.3">
      <c r="A1163" t="s">
        <v>3361</v>
      </c>
      <c r="B1163" t="s">
        <v>348</v>
      </c>
      <c r="C1163" t="s">
        <v>349</v>
      </c>
      <c r="E1163" t="s">
        <v>19</v>
      </c>
      <c r="F1163" t="s">
        <v>350</v>
      </c>
      <c r="G1163" t="s">
        <v>98</v>
      </c>
      <c r="H1163" t="s">
        <v>351</v>
      </c>
      <c r="J1163">
        <v>3.7075255086747481</v>
      </c>
      <c r="K1163">
        <v>6.8320825300651782</v>
      </c>
      <c r="L1163">
        <v>7.3264278772596834</v>
      </c>
      <c r="M1163">
        <v>6.6436915187781969</v>
      </c>
      <c r="N1163" t="s">
        <v>1</v>
      </c>
      <c r="P1163" t="s">
        <v>19</v>
      </c>
      <c r="Q1163" t="s">
        <v>11</v>
      </c>
      <c r="R1163" t="s">
        <v>80</v>
      </c>
      <c r="S1163" t="s">
        <v>10</v>
      </c>
      <c r="T1163" t="s">
        <v>3575</v>
      </c>
      <c r="U1163" t="s">
        <v>3576</v>
      </c>
    </row>
    <row r="1164" spans="1:21" x14ac:dyDescent="0.3">
      <c r="A1164" t="s">
        <v>3361</v>
      </c>
      <c r="B1164" t="s">
        <v>213</v>
      </c>
      <c r="C1164" t="s">
        <v>214</v>
      </c>
      <c r="E1164" t="s">
        <v>19</v>
      </c>
      <c r="F1164" t="s">
        <v>58</v>
      </c>
      <c r="G1164" t="s">
        <v>59</v>
      </c>
      <c r="H1164" t="s">
        <v>60</v>
      </c>
      <c r="J1164">
        <v>2.982007042112794</v>
      </c>
      <c r="K1164">
        <v>2.583420885312008</v>
      </c>
      <c r="L1164">
        <v>10.15749660185568</v>
      </c>
      <c r="M1164">
        <v>6.5901327785910588</v>
      </c>
      <c r="N1164" t="s">
        <v>1</v>
      </c>
      <c r="P1164" t="s">
        <v>21</v>
      </c>
      <c r="Q1164" t="s">
        <v>11</v>
      </c>
      <c r="R1164" t="s">
        <v>61</v>
      </c>
      <c r="S1164" t="s">
        <v>10</v>
      </c>
      <c r="T1164" t="s">
        <v>3577</v>
      </c>
      <c r="U1164" t="s">
        <v>3578</v>
      </c>
    </row>
    <row r="1165" spans="1:21" x14ac:dyDescent="0.3">
      <c r="A1165" t="s">
        <v>3361</v>
      </c>
      <c r="B1165" t="s">
        <v>2712</v>
      </c>
      <c r="C1165" t="s">
        <v>2713</v>
      </c>
      <c r="E1165" t="s">
        <v>19</v>
      </c>
      <c r="F1165" t="s">
        <v>109</v>
      </c>
      <c r="G1165" t="s">
        <v>68</v>
      </c>
      <c r="H1165" t="s">
        <v>69</v>
      </c>
      <c r="J1165">
        <v>0</v>
      </c>
      <c r="K1165">
        <v>16.62648200849339</v>
      </c>
      <c r="L1165">
        <v>1.790934232500925</v>
      </c>
      <c r="M1165">
        <v>6.5156534915376128</v>
      </c>
      <c r="N1165" t="s">
        <v>1</v>
      </c>
      <c r="P1165" t="s">
        <v>12</v>
      </c>
      <c r="Q1165" t="s">
        <v>14</v>
      </c>
      <c r="R1165" t="s">
        <v>146</v>
      </c>
      <c r="S1165" t="s">
        <v>5</v>
      </c>
      <c r="T1165" t="s">
        <v>3579</v>
      </c>
      <c r="U1165" t="s">
        <v>3580</v>
      </c>
    </row>
    <row r="1166" spans="1:21" x14ac:dyDescent="0.3">
      <c r="A1166" t="s">
        <v>3361</v>
      </c>
      <c r="B1166" t="s">
        <v>2768</v>
      </c>
      <c r="C1166" t="s">
        <v>2769</v>
      </c>
      <c r="E1166" t="s">
        <v>390</v>
      </c>
      <c r="F1166" t="s">
        <v>1115</v>
      </c>
      <c r="G1166" t="s">
        <v>116</v>
      </c>
      <c r="H1166" t="s">
        <v>117</v>
      </c>
      <c r="J1166">
        <v>0</v>
      </c>
      <c r="K1166">
        <v>14.365749665942451</v>
      </c>
      <c r="L1166">
        <v>3.0971814554345132</v>
      </c>
      <c r="M1166">
        <v>6.437892550073764</v>
      </c>
      <c r="N1166" t="s">
        <v>1</v>
      </c>
      <c r="P1166" t="s">
        <v>23</v>
      </c>
      <c r="Q1166" t="s">
        <v>11</v>
      </c>
      <c r="R1166" t="s">
        <v>1116</v>
      </c>
      <c r="S1166" t="s">
        <v>10</v>
      </c>
      <c r="T1166" t="s">
        <v>3581</v>
      </c>
      <c r="U1166" t="s">
        <v>3582</v>
      </c>
    </row>
    <row r="1167" spans="1:21" x14ac:dyDescent="0.3">
      <c r="A1167" t="s">
        <v>3361</v>
      </c>
      <c r="B1167" t="s">
        <v>2190</v>
      </c>
      <c r="C1167" t="s">
        <v>2191</v>
      </c>
      <c r="E1167" t="s">
        <v>66</v>
      </c>
      <c r="F1167" t="s">
        <v>103</v>
      </c>
      <c r="G1167" t="s">
        <v>68</v>
      </c>
      <c r="H1167" t="s">
        <v>69</v>
      </c>
      <c r="J1167">
        <v>2.5323829278722991</v>
      </c>
      <c r="K1167">
        <v>2.1339732277949479</v>
      </c>
      <c r="L1167">
        <v>9.1577184935659606</v>
      </c>
      <c r="M1167">
        <v>5.8536688896308284</v>
      </c>
      <c r="N1167" t="s">
        <v>1</v>
      </c>
      <c r="P1167" t="s">
        <v>9</v>
      </c>
      <c r="Q1167" t="s">
        <v>11</v>
      </c>
      <c r="R1167" t="s">
        <v>104</v>
      </c>
      <c r="S1167" t="s">
        <v>10</v>
      </c>
      <c r="T1167" t="s">
        <v>3583</v>
      </c>
      <c r="U1167" t="s">
        <v>2924</v>
      </c>
    </row>
    <row r="1168" spans="1:21" x14ac:dyDescent="0.3">
      <c r="A1168" t="s">
        <v>3361</v>
      </c>
      <c r="B1168" t="s">
        <v>1518</v>
      </c>
      <c r="C1168" t="s">
        <v>1519</v>
      </c>
      <c r="E1168" t="s">
        <v>19</v>
      </c>
      <c r="F1168" t="s">
        <v>109</v>
      </c>
      <c r="G1168" t="s">
        <v>110</v>
      </c>
      <c r="H1168" t="s">
        <v>111</v>
      </c>
      <c r="J1168">
        <v>8.6989776546806876</v>
      </c>
      <c r="K1168">
        <v>11.11352304062072</v>
      </c>
      <c r="L1168">
        <v>1.036269855340832</v>
      </c>
      <c r="M1168">
        <v>5.5135539461180878</v>
      </c>
      <c r="N1168" t="s">
        <v>1</v>
      </c>
      <c r="P1168" t="s">
        <v>19</v>
      </c>
      <c r="Q1168" t="s">
        <v>11</v>
      </c>
      <c r="R1168" t="s">
        <v>80</v>
      </c>
      <c r="S1168" t="s">
        <v>10</v>
      </c>
      <c r="T1168" t="s">
        <v>3584</v>
      </c>
      <c r="U1168" t="s">
        <v>3585</v>
      </c>
    </row>
    <row r="1169" spans="1:21" x14ac:dyDescent="0.3">
      <c r="A1169" t="s">
        <v>3361</v>
      </c>
      <c r="B1169" t="s">
        <v>3586</v>
      </c>
      <c r="C1169" t="s">
        <v>3587</v>
      </c>
      <c r="E1169" t="s">
        <v>19</v>
      </c>
      <c r="F1169" t="s">
        <v>109</v>
      </c>
      <c r="G1169" t="s">
        <v>59</v>
      </c>
      <c r="H1169" t="s">
        <v>60</v>
      </c>
      <c r="J1169">
        <v>4.6150168459168128</v>
      </c>
      <c r="K1169">
        <v>3.929798188439058</v>
      </c>
      <c r="L1169">
        <v>6.7674577612302924</v>
      </c>
      <c r="M1169">
        <v>5.5074543493335391</v>
      </c>
      <c r="N1169" t="s">
        <v>1</v>
      </c>
      <c r="P1169" t="s">
        <v>19</v>
      </c>
      <c r="Q1169" t="s">
        <v>11</v>
      </c>
      <c r="R1169" t="s">
        <v>80</v>
      </c>
      <c r="S1169" t="s">
        <v>10</v>
      </c>
      <c r="T1169" t="s">
        <v>3588</v>
      </c>
      <c r="U1169" t="s">
        <v>3589</v>
      </c>
    </row>
    <row r="1170" spans="1:21" x14ac:dyDescent="0.3">
      <c r="A1170" t="s">
        <v>3361</v>
      </c>
      <c r="B1170" t="s">
        <v>3590</v>
      </c>
      <c r="C1170" t="s">
        <v>3591</v>
      </c>
      <c r="E1170" t="s">
        <v>19</v>
      </c>
      <c r="F1170" t="s">
        <v>820</v>
      </c>
      <c r="G1170" t="s">
        <v>98</v>
      </c>
      <c r="H1170" t="s">
        <v>3592</v>
      </c>
      <c r="J1170">
        <v>19.259648933491601</v>
      </c>
      <c r="K1170">
        <v>8.2072011077450355</v>
      </c>
      <c r="L1170">
        <v>0</v>
      </c>
      <c r="M1170">
        <v>5.5055281608752598</v>
      </c>
      <c r="N1170" t="s">
        <v>1</v>
      </c>
      <c r="P1170" t="s">
        <v>21</v>
      </c>
      <c r="Q1170" t="s">
        <v>11</v>
      </c>
      <c r="R1170" t="s">
        <v>61</v>
      </c>
      <c r="S1170" t="s">
        <v>10</v>
      </c>
      <c r="T1170" t="s">
        <v>3593</v>
      </c>
      <c r="U1170" t="s">
        <v>3594</v>
      </c>
    </row>
    <row r="1171" spans="1:21" x14ac:dyDescent="0.3">
      <c r="A1171" t="s">
        <v>3361</v>
      </c>
      <c r="B1171" t="s">
        <v>1327</v>
      </c>
      <c r="C1171" t="s">
        <v>1328</v>
      </c>
      <c r="E1171" t="s">
        <v>19</v>
      </c>
      <c r="F1171" t="s">
        <v>820</v>
      </c>
      <c r="G1171" t="s">
        <v>143</v>
      </c>
      <c r="H1171" t="s">
        <v>1329</v>
      </c>
      <c r="J1171">
        <v>14.894105557980501</v>
      </c>
      <c r="K1171">
        <v>6.399686851801258</v>
      </c>
      <c r="L1171">
        <v>2.2707647958815151</v>
      </c>
      <c r="M1171">
        <v>5.4595034468197818</v>
      </c>
      <c r="N1171" t="s">
        <v>145</v>
      </c>
      <c r="P1171" t="s">
        <v>24</v>
      </c>
      <c r="Q1171" t="s">
        <v>22</v>
      </c>
      <c r="R1171" t="s">
        <v>391</v>
      </c>
      <c r="S1171" t="s">
        <v>5</v>
      </c>
      <c r="T1171" t="s">
        <v>3595</v>
      </c>
      <c r="U1171" t="s">
        <v>3596</v>
      </c>
    </row>
    <row r="1172" spans="1:21" x14ac:dyDescent="0.3">
      <c r="A1172" t="s">
        <v>3361</v>
      </c>
      <c r="B1172" t="s">
        <v>1708</v>
      </c>
      <c r="C1172" t="s">
        <v>1709</v>
      </c>
      <c r="E1172" t="s">
        <v>19</v>
      </c>
      <c r="F1172" t="s">
        <v>109</v>
      </c>
      <c r="G1172" t="s">
        <v>143</v>
      </c>
      <c r="H1172" t="s">
        <v>290</v>
      </c>
      <c r="J1172">
        <v>9.168585062887427</v>
      </c>
      <c r="K1172">
        <v>11.70449889667506</v>
      </c>
      <c r="L1172">
        <v>0</v>
      </c>
      <c r="M1172">
        <v>5.2386083787771129</v>
      </c>
      <c r="N1172" t="s">
        <v>1</v>
      </c>
      <c r="P1172" t="s">
        <v>24</v>
      </c>
      <c r="Q1172" t="s">
        <v>22</v>
      </c>
      <c r="R1172" t="s">
        <v>1766</v>
      </c>
      <c r="S1172" t="s">
        <v>5</v>
      </c>
      <c r="T1172" t="s">
        <v>2093</v>
      </c>
      <c r="U1172" t="s">
        <v>2093</v>
      </c>
    </row>
    <row r="1173" spans="1:21" x14ac:dyDescent="0.3">
      <c r="A1173" t="s">
        <v>3361</v>
      </c>
      <c r="B1173" t="s">
        <v>3597</v>
      </c>
      <c r="C1173" t="s">
        <v>3598</v>
      </c>
      <c r="E1173" t="s">
        <v>19</v>
      </c>
      <c r="F1173" t="s">
        <v>109</v>
      </c>
      <c r="G1173" t="s">
        <v>143</v>
      </c>
      <c r="H1173" t="s">
        <v>2718</v>
      </c>
      <c r="J1173">
        <v>3.811813324061085</v>
      </c>
      <c r="K1173">
        <v>6.4319359867533006</v>
      </c>
      <c r="L1173">
        <v>4.7377710580978709</v>
      </c>
      <c r="M1173">
        <v>5.1742950863645838</v>
      </c>
      <c r="N1173" t="s">
        <v>2719</v>
      </c>
      <c r="P1173" t="s">
        <v>19</v>
      </c>
      <c r="Q1173" t="s">
        <v>11</v>
      </c>
      <c r="R1173" t="s">
        <v>80</v>
      </c>
      <c r="S1173" t="s">
        <v>10</v>
      </c>
      <c r="T1173" t="s">
        <v>3599</v>
      </c>
      <c r="U1173" t="s">
        <v>3600</v>
      </c>
    </row>
    <row r="1174" spans="1:21" x14ac:dyDescent="0.3">
      <c r="A1174" t="s">
        <v>3361</v>
      </c>
      <c r="B1174" t="s">
        <v>833</v>
      </c>
      <c r="C1174" t="s">
        <v>834</v>
      </c>
      <c r="E1174" t="s">
        <v>136</v>
      </c>
      <c r="F1174" t="s">
        <v>137</v>
      </c>
      <c r="G1174" t="s">
        <v>68</v>
      </c>
      <c r="H1174" t="s">
        <v>69</v>
      </c>
      <c r="J1174">
        <v>3.0244715417910628</v>
      </c>
      <c r="K1174">
        <v>2.693179615859318</v>
      </c>
      <c r="L1174">
        <v>7.2772136092123088</v>
      </c>
      <c r="M1174">
        <v>5.1310093512882622</v>
      </c>
      <c r="N1174" t="s">
        <v>1</v>
      </c>
      <c r="P1174" t="s">
        <v>7</v>
      </c>
      <c r="Q1174" t="s">
        <v>11</v>
      </c>
      <c r="R1174" t="s">
        <v>70</v>
      </c>
      <c r="S1174" t="s">
        <v>10</v>
      </c>
      <c r="T1174" t="s">
        <v>3601</v>
      </c>
      <c r="U1174" t="s">
        <v>3602</v>
      </c>
    </row>
    <row r="1175" spans="1:21" x14ac:dyDescent="0.3">
      <c r="A1175" t="s">
        <v>3361</v>
      </c>
      <c r="B1175" t="s">
        <v>3603</v>
      </c>
      <c r="C1175" t="s">
        <v>3604</v>
      </c>
      <c r="E1175" t="s">
        <v>66</v>
      </c>
      <c r="F1175" t="s">
        <v>67</v>
      </c>
      <c r="G1175" t="s">
        <v>59</v>
      </c>
      <c r="H1175" t="s">
        <v>60</v>
      </c>
      <c r="J1175">
        <v>4.1582736832008438</v>
      </c>
      <c r="K1175">
        <v>3.6663453594051241</v>
      </c>
      <c r="L1175">
        <v>6.0677191064357903</v>
      </c>
      <c r="M1175">
        <v>4.9888816121769359</v>
      </c>
      <c r="N1175" t="s">
        <v>1</v>
      </c>
      <c r="P1175" t="s">
        <v>7</v>
      </c>
      <c r="Q1175" t="s">
        <v>11</v>
      </c>
      <c r="R1175" t="s">
        <v>70</v>
      </c>
      <c r="S1175" t="s">
        <v>10</v>
      </c>
      <c r="T1175" t="s">
        <v>3605</v>
      </c>
      <c r="U1175" t="s">
        <v>3606</v>
      </c>
    </row>
    <row r="1176" spans="1:21" x14ac:dyDescent="0.3">
      <c r="A1176" t="s">
        <v>3361</v>
      </c>
      <c r="B1176" t="s">
        <v>3607</v>
      </c>
      <c r="C1176" t="s">
        <v>3608</v>
      </c>
      <c r="E1176" t="s">
        <v>19</v>
      </c>
      <c r="F1176" t="s">
        <v>3609</v>
      </c>
      <c r="G1176" t="s">
        <v>68</v>
      </c>
      <c r="H1176" t="s">
        <v>69</v>
      </c>
      <c r="J1176">
        <v>2.013067075924527</v>
      </c>
      <c r="K1176">
        <v>1.7636836092495689</v>
      </c>
      <c r="L1176">
        <v>7.756633768689789</v>
      </c>
      <c r="M1176">
        <v>4.9245504846860859</v>
      </c>
      <c r="N1176" t="s">
        <v>1</v>
      </c>
      <c r="P1176" t="s">
        <v>19</v>
      </c>
      <c r="Q1176" t="s">
        <v>11</v>
      </c>
      <c r="R1176" t="s">
        <v>80</v>
      </c>
      <c r="S1176" t="s">
        <v>10</v>
      </c>
      <c r="T1176" t="s">
        <v>3610</v>
      </c>
      <c r="U1176" t="s">
        <v>3611</v>
      </c>
    </row>
    <row r="1177" spans="1:21" x14ac:dyDescent="0.3">
      <c r="A1177" t="s">
        <v>3361</v>
      </c>
      <c r="B1177" t="s">
        <v>2751</v>
      </c>
      <c r="C1177" t="s">
        <v>2752</v>
      </c>
      <c r="E1177" t="s">
        <v>66</v>
      </c>
      <c r="F1177" t="s">
        <v>1282</v>
      </c>
      <c r="G1177" t="s">
        <v>143</v>
      </c>
      <c r="H1177" t="s">
        <v>290</v>
      </c>
      <c r="J1177">
        <v>7.9533509985651989</v>
      </c>
      <c r="K1177">
        <v>10.22036535525703</v>
      </c>
      <c r="L1177">
        <v>0.23803426380106249</v>
      </c>
      <c r="M1177">
        <v>4.6909644639631543</v>
      </c>
      <c r="N1177" t="s">
        <v>1</v>
      </c>
      <c r="P1177" t="s">
        <v>7</v>
      </c>
      <c r="Q1177" t="s">
        <v>11</v>
      </c>
      <c r="R1177" t="s">
        <v>70</v>
      </c>
      <c r="S1177" t="s">
        <v>10</v>
      </c>
      <c r="T1177" t="s">
        <v>3612</v>
      </c>
      <c r="U1177" t="s">
        <v>3613</v>
      </c>
    </row>
    <row r="1178" spans="1:21" x14ac:dyDescent="0.3">
      <c r="A1178" t="s">
        <v>3361</v>
      </c>
      <c r="B1178" t="s">
        <v>654</v>
      </c>
      <c r="C1178" t="s">
        <v>655</v>
      </c>
      <c r="E1178" t="s">
        <v>19</v>
      </c>
      <c r="F1178" t="s">
        <v>221</v>
      </c>
      <c r="G1178" t="s">
        <v>143</v>
      </c>
      <c r="H1178" t="s">
        <v>656</v>
      </c>
      <c r="J1178">
        <v>32.730733789223542</v>
      </c>
      <c r="K1178">
        <v>7.7037449131310814E-3</v>
      </c>
      <c r="L1178">
        <v>0</v>
      </c>
      <c r="M1178">
        <v>4.67653199493662</v>
      </c>
      <c r="N1178" t="s">
        <v>145</v>
      </c>
      <c r="P1178" t="s">
        <v>15</v>
      </c>
      <c r="Q1178" t="s">
        <v>15</v>
      </c>
      <c r="R1178" t="s">
        <v>15</v>
      </c>
      <c r="S1178" t="s">
        <v>15</v>
      </c>
      <c r="T1178" t="s">
        <v>3614</v>
      </c>
      <c r="U1178" t="s">
        <v>3615</v>
      </c>
    </row>
    <row r="1179" spans="1:21" x14ac:dyDescent="0.3">
      <c r="A1179" t="s">
        <v>3361</v>
      </c>
      <c r="B1179" t="s">
        <v>3616</v>
      </c>
      <c r="C1179" t="s">
        <v>3617</v>
      </c>
      <c r="E1179" t="s">
        <v>19</v>
      </c>
      <c r="F1179" t="s">
        <v>109</v>
      </c>
      <c r="G1179" t="s">
        <v>181</v>
      </c>
      <c r="H1179" t="s">
        <v>752</v>
      </c>
      <c r="J1179">
        <v>10.79097874177188</v>
      </c>
      <c r="K1179">
        <v>0</v>
      </c>
      <c r="L1179">
        <v>5.9098162047160336</v>
      </c>
      <c r="M1179">
        <v>4.6228522998690194</v>
      </c>
      <c r="N1179" t="s">
        <v>1</v>
      </c>
      <c r="P1179" t="s">
        <v>20</v>
      </c>
      <c r="Q1179" t="s">
        <v>20</v>
      </c>
      <c r="R1179" t="s">
        <v>958</v>
      </c>
      <c r="S1179" t="s">
        <v>13</v>
      </c>
      <c r="T1179" t="s">
        <v>3618</v>
      </c>
      <c r="U1179" t="s">
        <v>3619</v>
      </c>
    </row>
    <row r="1180" spans="1:21" x14ac:dyDescent="0.3">
      <c r="A1180" t="s">
        <v>3361</v>
      </c>
      <c r="B1180" t="s">
        <v>3620</v>
      </c>
      <c r="C1180" t="s">
        <v>3621</v>
      </c>
      <c r="E1180" t="s">
        <v>19</v>
      </c>
      <c r="F1180" t="s">
        <v>109</v>
      </c>
      <c r="G1180" t="s">
        <v>181</v>
      </c>
      <c r="H1180" t="s">
        <v>3620</v>
      </c>
      <c r="J1180">
        <v>0</v>
      </c>
      <c r="K1180">
        <v>0</v>
      </c>
      <c r="L1180">
        <v>8.8647243070740505</v>
      </c>
      <c r="M1180">
        <v>4.6228522998690194</v>
      </c>
      <c r="N1180" t="s">
        <v>156</v>
      </c>
      <c r="O1180" t="s">
        <v>2588</v>
      </c>
      <c r="P1180" t="s">
        <v>157</v>
      </c>
      <c r="Q1180" t="s">
        <v>157</v>
      </c>
      <c r="R1180" t="s">
        <v>2570</v>
      </c>
      <c r="S1180" t="s">
        <v>157</v>
      </c>
      <c r="T1180" t="s">
        <v>3622</v>
      </c>
      <c r="U1180" t="s">
        <v>3623</v>
      </c>
    </row>
    <row r="1181" spans="1:21" x14ac:dyDescent="0.3">
      <c r="A1181" t="s">
        <v>3361</v>
      </c>
      <c r="B1181" t="s">
        <v>1304</v>
      </c>
      <c r="C1181" t="s">
        <v>1305</v>
      </c>
      <c r="E1181" t="s">
        <v>19</v>
      </c>
      <c r="F1181" t="s">
        <v>820</v>
      </c>
      <c r="G1181" t="s">
        <v>110</v>
      </c>
      <c r="H1181" t="s">
        <v>1306</v>
      </c>
      <c r="J1181">
        <v>0</v>
      </c>
      <c r="K1181">
        <v>13.77031120903332</v>
      </c>
      <c r="L1181">
        <v>0</v>
      </c>
      <c r="M1181">
        <v>4.6228522998690194</v>
      </c>
      <c r="N1181" t="s">
        <v>156</v>
      </c>
      <c r="O1181" t="s">
        <v>2843</v>
      </c>
      <c r="P1181" t="s">
        <v>18</v>
      </c>
      <c r="Q1181" t="s">
        <v>18</v>
      </c>
      <c r="R1181" t="s">
        <v>949</v>
      </c>
      <c r="S1181" t="s">
        <v>13</v>
      </c>
      <c r="T1181" t="s">
        <v>3624</v>
      </c>
      <c r="U1181" t="s">
        <v>3625</v>
      </c>
    </row>
    <row r="1182" spans="1:21" x14ac:dyDescent="0.3">
      <c r="A1182" t="s">
        <v>3361</v>
      </c>
      <c r="B1182" t="s">
        <v>929</v>
      </c>
      <c r="C1182" t="s">
        <v>930</v>
      </c>
      <c r="E1182" t="s">
        <v>66</v>
      </c>
      <c r="F1182" t="s">
        <v>193</v>
      </c>
      <c r="G1182" t="s">
        <v>200</v>
      </c>
      <c r="H1182" t="s">
        <v>931</v>
      </c>
      <c r="J1182">
        <v>32.363194369507092</v>
      </c>
      <c r="K1182">
        <v>0</v>
      </c>
      <c r="L1182">
        <v>0</v>
      </c>
      <c r="M1182">
        <v>4.6214611637602614</v>
      </c>
      <c r="N1182" t="s">
        <v>1</v>
      </c>
      <c r="P1182" t="s">
        <v>15</v>
      </c>
      <c r="Q1182" t="s">
        <v>15</v>
      </c>
      <c r="R1182" t="s">
        <v>15</v>
      </c>
      <c r="S1182" t="s">
        <v>15</v>
      </c>
      <c r="T1182" t="s">
        <v>3626</v>
      </c>
      <c r="U1182" t="s">
        <v>3627</v>
      </c>
    </row>
    <row r="1183" spans="1:21" x14ac:dyDescent="0.3">
      <c r="A1183" t="s">
        <v>3361</v>
      </c>
      <c r="B1183" t="s">
        <v>3628</v>
      </c>
      <c r="C1183" t="s">
        <v>3629</v>
      </c>
      <c r="E1183" t="s">
        <v>66</v>
      </c>
      <c r="F1183" t="s">
        <v>103</v>
      </c>
      <c r="G1183" t="s">
        <v>68</v>
      </c>
      <c r="H1183" t="s">
        <v>69</v>
      </c>
      <c r="J1183">
        <v>4.3658501492752064</v>
      </c>
      <c r="K1183">
        <v>3.7457159031794141</v>
      </c>
      <c r="L1183">
        <v>5.1710891791265308</v>
      </c>
      <c r="M1183">
        <v>4.57758687109947</v>
      </c>
      <c r="N1183" t="s">
        <v>1</v>
      </c>
      <c r="P1183" t="s">
        <v>9</v>
      </c>
      <c r="Q1183" t="s">
        <v>11</v>
      </c>
      <c r="R1183" t="s">
        <v>104</v>
      </c>
      <c r="S1183" t="s">
        <v>10</v>
      </c>
      <c r="T1183" t="s">
        <v>3630</v>
      </c>
      <c r="U1183" t="s">
        <v>3631</v>
      </c>
    </row>
    <row r="1184" spans="1:21" x14ac:dyDescent="0.3">
      <c r="A1184" t="s">
        <v>3361</v>
      </c>
      <c r="B1184" t="s">
        <v>3632</v>
      </c>
      <c r="C1184" t="s">
        <v>3633</v>
      </c>
      <c r="E1184" t="s">
        <v>19</v>
      </c>
      <c r="F1184" t="s">
        <v>109</v>
      </c>
      <c r="G1184" t="s">
        <v>59</v>
      </c>
      <c r="H1184" t="s">
        <v>60</v>
      </c>
      <c r="J1184">
        <v>2.0419179565882919</v>
      </c>
      <c r="K1184">
        <v>1.816809809901704</v>
      </c>
      <c r="L1184">
        <v>7.0429071808644554</v>
      </c>
      <c r="M1184">
        <v>4.5743052166890683</v>
      </c>
      <c r="N1184" t="s">
        <v>1</v>
      </c>
      <c r="P1184" t="s">
        <v>19</v>
      </c>
      <c r="Q1184" t="s">
        <v>11</v>
      </c>
      <c r="R1184" t="s">
        <v>80</v>
      </c>
      <c r="S1184" t="s">
        <v>10</v>
      </c>
      <c r="T1184" t="s">
        <v>3634</v>
      </c>
      <c r="U1184" t="s">
        <v>3635</v>
      </c>
    </row>
    <row r="1185" spans="1:21" x14ac:dyDescent="0.3">
      <c r="A1185" t="s">
        <v>3361</v>
      </c>
      <c r="B1185" t="s">
        <v>3636</v>
      </c>
      <c r="C1185" t="s">
        <v>3637</v>
      </c>
      <c r="G1185" t="s">
        <v>59</v>
      </c>
      <c r="H1185" t="s">
        <v>60</v>
      </c>
      <c r="J1185">
        <v>3.351448189313734</v>
      </c>
      <c r="K1185">
        <v>2.9377195174610939</v>
      </c>
      <c r="L1185">
        <v>5.8586525181289089</v>
      </c>
      <c r="M1185">
        <v>4.5200330733692313</v>
      </c>
      <c r="N1185" t="s">
        <v>1</v>
      </c>
      <c r="P1185" t="s">
        <v>23</v>
      </c>
      <c r="Q1185" t="s">
        <v>11</v>
      </c>
      <c r="R1185" t="s">
        <v>1116</v>
      </c>
      <c r="S1185" t="s">
        <v>10</v>
      </c>
      <c r="T1185" t="s">
        <v>3638</v>
      </c>
      <c r="U1185" t="s">
        <v>3639</v>
      </c>
    </row>
    <row r="1186" spans="1:21" x14ac:dyDescent="0.3">
      <c r="A1186" t="s">
        <v>3361</v>
      </c>
      <c r="B1186" t="s">
        <v>3640</v>
      </c>
      <c r="C1186" t="s">
        <v>3641</v>
      </c>
      <c r="E1186" t="s">
        <v>66</v>
      </c>
      <c r="F1186" t="s">
        <v>1282</v>
      </c>
      <c r="G1186" t="s">
        <v>143</v>
      </c>
      <c r="H1186" t="s">
        <v>2718</v>
      </c>
      <c r="J1186">
        <v>3.1373771527003429</v>
      </c>
      <c r="K1186">
        <v>5.3330736524645452</v>
      </c>
      <c r="L1186">
        <v>4.2692266020526759</v>
      </c>
      <c r="M1186">
        <v>4.4647443305853054</v>
      </c>
      <c r="N1186" t="s">
        <v>2719</v>
      </c>
      <c r="P1186" t="s">
        <v>7</v>
      </c>
      <c r="Q1186" t="s">
        <v>11</v>
      </c>
      <c r="R1186" t="s">
        <v>70</v>
      </c>
      <c r="S1186" t="s">
        <v>10</v>
      </c>
      <c r="T1186" t="s">
        <v>3642</v>
      </c>
      <c r="U1186" t="s">
        <v>1654</v>
      </c>
    </row>
    <row r="1187" spans="1:21" x14ac:dyDescent="0.3">
      <c r="A1187" t="s">
        <v>3361</v>
      </c>
      <c r="B1187" t="s">
        <v>856</v>
      </c>
      <c r="C1187" t="s">
        <v>857</v>
      </c>
      <c r="E1187" t="s">
        <v>19</v>
      </c>
      <c r="F1187" t="s">
        <v>820</v>
      </c>
      <c r="G1187" t="s">
        <v>122</v>
      </c>
      <c r="H1187" t="s">
        <v>856</v>
      </c>
      <c r="J1187">
        <v>2.6202066863895759</v>
      </c>
      <c r="K1187">
        <v>11.839705077334751</v>
      </c>
      <c r="L1187">
        <v>0</v>
      </c>
      <c r="M1187">
        <v>4.3488908263747126</v>
      </c>
      <c r="N1187" t="s">
        <v>145</v>
      </c>
      <c r="P1187" t="s">
        <v>12</v>
      </c>
      <c r="Q1187" t="s">
        <v>14</v>
      </c>
      <c r="R1187" t="s">
        <v>146</v>
      </c>
      <c r="S1187" t="s">
        <v>5</v>
      </c>
      <c r="T1187" t="s">
        <v>3643</v>
      </c>
      <c r="U1187" t="s">
        <v>3644</v>
      </c>
    </row>
    <row r="1188" spans="1:21" x14ac:dyDescent="0.3">
      <c r="A1188" t="s">
        <v>3361</v>
      </c>
      <c r="B1188" t="s">
        <v>3645</v>
      </c>
      <c r="C1188" t="s">
        <v>3646</v>
      </c>
      <c r="E1188" t="s">
        <v>19</v>
      </c>
      <c r="F1188" t="s">
        <v>85</v>
      </c>
      <c r="G1188" t="s">
        <v>59</v>
      </c>
      <c r="H1188" t="s">
        <v>60</v>
      </c>
      <c r="J1188">
        <v>2.0221844537966258</v>
      </c>
      <c r="K1188">
        <v>1.729576588430898</v>
      </c>
      <c r="L1188">
        <v>6.4638614739081577</v>
      </c>
      <c r="M1188">
        <v>4.2402363647259227</v>
      </c>
      <c r="N1188" t="s">
        <v>1</v>
      </c>
      <c r="P1188" t="s">
        <v>19</v>
      </c>
      <c r="Q1188" t="s">
        <v>11</v>
      </c>
      <c r="R1188" t="s">
        <v>80</v>
      </c>
      <c r="S1188" t="s">
        <v>10</v>
      </c>
      <c r="T1188" t="s">
        <v>3647</v>
      </c>
      <c r="U1188" t="s">
        <v>3648</v>
      </c>
    </row>
    <row r="1189" spans="1:21" x14ac:dyDescent="0.3">
      <c r="A1189" t="s">
        <v>3361</v>
      </c>
      <c r="B1189" t="s">
        <v>3649</v>
      </c>
      <c r="C1189" t="s">
        <v>3650</v>
      </c>
      <c r="E1189" t="s">
        <v>1115</v>
      </c>
      <c r="G1189" t="s">
        <v>59</v>
      </c>
      <c r="H1189" t="s">
        <v>60</v>
      </c>
      <c r="J1189">
        <v>3.1526144143496042</v>
      </c>
      <c r="K1189">
        <v>2.8335390379822569</v>
      </c>
      <c r="L1189">
        <v>5.206828519021947</v>
      </c>
      <c r="M1189">
        <v>4.1167462824562753</v>
      </c>
      <c r="N1189" t="s">
        <v>1</v>
      </c>
      <c r="P1189" t="s">
        <v>23</v>
      </c>
      <c r="Q1189" t="s">
        <v>11</v>
      </c>
      <c r="R1189" t="s">
        <v>1116</v>
      </c>
      <c r="S1189" t="s">
        <v>10</v>
      </c>
      <c r="T1189" t="s">
        <v>3651</v>
      </c>
      <c r="U1189" t="s">
        <v>3652</v>
      </c>
    </row>
    <row r="1190" spans="1:21" x14ac:dyDescent="0.3">
      <c r="A1190" t="s">
        <v>3361</v>
      </c>
      <c r="B1190" t="s">
        <v>3653</v>
      </c>
      <c r="C1190" t="s">
        <v>3654</v>
      </c>
      <c r="E1190" t="s">
        <v>19</v>
      </c>
      <c r="F1190" t="s">
        <v>1209</v>
      </c>
      <c r="G1190" t="s">
        <v>68</v>
      </c>
      <c r="H1190" t="s">
        <v>69</v>
      </c>
      <c r="J1190">
        <v>2.8967033559943882</v>
      </c>
      <c r="K1190">
        <v>2.51053173801728</v>
      </c>
      <c r="L1190">
        <v>4.6170439099343996</v>
      </c>
      <c r="M1190">
        <v>3.664199005230671</v>
      </c>
      <c r="N1190" t="s">
        <v>1</v>
      </c>
      <c r="P1190" t="s">
        <v>19</v>
      </c>
      <c r="Q1190" t="s">
        <v>11</v>
      </c>
      <c r="R1190" t="s">
        <v>80</v>
      </c>
      <c r="S1190" t="s">
        <v>10</v>
      </c>
      <c r="T1190" t="s">
        <v>3655</v>
      </c>
      <c r="U1190" t="s">
        <v>3656</v>
      </c>
    </row>
    <row r="1191" spans="1:21" x14ac:dyDescent="0.3">
      <c r="A1191" t="s">
        <v>3361</v>
      </c>
      <c r="B1191" t="s">
        <v>532</v>
      </c>
      <c r="C1191" t="s">
        <v>533</v>
      </c>
      <c r="E1191" t="s">
        <v>136</v>
      </c>
      <c r="F1191" t="s">
        <v>534</v>
      </c>
      <c r="G1191" t="s">
        <v>535</v>
      </c>
      <c r="H1191" t="s">
        <v>532</v>
      </c>
      <c r="J1191">
        <v>13.6750640590394</v>
      </c>
      <c r="K1191">
        <v>0</v>
      </c>
      <c r="L1191">
        <v>3.2619049471677322</v>
      </c>
      <c r="M1191">
        <v>3.653843991943424</v>
      </c>
      <c r="P1191" t="s">
        <v>24</v>
      </c>
      <c r="Q1191" t="s">
        <v>22</v>
      </c>
      <c r="R1191" t="s">
        <v>167</v>
      </c>
      <c r="S1191" t="s">
        <v>5</v>
      </c>
      <c r="T1191" t="s">
        <v>3657</v>
      </c>
      <c r="U1191" t="s">
        <v>3658</v>
      </c>
    </row>
    <row r="1192" spans="1:21" x14ac:dyDescent="0.3">
      <c r="A1192" t="s">
        <v>3361</v>
      </c>
      <c r="B1192" t="s">
        <v>3659</v>
      </c>
      <c r="C1192" t="s">
        <v>3660</v>
      </c>
      <c r="E1192" t="s">
        <v>19</v>
      </c>
      <c r="F1192" t="s">
        <v>1158</v>
      </c>
      <c r="G1192" t="s">
        <v>68</v>
      </c>
      <c r="H1192" t="s">
        <v>69</v>
      </c>
      <c r="J1192">
        <v>1.3222695826289219</v>
      </c>
      <c r="K1192">
        <v>1.264403575520807</v>
      </c>
      <c r="L1192">
        <v>5.6781774017383624</v>
      </c>
      <c r="M1192">
        <v>3.5743993859025842</v>
      </c>
      <c r="N1192" t="s">
        <v>1</v>
      </c>
      <c r="P1192" t="s">
        <v>19</v>
      </c>
      <c r="Q1192" t="s">
        <v>11</v>
      </c>
      <c r="R1192" t="s">
        <v>80</v>
      </c>
      <c r="S1192" t="s">
        <v>10</v>
      </c>
      <c r="T1192" t="s">
        <v>3661</v>
      </c>
      <c r="U1192" t="s">
        <v>840</v>
      </c>
    </row>
    <row r="1193" spans="1:21" x14ac:dyDescent="0.3">
      <c r="A1193" t="s">
        <v>3361</v>
      </c>
      <c r="B1193" t="s">
        <v>675</v>
      </c>
      <c r="C1193" t="s">
        <v>676</v>
      </c>
      <c r="E1193" t="s">
        <v>19</v>
      </c>
      <c r="F1193" t="s">
        <v>109</v>
      </c>
      <c r="G1193" t="s">
        <v>122</v>
      </c>
      <c r="H1193" t="s">
        <v>677</v>
      </c>
      <c r="J1193">
        <v>8.4873175226732628E-2</v>
      </c>
      <c r="K1193">
        <v>10.554051021553089</v>
      </c>
      <c r="L1193">
        <v>0</v>
      </c>
      <c r="M1193">
        <v>3.5552365401091248</v>
      </c>
      <c r="N1193" t="s">
        <v>145</v>
      </c>
      <c r="P1193" t="s">
        <v>4</v>
      </c>
      <c r="Q1193" t="s">
        <v>4</v>
      </c>
      <c r="R1193" t="s">
        <v>4</v>
      </c>
      <c r="S1193" t="s">
        <v>4</v>
      </c>
      <c r="T1193" t="s">
        <v>3662</v>
      </c>
      <c r="U1193" t="s">
        <v>3663</v>
      </c>
    </row>
    <row r="1194" spans="1:21" x14ac:dyDescent="0.3">
      <c r="A1194" t="s">
        <v>3361</v>
      </c>
      <c r="B1194" t="s">
        <v>3664</v>
      </c>
      <c r="C1194" t="s">
        <v>3665</v>
      </c>
      <c r="E1194" t="s">
        <v>19</v>
      </c>
      <c r="F1194" t="s">
        <v>109</v>
      </c>
      <c r="G1194" t="s">
        <v>68</v>
      </c>
      <c r="H1194" t="s">
        <v>69</v>
      </c>
      <c r="J1194">
        <v>1.623892425931921</v>
      </c>
      <c r="K1194">
        <v>1.3760748492915951</v>
      </c>
      <c r="L1194">
        <v>5.3842256061392044</v>
      </c>
      <c r="M1194">
        <v>3.5016679365242429</v>
      </c>
      <c r="N1194" t="s">
        <v>1</v>
      </c>
      <c r="P1194" t="s">
        <v>19</v>
      </c>
      <c r="Q1194" t="s">
        <v>11</v>
      </c>
      <c r="R1194" t="s">
        <v>80</v>
      </c>
      <c r="S1194" t="s">
        <v>10</v>
      </c>
      <c r="T1194" t="s">
        <v>3666</v>
      </c>
      <c r="U1194" t="s">
        <v>3667</v>
      </c>
    </row>
    <row r="1195" spans="1:21" x14ac:dyDescent="0.3">
      <c r="A1195" t="s">
        <v>3361</v>
      </c>
      <c r="B1195" t="s">
        <v>2240</v>
      </c>
      <c r="C1195" t="s">
        <v>2241</v>
      </c>
      <c r="E1195" t="s">
        <v>19</v>
      </c>
      <c r="F1195" t="s">
        <v>109</v>
      </c>
      <c r="G1195" t="s">
        <v>59</v>
      </c>
      <c r="H1195" t="s">
        <v>60</v>
      </c>
      <c r="J1195">
        <v>1.785382420296632</v>
      </c>
      <c r="K1195">
        <v>1.5147342329936671</v>
      </c>
      <c r="L1195">
        <v>5.2283063232844578</v>
      </c>
      <c r="M1195">
        <v>3.4899681251480321</v>
      </c>
      <c r="N1195" t="s">
        <v>1</v>
      </c>
      <c r="P1195" t="s">
        <v>19</v>
      </c>
      <c r="Q1195" t="s">
        <v>11</v>
      </c>
      <c r="R1195" t="s">
        <v>80</v>
      </c>
      <c r="S1195" t="s">
        <v>10</v>
      </c>
      <c r="T1195" t="s">
        <v>3668</v>
      </c>
      <c r="U1195" t="s">
        <v>3669</v>
      </c>
    </row>
    <row r="1196" spans="1:21" x14ac:dyDescent="0.3">
      <c r="A1196" t="s">
        <v>3361</v>
      </c>
      <c r="B1196" t="s">
        <v>2838</v>
      </c>
      <c r="C1196" t="s">
        <v>2839</v>
      </c>
      <c r="E1196" t="s">
        <v>66</v>
      </c>
      <c r="F1196" t="s">
        <v>396</v>
      </c>
      <c r="G1196" t="s">
        <v>98</v>
      </c>
      <c r="H1196" t="s">
        <v>351</v>
      </c>
      <c r="J1196">
        <v>2.976136949510209</v>
      </c>
      <c r="K1196">
        <v>1.312801544314901</v>
      </c>
      <c r="L1196">
        <v>4.9772759358850607</v>
      </c>
      <c r="M1196">
        <v>3.4613071542919749</v>
      </c>
      <c r="N1196" t="s">
        <v>1</v>
      </c>
      <c r="P1196" t="s">
        <v>7</v>
      </c>
      <c r="Q1196" t="s">
        <v>11</v>
      </c>
      <c r="R1196" t="s">
        <v>70</v>
      </c>
      <c r="S1196" t="s">
        <v>10</v>
      </c>
      <c r="T1196" t="s">
        <v>3670</v>
      </c>
      <c r="U1196" t="s">
        <v>3589</v>
      </c>
    </row>
    <row r="1197" spans="1:21" x14ac:dyDescent="0.3">
      <c r="A1197" t="s">
        <v>3361</v>
      </c>
      <c r="B1197" t="s">
        <v>2849</v>
      </c>
      <c r="C1197" t="s">
        <v>2850</v>
      </c>
      <c r="E1197" t="s">
        <v>19</v>
      </c>
      <c r="F1197" t="s">
        <v>2851</v>
      </c>
      <c r="G1197" t="s">
        <v>68</v>
      </c>
      <c r="H1197" t="s">
        <v>2852</v>
      </c>
      <c r="J1197">
        <v>9.104289934849735</v>
      </c>
      <c r="K1197">
        <v>6.3714252442105197</v>
      </c>
      <c r="L1197">
        <v>0</v>
      </c>
      <c r="M1197">
        <v>3.4390527035460798</v>
      </c>
      <c r="N1197" t="s">
        <v>1</v>
      </c>
      <c r="P1197" t="s">
        <v>19</v>
      </c>
      <c r="Q1197" t="s">
        <v>11</v>
      </c>
      <c r="R1197" t="s">
        <v>80</v>
      </c>
      <c r="S1197" t="s">
        <v>10</v>
      </c>
      <c r="T1197" t="s">
        <v>3671</v>
      </c>
      <c r="U1197" t="s">
        <v>3672</v>
      </c>
    </row>
    <row r="1198" spans="1:21" x14ac:dyDescent="0.3">
      <c r="A1198" t="s">
        <v>3361</v>
      </c>
      <c r="B1198" t="s">
        <v>3673</v>
      </c>
      <c r="C1198" t="s">
        <v>3674</v>
      </c>
      <c r="E1198" t="s">
        <v>390</v>
      </c>
      <c r="G1198" t="s">
        <v>116</v>
      </c>
      <c r="H1198" t="s">
        <v>117</v>
      </c>
      <c r="J1198">
        <v>4.6180143400117508</v>
      </c>
      <c r="K1198">
        <v>7.8541775044116013</v>
      </c>
      <c r="L1198">
        <v>6.7716644012371222E-2</v>
      </c>
      <c r="M1198">
        <v>3.3315034542979691</v>
      </c>
      <c r="N1198" t="s">
        <v>1</v>
      </c>
      <c r="P1198" t="s">
        <v>23</v>
      </c>
      <c r="Q1198" t="s">
        <v>11</v>
      </c>
      <c r="R1198" t="s">
        <v>1116</v>
      </c>
      <c r="S1198" t="s">
        <v>10</v>
      </c>
      <c r="T1198" t="s">
        <v>3675</v>
      </c>
      <c r="U1198" t="s">
        <v>3537</v>
      </c>
    </row>
    <row r="1199" spans="1:21" x14ac:dyDescent="0.3">
      <c r="A1199" t="s">
        <v>3361</v>
      </c>
      <c r="B1199" t="s">
        <v>554</v>
      </c>
      <c r="C1199" t="s">
        <v>555</v>
      </c>
      <c r="E1199" t="s">
        <v>66</v>
      </c>
      <c r="F1199" t="s">
        <v>233</v>
      </c>
      <c r="G1199" t="s">
        <v>68</v>
      </c>
      <c r="H1199" t="s">
        <v>554</v>
      </c>
      <c r="J1199">
        <v>10.90986569830415</v>
      </c>
      <c r="K1199">
        <v>4.5901037363444406</v>
      </c>
      <c r="L1199">
        <v>0</v>
      </c>
      <c r="M1199">
        <v>3.0988785796468852</v>
      </c>
      <c r="N1199" t="s">
        <v>1</v>
      </c>
      <c r="P1199" t="s">
        <v>4</v>
      </c>
      <c r="Q1199" t="s">
        <v>4</v>
      </c>
      <c r="R1199" t="s">
        <v>4</v>
      </c>
      <c r="S1199" t="s">
        <v>4</v>
      </c>
      <c r="T1199" t="s">
        <v>3676</v>
      </c>
      <c r="U1199" t="s">
        <v>3677</v>
      </c>
    </row>
    <row r="1200" spans="1:21" x14ac:dyDescent="0.3">
      <c r="A1200" t="s">
        <v>3361</v>
      </c>
      <c r="B1200" t="s">
        <v>2877</v>
      </c>
      <c r="C1200" t="s">
        <v>2878</v>
      </c>
      <c r="E1200" t="s">
        <v>66</v>
      </c>
      <c r="F1200" t="s">
        <v>103</v>
      </c>
      <c r="G1200" t="s">
        <v>355</v>
      </c>
      <c r="H1200" t="s">
        <v>356</v>
      </c>
      <c r="J1200">
        <v>0</v>
      </c>
      <c r="K1200">
        <v>9.1802074726888829</v>
      </c>
      <c r="L1200">
        <v>0</v>
      </c>
      <c r="M1200">
        <v>3.0819015332460129</v>
      </c>
      <c r="N1200" t="s">
        <v>1</v>
      </c>
      <c r="P1200" t="s">
        <v>4</v>
      </c>
      <c r="Q1200" t="s">
        <v>4</v>
      </c>
      <c r="R1200" t="s">
        <v>4</v>
      </c>
      <c r="S1200" t="s">
        <v>4</v>
      </c>
      <c r="T1200" t="s">
        <v>3678</v>
      </c>
      <c r="U1200" t="s">
        <v>3679</v>
      </c>
    </row>
    <row r="1201" spans="1:21" x14ac:dyDescent="0.3">
      <c r="A1201" t="s">
        <v>3361</v>
      </c>
      <c r="B1201" t="s">
        <v>3680</v>
      </c>
      <c r="C1201" t="s">
        <v>3681</v>
      </c>
      <c r="E1201" t="s">
        <v>19</v>
      </c>
      <c r="F1201" t="s">
        <v>109</v>
      </c>
      <c r="G1201" t="s">
        <v>98</v>
      </c>
      <c r="H1201" t="s">
        <v>351</v>
      </c>
      <c r="J1201">
        <v>1.6302621008836611</v>
      </c>
      <c r="K1201">
        <v>3.1426803995770318</v>
      </c>
      <c r="L1201">
        <v>3.417193898880857</v>
      </c>
      <c r="M1201">
        <v>3.0698628553817708</v>
      </c>
      <c r="N1201" t="s">
        <v>1</v>
      </c>
      <c r="P1201" t="s">
        <v>19</v>
      </c>
      <c r="Q1201" t="s">
        <v>11</v>
      </c>
      <c r="R1201" t="s">
        <v>80</v>
      </c>
      <c r="S1201" t="s">
        <v>10</v>
      </c>
      <c r="T1201" t="s">
        <v>3682</v>
      </c>
      <c r="U1201" t="s">
        <v>3683</v>
      </c>
    </row>
    <row r="1202" spans="1:21" x14ac:dyDescent="0.3">
      <c r="A1202" t="s">
        <v>3361</v>
      </c>
      <c r="B1202" t="s">
        <v>3684</v>
      </c>
      <c r="C1202" t="s">
        <v>3685</v>
      </c>
      <c r="E1202" t="s">
        <v>66</v>
      </c>
      <c r="F1202" t="s">
        <v>67</v>
      </c>
      <c r="G1202" t="s">
        <v>68</v>
      </c>
      <c r="H1202" t="s">
        <v>69</v>
      </c>
      <c r="J1202">
        <v>3.3350868673788709</v>
      </c>
      <c r="K1202">
        <v>2.910890786131767</v>
      </c>
      <c r="L1202">
        <v>3.0126724517200851</v>
      </c>
      <c r="M1202">
        <v>3.0245439213772678</v>
      </c>
      <c r="N1202" t="s">
        <v>1</v>
      </c>
      <c r="P1202" t="s">
        <v>7</v>
      </c>
      <c r="Q1202" t="s">
        <v>11</v>
      </c>
      <c r="R1202" t="s">
        <v>70</v>
      </c>
      <c r="S1202" t="s">
        <v>10</v>
      </c>
      <c r="T1202" t="s">
        <v>3686</v>
      </c>
      <c r="U1202" t="s">
        <v>3687</v>
      </c>
    </row>
    <row r="1203" spans="1:21" x14ac:dyDescent="0.3">
      <c r="A1203" t="s">
        <v>3361</v>
      </c>
      <c r="B1203" t="s">
        <v>259</v>
      </c>
      <c r="C1203" t="s">
        <v>260</v>
      </c>
      <c r="E1203" t="s">
        <v>19</v>
      </c>
      <c r="F1203" t="s">
        <v>261</v>
      </c>
      <c r="G1203" t="s">
        <v>200</v>
      </c>
      <c r="H1203" t="s">
        <v>262</v>
      </c>
      <c r="J1203">
        <v>0</v>
      </c>
      <c r="K1203">
        <v>8.9310167501115547</v>
      </c>
      <c r="L1203">
        <v>0</v>
      </c>
      <c r="M1203">
        <v>2.998245333506901</v>
      </c>
      <c r="N1203" t="s">
        <v>156</v>
      </c>
      <c r="O1203" t="s">
        <v>2843</v>
      </c>
      <c r="P1203" t="s">
        <v>12</v>
      </c>
      <c r="Q1203" t="s">
        <v>14</v>
      </c>
      <c r="R1203" t="s">
        <v>146</v>
      </c>
      <c r="S1203" t="s">
        <v>5</v>
      </c>
      <c r="T1203" t="s">
        <v>3688</v>
      </c>
      <c r="U1203" t="s">
        <v>3689</v>
      </c>
    </row>
    <row r="1204" spans="1:21" x14ac:dyDescent="0.3">
      <c r="A1204" t="s">
        <v>3361</v>
      </c>
      <c r="B1204" t="s">
        <v>1428</v>
      </c>
      <c r="C1204" t="s">
        <v>1429</v>
      </c>
      <c r="E1204" t="s">
        <v>19</v>
      </c>
      <c r="F1204" t="s">
        <v>221</v>
      </c>
      <c r="G1204" t="s">
        <v>110</v>
      </c>
      <c r="H1204" t="s">
        <v>1430</v>
      </c>
      <c r="J1204">
        <v>19.385668581066231</v>
      </c>
      <c r="K1204">
        <v>0</v>
      </c>
      <c r="L1204">
        <v>0</v>
      </c>
      <c r="M1204">
        <v>2.768271681034606</v>
      </c>
      <c r="N1204" t="s">
        <v>1</v>
      </c>
      <c r="P1204" t="s">
        <v>24</v>
      </c>
      <c r="Q1204" t="s">
        <v>22</v>
      </c>
      <c r="R1204" t="s">
        <v>391</v>
      </c>
      <c r="S1204" t="s">
        <v>5</v>
      </c>
      <c r="T1204" t="s">
        <v>3690</v>
      </c>
      <c r="U1204" t="s">
        <v>3691</v>
      </c>
    </row>
    <row r="1205" spans="1:21" x14ac:dyDescent="0.3">
      <c r="A1205" t="s">
        <v>3361</v>
      </c>
      <c r="B1205" t="s">
        <v>3692</v>
      </c>
      <c r="C1205" t="s">
        <v>3693</v>
      </c>
      <c r="E1205" t="s">
        <v>19</v>
      </c>
      <c r="F1205" t="s">
        <v>830</v>
      </c>
      <c r="G1205" t="s">
        <v>98</v>
      </c>
      <c r="H1205" t="s">
        <v>3694</v>
      </c>
      <c r="J1205">
        <v>4.4471571766003617</v>
      </c>
      <c r="K1205">
        <v>2.0368585330028459</v>
      </c>
      <c r="L1205">
        <v>2.6566470657762542</v>
      </c>
      <c r="M1205">
        <v>2.7042615849534721</v>
      </c>
      <c r="N1205" t="s">
        <v>1</v>
      </c>
      <c r="P1205" t="s">
        <v>24</v>
      </c>
      <c r="Q1205" t="s">
        <v>22</v>
      </c>
      <c r="R1205" t="s">
        <v>391</v>
      </c>
      <c r="S1205" t="s">
        <v>5</v>
      </c>
      <c r="T1205" t="s">
        <v>3695</v>
      </c>
      <c r="U1205" t="s">
        <v>3696</v>
      </c>
    </row>
    <row r="1206" spans="1:21" x14ac:dyDescent="0.3">
      <c r="A1206" t="s">
        <v>3361</v>
      </c>
      <c r="B1206" t="s">
        <v>3697</v>
      </c>
      <c r="C1206" t="s">
        <v>3698</v>
      </c>
      <c r="E1206" t="s">
        <v>19</v>
      </c>
      <c r="F1206" t="s">
        <v>109</v>
      </c>
      <c r="G1206" t="s">
        <v>59</v>
      </c>
      <c r="H1206" t="s">
        <v>60</v>
      </c>
      <c r="J1206">
        <v>1.8714354799387709</v>
      </c>
      <c r="K1206">
        <v>1.6868631231065829</v>
      </c>
      <c r="L1206">
        <v>3.508953371550144</v>
      </c>
      <c r="M1206">
        <v>2.6634192556066352</v>
      </c>
      <c r="N1206" t="s">
        <v>1</v>
      </c>
      <c r="P1206" t="s">
        <v>19</v>
      </c>
      <c r="Q1206" t="s">
        <v>11</v>
      </c>
      <c r="R1206" t="s">
        <v>80</v>
      </c>
      <c r="S1206" t="s">
        <v>10</v>
      </c>
      <c r="T1206" t="s">
        <v>3699</v>
      </c>
      <c r="U1206" t="s">
        <v>3700</v>
      </c>
    </row>
    <row r="1207" spans="1:21" x14ac:dyDescent="0.3">
      <c r="A1207" t="s">
        <v>3361</v>
      </c>
      <c r="B1207" t="s">
        <v>2706</v>
      </c>
      <c r="C1207" t="s">
        <v>2707</v>
      </c>
      <c r="E1207" t="s">
        <v>19</v>
      </c>
      <c r="F1207" t="s">
        <v>221</v>
      </c>
      <c r="G1207" t="s">
        <v>143</v>
      </c>
      <c r="H1207" t="s">
        <v>2706</v>
      </c>
      <c r="J1207">
        <v>3.531582925133776</v>
      </c>
      <c r="K1207">
        <v>6.0668319422787409</v>
      </c>
      <c r="L1207">
        <v>0</v>
      </c>
      <c r="M1207">
        <v>2.541015173152005</v>
      </c>
      <c r="N1207" t="s">
        <v>145</v>
      </c>
      <c r="P1207" t="s">
        <v>12</v>
      </c>
      <c r="Q1207" t="s">
        <v>14</v>
      </c>
      <c r="R1207" t="s">
        <v>146</v>
      </c>
      <c r="S1207" t="s">
        <v>5</v>
      </c>
      <c r="T1207" t="s">
        <v>3701</v>
      </c>
      <c r="U1207" t="s">
        <v>3702</v>
      </c>
    </row>
    <row r="1208" spans="1:21" x14ac:dyDescent="0.3">
      <c r="A1208" t="s">
        <v>3361</v>
      </c>
      <c r="B1208" t="s">
        <v>107</v>
      </c>
      <c r="C1208" t="s">
        <v>108</v>
      </c>
      <c r="E1208" t="s">
        <v>19</v>
      </c>
      <c r="F1208" t="s">
        <v>109</v>
      </c>
      <c r="G1208" t="s">
        <v>110</v>
      </c>
      <c r="H1208" t="s">
        <v>111</v>
      </c>
      <c r="J1208">
        <v>2.435463952136014E-2</v>
      </c>
      <c r="K1208">
        <v>5.1419787087188169</v>
      </c>
      <c r="L1208">
        <v>1.133398779075748</v>
      </c>
      <c r="M1208">
        <v>2.3207538958945069</v>
      </c>
      <c r="N1208" t="s">
        <v>1</v>
      </c>
      <c r="P1208" t="s">
        <v>24</v>
      </c>
      <c r="Q1208" t="s">
        <v>22</v>
      </c>
      <c r="R1208" t="s">
        <v>391</v>
      </c>
      <c r="S1208" t="s">
        <v>5</v>
      </c>
      <c r="T1208" t="s">
        <v>3703</v>
      </c>
      <c r="U1208" t="s">
        <v>3704</v>
      </c>
    </row>
    <row r="1209" spans="1:21" x14ac:dyDescent="0.3">
      <c r="A1209" t="s">
        <v>3361</v>
      </c>
      <c r="B1209" t="s">
        <v>814</v>
      </c>
      <c r="C1209" t="s">
        <v>815</v>
      </c>
      <c r="E1209" t="s">
        <v>19</v>
      </c>
      <c r="F1209" t="s">
        <v>109</v>
      </c>
      <c r="G1209" t="s">
        <v>143</v>
      </c>
      <c r="H1209" t="s">
        <v>789</v>
      </c>
      <c r="J1209">
        <v>4.9239071568294612</v>
      </c>
      <c r="K1209">
        <v>2.3968146274193982</v>
      </c>
      <c r="L1209">
        <v>1.355495691306223</v>
      </c>
      <c r="M1209">
        <v>2.2146472961011301</v>
      </c>
      <c r="N1209" t="s">
        <v>145</v>
      </c>
      <c r="P1209" t="s">
        <v>19</v>
      </c>
      <c r="Q1209" t="s">
        <v>11</v>
      </c>
      <c r="R1209" t="s">
        <v>80</v>
      </c>
      <c r="S1209" t="s">
        <v>10</v>
      </c>
      <c r="T1209" t="s">
        <v>3705</v>
      </c>
      <c r="U1209" t="s">
        <v>3706</v>
      </c>
    </row>
    <row r="1210" spans="1:21" x14ac:dyDescent="0.3">
      <c r="A1210" t="s">
        <v>3361</v>
      </c>
      <c r="B1210" t="s">
        <v>789</v>
      </c>
      <c r="C1210" t="s">
        <v>3707</v>
      </c>
      <c r="E1210" t="s">
        <v>19</v>
      </c>
      <c r="F1210" t="s">
        <v>109</v>
      </c>
      <c r="G1210" t="s">
        <v>143</v>
      </c>
      <c r="H1210" t="s">
        <v>789</v>
      </c>
      <c r="J1210">
        <v>4.662341165914933</v>
      </c>
      <c r="K1210">
        <v>4.3723896513409199</v>
      </c>
      <c r="L1210">
        <v>0</v>
      </c>
      <c r="M1210">
        <v>2.1336435245958389</v>
      </c>
      <c r="N1210" t="s">
        <v>145</v>
      </c>
      <c r="P1210" t="s">
        <v>19</v>
      </c>
      <c r="Q1210" t="s">
        <v>11</v>
      </c>
      <c r="R1210" t="s">
        <v>80</v>
      </c>
      <c r="S1210" t="s">
        <v>10</v>
      </c>
      <c r="T1210" t="s">
        <v>3708</v>
      </c>
      <c r="U1210" t="s">
        <v>840</v>
      </c>
    </row>
    <row r="1211" spans="1:21" x14ac:dyDescent="0.3">
      <c r="A1211" t="s">
        <v>3361</v>
      </c>
      <c r="B1211" t="s">
        <v>3709</v>
      </c>
      <c r="C1211" t="s">
        <v>3710</v>
      </c>
      <c r="E1211" t="s">
        <v>66</v>
      </c>
      <c r="F1211" t="s">
        <v>396</v>
      </c>
      <c r="G1211" t="s">
        <v>68</v>
      </c>
      <c r="H1211" t="s">
        <v>69</v>
      </c>
      <c r="J1211">
        <v>0.72501888421279814</v>
      </c>
      <c r="K1211">
        <v>0.7197537664351219</v>
      </c>
      <c r="L1211">
        <v>3.32427161515277</v>
      </c>
      <c r="M1211">
        <v>2.0787318831274462</v>
      </c>
      <c r="N1211" t="s">
        <v>1</v>
      </c>
      <c r="P1211" t="s">
        <v>7</v>
      </c>
      <c r="Q1211" t="s">
        <v>11</v>
      </c>
      <c r="R1211" t="s">
        <v>70</v>
      </c>
      <c r="S1211" t="s">
        <v>10</v>
      </c>
      <c r="T1211" t="s">
        <v>3711</v>
      </c>
      <c r="U1211" t="s">
        <v>3712</v>
      </c>
    </row>
    <row r="1212" spans="1:21" x14ac:dyDescent="0.3">
      <c r="A1212" t="s">
        <v>3361</v>
      </c>
      <c r="B1212" t="s">
        <v>3713</v>
      </c>
      <c r="C1212" t="s">
        <v>3714</v>
      </c>
      <c r="E1212" t="s">
        <v>390</v>
      </c>
      <c r="G1212" t="s">
        <v>59</v>
      </c>
      <c r="H1212" t="s">
        <v>2587</v>
      </c>
      <c r="J1212">
        <v>1.388089557130239</v>
      </c>
      <c r="K1212">
        <v>2.4465677924321092</v>
      </c>
      <c r="L1212">
        <v>1.990937734614231</v>
      </c>
      <c r="M1212">
        <v>2.0578113362611399</v>
      </c>
      <c r="N1212" t="s">
        <v>1</v>
      </c>
      <c r="P1212" t="s">
        <v>23</v>
      </c>
      <c r="Q1212" t="s">
        <v>11</v>
      </c>
      <c r="R1212" t="s">
        <v>1116</v>
      </c>
      <c r="S1212" t="s">
        <v>10</v>
      </c>
      <c r="T1212" t="s">
        <v>3715</v>
      </c>
      <c r="U1212" t="s">
        <v>3716</v>
      </c>
    </row>
    <row r="1213" spans="1:21" x14ac:dyDescent="0.3">
      <c r="A1213" t="s">
        <v>3361</v>
      </c>
      <c r="B1213" t="s">
        <v>411</v>
      </c>
      <c r="C1213" t="s">
        <v>412</v>
      </c>
      <c r="E1213" t="s">
        <v>66</v>
      </c>
      <c r="F1213" t="s">
        <v>396</v>
      </c>
      <c r="G1213" t="s">
        <v>59</v>
      </c>
      <c r="H1213" t="s">
        <v>60</v>
      </c>
      <c r="J1213">
        <v>1.7835089864872971</v>
      </c>
      <c r="K1213">
        <v>1.513459204178015</v>
      </c>
      <c r="L1213">
        <v>2.4472042738915269</v>
      </c>
      <c r="M1213">
        <v>2.0389596584796532</v>
      </c>
      <c r="N1213" t="s">
        <v>1</v>
      </c>
      <c r="P1213" t="s">
        <v>7</v>
      </c>
      <c r="Q1213" t="s">
        <v>11</v>
      </c>
      <c r="R1213" t="s">
        <v>70</v>
      </c>
      <c r="S1213" t="s">
        <v>10</v>
      </c>
      <c r="T1213" t="s">
        <v>3717</v>
      </c>
      <c r="U1213" t="s">
        <v>3718</v>
      </c>
    </row>
    <row r="1214" spans="1:21" x14ac:dyDescent="0.3">
      <c r="A1214" t="s">
        <v>3361</v>
      </c>
      <c r="B1214" t="s">
        <v>2387</v>
      </c>
      <c r="C1214" t="s">
        <v>2388</v>
      </c>
      <c r="E1214" t="s">
        <v>19</v>
      </c>
      <c r="F1214" t="s">
        <v>380</v>
      </c>
      <c r="G1214" t="s">
        <v>110</v>
      </c>
      <c r="H1214" t="s">
        <v>2389</v>
      </c>
      <c r="J1214">
        <v>7.1815083579869698</v>
      </c>
      <c r="K1214">
        <v>2.6585889341591051</v>
      </c>
      <c r="L1214">
        <v>0</v>
      </c>
      <c r="M1214">
        <v>1.9180376989453041</v>
      </c>
      <c r="N1214" t="s">
        <v>1</v>
      </c>
      <c r="P1214" t="s">
        <v>19</v>
      </c>
      <c r="Q1214" t="s">
        <v>11</v>
      </c>
      <c r="R1214" t="s">
        <v>3719</v>
      </c>
      <c r="S1214" t="s">
        <v>10</v>
      </c>
      <c r="T1214" t="s">
        <v>3720</v>
      </c>
      <c r="U1214" t="s">
        <v>3721</v>
      </c>
    </row>
    <row r="1215" spans="1:21" x14ac:dyDescent="0.3">
      <c r="A1215" t="s">
        <v>3361</v>
      </c>
      <c r="B1215" t="s">
        <v>3722</v>
      </c>
      <c r="C1215" t="s">
        <v>3723</v>
      </c>
      <c r="E1215" t="s">
        <v>136</v>
      </c>
      <c r="F1215" t="s">
        <v>430</v>
      </c>
      <c r="G1215" t="s">
        <v>3724</v>
      </c>
      <c r="H1215" t="s">
        <v>111</v>
      </c>
      <c r="J1215">
        <v>0.2042042852175581</v>
      </c>
      <c r="K1215">
        <v>4.0915143432241567</v>
      </c>
      <c r="L1215">
        <v>0.9535050682146009</v>
      </c>
      <c r="M1215">
        <v>1.8999708931521859</v>
      </c>
      <c r="N1215" t="s">
        <v>1</v>
      </c>
      <c r="P1215" t="s">
        <v>7</v>
      </c>
      <c r="Q1215" t="s">
        <v>11</v>
      </c>
      <c r="R1215" t="s">
        <v>70</v>
      </c>
      <c r="S1215" t="s">
        <v>10</v>
      </c>
      <c r="T1215" t="s">
        <v>3725</v>
      </c>
      <c r="U1215" t="s">
        <v>3726</v>
      </c>
    </row>
    <row r="1216" spans="1:21" x14ac:dyDescent="0.3">
      <c r="A1216" t="s">
        <v>3361</v>
      </c>
      <c r="B1216" t="s">
        <v>2829</v>
      </c>
      <c r="C1216" t="s">
        <v>2830</v>
      </c>
      <c r="E1216" t="s">
        <v>19</v>
      </c>
      <c r="F1216" t="s">
        <v>109</v>
      </c>
      <c r="G1216" t="s">
        <v>68</v>
      </c>
      <c r="H1216" t="s">
        <v>1359</v>
      </c>
      <c r="J1216">
        <v>1.034884836276873</v>
      </c>
      <c r="K1216">
        <v>1.9494659329300861</v>
      </c>
      <c r="L1216">
        <v>2.0064304819564551</v>
      </c>
      <c r="M1216">
        <v>1.848570197441451</v>
      </c>
      <c r="N1216" t="s">
        <v>1</v>
      </c>
      <c r="P1216" t="s">
        <v>19</v>
      </c>
      <c r="Q1216" t="s">
        <v>11</v>
      </c>
      <c r="R1216" t="s">
        <v>80</v>
      </c>
      <c r="S1216" t="s">
        <v>10</v>
      </c>
      <c r="T1216" t="s">
        <v>3727</v>
      </c>
      <c r="U1216" t="s">
        <v>840</v>
      </c>
    </row>
    <row r="1217" spans="1:21" x14ac:dyDescent="0.3">
      <c r="A1217" t="s">
        <v>3361</v>
      </c>
      <c r="B1217" t="s">
        <v>3728</v>
      </c>
      <c r="C1217" t="s">
        <v>3729</v>
      </c>
      <c r="E1217" t="s">
        <v>19</v>
      </c>
      <c r="F1217" t="s">
        <v>109</v>
      </c>
      <c r="G1217" t="s">
        <v>68</v>
      </c>
      <c r="H1217" t="s">
        <v>69</v>
      </c>
      <c r="J1217">
        <v>0.78871563373020148</v>
      </c>
      <c r="K1217">
        <v>0.67512775788732682</v>
      </c>
      <c r="L1217">
        <v>2.770226345960642</v>
      </c>
      <c r="M1217">
        <v>1.783918038540891</v>
      </c>
      <c r="N1217" t="s">
        <v>1</v>
      </c>
      <c r="P1217" t="s">
        <v>19</v>
      </c>
      <c r="Q1217" t="s">
        <v>11</v>
      </c>
      <c r="R1217" t="s">
        <v>80</v>
      </c>
      <c r="S1217" t="s">
        <v>10</v>
      </c>
      <c r="T1217" t="s">
        <v>3730</v>
      </c>
      <c r="U1217" t="s">
        <v>3731</v>
      </c>
    </row>
    <row r="1218" spans="1:21" x14ac:dyDescent="0.3">
      <c r="A1218" t="s">
        <v>3361</v>
      </c>
      <c r="B1218" t="s">
        <v>3732</v>
      </c>
      <c r="C1218" t="s">
        <v>3733</v>
      </c>
      <c r="E1218" t="s">
        <v>19</v>
      </c>
      <c r="F1218" t="s">
        <v>109</v>
      </c>
      <c r="G1218" t="s">
        <v>59</v>
      </c>
      <c r="H1218" t="s">
        <v>3734</v>
      </c>
      <c r="J1218">
        <v>1.7835089864872971</v>
      </c>
      <c r="K1218">
        <v>1.514574854391709</v>
      </c>
      <c r="L1218">
        <v>1.9561902041513179</v>
      </c>
      <c r="M1218">
        <v>1.7832759757214649</v>
      </c>
      <c r="N1218" t="s">
        <v>1</v>
      </c>
      <c r="P1218" t="s">
        <v>19</v>
      </c>
      <c r="Q1218" t="s">
        <v>11</v>
      </c>
      <c r="R1218" t="s">
        <v>80</v>
      </c>
      <c r="S1218" t="s">
        <v>10</v>
      </c>
      <c r="T1218" t="s">
        <v>3735</v>
      </c>
      <c r="U1218" t="s">
        <v>3736</v>
      </c>
    </row>
    <row r="1219" spans="1:21" x14ac:dyDescent="0.3">
      <c r="A1219" t="s">
        <v>3361</v>
      </c>
      <c r="B1219" t="s">
        <v>1569</v>
      </c>
      <c r="C1219" t="s">
        <v>1570</v>
      </c>
      <c r="E1219" t="s">
        <v>66</v>
      </c>
      <c r="F1219" t="s">
        <v>67</v>
      </c>
      <c r="G1219" t="s">
        <v>110</v>
      </c>
      <c r="H1219" t="s">
        <v>111</v>
      </c>
      <c r="J1219">
        <v>2.7857960744817341</v>
      </c>
      <c r="K1219">
        <v>3.5440488455039079</v>
      </c>
      <c r="L1219">
        <v>7.9002751347766409E-2</v>
      </c>
      <c r="M1219">
        <v>1.6287885273361811</v>
      </c>
      <c r="N1219" t="s">
        <v>1</v>
      </c>
      <c r="P1219" t="s">
        <v>7</v>
      </c>
      <c r="Q1219" t="s">
        <v>11</v>
      </c>
      <c r="R1219" t="s">
        <v>70</v>
      </c>
      <c r="S1219" t="s">
        <v>10</v>
      </c>
      <c r="T1219" t="s">
        <v>3737</v>
      </c>
      <c r="U1219" t="s">
        <v>3738</v>
      </c>
    </row>
    <row r="1220" spans="1:21" x14ac:dyDescent="0.3">
      <c r="A1220" t="s">
        <v>3361</v>
      </c>
      <c r="B1220" t="s">
        <v>2951</v>
      </c>
      <c r="C1220" t="s">
        <v>2952</v>
      </c>
      <c r="E1220" t="s">
        <v>19</v>
      </c>
      <c r="F1220" t="s">
        <v>109</v>
      </c>
      <c r="G1220" t="s">
        <v>122</v>
      </c>
      <c r="H1220" t="s">
        <v>2953</v>
      </c>
      <c r="J1220">
        <v>0</v>
      </c>
      <c r="K1220">
        <v>4.5962132494194377</v>
      </c>
      <c r="L1220">
        <v>0</v>
      </c>
      <c r="M1220">
        <v>1.543001800629507</v>
      </c>
      <c r="N1220" t="s">
        <v>145</v>
      </c>
      <c r="P1220" t="s">
        <v>12</v>
      </c>
      <c r="Q1220" t="s">
        <v>14</v>
      </c>
      <c r="R1220" t="s">
        <v>146</v>
      </c>
      <c r="S1220" t="s">
        <v>5</v>
      </c>
      <c r="T1220" t="s">
        <v>3739</v>
      </c>
      <c r="U1220" t="s">
        <v>3740</v>
      </c>
    </row>
    <row r="1221" spans="1:21" x14ac:dyDescent="0.3">
      <c r="A1221" t="s">
        <v>3361</v>
      </c>
      <c r="B1221" t="s">
        <v>680</v>
      </c>
      <c r="C1221" t="s">
        <v>681</v>
      </c>
      <c r="E1221" t="s">
        <v>19</v>
      </c>
      <c r="F1221" t="s">
        <v>221</v>
      </c>
      <c r="G1221" t="s">
        <v>200</v>
      </c>
      <c r="H1221" t="s">
        <v>682</v>
      </c>
      <c r="J1221">
        <v>10.78773145650236</v>
      </c>
      <c r="K1221">
        <v>0</v>
      </c>
      <c r="L1221">
        <v>0</v>
      </c>
      <c r="M1221">
        <v>1.5404870545867539</v>
      </c>
      <c r="N1221" t="s">
        <v>1</v>
      </c>
      <c r="P1221" t="s">
        <v>12</v>
      </c>
      <c r="Q1221" t="s">
        <v>14</v>
      </c>
      <c r="R1221" t="s">
        <v>146</v>
      </c>
      <c r="S1221" t="s">
        <v>5</v>
      </c>
      <c r="T1221" t="s">
        <v>3741</v>
      </c>
      <c r="U1221" t="s">
        <v>3742</v>
      </c>
    </row>
    <row r="1222" spans="1:21" x14ac:dyDescent="0.3">
      <c r="A1222" t="s">
        <v>3361</v>
      </c>
      <c r="B1222" t="s">
        <v>2947</v>
      </c>
      <c r="C1222" t="s">
        <v>2948</v>
      </c>
      <c r="E1222" t="s">
        <v>66</v>
      </c>
      <c r="F1222" t="s">
        <v>396</v>
      </c>
      <c r="G1222" t="s">
        <v>143</v>
      </c>
      <c r="H1222" t="s">
        <v>290</v>
      </c>
      <c r="J1222">
        <v>1.2533272184453801</v>
      </c>
      <c r="K1222">
        <v>1.6075988317335981</v>
      </c>
      <c r="L1222">
        <v>1.529780548824931</v>
      </c>
      <c r="M1222">
        <v>1.5164275339365869</v>
      </c>
      <c r="N1222" t="s">
        <v>1</v>
      </c>
      <c r="P1222" t="s">
        <v>7</v>
      </c>
      <c r="Q1222" t="s">
        <v>11</v>
      </c>
      <c r="R1222" t="s">
        <v>70</v>
      </c>
      <c r="S1222" t="s">
        <v>10</v>
      </c>
      <c r="T1222" t="s">
        <v>3743</v>
      </c>
      <c r="U1222" t="s">
        <v>3574</v>
      </c>
    </row>
    <row r="1223" spans="1:21" x14ac:dyDescent="0.3">
      <c r="A1223" t="s">
        <v>3361</v>
      </c>
      <c r="B1223" t="s">
        <v>3744</v>
      </c>
      <c r="C1223" t="s">
        <v>3745</v>
      </c>
      <c r="E1223" t="s">
        <v>66</v>
      </c>
      <c r="F1223" t="s">
        <v>568</v>
      </c>
      <c r="G1223" t="s">
        <v>59</v>
      </c>
      <c r="H1223" t="s">
        <v>60</v>
      </c>
      <c r="J1223">
        <v>0.73713375617983368</v>
      </c>
      <c r="K1223">
        <v>0.72485388169772647</v>
      </c>
      <c r="L1223">
        <v>2.236393468996448</v>
      </c>
      <c r="M1223">
        <v>1.5148580470446571</v>
      </c>
      <c r="N1223" t="s">
        <v>1</v>
      </c>
      <c r="P1223" t="s">
        <v>9</v>
      </c>
      <c r="Q1223" t="s">
        <v>11</v>
      </c>
      <c r="R1223" t="s">
        <v>104</v>
      </c>
      <c r="S1223" t="s">
        <v>10</v>
      </c>
      <c r="T1223" t="s">
        <v>3746</v>
      </c>
      <c r="U1223" t="s">
        <v>840</v>
      </c>
    </row>
    <row r="1224" spans="1:21" x14ac:dyDescent="0.3">
      <c r="A1224" t="s">
        <v>3361</v>
      </c>
      <c r="B1224" t="s">
        <v>2872</v>
      </c>
      <c r="C1224" t="s">
        <v>2873</v>
      </c>
      <c r="E1224" t="s">
        <v>19</v>
      </c>
      <c r="F1224" t="s">
        <v>109</v>
      </c>
      <c r="G1224" t="s">
        <v>143</v>
      </c>
      <c r="H1224" t="s">
        <v>2872</v>
      </c>
      <c r="J1224">
        <v>4.463893185297092</v>
      </c>
      <c r="K1224">
        <v>2.5123380288394519</v>
      </c>
      <c r="L1224">
        <v>0</v>
      </c>
      <c r="M1224">
        <v>1.4808643877717</v>
      </c>
      <c r="N1224" t="s">
        <v>145</v>
      </c>
      <c r="P1224" t="s">
        <v>19</v>
      </c>
      <c r="Q1224" t="s">
        <v>11</v>
      </c>
      <c r="R1224" t="s">
        <v>80</v>
      </c>
      <c r="S1224" t="s">
        <v>10</v>
      </c>
      <c r="T1224" t="s">
        <v>3747</v>
      </c>
      <c r="U1224" t="s">
        <v>840</v>
      </c>
    </row>
    <row r="1225" spans="1:21" x14ac:dyDescent="0.3">
      <c r="A1225" t="s">
        <v>3361</v>
      </c>
      <c r="B1225" t="s">
        <v>3106</v>
      </c>
      <c r="C1225" t="s">
        <v>3107</v>
      </c>
      <c r="E1225" t="s">
        <v>19</v>
      </c>
      <c r="F1225" t="s">
        <v>261</v>
      </c>
      <c r="G1225" t="s">
        <v>110</v>
      </c>
      <c r="H1225" t="s">
        <v>3108</v>
      </c>
      <c r="J1225">
        <v>2.3684920461710068</v>
      </c>
      <c r="K1225">
        <v>1.695061246994634</v>
      </c>
      <c r="L1225">
        <v>0.68202288631045782</v>
      </c>
      <c r="M1225">
        <v>1.2629391884954211</v>
      </c>
      <c r="N1225" t="s">
        <v>1</v>
      </c>
      <c r="P1225" t="s">
        <v>12</v>
      </c>
      <c r="Q1225" t="s">
        <v>14</v>
      </c>
      <c r="R1225" t="s">
        <v>146</v>
      </c>
      <c r="S1225" t="s">
        <v>5</v>
      </c>
      <c r="T1225" t="s">
        <v>3748</v>
      </c>
      <c r="U1225" t="s">
        <v>3749</v>
      </c>
    </row>
    <row r="1226" spans="1:21" x14ac:dyDescent="0.3">
      <c r="A1226" t="s">
        <v>3361</v>
      </c>
      <c r="B1226" t="s">
        <v>659</v>
      </c>
      <c r="C1226" t="s">
        <v>660</v>
      </c>
      <c r="E1226" t="s">
        <v>19</v>
      </c>
      <c r="F1226" t="s">
        <v>261</v>
      </c>
      <c r="G1226" t="s">
        <v>143</v>
      </c>
      <c r="H1226" t="s">
        <v>659</v>
      </c>
      <c r="J1226">
        <v>5.3572402880838066</v>
      </c>
      <c r="K1226">
        <v>1.392528718349392</v>
      </c>
      <c r="L1226">
        <v>0</v>
      </c>
      <c r="M1226">
        <v>1.232501370022844</v>
      </c>
      <c r="N1226" t="s">
        <v>145</v>
      </c>
      <c r="P1226" t="s">
        <v>16</v>
      </c>
      <c r="Q1226" t="s">
        <v>22</v>
      </c>
      <c r="R1226" t="s">
        <v>172</v>
      </c>
      <c r="S1226" t="s">
        <v>5</v>
      </c>
      <c r="T1226" t="s">
        <v>3750</v>
      </c>
      <c r="U1226" t="s">
        <v>3751</v>
      </c>
    </row>
    <row r="1227" spans="1:21" x14ac:dyDescent="0.3">
      <c r="A1227" t="s">
        <v>3361</v>
      </c>
      <c r="B1227" t="s">
        <v>3752</v>
      </c>
      <c r="C1227" t="s">
        <v>3753</v>
      </c>
      <c r="E1227" t="s">
        <v>19</v>
      </c>
      <c r="F1227" t="s">
        <v>261</v>
      </c>
      <c r="G1227" t="s">
        <v>110</v>
      </c>
      <c r="H1227" t="s">
        <v>3754</v>
      </c>
      <c r="J1227">
        <v>2.262400577137591</v>
      </c>
      <c r="K1227">
        <v>2.527101486082914</v>
      </c>
      <c r="L1227">
        <v>0</v>
      </c>
      <c r="M1227">
        <v>1.171447709748616</v>
      </c>
      <c r="N1227" t="s">
        <v>1</v>
      </c>
      <c r="P1227" t="s">
        <v>19</v>
      </c>
      <c r="Q1227" t="s">
        <v>11</v>
      </c>
      <c r="R1227" t="s">
        <v>80</v>
      </c>
      <c r="S1227" t="s">
        <v>10</v>
      </c>
      <c r="T1227" t="s">
        <v>3755</v>
      </c>
      <c r="U1227" t="s">
        <v>3756</v>
      </c>
    </row>
    <row r="1228" spans="1:21" x14ac:dyDescent="0.3">
      <c r="A1228" t="s">
        <v>3361</v>
      </c>
      <c r="B1228" t="s">
        <v>2250</v>
      </c>
      <c r="C1228" t="s">
        <v>2251</v>
      </c>
      <c r="E1228" t="s">
        <v>19</v>
      </c>
      <c r="F1228" t="s">
        <v>221</v>
      </c>
      <c r="G1228" t="s">
        <v>200</v>
      </c>
      <c r="H1228" t="s">
        <v>2252</v>
      </c>
      <c r="J1228">
        <v>2.312162528088979</v>
      </c>
      <c r="K1228">
        <v>2.1056991243512</v>
      </c>
      <c r="L1228">
        <v>0.25603001707187267</v>
      </c>
      <c r="M1228">
        <v>1.1706008029688291</v>
      </c>
      <c r="N1228" t="s">
        <v>1</v>
      </c>
      <c r="P1228" t="s">
        <v>19</v>
      </c>
      <c r="Q1228" t="s">
        <v>11</v>
      </c>
      <c r="R1228" t="s">
        <v>80</v>
      </c>
      <c r="S1228" t="s">
        <v>10</v>
      </c>
      <c r="T1228" t="s">
        <v>3757</v>
      </c>
      <c r="U1228" t="s">
        <v>3758</v>
      </c>
    </row>
    <row r="1229" spans="1:21" x14ac:dyDescent="0.3">
      <c r="A1229" t="s">
        <v>3361</v>
      </c>
      <c r="B1229" t="s">
        <v>468</v>
      </c>
      <c r="C1229" t="s">
        <v>469</v>
      </c>
      <c r="E1229" t="s">
        <v>66</v>
      </c>
      <c r="F1229" t="s">
        <v>396</v>
      </c>
      <c r="G1229" t="s">
        <v>143</v>
      </c>
      <c r="H1229" t="s">
        <v>290</v>
      </c>
      <c r="J1229">
        <v>1.939003992662135</v>
      </c>
      <c r="K1229">
        <v>2.478656017625998</v>
      </c>
      <c r="L1229">
        <v>0</v>
      </c>
      <c r="M1229">
        <v>1.1090030048539949</v>
      </c>
      <c r="N1229" t="s">
        <v>1</v>
      </c>
      <c r="P1229" t="s">
        <v>7</v>
      </c>
      <c r="Q1229" t="s">
        <v>11</v>
      </c>
      <c r="R1229" t="s">
        <v>70</v>
      </c>
      <c r="S1229" t="s">
        <v>10</v>
      </c>
      <c r="T1229" t="s">
        <v>3759</v>
      </c>
      <c r="U1229" t="s">
        <v>3760</v>
      </c>
    </row>
    <row r="1230" spans="1:21" x14ac:dyDescent="0.3">
      <c r="A1230" t="s">
        <v>3361</v>
      </c>
      <c r="B1230" t="s">
        <v>2936</v>
      </c>
      <c r="C1230" t="s">
        <v>2937</v>
      </c>
      <c r="E1230" t="s">
        <v>19</v>
      </c>
      <c r="F1230" t="s">
        <v>109</v>
      </c>
      <c r="G1230" t="s">
        <v>59</v>
      </c>
      <c r="H1230" t="s">
        <v>60</v>
      </c>
      <c r="J1230">
        <v>0.71477744605509796</v>
      </c>
      <c r="K1230">
        <v>0.71624743719207939</v>
      </c>
      <c r="L1230">
        <v>1.385113172980321</v>
      </c>
      <c r="M1230">
        <v>1.0648433509401221</v>
      </c>
      <c r="N1230" t="s">
        <v>1</v>
      </c>
      <c r="P1230" t="s">
        <v>19</v>
      </c>
      <c r="Q1230" t="s">
        <v>11</v>
      </c>
      <c r="R1230" t="s">
        <v>80</v>
      </c>
      <c r="S1230" t="s">
        <v>10</v>
      </c>
      <c r="T1230" t="s">
        <v>3761</v>
      </c>
      <c r="U1230" t="s">
        <v>840</v>
      </c>
    </row>
    <row r="1231" spans="1:21" x14ac:dyDescent="0.3">
      <c r="A1231" t="s">
        <v>3361</v>
      </c>
      <c r="B1231" t="s">
        <v>3067</v>
      </c>
      <c r="C1231" t="s">
        <v>3068</v>
      </c>
      <c r="E1231" t="s">
        <v>19</v>
      </c>
      <c r="F1231" t="s">
        <v>221</v>
      </c>
      <c r="G1231" t="s">
        <v>143</v>
      </c>
      <c r="H1231" t="s">
        <v>3067</v>
      </c>
      <c r="J1231">
        <v>4.8622730652957644</v>
      </c>
      <c r="K1231">
        <v>1.01423786477013</v>
      </c>
      <c r="L1231">
        <v>0</v>
      </c>
      <c r="M1231">
        <v>1.034823493612419</v>
      </c>
      <c r="N1231" t="s">
        <v>145</v>
      </c>
      <c r="P1231" t="s">
        <v>19</v>
      </c>
      <c r="Q1231" t="s">
        <v>11</v>
      </c>
      <c r="R1231" t="s">
        <v>80</v>
      </c>
      <c r="S1231" t="s">
        <v>10</v>
      </c>
      <c r="T1231" t="s">
        <v>3762</v>
      </c>
      <c r="U1231" t="s">
        <v>3763</v>
      </c>
    </row>
    <row r="1232" spans="1:21" x14ac:dyDescent="0.3">
      <c r="A1232" t="s">
        <v>3361</v>
      </c>
      <c r="B1232" t="s">
        <v>3156</v>
      </c>
      <c r="C1232" t="s">
        <v>3157</v>
      </c>
      <c r="E1232" t="s">
        <v>66</v>
      </c>
      <c r="F1232" t="s">
        <v>193</v>
      </c>
      <c r="G1232" t="s">
        <v>143</v>
      </c>
      <c r="H1232" t="s">
        <v>3156</v>
      </c>
      <c r="J1232">
        <v>3.5399186834149732</v>
      </c>
      <c r="K1232">
        <v>1.5171064551341571</v>
      </c>
      <c r="L1232">
        <v>0</v>
      </c>
      <c r="M1232">
        <v>1.0148101960206379</v>
      </c>
      <c r="N1232" t="s">
        <v>145</v>
      </c>
      <c r="P1232" t="s">
        <v>24</v>
      </c>
      <c r="Q1232" t="s">
        <v>22</v>
      </c>
      <c r="R1232" t="s">
        <v>391</v>
      </c>
      <c r="S1232" t="s">
        <v>5</v>
      </c>
      <c r="T1232" t="s">
        <v>3764</v>
      </c>
      <c r="U1232" t="s">
        <v>3765</v>
      </c>
    </row>
    <row r="1233" spans="1:21" x14ac:dyDescent="0.3">
      <c r="A1233" t="s">
        <v>3361</v>
      </c>
      <c r="B1233" t="s">
        <v>3766</v>
      </c>
      <c r="C1233" t="s">
        <v>3767</v>
      </c>
      <c r="G1233" t="s">
        <v>355</v>
      </c>
      <c r="H1233" t="s">
        <v>3768</v>
      </c>
      <c r="J1233">
        <v>1.7998922918990581</v>
      </c>
      <c r="K1233">
        <v>1.541191080918429</v>
      </c>
      <c r="L1233">
        <v>0</v>
      </c>
      <c r="M1233">
        <v>0.77442007485811637</v>
      </c>
      <c r="N1233" t="s">
        <v>156</v>
      </c>
      <c r="O1233" t="s">
        <v>2843</v>
      </c>
      <c r="P1233" t="s">
        <v>157</v>
      </c>
      <c r="Q1233" t="s">
        <v>157</v>
      </c>
      <c r="R1233" t="s">
        <v>2570</v>
      </c>
      <c r="S1233" t="s">
        <v>157</v>
      </c>
      <c r="T1233" t="s">
        <v>3769</v>
      </c>
      <c r="U1233" t="s">
        <v>3770</v>
      </c>
    </row>
    <row r="1234" spans="1:21" x14ac:dyDescent="0.3">
      <c r="A1234" t="s">
        <v>3361</v>
      </c>
      <c r="B1234" t="s">
        <v>236</v>
      </c>
      <c r="C1234" t="s">
        <v>237</v>
      </c>
      <c r="E1234" t="s">
        <v>66</v>
      </c>
      <c r="F1234" t="s">
        <v>103</v>
      </c>
      <c r="G1234" t="s">
        <v>59</v>
      </c>
      <c r="H1234" t="s">
        <v>60</v>
      </c>
      <c r="J1234">
        <v>0.76173818687577177</v>
      </c>
      <c r="K1234">
        <v>0.68065288275515134</v>
      </c>
      <c r="L1234">
        <v>0.83209391354595641</v>
      </c>
      <c r="M1234">
        <v>0.77120662152251729</v>
      </c>
      <c r="N1234" t="s">
        <v>2570</v>
      </c>
      <c r="O1234" t="s">
        <v>2843</v>
      </c>
      <c r="P1234" t="s">
        <v>157</v>
      </c>
      <c r="Q1234" t="s">
        <v>157</v>
      </c>
      <c r="R1234" t="s">
        <v>2570</v>
      </c>
      <c r="S1234" t="s">
        <v>157</v>
      </c>
      <c r="T1234" t="s">
        <v>3771</v>
      </c>
    </row>
    <row r="1235" spans="1:21" x14ac:dyDescent="0.3">
      <c r="A1235" t="s">
        <v>3361</v>
      </c>
      <c r="B1235" t="s">
        <v>3772</v>
      </c>
      <c r="C1235" t="s">
        <v>3773</v>
      </c>
      <c r="E1235" t="s">
        <v>66</v>
      </c>
      <c r="F1235" t="s">
        <v>396</v>
      </c>
      <c r="G1235" t="s">
        <v>355</v>
      </c>
      <c r="H1235" t="s">
        <v>1573</v>
      </c>
      <c r="J1235">
        <v>0.40054014843590757</v>
      </c>
      <c r="K1235">
        <v>0.69234064689861807</v>
      </c>
      <c r="L1235">
        <v>0.92340878198688181</v>
      </c>
      <c r="M1235">
        <v>0.77117095136588187</v>
      </c>
      <c r="N1235" t="s">
        <v>1</v>
      </c>
      <c r="P1235" t="s">
        <v>7</v>
      </c>
      <c r="Q1235" t="s">
        <v>11</v>
      </c>
      <c r="R1235" t="s">
        <v>70</v>
      </c>
      <c r="S1235" t="s">
        <v>10</v>
      </c>
      <c r="T1235" t="s">
        <v>3774</v>
      </c>
      <c r="U1235" t="s">
        <v>3775</v>
      </c>
    </row>
    <row r="1236" spans="1:21" x14ac:dyDescent="0.3">
      <c r="A1236" t="s">
        <v>3361</v>
      </c>
      <c r="B1236" t="s">
        <v>3776</v>
      </c>
      <c r="C1236" t="s">
        <v>3777</v>
      </c>
      <c r="E1236" t="s">
        <v>19</v>
      </c>
      <c r="F1236" t="s">
        <v>221</v>
      </c>
      <c r="G1236" t="s">
        <v>122</v>
      </c>
      <c r="H1236" t="s">
        <v>3778</v>
      </c>
      <c r="J1236">
        <v>2.4805195854955788</v>
      </c>
      <c r="K1236">
        <v>1.0710242051470369</v>
      </c>
      <c r="L1236">
        <v>0</v>
      </c>
      <c r="M1236">
        <v>0.71377314634595679</v>
      </c>
      <c r="N1236" t="s">
        <v>145</v>
      </c>
      <c r="P1236" t="s">
        <v>19</v>
      </c>
      <c r="Q1236" t="s">
        <v>11</v>
      </c>
      <c r="R1236" t="s">
        <v>80</v>
      </c>
      <c r="S1236" t="s">
        <v>10</v>
      </c>
      <c r="T1236" t="s">
        <v>3779</v>
      </c>
      <c r="U1236" t="s">
        <v>3780</v>
      </c>
    </row>
    <row r="1237" spans="1:21" x14ac:dyDescent="0.3">
      <c r="A1237" t="s">
        <v>3361</v>
      </c>
      <c r="B1237" t="s">
        <v>3781</v>
      </c>
      <c r="C1237" t="s">
        <v>3782</v>
      </c>
      <c r="E1237" t="s">
        <v>19</v>
      </c>
      <c r="F1237" t="s">
        <v>620</v>
      </c>
      <c r="G1237" t="s">
        <v>143</v>
      </c>
      <c r="H1237" t="s">
        <v>3783</v>
      </c>
      <c r="J1237">
        <v>2.488855343776776</v>
      </c>
      <c r="K1237">
        <v>1.0474436618094869</v>
      </c>
      <c r="L1237">
        <v>0</v>
      </c>
      <c r="M1237">
        <v>0.70704723148102122</v>
      </c>
      <c r="N1237" t="s">
        <v>145</v>
      </c>
      <c r="P1237" t="s">
        <v>24</v>
      </c>
      <c r="Q1237" t="s">
        <v>22</v>
      </c>
      <c r="R1237" t="s">
        <v>391</v>
      </c>
      <c r="S1237" t="s">
        <v>5</v>
      </c>
      <c r="T1237" t="s">
        <v>3784</v>
      </c>
      <c r="U1237" t="s">
        <v>3785</v>
      </c>
    </row>
    <row r="1238" spans="1:21" x14ac:dyDescent="0.3">
      <c r="A1238" t="s">
        <v>3361</v>
      </c>
      <c r="B1238" t="s">
        <v>711</v>
      </c>
      <c r="C1238" t="s">
        <v>712</v>
      </c>
      <c r="E1238" t="s">
        <v>19</v>
      </c>
      <c r="F1238" t="s">
        <v>109</v>
      </c>
      <c r="G1238" t="s">
        <v>143</v>
      </c>
      <c r="H1238" t="s">
        <v>290</v>
      </c>
      <c r="J1238">
        <v>0.28538641695542533</v>
      </c>
      <c r="K1238">
        <v>0.56813158977392897</v>
      </c>
      <c r="L1238">
        <v>0.90152057382126527</v>
      </c>
      <c r="M1238">
        <v>0.70161414592803761</v>
      </c>
      <c r="N1238" t="s">
        <v>1</v>
      </c>
      <c r="P1238" t="s">
        <v>19</v>
      </c>
      <c r="Q1238" t="s">
        <v>11</v>
      </c>
      <c r="R1238" t="s">
        <v>80</v>
      </c>
      <c r="S1238" t="s">
        <v>10</v>
      </c>
      <c r="T1238" t="s">
        <v>3786</v>
      </c>
      <c r="U1238" t="s">
        <v>3787</v>
      </c>
    </row>
    <row r="1239" spans="1:21" x14ac:dyDescent="0.3">
      <c r="A1239" t="s">
        <v>3361</v>
      </c>
      <c r="B1239" t="s">
        <v>3788</v>
      </c>
      <c r="C1239" t="s">
        <v>3789</v>
      </c>
      <c r="E1239" t="s">
        <v>66</v>
      </c>
      <c r="F1239" t="s">
        <v>103</v>
      </c>
      <c r="G1239" t="s">
        <v>68</v>
      </c>
      <c r="H1239" t="s">
        <v>69</v>
      </c>
      <c r="J1239">
        <v>0.4020388954833759</v>
      </c>
      <c r="K1239">
        <v>0.45789472342074949</v>
      </c>
      <c r="L1239">
        <v>0.92340878198688181</v>
      </c>
      <c r="M1239">
        <v>0.69267877169102321</v>
      </c>
      <c r="N1239" t="s">
        <v>1</v>
      </c>
      <c r="P1239" t="s">
        <v>9</v>
      </c>
      <c r="Q1239" t="s">
        <v>11</v>
      </c>
      <c r="R1239" t="s">
        <v>104</v>
      </c>
      <c r="S1239" t="s">
        <v>10</v>
      </c>
      <c r="T1239" t="s">
        <v>3790</v>
      </c>
      <c r="U1239" t="s">
        <v>840</v>
      </c>
    </row>
    <row r="1240" spans="1:21" x14ac:dyDescent="0.3">
      <c r="A1240" t="s">
        <v>3361</v>
      </c>
      <c r="B1240" t="s">
        <v>3144</v>
      </c>
      <c r="C1240" t="s">
        <v>3145</v>
      </c>
      <c r="E1240" t="s">
        <v>19</v>
      </c>
      <c r="F1240" t="s">
        <v>732</v>
      </c>
      <c r="G1240" t="s">
        <v>143</v>
      </c>
      <c r="H1240" t="s">
        <v>3144</v>
      </c>
      <c r="J1240">
        <v>4.801144171233652</v>
      </c>
      <c r="K1240">
        <v>0</v>
      </c>
      <c r="L1240">
        <v>0</v>
      </c>
      <c r="M1240">
        <v>0.68560294375255804</v>
      </c>
      <c r="N1240" t="s">
        <v>145</v>
      </c>
      <c r="P1240" t="s">
        <v>19</v>
      </c>
      <c r="Q1240" t="s">
        <v>11</v>
      </c>
      <c r="R1240" t="s">
        <v>3719</v>
      </c>
      <c r="S1240" t="s">
        <v>10</v>
      </c>
      <c r="T1240" t="s">
        <v>3791</v>
      </c>
      <c r="U1240" t="s">
        <v>1654</v>
      </c>
    </row>
    <row r="1241" spans="1:21" x14ac:dyDescent="0.3">
      <c r="A1241" t="s">
        <v>3361</v>
      </c>
      <c r="B1241" t="s">
        <v>2896</v>
      </c>
      <c r="C1241" t="s">
        <v>2897</v>
      </c>
      <c r="E1241" t="s">
        <v>66</v>
      </c>
      <c r="F1241" t="s">
        <v>938</v>
      </c>
      <c r="G1241" t="s">
        <v>200</v>
      </c>
      <c r="H1241" t="s">
        <v>631</v>
      </c>
      <c r="J1241">
        <v>0.76311203833595131</v>
      </c>
      <c r="K1241">
        <v>0.97396263655558579</v>
      </c>
      <c r="L1241">
        <v>0.47316149995512907</v>
      </c>
      <c r="M1241">
        <v>0.68269112783328045</v>
      </c>
      <c r="N1241" t="s">
        <v>1</v>
      </c>
      <c r="P1241" t="s">
        <v>7</v>
      </c>
      <c r="Q1241" t="s">
        <v>11</v>
      </c>
      <c r="R1241" t="s">
        <v>70</v>
      </c>
      <c r="S1241" t="s">
        <v>10</v>
      </c>
      <c r="T1241" t="s">
        <v>3792</v>
      </c>
      <c r="U1241" t="s">
        <v>840</v>
      </c>
    </row>
    <row r="1242" spans="1:21" x14ac:dyDescent="0.3">
      <c r="A1242" t="s">
        <v>3361</v>
      </c>
      <c r="B1242" t="s">
        <v>3793</v>
      </c>
      <c r="C1242" t="s">
        <v>3794</v>
      </c>
      <c r="E1242" t="s">
        <v>390</v>
      </c>
      <c r="G1242" t="s">
        <v>116</v>
      </c>
      <c r="H1242" t="s">
        <v>117</v>
      </c>
      <c r="J1242">
        <v>0.46273815090584269</v>
      </c>
      <c r="K1242">
        <v>0.80087747483093108</v>
      </c>
      <c r="L1242">
        <v>0.48273759102758579</v>
      </c>
      <c r="M1242">
        <v>0.58668490125073847</v>
      </c>
      <c r="N1242" t="s">
        <v>1</v>
      </c>
      <c r="P1242" t="s">
        <v>23</v>
      </c>
      <c r="Q1242" t="s">
        <v>11</v>
      </c>
      <c r="R1242" t="s">
        <v>1116</v>
      </c>
      <c r="S1242" t="s">
        <v>10</v>
      </c>
      <c r="T1242" t="s">
        <v>3795</v>
      </c>
      <c r="U1242" t="s">
        <v>3796</v>
      </c>
    </row>
    <row r="1243" spans="1:21" x14ac:dyDescent="0.3">
      <c r="A1243" t="s">
        <v>3361</v>
      </c>
      <c r="B1243" t="s">
        <v>3797</v>
      </c>
      <c r="C1243" t="s">
        <v>3798</v>
      </c>
      <c r="E1243" t="s">
        <v>19</v>
      </c>
      <c r="F1243" t="s">
        <v>820</v>
      </c>
      <c r="G1243" t="s">
        <v>68</v>
      </c>
      <c r="H1243" t="s">
        <v>3799</v>
      </c>
      <c r="J1243">
        <v>1.6685409492862571</v>
      </c>
      <c r="K1243">
        <v>0.70525031365708879</v>
      </c>
      <c r="L1243">
        <v>0</v>
      </c>
      <c r="M1243">
        <v>0.47502815795314091</v>
      </c>
      <c r="N1243" t="s">
        <v>1</v>
      </c>
      <c r="P1243" t="s">
        <v>19</v>
      </c>
      <c r="Q1243" t="s">
        <v>11</v>
      </c>
      <c r="R1243" t="s">
        <v>80</v>
      </c>
      <c r="S1243" t="s">
        <v>10</v>
      </c>
      <c r="T1243" t="s">
        <v>3800</v>
      </c>
      <c r="U1243" t="s">
        <v>3801</v>
      </c>
    </row>
    <row r="1244" spans="1:21" x14ac:dyDescent="0.3">
      <c r="A1244" t="s">
        <v>3361</v>
      </c>
      <c r="B1244" t="s">
        <v>3802</v>
      </c>
      <c r="C1244" t="s">
        <v>3803</v>
      </c>
      <c r="E1244" t="s">
        <v>19</v>
      </c>
      <c r="F1244" t="s">
        <v>109</v>
      </c>
      <c r="G1244" t="s">
        <v>200</v>
      </c>
      <c r="H1244" t="s">
        <v>631</v>
      </c>
      <c r="J1244">
        <v>0.61261285565267443</v>
      </c>
      <c r="K1244">
        <v>0.77112680246573562</v>
      </c>
      <c r="L1244">
        <v>0.14295735958167261</v>
      </c>
      <c r="M1244">
        <v>0.42090784829054328</v>
      </c>
      <c r="N1244" t="s">
        <v>1</v>
      </c>
      <c r="P1244" t="s">
        <v>19</v>
      </c>
      <c r="Q1244" t="s">
        <v>11</v>
      </c>
      <c r="R1244" t="s">
        <v>80</v>
      </c>
      <c r="S1244" t="s">
        <v>10</v>
      </c>
      <c r="T1244" t="s">
        <v>3804</v>
      </c>
      <c r="U1244" t="s">
        <v>840</v>
      </c>
    </row>
    <row r="1245" spans="1:21" x14ac:dyDescent="0.3">
      <c r="A1245" t="s">
        <v>3361</v>
      </c>
      <c r="B1245" t="s">
        <v>3805</v>
      </c>
      <c r="C1245" t="s">
        <v>3806</v>
      </c>
      <c r="E1245" t="s">
        <v>19</v>
      </c>
      <c r="F1245" t="s">
        <v>109</v>
      </c>
      <c r="G1245" t="s">
        <v>116</v>
      </c>
      <c r="H1245" t="s">
        <v>166</v>
      </c>
      <c r="J1245">
        <v>0.43276320995647638</v>
      </c>
      <c r="K1245">
        <v>0.73951671307771549</v>
      </c>
      <c r="L1245">
        <v>0.1446673758446112</v>
      </c>
      <c r="M1245">
        <v>0.3855052178305125</v>
      </c>
      <c r="N1245" t="s">
        <v>1</v>
      </c>
      <c r="P1245" t="s">
        <v>19</v>
      </c>
      <c r="Q1245" t="s">
        <v>11</v>
      </c>
      <c r="R1245" t="s">
        <v>80</v>
      </c>
      <c r="S1245" t="s">
        <v>10</v>
      </c>
      <c r="T1245" t="s">
        <v>3807</v>
      </c>
      <c r="U1245" t="s">
        <v>840</v>
      </c>
    </row>
    <row r="1246" spans="1:21" x14ac:dyDescent="0.3">
      <c r="A1246" t="s">
        <v>3361</v>
      </c>
      <c r="B1246" t="s">
        <v>3045</v>
      </c>
      <c r="C1246" t="s">
        <v>3046</v>
      </c>
      <c r="E1246" t="s">
        <v>19</v>
      </c>
      <c r="F1246" t="s">
        <v>109</v>
      </c>
      <c r="G1246" t="s">
        <v>143</v>
      </c>
      <c r="H1246" t="s">
        <v>3047</v>
      </c>
      <c r="J1246">
        <v>1.0902161436862441</v>
      </c>
      <c r="K1246">
        <v>0.52571417872710491</v>
      </c>
      <c r="L1246">
        <v>0</v>
      </c>
      <c r="M1246">
        <v>0.33217107791492612</v>
      </c>
      <c r="N1246" t="s">
        <v>145</v>
      </c>
      <c r="P1246" t="s">
        <v>19</v>
      </c>
      <c r="Q1246" t="s">
        <v>11</v>
      </c>
      <c r="R1246" t="s">
        <v>80</v>
      </c>
      <c r="S1246" t="s">
        <v>10</v>
      </c>
      <c r="T1246" t="s">
        <v>3808</v>
      </c>
      <c r="U1246" t="s">
        <v>840</v>
      </c>
    </row>
    <row r="1247" spans="1:21" x14ac:dyDescent="0.3">
      <c r="A1247" t="s">
        <v>3361</v>
      </c>
      <c r="B1247" t="s">
        <v>3101</v>
      </c>
      <c r="C1247" t="s">
        <v>3102</v>
      </c>
      <c r="E1247" t="s">
        <v>66</v>
      </c>
      <c r="F1247" t="s">
        <v>396</v>
      </c>
      <c r="G1247" t="s">
        <v>181</v>
      </c>
      <c r="H1247" t="s">
        <v>3103</v>
      </c>
      <c r="J1247">
        <v>0.52456146661391068</v>
      </c>
      <c r="K1247">
        <v>0.67039952602928832</v>
      </c>
      <c r="L1247">
        <v>4.907746674633974E-2</v>
      </c>
      <c r="M1247">
        <v>0.32556151960574492</v>
      </c>
      <c r="N1247" t="s">
        <v>1</v>
      </c>
      <c r="P1247" t="s">
        <v>12</v>
      </c>
      <c r="Q1247" t="s">
        <v>14</v>
      </c>
      <c r="R1247" t="s">
        <v>146</v>
      </c>
      <c r="S1247" t="s">
        <v>5</v>
      </c>
      <c r="T1247" t="s">
        <v>3809</v>
      </c>
      <c r="U1247" t="s">
        <v>3810</v>
      </c>
    </row>
    <row r="1248" spans="1:21" x14ac:dyDescent="0.3">
      <c r="A1248" t="s">
        <v>3361</v>
      </c>
      <c r="B1248" t="s">
        <v>3811</v>
      </c>
      <c r="C1248" t="s">
        <v>3812</v>
      </c>
      <c r="E1248" t="s">
        <v>19</v>
      </c>
      <c r="F1248" t="s">
        <v>109</v>
      </c>
      <c r="G1248" t="s">
        <v>143</v>
      </c>
      <c r="H1248" t="s">
        <v>3813</v>
      </c>
      <c r="J1248">
        <v>1.0951418190342239</v>
      </c>
      <c r="K1248">
        <v>0.48267946576409831</v>
      </c>
      <c r="L1248">
        <v>0</v>
      </c>
      <c r="M1248">
        <v>0.31842721439443411</v>
      </c>
      <c r="N1248" t="s">
        <v>145</v>
      </c>
      <c r="P1248" t="s">
        <v>19</v>
      </c>
      <c r="Q1248" t="s">
        <v>11</v>
      </c>
      <c r="R1248" t="s">
        <v>80</v>
      </c>
      <c r="S1248" t="s">
        <v>10</v>
      </c>
      <c r="T1248" t="s">
        <v>3814</v>
      </c>
      <c r="U1248" t="s">
        <v>840</v>
      </c>
    </row>
    <row r="1249" spans="1:21" x14ac:dyDescent="0.3">
      <c r="A1249" t="s">
        <v>3361</v>
      </c>
      <c r="B1249" t="s">
        <v>883</v>
      </c>
      <c r="C1249" t="s">
        <v>884</v>
      </c>
      <c r="E1249" t="s">
        <v>19</v>
      </c>
      <c r="F1249" t="s">
        <v>109</v>
      </c>
      <c r="G1249" t="s">
        <v>122</v>
      </c>
      <c r="H1249" t="s">
        <v>885</v>
      </c>
      <c r="J1249">
        <v>0</v>
      </c>
      <c r="K1249">
        <v>0.69595322854296504</v>
      </c>
      <c r="L1249">
        <v>0</v>
      </c>
      <c r="M1249">
        <v>0.2336395259578864</v>
      </c>
      <c r="N1249" t="s">
        <v>145</v>
      </c>
      <c r="P1249" t="s">
        <v>19</v>
      </c>
      <c r="Q1249" t="s">
        <v>11</v>
      </c>
      <c r="R1249" t="s">
        <v>80</v>
      </c>
      <c r="S1249" t="s">
        <v>10</v>
      </c>
      <c r="T1249" t="s">
        <v>3815</v>
      </c>
      <c r="U1249" t="s">
        <v>1654</v>
      </c>
    </row>
    <row r="1250" spans="1:21" x14ac:dyDescent="0.3">
      <c r="A1250" t="s">
        <v>3361</v>
      </c>
      <c r="B1250" t="s">
        <v>805</v>
      </c>
      <c r="C1250" t="s">
        <v>806</v>
      </c>
      <c r="E1250" t="s">
        <v>19</v>
      </c>
      <c r="F1250" t="s">
        <v>109</v>
      </c>
      <c r="G1250" t="s">
        <v>143</v>
      </c>
      <c r="H1250" t="s">
        <v>807</v>
      </c>
      <c r="J1250">
        <v>0.84443757375883077</v>
      </c>
      <c r="K1250">
        <v>0.1755922547441213</v>
      </c>
      <c r="L1250">
        <v>0</v>
      </c>
      <c r="M1250">
        <v>0.1795339526601204</v>
      </c>
      <c r="N1250" t="s">
        <v>145</v>
      </c>
      <c r="P1250" t="s">
        <v>18</v>
      </c>
      <c r="Q1250" t="s">
        <v>18</v>
      </c>
      <c r="R1250" t="s">
        <v>949</v>
      </c>
      <c r="S1250" t="s">
        <v>13</v>
      </c>
      <c r="T1250" t="s">
        <v>3816</v>
      </c>
      <c r="U1250" t="s">
        <v>3817</v>
      </c>
    </row>
    <row r="1251" spans="1:21" x14ac:dyDescent="0.3">
      <c r="A1251" t="s">
        <v>3361</v>
      </c>
      <c r="B1251" t="s">
        <v>1287</v>
      </c>
      <c r="C1251" t="s">
        <v>1288</v>
      </c>
      <c r="E1251" t="s">
        <v>19</v>
      </c>
      <c r="F1251" t="s">
        <v>221</v>
      </c>
      <c r="G1251" t="s">
        <v>143</v>
      </c>
      <c r="H1251" t="s">
        <v>1289</v>
      </c>
      <c r="J1251">
        <v>0.50090329307919879</v>
      </c>
      <c r="K1251">
        <v>0.30868108927786542</v>
      </c>
      <c r="L1251">
        <v>0</v>
      </c>
      <c r="M1251">
        <v>0.1751567459430235</v>
      </c>
      <c r="N1251" t="s">
        <v>145</v>
      </c>
      <c r="P1251" t="s">
        <v>18</v>
      </c>
      <c r="Q1251" t="s">
        <v>18</v>
      </c>
      <c r="R1251" t="s">
        <v>949</v>
      </c>
      <c r="S1251" t="s">
        <v>13</v>
      </c>
      <c r="T1251" t="s">
        <v>3818</v>
      </c>
      <c r="U1251" t="s">
        <v>3177</v>
      </c>
    </row>
    <row r="1252" spans="1:21" x14ac:dyDescent="0.3">
      <c r="A1252" t="s">
        <v>3361</v>
      </c>
      <c r="B1252" t="s">
        <v>1705</v>
      </c>
      <c r="C1252" t="s">
        <v>1706</v>
      </c>
      <c r="E1252" t="s">
        <v>19</v>
      </c>
      <c r="F1252" t="s">
        <v>109</v>
      </c>
      <c r="G1252" t="s">
        <v>200</v>
      </c>
      <c r="H1252" t="s">
        <v>1707</v>
      </c>
      <c r="J1252">
        <v>0.53285703315712052</v>
      </c>
      <c r="K1252">
        <v>0.24865939907503151</v>
      </c>
      <c r="L1252">
        <v>2.840417430542316E-2</v>
      </c>
      <c r="M1252">
        <v>0.174382215291776</v>
      </c>
      <c r="N1252" t="s">
        <v>1</v>
      </c>
      <c r="P1252" t="s">
        <v>24</v>
      </c>
      <c r="Q1252" t="s">
        <v>22</v>
      </c>
      <c r="R1252" t="s">
        <v>391</v>
      </c>
      <c r="S1252" t="s">
        <v>5</v>
      </c>
      <c r="T1252" t="s">
        <v>3819</v>
      </c>
      <c r="U1252" t="s">
        <v>3820</v>
      </c>
    </row>
    <row r="1253" spans="1:21" x14ac:dyDescent="0.3">
      <c r="A1253" t="s">
        <v>3361</v>
      </c>
      <c r="B1253" t="s">
        <v>846</v>
      </c>
      <c r="C1253" t="s">
        <v>847</v>
      </c>
      <c r="E1253" t="s">
        <v>19</v>
      </c>
      <c r="F1253" t="s">
        <v>820</v>
      </c>
      <c r="G1253" t="s">
        <v>59</v>
      </c>
      <c r="H1253" t="s">
        <v>848</v>
      </c>
      <c r="J1253">
        <v>0.2030893835782531</v>
      </c>
      <c r="K1253">
        <v>0.20639528953354361</v>
      </c>
      <c r="L1253">
        <v>0</v>
      </c>
      <c r="M1253">
        <v>9.8290424461013201E-2</v>
      </c>
      <c r="N1253" t="s">
        <v>156</v>
      </c>
      <c r="O1253" t="s">
        <v>2843</v>
      </c>
      <c r="P1253" t="s">
        <v>157</v>
      </c>
      <c r="Q1253" t="s">
        <v>157</v>
      </c>
      <c r="R1253" t="s">
        <v>2570</v>
      </c>
      <c r="S1253" t="s">
        <v>157</v>
      </c>
      <c r="T1253" t="s">
        <v>3821</v>
      </c>
    </row>
    <row r="1254" spans="1:21" x14ac:dyDescent="0.3">
      <c r="A1254" t="s">
        <v>3361</v>
      </c>
      <c r="B1254" t="s">
        <v>1624</v>
      </c>
      <c r="C1254" t="s">
        <v>1625</v>
      </c>
      <c r="E1254" t="s">
        <v>19</v>
      </c>
      <c r="F1254" t="s">
        <v>109</v>
      </c>
      <c r="G1254" t="s">
        <v>181</v>
      </c>
      <c r="H1254" t="s">
        <v>1624</v>
      </c>
      <c r="J1254">
        <v>0.29591941898249191</v>
      </c>
      <c r="K1254">
        <v>0.1309560846075124</v>
      </c>
      <c r="L1254">
        <v>0</v>
      </c>
      <c r="M1254">
        <v>8.6220733723245513E-2</v>
      </c>
      <c r="N1254" t="s">
        <v>1</v>
      </c>
      <c r="P1254" t="s">
        <v>19</v>
      </c>
      <c r="Q1254" t="s">
        <v>11</v>
      </c>
      <c r="R1254" t="s">
        <v>80</v>
      </c>
      <c r="S1254" t="s">
        <v>10</v>
      </c>
      <c r="T1254" t="s">
        <v>3822</v>
      </c>
      <c r="U1254" t="s">
        <v>840</v>
      </c>
    </row>
    <row r="1255" spans="1:21" x14ac:dyDescent="0.3">
      <c r="A1255" t="s">
        <v>3361</v>
      </c>
      <c r="B1255" t="s">
        <v>3823</v>
      </c>
      <c r="C1255" t="s">
        <v>3824</v>
      </c>
      <c r="E1255" t="s">
        <v>66</v>
      </c>
      <c r="F1255" t="s">
        <v>193</v>
      </c>
      <c r="G1255" t="s">
        <v>200</v>
      </c>
      <c r="H1255" t="s">
        <v>3825</v>
      </c>
      <c r="J1255">
        <v>0.15849250026977449</v>
      </c>
      <c r="K1255">
        <v>0.1551464626707458</v>
      </c>
      <c r="L1255">
        <v>0</v>
      </c>
      <c r="M1255">
        <v>7.4717171365203297E-2</v>
      </c>
      <c r="N1255" t="s">
        <v>156</v>
      </c>
      <c r="O1255" t="s">
        <v>2843</v>
      </c>
      <c r="P1255" t="s">
        <v>157</v>
      </c>
      <c r="Q1255" t="s">
        <v>157</v>
      </c>
      <c r="R1255" t="s">
        <v>2570</v>
      </c>
      <c r="S1255" t="s">
        <v>157</v>
      </c>
      <c r="T1255" t="s">
        <v>3826</v>
      </c>
    </row>
    <row r="1256" spans="1:21" x14ac:dyDescent="0.3">
      <c r="A1256" t="s">
        <v>3361</v>
      </c>
      <c r="B1256" t="s">
        <v>3827</v>
      </c>
      <c r="C1256" t="s">
        <v>3828</v>
      </c>
      <c r="E1256" t="s">
        <v>19</v>
      </c>
      <c r="F1256" t="s">
        <v>109</v>
      </c>
      <c r="G1256" t="s">
        <v>122</v>
      </c>
      <c r="H1256" t="s">
        <v>123</v>
      </c>
      <c r="J1256">
        <v>0</v>
      </c>
      <c r="K1256">
        <v>0.2062890371322392</v>
      </c>
      <c r="L1256">
        <v>0</v>
      </c>
      <c r="M1256">
        <v>6.9253609106448316E-2</v>
      </c>
      <c r="N1256" t="s">
        <v>1</v>
      </c>
      <c r="P1256" t="s">
        <v>19</v>
      </c>
      <c r="Q1256" t="s">
        <v>11</v>
      </c>
      <c r="R1256" t="s">
        <v>80</v>
      </c>
      <c r="S1256" t="s">
        <v>10</v>
      </c>
      <c r="T1256" t="s">
        <v>3829</v>
      </c>
      <c r="U1256" t="s">
        <v>3830</v>
      </c>
    </row>
    <row r="1257" spans="1:21" x14ac:dyDescent="0.3">
      <c r="A1257" t="s">
        <v>3361</v>
      </c>
      <c r="B1257" t="s">
        <v>2763</v>
      </c>
      <c r="C1257" t="s">
        <v>2764</v>
      </c>
      <c r="E1257" t="s">
        <v>19</v>
      </c>
      <c r="F1257" t="s">
        <v>109</v>
      </c>
      <c r="G1257" t="s">
        <v>143</v>
      </c>
      <c r="H1257" t="s">
        <v>2765</v>
      </c>
      <c r="J1257">
        <v>0.19475362529705609</v>
      </c>
      <c r="K1257">
        <v>4.675376223141528E-2</v>
      </c>
      <c r="L1257">
        <v>0</v>
      </c>
      <c r="M1257">
        <v>4.350657692582529E-2</v>
      </c>
      <c r="N1257" t="s">
        <v>145</v>
      </c>
      <c r="P1257" t="s">
        <v>19</v>
      </c>
      <c r="Q1257" t="s">
        <v>11</v>
      </c>
      <c r="R1257" t="s">
        <v>80</v>
      </c>
      <c r="S1257" t="s">
        <v>10</v>
      </c>
      <c r="T1257" t="s">
        <v>3831</v>
      </c>
      <c r="U1257" t="s">
        <v>3832</v>
      </c>
    </row>
    <row r="1258" spans="1:21" x14ac:dyDescent="0.3">
      <c r="A1258" t="s">
        <v>3361</v>
      </c>
      <c r="B1258" t="s">
        <v>3833</v>
      </c>
      <c r="C1258" t="s">
        <v>3834</v>
      </c>
      <c r="E1258" t="s">
        <v>19</v>
      </c>
      <c r="F1258" t="s">
        <v>221</v>
      </c>
      <c r="G1258" t="s">
        <v>110</v>
      </c>
      <c r="H1258" t="s">
        <v>3835</v>
      </c>
      <c r="J1258">
        <v>0.23466422555248401</v>
      </c>
      <c r="K1258">
        <v>0</v>
      </c>
      <c r="L1258">
        <v>5.7733802493747646E-3</v>
      </c>
      <c r="M1258">
        <v>3.6520781456109243E-2</v>
      </c>
      <c r="N1258" t="s">
        <v>1</v>
      </c>
      <c r="P1258" t="s">
        <v>19</v>
      </c>
      <c r="Q1258" t="s">
        <v>11</v>
      </c>
      <c r="R1258" t="s">
        <v>80</v>
      </c>
      <c r="S1258" t="s">
        <v>10</v>
      </c>
      <c r="T1258" t="s">
        <v>3836</v>
      </c>
      <c r="U1258" t="s">
        <v>840</v>
      </c>
    </row>
    <row r="1259" spans="1:21" x14ac:dyDescent="0.3">
      <c r="A1259" t="s">
        <v>3361</v>
      </c>
      <c r="B1259" t="s">
        <v>2824</v>
      </c>
      <c r="C1259" t="s">
        <v>2825</v>
      </c>
      <c r="E1259" t="s">
        <v>19</v>
      </c>
      <c r="F1259" t="s">
        <v>221</v>
      </c>
      <c r="G1259" t="s">
        <v>122</v>
      </c>
      <c r="H1259" t="s">
        <v>2826</v>
      </c>
      <c r="J1259">
        <v>3.6247918586417058E-2</v>
      </c>
      <c r="K1259">
        <v>1.700038420868339E-2</v>
      </c>
      <c r="L1259">
        <v>0</v>
      </c>
      <c r="M1259">
        <v>1.0883424484331661E-2</v>
      </c>
      <c r="N1259" t="s">
        <v>145</v>
      </c>
      <c r="P1259" t="s">
        <v>4</v>
      </c>
      <c r="Q1259" t="s">
        <v>4</v>
      </c>
      <c r="R1259" t="s">
        <v>4</v>
      </c>
      <c r="S1259" t="s">
        <v>4</v>
      </c>
      <c r="T1259" t="s">
        <v>3837</v>
      </c>
      <c r="U1259" t="s">
        <v>3838</v>
      </c>
    </row>
    <row r="1260" spans="1:21" x14ac:dyDescent="0.3">
      <c r="A1260" t="s">
        <v>3361</v>
      </c>
      <c r="B1260" t="s">
        <v>3839</v>
      </c>
      <c r="C1260" t="s">
        <v>3840</v>
      </c>
      <c r="E1260" t="s">
        <v>19</v>
      </c>
      <c r="F1260" t="s">
        <v>109</v>
      </c>
      <c r="G1260" t="s">
        <v>122</v>
      </c>
      <c r="H1260" t="s">
        <v>123</v>
      </c>
      <c r="J1260">
        <v>1.4987470474683171E-2</v>
      </c>
      <c r="K1260">
        <v>5.2594938645613388E-3</v>
      </c>
      <c r="L1260">
        <v>6.8400650517546676E-3</v>
      </c>
      <c r="M1260">
        <v>7.4728978149888846E-3</v>
      </c>
      <c r="N1260" t="s">
        <v>1</v>
      </c>
      <c r="P1260" t="s">
        <v>18</v>
      </c>
      <c r="Q1260" t="s">
        <v>18</v>
      </c>
      <c r="R1260" t="s">
        <v>949</v>
      </c>
      <c r="S1260" t="s">
        <v>13</v>
      </c>
      <c r="T1260" t="s">
        <v>3841</v>
      </c>
      <c r="U1260" t="s">
        <v>3842</v>
      </c>
    </row>
    <row r="1261" spans="1:21" x14ac:dyDescent="0.3">
      <c r="A1261" t="s">
        <v>3361</v>
      </c>
      <c r="B1261" t="s">
        <v>1031</v>
      </c>
      <c r="C1261" t="s">
        <v>1032</v>
      </c>
      <c r="E1261" t="s">
        <v>19</v>
      </c>
      <c r="F1261" t="s">
        <v>109</v>
      </c>
      <c r="G1261" t="s">
        <v>122</v>
      </c>
      <c r="H1261" t="s">
        <v>1031</v>
      </c>
      <c r="J1261">
        <v>0</v>
      </c>
      <c r="K1261">
        <v>1.328155016303406E-3</v>
      </c>
      <c r="L1261">
        <v>0</v>
      </c>
      <c r="M1261">
        <v>4.4587695793491038E-4</v>
      </c>
      <c r="N1261" t="s">
        <v>145</v>
      </c>
      <c r="P1261" t="s">
        <v>20</v>
      </c>
      <c r="Q1261" t="s">
        <v>20</v>
      </c>
      <c r="R1261" t="s">
        <v>958</v>
      </c>
      <c r="S1261" t="s">
        <v>13</v>
      </c>
      <c r="T1261" t="s">
        <v>3843</v>
      </c>
      <c r="U1261" t="s">
        <v>3200</v>
      </c>
    </row>
    <row r="1262" spans="1:21" x14ac:dyDescent="0.3">
      <c r="A1262" t="s">
        <v>3361</v>
      </c>
      <c r="B1262" t="s">
        <v>3201</v>
      </c>
      <c r="C1262" t="s">
        <v>3202</v>
      </c>
      <c r="G1262" t="s">
        <v>68</v>
      </c>
      <c r="H1262" t="s">
        <v>69</v>
      </c>
      <c r="J1262">
        <v>0</v>
      </c>
      <c r="K1262">
        <v>0</v>
      </c>
      <c r="L1262">
        <v>0</v>
      </c>
      <c r="M1262">
        <v>0</v>
      </c>
      <c r="N1262" t="s">
        <v>157</v>
      </c>
      <c r="O1262" t="s">
        <v>2843</v>
      </c>
      <c r="P1262" t="s">
        <v>157</v>
      </c>
      <c r="Q1262" t="s">
        <v>157</v>
      </c>
      <c r="R1262" t="s">
        <v>2570</v>
      </c>
      <c r="S1262" t="s">
        <v>157</v>
      </c>
      <c r="T1262" t="s">
        <v>3844</v>
      </c>
      <c r="U1262" t="s">
        <v>3845</v>
      </c>
    </row>
    <row r="1263" spans="1:21" x14ac:dyDescent="0.3">
      <c r="A1263" t="s">
        <v>3361</v>
      </c>
      <c r="B1263" t="s">
        <v>3203</v>
      </c>
      <c r="C1263" t="s">
        <v>3204</v>
      </c>
      <c r="E1263" t="s">
        <v>19</v>
      </c>
      <c r="F1263" t="s">
        <v>1158</v>
      </c>
      <c r="G1263" t="s">
        <v>59</v>
      </c>
      <c r="H1263" t="s">
        <v>3203</v>
      </c>
      <c r="J1263">
        <v>0</v>
      </c>
      <c r="K1263">
        <v>0</v>
      </c>
      <c r="L1263">
        <v>0</v>
      </c>
      <c r="M1263">
        <v>0</v>
      </c>
      <c r="N1263" t="s">
        <v>157</v>
      </c>
      <c r="O1263" t="s">
        <v>2843</v>
      </c>
      <c r="P1263" t="s">
        <v>157</v>
      </c>
      <c r="Q1263" t="s">
        <v>157</v>
      </c>
      <c r="R1263" t="s">
        <v>2570</v>
      </c>
      <c r="S1263" t="s">
        <v>157</v>
      </c>
      <c r="T1263" t="s">
        <v>3844</v>
      </c>
      <c r="U1263" t="s">
        <v>3845</v>
      </c>
    </row>
    <row r="1264" spans="1:21" x14ac:dyDescent="0.3">
      <c r="A1264" t="s">
        <v>3361</v>
      </c>
      <c r="B1264" t="s">
        <v>3846</v>
      </c>
      <c r="C1264" t="s">
        <v>3847</v>
      </c>
      <c r="E1264" t="s">
        <v>19</v>
      </c>
      <c r="F1264" t="s">
        <v>271</v>
      </c>
      <c r="G1264" t="s">
        <v>355</v>
      </c>
      <c r="H1264" t="s">
        <v>3848</v>
      </c>
      <c r="J1264">
        <v>0</v>
      </c>
      <c r="K1264">
        <v>0</v>
      </c>
      <c r="L1264">
        <v>0</v>
      </c>
      <c r="M1264">
        <v>0</v>
      </c>
      <c r="N1264" t="s">
        <v>1</v>
      </c>
      <c r="P1264" t="s">
        <v>16</v>
      </c>
      <c r="Q1264" t="s">
        <v>22</v>
      </c>
      <c r="R1264" t="s">
        <v>172</v>
      </c>
      <c r="S1264" t="s">
        <v>5</v>
      </c>
      <c r="T1264" t="s">
        <v>3849</v>
      </c>
      <c r="U1264" t="s">
        <v>3850</v>
      </c>
    </row>
    <row r="1265" spans="1:21" x14ac:dyDescent="0.3">
      <c r="A1265" t="s">
        <v>3361</v>
      </c>
      <c r="B1265" t="s">
        <v>3291</v>
      </c>
      <c r="C1265" t="s">
        <v>3292</v>
      </c>
      <c r="E1265" t="s">
        <v>19</v>
      </c>
      <c r="F1265" t="s">
        <v>380</v>
      </c>
      <c r="G1265" t="s">
        <v>59</v>
      </c>
      <c r="H1265" t="s">
        <v>3291</v>
      </c>
      <c r="J1265">
        <v>0</v>
      </c>
      <c r="K1265">
        <v>0</v>
      </c>
      <c r="L1265">
        <v>0</v>
      </c>
      <c r="M1265">
        <v>0</v>
      </c>
      <c r="N1265" t="s">
        <v>1</v>
      </c>
      <c r="P1265" t="s">
        <v>19</v>
      </c>
      <c r="Q1265" t="s">
        <v>11</v>
      </c>
      <c r="R1265" t="s">
        <v>80</v>
      </c>
      <c r="S1265" t="s">
        <v>10</v>
      </c>
      <c r="T1265" t="s">
        <v>3851</v>
      </c>
      <c r="U1265" t="s">
        <v>3852</v>
      </c>
    </row>
    <row r="1266" spans="1:21" x14ac:dyDescent="0.3">
      <c r="A1266" t="s">
        <v>3361</v>
      </c>
      <c r="B1266" t="s">
        <v>3853</v>
      </c>
      <c r="C1266" t="s">
        <v>3854</v>
      </c>
      <c r="E1266" t="s">
        <v>19</v>
      </c>
      <c r="F1266" t="s">
        <v>109</v>
      </c>
      <c r="G1266" t="s">
        <v>181</v>
      </c>
      <c r="H1266" t="s">
        <v>3103</v>
      </c>
      <c r="J1266">
        <v>0</v>
      </c>
      <c r="K1266">
        <v>0</v>
      </c>
      <c r="L1266">
        <v>0</v>
      </c>
      <c r="M1266">
        <v>0</v>
      </c>
      <c r="N1266" t="s">
        <v>156</v>
      </c>
      <c r="O1266" t="s">
        <v>2843</v>
      </c>
      <c r="P1266" t="s">
        <v>157</v>
      </c>
      <c r="Q1266" t="s">
        <v>157</v>
      </c>
      <c r="R1266" t="s">
        <v>2570</v>
      </c>
      <c r="S1266" t="s">
        <v>157</v>
      </c>
      <c r="T1266" t="s">
        <v>2093</v>
      </c>
      <c r="U1266" t="s">
        <v>2093</v>
      </c>
    </row>
    <row r="1267" spans="1:21" x14ac:dyDescent="0.3">
      <c r="A1267" t="s">
        <v>3361</v>
      </c>
      <c r="B1267" t="s">
        <v>1820</v>
      </c>
      <c r="C1267" t="s">
        <v>1821</v>
      </c>
      <c r="E1267" t="s">
        <v>19</v>
      </c>
      <c r="F1267" t="s">
        <v>109</v>
      </c>
      <c r="G1267" t="s">
        <v>59</v>
      </c>
      <c r="H1267" t="s">
        <v>1820</v>
      </c>
      <c r="J1267">
        <v>0</v>
      </c>
      <c r="K1267">
        <v>0</v>
      </c>
      <c r="L1267">
        <v>0</v>
      </c>
      <c r="M1267">
        <v>0</v>
      </c>
      <c r="N1267" t="s">
        <v>1</v>
      </c>
      <c r="P1267" t="s">
        <v>18</v>
      </c>
      <c r="Q1267" t="s">
        <v>18</v>
      </c>
      <c r="R1267" t="s">
        <v>949</v>
      </c>
      <c r="S1267" t="s">
        <v>13</v>
      </c>
      <c r="T1267" t="s">
        <v>3855</v>
      </c>
      <c r="U1267" t="s">
        <v>3856</v>
      </c>
    </row>
    <row r="1268" spans="1:21" x14ac:dyDescent="0.3">
      <c r="A1268" t="s">
        <v>3361</v>
      </c>
      <c r="B1268" t="s">
        <v>1824</v>
      </c>
      <c r="C1268" t="s">
        <v>1825</v>
      </c>
      <c r="E1268" t="s">
        <v>19</v>
      </c>
      <c r="F1268" t="s">
        <v>109</v>
      </c>
      <c r="G1268" t="s">
        <v>59</v>
      </c>
      <c r="H1268" t="s">
        <v>1826</v>
      </c>
      <c r="J1268">
        <v>0</v>
      </c>
      <c r="K1268">
        <v>0</v>
      </c>
      <c r="L1268">
        <v>0</v>
      </c>
      <c r="M1268">
        <v>0</v>
      </c>
      <c r="N1268" t="s">
        <v>1</v>
      </c>
      <c r="P1268" t="s">
        <v>18</v>
      </c>
      <c r="Q1268" t="s">
        <v>18</v>
      </c>
      <c r="R1268" t="s">
        <v>949</v>
      </c>
      <c r="S1268" t="s">
        <v>13</v>
      </c>
      <c r="T1268" t="s">
        <v>3855</v>
      </c>
      <c r="U1268" t="s">
        <v>3856</v>
      </c>
    </row>
    <row r="1269" spans="1:21" x14ac:dyDescent="0.3">
      <c r="A1269" t="s">
        <v>3361</v>
      </c>
      <c r="B1269" t="s">
        <v>185</v>
      </c>
      <c r="C1269" t="s">
        <v>186</v>
      </c>
      <c r="E1269" t="s">
        <v>19</v>
      </c>
      <c r="F1269" t="s">
        <v>109</v>
      </c>
      <c r="G1269" t="s">
        <v>59</v>
      </c>
      <c r="H1269" t="s">
        <v>187</v>
      </c>
      <c r="J1269">
        <v>0</v>
      </c>
      <c r="K1269">
        <v>0</v>
      </c>
      <c r="L1269">
        <v>0</v>
      </c>
      <c r="M1269">
        <v>0</v>
      </c>
      <c r="N1269" t="s">
        <v>1</v>
      </c>
      <c r="P1269" t="s">
        <v>19</v>
      </c>
      <c r="Q1269" t="s">
        <v>11</v>
      </c>
      <c r="R1269" t="s">
        <v>80</v>
      </c>
      <c r="S1269" t="s">
        <v>10</v>
      </c>
      <c r="T1269" t="s">
        <v>3857</v>
      </c>
      <c r="U1269" t="s">
        <v>840</v>
      </c>
    </row>
    <row r="1270" spans="1:21" x14ac:dyDescent="0.3">
      <c r="A1270" t="s">
        <v>3361</v>
      </c>
      <c r="B1270" t="s">
        <v>3214</v>
      </c>
      <c r="C1270" t="s">
        <v>3215</v>
      </c>
      <c r="E1270" t="s">
        <v>19</v>
      </c>
      <c r="F1270" t="s">
        <v>3216</v>
      </c>
      <c r="G1270" t="s">
        <v>59</v>
      </c>
      <c r="H1270" t="s">
        <v>60</v>
      </c>
      <c r="J1270">
        <v>0</v>
      </c>
      <c r="K1270">
        <v>0</v>
      </c>
      <c r="L1270">
        <v>0</v>
      </c>
      <c r="M1270">
        <v>0</v>
      </c>
      <c r="N1270" t="s">
        <v>1</v>
      </c>
      <c r="P1270" t="s">
        <v>19</v>
      </c>
      <c r="Q1270" t="s">
        <v>11</v>
      </c>
      <c r="R1270" t="s">
        <v>80</v>
      </c>
      <c r="S1270" t="s">
        <v>10</v>
      </c>
      <c r="T1270" t="s">
        <v>3858</v>
      </c>
      <c r="U1270" t="s">
        <v>3859</v>
      </c>
    </row>
    <row r="1271" spans="1:21" x14ac:dyDescent="0.3">
      <c r="A1271" t="s">
        <v>3361</v>
      </c>
      <c r="B1271" t="s">
        <v>2090</v>
      </c>
      <c r="C1271" t="s">
        <v>2091</v>
      </c>
      <c r="E1271" t="s">
        <v>66</v>
      </c>
      <c r="F1271" t="s">
        <v>67</v>
      </c>
      <c r="G1271" t="s">
        <v>59</v>
      </c>
      <c r="H1271" t="s">
        <v>60</v>
      </c>
      <c r="J1271">
        <v>0</v>
      </c>
      <c r="K1271">
        <v>0</v>
      </c>
      <c r="L1271">
        <v>0</v>
      </c>
      <c r="M1271">
        <v>0</v>
      </c>
      <c r="N1271" t="s">
        <v>1</v>
      </c>
      <c r="P1271" t="s">
        <v>7</v>
      </c>
      <c r="Q1271" t="s">
        <v>11</v>
      </c>
      <c r="R1271" t="s">
        <v>70</v>
      </c>
      <c r="S1271" t="s">
        <v>10</v>
      </c>
      <c r="T1271" t="s">
        <v>3860</v>
      </c>
      <c r="U1271" t="s">
        <v>3861</v>
      </c>
    </row>
    <row r="1272" spans="1:21" x14ac:dyDescent="0.3">
      <c r="A1272" t="s">
        <v>3361</v>
      </c>
      <c r="B1272" t="s">
        <v>2515</v>
      </c>
      <c r="C1272" t="s">
        <v>2516</v>
      </c>
      <c r="E1272" t="s">
        <v>66</v>
      </c>
      <c r="F1272" t="s">
        <v>103</v>
      </c>
      <c r="G1272" t="s">
        <v>68</v>
      </c>
      <c r="H1272" t="s">
        <v>2517</v>
      </c>
      <c r="J1272">
        <v>0</v>
      </c>
      <c r="K1272">
        <v>0</v>
      </c>
      <c r="L1272">
        <v>0</v>
      </c>
      <c r="M1272">
        <v>0</v>
      </c>
      <c r="N1272" t="s">
        <v>1</v>
      </c>
      <c r="P1272" t="s">
        <v>9</v>
      </c>
      <c r="Q1272" t="s">
        <v>11</v>
      </c>
      <c r="R1272" t="s">
        <v>104</v>
      </c>
      <c r="S1272" t="s">
        <v>10</v>
      </c>
      <c r="T1272" t="s">
        <v>3862</v>
      </c>
      <c r="U1272" t="s">
        <v>3574</v>
      </c>
    </row>
    <row r="1273" spans="1:21" x14ac:dyDescent="0.3">
      <c r="A1273" t="s">
        <v>3361</v>
      </c>
      <c r="B1273" t="s">
        <v>3351</v>
      </c>
      <c r="C1273" t="s">
        <v>3352</v>
      </c>
      <c r="G1273" t="s">
        <v>59</v>
      </c>
      <c r="H1273" t="s">
        <v>3351</v>
      </c>
      <c r="J1273">
        <v>0</v>
      </c>
      <c r="K1273">
        <v>0</v>
      </c>
      <c r="L1273">
        <v>0</v>
      </c>
      <c r="M1273">
        <v>0</v>
      </c>
      <c r="N1273" t="s">
        <v>1</v>
      </c>
      <c r="P1273" t="s">
        <v>12</v>
      </c>
      <c r="Q1273" t="s">
        <v>14</v>
      </c>
      <c r="R1273" t="s">
        <v>146</v>
      </c>
      <c r="S1273" t="s">
        <v>5</v>
      </c>
      <c r="T1273" t="s">
        <v>3863</v>
      </c>
      <c r="U1273" t="s">
        <v>3864</v>
      </c>
    </row>
    <row r="1274" spans="1:21" x14ac:dyDescent="0.3">
      <c r="A1274" t="s">
        <v>3361</v>
      </c>
      <c r="B1274" t="s">
        <v>3865</v>
      </c>
      <c r="C1274" t="s">
        <v>3866</v>
      </c>
      <c r="E1274" t="s">
        <v>19</v>
      </c>
      <c r="F1274" t="s">
        <v>476</v>
      </c>
      <c r="G1274" t="s">
        <v>355</v>
      </c>
      <c r="H1274" t="s">
        <v>1849</v>
      </c>
      <c r="J1274">
        <v>0</v>
      </c>
      <c r="K1274">
        <v>0</v>
      </c>
      <c r="L1274">
        <v>0</v>
      </c>
      <c r="M1274">
        <v>0</v>
      </c>
      <c r="N1274" t="s">
        <v>1</v>
      </c>
      <c r="P1274" t="s">
        <v>16</v>
      </c>
      <c r="Q1274" t="s">
        <v>22</v>
      </c>
      <c r="R1274" t="s">
        <v>172</v>
      </c>
      <c r="S1274" t="s">
        <v>5</v>
      </c>
      <c r="T1274" t="s">
        <v>3867</v>
      </c>
      <c r="U1274" t="s">
        <v>3868</v>
      </c>
    </row>
    <row r="1275" spans="1:21" x14ac:dyDescent="0.3">
      <c r="A1275" t="s">
        <v>3361</v>
      </c>
      <c r="B1275" t="s">
        <v>3869</v>
      </c>
      <c r="C1275" t="s">
        <v>3870</v>
      </c>
      <c r="E1275" t="s">
        <v>66</v>
      </c>
      <c r="F1275" t="s">
        <v>103</v>
      </c>
      <c r="G1275" t="s">
        <v>68</v>
      </c>
      <c r="H1275" t="s">
        <v>69</v>
      </c>
      <c r="J1275">
        <v>0</v>
      </c>
      <c r="K1275">
        <v>0</v>
      </c>
      <c r="L1275">
        <v>0</v>
      </c>
      <c r="M1275">
        <v>0</v>
      </c>
      <c r="N1275" t="s">
        <v>1</v>
      </c>
      <c r="P1275" t="s">
        <v>9</v>
      </c>
      <c r="Q1275" t="s">
        <v>11</v>
      </c>
      <c r="R1275" t="s">
        <v>104</v>
      </c>
      <c r="S1275" t="s">
        <v>10</v>
      </c>
      <c r="T1275" t="s">
        <v>3871</v>
      </c>
      <c r="U1275" t="s">
        <v>3872</v>
      </c>
    </row>
    <row r="1276" spans="1:21" x14ac:dyDescent="0.3">
      <c r="A1276" t="s">
        <v>3361</v>
      </c>
      <c r="B1276" t="s">
        <v>1808</v>
      </c>
      <c r="C1276" t="s">
        <v>1809</v>
      </c>
      <c r="E1276" t="s">
        <v>66</v>
      </c>
      <c r="F1276" t="s">
        <v>103</v>
      </c>
      <c r="G1276" t="s">
        <v>59</v>
      </c>
      <c r="H1276" t="s">
        <v>60</v>
      </c>
      <c r="J1276">
        <v>0</v>
      </c>
      <c r="K1276">
        <v>0</v>
      </c>
      <c r="L1276">
        <v>0</v>
      </c>
      <c r="M1276">
        <v>0</v>
      </c>
      <c r="N1276" t="s">
        <v>1</v>
      </c>
      <c r="P1276" t="s">
        <v>9</v>
      </c>
      <c r="Q1276" t="s">
        <v>11</v>
      </c>
      <c r="R1276" t="s">
        <v>104</v>
      </c>
      <c r="S1276" t="s">
        <v>10</v>
      </c>
      <c r="T1276" t="s">
        <v>3873</v>
      </c>
      <c r="U1276" t="s">
        <v>3874</v>
      </c>
    </row>
    <row r="1277" spans="1:21" x14ac:dyDescent="0.3">
      <c r="A1277" t="s">
        <v>3361</v>
      </c>
      <c r="B1277" t="s">
        <v>3875</v>
      </c>
      <c r="C1277" t="s">
        <v>3876</v>
      </c>
      <c r="E1277" t="s">
        <v>19</v>
      </c>
      <c r="F1277" t="s">
        <v>380</v>
      </c>
      <c r="G1277" t="s">
        <v>143</v>
      </c>
      <c r="H1277" t="s">
        <v>3875</v>
      </c>
      <c r="J1277">
        <v>0</v>
      </c>
      <c r="K1277">
        <v>0</v>
      </c>
      <c r="L1277">
        <v>0</v>
      </c>
      <c r="M1277">
        <v>0</v>
      </c>
      <c r="N1277" t="s">
        <v>145</v>
      </c>
      <c r="P1277" t="s">
        <v>20</v>
      </c>
      <c r="Q1277" t="s">
        <v>20</v>
      </c>
      <c r="R1277" t="s">
        <v>958</v>
      </c>
      <c r="S1277" t="s">
        <v>13</v>
      </c>
      <c r="T1277" t="s">
        <v>3877</v>
      </c>
      <c r="U1277" t="s">
        <v>3878</v>
      </c>
    </row>
    <row r="1278" spans="1:21" x14ac:dyDescent="0.3">
      <c r="A1278" t="s">
        <v>3361</v>
      </c>
      <c r="B1278" t="s">
        <v>3879</v>
      </c>
      <c r="C1278" t="s">
        <v>3880</v>
      </c>
      <c r="E1278" t="s">
        <v>19</v>
      </c>
      <c r="F1278" t="s">
        <v>109</v>
      </c>
      <c r="G1278" t="s">
        <v>143</v>
      </c>
      <c r="H1278" t="s">
        <v>3879</v>
      </c>
      <c r="J1278">
        <v>0</v>
      </c>
      <c r="K1278">
        <v>0</v>
      </c>
      <c r="L1278">
        <v>0</v>
      </c>
      <c r="M1278">
        <v>0</v>
      </c>
      <c r="N1278" t="s">
        <v>145</v>
      </c>
      <c r="P1278" t="s">
        <v>20</v>
      </c>
      <c r="Q1278" t="s">
        <v>20</v>
      </c>
      <c r="R1278" t="s">
        <v>958</v>
      </c>
      <c r="S1278" t="s">
        <v>13</v>
      </c>
      <c r="T1278" t="s">
        <v>3881</v>
      </c>
      <c r="U1278" t="s">
        <v>3882</v>
      </c>
    </row>
    <row r="1279" spans="1:21" x14ac:dyDescent="0.3">
      <c r="A1279" t="s">
        <v>3361</v>
      </c>
      <c r="B1279" t="s">
        <v>3883</v>
      </c>
      <c r="C1279" t="s">
        <v>3884</v>
      </c>
      <c r="E1279" t="s">
        <v>19</v>
      </c>
      <c r="F1279" t="s">
        <v>732</v>
      </c>
      <c r="G1279" t="s">
        <v>143</v>
      </c>
      <c r="H1279" t="s">
        <v>3883</v>
      </c>
      <c r="J1279">
        <v>0</v>
      </c>
      <c r="K1279">
        <v>0</v>
      </c>
      <c r="L1279">
        <v>0</v>
      </c>
      <c r="M1279">
        <v>0</v>
      </c>
      <c r="N1279" t="s">
        <v>145</v>
      </c>
      <c r="P1279" t="s">
        <v>20</v>
      </c>
      <c r="Q1279" t="s">
        <v>20</v>
      </c>
      <c r="R1279" t="s">
        <v>958</v>
      </c>
      <c r="S1279" t="s">
        <v>13</v>
      </c>
      <c r="T1279" t="s">
        <v>3881</v>
      </c>
      <c r="U1279" t="s">
        <v>3882</v>
      </c>
    </row>
    <row r="1280" spans="1:21" x14ac:dyDescent="0.3">
      <c r="A1280" t="s">
        <v>3361</v>
      </c>
      <c r="B1280" t="s">
        <v>3338</v>
      </c>
      <c r="C1280" t="s">
        <v>3339</v>
      </c>
      <c r="E1280" t="s">
        <v>19</v>
      </c>
      <c r="F1280" t="s">
        <v>261</v>
      </c>
      <c r="G1280" t="s">
        <v>110</v>
      </c>
      <c r="H1280" t="s">
        <v>3338</v>
      </c>
      <c r="J1280">
        <v>0</v>
      </c>
      <c r="K1280">
        <v>0</v>
      </c>
      <c r="L1280">
        <v>0</v>
      </c>
      <c r="M1280">
        <v>0</v>
      </c>
      <c r="N1280" t="s">
        <v>1</v>
      </c>
      <c r="P1280" t="s">
        <v>20</v>
      </c>
      <c r="Q1280" t="s">
        <v>20</v>
      </c>
      <c r="R1280" t="s">
        <v>958</v>
      </c>
      <c r="S1280" t="s">
        <v>13</v>
      </c>
      <c r="T1280" t="s">
        <v>3885</v>
      </c>
      <c r="U1280" t="s">
        <v>3886</v>
      </c>
    </row>
    <row r="1281" spans="1:21" x14ac:dyDescent="0.3">
      <c r="A1281" t="s">
        <v>3361</v>
      </c>
      <c r="B1281" t="s">
        <v>3887</v>
      </c>
      <c r="C1281" t="s">
        <v>3888</v>
      </c>
      <c r="E1281" t="s">
        <v>19</v>
      </c>
      <c r="F1281" t="s">
        <v>109</v>
      </c>
      <c r="G1281" t="s">
        <v>59</v>
      </c>
      <c r="H1281" t="s">
        <v>60</v>
      </c>
      <c r="J1281">
        <v>0</v>
      </c>
      <c r="K1281">
        <v>0</v>
      </c>
      <c r="L1281">
        <v>0</v>
      </c>
      <c r="M1281">
        <v>0</v>
      </c>
      <c r="N1281" t="s">
        <v>1</v>
      </c>
      <c r="P1281" t="s">
        <v>19</v>
      </c>
      <c r="Q1281" t="s">
        <v>11</v>
      </c>
      <c r="R1281" t="s">
        <v>80</v>
      </c>
      <c r="S1281" t="s">
        <v>10</v>
      </c>
      <c r="T1281" t="s">
        <v>3889</v>
      </c>
      <c r="U1281" t="s">
        <v>3890</v>
      </c>
    </row>
    <row r="1282" spans="1:21" x14ac:dyDescent="0.3">
      <c r="A1282" t="s">
        <v>3361</v>
      </c>
      <c r="B1282" t="s">
        <v>3302</v>
      </c>
      <c r="C1282" t="s">
        <v>3303</v>
      </c>
      <c r="E1282" t="s">
        <v>66</v>
      </c>
      <c r="F1282" t="s">
        <v>193</v>
      </c>
      <c r="G1282" t="s">
        <v>181</v>
      </c>
      <c r="H1282" t="s">
        <v>3302</v>
      </c>
      <c r="J1282">
        <v>0</v>
      </c>
      <c r="K1282">
        <v>0</v>
      </c>
      <c r="L1282">
        <v>0</v>
      </c>
      <c r="M1282">
        <v>0</v>
      </c>
      <c r="N1282" t="s">
        <v>1</v>
      </c>
      <c r="P1282" t="s">
        <v>157</v>
      </c>
      <c r="Q1282" t="s">
        <v>157</v>
      </c>
      <c r="R1282" t="s">
        <v>156</v>
      </c>
      <c r="S1282" t="s">
        <v>157</v>
      </c>
      <c r="T1282" t="s">
        <v>3891</v>
      </c>
      <c r="U1282" t="s">
        <v>3892</v>
      </c>
    </row>
    <row r="1283" spans="1:21" x14ac:dyDescent="0.3">
      <c r="A1283" t="s">
        <v>3361</v>
      </c>
      <c r="B1283" t="s">
        <v>3295</v>
      </c>
      <c r="C1283" t="s">
        <v>3296</v>
      </c>
      <c r="G1283" t="s">
        <v>116</v>
      </c>
      <c r="H1283" t="s">
        <v>2474</v>
      </c>
      <c r="J1283">
        <v>0</v>
      </c>
      <c r="K1283">
        <v>0</v>
      </c>
      <c r="L1283">
        <v>0</v>
      </c>
      <c r="M1283">
        <v>0</v>
      </c>
      <c r="N1283" t="s">
        <v>145</v>
      </c>
      <c r="P1283" t="s">
        <v>24</v>
      </c>
      <c r="Q1283" t="s">
        <v>22</v>
      </c>
      <c r="R1283" t="s">
        <v>391</v>
      </c>
      <c r="S1283" t="s">
        <v>5</v>
      </c>
      <c r="T1283" t="s">
        <v>3893</v>
      </c>
      <c r="U1283" t="s">
        <v>3894</v>
      </c>
    </row>
    <row r="1284" spans="1:21" x14ac:dyDescent="0.3">
      <c r="A1284" t="s">
        <v>3361</v>
      </c>
      <c r="B1284" t="s">
        <v>3895</v>
      </c>
      <c r="C1284" t="s">
        <v>3896</v>
      </c>
      <c r="E1284" t="s">
        <v>19</v>
      </c>
      <c r="F1284" t="s">
        <v>221</v>
      </c>
      <c r="G1284" t="s">
        <v>68</v>
      </c>
      <c r="H1284" t="s">
        <v>3897</v>
      </c>
      <c r="J1284">
        <v>0</v>
      </c>
      <c r="K1284">
        <v>0</v>
      </c>
      <c r="L1284">
        <v>0</v>
      </c>
      <c r="M1284">
        <v>0</v>
      </c>
      <c r="N1284" t="s">
        <v>1</v>
      </c>
      <c r="P1284" t="s">
        <v>12</v>
      </c>
      <c r="Q1284" t="s">
        <v>14</v>
      </c>
      <c r="R1284" t="s">
        <v>146</v>
      </c>
      <c r="S1284" t="s">
        <v>5</v>
      </c>
      <c r="T1284" t="s">
        <v>3898</v>
      </c>
      <c r="U1284" t="s">
        <v>3899</v>
      </c>
    </row>
    <row r="1285" spans="1:21" x14ac:dyDescent="0.3">
      <c r="A1285" t="s">
        <v>3361</v>
      </c>
      <c r="B1285" t="s">
        <v>1835</v>
      </c>
      <c r="C1285" t="s">
        <v>1836</v>
      </c>
      <c r="E1285" t="s">
        <v>19</v>
      </c>
      <c r="F1285" t="s">
        <v>271</v>
      </c>
      <c r="G1285" t="s">
        <v>355</v>
      </c>
      <c r="H1285" t="s">
        <v>1837</v>
      </c>
      <c r="J1285">
        <v>0</v>
      </c>
      <c r="K1285">
        <v>0</v>
      </c>
      <c r="L1285">
        <v>0</v>
      </c>
      <c r="M1285">
        <v>0</v>
      </c>
      <c r="N1285" t="s">
        <v>1</v>
      </c>
      <c r="P1285" t="s">
        <v>18</v>
      </c>
      <c r="Q1285" t="s">
        <v>18</v>
      </c>
      <c r="R1285" t="s">
        <v>949</v>
      </c>
      <c r="S1285" t="s">
        <v>13</v>
      </c>
      <c r="T1285" t="s">
        <v>3900</v>
      </c>
      <c r="U1285" t="s">
        <v>3901</v>
      </c>
    </row>
    <row r="1286" spans="1:21" x14ac:dyDescent="0.3">
      <c r="A1286" t="s">
        <v>3361</v>
      </c>
      <c r="B1286" t="s">
        <v>3205</v>
      </c>
      <c r="C1286" t="s">
        <v>3206</v>
      </c>
      <c r="E1286" t="s">
        <v>19</v>
      </c>
      <c r="F1286" t="s">
        <v>109</v>
      </c>
      <c r="G1286" t="s">
        <v>68</v>
      </c>
      <c r="H1286" t="s">
        <v>978</v>
      </c>
      <c r="J1286">
        <v>0</v>
      </c>
      <c r="K1286">
        <v>0</v>
      </c>
      <c r="L1286">
        <v>0</v>
      </c>
      <c r="M1286">
        <v>0</v>
      </c>
      <c r="N1286" t="s">
        <v>1</v>
      </c>
      <c r="P1286" t="s">
        <v>12</v>
      </c>
      <c r="Q1286" t="s">
        <v>14</v>
      </c>
      <c r="R1286" t="s">
        <v>146</v>
      </c>
      <c r="S1286" t="s">
        <v>5</v>
      </c>
      <c r="T1286" t="s">
        <v>3902</v>
      </c>
      <c r="U1286" t="s">
        <v>3903</v>
      </c>
    </row>
    <row r="1287" spans="1:21" x14ac:dyDescent="0.3">
      <c r="A1287" t="s">
        <v>3361</v>
      </c>
      <c r="B1287" t="s">
        <v>3904</v>
      </c>
      <c r="C1287" t="s">
        <v>3905</v>
      </c>
      <c r="E1287" t="s">
        <v>19</v>
      </c>
      <c r="F1287" t="s">
        <v>109</v>
      </c>
      <c r="G1287" t="s">
        <v>116</v>
      </c>
      <c r="H1287" t="s">
        <v>2474</v>
      </c>
      <c r="J1287">
        <v>0</v>
      </c>
      <c r="K1287">
        <v>0</v>
      </c>
      <c r="L1287">
        <v>0</v>
      </c>
      <c r="M1287">
        <v>0</v>
      </c>
      <c r="N1287" t="s">
        <v>145</v>
      </c>
      <c r="P1287" t="s">
        <v>20</v>
      </c>
      <c r="Q1287" t="s">
        <v>20</v>
      </c>
      <c r="R1287" t="s">
        <v>958</v>
      </c>
      <c r="S1287" t="s">
        <v>13</v>
      </c>
      <c r="T1287" t="s">
        <v>3906</v>
      </c>
      <c r="U1287" t="s">
        <v>3907</v>
      </c>
    </row>
    <row r="1288" spans="1:21" x14ac:dyDescent="0.3">
      <c r="A1288" t="s">
        <v>3361</v>
      </c>
      <c r="B1288" t="s">
        <v>2492</v>
      </c>
      <c r="C1288" t="s">
        <v>2493</v>
      </c>
      <c r="E1288" t="s">
        <v>19</v>
      </c>
      <c r="F1288" t="s">
        <v>109</v>
      </c>
      <c r="G1288" t="s">
        <v>59</v>
      </c>
      <c r="H1288" t="s">
        <v>2492</v>
      </c>
      <c r="J1288">
        <v>0</v>
      </c>
      <c r="K1288">
        <v>0</v>
      </c>
      <c r="L1288">
        <v>0</v>
      </c>
      <c r="M1288">
        <v>0</v>
      </c>
      <c r="N1288" t="s">
        <v>157</v>
      </c>
      <c r="O1288" t="s">
        <v>252</v>
      </c>
      <c r="P1288" t="s">
        <v>18</v>
      </c>
      <c r="Q1288" t="s">
        <v>18</v>
      </c>
      <c r="R1288" t="s">
        <v>949</v>
      </c>
      <c r="S1288" t="s">
        <v>13</v>
      </c>
      <c r="T1288" t="s">
        <v>3908</v>
      </c>
      <c r="U1288" t="s">
        <v>3909</v>
      </c>
    </row>
    <row r="1289" spans="1:21" x14ac:dyDescent="0.3">
      <c r="A1289" t="s">
        <v>3361</v>
      </c>
      <c r="B1289" t="s">
        <v>3240</v>
      </c>
      <c r="C1289" t="s">
        <v>3241</v>
      </c>
      <c r="E1289" t="s">
        <v>19</v>
      </c>
      <c r="F1289" t="s">
        <v>109</v>
      </c>
      <c r="G1289" t="s">
        <v>181</v>
      </c>
      <c r="H1289" t="s">
        <v>3240</v>
      </c>
      <c r="J1289">
        <v>0</v>
      </c>
      <c r="K1289">
        <v>0</v>
      </c>
      <c r="L1289">
        <v>0</v>
      </c>
      <c r="M1289">
        <v>0</v>
      </c>
      <c r="N1289" t="s">
        <v>1</v>
      </c>
      <c r="P1289" t="s">
        <v>16</v>
      </c>
      <c r="Q1289" t="s">
        <v>22</v>
      </c>
      <c r="R1289" t="s">
        <v>172</v>
      </c>
      <c r="S1289" t="s">
        <v>5</v>
      </c>
      <c r="T1289" t="s">
        <v>3910</v>
      </c>
      <c r="U1289" t="s">
        <v>3911</v>
      </c>
    </row>
    <row r="1290" spans="1:21" x14ac:dyDescent="0.3">
      <c r="A1290" t="s">
        <v>3361</v>
      </c>
      <c r="B1290" t="s">
        <v>1003</v>
      </c>
      <c r="C1290" t="s">
        <v>1004</v>
      </c>
      <c r="E1290" t="s">
        <v>19</v>
      </c>
      <c r="F1290" t="s">
        <v>221</v>
      </c>
      <c r="G1290" t="s">
        <v>122</v>
      </c>
      <c r="H1290" t="s">
        <v>1003</v>
      </c>
      <c r="J1290">
        <v>0</v>
      </c>
      <c r="K1290">
        <v>0</v>
      </c>
      <c r="L1290">
        <v>0</v>
      </c>
      <c r="M1290">
        <v>0</v>
      </c>
      <c r="N1290" t="s">
        <v>145</v>
      </c>
      <c r="P1290" t="s">
        <v>24</v>
      </c>
      <c r="Q1290" t="s">
        <v>22</v>
      </c>
      <c r="R1290" t="s">
        <v>391</v>
      </c>
      <c r="S1290" t="s">
        <v>5</v>
      </c>
      <c r="T1290" t="s">
        <v>3912</v>
      </c>
      <c r="U1290" t="s">
        <v>3913</v>
      </c>
    </row>
    <row r="1291" spans="1:21" x14ac:dyDescent="0.3">
      <c r="A1291" t="s">
        <v>3361</v>
      </c>
      <c r="B1291" t="s">
        <v>943</v>
      </c>
      <c r="C1291" t="s">
        <v>944</v>
      </c>
      <c r="E1291" t="s">
        <v>19</v>
      </c>
      <c r="F1291" t="s">
        <v>109</v>
      </c>
      <c r="G1291" t="s">
        <v>122</v>
      </c>
      <c r="H1291" t="s">
        <v>943</v>
      </c>
      <c r="J1291">
        <v>0</v>
      </c>
      <c r="K1291">
        <v>0</v>
      </c>
      <c r="L1291">
        <v>0</v>
      </c>
      <c r="M1291">
        <v>0</v>
      </c>
      <c r="N1291" t="s">
        <v>145</v>
      </c>
      <c r="P1291" t="s">
        <v>12</v>
      </c>
      <c r="Q1291" t="s">
        <v>14</v>
      </c>
      <c r="R1291" t="s">
        <v>146</v>
      </c>
      <c r="S1291" t="s">
        <v>5</v>
      </c>
      <c r="T1291" t="s">
        <v>3914</v>
      </c>
      <c r="U1291" t="s">
        <v>3915</v>
      </c>
    </row>
    <row r="1292" spans="1:21" x14ac:dyDescent="0.3">
      <c r="A1292" t="s">
        <v>3361</v>
      </c>
      <c r="B1292" t="s">
        <v>2599</v>
      </c>
      <c r="C1292" t="s">
        <v>2600</v>
      </c>
      <c r="E1292" t="s">
        <v>66</v>
      </c>
      <c r="F1292" t="s">
        <v>938</v>
      </c>
      <c r="G1292" t="s">
        <v>59</v>
      </c>
      <c r="H1292" t="s">
        <v>2601</v>
      </c>
      <c r="J1292">
        <v>0</v>
      </c>
      <c r="K1292">
        <v>0</v>
      </c>
      <c r="L1292">
        <v>0</v>
      </c>
      <c r="M1292">
        <v>0</v>
      </c>
      <c r="N1292" t="s">
        <v>1</v>
      </c>
      <c r="P1292" t="s">
        <v>18</v>
      </c>
      <c r="Q1292" t="s">
        <v>18</v>
      </c>
      <c r="R1292" t="s">
        <v>949</v>
      </c>
      <c r="S1292" t="s">
        <v>13</v>
      </c>
      <c r="T1292" t="s">
        <v>3916</v>
      </c>
      <c r="U1292" t="s">
        <v>3917</v>
      </c>
    </row>
    <row r="1293" spans="1:21" x14ac:dyDescent="0.3">
      <c r="A1293" t="s">
        <v>3361</v>
      </c>
      <c r="B1293" t="s">
        <v>1814</v>
      </c>
      <c r="C1293" t="s">
        <v>1815</v>
      </c>
      <c r="E1293" t="s">
        <v>66</v>
      </c>
      <c r="F1293" t="s">
        <v>103</v>
      </c>
      <c r="G1293" t="s">
        <v>116</v>
      </c>
      <c r="H1293" t="s">
        <v>1814</v>
      </c>
      <c r="J1293">
        <v>0</v>
      </c>
      <c r="K1293">
        <v>0</v>
      </c>
      <c r="L1293">
        <v>0</v>
      </c>
      <c r="M1293">
        <v>0</v>
      </c>
      <c r="N1293" t="s">
        <v>1</v>
      </c>
      <c r="P1293" t="s">
        <v>24</v>
      </c>
      <c r="Q1293" t="s">
        <v>22</v>
      </c>
      <c r="R1293" t="s">
        <v>167</v>
      </c>
      <c r="S1293" t="s">
        <v>5</v>
      </c>
      <c r="T1293" t="s">
        <v>3918</v>
      </c>
      <c r="U1293" t="s">
        <v>3919</v>
      </c>
    </row>
    <row r="1294" spans="1:21" x14ac:dyDescent="0.3">
      <c r="A1294" t="s">
        <v>3361</v>
      </c>
      <c r="B1294" t="s">
        <v>3332</v>
      </c>
      <c r="C1294" t="s">
        <v>3333</v>
      </c>
      <c r="E1294" t="s">
        <v>19</v>
      </c>
      <c r="F1294" t="s">
        <v>199</v>
      </c>
      <c r="G1294" t="s">
        <v>143</v>
      </c>
      <c r="H1294" t="s">
        <v>3332</v>
      </c>
      <c r="J1294">
        <v>0</v>
      </c>
      <c r="K1294">
        <v>0</v>
      </c>
      <c r="L1294">
        <v>0</v>
      </c>
      <c r="M1294">
        <v>0</v>
      </c>
      <c r="N1294" t="s">
        <v>145</v>
      </c>
      <c r="P1294" t="s">
        <v>12</v>
      </c>
      <c r="Q1294" t="s">
        <v>14</v>
      </c>
      <c r="R1294" t="s">
        <v>146</v>
      </c>
      <c r="S1294" t="s">
        <v>5</v>
      </c>
      <c r="T1294" t="s">
        <v>3920</v>
      </c>
      <c r="U1294" t="s">
        <v>3921</v>
      </c>
    </row>
    <row r="1295" spans="1:21" x14ac:dyDescent="0.3">
      <c r="A1295" t="s">
        <v>3361</v>
      </c>
      <c r="B1295" t="s">
        <v>3251</v>
      </c>
      <c r="C1295" t="s">
        <v>3252</v>
      </c>
      <c r="E1295" t="s">
        <v>19</v>
      </c>
      <c r="F1295" t="s">
        <v>109</v>
      </c>
      <c r="G1295" t="s">
        <v>98</v>
      </c>
      <c r="H1295" t="s">
        <v>3251</v>
      </c>
      <c r="J1295">
        <v>0</v>
      </c>
      <c r="K1295">
        <v>0</v>
      </c>
      <c r="L1295">
        <v>0</v>
      </c>
      <c r="M1295">
        <v>0</v>
      </c>
      <c r="N1295" t="s">
        <v>1</v>
      </c>
      <c r="P1295" t="s">
        <v>12</v>
      </c>
      <c r="Q1295" t="s">
        <v>14</v>
      </c>
      <c r="R1295" t="s">
        <v>146</v>
      </c>
      <c r="S1295" t="s">
        <v>5</v>
      </c>
      <c r="T1295" t="s">
        <v>3922</v>
      </c>
      <c r="U1295" t="s">
        <v>3923</v>
      </c>
    </row>
    <row r="1296" spans="1:21" x14ac:dyDescent="0.3">
      <c r="A1296" t="s">
        <v>3361</v>
      </c>
      <c r="B1296" t="s">
        <v>3255</v>
      </c>
      <c r="C1296" t="s">
        <v>3256</v>
      </c>
      <c r="E1296" t="s">
        <v>19</v>
      </c>
      <c r="F1296" t="s">
        <v>109</v>
      </c>
      <c r="G1296" t="s">
        <v>181</v>
      </c>
      <c r="H1296" t="s">
        <v>3257</v>
      </c>
      <c r="J1296">
        <v>0</v>
      </c>
      <c r="K1296">
        <v>0</v>
      </c>
      <c r="L1296">
        <v>0</v>
      </c>
      <c r="M1296">
        <v>0</v>
      </c>
      <c r="N1296" t="s">
        <v>2570</v>
      </c>
      <c r="O1296" t="s">
        <v>252</v>
      </c>
      <c r="P1296" t="s">
        <v>157</v>
      </c>
      <c r="Q1296" t="s">
        <v>157</v>
      </c>
      <c r="R1296" t="s">
        <v>2570</v>
      </c>
      <c r="S1296" t="s">
        <v>157</v>
      </c>
      <c r="T1296" t="s">
        <v>3924</v>
      </c>
      <c r="U1296" t="s">
        <v>3925</v>
      </c>
    </row>
    <row r="1297" spans="1:21" x14ac:dyDescent="0.3">
      <c r="A1297" t="s">
        <v>3361</v>
      </c>
      <c r="B1297" t="s">
        <v>3926</v>
      </c>
      <c r="C1297" t="s">
        <v>3927</v>
      </c>
      <c r="E1297" t="s">
        <v>19</v>
      </c>
      <c r="F1297" t="s">
        <v>261</v>
      </c>
      <c r="G1297" t="s">
        <v>110</v>
      </c>
      <c r="H1297" t="s">
        <v>3928</v>
      </c>
      <c r="J1297">
        <v>0</v>
      </c>
      <c r="K1297">
        <v>0</v>
      </c>
      <c r="L1297">
        <v>0</v>
      </c>
      <c r="M1297">
        <v>0</v>
      </c>
      <c r="N1297" t="s">
        <v>1</v>
      </c>
      <c r="P1297" t="s">
        <v>20</v>
      </c>
      <c r="Q1297" t="s">
        <v>20</v>
      </c>
      <c r="R1297" t="s">
        <v>958</v>
      </c>
      <c r="S1297" t="s">
        <v>13</v>
      </c>
      <c r="T1297" t="s">
        <v>3929</v>
      </c>
      <c r="U1297" t="s">
        <v>3930</v>
      </c>
    </row>
    <row r="1298" spans="1:21" x14ac:dyDescent="0.3">
      <c r="A1298" t="s">
        <v>3361</v>
      </c>
      <c r="B1298" t="s">
        <v>3931</v>
      </c>
      <c r="C1298" t="s">
        <v>3932</v>
      </c>
      <c r="E1298" t="s">
        <v>19</v>
      </c>
      <c r="F1298" t="s">
        <v>109</v>
      </c>
      <c r="G1298" t="s">
        <v>181</v>
      </c>
      <c r="H1298" t="s">
        <v>3933</v>
      </c>
      <c r="J1298">
        <v>0</v>
      </c>
      <c r="K1298">
        <v>0</v>
      </c>
      <c r="L1298">
        <v>0</v>
      </c>
      <c r="M1298">
        <v>0</v>
      </c>
      <c r="N1298" t="s">
        <v>1</v>
      </c>
      <c r="P1298" t="s">
        <v>18</v>
      </c>
      <c r="Q1298" t="s">
        <v>18</v>
      </c>
      <c r="R1298" t="s">
        <v>949</v>
      </c>
      <c r="S1298" t="s">
        <v>13</v>
      </c>
      <c r="T1298" t="s">
        <v>3934</v>
      </c>
      <c r="U1298" t="s">
        <v>3935</v>
      </c>
    </row>
    <row r="1299" spans="1:21" x14ac:dyDescent="0.3">
      <c r="A1299" t="s">
        <v>3361</v>
      </c>
      <c r="B1299" t="s">
        <v>3936</v>
      </c>
      <c r="C1299" t="s">
        <v>3937</v>
      </c>
      <c r="E1299" t="s">
        <v>19</v>
      </c>
      <c r="F1299" t="s">
        <v>109</v>
      </c>
      <c r="G1299" t="s">
        <v>181</v>
      </c>
      <c r="H1299" t="s">
        <v>672</v>
      </c>
      <c r="J1299">
        <v>0</v>
      </c>
      <c r="K1299">
        <v>0</v>
      </c>
      <c r="L1299">
        <v>0</v>
      </c>
      <c r="M1299">
        <v>0</v>
      </c>
      <c r="N1299" t="s">
        <v>1</v>
      </c>
      <c r="P1299" t="s">
        <v>12</v>
      </c>
      <c r="Q1299" t="s">
        <v>14</v>
      </c>
      <c r="R1299" t="s">
        <v>146</v>
      </c>
      <c r="S1299" t="s">
        <v>5</v>
      </c>
      <c r="T1299" t="s">
        <v>3938</v>
      </c>
      <c r="U1299" t="s">
        <v>3939</v>
      </c>
    </row>
    <row r="1300" spans="1:21" x14ac:dyDescent="0.3">
      <c r="A1300" t="s">
        <v>3361</v>
      </c>
      <c r="B1300" t="s">
        <v>3940</v>
      </c>
      <c r="C1300" t="s">
        <v>3941</v>
      </c>
      <c r="E1300" t="s">
        <v>19</v>
      </c>
      <c r="F1300" t="s">
        <v>109</v>
      </c>
      <c r="G1300" t="s">
        <v>143</v>
      </c>
      <c r="H1300" t="s">
        <v>3940</v>
      </c>
      <c r="J1300">
        <v>0</v>
      </c>
      <c r="K1300">
        <v>0</v>
      </c>
      <c r="L1300">
        <v>0</v>
      </c>
      <c r="M1300">
        <v>0</v>
      </c>
      <c r="N1300" t="s">
        <v>145</v>
      </c>
      <c r="P1300" t="s">
        <v>20</v>
      </c>
      <c r="Q1300" t="s">
        <v>20</v>
      </c>
      <c r="R1300" t="s">
        <v>958</v>
      </c>
      <c r="S1300" t="s">
        <v>13</v>
      </c>
      <c r="T1300" t="s">
        <v>3942</v>
      </c>
      <c r="U1300" t="s">
        <v>3943</v>
      </c>
    </row>
    <row r="1301" spans="1:21" x14ac:dyDescent="0.3">
      <c r="A1301" t="s">
        <v>3361</v>
      </c>
      <c r="B1301" t="s">
        <v>3270</v>
      </c>
      <c r="C1301" t="s">
        <v>3271</v>
      </c>
      <c r="G1301" t="s">
        <v>116</v>
      </c>
      <c r="H1301" t="s">
        <v>3272</v>
      </c>
      <c r="J1301">
        <v>0</v>
      </c>
      <c r="K1301">
        <v>0</v>
      </c>
      <c r="L1301">
        <v>0</v>
      </c>
      <c r="M1301">
        <v>0</v>
      </c>
      <c r="N1301" t="s">
        <v>145</v>
      </c>
      <c r="P1301" t="s">
        <v>4</v>
      </c>
      <c r="Q1301" t="s">
        <v>4</v>
      </c>
      <c r="R1301" t="s">
        <v>4</v>
      </c>
      <c r="S1301" t="s">
        <v>4</v>
      </c>
      <c r="T1301" t="s">
        <v>3944</v>
      </c>
      <c r="U1301" t="s">
        <v>3945</v>
      </c>
    </row>
    <row r="1302" spans="1:21" x14ac:dyDescent="0.3">
      <c r="A1302" t="s">
        <v>3361</v>
      </c>
      <c r="B1302" t="s">
        <v>3946</v>
      </c>
      <c r="C1302" t="s">
        <v>3947</v>
      </c>
      <c r="E1302" t="s">
        <v>19</v>
      </c>
      <c r="F1302" t="s">
        <v>109</v>
      </c>
      <c r="G1302" t="s">
        <v>116</v>
      </c>
      <c r="H1302" t="s">
        <v>3946</v>
      </c>
      <c r="J1302">
        <v>0</v>
      </c>
      <c r="K1302">
        <v>0</v>
      </c>
      <c r="L1302">
        <v>0</v>
      </c>
      <c r="M1302">
        <v>0</v>
      </c>
      <c r="N1302" t="s">
        <v>145</v>
      </c>
      <c r="P1302" t="s">
        <v>18</v>
      </c>
      <c r="Q1302" t="s">
        <v>18</v>
      </c>
      <c r="R1302" t="s">
        <v>949</v>
      </c>
      <c r="S1302" t="s">
        <v>13</v>
      </c>
      <c r="T1302" t="s">
        <v>3948</v>
      </c>
      <c r="U1302" t="s">
        <v>3949</v>
      </c>
    </row>
    <row r="1303" spans="1:21" x14ac:dyDescent="0.3">
      <c r="A1303" t="s">
        <v>3361</v>
      </c>
      <c r="B1303" t="s">
        <v>3950</v>
      </c>
      <c r="C1303" t="s">
        <v>3951</v>
      </c>
      <c r="G1303" t="s">
        <v>116</v>
      </c>
      <c r="H1303" t="s">
        <v>3950</v>
      </c>
      <c r="J1303">
        <v>0</v>
      </c>
      <c r="K1303">
        <v>0</v>
      </c>
      <c r="L1303">
        <v>0</v>
      </c>
      <c r="M1303">
        <v>0</v>
      </c>
      <c r="N1303" t="s">
        <v>145</v>
      </c>
      <c r="P1303" t="s">
        <v>18</v>
      </c>
      <c r="Q1303" t="s">
        <v>18</v>
      </c>
      <c r="R1303" t="s">
        <v>949</v>
      </c>
      <c r="S1303" t="s">
        <v>13</v>
      </c>
      <c r="T1303" t="s">
        <v>3948</v>
      </c>
      <c r="U1303" t="s">
        <v>3949</v>
      </c>
    </row>
    <row r="1304" spans="1:21" x14ac:dyDescent="0.3">
      <c r="A1304" t="s">
        <v>3361</v>
      </c>
      <c r="B1304" t="s">
        <v>618</v>
      </c>
      <c r="C1304" t="s">
        <v>619</v>
      </c>
      <c r="E1304" t="s">
        <v>136</v>
      </c>
      <c r="F1304" t="s">
        <v>620</v>
      </c>
      <c r="G1304" t="s">
        <v>181</v>
      </c>
      <c r="H1304" t="s">
        <v>621</v>
      </c>
      <c r="J1304">
        <v>0</v>
      </c>
      <c r="K1304">
        <v>0</v>
      </c>
      <c r="L1304">
        <v>0</v>
      </c>
      <c r="M1304">
        <v>0</v>
      </c>
      <c r="N1304" t="s">
        <v>145</v>
      </c>
      <c r="P1304" t="s">
        <v>18</v>
      </c>
      <c r="Q1304" t="s">
        <v>18</v>
      </c>
      <c r="R1304" t="s">
        <v>949</v>
      </c>
      <c r="S1304" t="s">
        <v>13</v>
      </c>
      <c r="T1304" t="s">
        <v>3952</v>
      </c>
      <c r="U1304" t="s">
        <v>3953</v>
      </c>
    </row>
    <row r="1305" spans="1:21" x14ac:dyDescent="0.3">
      <c r="A1305" t="s">
        <v>3361</v>
      </c>
      <c r="B1305" t="s">
        <v>3954</v>
      </c>
      <c r="C1305" t="s">
        <v>3955</v>
      </c>
      <c r="E1305" t="s">
        <v>19</v>
      </c>
      <c r="F1305" t="s">
        <v>109</v>
      </c>
      <c r="G1305" t="s">
        <v>116</v>
      </c>
      <c r="H1305" t="s">
        <v>285</v>
      </c>
      <c r="J1305">
        <v>0</v>
      </c>
      <c r="K1305">
        <v>0</v>
      </c>
      <c r="L1305">
        <v>0</v>
      </c>
      <c r="M1305">
        <v>0</v>
      </c>
      <c r="N1305" t="s">
        <v>1</v>
      </c>
      <c r="P1305" t="s">
        <v>18</v>
      </c>
      <c r="Q1305" t="s">
        <v>18</v>
      </c>
      <c r="R1305" t="s">
        <v>949</v>
      </c>
      <c r="S1305" t="s">
        <v>13</v>
      </c>
      <c r="T1305" t="s">
        <v>3841</v>
      </c>
      <c r="U1305" t="s">
        <v>3842</v>
      </c>
    </row>
    <row r="1306" spans="1:21" x14ac:dyDescent="0.3">
      <c r="A1306" t="s">
        <v>3361</v>
      </c>
      <c r="B1306" t="s">
        <v>328</v>
      </c>
      <c r="C1306" t="s">
        <v>329</v>
      </c>
      <c r="E1306" t="s">
        <v>136</v>
      </c>
      <c r="F1306" t="s">
        <v>330</v>
      </c>
      <c r="G1306" t="s">
        <v>116</v>
      </c>
      <c r="H1306" t="s">
        <v>285</v>
      </c>
      <c r="J1306">
        <v>0</v>
      </c>
      <c r="K1306">
        <v>0</v>
      </c>
      <c r="L1306">
        <v>0</v>
      </c>
      <c r="M1306">
        <v>0</v>
      </c>
      <c r="N1306" t="s">
        <v>1</v>
      </c>
      <c r="P1306" t="s">
        <v>18</v>
      </c>
      <c r="Q1306" t="s">
        <v>18</v>
      </c>
      <c r="R1306" t="s">
        <v>949</v>
      </c>
      <c r="S1306" t="s">
        <v>13</v>
      </c>
      <c r="T1306" t="s">
        <v>3841</v>
      </c>
      <c r="U1306" t="s">
        <v>3842</v>
      </c>
    </row>
    <row r="1307" spans="1:21" x14ac:dyDescent="0.3">
      <c r="A1307" t="s">
        <v>3361</v>
      </c>
      <c r="B1307" t="s">
        <v>725</v>
      </c>
      <c r="C1307" t="s">
        <v>726</v>
      </c>
      <c r="E1307" t="s">
        <v>19</v>
      </c>
      <c r="F1307" t="s">
        <v>109</v>
      </c>
      <c r="G1307" t="s">
        <v>116</v>
      </c>
      <c r="H1307" t="s">
        <v>727</v>
      </c>
      <c r="J1307">
        <v>0</v>
      </c>
      <c r="K1307">
        <v>0</v>
      </c>
      <c r="L1307">
        <v>0</v>
      </c>
      <c r="M1307">
        <v>0</v>
      </c>
      <c r="N1307" t="s">
        <v>145</v>
      </c>
      <c r="P1307" t="s">
        <v>18</v>
      </c>
      <c r="Q1307" t="s">
        <v>18</v>
      </c>
      <c r="R1307" t="s">
        <v>949</v>
      </c>
      <c r="S1307" t="s">
        <v>13</v>
      </c>
      <c r="T1307" t="s">
        <v>3841</v>
      </c>
      <c r="U1307" t="s">
        <v>3842</v>
      </c>
    </row>
    <row r="1308" spans="1:21" x14ac:dyDescent="0.3">
      <c r="A1308" t="s">
        <v>3361</v>
      </c>
      <c r="B1308" t="s">
        <v>3956</v>
      </c>
      <c r="C1308" t="s">
        <v>3957</v>
      </c>
      <c r="E1308" t="s">
        <v>19</v>
      </c>
      <c r="F1308" t="s">
        <v>221</v>
      </c>
      <c r="G1308" t="s">
        <v>116</v>
      </c>
      <c r="H1308" t="s">
        <v>3956</v>
      </c>
      <c r="J1308">
        <v>0</v>
      </c>
      <c r="K1308">
        <v>0</v>
      </c>
      <c r="L1308">
        <v>0</v>
      </c>
      <c r="M1308">
        <v>0</v>
      </c>
      <c r="N1308" t="s">
        <v>145</v>
      </c>
      <c r="P1308" t="s">
        <v>18</v>
      </c>
      <c r="Q1308" t="s">
        <v>18</v>
      </c>
      <c r="R1308" t="s">
        <v>949</v>
      </c>
      <c r="S1308" t="s">
        <v>13</v>
      </c>
      <c r="T1308" t="s">
        <v>3841</v>
      </c>
      <c r="U1308" t="s">
        <v>3842</v>
      </c>
    </row>
    <row r="1309" spans="1:21" x14ac:dyDescent="0.3">
      <c r="A1309" t="s">
        <v>3361</v>
      </c>
      <c r="B1309" t="s">
        <v>3958</v>
      </c>
      <c r="C1309" t="s">
        <v>3959</v>
      </c>
      <c r="E1309" t="s">
        <v>19</v>
      </c>
      <c r="F1309" t="s">
        <v>221</v>
      </c>
      <c r="G1309" t="s">
        <v>116</v>
      </c>
      <c r="H1309" t="s">
        <v>3960</v>
      </c>
      <c r="J1309">
        <v>0</v>
      </c>
      <c r="K1309">
        <v>0</v>
      </c>
      <c r="L1309">
        <v>0</v>
      </c>
      <c r="M1309">
        <v>0</v>
      </c>
      <c r="N1309" t="s">
        <v>145</v>
      </c>
      <c r="P1309" t="s">
        <v>18</v>
      </c>
      <c r="Q1309" t="s">
        <v>18</v>
      </c>
      <c r="R1309" t="s">
        <v>949</v>
      </c>
      <c r="S1309" t="s">
        <v>13</v>
      </c>
      <c r="T1309" t="s">
        <v>3841</v>
      </c>
      <c r="U1309" t="s">
        <v>3842</v>
      </c>
    </row>
    <row r="1310" spans="1:21" x14ac:dyDescent="0.3">
      <c r="A1310" t="s">
        <v>3361</v>
      </c>
      <c r="B1310" t="s">
        <v>3961</v>
      </c>
      <c r="C1310" t="s">
        <v>3962</v>
      </c>
      <c r="G1310" t="s">
        <v>181</v>
      </c>
      <c r="H1310" t="s">
        <v>3963</v>
      </c>
      <c r="J1310">
        <v>0</v>
      </c>
      <c r="K1310">
        <v>0</v>
      </c>
      <c r="L1310">
        <v>0</v>
      </c>
      <c r="M1310">
        <v>0</v>
      </c>
      <c r="N1310" t="s">
        <v>1</v>
      </c>
      <c r="P1310" t="s">
        <v>18</v>
      </c>
      <c r="Q1310" t="s">
        <v>18</v>
      </c>
      <c r="R1310" t="s">
        <v>949</v>
      </c>
      <c r="S1310" t="s">
        <v>13</v>
      </c>
      <c r="T1310" t="s">
        <v>3841</v>
      </c>
      <c r="U1310" t="s">
        <v>3842</v>
      </c>
    </row>
    <row r="1311" spans="1:21" x14ac:dyDescent="0.3">
      <c r="A1311" t="s">
        <v>3361</v>
      </c>
      <c r="B1311" t="s">
        <v>3964</v>
      </c>
      <c r="C1311" t="s">
        <v>3965</v>
      </c>
      <c r="E1311" t="s">
        <v>19</v>
      </c>
      <c r="F1311" t="s">
        <v>380</v>
      </c>
      <c r="G1311" t="s">
        <v>181</v>
      </c>
      <c r="H1311" t="s">
        <v>3966</v>
      </c>
      <c r="J1311">
        <v>0</v>
      </c>
      <c r="K1311">
        <v>0</v>
      </c>
      <c r="L1311">
        <v>0</v>
      </c>
      <c r="M1311">
        <v>0</v>
      </c>
      <c r="N1311" t="s">
        <v>1</v>
      </c>
      <c r="P1311" t="s">
        <v>18</v>
      </c>
      <c r="Q1311" t="s">
        <v>18</v>
      </c>
      <c r="R1311" t="s">
        <v>949</v>
      </c>
      <c r="S1311" t="s">
        <v>13</v>
      </c>
      <c r="T1311" t="s">
        <v>3841</v>
      </c>
      <c r="U1311" t="s">
        <v>3842</v>
      </c>
    </row>
    <row r="1312" spans="1:21" x14ac:dyDescent="0.3">
      <c r="A1312" t="s">
        <v>3361</v>
      </c>
      <c r="B1312" t="s">
        <v>3967</v>
      </c>
      <c r="C1312" t="s">
        <v>3968</v>
      </c>
      <c r="E1312" t="s">
        <v>19</v>
      </c>
      <c r="F1312" t="s">
        <v>109</v>
      </c>
      <c r="G1312" t="s">
        <v>181</v>
      </c>
      <c r="H1312" t="s">
        <v>3966</v>
      </c>
      <c r="J1312">
        <v>0</v>
      </c>
      <c r="K1312">
        <v>0</v>
      </c>
      <c r="L1312">
        <v>0</v>
      </c>
      <c r="M1312">
        <v>0</v>
      </c>
      <c r="N1312" t="s">
        <v>1</v>
      </c>
      <c r="P1312" t="s">
        <v>18</v>
      </c>
      <c r="Q1312" t="s">
        <v>18</v>
      </c>
      <c r="R1312" t="s">
        <v>949</v>
      </c>
      <c r="S1312" t="s">
        <v>13</v>
      </c>
      <c r="T1312" t="s">
        <v>3841</v>
      </c>
      <c r="U1312" t="s">
        <v>3842</v>
      </c>
    </row>
    <row r="1313" spans="1:21" x14ac:dyDescent="0.3">
      <c r="A1313" t="s">
        <v>3361</v>
      </c>
      <c r="B1313" t="s">
        <v>3963</v>
      </c>
      <c r="C1313" t="s">
        <v>3969</v>
      </c>
      <c r="E1313" t="s">
        <v>19</v>
      </c>
      <c r="F1313" t="s">
        <v>109</v>
      </c>
      <c r="G1313" t="s">
        <v>181</v>
      </c>
      <c r="H1313" t="s">
        <v>3963</v>
      </c>
      <c r="J1313">
        <v>0</v>
      </c>
      <c r="K1313">
        <v>0</v>
      </c>
      <c r="L1313">
        <v>0</v>
      </c>
      <c r="M1313">
        <v>0</v>
      </c>
      <c r="N1313" t="s">
        <v>1</v>
      </c>
      <c r="P1313" t="s">
        <v>18</v>
      </c>
      <c r="Q1313" t="s">
        <v>18</v>
      </c>
      <c r="R1313" t="s">
        <v>949</v>
      </c>
      <c r="S1313" t="s">
        <v>13</v>
      </c>
      <c r="T1313" t="s">
        <v>3841</v>
      </c>
      <c r="U1313" t="s">
        <v>3842</v>
      </c>
    </row>
    <row r="1314" spans="1:21" x14ac:dyDescent="0.3">
      <c r="A1314" t="s">
        <v>3361</v>
      </c>
      <c r="B1314" t="s">
        <v>3970</v>
      </c>
      <c r="C1314" t="s">
        <v>3971</v>
      </c>
      <c r="E1314" t="s">
        <v>1364</v>
      </c>
      <c r="F1314" t="s">
        <v>221</v>
      </c>
      <c r="G1314" t="s">
        <v>116</v>
      </c>
      <c r="H1314" t="s">
        <v>3946</v>
      </c>
      <c r="J1314">
        <v>0</v>
      </c>
      <c r="K1314">
        <v>0</v>
      </c>
      <c r="L1314">
        <v>0</v>
      </c>
      <c r="M1314">
        <v>0</v>
      </c>
      <c r="N1314" t="s">
        <v>145</v>
      </c>
      <c r="P1314" t="s">
        <v>18</v>
      </c>
      <c r="Q1314" t="s">
        <v>18</v>
      </c>
      <c r="R1314" t="s">
        <v>949</v>
      </c>
      <c r="S1314" t="s">
        <v>13</v>
      </c>
      <c r="T1314" t="s">
        <v>3841</v>
      </c>
      <c r="U1314" t="s">
        <v>3842</v>
      </c>
    </row>
    <row r="1315" spans="1:21" x14ac:dyDescent="0.3">
      <c r="A1315" t="s">
        <v>3361</v>
      </c>
      <c r="B1315" t="s">
        <v>3972</v>
      </c>
      <c r="C1315" t="s">
        <v>3973</v>
      </c>
      <c r="E1315" t="s">
        <v>19</v>
      </c>
      <c r="F1315" t="s">
        <v>109</v>
      </c>
      <c r="G1315" t="s">
        <v>143</v>
      </c>
      <c r="H1315" t="s">
        <v>3972</v>
      </c>
      <c r="J1315">
        <v>0</v>
      </c>
      <c r="K1315">
        <v>0</v>
      </c>
      <c r="L1315">
        <v>0</v>
      </c>
      <c r="M1315">
        <v>0</v>
      </c>
      <c r="N1315" t="s">
        <v>145</v>
      </c>
      <c r="P1315" t="s">
        <v>20</v>
      </c>
      <c r="Q1315" t="s">
        <v>20</v>
      </c>
      <c r="R1315" t="s">
        <v>958</v>
      </c>
      <c r="S1315" t="s">
        <v>13</v>
      </c>
      <c r="T1315" t="s">
        <v>3974</v>
      </c>
      <c r="U1315" t="s">
        <v>3975</v>
      </c>
    </row>
    <row r="1316" spans="1:21" x14ac:dyDescent="0.3">
      <c r="A1316" t="s">
        <v>3361</v>
      </c>
      <c r="B1316" t="s">
        <v>3976</v>
      </c>
      <c r="C1316" t="s">
        <v>3977</v>
      </c>
      <c r="E1316" t="s">
        <v>19</v>
      </c>
      <c r="F1316" t="s">
        <v>109</v>
      </c>
      <c r="G1316" t="s">
        <v>116</v>
      </c>
      <c r="H1316" t="s">
        <v>3976</v>
      </c>
      <c r="J1316">
        <v>0</v>
      </c>
      <c r="K1316">
        <v>0</v>
      </c>
      <c r="L1316">
        <v>0</v>
      </c>
      <c r="M1316">
        <v>0</v>
      </c>
      <c r="N1316" t="s">
        <v>145</v>
      </c>
      <c r="P1316" t="s">
        <v>20</v>
      </c>
      <c r="Q1316" t="s">
        <v>20</v>
      </c>
      <c r="R1316" t="s">
        <v>958</v>
      </c>
      <c r="S1316" t="s">
        <v>13</v>
      </c>
      <c r="T1316" t="s">
        <v>3978</v>
      </c>
      <c r="U1316" t="s">
        <v>3979</v>
      </c>
    </row>
    <row r="1317" spans="1:21" x14ac:dyDescent="0.3">
      <c r="A1317" t="s">
        <v>3361</v>
      </c>
      <c r="B1317" t="s">
        <v>3980</v>
      </c>
      <c r="C1317" t="s">
        <v>3981</v>
      </c>
      <c r="E1317" t="s">
        <v>66</v>
      </c>
      <c r="F1317" t="s">
        <v>1282</v>
      </c>
      <c r="G1317" t="s">
        <v>143</v>
      </c>
      <c r="H1317" t="s">
        <v>3982</v>
      </c>
      <c r="J1317">
        <v>0</v>
      </c>
      <c r="K1317">
        <v>0</v>
      </c>
      <c r="L1317">
        <v>0</v>
      </c>
      <c r="M1317">
        <v>0</v>
      </c>
      <c r="N1317" t="s">
        <v>145</v>
      </c>
      <c r="P1317" t="s">
        <v>20</v>
      </c>
      <c r="Q1317" t="s">
        <v>20</v>
      </c>
      <c r="R1317" t="s">
        <v>958</v>
      </c>
      <c r="S1317" t="s">
        <v>13</v>
      </c>
      <c r="T1317" t="s">
        <v>3983</v>
      </c>
      <c r="U1317" t="s">
        <v>3984</v>
      </c>
    </row>
    <row r="1318" spans="1:21" x14ac:dyDescent="0.3">
      <c r="A1318" t="s">
        <v>3361</v>
      </c>
      <c r="B1318" t="s">
        <v>3985</v>
      </c>
      <c r="C1318" t="s">
        <v>3986</v>
      </c>
      <c r="E1318" t="s">
        <v>1842</v>
      </c>
      <c r="G1318" t="s">
        <v>200</v>
      </c>
      <c r="H1318" t="s">
        <v>631</v>
      </c>
      <c r="J1318">
        <v>0</v>
      </c>
      <c r="K1318">
        <v>0</v>
      </c>
      <c r="L1318">
        <v>0</v>
      </c>
      <c r="M1318">
        <v>0</v>
      </c>
      <c r="N1318" t="s">
        <v>1</v>
      </c>
      <c r="P1318" t="s">
        <v>20</v>
      </c>
      <c r="Q1318" t="s">
        <v>20</v>
      </c>
      <c r="R1318" t="s">
        <v>958</v>
      </c>
      <c r="S1318" t="s">
        <v>13</v>
      </c>
      <c r="T1318" t="s">
        <v>3987</v>
      </c>
      <c r="U1318" t="s">
        <v>3988</v>
      </c>
    </row>
    <row r="1319" spans="1:21" x14ac:dyDescent="0.3">
      <c r="A1319" t="s">
        <v>3361</v>
      </c>
      <c r="B1319" t="s">
        <v>3989</v>
      </c>
      <c r="C1319" t="s">
        <v>3990</v>
      </c>
      <c r="E1319" t="s">
        <v>19</v>
      </c>
      <c r="F1319" t="s">
        <v>109</v>
      </c>
      <c r="G1319" t="s">
        <v>181</v>
      </c>
      <c r="H1319" t="s">
        <v>3103</v>
      </c>
      <c r="J1319">
        <v>0</v>
      </c>
      <c r="K1319">
        <v>0</v>
      </c>
      <c r="L1319">
        <v>0</v>
      </c>
      <c r="M1319">
        <v>0</v>
      </c>
      <c r="N1319" t="s">
        <v>156</v>
      </c>
      <c r="O1319" t="s">
        <v>2843</v>
      </c>
      <c r="P1319" t="s">
        <v>20</v>
      </c>
      <c r="Q1319" t="s">
        <v>20</v>
      </c>
      <c r="R1319" t="s">
        <v>958</v>
      </c>
      <c r="S1319" t="s">
        <v>13</v>
      </c>
      <c r="T1319" t="s">
        <v>3991</v>
      </c>
      <c r="U1319" t="s">
        <v>3992</v>
      </c>
    </row>
    <row r="1320" spans="1:21" x14ac:dyDescent="0.3">
      <c r="A1320" t="s">
        <v>3361</v>
      </c>
      <c r="B1320" t="s">
        <v>3993</v>
      </c>
      <c r="C1320" t="s">
        <v>3994</v>
      </c>
      <c r="E1320" t="s">
        <v>19</v>
      </c>
      <c r="F1320" t="s">
        <v>820</v>
      </c>
      <c r="G1320" t="s">
        <v>116</v>
      </c>
      <c r="H1320" t="s">
        <v>3995</v>
      </c>
      <c r="J1320">
        <v>0</v>
      </c>
      <c r="K1320">
        <v>0</v>
      </c>
      <c r="L1320">
        <v>0</v>
      </c>
      <c r="M1320">
        <v>0</v>
      </c>
      <c r="N1320" t="s">
        <v>145</v>
      </c>
      <c r="P1320" t="s">
        <v>20</v>
      </c>
      <c r="Q1320" t="s">
        <v>20</v>
      </c>
      <c r="R1320" t="s">
        <v>958</v>
      </c>
      <c r="S1320" t="s">
        <v>13</v>
      </c>
      <c r="T1320" t="s">
        <v>3996</v>
      </c>
      <c r="U1320" t="s">
        <v>3997</v>
      </c>
    </row>
    <row r="1321" spans="1:21" x14ac:dyDescent="0.3">
      <c r="A1321" t="s">
        <v>3361</v>
      </c>
      <c r="B1321" t="s">
        <v>3998</v>
      </c>
      <c r="C1321" t="s">
        <v>3999</v>
      </c>
      <c r="E1321" t="s">
        <v>19</v>
      </c>
      <c r="F1321" t="s">
        <v>261</v>
      </c>
      <c r="G1321" t="s">
        <v>143</v>
      </c>
      <c r="H1321" t="s">
        <v>4000</v>
      </c>
      <c r="J1321">
        <v>0</v>
      </c>
      <c r="K1321">
        <v>0</v>
      </c>
      <c r="L1321">
        <v>0</v>
      </c>
      <c r="M1321">
        <v>0</v>
      </c>
      <c r="N1321" t="s">
        <v>145</v>
      </c>
      <c r="P1321" t="s">
        <v>20</v>
      </c>
      <c r="Q1321" t="s">
        <v>20</v>
      </c>
      <c r="R1321" t="s">
        <v>958</v>
      </c>
      <c r="S1321" t="s">
        <v>13</v>
      </c>
      <c r="T1321" t="s">
        <v>4001</v>
      </c>
      <c r="U1321" t="s">
        <v>4002</v>
      </c>
    </row>
    <row r="1322" spans="1:21" x14ac:dyDescent="0.3">
      <c r="A1322" t="s">
        <v>3361</v>
      </c>
      <c r="B1322" t="s">
        <v>4003</v>
      </c>
      <c r="C1322" t="s">
        <v>4004</v>
      </c>
      <c r="E1322" t="s">
        <v>19</v>
      </c>
      <c r="F1322" t="s">
        <v>261</v>
      </c>
      <c r="G1322" t="s">
        <v>143</v>
      </c>
      <c r="H1322" t="s">
        <v>4003</v>
      </c>
      <c r="J1322">
        <v>0</v>
      </c>
      <c r="K1322">
        <v>0</v>
      </c>
      <c r="L1322">
        <v>0</v>
      </c>
      <c r="M1322">
        <v>0</v>
      </c>
      <c r="N1322" t="s">
        <v>145</v>
      </c>
      <c r="P1322" t="s">
        <v>20</v>
      </c>
      <c r="Q1322" t="s">
        <v>20</v>
      </c>
      <c r="R1322" t="s">
        <v>958</v>
      </c>
      <c r="S1322" t="s">
        <v>13</v>
      </c>
      <c r="T1322" t="s">
        <v>4005</v>
      </c>
      <c r="U1322" t="s">
        <v>4006</v>
      </c>
    </row>
    <row r="1323" spans="1:21" x14ac:dyDescent="0.3">
      <c r="A1323" t="s">
        <v>3361</v>
      </c>
      <c r="B1323" t="s">
        <v>4007</v>
      </c>
      <c r="C1323" t="s">
        <v>4008</v>
      </c>
      <c r="E1323" t="s">
        <v>66</v>
      </c>
      <c r="F1323" t="s">
        <v>193</v>
      </c>
      <c r="G1323" t="s">
        <v>181</v>
      </c>
      <c r="H1323" t="s">
        <v>4007</v>
      </c>
      <c r="J1323">
        <v>0</v>
      </c>
      <c r="K1323">
        <v>0</v>
      </c>
      <c r="L1323">
        <v>0</v>
      </c>
      <c r="M1323">
        <v>0</v>
      </c>
      <c r="N1323" t="s">
        <v>1</v>
      </c>
      <c r="P1323" t="s">
        <v>20</v>
      </c>
      <c r="Q1323" t="s">
        <v>20</v>
      </c>
      <c r="R1323" t="s">
        <v>958</v>
      </c>
      <c r="S1323" t="s">
        <v>13</v>
      </c>
      <c r="T1323" t="s">
        <v>4005</v>
      </c>
      <c r="U1323" t="s">
        <v>4006</v>
      </c>
    </row>
    <row r="1324" spans="1:21" x14ac:dyDescent="0.3">
      <c r="A1324" t="s">
        <v>3361</v>
      </c>
      <c r="B1324" t="s">
        <v>4009</v>
      </c>
      <c r="C1324" t="s">
        <v>4010</v>
      </c>
      <c r="E1324" t="s">
        <v>19</v>
      </c>
      <c r="F1324" t="s">
        <v>221</v>
      </c>
      <c r="G1324" t="s">
        <v>110</v>
      </c>
      <c r="H1324" t="s">
        <v>4011</v>
      </c>
      <c r="J1324">
        <v>0</v>
      </c>
      <c r="K1324">
        <v>0</v>
      </c>
      <c r="L1324">
        <v>0</v>
      </c>
      <c r="M1324">
        <v>0</v>
      </c>
      <c r="N1324" t="s">
        <v>1</v>
      </c>
      <c r="P1324" t="s">
        <v>20</v>
      </c>
      <c r="Q1324" t="s">
        <v>20</v>
      </c>
      <c r="R1324" t="s">
        <v>958</v>
      </c>
      <c r="S1324" t="s">
        <v>13</v>
      </c>
      <c r="T1324" t="s">
        <v>4012</v>
      </c>
      <c r="U1324" t="s">
        <v>4013</v>
      </c>
    </row>
    <row r="1325" spans="1:21" x14ac:dyDescent="0.3">
      <c r="A1325" t="s">
        <v>3361</v>
      </c>
      <c r="B1325" t="s">
        <v>4014</v>
      </c>
      <c r="C1325" t="s">
        <v>4015</v>
      </c>
      <c r="E1325" t="s">
        <v>19</v>
      </c>
      <c r="F1325" t="s">
        <v>109</v>
      </c>
      <c r="G1325" t="s">
        <v>143</v>
      </c>
      <c r="H1325" t="s">
        <v>4014</v>
      </c>
      <c r="J1325">
        <v>0</v>
      </c>
      <c r="K1325">
        <v>0</v>
      </c>
      <c r="L1325">
        <v>0</v>
      </c>
      <c r="M1325">
        <v>0</v>
      </c>
      <c r="N1325" t="s">
        <v>145</v>
      </c>
      <c r="P1325" t="s">
        <v>20</v>
      </c>
      <c r="Q1325" t="s">
        <v>20</v>
      </c>
      <c r="R1325" t="s">
        <v>958</v>
      </c>
      <c r="S1325" t="s">
        <v>13</v>
      </c>
      <c r="T1325" t="s">
        <v>4016</v>
      </c>
      <c r="U1325" t="s">
        <v>4017</v>
      </c>
    </row>
    <row r="1326" spans="1:21" x14ac:dyDescent="0.3">
      <c r="A1326" t="s">
        <v>3361</v>
      </c>
      <c r="B1326" t="s">
        <v>2508</v>
      </c>
      <c r="C1326" t="s">
        <v>2509</v>
      </c>
      <c r="E1326" t="s">
        <v>19</v>
      </c>
      <c r="F1326" t="s">
        <v>221</v>
      </c>
      <c r="G1326" t="s">
        <v>181</v>
      </c>
      <c r="H1326" t="s">
        <v>2510</v>
      </c>
      <c r="J1326">
        <v>0</v>
      </c>
      <c r="K1326">
        <v>0</v>
      </c>
      <c r="L1326">
        <v>0</v>
      </c>
      <c r="M1326">
        <v>0</v>
      </c>
      <c r="N1326" t="s">
        <v>1</v>
      </c>
      <c r="P1326" t="s">
        <v>20</v>
      </c>
      <c r="Q1326" t="s">
        <v>20</v>
      </c>
      <c r="R1326" t="s">
        <v>958</v>
      </c>
      <c r="S1326" t="s">
        <v>13</v>
      </c>
      <c r="T1326" t="s">
        <v>4018</v>
      </c>
      <c r="U1326" t="s">
        <v>4019</v>
      </c>
    </row>
    <row r="1327" spans="1:21" x14ac:dyDescent="0.3">
      <c r="A1327" t="s">
        <v>3361</v>
      </c>
      <c r="B1327" t="s">
        <v>4020</v>
      </c>
      <c r="C1327" t="s">
        <v>4021</v>
      </c>
      <c r="E1327" t="s">
        <v>19</v>
      </c>
      <c r="F1327" t="s">
        <v>109</v>
      </c>
      <c r="G1327" t="s">
        <v>181</v>
      </c>
      <c r="H1327" t="s">
        <v>4020</v>
      </c>
      <c r="J1327">
        <v>0</v>
      </c>
      <c r="K1327">
        <v>0</v>
      </c>
      <c r="L1327">
        <v>0</v>
      </c>
      <c r="M1327">
        <v>0</v>
      </c>
      <c r="N1327" t="s">
        <v>1</v>
      </c>
      <c r="P1327" t="s">
        <v>20</v>
      </c>
      <c r="Q1327" t="s">
        <v>20</v>
      </c>
      <c r="R1327" t="s">
        <v>958</v>
      </c>
      <c r="S1327" t="s">
        <v>13</v>
      </c>
      <c r="T1327" t="s">
        <v>4022</v>
      </c>
      <c r="U1327" t="s">
        <v>4023</v>
      </c>
    </row>
    <row r="1328" spans="1:21" x14ac:dyDescent="0.3">
      <c r="A1328" t="s">
        <v>3361</v>
      </c>
      <c r="B1328" t="s">
        <v>4024</v>
      </c>
      <c r="C1328" t="s">
        <v>4025</v>
      </c>
      <c r="E1328" t="s">
        <v>19</v>
      </c>
      <c r="F1328" t="s">
        <v>380</v>
      </c>
      <c r="G1328" t="s">
        <v>181</v>
      </c>
      <c r="H1328" t="s">
        <v>4026</v>
      </c>
      <c r="J1328">
        <v>0</v>
      </c>
      <c r="K1328">
        <v>0</v>
      </c>
      <c r="L1328">
        <v>0</v>
      </c>
      <c r="M1328">
        <v>0</v>
      </c>
      <c r="N1328" t="s">
        <v>1</v>
      </c>
      <c r="P1328" t="s">
        <v>20</v>
      </c>
      <c r="Q1328" t="s">
        <v>20</v>
      </c>
      <c r="R1328" t="s">
        <v>958</v>
      </c>
      <c r="S1328" t="s">
        <v>13</v>
      </c>
      <c r="T1328" t="s">
        <v>4027</v>
      </c>
      <c r="U1328" t="s">
        <v>4028</v>
      </c>
    </row>
    <row r="1329" spans="1:21" x14ac:dyDescent="0.3">
      <c r="A1329" t="s">
        <v>3361</v>
      </c>
      <c r="B1329" t="s">
        <v>4029</v>
      </c>
      <c r="C1329" t="s">
        <v>4030</v>
      </c>
      <c r="E1329" t="s">
        <v>19</v>
      </c>
      <c r="F1329" t="s">
        <v>109</v>
      </c>
      <c r="G1329" t="s">
        <v>143</v>
      </c>
      <c r="H1329" t="s">
        <v>4029</v>
      </c>
      <c r="J1329">
        <v>0</v>
      </c>
      <c r="K1329">
        <v>0</v>
      </c>
      <c r="L1329">
        <v>0</v>
      </c>
      <c r="M1329">
        <v>0</v>
      </c>
      <c r="N1329" t="s">
        <v>145</v>
      </c>
      <c r="P1329" t="s">
        <v>20</v>
      </c>
      <c r="Q1329" t="s">
        <v>20</v>
      </c>
      <c r="R1329" t="s">
        <v>958</v>
      </c>
      <c r="S1329" t="s">
        <v>13</v>
      </c>
      <c r="T1329" t="s">
        <v>4031</v>
      </c>
      <c r="U1329" t="s">
        <v>4032</v>
      </c>
    </row>
    <row r="1330" spans="1:21" x14ac:dyDescent="0.3">
      <c r="A1330" t="s">
        <v>3361</v>
      </c>
      <c r="B1330" t="s">
        <v>4033</v>
      </c>
      <c r="C1330" t="s">
        <v>4034</v>
      </c>
      <c r="E1330" t="s">
        <v>66</v>
      </c>
      <c r="F1330" t="s">
        <v>938</v>
      </c>
      <c r="G1330" t="s">
        <v>122</v>
      </c>
      <c r="H1330" t="s">
        <v>4033</v>
      </c>
      <c r="J1330">
        <v>0</v>
      </c>
      <c r="K1330">
        <v>0</v>
      </c>
      <c r="L1330">
        <v>0</v>
      </c>
      <c r="M1330">
        <v>0</v>
      </c>
      <c r="N1330" t="s">
        <v>145</v>
      </c>
      <c r="P1330" t="s">
        <v>20</v>
      </c>
      <c r="Q1330" t="s">
        <v>20</v>
      </c>
      <c r="R1330" t="s">
        <v>958</v>
      </c>
      <c r="S1330" t="s">
        <v>13</v>
      </c>
      <c r="T1330" t="s">
        <v>4035</v>
      </c>
      <c r="U1330" t="s">
        <v>4036</v>
      </c>
    </row>
    <row r="1331" spans="1:21" x14ac:dyDescent="0.3">
      <c r="A1331" t="s">
        <v>3361</v>
      </c>
      <c r="B1331" t="s">
        <v>4037</v>
      </c>
      <c r="C1331" t="s">
        <v>4038</v>
      </c>
      <c r="E1331" t="s">
        <v>19</v>
      </c>
      <c r="F1331" t="s">
        <v>109</v>
      </c>
      <c r="G1331" t="s">
        <v>181</v>
      </c>
      <c r="H1331" t="s">
        <v>4039</v>
      </c>
      <c r="J1331">
        <v>0</v>
      </c>
      <c r="K1331">
        <v>0</v>
      </c>
      <c r="L1331">
        <v>0</v>
      </c>
      <c r="M1331">
        <v>0</v>
      </c>
      <c r="N1331" t="s">
        <v>1</v>
      </c>
      <c r="P1331" t="s">
        <v>18</v>
      </c>
      <c r="Q1331" t="s">
        <v>18</v>
      </c>
      <c r="R1331" t="s">
        <v>949</v>
      </c>
      <c r="S1331" t="s">
        <v>13</v>
      </c>
      <c r="T1331" t="s">
        <v>4040</v>
      </c>
      <c r="U1331" t="s">
        <v>4041</v>
      </c>
    </row>
    <row r="1332" spans="1:21" x14ac:dyDescent="0.3">
      <c r="A1332" t="s">
        <v>3361</v>
      </c>
      <c r="B1332" t="s">
        <v>924</v>
      </c>
      <c r="C1332" t="s">
        <v>925</v>
      </c>
      <c r="E1332" t="s">
        <v>19</v>
      </c>
      <c r="F1332" t="s">
        <v>109</v>
      </c>
      <c r="G1332" t="s">
        <v>59</v>
      </c>
      <c r="H1332" t="s">
        <v>926</v>
      </c>
      <c r="J1332">
        <v>0</v>
      </c>
      <c r="K1332">
        <v>0</v>
      </c>
      <c r="L1332">
        <v>0</v>
      </c>
      <c r="M1332">
        <v>0</v>
      </c>
      <c r="N1332" t="s">
        <v>1</v>
      </c>
      <c r="P1332" t="s">
        <v>24</v>
      </c>
      <c r="Q1332" t="s">
        <v>22</v>
      </c>
      <c r="R1332" t="s">
        <v>1766</v>
      </c>
      <c r="S1332" t="s">
        <v>5</v>
      </c>
      <c r="T1332" t="s">
        <v>4042</v>
      </c>
      <c r="U1332" t="s">
        <v>4043</v>
      </c>
    </row>
    <row r="1333" spans="1:21" x14ac:dyDescent="0.3">
      <c r="A1333" t="s">
        <v>3361</v>
      </c>
      <c r="B1333" t="s">
        <v>1759</v>
      </c>
      <c r="C1333" t="s">
        <v>1760</v>
      </c>
      <c r="E1333" t="s">
        <v>19</v>
      </c>
      <c r="F1333" t="s">
        <v>221</v>
      </c>
      <c r="G1333" t="s">
        <v>122</v>
      </c>
      <c r="H1333" t="s">
        <v>1761</v>
      </c>
      <c r="J1333">
        <v>0</v>
      </c>
      <c r="K1333">
        <v>0</v>
      </c>
      <c r="L1333">
        <v>0</v>
      </c>
      <c r="M1333">
        <v>0</v>
      </c>
      <c r="N1333" t="s">
        <v>145</v>
      </c>
      <c r="P1333" t="s">
        <v>4</v>
      </c>
      <c r="Q1333" t="s">
        <v>4</v>
      </c>
      <c r="R1333" t="s">
        <v>4</v>
      </c>
      <c r="S1333" t="s">
        <v>4</v>
      </c>
      <c r="T1333" t="s">
        <v>4044</v>
      </c>
      <c r="U1333" t="s">
        <v>4045</v>
      </c>
    </row>
    <row r="1334" spans="1:21" x14ac:dyDescent="0.3">
      <c r="A1334" t="s">
        <v>3361</v>
      </c>
      <c r="B1334" t="s">
        <v>4046</v>
      </c>
      <c r="C1334" t="s">
        <v>4047</v>
      </c>
      <c r="E1334" t="s">
        <v>19</v>
      </c>
      <c r="F1334" t="s">
        <v>109</v>
      </c>
      <c r="G1334" t="s">
        <v>181</v>
      </c>
      <c r="H1334" t="s">
        <v>4046</v>
      </c>
      <c r="J1334">
        <v>0</v>
      </c>
      <c r="K1334">
        <v>0</v>
      </c>
      <c r="L1334">
        <v>0</v>
      </c>
      <c r="M1334">
        <v>0</v>
      </c>
      <c r="N1334" t="s">
        <v>1</v>
      </c>
      <c r="P1334" t="s">
        <v>20</v>
      </c>
      <c r="Q1334" t="s">
        <v>20</v>
      </c>
      <c r="R1334" t="s">
        <v>958</v>
      </c>
      <c r="S1334" t="s">
        <v>13</v>
      </c>
      <c r="T1334" t="s">
        <v>4048</v>
      </c>
      <c r="U1334" t="s">
        <v>4049</v>
      </c>
    </row>
    <row r="1335" spans="1:21" x14ac:dyDescent="0.3">
      <c r="A1335" t="s">
        <v>3361</v>
      </c>
      <c r="B1335" t="s">
        <v>337</v>
      </c>
      <c r="C1335" t="s">
        <v>338</v>
      </c>
      <c r="E1335" t="s">
        <v>66</v>
      </c>
      <c r="G1335" t="s">
        <v>122</v>
      </c>
      <c r="H1335" t="s">
        <v>123</v>
      </c>
      <c r="J1335">
        <v>0</v>
      </c>
      <c r="K1335">
        <v>0</v>
      </c>
      <c r="L1335">
        <v>0</v>
      </c>
      <c r="M1335">
        <v>0</v>
      </c>
      <c r="N1335" t="s">
        <v>1</v>
      </c>
      <c r="P1335" t="s">
        <v>20</v>
      </c>
      <c r="Q1335" t="s">
        <v>20</v>
      </c>
      <c r="R1335" t="s">
        <v>958</v>
      </c>
      <c r="S1335" t="s">
        <v>13</v>
      </c>
      <c r="T1335" t="s">
        <v>4050</v>
      </c>
      <c r="U1335" t="s">
        <v>4051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T337"/>
  <sheetViews>
    <sheetView workbookViewId="0"/>
  </sheetViews>
  <sheetFormatPr defaultRowHeight="14.4" x14ac:dyDescent="0.3"/>
  <cols>
    <col min="1" max="1" width="13.5546875" style="40" bestFit="1" customWidth="1"/>
    <col min="2" max="9" width="13.5546875" style="6" bestFit="1" customWidth="1"/>
    <col min="10" max="13" width="13.5546875" style="41" bestFit="1" customWidth="1"/>
    <col min="14" max="20" width="13.5546875" style="6" bestFit="1" customWidth="1"/>
  </cols>
  <sheetData>
    <row r="1" spans="1:20" ht="18.75" customHeight="1" x14ac:dyDescent="0.3">
      <c r="A1" s="11" t="s">
        <v>36</v>
      </c>
      <c r="B1" s="12" t="s">
        <v>37</v>
      </c>
      <c r="C1" s="12" t="s">
        <v>38</v>
      </c>
      <c r="D1" s="12" t="s">
        <v>39</v>
      </c>
      <c r="E1" s="12" t="s">
        <v>40</v>
      </c>
      <c r="F1" s="12" t="s">
        <v>41</v>
      </c>
      <c r="G1" s="12" t="s">
        <v>42</v>
      </c>
      <c r="H1" s="12" t="s">
        <v>43</v>
      </c>
      <c r="I1" s="12" t="s">
        <v>44</v>
      </c>
      <c r="J1" s="13" t="s">
        <v>45</v>
      </c>
      <c r="K1" s="13" t="s">
        <v>46</v>
      </c>
      <c r="L1" s="13" t="s">
        <v>47</v>
      </c>
      <c r="M1" s="13" t="s">
        <v>48</v>
      </c>
      <c r="N1" s="12" t="s">
        <v>0</v>
      </c>
      <c r="O1" s="12" t="s">
        <v>49</v>
      </c>
      <c r="P1" s="14" t="s">
        <v>50</v>
      </c>
      <c r="Q1" s="14" t="s">
        <v>51</v>
      </c>
      <c r="R1" s="15" t="s">
        <v>52</v>
      </c>
      <c r="S1" s="14" t="s">
        <v>53</v>
      </c>
      <c r="T1" s="16" t="s">
        <v>54</v>
      </c>
    </row>
    <row r="2" spans="1:20" ht="18.75" customHeight="1" x14ac:dyDescent="0.3">
      <c r="A2" s="11">
        <v>46141</v>
      </c>
      <c r="B2" s="47" t="s">
        <v>4052</v>
      </c>
      <c r="C2" s="17" t="s">
        <v>4053</v>
      </c>
      <c r="D2" s="42" t="s">
        <v>60</v>
      </c>
      <c r="E2" s="18" t="s">
        <v>19</v>
      </c>
      <c r="F2" s="18" t="s">
        <v>109</v>
      </c>
      <c r="G2" s="42" t="s">
        <v>59</v>
      </c>
      <c r="H2" s="18" t="s">
        <v>60</v>
      </c>
      <c r="I2" s="43" t="s">
        <v>4054</v>
      </c>
      <c r="J2" s="19">
        <v>26.04635025119001</v>
      </c>
      <c r="K2" s="19">
        <v>22.22736483844535</v>
      </c>
      <c r="L2" s="19">
        <v>86.099831843840747</v>
      </c>
      <c r="M2" s="19">
        <v>56.081476344978917</v>
      </c>
      <c r="N2" s="46" t="s">
        <v>1</v>
      </c>
      <c r="O2" s="20"/>
      <c r="P2" s="21" t="s">
        <v>21</v>
      </c>
      <c r="Q2" s="21" t="s">
        <v>11</v>
      </c>
      <c r="R2" s="22" t="s">
        <v>61</v>
      </c>
      <c r="S2" s="21" t="s">
        <v>10</v>
      </c>
      <c r="T2" s="22" t="s">
        <v>4055</v>
      </c>
    </row>
    <row r="3" spans="1:20" ht="18.75" customHeight="1" x14ac:dyDescent="0.3">
      <c r="A3" s="11">
        <v>46141</v>
      </c>
      <c r="B3" s="18" t="s">
        <v>1109</v>
      </c>
      <c r="C3" s="18" t="s">
        <v>1110</v>
      </c>
      <c r="D3" s="42" t="s">
        <v>60</v>
      </c>
      <c r="E3" s="18" t="s">
        <v>19</v>
      </c>
      <c r="F3" s="18" t="s">
        <v>109</v>
      </c>
      <c r="G3" s="42" t="s">
        <v>59</v>
      </c>
      <c r="H3" s="18" t="s">
        <v>60</v>
      </c>
      <c r="I3" s="43" t="s">
        <v>4054</v>
      </c>
      <c r="J3" s="19">
        <v>17.956863062479769</v>
      </c>
      <c r="K3" s="19">
        <v>15.27548272590961</v>
      </c>
      <c r="L3" s="19">
        <v>39.769301021960437</v>
      </c>
      <c r="M3" s="19">
        <v>28.43162958397183</v>
      </c>
      <c r="N3" s="46" t="s">
        <v>1</v>
      </c>
      <c r="O3" s="20"/>
      <c r="P3" s="21" t="s">
        <v>19</v>
      </c>
      <c r="Q3" s="21" t="s">
        <v>11</v>
      </c>
      <c r="R3" s="22" t="s">
        <v>80</v>
      </c>
      <c r="S3" s="21" t="s">
        <v>10</v>
      </c>
      <c r="T3" s="22" t="s">
        <v>4056</v>
      </c>
    </row>
    <row r="4" spans="1:20" ht="18.75" customHeight="1" x14ac:dyDescent="0.3">
      <c r="A4" s="11">
        <v>46141</v>
      </c>
      <c r="B4" s="18" t="s">
        <v>1197</v>
      </c>
      <c r="C4" s="18" t="s">
        <v>1198</v>
      </c>
      <c r="D4" s="42" t="s">
        <v>60</v>
      </c>
      <c r="E4" s="18" t="s">
        <v>19</v>
      </c>
      <c r="F4" s="18" t="s">
        <v>109</v>
      </c>
      <c r="G4" s="42" t="s">
        <v>59</v>
      </c>
      <c r="H4" s="18" t="s">
        <v>60</v>
      </c>
      <c r="I4" s="43" t="s">
        <v>4054</v>
      </c>
      <c r="J4" s="19">
        <v>17.162152440559691</v>
      </c>
      <c r="K4" s="19">
        <v>15.05989660366324</v>
      </c>
      <c r="L4" s="19">
        <v>39.454829031206017</v>
      </c>
      <c r="M4" s="19">
        <v>28.08177668769779</v>
      </c>
      <c r="N4" s="46" t="s">
        <v>1</v>
      </c>
      <c r="O4" s="20"/>
      <c r="P4" s="21" t="s">
        <v>21</v>
      </c>
      <c r="Q4" s="21" t="s">
        <v>11</v>
      </c>
      <c r="R4" s="22" t="s">
        <v>61</v>
      </c>
      <c r="S4" s="21" t="s">
        <v>10</v>
      </c>
      <c r="T4" s="22" t="s">
        <v>4057</v>
      </c>
    </row>
    <row r="5" spans="1:20" ht="18.75" customHeight="1" x14ac:dyDescent="0.3">
      <c r="A5" s="11">
        <v>46141</v>
      </c>
      <c r="B5" s="18" t="s">
        <v>2094</v>
      </c>
      <c r="C5" s="18" t="s">
        <v>2095</v>
      </c>
      <c r="D5" s="42" t="s">
        <v>60</v>
      </c>
      <c r="E5" s="18" t="s">
        <v>66</v>
      </c>
      <c r="F5" s="18" t="s">
        <v>103</v>
      </c>
      <c r="G5" s="42" t="s">
        <v>59</v>
      </c>
      <c r="H5" s="18" t="s">
        <v>60</v>
      </c>
      <c r="I5" s="43" t="s">
        <v>4054</v>
      </c>
      <c r="J5" s="19">
        <v>12.35991710929663</v>
      </c>
      <c r="K5" s="19">
        <v>10.560532418032651</v>
      </c>
      <c r="L5" s="19">
        <v>40.653345229574469</v>
      </c>
      <c r="M5" s="19">
        <v>26.510541958091849</v>
      </c>
      <c r="N5" s="46" t="s">
        <v>1</v>
      </c>
      <c r="O5" s="20"/>
      <c r="P5" s="21" t="s">
        <v>7</v>
      </c>
      <c r="Q5" s="21" t="s">
        <v>11</v>
      </c>
      <c r="R5" s="22" t="s">
        <v>70</v>
      </c>
      <c r="S5" s="21" t="s">
        <v>10</v>
      </c>
      <c r="T5" s="22" t="s">
        <v>4058</v>
      </c>
    </row>
    <row r="6" spans="1:20" ht="18.75" customHeight="1" x14ac:dyDescent="0.3">
      <c r="A6" s="11">
        <v>46141</v>
      </c>
      <c r="B6" s="18" t="s">
        <v>4059</v>
      </c>
      <c r="C6" s="17" t="s">
        <v>4060</v>
      </c>
      <c r="D6" s="42" t="s">
        <v>68</v>
      </c>
      <c r="E6" s="18" t="s">
        <v>66</v>
      </c>
      <c r="F6" s="18" t="s">
        <v>67</v>
      </c>
      <c r="G6" s="42" t="s">
        <v>68</v>
      </c>
      <c r="H6" s="18" t="s">
        <v>4059</v>
      </c>
      <c r="I6" s="43" t="s">
        <v>4054</v>
      </c>
      <c r="J6" s="19">
        <v>15.37564595997746</v>
      </c>
      <c r="K6" s="19">
        <v>13.077492426328829</v>
      </c>
      <c r="L6" s="19">
        <v>25.393399501386622</v>
      </c>
      <c r="M6" s="19">
        <v>19.828273164913121</v>
      </c>
      <c r="N6" s="46" t="s">
        <v>1</v>
      </c>
      <c r="O6" s="20"/>
      <c r="P6" s="21" t="s">
        <v>24</v>
      </c>
      <c r="Q6" s="21" t="s">
        <v>22</v>
      </c>
      <c r="R6" s="22" t="s">
        <v>167</v>
      </c>
      <c r="S6" s="21" t="s">
        <v>5</v>
      </c>
      <c r="T6" s="23" t="s">
        <v>4061</v>
      </c>
    </row>
    <row r="7" spans="1:20" ht="18.75" customHeight="1" x14ac:dyDescent="0.3">
      <c r="A7" s="11">
        <v>46141</v>
      </c>
      <c r="B7" s="18" t="s">
        <v>2016</v>
      </c>
      <c r="C7" s="17" t="s">
        <v>2017</v>
      </c>
      <c r="D7" s="42" t="s">
        <v>116</v>
      </c>
      <c r="E7" s="18" t="s">
        <v>19</v>
      </c>
      <c r="F7" s="18" t="s">
        <v>109</v>
      </c>
      <c r="G7" s="42" t="s">
        <v>116</v>
      </c>
      <c r="H7" s="18" t="s">
        <v>117</v>
      </c>
      <c r="I7" s="44" t="s">
        <v>4062</v>
      </c>
      <c r="J7" s="19">
        <v>13.837182115751229</v>
      </c>
      <c r="K7" s="19">
        <v>17.668074298479141</v>
      </c>
      <c r="L7" s="19">
        <v>20.930941061621869</v>
      </c>
      <c r="M7" s="19">
        <v>18.822570933673479</v>
      </c>
      <c r="N7" s="46" t="s">
        <v>1</v>
      </c>
      <c r="O7" s="20"/>
      <c r="P7" s="21" t="s">
        <v>24</v>
      </c>
      <c r="Q7" s="21" t="s">
        <v>22</v>
      </c>
      <c r="R7" s="22" t="s">
        <v>4063</v>
      </c>
      <c r="S7" s="21" t="s">
        <v>5</v>
      </c>
      <c r="T7" s="22" t="s">
        <v>4064</v>
      </c>
    </row>
    <row r="8" spans="1:20" ht="18.75" customHeight="1" x14ac:dyDescent="0.3">
      <c r="A8" s="11">
        <v>46141</v>
      </c>
      <c r="B8" s="18" t="s">
        <v>1526</v>
      </c>
      <c r="C8" s="18" t="s">
        <v>1527</v>
      </c>
      <c r="D8" s="42" t="s">
        <v>69</v>
      </c>
      <c r="E8" s="18" t="s">
        <v>66</v>
      </c>
      <c r="F8" s="18" t="s">
        <v>103</v>
      </c>
      <c r="G8" s="42" t="s">
        <v>68</v>
      </c>
      <c r="H8" s="18" t="s">
        <v>69</v>
      </c>
      <c r="I8" s="43" t="s">
        <v>4054</v>
      </c>
      <c r="J8" s="19">
        <v>15.596836045066331</v>
      </c>
      <c r="K8" s="19">
        <v>13.26253098320022</v>
      </c>
      <c r="L8" s="19">
        <v>21.651199911571641</v>
      </c>
      <c r="M8" s="19">
        <v>17.97046439690326</v>
      </c>
      <c r="N8" s="46" t="s">
        <v>1</v>
      </c>
      <c r="O8" s="20"/>
      <c r="P8" s="21" t="s">
        <v>24</v>
      </c>
      <c r="Q8" s="21" t="s">
        <v>22</v>
      </c>
      <c r="R8" s="22" t="s">
        <v>391</v>
      </c>
      <c r="S8" s="21" t="s">
        <v>5</v>
      </c>
      <c r="T8" s="22" t="s">
        <v>4065</v>
      </c>
    </row>
    <row r="9" spans="1:20" ht="18.75" customHeight="1" x14ac:dyDescent="0.3">
      <c r="A9" s="11">
        <v>46141</v>
      </c>
      <c r="B9" s="18" t="s">
        <v>2080</v>
      </c>
      <c r="C9" s="17" t="s">
        <v>2081</v>
      </c>
      <c r="D9" s="42" t="s">
        <v>111</v>
      </c>
      <c r="E9" s="18" t="s">
        <v>66</v>
      </c>
      <c r="F9" s="18" t="s">
        <v>137</v>
      </c>
      <c r="G9" s="42" t="s">
        <v>110</v>
      </c>
      <c r="H9" s="18" t="s">
        <v>111</v>
      </c>
      <c r="I9" s="44" t="s">
        <v>4062</v>
      </c>
      <c r="J9" s="19">
        <v>13.9183642474891</v>
      </c>
      <c r="K9" s="19">
        <v>11.88895306533928</v>
      </c>
      <c r="L9" s="19">
        <v>18.21611924258044</v>
      </c>
      <c r="M9" s="19">
        <v>15.478297563300259</v>
      </c>
      <c r="N9" s="46" t="s">
        <v>1</v>
      </c>
      <c r="O9" s="20"/>
      <c r="P9" s="21" t="s">
        <v>19</v>
      </c>
      <c r="Q9" s="21" t="s">
        <v>11</v>
      </c>
      <c r="R9" s="22" t="s">
        <v>80</v>
      </c>
      <c r="S9" s="21" t="s">
        <v>10</v>
      </c>
      <c r="T9" s="22" t="s">
        <v>4066</v>
      </c>
    </row>
    <row r="10" spans="1:20" ht="18.75" customHeight="1" x14ac:dyDescent="0.3">
      <c r="A10" s="11">
        <v>46141</v>
      </c>
      <c r="B10" s="18" t="s">
        <v>1183</v>
      </c>
      <c r="C10" s="17" t="s">
        <v>1184</v>
      </c>
      <c r="D10" s="42" t="s">
        <v>116</v>
      </c>
      <c r="E10" s="18" t="s">
        <v>66</v>
      </c>
      <c r="F10" s="18" t="s">
        <v>396</v>
      </c>
      <c r="G10" s="42" t="s">
        <v>116</v>
      </c>
      <c r="H10" s="18" t="s">
        <v>117</v>
      </c>
      <c r="I10" s="44" t="s">
        <v>4062</v>
      </c>
      <c r="J10" s="19">
        <v>17.994956216602919</v>
      </c>
      <c r="K10" s="19">
        <v>22.968050327937419</v>
      </c>
      <c r="L10" s="19">
        <v>2.774330384991694</v>
      </c>
      <c r="M10" s="19">
        <v>11.727099046037329</v>
      </c>
      <c r="N10" s="46" t="s">
        <v>156</v>
      </c>
      <c r="O10" s="46" t="s">
        <v>252</v>
      </c>
      <c r="P10" s="21" t="s">
        <v>157</v>
      </c>
      <c r="Q10" s="21" t="s">
        <v>157</v>
      </c>
      <c r="R10" s="22" t="s">
        <v>156</v>
      </c>
      <c r="S10" s="21" t="s">
        <v>157</v>
      </c>
      <c r="T10" s="22" t="s">
        <v>4067</v>
      </c>
    </row>
    <row r="11" spans="1:20" ht="18.75" customHeight="1" x14ac:dyDescent="0.3">
      <c r="A11" s="11">
        <v>46141</v>
      </c>
      <c r="B11" s="18" t="s">
        <v>3673</v>
      </c>
      <c r="C11" s="17" t="s">
        <v>3674</v>
      </c>
      <c r="D11" s="42" t="s">
        <v>116</v>
      </c>
      <c r="E11" s="18" t="s">
        <v>390</v>
      </c>
      <c r="F11" s="18"/>
      <c r="G11" s="42" t="s">
        <v>116</v>
      </c>
      <c r="H11" s="18" t="s">
        <v>117</v>
      </c>
      <c r="I11" s="44" t="s">
        <v>4062</v>
      </c>
      <c r="J11" s="19">
        <v>13.745383859093799</v>
      </c>
      <c r="K11" s="19">
        <v>23.42254497451642</v>
      </c>
      <c r="L11" s="19">
        <v>2.5997377245456552</v>
      </c>
      <c r="M11" s="19">
        <v>11.18179152648295</v>
      </c>
      <c r="N11" s="46" t="s">
        <v>1</v>
      </c>
      <c r="O11" s="20"/>
      <c r="P11" s="21" t="s">
        <v>24</v>
      </c>
      <c r="Q11" s="21" t="s">
        <v>22</v>
      </c>
      <c r="R11" s="22" t="s">
        <v>4063</v>
      </c>
      <c r="S11" s="21" t="s">
        <v>5</v>
      </c>
      <c r="T11" s="22" t="s">
        <v>4064</v>
      </c>
    </row>
    <row r="12" spans="1:20" ht="18.75" customHeight="1" x14ac:dyDescent="0.3">
      <c r="A12" s="11">
        <v>46141</v>
      </c>
      <c r="B12" s="18" t="s">
        <v>4068</v>
      </c>
      <c r="C12" s="17" t="s">
        <v>4069</v>
      </c>
      <c r="D12" s="42" t="s">
        <v>116</v>
      </c>
      <c r="E12" s="18" t="s">
        <v>19</v>
      </c>
      <c r="F12" s="18" t="s">
        <v>109</v>
      </c>
      <c r="G12" s="42" t="s">
        <v>116</v>
      </c>
      <c r="H12" s="18" t="s">
        <v>117</v>
      </c>
      <c r="I12" s="44" t="s">
        <v>4062</v>
      </c>
      <c r="J12" s="19">
        <v>7.2620539229204386</v>
      </c>
      <c r="K12" s="19">
        <v>12.36623885199805</v>
      </c>
      <c r="L12" s="19">
        <v>11.305601520792701</v>
      </c>
      <c r="M12" s="19">
        <v>11.08425148316511</v>
      </c>
      <c r="N12" s="46" t="s">
        <v>1</v>
      </c>
      <c r="O12" s="20"/>
      <c r="P12" s="21" t="s">
        <v>24</v>
      </c>
      <c r="Q12" s="21" t="s">
        <v>22</v>
      </c>
      <c r="R12" s="22" t="s">
        <v>167</v>
      </c>
      <c r="S12" s="21" t="s">
        <v>5</v>
      </c>
      <c r="T12" s="22" t="s">
        <v>4070</v>
      </c>
    </row>
    <row r="13" spans="1:20" ht="18.75" customHeight="1" x14ac:dyDescent="0.3">
      <c r="A13" s="11">
        <v>46141</v>
      </c>
      <c r="B13" s="18" t="s">
        <v>4071</v>
      </c>
      <c r="C13" s="17" t="s">
        <v>4072</v>
      </c>
      <c r="D13" s="42" t="s">
        <v>116</v>
      </c>
      <c r="E13" s="18" t="s">
        <v>19</v>
      </c>
      <c r="F13" s="18" t="s">
        <v>109</v>
      </c>
      <c r="G13" s="42" t="s">
        <v>116</v>
      </c>
      <c r="H13" s="18" t="s">
        <v>117</v>
      </c>
      <c r="I13" s="44" t="s">
        <v>4062</v>
      </c>
      <c r="J13" s="19">
        <v>7.2608049670475481</v>
      </c>
      <c r="K13" s="19">
        <v>12.368576404826751</v>
      </c>
      <c r="L13" s="19">
        <v>11.233096831244101</v>
      </c>
      <c r="M13" s="19">
        <v>11.04704750979502</v>
      </c>
      <c r="N13" s="46" t="s">
        <v>145</v>
      </c>
      <c r="O13" s="20"/>
      <c r="P13" s="21" t="s">
        <v>24</v>
      </c>
      <c r="Q13" s="21" t="s">
        <v>22</v>
      </c>
      <c r="R13" s="22" t="s">
        <v>167</v>
      </c>
      <c r="S13" s="21" t="s">
        <v>5</v>
      </c>
      <c r="T13" s="22" t="s">
        <v>4070</v>
      </c>
    </row>
    <row r="14" spans="1:20" ht="18.75" customHeight="1" x14ac:dyDescent="0.3">
      <c r="A14" s="11">
        <v>46141</v>
      </c>
      <c r="B14" s="18" t="s">
        <v>4073</v>
      </c>
      <c r="C14" s="17" t="s">
        <v>4074</v>
      </c>
      <c r="D14" s="42" t="s">
        <v>116</v>
      </c>
      <c r="E14" s="18" t="s">
        <v>19</v>
      </c>
      <c r="F14" s="24" t="s">
        <v>109</v>
      </c>
      <c r="G14" s="42" t="s">
        <v>116</v>
      </c>
      <c r="H14" s="18" t="s">
        <v>117</v>
      </c>
      <c r="I14" s="44" t="s">
        <v>4062</v>
      </c>
      <c r="J14" s="19">
        <v>7.2595560111746584</v>
      </c>
      <c r="K14" s="19">
        <v>12.368417026224799</v>
      </c>
      <c r="L14" s="19">
        <v>10.989761517027929</v>
      </c>
      <c r="M14" s="19">
        <v>10.91991907154863</v>
      </c>
      <c r="N14" s="46" t="s">
        <v>1</v>
      </c>
      <c r="O14" s="20"/>
      <c r="P14" s="21" t="s">
        <v>24</v>
      </c>
      <c r="Q14" s="21" t="s">
        <v>22</v>
      </c>
      <c r="R14" s="22" t="s">
        <v>167</v>
      </c>
      <c r="S14" s="21" t="s">
        <v>5</v>
      </c>
      <c r="T14" s="22" t="s">
        <v>4070</v>
      </c>
    </row>
    <row r="15" spans="1:20" ht="18.75" customHeight="1" x14ac:dyDescent="0.3">
      <c r="A15" s="11">
        <v>46141</v>
      </c>
      <c r="B15" s="18" t="s">
        <v>1953</v>
      </c>
      <c r="C15" s="17" t="s">
        <v>1954</v>
      </c>
      <c r="D15" s="42" t="s">
        <v>116</v>
      </c>
      <c r="E15" s="18" t="s">
        <v>66</v>
      </c>
      <c r="F15" s="18" t="s">
        <v>396</v>
      </c>
      <c r="G15" s="42" t="s">
        <v>116</v>
      </c>
      <c r="H15" s="18" t="s">
        <v>117</v>
      </c>
      <c r="I15" s="44" t="s">
        <v>4062</v>
      </c>
      <c r="J15" s="19">
        <v>13.353836192942699</v>
      </c>
      <c r="K15" s="19">
        <v>22.7127789338039</v>
      </c>
      <c r="L15" s="19">
        <v>1.805948175289527</v>
      </c>
      <c r="M15" s="19">
        <v>10.47364974189075</v>
      </c>
      <c r="N15" s="46" t="s">
        <v>1</v>
      </c>
      <c r="O15" s="20"/>
      <c r="P15" s="21" t="s">
        <v>25</v>
      </c>
      <c r="Q15" s="21" t="s">
        <v>11</v>
      </c>
      <c r="R15" s="22" t="s">
        <v>4075</v>
      </c>
      <c r="S15" s="21" t="s">
        <v>10</v>
      </c>
      <c r="T15" s="22" t="s">
        <v>4076</v>
      </c>
    </row>
    <row r="16" spans="1:20" ht="18.75" customHeight="1" x14ac:dyDescent="0.3">
      <c r="A16" s="11">
        <v>46141</v>
      </c>
      <c r="B16" s="18" t="s">
        <v>4077</v>
      </c>
      <c r="C16" s="17" t="s">
        <v>4078</v>
      </c>
      <c r="D16" s="42" t="s">
        <v>116</v>
      </c>
      <c r="E16" s="18" t="s">
        <v>19</v>
      </c>
      <c r="F16" s="18" t="s">
        <v>109</v>
      </c>
      <c r="G16" s="42" t="s">
        <v>116</v>
      </c>
      <c r="H16" s="18" t="s">
        <v>117</v>
      </c>
      <c r="I16" s="44" t="s">
        <v>4062</v>
      </c>
      <c r="J16" s="19">
        <v>14.469153787433701</v>
      </c>
      <c r="K16" s="19">
        <v>24.62372837126118</v>
      </c>
      <c r="L16" s="19">
        <v>0</v>
      </c>
      <c r="M16" s="19">
        <v>10.332663447791729</v>
      </c>
      <c r="N16" s="46" t="s">
        <v>1</v>
      </c>
      <c r="O16" s="20"/>
      <c r="P16" s="21" t="s">
        <v>25</v>
      </c>
      <c r="Q16" s="21" t="s">
        <v>11</v>
      </c>
      <c r="R16" s="22" t="s">
        <v>4075</v>
      </c>
      <c r="S16" s="21" t="s">
        <v>10</v>
      </c>
      <c r="T16" s="22" t="s">
        <v>4079</v>
      </c>
    </row>
    <row r="17" spans="1:20" ht="18.75" customHeight="1" x14ac:dyDescent="0.3">
      <c r="A17" s="11">
        <v>46141</v>
      </c>
      <c r="B17" s="18" t="s">
        <v>4080</v>
      </c>
      <c r="C17" s="17" t="s">
        <v>4081</v>
      </c>
      <c r="D17" s="42" t="s">
        <v>116</v>
      </c>
      <c r="E17" s="18"/>
      <c r="F17" s="18"/>
      <c r="G17" s="42" t="s">
        <v>116</v>
      </c>
      <c r="H17" s="18" t="s">
        <v>117</v>
      </c>
      <c r="I17" s="44" t="s">
        <v>4062</v>
      </c>
      <c r="J17" s="19">
        <v>14.467904831560819</v>
      </c>
      <c r="K17" s="19">
        <v>24.623994002264439</v>
      </c>
      <c r="L17" s="19">
        <v>0</v>
      </c>
      <c r="M17" s="19">
        <v>10.332574272400141</v>
      </c>
      <c r="N17" s="46" t="s">
        <v>1</v>
      </c>
      <c r="O17" s="20"/>
      <c r="P17" s="21" t="s">
        <v>25</v>
      </c>
      <c r="Q17" s="21" t="s">
        <v>11</v>
      </c>
      <c r="R17" s="22" t="s">
        <v>4075</v>
      </c>
      <c r="S17" s="21" t="s">
        <v>10</v>
      </c>
      <c r="T17" s="23" t="s">
        <v>4079</v>
      </c>
    </row>
    <row r="18" spans="1:20" ht="18.75" customHeight="1" x14ac:dyDescent="0.3">
      <c r="A18" s="11">
        <v>46141</v>
      </c>
      <c r="B18" s="18" t="s">
        <v>4082</v>
      </c>
      <c r="C18" s="17" t="s">
        <v>4083</v>
      </c>
      <c r="D18" s="42" t="s">
        <v>116</v>
      </c>
      <c r="E18" s="18" t="s">
        <v>19</v>
      </c>
      <c r="F18" s="18" t="s">
        <v>109</v>
      </c>
      <c r="G18" s="42" t="s">
        <v>116</v>
      </c>
      <c r="H18" s="18" t="s">
        <v>117</v>
      </c>
      <c r="I18" s="44" t="s">
        <v>4062</v>
      </c>
      <c r="J18" s="19">
        <v>14.46852930949726</v>
      </c>
      <c r="K18" s="19">
        <v>24.623197109254662</v>
      </c>
      <c r="L18" s="19">
        <v>0</v>
      </c>
      <c r="M18" s="19">
        <v>10.332395921616969</v>
      </c>
      <c r="N18" s="46" t="s">
        <v>1</v>
      </c>
      <c r="O18" s="20"/>
      <c r="P18" s="21" t="s">
        <v>25</v>
      </c>
      <c r="Q18" s="21" t="s">
        <v>11</v>
      </c>
      <c r="R18" s="22" t="s">
        <v>4075</v>
      </c>
      <c r="S18" s="21" t="s">
        <v>10</v>
      </c>
      <c r="T18" s="22" t="s">
        <v>4079</v>
      </c>
    </row>
    <row r="19" spans="1:20" ht="18.75" customHeight="1" x14ac:dyDescent="0.3">
      <c r="A19" s="11">
        <v>46141</v>
      </c>
      <c r="B19" s="24" t="s">
        <v>4084</v>
      </c>
      <c r="C19" s="25" t="s">
        <v>4085</v>
      </c>
      <c r="D19" s="42"/>
      <c r="E19" s="24" t="s">
        <v>136</v>
      </c>
      <c r="F19" s="24" t="s">
        <v>137</v>
      </c>
      <c r="G19" s="24" t="s">
        <v>3724</v>
      </c>
      <c r="H19" s="24" t="s">
        <v>111</v>
      </c>
      <c r="I19" s="44" t="s">
        <v>4062</v>
      </c>
      <c r="J19" s="19">
        <v>8.3018096871015832</v>
      </c>
      <c r="K19" s="19">
        <v>10.661365946870401</v>
      </c>
      <c r="L19" s="19">
        <v>10.40100291769815</v>
      </c>
      <c r="M19" s="19">
        <v>10.188645190378759</v>
      </c>
      <c r="N19" s="46" t="s">
        <v>1</v>
      </c>
      <c r="O19" s="20"/>
      <c r="P19" s="21" t="s">
        <v>19</v>
      </c>
      <c r="Q19" s="21" t="s">
        <v>11</v>
      </c>
      <c r="R19" s="22" t="s">
        <v>80</v>
      </c>
      <c r="S19" s="21" t="s">
        <v>10</v>
      </c>
      <c r="T19" s="22" t="s">
        <v>4086</v>
      </c>
    </row>
    <row r="20" spans="1:20" ht="18.75" customHeight="1" x14ac:dyDescent="0.3">
      <c r="A20" s="11">
        <v>46141</v>
      </c>
      <c r="B20" s="18" t="s">
        <v>4087</v>
      </c>
      <c r="C20" s="17" t="s">
        <v>4088</v>
      </c>
      <c r="D20" s="42" t="s">
        <v>116</v>
      </c>
      <c r="E20" s="18" t="s">
        <v>19</v>
      </c>
      <c r="F20" s="18" t="s">
        <v>109</v>
      </c>
      <c r="G20" s="42" t="s">
        <v>116</v>
      </c>
      <c r="H20" s="18" t="s">
        <v>117</v>
      </c>
      <c r="I20" s="44" t="s">
        <v>4062</v>
      </c>
      <c r="J20" s="19">
        <v>7.2608049670475481</v>
      </c>
      <c r="K20" s="19">
        <v>12.367779511816959</v>
      </c>
      <c r="L20" s="19">
        <v>9.4907612609358942</v>
      </c>
      <c r="M20" s="19">
        <v>10.138171918740531</v>
      </c>
      <c r="N20" s="46" t="s">
        <v>1</v>
      </c>
      <c r="O20" s="20"/>
      <c r="P20" s="21" t="s">
        <v>24</v>
      </c>
      <c r="Q20" s="21" t="s">
        <v>22</v>
      </c>
      <c r="R20" s="22" t="s">
        <v>167</v>
      </c>
      <c r="S20" s="21" t="s">
        <v>5</v>
      </c>
      <c r="T20" s="22" t="s">
        <v>4070</v>
      </c>
    </row>
    <row r="21" spans="1:20" ht="18.75" customHeight="1" x14ac:dyDescent="0.3">
      <c r="A21" s="11">
        <v>46141</v>
      </c>
      <c r="B21" s="18" t="s">
        <v>4089</v>
      </c>
      <c r="C21" s="17" t="s">
        <v>4090</v>
      </c>
      <c r="D21" s="42" t="s">
        <v>68</v>
      </c>
      <c r="E21" s="18" t="s">
        <v>19</v>
      </c>
      <c r="F21" s="18" t="s">
        <v>380</v>
      </c>
      <c r="G21" s="42" t="s">
        <v>68</v>
      </c>
      <c r="H21" s="18" t="s">
        <v>4091</v>
      </c>
      <c r="I21" s="45" t="s">
        <v>4092</v>
      </c>
      <c r="J21" s="19">
        <v>32.369564044458834</v>
      </c>
      <c r="K21" s="19">
        <v>13.77031120903332</v>
      </c>
      <c r="L21" s="19">
        <v>0</v>
      </c>
      <c r="M21" s="19">
        <v>9.2452230526234693</v>
      </c>
      <c r="N21" s="46" t="s">
        <v>1</v>
      </c>
      <c r="O21" s="20"/>
      <c r="P21" s="21" t="s">
        <v>15</v>
      </c>
      <c r="Q21" s="21" t="s">
        <v>15</v>
      </c>
      <c r="R21" s="22" t="s">
        <v>524</v>
      </c>
      <c r="S21" s="21" t="s">
        <v>15</v>
      </c>
      <c r="T21" s="23" t="s">
        <v>4093</v>
      </c>
    </row>
    <row r="22" spans="1:20" ht="18.75" customHeight="1" x14ac:dyDescent="0.3">
      <c r="A22" s="11">
        <v>46141</v>
      </c>
      <c r="B22" s="18" t="s">
        <v>4094</v>
      </c>
      <c r="C22" s="17" t="s">
        <v>4095</v>
      </c>
      <c r="D22" s="42" t="s">
        <v>122</v>
      </c>
      <c r="E22" s="18" t="s">
        <v>19</v>
      </c>
      <c r="F22" s="18" t="s">
        <v>221</v>
      </c>
      <c r="G22" s="42" t="s">
        <v>122</v>
      </c>
      <c r="H22" s="18" t="s">
        <v>4094</v>
      </c>
      <c r="I22" s="45" t="s">
        <v>4092</v>
      </c>
      <c r="J22" s="19">
        <v>32.364318429792696</v>
      </c>
      <c r="K22" s="19">
        <v>13.77031120903332</v>
      </c>
      <c r="L22" s="19">
        <v>0</v>
      </c>
      <c r="M22" s="19">
        <v>9.2444739793341402</v>
      </c>
      <c r="N22" s="46" t="s">
        <v>145</v>
      </c>
      <c r="O22" s="20"/>
      <c r="P22" s="21" t="s">
        <v>15</v>
      </c>
      <c r="Q22" s="21" t="s">
        <v>15</v>
      </c>
      <c r="R22" s="22" t="s">
        <v>15</v>
      </c>
      <c r="S22" s="21" t="s">
        <v>15</v>
      </c>
      <c r="T22" s="22" t="s">
        <v>4096</v>
      </c>
    </row>
    <row r="23" spans="1:20" ht="18.75" customHeight="1" x14ac:dyDescent="0.3">
      <c r="A23" s="11">
        <v>46141</v>
      </c>
      <c r="B23" s="18" t="s">
        <v>1748</v>
      </c>
      <c r="C23" s="17" t="s">
        <v>1749</v>
      </c>
      <c r="D23" s="42" t="s">
        <v>200</v>
      </c>
      <c r="E23" s="18" t="s">
        <v>19</v>
      </c>
      <c r="F23" s="18" t="s">
        <v>109</v>
      </c>
      <c r="G23" s="42" t="s">
        <v>200</v>
      </c>
      <c r="H23" s="18" t="s">
        <v>1750</v>
      </c>
      <c r="I23" s="45" t="s">
        <v>4092</v>
      </c>
      <c r="J23" s="19">
        <v>11.67361585714343</v>
      </c>
      <c r="K23" s="19">
        <v>9.7886995601500821</v>
      </c>
      <c r="L23" s="19">
        <v>6.6581877220285124</v>
      </c>
      <c r="M23" s="19">
        <v>8.4253393274438206</v>
      </c>
      <c r="N23" s="46" t="s">
        <v>1</v>
      </c>
      <c r="O23" s="20"/>
      <c r="P23" s="21" t="s">
        <v>19</v>
      </c>
      <c r="Q23" s="21" t="s">
        <v>11</v>
      </c>
      <c r="R23" s="22" t="s">
        <v>80</v>
      </c>
      <c r="S23" s="21" t="s">
        <v>10</v>
      </c>
      <c r="T23" s="22" t="s">
        <v>4097</v>
      </c>
    </row>
    <row r="24" spans="1:20" ht="18.75" customHeight="1" x14ac:dyDescent="0.3">
      <c r="A24" s="11">
        <v>46141</v>
      </c>
      <c r="B24" s="18" t="s">
        <v>4098</v>
      </c>
      <c r="C24" s="18" t="s">
        <v>4099</v>
      </c>
      <c r="D24" s="42" t="s">
        <v>69</v>
      </c>
      <c r="E24" s="18" t="s">
        <v>66</v>
      </c>
      <c r="F24" s="18" t="s">
        <v>396</v>
      </c>
      <c r="G24" s="42" t="s">
        <v>68</v>
      </c>
      <c r="H24" s="18" t="s">
        <v>69</v>
      </c>
      <c r="I24" s="43" t="s">
        <v>4054</v>
      </c>
      <c r="J24" s="19">
        <v>3.496576861743582</v>
      </c>
      <c r="K24" s="19">
        <v>2.957376211702385</v>
      </c>
      <c r="L24" s="19">
        <v>13.23836450214176</v>
      </c>
      <c r="M24" s="19">
        <v>8.3957917776008539</v>
      </c>
      <c r="N24" s="46" t="s">
        <v>1</v>
      </c>
      <c r="O24" s="20"/>
      <c r="P24" s="21" t="s">
        <v>9</v>
      </c>
      <c r="Q24" s="21" t="s">
        <v>11</v>
      </c>
      <c r="R24" s="22" t="s">
        <v>104</v>
      </c>
      <c r="S24" s="21" t="s">
        <v>10</v>
      </c>
      <c r="T24" s="22" t="s">
        <v>4100</v>
      </c>
    </row>
    <row r="25" spans="1:20" ht="18.75" customHeight="1" x14ac:dyDescent="0.3">
      <c r="A25" s="11">
        <v>46141</v>
      </c>
      <c r="B25" s="18" t="s">
        <v>2779</v>
      </c>
      <c r="C25" s="17" t="s">
        <v>2780</v>
      </c>
      <c r="D25" s="42" t="s">
        <v>116</v>
      </c>
      <c r="E25" s="18" t="s">
        <v>390</v>
      </c>
      <c r="F25" s="18"/>
      <c r="G25" s="42" t="s">
        <v>116</v>
      </c>
      <c r="H25" s="18" t="s">
        <v>117</v>
      </c>
      <c r="I25" s="44" t="s">
        <v>4062</v>
      </c>
      <c r="J25" s="19">
        <v>0</v>
      </c>
      <c r="K25" s="19">
        <v>24.62447213807032</v>
      </c>
      <c r="L25" s="19">
        <v>0</v>
      </c>
      <c r="M25" s="19">
        <v>8.2667193158178591</v>
      </c>
      <c r="N25" s="46" t="s">
        <v>1</v>
      </c>
      <c r="O25" s="20"/>
      <c r="P25" s="21" t="s">
        <v>25</v>
      </c>
      <c r="Q25" s="21" t="s">
        <v>11</v>
      </c>
      <c r="R25" s="22" t="s">
        <v>4075</v>
      </c>
      <c r="S25" s="21" t="s">
        <v>10</v>
      </c>
      <c r="T25" s="23" t="s">
        <v>4079</v>
      </c>
    </row>
    <row r="26" spans="1:20" ht="18.75" customHeight="1" x14ac:dyDescent="0.3">
      <c r="A26" s="11">
        <v>46141</v>
      </c>
      <c r="B26" s="18" t="s">
        <v>4101</v>
      </c>
      <c r="C26" s="17" t="s">
        <v>4102</v>
      </c>
      <c r="D26" s="42" t="s">
        <v>116</v>
      </c>
      <c r="E26" s="18" t="s">
        <v>19</v>
      </c>
      <c r="F26" s="18" t="s">
        <v>109</v>
      </c>
      <c r="G26" s="42" t="s">
        <v>116</v>
      </c>
      <c r="H26" s="18" t="s">
        <v>117</v>
      </c>
      <c r="I26" s="44" t="s">
        <v>4062</v>
      </c>
      <c r="J26" s="19">
        <v>14.467280353624369</v>
      </c>
      <c r="K26" s="19">
        <v>18.468951773310081</v>
      </c>
      <c r="L26" s="19">
        <v>0</v>
      </c>
      <c r="M26" s="19">
        <v>8.2661664283900222</v>
      </c>
      <c r="N26" s="46" t="s">
        <v>1</v>
      </c>
      <c r="O26" s="20"/>
      <c r="P26" s="21" t="s">
        <v>25</v>
      </c>
      <c r="Q26" s="21" t="s">
        <v>11</v>
      </c>
      <c r="R26" s="22" t="s">
        <v>4075</v>
      </c>
      <c r="S26" s="21" t="s">
        <v>10</v>
      </c>
      <c r="T26" s="22" t="s">
        <v>4079</v>
      </c>
    </row>
    <row r="27" spans="1:20" ht="18.75" customHeight="1" x14ac:dyDescent="0.3">
      <c r="A27" s="11">
        <v>46141</v>
      </c>
      <c r="B27" s="18" t="s">
        <v>2890</v>
      </c>
      <c r="C27" s="18" t="s">
        <v>2891</v>
      </c>
      <c r="D27" s="42" t="s">
        <v>200</v>
      </c>
      <c r="E27" s="18" t="s">
        <v>19</v>
      </c>
      <c r="F27" s="18" t="s">
        <v>221</v>
      </c>
      <c r="G27" s="42" t="s">
        <v>200</v>
      </c>
      <c r="H27" s="18" t="s">
        <v>2890</v>
      </c>
      <c r="I27" s="45" t="s">
        <v>4092</v>
      </c>
      <c r="J27" s="19">
        <v>2.6868787693488239</v>
      </c>
      <c r="K27" s="19">
        <v>18.153084878250109</v>
      </c>
      <c r="L27" s="19">
        <v>0</v>
      </c>
      <c r="M27" s="19">
        <v>6.4778860114509973</v>
      </c>
      <c r="N27" s="46" t="s">
        <v>1</v>
      </c>
      <c r="O27" s="20"/>
      <c r="P27" s="21" t="s">
        <v>19</v>
      </c>
      <c r="Q27" s="21" t="s">
        <v>11</v>
      </c>
      <c r="R27" s="22" t="s">
        <v>80</v>
      </c>
      <c r="S27" s="21" t="s">
        <v>10</v>
      </c>
      <c r="T27" s="22" t="s">
        <v>4103</v>
      </c>
    </row>
    <row r="28" spans="1:20" ht="18.75" customHeight="1" x14ac:dyDescent="0.3">
      <c r="A28" s="11">
        <v>46141</v>
      </c>
      <c r="B28" s="18" t="s">
        <v>1551</v>
      </c>
      <c r="C28" s="17" t="s">
        <v>1552</v>
      </c>
      <c r="D28" s="42" t="s">
        <v>111</v>
      </c>
      <c r="E28" s="18" t="s">
        <v>19</v>
      </c>
      <c r="F28" s="18" t="s">
        <v>109</v>
      </c>
      <c r="G28" s="42" t="s">
        <v>110</v>
      </c>
      <c r="H28" s="18" t="s">
        <v>111</v>
      </c>
      <c r="I28" s="44" t="s">
        <v>4062</v>
      </c>
      <c r="J28" s="19">
        <v>8.7439400661047362</v>
      </c>
      <c r="K28" s="19">
        <v>11.18428713988936</v>
      </c>
      <c r="L28" s="19">
        <v>2.2454223548647638</v>
      </c>
      <c r="M28" s="19">
        <v>6.1742900925426554</v>
      </c>
      <c r="N28" s="46" t="s">
        <v>1</v>
      </c>
      <c r="O28" s="20"/>
      <c r="P28" s="21" t="s">
        <v>21</v>
      </c>
      <c r="Q28" s="21" t="s">
        <v>11</v>
      </c>
      <c r="R28" s="22" t="s">
        <v>61</v>
      </c>
      <c r="S28" s="21" t="s">
        <v>10</v>
      </c>
      <c r="T28" s="22" t="s">
        <v>4104</v>
      </c>
    </row>
    <row r="29" spans="1:20" ht="18.75" customHeight="1" x14ac:dyDescent="0.3">
      <c r="A29" s="11">
        <v>46141</v>
      </c>
      <c r="B29" s="18" t="s">
        <v>3121</v>
      </c>
      <c r="C29" s="17" t="s">
        <v>3122</v>
      </c>
      <c r="D29" s="42" t="s">
        <v>200</v>
      </c>
      <c r="E29" s="18" t="s">
        <v>19</v>
      </c>
      <c r="F29" s="18" t="s">
        <v>261</v>
      </c>
      <c r="G29" s="42" t="s">
        <v>200</v>
      </c>
      <c r="H29" s="18" t="s">
        <v>3123</v>
      </c>
      <c r="I29" s="45" t="s">
        <v>4092</v>
      </c>
      <c r="J29" s="19">
        <v>21.57621228652846</v>
      </c>
      <c r="K29" s="19">
        <v>9.1802074726888829</v>
      </c>
      <c r="L29" s="19">
        <v>0</v>
      </c>
      <c r="M29" s="19">
        <v>6.1629826528894256</v>
      </c>
      <c r="N29" s="46" t="s">
        <v>1</v>
      </c>
      <c r="O29" s="20"/>
      <c r="P29" s="21" t="s">
        <v>12</v>
      </c>
      <c r="Q29" s="21" t="s">
        <v>14</v>
      </c>
      <c r="R29" s="22" t="s">
        <v>146</v>
      </c>
      <c r="S29" s="21" t="s">
        <v>5</v>
      </c>
      <c r="T29" s="23" t="s">
        <v>4105</v>
      </c>
    </row>
    <row r="30" spans="1:20" ht="18.75" customHeight="1" x14ac:dyDescent="0.3">
      <c r="A30" s="11">
        <v>46141</v>
      </c>
      <c r="B30" s="18" t="s">
        <v>4106</v>
      </c>
      <c r="C30" s="17" t="s">
        <v>4107</v>
      </c>
      <c r="D30" s="42" t="s">
        <v>116</v>
      </c>
      <c r="E30" s="18" t="s">
        <v>19</v>
      </c>
      <c r="F30" s="18" t="s">
        <v>109</v>
      </c>
      <c r="G30" s="42" t="s">
        <v>116</v>
      </c>
      <c r="H30" s="18" t="s">
        <v>117</v>
      </c>
      <c r="I30" s="44" t="s">
        <v>4062</v>
      </c>
      <c r="J30" s="19">
        <v>3.1967025566626299</v>
      </c>
      <c r="K30" s="19">
        <v>4.0923112362339387</v>
      </c>
      <c r="L30" s="19">
        <v>7.238669842645673</v>
      </c>
      <c r="M30" s="19">
        <v>5.6052084135911846</v>
      </c>
      <c r="N30" s="46" t="s">
        <v>145</v>
      </c>
      <c r="O30" s="20"/>
      <c r="P30" s="21" t="s">
        <v>24</v>
      </c>
      <c r="Q30" s="21" t="s">
        <v>22</v>
      </c>
      <c r="R30" s="22" t="s">
        <v>4063</v>
      </c>
      <c r="S30" s="21" t="s">
        <v>5</v>
      </c>
      <c r="T30" s="22" t="s">
        <v>4064</v>
      </c>
    </row>
    <row r="31" spans="1:20" ht="18.75" customHeight="1" x14ac:dyDescent="0.3">
      <c r="A31" s="11">
        <v>46141</v>
      </c>
      <c r="B31" s="18" t="s">
        <v>1386</v>
      </c>
      <c r="C31" s="17" t="s">
        <v>1387</v>
      </c>
      <c r="D31" s="42" t="s">
        <v>110</v>
      </c>
      <c r="E31" s="18" t="s">
        <v>19</v>
      </c>
      <c r="F31" s="18" t="s">
        <v>109</v>
      </c>
      <c r="G31" s="42" t="s">
        <v>110</v>
      </c>
      <c r="H31" s="18" t="s">
        <v>111</v>
      </c>
      <c r="I31" s="44" t="s">
        <v>4062</v>
      </c>
      <c r="J31" s="19">
        <v>4.6854579571478254</v>
      </c>
      <c r="K31" s="19">
        <v>5.9846665034629778</v>
      </c>
      <c r="L31" s="19">
        <v>5.5570398496717859</v>
      </c>
      <c r="M31" s="19">
        <v>5.5761372359338299</v>
      </c>
      <c r="N31" s="46" t="s">
        <v>1</v>
      </c>
      <c r="O31" s="20"/>
      <c r="P31" s="21" t="s">
        <v>19</v>
      </c>
      <c r="Q31" s="21" t="s">
        <v>11</v>
      </c>
      <c r="R31" s="22" t="s">
        <v>80</v>
      </c>
      <c r="S31" s="21" t="s">
        <v>10</v>
      </c>
      <c r="T31" s="22" t="s">
        <v>4086</v>
      </c>
    </row>
    <row r="32" spans="1:20" ht="18.75" customHeight="1" x14ac:dyDescent="0.3">
      <c r="A32" s="11">
        <v>46141</v>
      </c>
      <c r="B32" s="18" t="s">
        <v>4108</v>
      </c>
      <c r="C32" s="17" t="s">
        <v>4109</v>
      </c>
      <c r="D32" s="42" t="s">
        <v>116</v>
      </c>
      <c r="E32" s="18" t="s">
        <v>19</v>
      </c>
      <c r="F32" s="18" t="s">
        <v>109</v>
      </c>
      <c r="G32" s="42" t="s">
        <v>116</v>
      </c>
      <c r="H32" s="18" t="s">
        <v>117</v>
      </c>
      <c r="I32" s="44" t="s">
        <v>4062</v>
      </c>
      <c r="J32" s="19">
        <v>3.194829122853295</v>
      </c>
      <c r="K32" s="19">
        <v>5.4603109030264081</v>
      </c>
      <c r="L32" s="19">
        <v>4.7186188759529566</v>
      </c>
      <c r="M32" s="19">
        <v>4.7500164082720513</v>
      </c>
      <c r="N32" s="46" t="s">
        <v>1</v>
      </c>
      <c r="O32" s="20"/>
      <c r="P32" s="21" t="s">
        <v>24</v>
      </c>
      <c r="Q32" s="21" t="s">
        <v>22</v>
      </c>
      <c r="R32" s="22" t="s">
        <v>4063</v>
      </c>
      <c r="S32" s="21" t="s">
        <v>5</v>
      </c>
      <c r="T32" s="22" t="s">
        <v>4064</v>
      </c>
    </row>
    <row r="33" spans="1:20" ht="18.75" customHeight="1" x14ac:dyDescent="0.3">
      <c r="A33" s="11">
        <v>46141</v>
      </c>
      <c r="B33" s="18" t="s">
        <v>4110</v>
      </c>
      <c r="C33" s="17" t="s">
        <v>4111</v>
      </c>
      <c r="D33" s="42" t="s">
        <v>116</v>
      </c>
      <c r="E33" s="18" t="s">
        <v>19</v>
      </c>
      <c r="F33" s="18" t="s">
        <v>109</v>
      </c>
      <c r="G33" s="42" t="s">
        <v>116</v>
      </c>
      <c r="H33" s="18" t="s">
        <v>117</v>
      </c>
      <c r="I33" s="44" t="s">
        <v>4062</v>
      </c>
      <c r="J33" s="19">
        <v>3.1967025566626299</v>
      </c>
      <c r="K33" s="19">
        <v>5.4579202239970632</v>
      </c>
      <c r="L33" s="19">
        <v>4.6447461733940072</v>
      </c>
      <c r="M33" s="19">
        <v>4.7109575867569546</v>
      </c>
      <c r="N33" s="46" t="s">
        <v>1</v>
      </c>
      <c r="O33" s="20"/>
      <c r="P33" s="21" t="s">
        <v>24</v>
      </c>
      <c r="Q33" s="21" t="s">
        <v>22</v>
      </c>
      <c r="R33" s="22" t="s">
        <v>4063</v>
      </c>
      <c r="S33" s="21" t="s">
        <v>5</v>
      </c>
      <c r="T33" s="22" t="s">
        <v>4064</v>
      </c>
    </row>
    <row r="34" spans="1:20" ht="18.75" customHeight="1" x14ac:dyDescent="0.3">
      <c r="A34" s="11">
        <v>46141</v>
      </c>
      <c r="B34" s="24" t="s">
        <v>4112</v>
      </c>
      <c r="C34" s="26" t="s">
        <v>4113</v>
      </c>
      <c r="D34" s="42" t="s">
        <v>69</v>
      </c>
      <c r="E34" s="24" t="s">
        <v>136</v>
      </c>
      <c r="F34" s="24" t="s">
        <v>137</v>
      </c>
      <c r="G34" s="24" t="s">
        <v>155</v>
      </c>
      <c r="H34" s="24" t="s">
        <v>69</v>
      </c>
      <c r="I34" s="43" t="s">
        <v>4054</v>
      </c>
      <c r="J34" s="19">
        <v>4.0353764253084421</v>
      </c>
      <c r="K34" s="19">
        <v>3.4314213001213831</v>
      </c>
      <c r="L34" s="19">
        <v>5.5697281703427901</v>
      </c>
      <c r="M34" s="19">
        <v>4.6327686034134912</v>
      </c>
      <c r="N34" s="46" t="s">
        <v>1</v>
      </c>
      <c r="O34" s="20"/>
      <c r="P34" s="21" t="s">
        <v>7</v>
      </c>
      <c r="Q34" s="21" t="s">
        <v>11</v>
      </c>
      <c r="R34" s="22" t="s">
        <v>70</v>
      </c>
      <c r="S34" s="21" t="s">
        <v>10</v>
      </c>
      <c r="T34" s="22" t="s">
        <v>4114</v>
      </c>
    </row>
    <row r="35" spans="1:20" ht="18.75" customHeight="1" x14ac:dyDescent="0.3">
      <c r="A35" s="11">
        <v>46141</v>
      </c>
      <c r="B35" s="18" t="s">
        <v>1698</v>
      </c>
      <c r="C35" s="17" t="s">
        <v>1699</v>
      </c>
      <c r="D35" s="42" t="s">
        <v>200</v>
      </c>
      <c r="E35" s="18" t="s">
        <v>19</v>
      </c>
      <c r="F35" s="18" t="s">
        <v>820</v>
      </c>
      <c r="G35" s="42" t="s">
        <v>200</v>
      </c>
      <c r="H35" s="18" t="s">
        <v>1698</v>
      </c>
      <c r="I35" s="45" t="s">
        <v>4092</v>
      </c>
      <c r="J35" s="19">
        <v>11.023409429716761</v>
      </c>
      <c r="K35" s="19">
        <v>8.0052311424844813</v>
      </c>
      <c r="L35" s="19">
        <v>0.55806110000671683</v>
      </c>
      <c r="M35" s="19">
        <v>4.552612752935965</v>
      </c>
      <c r="N35" s="46" t="s">
        <v>1</v>
      </c>
      <c r="O35" s="20"/>
      <c r="P35" s="21" t="s">
        <v>21</v>
      </c>
      <c r="Q35" s="21" t="s">
        <v>11</v>
      </c>
      <c r="R35" s="22" t="s">
        <v>61</v>
      </c>
      <c r="S35" s="21" t="s">
        <v>10</v>
      </c>
      <c r="T35" s="22" t="s">
        <v>4115</v>
      </c>
    </row>
    <row r="36" spans="1:20" ht="18.75" customHeight="1" x14ac:dyDescent="0.3">
      <c r="A36" s="11">
        <v>46141</v>
      </c>
      <c r="B36" s="18" t="s">
        <v>2637</v>
      </c>
      <c r="C36" s="18" t="s">
        <v>2638</v>
      </c>
      <c r="D36" s="42" t="s">
        <v>631</v>
      </c>
      <c r="E36" s="18" t="s">
        <v>66</v>
      </c>
      <c r="F36" s="18" t="s">
        <v>137</v>
      </c>
      <c r="G36" s="42" t="s">
        <v>200</v>
      </c>
      <c r="H36" s="18" t="s">
        <v>631</v>
      </c>
      <c r="I36" s="44" t="s">
        <v>4062</v>
      </c>
      <c r="J36" s="19">
        <v>4.3969491505101734</v>
      </c>
      <c r="K36" s="19">
        <v>5.6216020482062898</v>
      </c>
      <c r="L36" s="19">
        <v>3.5920601619289649</v>
      </c>
      <c r="M36" s="19">
        <v>4.38833885507358</v>
      </c>
      <c r="N36" s="46" t="s">
        <v>1</v>
      </c>
      <c r="O36" s="20"/>
      <c r="P36" s="21" t="s">
        <v>7</v>
      </c>
      <c r="Q36" s="21" t="s">
        <v>11</v>
      </c>
      <c r="R36" s="22" t="s">
        <v>70</v>
      </c>
      <c r="S36" s="21" t="s">
        <v>10</v>
      </c>
      <c r="T36" s="22" t="s">
        <v>4116</v>
      </c>
    </row>
    <row r="37" spans="1:20" ht="18.75" customHeight="1" x14ac:dyDescent="0.3">
      <c r="A37" s="11">
        <v>46141</v>
      </c>
      <c r="B37" s="18" t="s">
        <v>4117</v>
      </c>
      <c r="C37" s="17" t="s">
        <v>4118</v>
      </c>
      <c r="D37" s="42" t="s">
        <v>143</v>
      </c>
      <c r="E37" s="18" t="s">
        <v>19</v>
      </c>
      <c r="F37" s="18" t="s">
        <v>261</v>
      </c>
      <c r="G37" s="42" t="s">
        <v>143</v>
      </c>
      <c r="H37" s="18" t="s">
        <v>4117</v>
      </c>
      <c r="I37" s="44" t="s">
        <v>4119</v>
      </c>
      <c r="J37" s="19">
        <v>0</v>
      </c>
      <c r="K37" s="19">
        <v>12.498363713019909</v>
      </c>
      <c r="L37" s="19">
        <v>0</v>
      </c>
      <c r="M37" s="19">
        <v>4.1958448547939264</v>
      </c>
      <c r="N37" s="46" t="s">
        <v>145</v>
      </c>
      <c r="O37" s="20"/>
      <c r="P37" s="21" t="s">
        <v>7</v>
      </c>
      <c r="Q37" s="21" t="s">
        <v>11</v>
      </c>
      <c r="R37" s="22" t="s">
        <v>70</v>
      </c>
      <c r="S37" s="21" t="s">
        <v>10</v>
      </c>
      <c r="T37" s="22" t="s">
        <v>4120</v>
      </c>
    </row>
    <row r="38" spans="1:20" ht="18.75" customHeight="1" x14ac:dyDescent="0.3">
      <c r="A38" s="11">
        <v>46141</v>
      </c>
      <c r="B38" s="18" t="s">
        <v>4121</v>
      </c>
      <c r="C38" s="17" t="s">
        <v>4122</v>
      </c>
      <c r="D38" s="42" t="s">
        <v>143</v>
      </c>
      <c r="E38" s="18" t="s">
        <v>19</v>
      </c>
      <c r="F38" s="18" t="s">
        <v>221</v>
      </c>
      <c r="G38" s="42" t="s">
        <v>143</v>
      </c>
      <c r="H38" s="18" t="s">
        <v>4123</v>
      </c>
      <c r="I38" s="44" t="s">
        <v>4062</v>
      </c>
      <c r="J38" s="19">
        <v>0</v>
      </c>
      <c r="K38" s="19">
        <v>12.49209482134297</v>
      </c>
      <c r="L38" s="19">
        <v>0</v>
      </c>
      <c r="M38" s="19">
        <v>4.1937403155524748</v>
      </c>
      <c r="N38" s="46" t="s">
        <v>145</v>
      </c>
      <c r="O38" s="20"/>
      <c r="P38" s="21" t="s">
        <v>7</v>
      </c>
      <c r="Q38" s="21" t="s">
        <v>11</v>
      </c>
      <c r="R38" s="22" t="s">
        <v>70</v>
      </c>
      <c r="S38" s="21" t="s">
        <v>10</v>
      </c>
      <c r="T38" s="22" t="s">
        <v>4120</v>
      </c>
    </row>
    <row r="39" spans="1:20" ht="18.75" customHeight="1" x14ac:dyDescent="0.3">
      <c r="A39" s="11">
        <v>46141</v>
      </c>
      <c r="B39" s="18" t="s">
        <v>4124</v>
      </c>
      <c r="C39" s="17" t="s">
        <v>4125</v>
      </c>
      <c r="D39" s="42" t="s">
        <v>69</v>
      </c>
      <c r="E39" s="18" t="s">
        <v>66</v>
      </c>
      <c r="F39" s="18" t="s">
        <v>103</v>
      </c>
      <c r="G39" s="42" t="s">
        <v>68</v>
      </c>
      <c r="H39" s="18" t="s">
        <v>69</v>
      </c>
      <c r="I39" s="43" t="s">
        <v>4054</v>
      </c>
      <c r="J39" s="19">
        <v>2.8714744473620049</v>
      </c>
      <c r="K39" s="19">
        <v>2.4813123276586051</v>
      </c>
      <c r="L39" s="19">
        <v>5.1484485638052204</v>
      </c>
      <c r="M39" s="19">
        <v>3.9279084732316871</v>
      </c>
      <c r="N39" s="46" t="s">
        <v>1</v>
      </c>
      <c r="O39" s="20"/>
      <c r="P39" s="21" t="s">
        <v>9</v>
      </c>
      <c r="Q39" s="21" t="s">
        <v>11</v>
      </c>
      <c r="R39" s="22" t="s">
        <v>104</v>
      </c>
      <c r="S39" s="21" t="s">
        <v>10</v>
      </c>
      <c r="T39" s="23" t="s">
        <v>4126</v>
      </c>
    </row>
    <row r="40" spans="1:20" ht="18.75" customHeight="1" x14ac:dyDescent="0.3">
      <c r="A40" s="11">
        <v>46141</v>
      </c>
      <c r="B40" s="18" t="s">
        <v>4127</v>
      </c>
      <c r="C40" s="17" t="s">
        <v>4128</v>
      </c>
      <c r="D40" s="42" t="s">
        <v>200</v>
      </c>
      <c r="E40" s="18" t="s">
        <v>66</v>
      </c>
      <c r="F40" s="18" t="s">
        <v>79</v>
      </c>
      <c r="G40" s="42" t="s">
        <v>200</v>
      </c>
      <c r="H40" s="18" t="s">
        <v>4127</v>
      </c>
      <c r="I40" s="44" t="s">
        <v>4119</v>
      </c>
      <c r="J40" s="19">
        <v>5.3536493491441153</v>
      </c>
      <c r="K40" s="19">
        <v>4.4699322704693127</v>
      </c>
      <c r="L40" s="19">
        <v>3.1236867075100632</v>
      </c>
      <c r="M40" s="19">
        <v>3.8940753296635879</v>
      </c>
      <c r="N40" s="46" t="s">
        <v>1</v>
      </c>
      <c r="O40" s="20"/>
      <c r="P40" s="21" t="s">
        <v>7</v>
      </c>
      <c r="Q40" s="21" t="s">
        <v>11</v>
      </c>
      <c r="R40" s="22" t="s">
        <v>70</v>
      </c>
      <c r="S40" s="21" t="s">
        <v>10</v>
      </c>
      <c r="T40" s="22" t="s">
        <v>4129</v>
      </c>
    </row>
    <row r="41" spans="1:20" ht="18.75" customHeight="1" x14ac:dyDescent="0.3">
      <c r="A41" s="11">
        <v>46141</v>
      </c>
      <c r="B41" s="18" t="s">
        <v>2250</v>
      </c>
      <c r="C41" s="17" t="s">
        <v>2251</v>
      </c>
      <c r="D41" s="42" t="s">
        <v>200</v>
      </c>
      <c r="E41" s="18" t="s">
        <v>19</v>
      </c>
      <c r="F41" s="18" t="s">
        <v>221</v>
      </c>
      <c r="G41" s="42" t="s">
        <v>200</v>
      </c>
      <c r="H41" s="18" t="s">
        <v>2252</v>
      </c>
      <c r="I41" s="45" t="s">
        <v>4092</v>
      </c>
      <c r="J41" s="19">
        <v>1.3599880499902079</v>
      </c>
      <c r="K41" s="19">
        <v>0.67000886072777455</v>
      </c>
      <c r="L41" s="19">
        <v>6.436980018254765</v>
      </c>
      <c r="M41" s="19">
        <v>3.775947300668038</v>
      </c>
      <c r="N41" s="46" t="s">
        <v>1</v>
      </c>
      <c r="O41" s="20"/>
      <c r="P41" s="21" t="s">
        <v>19</v>
      </c>
      <c r="Q41" s="21" t="s">
        <v>11</v>
      </c>
      <c r="R41" s="22" t="s">
        <v>80</v>
      </c>
      <c r="S41" s="21" t="s">
        <v>10</v>
      </c>
      <c r="T41" s="22" t="s">
        <v>4130</v>
      </c>
    </row>
    <row r="42" spans="1:20" ht="18.75" customHeight="1" x14ac:dyDescent="0.3">
      <c r="A42" s="11">
        <v>46141</v>
      </c>
      <c r="B42" s="42" t="s">
        <v>1470</v>
      </c>
      <c r="C42" s="27" t="s">
        <v>1471</v>
      </c>
      <c r="D42" s="42" t="s">
        <v>59</v>
      </c>
      <c r="E42" s="42" t="s">
        <v>19</v>
      </c>
      <c r="F42" s="42" t="s">
        <v>221</v>
      </c>
      <c r="G42" s="42" t="s">
        <v>59</v>
      </c>
      <c r="H42" s="42" t="s">
        <v>1470</v>
      </c>
      <c r="I42" s="45" t="s">
        <v>4092</v>
      </c>
      <c r="J42" s="19">
        <v>10.651345475182749</v>
      </c>
      <c r="K42" s="19">
        <v>4.5563685989303364</v>
      </c>
      <c r="L42" s="19">
        <v>1.2150208878619451</v>
      </c>
      <c r="M42" s="19">
        <v>3.6842561322419098</v>
      </c>
      <c r="N42" s="46" t="s">
        <v>1</v>
      </c>
      <c r="O42" s="20"/>
      <c r="P42" s="21" t="s">
        <v>12</v>
      </c>
      <c r="Q42" s="21" t="s">
        <v>14</v>
      </c>
      <c r="R42" s="22" t="s">
        <v>146</v>
      </c>
      <c r="S42" s="21" t="s">
        <v>5</v>
      </c>
      <c r="T42" s="22" t="s">
        <v>4131</v>
      </c>
    </row>
    <row r="43" spans="1:20" ht="18.75" customHeight="1" x14ac:dyDescent="0.3">
      <c r="A43" s="11">
        <v>46141</v>
      </c>
      <c r="B43" s="18" t="s">
        <v>4132</v>
      </c>
      <c r="C43" s="17" t="s">
        <v>4133</v>
      </c>
      <c r="D43" s="42" t="s">
        <v>59</v>
      </c>
      <c r="E43" s="18" t="s">
        <v>19</v>
      </c>
      <c r="F43" s="18" t="s">
        <v>221</v>
      </c>
      <c r="G43" s="42" t="s">
        <v>59</v>
      </c>
      <c r="H43" s="18" t="s">
        <v>4132</v>
      </c>
      <c r="I43" s="45" t="s">
        <v>4092</v>
      </c>
      <c r="J43" s="19">
        <v>10.44963910171097</v>
      </c>
      <c r="K43" s="19">
        <v>4.4610070687597547</v>
      </c>
      <c r="L43" s="19">
        <v>1.064298027782316</v>
      </c>
      <c r="M43" s="19">
        <v>3.5448382681526271</v>
      </c>
      <c r="N43" s="46" t="s">
        <v>1</v>
      </c>
      <c r="O43" s="20"/>
      <c r="P43" s="21" t="s">
        <v>12</v>
      </c>
      <c r="Q43" s="21" t="s">
        <v>14</v>
      </c>
      <c r="R43" s="22" t="s">
        <v>146</v>
      </c>
      <c r="S43" s="21" t="s">
        <v>5</v>
      </c>
      <c r="T43" s="22" t="s">
        <v>4134</v>
      </c>
    </row>
    <row r="44" spans="1:20" ht="18.75" customHeight="1" x14ac:dyDescent="0.3">
      <c r="A44" s="11">
        <v>46141</v>
      </c>
      <c r="B44" s="18" t="s">
        <v>4135</v>
      </c>
      <c r="C44" s="17" t="s">
        <v>4136</v>
      </c>
      <c r="D44" s="42" t="s">
        <v>111</v>
      </c>
      <c r="E44" s="18" t="s">
        <v>66</v>
      </c>
      <c r="F44" s="18" t="s">
        <v>67</v>
      </c>
      <c r="G44" s="42" t="s">
        <v>110</v>
      </c>
      <c r="H44" s="18" t="s">
        <v>111</v>
      </c>
      <c r="I44" s="44" t="s">
        <v>4062</v>
      </c>
      <c r="J44" s="19">
        <v>3.992287447693728</v>
      </c>
      <c r="K44" s="19">
        <v>5.1011777866179786</v>
      </c>
      <c r="L44" s="19">
        <v>2.3083509533409061</v>
      </c>
      <c r="M44" s="19">
        <v>3.486401109484552</v>
      </c>
      <c r="N44" s="46" t="s">
        <v>1</v>
      </c>
      <c r="O44" s="20"/>
      <c r="P44" s="21" t="s">
        <v>19</v>
      </c>
      <c r="Q44" s="21" t="s">
        <v>11</v>
      </c>
      <c r="R44" s="22" t="s">
        <v>80</v>
      </c>
      <c r="S44" s="21" t="s">
        <v>10</v>
      </c>
      <c r="T44" s="22" t="s">
        <v>4086</v>
      </c>
    </row>
    <row r="45" spans="1:20" ht="18.75" customHeight="1" x14ac:dyDescent="0.3">
      <c r="A45" s="11">
        <v>46141</v>
      </c>
      <c r="B45" s="18" t="s">
        <v>4137</v>
      </c>
      <c r="C45" s="17" t="s">
        <v>4138</v>
      </c>
      <c r="D45" s="42" t="s">
        <v>110</v>
      </c>
      <c r="E45" s="18" t="s">
        <v>19</v>
      </c>
      <c r="F45" s="18" t="s">
        <v>109</v>
      </c>
      <c r="G45" s="42" t="s">
        <v>110</v>
      </c>
      <c r="H45" s="18" t="s">
        <v>111</v>
      </c>
      <c r="I45" s="44" t="s">
        <v>4062</v>
      </c>
      <c r="J45" s="19">
        <v>2.44108425356402</v>
      </c>
      <c r="K45" s="19">
        <v>3.984252544107497</v>
      </c>
      <c r="L45" s="19">
        <v>3.360865963179656</v>
      </c>
      <c r="M45" s="19">
        <v>3.4387992854554219</v>
      </c>
      <c r="N45" s="46" t="s">
        <v>1</v>
      </c>
      <c r="O45" s="20"/>
      <c r="P45" s="21" t="s">
        <v>19</v>
      </c>
      <c r="Q45" s="21" t="s">
        <v>11</v>
      </c>
      <c r="R45" s="22" t="s">
        <v>80</v>
      </c>
      <c r="S45" s="21" t="s">
        <v>10</v>
      </c>
      <c r="T45" s="22" t="s">
        <v>4086</v>
      </c>
    </row>
    <row r="46" spans="1:20" ht="18.75" customHeight="1" x14ac:dyDescent="0.3">
      <c r="A46" s="11">
        <v>46141</v>
      </c>
      <c r="B46" s="18" t="s">
        <v>4139</v>
      </c>
      <c r="C46" s="17" t="s">
        <v>4140</v>
      </c>
      <c r="D46" s="42" t="s">
        <v>110</v>
      </c>
      <c r="E46" s="18" t="s">
        <v>66</v>
      </c>
      <c r="F46" s="18" t="s">
        <v>396</v>
      </c>
      <c r="G46" s="42" t="s">
        <v>110</v>
      </c>
      <c r="H46" s="18" t="s">
        <v>111</v>
      </c>
      <c r="I46" s="44" t="s">
        <v>4062</v>
      </c>
      <c r="J46" s="19">
        <v>2.39362393039419</v>
      </c>
      <c r="K46" s="19">
        <v>3.9353233133068808</v>
      </c>
      <c r="L46" s="19">
        <v>3.2524509321093449</v>
      </c>
      <c r="M46" s="19">
        <v>3.3590586502983451</v>
      </c>
      <c r="N46" s="46" t="s">
        <v>1</v>
      </c>
      <c r="O46" s="20"/>
      <c r="P46" s="21" t="s">
        <v>19</v>
      </c>
      <c r="Q46" s="21" t="s">
        <v>11</v>
      </c>
      <c r="R46" s="22" t="s">
        <v>80</v>
      </c>
      <c r="S46" s="21" t="s">
        <v>10</v>
      </c>
      <c r="T46" s="22" t="s">
        <v>4086</v>
      </c>
    </row>
    <row r="47" spans="1:20" ht="18.75" customHeight="1" x14ac:dyDescent="0.3">
      <c r="A47" s="11">
        <v>46141</v>
      </c>
      <c r="B47" s="18" t="s">
        <v>3541</v>
      </c>
      <c r="C47" s="17" t="s">
        <v>3542</v>
      </c>
      <c r="D47" s="42" t="s">
        <v>110</v>
      </c>
      <c r="E47" s="18" t="s">
        <v>66</v>
      </c>
      <c r="F47" s="18" t="s">
        <v>430</v>
      </c>
      <c r="G47" s="42" t="s">
        <v>110</v>
      </c>
      <c r="H47" s="18" t="s">
        <v>111</v>
      </c>
      <c r="I47" s="44" t="s">
        <v>4062</v>
      </c>
      <c r="J47" s="19">
        <v>2.2924585046900789</v>
      </c>
      <c r="K47" s="19">
        <v>3.933198265280796</v>
      </c>
      <c r="L47" s="19">
        <v>3.2244066653971508</v>
      </c>
      <c r="M47" s="19">
        <v>3.329274069508295</v>
      </c>
      <c r="N47" s="46" t="s">
        <v>1</v>
      </c>
      <c r="O47" s="20"/>
      <c r="P47" s="21" t="s">
        <v>19</v>
      </c>
      <c r="Q47" s="21" t="s">
        <v>11</v>
      </c>
      <c r="R47" s="22" t="s">
        <v>80</v>
      </c>
      <c r="S47" s="21" t="s">
        <v>10</v>
      </c>
      <c r="T47" s="22" t="s">
        <v>4141</v>
      </c>
    </row>
    <row r="48" spans="1:20" ht="18.75" customHeight="1" x14ac:dyDescent="0.3">
      <c r="A48" s="11">
        <v>46141</v>
      </c>
      <c r="B48" s="18" t="s">
        <v>4142</v>
      </c>
      <c r="C48" s="17" t="s">
        <v>4143</v>
      </c>
      <c r="D48" s="42" t="s">
        <v>110</v>
      </c>
      <c r="E48" s="18" t="s">
        <v>19</v>
      </c>
      <c r="F48" s="18" t="s">
        <v>109</v>
      </c>
      <c r="G48" s="42" t="s">
        <v>110</v>
      </c>
      <c r="H48" s="18" t="s">
        <v>111</v>
      </c>
      <c r="I48" s="44" t="s">
        <v>4062</v>
      </c>
      <c r="J48" s="19">
        <v>2.3767630261101722</v>
      </c>
      <c r="K48" s="19">
        <v>3.9311794696560138</v>
      </c>
      <c r="L48" s="19">
        <v>3.1722511693775211</v>
      </c>
      <c r="M48" s="19">
        <v>3.3134365199624471</v>
      </c>
      <c r="N48" s="46" t="s">
        <v>1</v>
      </c>
      <c r="O48" s="20"/>
      <c r="P48" s="21" t="s">
        <v>19</v>
      </c>
      <c r="Q48" s="21" t="s">
        <v>11</v>
      </c>
      <c r="R48" s="22" t="s">
        <v>80</v>
      </c>
      <c r="S48" s="21" t="s">
        <v>10</v>
      </c>
      <c r="T48" s="22" t="s">
        <v>4144</v>
      </c>
    </row>
    <row r="49" spans="1:20" ht="18.75" customHeight="1" x14ac:dyDescent="0.3">
      <c r="A49" s="11">
        <v>46141</v>
      </c>
      <c r="B49" s="18" t="s">
        <v>4145</v>
      </c>
      <c r="C49" s="17" t="s">
        <v>4146</v>
      </c>
      <c r="D49" s="42" t="s">
        <v>69</v>
      </c>
      <c r="E49" s="18" t="s">
        <v>66</v>
      </c>
      <c r="F49" s="18" t="s">
        <v>4147</v>
      </c>
      <c r="G49" s="42" t="s">
        <v>68</v>
      </c>
      <c r="H49" s="18" t="s">
        <v>69</v>
      </c>
      <c r="I49" s="43" t="s">
        <v>4054</v>
      </c>
      <c r="J49" s="19">
        <v>1.400204429097275</v>
      </c>
      <c r="K49" s="19">
        <v>1.1896018850026</v>
      </c>
      <c r="L49" s="19">
        <v>4.6253545889722814</v>
      </c>
      <c r="M49" s="19">
        <v>3.011381633579028</v>
      </c>
      <c r="N49" s="46" t="s">
        <v>1</v>
      </c>
      <c r="O49" s="20"/>
      <c r="P49" s="21" t="s">
        <v>7</v>
      </c>
      <c r="Q49" s="21" t="s">
        <v>11</v>
      </c>
      <c r="R49" s="22" t="s">
        <v>70</v>
      </c>
      <c r="S49" s="21" t="s">
        <v>10</v>
      </c>
      <c r="T49" s="22" t="s">
        <v>4148</v>
      </c>
    </row>
    <row r="50" spans="1:20" ht="18.75" customHeight="1" x14ac:dyDescent="0.3">
      <c r="A50" s="11">
        <v>46141</v>
      </c>
      <c r="B50" s="18" t="s">
        <v>4149</v>
      </c>
      <c r="C50" s="17" t="s">
        <v>4150</v>
      </c>
      <c r="D50" s="42" t="s">
        <v>122</v>
      </c>
      <c r="E50" s="18" t="s">
        <v>19</v>
      </c>
      <c r="F50" s="18" t="s">
        <v>221</v>
      </c>
      <c r="G50" s="42" t="s">
        <v>122</v>
      </c>
      <c r="H50" s="18" t="s">
        <v>4151</v>
      </c>
      <c r="I50" s="45" t="s">
        <v>4092</v>
      </c>
      <c r="J50" s="19">
        <v>10.22132996814663</v>
      </c>
      <c r="K50" s="19">
        <v>4.3953962109543676</v>
      </c>
      <c r="L50" s="19">
        <v>0</v>
      </c>
      <c r="M50" s="19">
        <v>2.935190179007114</v>
      </c>
      <c r="N50" s="46" t="s">
        <v>145</v>
      </c>
      <c r="O50" s="20"/>
      <c r="P50" s="21" t="s">
        <v>7</v>
      </c>
      <c r="Q50" s="21" t="s">
        <v>11</v>
      </c>
      <c r="R50" s="22" t="s">
        <v>70</v>
      </c>
      <c r="S50" s="21" t="s">
        <v>10</v>
      </c>
      <c r="T50" s="22" t="s">
        <v>4152</v>
      </c>
    </row>
    <row r="51" spans="1:20" ht="18.75" customHeight="1" x14ac:dyDescent="0.3">
      <c r="A51" s="11">
        <v>46141</v>
      </c>
      <c r="B51" s="18" t="s">
        <v>4153</v>
      </c>
      <c r="C51" s="17" t="s">
        <v>4154</v>
      </c>
      <c r="D51" s="42" t="s">
        <v>116</v>
      </c>
      <c r="E51" s="18" t="s">
        <v>1842</v>
      </c>
      <c r="F51" s="18"/>
      <c r="G51" s="42" t="s">
        <v>116</v>
      </c>
      <c r="H51" s="18" t="s">
        <v>117</v>
      </c>
      <c r="I51" s="44" t="s">
        <v>4062</v>
      </c>
      <c r="J51" s="19">
        <v>2.2543653505669261</v>
      </c>
      <c r="K51" s="19">
        <v>3.9019600592973398</v>
      </c>
      <c r="L51" s="19">
        <v>2.4034278575602959</v>
      </c>
      <c r="M51" s="19">
        <v>2.8852162895617708</v>
      </c>
      <c r="N51" s="46" t="s">
        <v>1</v>
      </c>
      <c r="O51" s="20"/>
      <c r="P51" s="21" t="s">
        <v>25</v>
      </c>
      <c r="Q51" s="21" t="s">
        <v>11</v>
      </c>
      <c r="R51" s="22" t="s">
        <v>4075</v>
      </c>
      <c r="S51" s="21" t="s">
        <v>10</v>
      </c>
      <c r="T51" s="22" t="s">
        <v>4155</v>
      </c>
    </row>
    <row r="52" spans="1:20" ht="18.75" customHeight="1" x14ac:dyDescent="0.3">
      <c r="A52" s="11">
        <v>46141</v>
      </c>
      <c r="B52" s="18" t="s">
        <v>4156</v>
      </c>
      <c r="C52" s="17" t="s">
        <v>4157</v>
      </c>
      <c r="D52" s="42" t="s">
        <v>200</v>
      </c>
      <c r="E52" s="18" t="s">
        <v>19</v>
      </c>
      <c r="F52" s="18" t="s">
        <v>109</v>
      </c>
      <c r="G52" s="42" t="s">
        <v>200</v>
      </c>
      <c r="H52" s="18" t="s">
        <v>4156</v>
      </c>
      <c r="I52" s="44" t="s">
        <v>4062</v>
      </c>
      <c r="J52" s="19">
        <v>0</v>
      </c>
      <c r="K52" s="19">
        <v>8.406636864993148</v>
      </c>
      <c r="L52" s="19">
        <v>0</v>
      </c>
      <c r="M52" s="19">
        <v>2.8222049578664108</v>
      </c>
      <c r="N52" s="46" t="s">
        <v>1</v>
      </c>
      <c r="O52" s="20"/>
      <c r="P52" s="21" t="s">
        <v>7</v>
      </c>
      <c r="Q52" s="21" t="s">
        <v>11</v>
      </c>
      <c r="R52" s="22" t="s">
        <v>70</v>
      </c>
      <c r="S52" s="21" t="s">
        <v>10</v>
      </c>
      <c r="T52" s="22" t="s">
        <v>4158</v>
      </c>
    </row>
    <row r="53" spans="1:20" ht="18.75" customHeight="1" x14ac:dyDescent="0.3">
      <c r="A53" s="11">
        <v>46141</v>
      </c>
      <c r="B53" s="18" t="s">
        <v>3156</v>
      </c>
      <c r="C53" s="17" t="s">
        <v>3157</v>
      </c>
      <c r="D53" s="42" t="s">
        <v>143</v>
      </c>
      <c r="E53" s="18" t="s">
        <v>66</v>
      </c>
      <c r="F53" s="18" t="s">
        <v>193</v>
      </c>
      <c r="G53" s="42" t="s">
        <v>143</v>
      </c>
      <c r="H53" s="18" t="s">
        <v>3156</v>
      </c>
      <c r="I53" s="45" t="s">
        <v>4092</v>
      </c>
      <c r="J53" s="19">
        <v>9.7874426979045523</v>
      </c>
      <c r="K53" s="19">
        <v>4.1815396095721891</v>
      </c>
      <c r="L53" s="19">
        <v>0</v>
      </c>
      <c r="M53" s="19">
        <v>2.8014369892229172</v>
      </c>
      <c r="N53" s="46" t="s">
        <v>145</v>
      </c>
      <c r="O53" s="20"/>
      <c r="P53" s="21" t="s">
        <v>7</v>
      </c>
      <c r="Q53" s="21" t="s">
        <v>11</v>
      </c>
      <c r="R53" s="22" t="s">
        <v>70</v>
      </c>
      <c r="S53" s="21" t="s">
        <v>10</v>
      </c>
      <c r="T53" s="22" t="s">
        <v>4159</v>
      </c>
    </row>
    <row r="54" spans="1:20" ht="18.75" customHeight="1" x14ac:dyDescent="0.3">
      <c r="A54" s="11">
        <v>46141</v>
      </c>
      <c r="B54" s="18" t="s">
        <v>4160</v>
      </c>
      <c r="C54" s="17" t="s">
        <v>4161</v>
      </c>
      <c r="D54" s="42" t="s">
        <v>116</v>
      </c>
      <c r="E54" s="18" t="s">
        <v>19</v>
      </c>
      <c r="F54" s="18" t="s">
        <v>109</v>
      </c>
      <c r="G54" s="42" t="s">
        <v>116</v>
      </c>
      <c r="H54" s="18" t="s">
        <v>285</v>
      </c>
      <c r="I54" s="44" t="s">
        <v>4062</v>
      </c>
      <c r="J54" s="19">
        <v>1.772268383631284</v>
      </c>
      <c r="K54" s="19">
        <v>1.51011225353693</v>
      </c>
      <c r="L54" s="19">
        <v>3.8665177721306199</v>
      </c>
      <c r="M54" s="19">
        <v>2.776386641669021</v>
      </c>
      <c r="N54" s="46" t="s">
        <v>1</v>
      </c>
      <c r="O54" s="20"/>
      <c r="P54" s="21" t="s">
        <v>25</v>
      </c>
      <c r="Q54" s="21" t="s">
        <v>11</v>
      </c>
      <c r="R54" s="22" t="s">
        <v>4075</v>
      </c>
      <c r="S54" s="21" t="s">
        <v>10</v>
      </c>
      <c r="T54" s="22" t="s">
        <v>4162</v>
      </c>
    </row>
    <row r="55" spans="1:20" ht="18.75" customHeight="1" x14ac:dyDescent="0.3">
      <c r="A55" s="11">
        <v>46141</v>
      </c>
      <c r="B55" s="18" t="s">
        <v>4163</v>
      </c>
      <c r="C55" s="18" t="s">
        <v>4164</v>
      </c>
      <c r="D55" s="42" t="s">
        <v>200</v>
      </c>
      <c r="E55" s="18" t="s">
        <v>66</v>
      </c>
      <c r="F55" s="18" t="s">
        <v>233</v>
      </c>
      <c r="G55" s="42" t="s">
        <v>200</v>
      </c>
      <c r="H55" s="18" t="s">
        <v>4165</v>
      </c>
      <c r="I55" s="44" t="s">
        <v>4119</v>
      </c>
      <c r="J55" s="19">
        <v>0</v>
      </c>
      <c r="K55" s="19">
        <v>8.219473260095679</v>
      </c>
      <c r="L55" s="19">
        <v>0</v>
      </c>
      <c r="M55" s="19">
        <v>2.7593719769542262</v>
      </c>
      <c r="N55" s="46" t="s">
        <v>1</v>
      </c>
      <c r="O55" s="20"/>
      <c r="P55" s="21" t="s">
        <v>19</v>
      </c>
      <c r="Q55" s="21" t="s">
        <v>11</v>
      </c>
      <c r="R55" s="22" t="s">
        <v>80</v>
      </c>
      <c r="S55" s="21" t="s">
        <v>10</v>
      </c>
      <c r="T55" s="22" t="s">
        <v>4166</v>
      </c>
    </row>
    <row r="56" spans="1:20" ht="18.75" customHeight="1" x14ac:dyDescent="0.3">
      <c r="A56" s="11">
        <v>46141</v>
      </c>
      <c r="B56" s="18" t="s">
        <v>4167</v>
      </c>
      <c r="C56" s="17" t="s">
        <v>4168</v>
      </c>
      <c r="D56" s="42" t="s">
        <v>181</v>
      </c>
      <c r="E56" s="18" t="s">
        <v>136</v>
      </c>
      <c r="F56" s="18" t="s">
        <v>79</v>
      </c>
      <c r="G56" s="42" t="s">
        <v>181</v>
      </c>
      <c r="H56" s="18" t="s">
        <v>4167</v>
      </c>
      <c r="I56" s="44" t="s">
        <v>4119</v>
      </c>
      <c r="J56" s="19">
        <v>0</v>
      </c>
      <c r="K56" s="19">
        <v>7.0644565317176182</v>
      </c>
      <c r="L56" s="19">
        <v>0</v>
      </c>
      <c r="M56" s="19">
        <v>2.3716195392557209</v>
      </c>
      <c r="N56" s="46" t="s">
        <v>1</v>
      </c>
      <c r="O56" s="20"/>
      <c r="P56" s="21" t="s">
        <v>7</v>
      </c>
      <c r="Q56" s="21" t="s">
        <v>11</v>
      </c>
      <c r="R56" s="22" t="s">
        <v>70</v>
      </c>
      <c r="S56" s="21" t="s">
        <v>10</v>
      </c>
      <c r="T56" s="22" t="s">
        <v>4158</v>
      </c>
    </row>
    <row r="57" spans="1:20" ht="18.75" customHeight="1" x14ac:dyDescent="0.3">
      <c r="A57" s="11">
        <v>46141</v>
      </c>
      <c r="B57" s="18" t="s">
        <v>4169</v>
      </c>
      <c r="C57" s="17" t="s">
        <v>4170</v>
      </c>
      <c r="D57" s="42" t="s">
        <v>59</v>
      </c>
      <c r="E57" s="18" t="s">
        <v>19</v>
      </c>
      <c r="F57" s="18" t="s">
        <v>261</v>
      </c>
      <c r="G57" s="42" t="s">
        <v>59</v>
      </c>
      <c r="H57" s="18" t="s">
        <v>4171</v>
      </c>
      <c r="I57" s="45" t="s">
        <v>4092</v>
      </c>
      <c r="J57" s="19">
        <v>6.9680497104420702</v>
      </c>
      <c r="K57" s="19">
        <v>2.9729421884934601</v>
      </c>
      <c r="L57" s="19">
        <v>0.71284743828780683</v>
      </c>
      <c r="M57" s="19">
        <v>2.364829620028063</v>
      </c>
      <c r="N57" s="46" t="s">
        <v>1</v>
      </c>
      <c r="O57" s="20"/>
      <c r="P57" s="21" t="s">
        <v>12</v>
      </c>
      <c r="Q57" s="21" t="s">
        <v>14</v>
      </c>
      <c r="R57" s="22" t="s">
        <v>146</v>
      </c>
      <c r="S57" s="21" t="s">
        <v>5</v>
      </c>
      <c r="T57" s="22" t="s">
        <v>4172</v>
      </c>
    </row>
    <row r="58" spans="1:20" ht="18.75" customHeight="1" x14ac:dyDescent="0.3">
      <c r="A58" s="11">
        <v>46141</v>
      </c>
      <c r="B58" s="18" t="s">
        <v>4173</v>
      </c>
      <c r="C58" s="17" t="s">
        <v>4174</v>
      </c>
      <c r="D58" s="42" t="s">
        <v>116</v>
      </c>
      <c r="E58" s="18" t="s">
        <v>19</v>
      </c>
      <c r="F58" s="18" t="s">
        <v>109</v>
      </c>
      <c r="G58" s="42" t="s">
        <v>116</v>
      </c>
      <c r="H58" s="18" t="s">
        <v>117</v>
      </c>
      <c r="I58" s="44" t="s">
        <v>4062</v>
      </c>
      <c r="J58" s="19">
        <v>1.9970804407515319</v>
      </c>
      <c r="K58" s="19">
        <v>3.4184053809616102</v>
      </c>
      <c r="L58" s="19">
        <v>1.635288552248247</v>
      </c>
      <c r="M58" s="19">
        <v>2.2855652863742861</v>
      </c>
      <c r="N58" s="46" t="s">
        <v>1</v>
      </c>
      <c r="O58" s="20"/>
      <c r="P58" s="21" t="s">
        <v>25</v>
      </c>
      <c r="Q58" s="21" t="s">
        <v>11</v>
      </c>
      <c r="R58" s="22" t="s">
        <v>4075</v>
      </c>
      <c r="S58" s="21" t="s">
        <v>10</v>
      </c>
      <c r="T58" s="22" t="s">
        <v>4175</v>
      </c>
    </row>
    <row r="59" spans="1:20" ht="18.75" customHeight="1" x14ac:dyDescent="0.3">
      <c r="A59" s="11">
        <v>46141</v>
      </c>
      <c r="B59" s="18" t="s">
        <v>2706</v>
      </c>
      <c r="C59" s="17" t="s">
        <v>2707</v>
      </c>
      <c r="D59" s="42" t="s">
        <v>143</v>
      </c>
      <c r="E59" s="18" t="s">
        <v>19</v>
      </c>
      <c r="F59" s="18" t="s">
        <v>221</v>
      </c>
      <c r="G59" s="42" t="s">
        <v>143</v>
      </c>
      <c r="H59" s="18" t="s">
        <v>2706</v>
      </c>
      <c r="I59" s="45" t="s">
        <v>4092</v>
      </c>
      <c r="J59" s="19">
        <v>7.3328697209133162</v>
      </c>
      <c r="K59" s="19">
        <v>3.131113436893346</v>
      </c>
      <c r="L59" s="19">
        <v>0</v>
      </c>
      <c r="M59" s="19">
        <v>2.0982840132500522</v>
      </c>
      <c r="N59" s="46" t="s">
        <v>145</v>
      </c>
      <c r="O59" s="20"/>
      <c r="P59" s="21" t="s">
        <v>7</v>
      </c>
      <c r="Q59" s="21" t="s">
        <v>11</v>
      </c>
      <c r="R59" s="22" t="s">
        <v>70</v>
      </c>
      <c r="S59" s="21" t="s">
        <v>10</v>
      </c>
      <c r="T59" s="22" t="s">
        <v>4176</v>
      </c>
    </row>
    <row r="60" spans="1:20" ht="18.75" customHeight="1" x14ac:dyDescent="0.3">
      <c r="A60" s="11">
        <v>46141</v>
      </c>
      <c r="B60" s="18" t="s">
        <v>4177</v>
      </c>
      <c r="C60" s="17" t="s">
        <v>4178</v>
      </c>
      <c r="D60" s="42" t="s">
        <v>111</v>
      </c>
      <c r="E60" s="18" t="s">
        <v>66</v>
      </c>
      <c r="F60" s="18" t="s">
        <v>396</v>
      </c>
      <c r="G60" s="42" t="s">
        <v>110</v>
      </c>
      <c r="H60" s="18" t="s">
        <v>111</v>
      </c>
      <c r="I60" s="44" t="s">
        <v>4062</v>
      </c>
      <c r="J60" s="19">
        <v>1.542460503019476</v>
      </c>
      <c r="K60" s="19">
        <v>1.970450782187678</v>
      </c>
      <c r="L60" s="19">
        <v>2.1293122506112292</v>
      </c>
      <c r="M60" s="19">
        <v>1.9921782480531229</v>
      </c>
      <c r="N60" s="46" t="s">
        <v>1</v>
      </c>
      <c r="O60" s="20"/>
      <c r="P60" s="21" t="s">
        <v>19</v>
      </c>
      <c r="Q60" s="21" t="s">
        <v>11</v>
      </c>
      <c r="R60" s="22" t="s">
        <v>80</v>
      </c>
      <c r="S60" s="21" t="s">
        <v>10</v>
      </c>
      <c r="T60" s="22" t="s">
        <v>4086</v>
      </c>
    </row>
    <row r="61" spans="1:20" ht="18.75" customHeight="1" x14ac:dyDescent="0.3">
      <c r="A61" s="11">
        <v>46141</v>
      </c>
      <c r="B61" s="18" t="s">
        <v>4179</v>
      </c>
      <c r="C61" s="17" t="s">
        <v>4180</v>
      </c>
      <c r="D61" s="42" t="s">
        <v>116</v>
      </c>
      <c r="E61" s="18" t="s">
        <v>19</v>
      </c>
      <c r="F61" s="18" t="s">
        <v>109</v>
      </c>
      <c r="G61" s="42" t="s">
        <v>116</v>
      </c>
      <c r="H61" s="18" t="s">
        <v>117</v>
      </c>
      <c r="I61" s="44" t="s">
        <v>4062</v>
      </c>
      <c r="J61" s="19">
        <v>1.176516432262628</v>
      </c>
      <c r="K61" s="19">
        <v>1.50139955662998</v>
      </c>
      <c r="L61" s="19">
        <v>2.4449812527497059</v>
      </c>
      <c r="M61" s="19">
        <v>1.947073334988429</v>
      </c>
      <c r="N61" s="46" t="s">
        <v>1</v>
      </c>
      <c r="O61" s="20"/>
      <c r="P61" s="21" t="s">
        <v>25</v>
      </c>
      <c r="Q61" s="21" t="s">
        <v>11</v>
      </c>
      <c r="R61" s="22" t="s">
        <v>4075</v>
      </c>
      <c r="S61" s="21" t="s">
        <v>10</v>
      </c>
      <c r="T61" s="22" t="s">
        <v>4162</v>
      </c>
    </row>
    <row r="62" spans="1:20" ht="18.75" customHeight="1" x14ac:dyDescent="0.3">
      <c r="A62" s="11">
        <v>46141</v>
      </c>
      <c r="B62" s="18" t="s">
        <v>2314</v>
      </c>
      <c r="C62" s="17" t="s">
        <v>2315</v>
      </c>
      <c r="D62" s="42" t="s">
        <v>116</v>
      </c>
      <c r="E62" s="18" t="s">
        <v>19</v>
      </c>
      <c r="F62" s="18" t="s">
        <v>109</v>
      </c>
      <c r="G62" s="42" t="s">
        <v>116</v>
      </c>
      <c r="H62" s="18" t="s">
        <v>117</v>
      </c>
      <c r="I62" s="44" t="s">
        <v>4062</v>
      </c>
      <c r="J62" s="19">
        <v>1.1752674763897379</v>
      </c>
      <c r="K62" s="19">
        <v>1.5011339256267191</v>
      </c>
      <c r="L62" s="19">
        <v>2.4437842413656479</v>
      </c>
      <c r="M62" s="19">
        <v>1.946181581072558</v>
      </c>
      <c r="N62" s="46" t="s">
        <v>1</v>
      </c>
      <c r="O62" s="20"/>
      <c r="P62" s="21" t="s">
        <v>25</v>
      </c>
      <c r="Q62" s="21" t="s">
        <v>11</v>
      </c>
      <c r="R62" s="22" t="s">
        <v>4075</v>
      </c>
      <c r="S62" s="21" t="s">
        <v>10</v>
      </c>
      <c r="T62" s="22" t="s">
        <v>4162</v>
      </c>
    </row>
    <row r="63" spans="1:20" ht="18.75" customHeight="1" x14ac:dyDescent="0.3">
      <c r="A63" s="11">
        <v>46141</v>
      </c>
      <c r="B63" s="18" t="s">
        <v>4181</v>
      </c>
      <c r="C63" s="17" t="s">
        <v>4182</v>
      </c>
      <c r="D63" s="42" t="s">
        <v>111</v>
      </c>
      <c r="E63" s="18"/>
      <c r="F63" s="18"/>
      <c r="G63" s="42" t="s">
        <v>110</v>
      </c>
      <c r="H63" s="18" t="s">
        <v>111</v>
      </c>
      <c r="I63" s="44" t="s">
        <v>4062</v>
      </c>
      <c r="J63" s="19">
        <v>1.4687721065189501</v>
      </c>
      <c r="K63" s="19">
        <v>1.878754959862093</v>
      </c>
      <c r="L63" s="19">
        <v>2.1116990831029598</v>
      </c>
      <c r="M63" s="19">
        <v>1.9416871413365751</v>
      </c>
      <c r="N63" s="46" t="s">
        <v>1</v>
      </c>
      <c r="O63" s="20"/>
      <c r="P63" s="21" t="s">
        <v>19</v>
      </c>
      <c r="Q63" s="21" t="s">
        <v>11</v>
      </c>
      <c r="R63" s="22" t="s">
        <v>80</v>
      </c>
      <c r="S63" s="21" t="s">
        <v>10</v>
      </c>
      <c r="T63" s="22" t="s">
        <v>4086</v>
      </c>
    </row>
    <row r="64" spans="1:20" ht="18.75" customHeight="1" x14ac:dyDescent="0.3">
      <c r="A64" s="11">
        <v>46141</v>
      </c>
      <c r="B64" s="18" t="s">
        <v>4183</v>
      </c>
      <c r="C64" s="18" t="s">
        <v>4184</v>
      </c>
      <c r="D64" s="42" t="s">
        <v>60</v>
      </c>
      <c r="E64" s="18" t="s">
        <v>19</v>
      </c>
      <c r="F64" s="18" t="s">
        <v>109</v>
      </c>
      <c r="G64" s="42" t="s">
        <v>59</v>
      </c>
      <c r="H64" s="18" t="s">
        <v>60</v>
      </c>
      <c r="I64" s="43" t="s">
        <v>4054</v>
      </c>
      <c r="J64" s="19">
        <v>0.8741442154358956</v>
      </c>
      <c r="K64" s="19">
        <v>0.74079174189336738</v>
      </c>
      <c r="L64" s="19">
        <v>2.964484193430474</v>
      </c>
      <c r="M64" s="19">
        <v>1.9194646337531001</v>
      </c>
      <c r="N64" s="46" t="s">
        <v>1</v>
      </c>
      <c r="O64" s="20"/>
      <c r="P64" s="21" t="s">
        <v>9</v>
      </c>
      <c r="Q64" s="21" t="s">
        <v>11</v>
      </c>
      <c r="R64" s="22" t="s">
        <v>104</v>
      </c>
      <c r="S64" s="21" t="s">
        <v>10</v>
      </c>
      <c r="T64" s="22" t="s">
        <v>4185</v>
      </c>
    </row>
    <row r="65" spans="1:20" ht="18.75" customHeight="1" x14ac:dyDescent="0.3">
      <c r="A65" s="11">
        <v>46141</v>
      </c>
      <c r="B65" s="24" t="s">
        <v>3722</v>
      </c>
      <c r="C65" s="25" t="s">
        <v>3723</v>
      </c>
      <c r="D65" s="42"/>
      <c r="E65" s="24" t="s">
        <v>136</v>
      </c>
      <c r="F65" s="24" t="s">
        <v>430</v>
      </c>
      <c r="G65" s="24" t="s">
        <v>3724</v>
      </c>
      <c r="H65" s="24" t="s">
        <v>111</v>
      </c>
      <c r="I65" s="44" t="s">
        <v>4062</v>
      </c>
      <c r="J65" s="19">
        <v>1.4668986727096149</v>
      </c>
      <c r="K65" s="19">
        <v>1.8816237746973079</v>
      </c>
      <c r="L65" s="19">
        <v>1.974726780441572</v>
      </c>
      <c r="M65" s="19">
        <v>1.870953220729783</v>
      </c>
      <c r="N65" s="46" t="s">
        <v>156</v>
      </c>
      <c r="O65" s="46" t="s">
        <v>4186</v>
      </c>
      <c r="P65" s="21" t="s">
        <v>157</v>
      </c>
      <c r="Q65" s="21" t="s">
        <v>157</v>
      </c>
      <c r="R65" s="22" t="s">
        <v>156</v>
      </c>
      <c r="S65" s="21" t="s">
        <v>157</v>
      </c>
      <c r="T65" s="22" t="s">
        <v>4086</v>
      </c>
    </row>
    <row r="66" spans="1:20" ht="18.75" customHeight="1" x14ac:dyDescent="0.3">
      <c r="A66" s="11">
        <v>46141</v>
      </c>
      <c r="B66" s="18" t="s">
        <v>4187</v>
      </c>
      <c r="C66" s="17" t="s">
        <v>4188</v>
      </c>
      <c r="D66" s="42" t="s">
        <v>111</v>
      </c>
      <c r="E66" s="18" t="s">
        <v>19</v>
      </c>
      <c r="F66" s="18" t="s">
        <v>109</v>
      </c>
      <c r="G66" s="42" t="s">
        <v>110</v>
      </c>
      <c r="H66" s="18" t="s">
        <v>111</v>
      </c>
      <c r="I66" s="44" t="s">
        <v>4062</v>
      </c>
      <c r="J66" s="19">
        <v>1.5437094588923661</v>
      </c>
      <c r="K66" s="19">
        <v>1.970716413190938</v>
      </c>
      <c r="L66" s="19">
        <v>1.827836383455141</v>
      </c>
      <c r="M66" s="19">
        <v>1.8352295588600389</v>
      </c>
      <c r="N66" s="46" t="s">
        <v>1</v>
      </c>
      <c r="O66" s="20"/>
      <c r="P66" s="21" t="s">
        <v>19</v>
      </c>
      <c r="Q66" s="21" t="s">
        <v>11</v>
      </c>
      <c r="R66" s="22" t="s">
        <v>80</v>
      </c>
      <c r="S66" s="21" t="s">
        <v>10</v>
      </c>
      <c r="T66" s="22" t="s">
        <v>4086</v>
      </c>
    </row>
    <row r="67" spans="1:20" ht="18.75" customHeight="1" x14ac:dyDescent="0.3">
      <c r="A67" s="11">
        <v>46141</v>
      </c>
      <c r="B67" s="18" t="s">
        <v>4189</v>
      </c>
      <c r="C67" s="17" t="s">
        <v>4190</v>
      </c>
      <c r="D67" s="42" t="s">
        <v>111</v>
      </c>
      <c r="E67" s="18" t="s">
        <v>66</v>
      </c>
      <c r="F67" s="18" t="s">
        <v>67</v>
      </c>
      <c r="G67" s="42" t="s">
        <v>110</v>
      </c>
      <c r="H67" s="18" t="s">
        <v>111</v>
      </c>
      <c r="I67" s="44" t="s">
        <v>4062</v>
      </c>
      <c r="J67" s="19">
        <v>1.361986379386833</v>
      </c>
      <c r="K67" s="19">
        <v>1.731382879253071</v>
      </c>
      <c r="L67" s="19">
        <v>2.0208972195409158</v>
      </c>
      <c r="M67" s="19">
        <v>1.8296115091900591</v>
      </c>
      <c r="N67" s="46" t="s">
        <v>1</v>
      </c>
      <c r="O67" s="20"/>
      <c r="P67" s="21" t="s">
        <v>19</v>
      </c>
      <c r="Q67" s="21" t="s">
        <v>11</v>
      </c>
      <c r="R67" s="22" t="s">
        <v>80</v>
      </c>
      <c r="S67" s="21" t="s">
        <v>10</v>
      </c>
      <c r="T67" s="22" t="s">
        <v>4086</v>
      </c>
    </row>
    <row r="68" spans="1:20" ht="18.75" customHeight="1" x14ac:dyDescent="0.3">
      <c r="A68" s="11">
        <v>46141</v>
      </c>
      <c r="B68" s="18" t="s">
        <v>4191</v>
      </c>
      <c r="C68" s="17" t="s">
        <v>4192</v>
      </c>
      <c r="D68" s="42" t="s">
        <v>111</v>
      </c>
      <c r="E68" s="18" t="s">
        <v>19</v>
      </c>
      <c r="F68" s="18" t="s">
        <v>109</v>
      </c>
      <c r="G68" s="42" t="s">
        <v>110</v>
      </c>
      <c r="H68" s="18" t="s">
        <v>111</v>
      </c>
      <c r="I68" s="44" t="s">
        <v>4062</v>
      </c>
      <c r="J68" s="19">
        <v>1.3544926441494911</v>
      </c>
      <c r="K68" s="19">
        <v>1.7308516172465489</v>
      </c>
      <c r="L68" s="19">
        <v>1.994733970717955</v>
      </c>
      <c r="M68" s="19">
        <v>1.8147192187950341</v>
      </c>
      <c r="N68" s="46" t="s">
        <v>1</v>
      </c>
      <c r="O68" s="20"/>
      <c r="P68" s="21" t="s">
        <v>19</v>
      </c>
      <c r="Q68" s="21" t="s">
        <v>11</v>
      </c>
      <c r="R68" s="22" t="s">
        <v>80</v>
      </c>
      <c r="S68" s="21" t="s">
        <v>10</v>
      </c>
      <c r="T68" s="22" t="s">
        <v>4086</v>
      </c>
    </row>
    <row r="69" spans="1:20" ht="18.75" customHeight="1" x14ac:dyDescent="0.3">
      <c r="A69" s="11">
        <v>46141</v>
      </c>
      <c r="B69" s="18" t="s">
        <v>3793</v>
      </c>
      <c r="C69" s="17" t="s">
        <v>3794</v>
      </c>
      <c r="D69" s="42" t="s">
        <v>116</v>
      </c>
      <c r="E69" s="18" t="s">
        <v>390</v>
      </c>
      <c r="F69" s="18"/>
      <c r="G69" s="42" t="s">
        <v>116</v>
      </c>
      <c r="H69" s="18" t="s">
        <v>117</v>
      </c>
      <c r="I69" s="44" t="s">
        <v>4062</v>
      </c>
      <c r="J69" s="19">
        <v>1.305783365106771</v>
      </c>
      <c r="K69" s="19">
        <v>2.233850485020962</v>
      </c>
      <c r="L69" s="19">
        <v>1.6807749848424161</v>
      </c>
      <c r="M69" s="19">
        <v>1.8129000408066589</v>
      </c>
      <c r="N69" s="46" t="s">
        <v>1</v>
      </c>
      <c r="O69" s="20"/>
      <c r="P69" s="21" t="s">
        <v>25</v>
      </c>
      <c r="Q69" s="21" t="s">
        <v>11</v>
      </c>
      <c r="R69" s="22" t="s">
        <v>4075</v>
      </c>
      <c r="S69" s="21" t="s">
        <v>10</v>
      </c>
      <c r="T69" s="22" t="s">
        <v>4162</v>
      </c>
    </row>
    <row r="70" spans="1:20" ht="18.75" customHeight="1" x14ac:dyDescent="0.3">
      <c r="A70" s="11">
        <v>46141</v>
      </c>
      <c r="B70" s="18" t="s">
        <v>4193</v>
      </c>
      <c r="C70" s="17" t="s">
        <v>4194</v>
      </c>
      <c r="D70" s="42" t="s">
        <v>116</v>
      </c>
      <c r="E70" s="18" t="s">
        <v>19</v>
      </c>
      <c r="F70" s="18" t="s">
        <v>109</v>
      </c>
      <c r="G70" s="42" t="s">
        <v>116</v>
      </c>
      <c r="H70" s="18" t="s">
        <v>117</v>
      </c>
      <c r="I70" s="44" t="s">
        <v>4062</v>
      </c>
      <c r="J70" s="19">
        <v>1.2295970568604651</v>
      </c>
      <c r="K70" s="19">
        <v>2.0808470271428141</v>
      </c>
      <c r="L70" s="19">
        <v>1.763710773594942</v>
      </c>
      <c r="M70" s="19">
        <v>1.793905682398633</v>
      </c>
      <c r="N70" s="46" t="s">
        <v>1</v>
      </c>
      <c r="O70" s="20"/>
      <c r="P70" s="21" t="s">
        <v>25</v>
      </c>
      <c r="Q70" s="21" t="s">
        <v>11</v>
      </c>
      <c r="R70" s="22" t="s">
        <v>4075</v>
      </c>
      <c r="S70" s="21" t="s">
        <v>10</v>
      </c>
      <c r="T70" s="22" t="s">
        <v>4162</v>
      </c>
    </row>
    <row r="71" spans="1:20" ht="18.75" customHeight="1" x14ac:dyDescent="0.3">
      <c r="A71" s="11">
        <v>46141</v>
      </c>
      <c r="B71" s="18" t="s">
        <v>4195</v>
      </c>
      <c r="C71" s="17" t="s">
        <v>4196</v>
      </c>
      <c r="D71" s="42" t="s">
        <v>111</v>
      </c>
      <c r="E71" s="18" t="s">
        <v>66</v>
      </c>
      <c r="F71" s="18" t="s">
        <v>396</v>
      </c>
      <c r="G71" s="42" t="s">
        <v>110</v>
      </c>
      <c r="H71" s="18" t="s">
        <v>111</v>
      </c>
      <c r="I71" s="44" t="s">
        <v>4062</v>
      </c>
      <c r="J71" s="19">
        <v>1.361986379386833</v>
      </c>
      <c r="K71" s="19">
        <v>1.7308516172465489</v>
      </c>
      <c r="L71" s="19">
        <v>1.931634370615519</v>
      </c>
      <c r="M71" s="19">
        <v>1.7828836039984819</v>
      </c>
      <c r="N71" s="46" t="s">
        <v>1</v>
      </c>
      <c r="O71" s="20"/>
      <c r="P71" s="21" t="s">
        <v>19</v>
      </c>
      <c r="Q71" s="21" t="s">
        <v>11</v>
      </c>
      <c r="R71" s="22" t="s">
        <v>80</v>
      </c>
      <c r="S71" s="21" t="s">
        <v>10</v>
      </c>
      <c r="T71" s="22" t="s">
        <v>4086</v>
      </c>
    </row>
    <row r="72" spans="1:20" ht="18.75" customHeight="1" x14ac:dyDescent="0.3">
      <c r="A72" s="11">
        <v>46141</v>
      </c>
      <c r="B72" s="18" t="s">
        <v>3080</v>
      </c>
      <c r="C72" s="17" t="s">
        <v>3081</v>
      </c>
      <c r="D72" s="42" t="s">
        <v>116</v>
      </c>
      <c r="E72" s="18" t="s">
        <v>19</v>
      </c>
      <c r="F72" s="18" t="s">
        <v>109</v>
      </c>
      <c r="G72" s="42" t="s">
        <v>116</v>
      </c>
      <c r="H72" s="18" t="s">
        <v>117</v>
      </c>
      <c r="I72" s="44" t="s">
        <v>4062</v>
      </c>
      <c r="J72" s="19">
        <v>1.173394042580403</v>
      </c>
      <c r="K72" s="19">
        <v>2.0097641706702571</v>
      </c>
      <c r="L72" s="19">
        <v>1.7608037459479451</v>
      </c>
      <c r="M72" s="19">
        <v>1.7605005807101499</v>
      </c>
      <c r="N72" s="46" t="s">
        <v>1</v>
      </c>
      <c r="O72" s="20"/>
      <c r="P72" s="21" t="s">
        <v>25</v>
      </c>
      <c r="Q72" s="21" t="s">
        <v>11</v>
      </c>
      <c r="R72" s="22" t="s">
        <v>4075</v>
      </c>
      <c r="S72" s="21" t="s">
        <v>10</v>
      </c>
      <c r="T72" s="22" t="s">
        <v>4162</v>
      </c>
    </row>
    <row r="73" spans="1:20" ht="18.75" customHeight="1" x14ac:dyDescent="0.3">
      <c r="A73" s="11">
        <v>46141</v>
      </c>
      <c r="B73" s="18" t="s">
        <v>4197</v>
      </c>
      <c r="C73" s="17" t="s">
        <v>4198</v>
      </c>
      <c r="D73" s="42" t="s">
        <v>116</v>
      </c>
      <c r="E73" s="18" t="s">
        <v>19</v>
      </c>
      <c r="F73" s="18"/>
      <c r="G73" s="42" t="s">
        <v>116</v>
      </c>
      <c r="H73" s="18" t="s">
        <v>117</v>
      </c>
      <c r="I73" s="44" t="s">
        <v>4062</v>
      </c>
      <c r="J73" s="19">
        <v>1.177140910199074</v>
      </c>
      <c r="K73" s="19">
        <v>2.0063109676278681</v>
      </c>
      <c r="L73" s="19">
        <v>1.7558446987854239</v>
      </c>
      <c r="M73" s="19">
        <v>1.757290266613019</v>
      </c>
      <c r="N73" s="46" t="s">
        <v>1</v>
      </c>
      <c r="O73" s="20"/>
      <c r="P73" s="21" t="s">
        <v>25</v>
      </c>
      <c r="Q73" s="21" t="s">
        <v>11</v>
      </c>
      <c r="R73" s="22" t="s">
        <v>4075</v>
      </c>
      <c r="S73" s="21" t="s">
        <v>10</v>
      </c>
      <c r="T73" s="22" t="s">
        <v>4162</v>
      </c>
    </row>
    <row r="74" spans="1:20" ht="18.75" customHeight="1" x14ac:dyDescent="0.3">
      <c r="A74" s="11">
        <v>46141</v>
      </c>
      <c r="B74" s="18" t="s">
        <v>4199</v>
      </c>
      <c r="C74" s="17" t="s">
        <v>4200</v>
      </c>
      <c r="D74" s="42" t="s">
        <v>116</v>
      </c>
      <c r="E74" s="18" t="s">
        <v>19</v>
      </c>
      <c r="F74" s="18" t="s">
        <v>109</v>
      </c>
      <c r="G74" s="42" t="s">
        <v>116</v>
      </c>
      <c r="H74" s="18" t="s">
        <v>117</v>
      </c>
      <c r="I74" s="44" t="s">
        <v>4062</v>
      </c>
      <c r="J74" s="19">
        <v>1.176516432262628</v>
      </c>
      <c r="K74" s="19">
        <v>2.003229647990044</v>
      </c>
      <c r="L74" s="19">
        <v>1.757554715048363</v>
      </c>
      <c r="M74" s="19">
        <v>1.757058410594893</v>
      </c>
      <c r="N74" s="46" t="s">
        <v>1</v>
      </c>
      <c r="O74" s="20"/>
      <c r="P74" s="21" t="s">
        <v>25</v>
      </c>
      <c r="Q74" s="21" t="s">
        <v>11</v>
      </c>
      <c r="R74" s="22" t="s">
        <v>4075</v>
      </c>
      <c r="S74" s="21" t="s">
        <v>10</v>
      </c>
      <c r="T74" s="22" t="s">
        <v>4162</v>
      </c>
    </row>
    <row r="75" spans="1:20" ht="18.75" customHeight="1" x14ac:dyDescent="0.3">
      <c r="A75" s="11">
        <v>46141</v>
      </c>
      <c r="B75" s="18" t="s">
        <v>4201</v>
      </c>
      <c r="C75" s="17" t="s">
        <v>4202</v>
      </c>
      <c r="D75" s="42" t="s">
        <v>116</v>
      </c>
      <c r="E75" s="18" t="s">
        <v>19</v>
      </c>
      <c r="F75" s="18" t="s">
        <v>109</v>
      </c>
      <c r="G75" s="42" t="s">
        <v>116</v>
      </c>
      <c r="H75" s="18" t="s">
        <v>117</v>
      </c>
      <c r="I75" s="44" t="s">
        <v>4062</v>
      </c>
      <c r="J75" s="19">
        <v>1.1746429984532929</v>
      </c>
      <c r="K75" s="19">
        <v>2.0126861117061252</v>
      </c>
      <c r="L75" s="19">
        <v>1.7471236158444361</v>
      </c>
      <c r="M75" s="19">
        <v>1.754525829473822</v>
      </c>
      <c r="N75" s="46" t="s">
        <v>1</v>
      </c>
      <c r="O75" s="20"/>
      <c r="P75" s="21" t="s">
        <v>25</v>
      </c>
      <c r="Q75" s="21" t="s">
        <v>11</v>
      </c>
      <c r="R75" s="22" t="s">
        <v>4075</v>
      </c>
      <c r="S75" s="21" t="s">
        <v>10</v>
      </c>
      <c r="T75" s="22" t="s">
        <v>4162</v>
      </c>
    </row>
    <row r="76" spans="1:20" ht="18.75" customHeight="1" x14ac:dyDescent="0.3">
      <c r="A76" s="11">
        <v>46141</v>
      </c>
      <c r="B76" s="18" t="s">
        <v>4203</v>
      </c>
      <c r="C76" s="17" t="s">
        <v>4204</v>
      </c>
      <c r="D76" s="42" t="s">
        <v>116</v>
      </c>
      <c r="E76" s="18" t="s">
        <v>19</v>
      </c>
      <c r="F76" s="18" t="s">
        <v>109</v>
      </c>
      <c r="G76" s="42" t="s">
        <v>116</v>
      </c>
      <c r="H76" s="18" t="s">
        <v>117</v>
      </c>
      <c r="I76" s="44" t="s">
        <v>4062</v>
      </c>
      <c r="J76" s="19">
        <v>1.176516432262628</v>
      </c>
      <c r="K76" s="19">
        <v>2.0081703846506929</v>
      </c>
      <c r="L76" s="19">
        <v>1.7267744223154671</v>
      </c>
      <c r="M76" s="19">
        <v>1.742665502392754</v>
      </c>
      <c r="N76" s="46" t="s">
        <v>1</v>
      </c>
      <c r="O76" s="20"/>
      <c r="P76" s="21" t="s">
        <v>25</v>
      </c>
      <c r="Q76" s="21" t="s">
        <v>11</v>
      </c>
      <c r="R76" s="22" t="s">
        <v>4075</v>
      </c>
      <c r="S76" s="21" t="s">
        <v>10</v>
      </c>
      <c r="T76" s="22" t="s">
        <v>4162</v>
      </c>
    </row>
    <row r="77" spans="1:20" ht="18.75" customHeight="1" x14ac:dyDescent="0.3">
      <c r="A77" s="11">
        <v>46141</v>
      </c>
      <c r="B77" s="18" t="s">
        <v>4205</v>
      </c>
      <c r="C77" s="17" t="s">
        <v>4206</v>
      </c>
      <c r="D77" s="42" t="s">
        <v>116</v>
      </c>
      <c r="E77" s="18" t="s">
        <v>19</v>
      </c>
      <c r="F77" s="18" t="s">
        <v>1209</v>
      </c>
      <c r="G77" s="42" t="s">
        <v>116</v>
      </c>
      <c r="H77" s="18" t="s">
        <v>117</v>
      </c>
      <c r="I77" s="44" t="s">
        <v>4062</v>
      </c>
      <c r="J77" s="19">
        <v>1.1752674763897379</v>
      </c>
      <c r="K77" s="19">
        <v>2.0049828126115639</v>
      </c>
      <c r="L77" s="19">
        <v>1.726774422315466</v>
      </c>
      <c r="M77" s="19">
        <v>1.7414170469105359</v>
      </c>
      <c r="N77" s="46" t="s">
        <v>1</v>
      </c>
      <c r="O77" s="20"/>
      <c r="P77" s="21" t="s">
        <v>25</v>
      </c>
      <c r="Q77" s="21" t="s">
        <v>11</v>
      </c>
      <c r="R77" s="22" t="s">
        <v>4075</v>
      </c>
      <c r="S77" s="21" t="s">
        <v>10</v>
      </c>
      <c r="T77" s="22" t="s">
        <v>4207</v>
      </c>
    </row>
    <row r="78" spans="1:20" ht="18.75" customHeight="1" x14ac:dyDescent="0.3">
      <c r="A78" s="11">
        <v>46141</v>
      </c>
      <c r="B78" s="18" t="s">
        <v>4208</v>
      </c>
      <c r="C78" s="17" t="s">
        <v>4209</v>
      </c>
      <c r="D78" s="42" t="s">
        <v>116</v>
      </c>
      <c r="E78" s="18" t="s">
        <v>19</v>
      </c>
      <c r="F78" s="18" t="s">
        <v>109</v>
      </c>
      <c r="G78" s="42" t="s">
        <v>116</v>
      </c>
      <c r="H78" s="18" t="s">
        <v>117</v>
      </c>
      <c r="I78" s="44" t="s">
        <v>4062</v>
      </c>
      <c r="J78" s="19">
        <v>1.1752674763897379</v>
      </c>
      <c r="K78" s="19">
        <v>2.002220250177654</v>
      </c>
      <c r="L78" s="19">
        <v>1.726774422315466</v>
      </c>
      <c r="M78" s="19">
        <v>1.740489622838032</v>
      </c>
      <c r="N78" s="46" t="s">
        <v>1</v>
      </c>
      <c r="O78" s="20"/>
      <c r="P78" s="21" t="s">
        <v>25</v>
      </c>
      <c r="Q78" s="21" t="s">
        <v>11</v>
      </c>
      <c r="R78" s="22" t="s">
        <v>4075</v>
      </c>
      <c r="S78" s="21" t="s">
        <v>10</v>
      </c>
      <c r="T78" s="22" t="s">
        <v>4162</v>
      </c>
    </row>
    <row r="79" spans="1:20" ht="18.75" customHeight="1" x14ac:dyDescent="0.3">
      <c r="A79" s="11">
        <v>46141</v>
      </c>
      <c r="B79" s="18" t="s">
        <v>4210</v>
      </c>
      <c r="C79" s="18" t="s">
        <v>4211</v>
      </c>
      <c r="D79" s="42" t="s">
        <v>60</v>
      </c>
      <c r="E79" s="18" t="s">
        <v>66</v>
      </c>
      <c r="F79" s="18" t="s">
        <v>103</v>
      </c>
      <c r="G79" s="42" t="s">
        <v>59</v>
      </c>
      <c r="H79" s="18" t="s">
        <v>60</v>
      </c>
      <c r="I79" s="43" t="s">
        <v>4054</v>
      </c>
      <c r="J79" s="19">
        <v>1.0744767374474939</v>
      </c>
      <c r="K79" s="19">
        <v>1.129197394861124</v>
      </c>
      <c r="L79" s="19">
        <v>2.308521954967202</v>
      </c>
      <c r="M79" s="19">
        <v>1.736387554825032</v>
      </c>
      <c r="N79" s="46" t="s">
        <v>1</v>
      </c>
      <c r="O79" s="20"/>
      <c r="P79" s="21" t="s">
        <v>7</v>
      </c>
      <c r="Q79" s="21" t="s">
        <v>11</v>
      </c>
      <c r="R79" s="22" t="s">
        <v>70</v>
      </c>
      <c r="S79" s="21" t="s">
        <v>10</v>
      </c>
      <c r="T79" s="22" t="s">
        <v>4212</v>
      </c>
    </row>
    <row r="80" spans="1:20" ht="18.75" customHeight="1" x14ac:dyDescent="0.3">
      <c r="A80" s="11">
        <v>46141</v>
      </c>
      <c r="B80" s="18" t="s">
        <v>4213</v>
      </c>
      <c r="C80" s="17" t="s">
        <v>4214</v>
      </c>
      <c r="D80" s="42" t="s">
        <v>116</v>
      </c>
      <c r="E80" s="18" t="s">
        <v>66</v>
      </c>
      <c r="F80" s="18" t="s">
        <v>396</v>
      </c>
      <c r="G80" s="42" t="s">
        <v>116</v>
      </c>
      <c r="H80" s="18" t="s">
        <v>117</v>
      </c>
      <c r="I80" s="44" t="s">
        <v>4062</v>
      </c>
      <c r="J80" s="19">
        <v>1.175891954326183</v>
      </c>
      <c r="K80" s="19">
        <v>2.0039734147991739</v>
      </c>
      <c r="L80" s="19">
        <v>1.7038602043920881</v>
      </c>
      <c r="M80" s="19">
        <v>1.7292178533414371</v>
      </c>
      <c r="N80" s="46" t="s">
        <v>1</v>
      </c>
      <c r="O80" s="20"/>
      <c r="P80" s="21" t="s">
        <v>25</v>
      </c>
      <c r="Q80" s="21" t="s">
        <v>11</v>
      </c>
      <c r="R80" s="22" t="s">
        <v>4075</v>
      </c>
      <c r="S80" s="21" t="s">
        <v>10</v>
      </c>
      <c r="T80" s="22" t="s">
        <v>4162</v>
      </c>
    </row>
    <row r="81" spans="1:20" ht="18.75" customHeight="1" x14ac:dyDescent="0.3">
      <c r="A81" s="11">
        <v>46141</v>
      </c>
      <c r="B81" s="18" t="s">
        <v>4215</v>
      </c>
      <c r="C81" s="17" t="s">
        <v>4216</v>
      </c>
      <c r="D81" s="42" t="s">
        <v>116</v>
      </c>
      <c r="E81" s="18" t="s">
        <v>19</v>
      </c>
      <c r="F81" s="18" t="s">
        <v>109</v>
      </c>
      <c r="G81" s="42" t="s">
        <v>116</v>
      </c>
      <c r="H81" s="18" t="s">
        <v>117</v>
      </c>
      <c r="I81" s="44" t="s">
        <v>4062</v>
      </c>
      <c r="J81" s="19">
        <v>1.1752674763897379</v>
      </c>
      <c r="K81" s="19">
        <v>2.0049828126115639</v>
      </c>
      <c r="L81" s="19">
        <v>1.700611173492504</v>
      </c>
      <c r="M81" s="19">
        <v>1.727773211997728</v>
      </c>
      <c r="N81" s="46" t="s">
        <v>1</v>
      </c>
      <c r="O81" s="20"/>
      <c r="P81" s="21" t="s">
        <v>25</v>
      </c>
      <c r="Q81" s="21" t="s">
        <v>11</v>
      </c>
      <c r="R81" s="22" t="s">
        <v>4075</v>
      </c>
      <c r="S81" s="21" t="s">
        <v>10</v>
      </c>
      <c r="T81" s="22" t="s">
        <v>4162</v>
      </c>
    </row>
    <row r="82" spans="1:20" ht="18.75" customHeight="1" x14ac:dyDescent="0.3">
      <c r="A82" s="11">
        <v>46141</v>
      </c>
      <c r="B82" s="18" t="s">
        <v>4217</v>
      </c>
      <c r="C82" s="17" t="s">
        <v>4218</v>
      </c>
      <c r="D82" s="42" t="s">
        <v>116</v>
      </c>
      <c r="E82" s="18" t="s">
        <v>19</v>
      </c>
      <c r="F82" s="18" t="s">
        <v>109</v>
      </c>
      <c r="G82" s="42" t="s">
        <v>116</v>
      </c>
      <c r="H82" s="18" t="s">
        <v>117</v>
      </c>
      <c r="I82" s="44" t="s">
        <v>4062</v>
      </c>
      <c r="J82" s="19">
        <v>1.1746429984532929</v>
      </c>
      <c r="K82" s="19">
        <v>2.0171487125609038</v>
      </c>
      <c r="L82" s="19">
        <v>1.6915480872989299</v>
      </c>
      <c r="M82" s="19">
        <v>1.727041973786716</v>
      </c>
      <c r="N82" s="46" t="s">
        <v>1</v>
      </c>
      <c r="O82" s="20"/>
      <c r="P82" s="21" t="s">
        <v>25</v>
      </c>
      <c r="Q82" s="21" t="s">
        <v>11</v>
      </c>
      <c r="R82" s="22" t="s">
        <v>4075</v>
      </c>
      <c r="S82" s="21" t="s">
        <v>10</v>
      </c>
      <c r="T82" s="22" t="s">
        <v>4162</v>
      </c>
    </row>
    <row r="83" spans="1:20" ht="18.75" customHeight="1" x14ac:dyDescent="0.3">
      <c r="A83" s="11">
        <v>46141</v>
      </c>
      <c r="B83" s="18" t="s">
        <v>4219</v>
      </c>
      <c r="C83" s="17" t="s">
        <v>4220</v>
      </c>
      <c r="D83" s="42" t="s">
        <v>111</v>
      </c>
      <c r="E83" s="18" t="s">
        <v>19</v>
      </c>
      <c r="F83" s="18" t="s">
        <v>109</v>
      </c>
      <c r="G83" s="42" t="s">
        <v>110</v>
      </c>
      <c r="H83" s="18" t="s">
        <v>111</v>
      </c>
      <c r="I83" s="44" t="s">
        <v>4062</v>
      </c>
      <c r="J83" s="19">
        <v>1.4781392755656271</v>
      </c>
      <c r="K83" s="19">
        <v>1.876417407033399</v>
      </c>
      <c r="L83" s="19">
        <v>1.6920610921778121</v>
      </c>
      <c r="M83" s="19">
        <v>1.723403617809967</v>
      </c>
      <c r="N83" s="46" t="s">
        <v>1</v>
      </c>
      <c r="O83" s="20"/>
      <c r="P83" s="21" t="s">
        <v>19</v>
      </c>
      <c r="Q83" s="21" t="s">
        <v>11</v>
      </c>
      <c r="R83" s="22" t="s">
        <v>80</v>
      </c>
      <c r="S83" s="21" t="s">
        <v>10</v>
      </c>
      <c r="T83" s="22" t="s">
        <v>4086</v>
      </c>
    </row>
    <row r="84" spans="1:20" ht="18.75" customHeight="1" x14ac:dyDescent="0.3">
      <c r="A84" s="11">
        <v>46141</v>
      </c>
      <c r="B84" s="18" t="s">
        <v>4221</v>
      </c>
      <c r="C84" s="17" t="s">
        <v>4222</v>
      </c>
      <c r="D84" s="42" t="s">
        <v>116</v>
      </c>
      <c r="E84" s="18" t="s">
        <v>19</v>
      </c>
      <c r="F84" s="18" t="s">
        <v>109</v>
      </c>
      <c r="G84" s="42" t="s">
        <v>116</v>
      </c>
      <c r="H84" s="18" t="s">
        <v>117</v>
      </c>
      <c r="I84" s="44" t="s">
        <v>4062</v>
      </c>
      <c r="J84" s="19">
        <v>1.1746429984532929</v>
      </c>
      <c r="K84" s="19">
        <v>2.007639122644171</v>
      </c>
      <c r="L84" s="19">
        <v>1.667094854738906</v>
      </c>
      <c r="M84" s="19">
        <v>1.7110974137709629</v>
      </c>
      <c r="N84" s="46" t="s">
        <v>1</v>
      </c>
      <c r="O84" s="20"/>
      <c r="P84" s="21" t="s">
        <v>25</v>
      </c>
      <c r="Q84" s="21" t="s">
        <v>11</v>
      </c>
      <c r="R84" s="22" t="s">
        <v>4075</v>
      </c>
      <c r="S84" s="21" t="s">
        <v>10</v>
      </c>
      <c r="T84" s="22" t="s">
        <v>4162</v>
      </c>
    </row>
    <row r="85" spans="1:20" ht="18.75" customHeight="1" x14ac:dyDescent="0.3">
      <c r="A85" s="11">
        <v>46141</v>
      </c>
      <c r="B85" s="18" t="s">
        <v>4223</v>
      </c>
      <c r="C85" s="17" t="s">
        <v>4224</v>
      </c>
      <c r="D85" s="42" t="s">
        <v>116</v>
      </c>
      <c r="E85" s="18" t="s">
        <v>19</v>
      </c>
      <c r="F85" s="18" t="s">
        <v>109</v>
      </c>
      <c r="G85" s="42" t="s">
        <v>116</v>
      </c>
      <c r="H85" s="18" t="s">
        <v>117</v>
      </c>
      <c r="I85" s="44" t="s">
        <v>4062</v>
      </c>
      <c r="J85" s="19">
        <v>1.176516432262628</v>
      </c>
      <c r="K85" s="19">
        <v>2.0087016466572138</v>
      </c>
      <c r="L85" s="19">
        <v>1.6604257913134459</v>
      </c>
      <c r="M85" s="19">
        <v>1.7082438012401799</v>
      </c>
      <c r="N85" s="46" t="s">
        <v>1</v>
      </c>
      <c r="O85" s="20"/>
      <c r="P85" s="21" t="s">
        <v>25</v>
      </c>
      <c r="Q85" s="21" t="s">
        <v>11</v>
      </c>
      <c r="R85" s="22" t="s">
        <v>4075</v>
      </c>
      <c r="S85" s="21" t="s">
        <v>10</v>
      </c>
      <c r="T85" s="22" t="s">
        <v>4162</v>
      </c>
    </row>
    <row r="86" spans="1:20" ht="18.75" customHeight="1" x14ac:dyDescent="0.3">
      <c r="A86" s="11">
        <v>46141</v>
      </c>
      <c r="B86" s="18" t="s">
        <v>4225</v>
      </c>
      <c r="C86" s="17" t="s">
        <v>4226</v>
      </c>
      <c r="D86" s="42" t="s">
        <v>116</v>
      </c>
      <c r="E86" s="18" t="s">
        <v>19</v>
      </c>
      <c r="F86" s="18" t="s">
        <v>109</v>
      </c>
      <c r="G86" s="42" t="s">
        <v>116</v>
      </c>
      <c r="H86" s="18" t="s">
        <v>117</v>
      </c>
      <c r="I86" s="44" t="s">
        <v>4062</v>
      </c>
      <c r="J86" s="19">
        <v>1.175891954326183</v>
      </c>
      <c r="K86" s="19">
        <v>2.011357956689821</v>
      </c>
      <c r="L86" s="19">
        <v>1.6559797490298049</v>
      </c>
      <c r="M86" s="19">
        <v>1.706727819583201</v>
      </c>
      <c r="N86" s="46" t="s">
        <v>145</v>
      </c>
      <c r="O86" s="20"/>
      <c r="P86" s="21" t="s">
        <v>25</v>
      </c>
      <c r="Q86" s="21" t="s">
        <v>11</v>
      </c>
      <c r="R86" s="22" t="s">
        <v>4075</v>
      </c>
      <c r="S86" s="21" t="s">
        <v>10</v>
      </c>
      <c r="T86" s="22" t="s">
        <v>4227</v>
      </c>
    </row>
    <row r="87" spans="1:20" ht="18.75" customHeight="1" x14ac:dyDescent="0.3">
      <c r="A87" s="11">
        <v>46141</v>
      </c>
      <c r="B87" s="18" t="s">
        <v>4228</v>
      </c>
      <c r="C87" s="17" t="s">
        <v>4229</v>
      </c>
      <c r="D87" s="42" t="s">
        <v>116</v>
      </c>
      <c r="E87" s="18" t="s">
        <v>19</v>
      </c>
      <c r="F87" s="18" t="s">
        <v>109</v>
      </c>
      <c r="G87" s="42" t="s">
        <v>116</v>
      </c>
      <c r="H87" s="18" t="s">
        <v>117</v>
      </c>
      <c r="I87" s="44" t="s">
        <v>4062</v>
      </c>
      <c r="J87" s="19">
        <v>1.1752674763897379</v>
      </c>
      <c r="K87" s="19">
        <v>2.0084360156539538</v>
      </c>
      <c r="L87" s="19">
        <v>1.6147683570929841</v>
      </c>
      <c r="M87" s="19">
        <v>1.684166445511696</v>
      </c>
      <c r="N87" s="46" t="s">
        <v>1</v>
      </c>
      <c r="O87" s="20"/>
      <c r="P87" s="21" t="s">
        <v>25</v>
      </c>
      <c r="Q87" s="21" t="s">
        <v>11</v>
      </c>
      <c r="R87" s="22" t="s">
        <v>4075</v>
      </c>
      <c r="S87" s="21" t="s">
        <v>10</v>
      </c>
      <c r="T87" s="22" t="s">
        <v>4162</v>
      </c>
    </row>
    <row r="88" spans="1:20" ht="18.75" customHeight="1" x14ac:dyDescent="0.3">
      <c r="A88" s="11">
        <v>46141</v>
      </c>
      <c r="B88" s="18" t="s">
        <v>4230</v>
      </c>
      <c r="C88" s="17" t="s">
        <v>4231</v>
      </c>
      <c r="D88" s="42" t="s">
        <v>116</v>
      </c>
      <c r="E88" s="18" t="s">
        <v>19</v>
      </c>
      <c r="F88" s="18" t="s">
        <v>109</v>
      </c>
      <c r="G88" s="42" t="s">
        <v>116</v>
      </c>
      <c r="H88" s="18" t="s">
        <v>117</v>
      </c>
      <c r="I88" s="44" t="s">
        <v>4062</v>
      </c>
      <c r="J88" s="19">
        <v>1.176516432262628</v>
      </c>
      <c r="K88" s="19">
        <v>2.003707783795913</v>
      </c>
      <c r="L88" s="19">
        <v>1.613058340830045</v>
      </c>
      <c r="M88" s="19">
        <v>1.681865720408751</v>
      </c>
      <c r="N88" s="46" t="s">
        <v>1</v>
      </c>
      <c r="O88" s="20"/>
      <c r="P88" s="21" t="s">
        <v>25</v>
      </c>
      <c r="Q88" s="21" t="s">
        <v>11</v>
      </c>
      <c r="R88" s="22" t="s">
        <v>4075</v>
      </c>
      <c r="S88" s="21" t="s">
        <v>10</v>
      </c>
      <c r="T88" s="22" t="s">
        <v>4162</v>
      </c>
    </row>
    <row r="89" spans="1:20" ht="18.75" customHeight="1" x14ac:dyDescent="0.3">
      <c r="A89" s="11">
        <v>46141</v>
      </c>
      <c r="B89" s="18" t="s">
        <v>4232</v>
      </c>
      <c r="C89" s="17" t="s">
        <v>4233</v>
      </c>
      <c r="D89" s="42" t="s">
        <v>116</v>
      </c>
      <c r="E89" s="18" t="s">
        <v>19</v>
      </c>
      <c r="F89" s="18" t="s">
        <v>109</v>
      </c>
      <c r="G89" s="42" t="s">
        <v>116</v>
      </c>
      <c r="H89" s="18" t="s">
        <v>117</v>
      </c>
      <c r="I89" s="44" t="s">
        <v>4062</v>
      </c>
      <c r="J89" s="19">
        <v>1.1746429984532929</v>
      </c>
      <c r="K89" s="19">
        <v>2.0079047536474319</v>
      </c>
      <c r="L89" s="19">
        <v>1.6098093099304609</v>
      </c>
      <c r="M89" s="19">
        <v>1.6813128329809119</v>
      </c>
      <c r="N89" s="46" t="s">
        <v>1</v>
      </c>
      <c r="O89" s="20"/>
      <c r="P89" s="21" t="s">
        <v>25</v>
      </c>
      <c r="Q89" s="21" t="s">
        <v>11</v>
      </c>
      <c r="R89" s="22" t="s">
        <v>4075</v>
      </c>
      <c r="S89" s="21" t="s">
        <v>10</v>
      </c>
      <c r="T89" s="22" t="s">
        <v>4162</v>
      </c>
    </row>
    <row r="90" spans="1:20" ht="18.75" customHeight="1" x14ac:dyDescent="0.3">
      <c r="A90" s="11">
        <v>46141</v>
      </c>
      <c r="B90" s="18" t="s">
        <v>4234</v>
      </c>
      <c r="C90" s="17" t="s">
        <v>4235</v>
      </c>
      <c r="D90" s="42" t="s">
        <v>116</v>
      </c>
      <c r="E90" s="18" t="s">
        <v>19</v>
      </c>
      <c r="F90" s="18" t="s">
        <v>109</v>
      </c>
      <c r="G90" s="42" t="s">
        <v>116</v>
      </c>
      <c r="H90" s="18" t="s">
        <v>117</v>
      </c>
      <c r="I90" s="44" t="s">
        <v>4062</v>
      </c>
      <c r="J90" s="19">
        <v>1.1783898660719641</v>
      </c>
      <c r="K90" s="19">
        <v>2.0049828126115639</v>
      </c>
      <c r="L90" s="19">
        <v>1.603653251383881</v>
      </c>
      <c r="M90" s="19">
        <v>1.6776566419258461</v>
      </c>
      <c r="N90" s="46" t="s">
        <v>1</v>
      </c>
      <c r="O90" s="20"/>
      <c r="P90" s="21" t="s">
        <v>25</v>
      </c>
      <c r="Q90" s="21" t="s">
        <v>11</v>
      </c>
      <c r="R90" s="22" t="s">
        <v>4075</v>
      </c>
      <c r="S90" s="21" t="s">
        <v>10</v>
      </c>
      <c r="T90" s="22" t="s">
        <v>4162</v>
      </c>
    </row>
    <row r="91" spans="1:20" ht="18.75" customHeight="1" x14ac:dyDescent="0.3">
      <c r="A91" s="11">
        <v>46141</v>
      </c>
      <c r="B91" s="18" t="s">
        <v>4236</v>
      </c>
      <c r="C91" s="17" t="s">
        <v>4237</v>
      </c>
      <c r="D91" s="42" t="s">
        <v>116</v>
      </c>
      <c r="E91" s="18" t="s">
        <v>19</v>
      </c>
      <c r="F91" s="18"/>
      <c r="G91" s="42" t="s">
        <v>116</v>
      </c>
      <c r="H91" s="18" t="s">
        <v>117</v>
      </c>
      <c r="I91" s="44" t="s">
        <v>4062</v>
      </c>
      <c r="J91" s="19">
        <v>1.177140910199074</v>
      </c>
      <c r="K91" s="19">
        <v>2.0119954710976469</v>
      </c>
      <c r="L91" s="19">
        <v>1.5882631050174341</v>
      </c>
      <c r="M91" s="19">
        <v>1.67180673623774</v>
      </c>
      <c r="N91" s="46" t="s">
        <v>1</v>
      </c>
      <c r="O91" s="20"/>
      <c r="P91" s="21" t="s">
        <v>25</v>
      </c>
      <c r="Q91" s="21" t="s">
        <v>11</v>
      </c>
      <c r="R91" s="22" t="s">
        <v>4075</v>
      </c>
      <c r="S91" s="21" t="s">
        <v>10</v>
      </c>
      <c r="T91" s="22" t="s">
        <v>4162</v>
      </c>
    </row>
    <row r="92" spans="1:20" ht="18.75" customHeight="1" x14ac:dyDescent="0.3">
      <c r="A92" s="11">
        <v>46141</v>
      </c>
      <c r="B92" s="18" t="s">
        <v>4238</v>
      </c>
      <c r="C92" s="17" t="s">
        <v>4239</v>
      </c>
      <c r="D92" s="42" t="s">
        <v>116</v>
      </c>
      <c r="E92" s="18" t="s">
        <v>19</v>
      </c>
      <c r="F92" s="18" t="s">
        <v>109</v>
      </c>
      <c r="G92" s="42" t="s">
        <v>116</v>
      </c>
      <c r="H92" s="18" t="s">
        <v>117</v>
      </c>
      <c r="I92" s="44" t="s">
        <v>4062</v>
      </c>
      <c r="J92" s="19">
        <v>1.1746429984532929</v>
      </c>
      <c r="K92" s="19">
        <v>2.003017143187436</v>
      </c>
      <c r="L92" s="19">
        <v>1.586895092007083</v>
      </c>
      <c r="M92" s="19">
        <v>1.667722503303056</v>
      </c>
      <c r="N92" s="46" t="s">
        <v>1</v>
      </c>
      <c r="O92" s="20"/>
      <c r="P92" s="21" t="s">
        <v>25</v>
      </c>
      <c r="Q92" s="21" t="s">
        <v>11</v>
      </c>
      <c r="R92" s="22" t="s">
        <v>4075</v>
      </c>
      <c r="S92" s="21" t="s">
        <v>10</v>
      </c>
      <c r="T92" s="22" t="s">
        <v>4162</v>
      </c>
    </row>
    <row r="93" spans="1:20" ht="18.75" customHeight="1" x14ac:dyDescent="0.3">
      <c r="A93" s="11">
        <v>46141</v>
      </c>
      <c r="B93" s="18" t="s">
        <v>4240</v>
      </c>
      <c r="C93" s="17" t="s">
        <v>4241</v>
      </c>
      <c r="D93" s="42" t="s">
        <v>116</v>
      </c>
      <c r="E93" s="18" t="s">
        <v>66</v>
      </c>
      <c r="F93" s="18" t="s">
        <v>103</v>
      </c>
      <c r="G93" s="42" t="s">
        <v>116</v>
      </c>
      <c r="H93" s="18" t="s">
        <v>117</v>
      </c>
      <c r="I93" s="44" t="s">
        <v>4062</v>
      </c>
      <c r="J93" s="19">
        <v>1.203368983529769</v>
      </c>
      <c r="K93" s="19">
        <v>2.0566214796454401</v>
      </c>
      <c r="L93" s="19">
        <v>1.5097733585485491</v>
      </c>
      <c r="M93" s="19">
        <v>1.6496020637325819</v>
      </c>
      <c r="N93" s="46" t="s">
        <v>1</v>
      </c>
      <c r="O93" s="20"/>
      <c r="P93" s="21" t="s">
        <v>25</v>
      </c>
      <c r="Q93" s="21" t="s">
        <v>11</v>
      </c>
      <c r="R93" s="22" t="s">
        <v>4075</v>
      </c>
      <c r="S93" s="21" t="s">
        <v>10</v>
      </c>
      <c r="T93" s="22" t="s">
        <v>4162</v>
      </c>
    </row>
    <row r="94" spans="1:20" ht="18.75" customHeight="1" x14ac:dyDescent="0.3">
      <c r="A94" s="11">
        <v>46141</v>
      </c>
      <c r="B94" s="18" t="s">
        <v>1688</v>
      </c>
      <c r="C94" s="18" t="s">
        <v>1689</v>
      </c>
      <c r="D94" s="42" t="s">
        <v>60</v>
      </c>
      <c r="E94" s="18" t="s">
        <v>19</v>
      </c>
      <c r="F94" s="18" t="s">
        <v>109</v>
      </c>
      <c r="G94" s="42" t="s">
        <v>59</v>
      </c>
      <c r="H94" s="18" t="s">
        <v>60</v>
      </c>
      <c r="I94" s="43" t="s">
        <v>4054</v>
      </c>
      <c r="J94" s="19">
        <v>0.87127161692824795</v>
      </c>
      <c r="K94" s="19">
        <v>0.73856044146597832</v>
      </c>
      <c r="L94" s="19">
        <v>2.447512076818855</v>
      </c>
      <c r="M94" s="19">
        <v>1.6487103098167131</v>
      </c>
      <c r="N94" s="46" t="s">
        <v>1</v>
      </c>
      <c r="O94" s="20"/>
      <c r="P94" s="21" t="s">
        <v>9</v>
      </c>
      <c r="Q94" s="21" t="s">
        <v>11</v>
      </c>
      <c r="R94" s="22" t="s">
        <v>104</v>
      </c>
      <c r="S94" s="21" t="s">
        <v>10</v>
      </c>
      <c r="T94" s="22" t="s">
        <v>4242</v>
      </c>
    </row>
    <row r="95" spans="1:20" ht="18.75" customHeight="1" x14ac:dyDescent="0.3">
      <c r="A95" s="11">
        <v>46141</v>
      </c>
      <c r="B95" s="18" t="s">
        <v>3556</v>
      </c>
      <c r="C95" s="18" t="s">
        <v>3557</v>
      </c>
      <c r="D95" s="42" t="s">
        <v>111</v>
      </c>
      <c r="E95" s="18" t="s">
        <v>19</v>
      </c>
      <c r="F95" s="18" t="s">
        <v>109</v>
      </c>
      <c r="G95" s="42" t="s">
        <v>110</v>
      </c>
      <c r="H95" s="18" t="s">
        <v>111</v>
      </c>
      <c r="I95" s="44" t="s">
        <v>4062</v>
      </c>
      <c r="J95" s="19">
        <v>1.362610857323278</v>
      </c>
      <c r="K95" s="19">
        <v>1.72686715219764</v>
      </c>
      <c r="L95" s="19">
        <v>1.676328942558776</v>
      </c>
      <c r="M95" s="19">
        <v>1.6484962888769039</v>
      </c>
      <c r="N95" s="46" t="s">
        <v>1</v>
      </c>
      <c r="O95" s="20"/>
      <c r="P95" s="21" t="s">
        <v>19</v>
      </c>
      <c r="Q95" s="21" t="s">
        <v>11</v>
      </c>
      <c r="R95" s="22" t="s">
        <v>80</v>
      </c>
      <c r="S95" s="21" t="s">
        <v>10</v>
      </c>
      <c r="T95" s="22" t="s">
        <v>4086</v>
      </c>
    </row>
    <row r="96" spans="1:20" ht="18.75" customHeight="1" x14ac:dyDescent="0.3">
      <c r="A96" s="11">
        <v>46141</v>
      </c>
      <c r="B96" s="18" t="s">
        <v>4243</v>
      </c>
      <c r="C96" s="17" t="s">
        <v>4244</v>
      </c>
      <c r="D96" s="42" t="s">
        <v>111</v>
      </c>
      <c r="E96" s="18" t="s">
        <v>19</v>
      </c>
      <c r="F96" s="18" t="s">
        <v>109</v>
      </c>
      <c r="G96" s="42" t="s">
        <v>110</v>
      </c>
      <c r="H96" s="18" t="s">
        <v>111</v>
      </c>
      <c r="I96" s="44" t="s">
        <v>4062</v>
      </c>
      <c r="J96" s="19">
        <v>1.361361901450387</v>
      </c>
      <c r="K96" s="19">
        <v>1.7260702591878581</v>
      </c>
      <c r="L96" s="19">
        <v>1.6493106856043449</v>
      </c>
      <c r="M96" s="19">
        <v>1.6339607000482259</v>
      </c>
      <c r="N96" s="46" t="s">
        <v>1</v>
      </c>
      <c r="O96" s="20"/>
      <c r="P96" s="21" t="s">
        <v>19</v>
      </c>
      <c r="Q96" s="21" t="s">
        <v>11</v>
      </c>
      <c r="R96" s="22" t="s">
        <v>80</v>
      </c>
      <c r="S96" s="21" t="s">
        <v>10</v>
      </c>
      <c r="T96" s="22" t="s">
        <v>4086</v>
      </c>
    </row>
    <row r="97" spans="1:20" ht="18.75" customHeight="1" x14ac:dyDescent="0.3">
      <c r="A97" s="11">
        <v>46141</v>
      </c>
      <c r="B97" s="18" t="s">
        <v>4245</v>
      </c>
      <c r="C97" s="17" t="s">
        <v>4246</v>
      </c>
      <c r="D97" s="42" t="s">
        <v>111</v>
      </c>
      <c r="E97" s="18" t="s">
        <v>66</v>
      </c>
      <c r="F97" s="18" t="s">
        <v>193</v>
      </c>
      <c r="G97" s="42" t="s">
        <v>110</v>
      </c>
      <c r="H97" s="18" t="s">
        <v>111</v>
      </c>
      <c r="I97" s="44" t="s">
        <v>4062</v>
      </c>
      <c r="J97" s="19">
        <v>1.361361901450387</v>
      </c>
      <c r="K97" s="19">
        <v>1.726814025996988</v>
      </c>
      <c r="L97" s="19">
        <v>1.648626679099169</v>
      </c>
      <c r="M97" s="19">
        <v>1.633853689578322</v>
      </c>
      <c r="N97" s="46" t="s">
        <v>1</v>
      </c>
      <c r="O97" s="20"/>
      <c r="P97" s="21" t="s">
        <v>19</v>
      </c>
      <c r="Q97" s="21" t="s">
        <v>11</v>
      </c>
      <c r="R97" s="22" t="s">
        <v>80</v>
      </c>
      <c r="S97" s="21" t="s">
        <v>10</v>
      </c>
      <c r="T97" s="22" t="s">
        <v>4086</v>
      </c>
    </row>
    <row r="98" spans="1:20" ht="18.75" customHeight="1" x14ac:dyDescent="0.3">
      <c r="A98" s="11">
        <v>46141</v>
      </c>
      <c r="B98" s="18" t="s">
        <v>4247</v>
      </c>
      <c r="C98" s="17" t="s">
        <v>4248</v>
      </c>
      <c r="D98" s="42" t="s">
        <v>111</v>
      </c>
      <c r="E98" s="18" t="s">
        <v>19</v>
      </c>
      <c r="F98" s="18" t="s">
        <v>109</v>
      </c>
      <c r="G98" s="42" t="s">
        <v>110</v>
      </c>
      <c r="H98" s="18" t="s">
        <v>111</v>
      </c>
      <c r="I98" s="44" t="s">
        <v>4062</v>
      </c>
      <c r="J98" s="19">
        <v>1.361986379386833</v>
      </c>
      <c r="K98" s="19">
        <v>1.728726569220465</v>
      </c>
      <c r="L98" s="19">
        <v>1.6404186010370629</v>
      </c>
      <c r="M98" s="19">
        <v>1.63030450899316</v>
      </c>
      <c r="N98" s="46" t="s">
        <v>1</v>
      </c>
      <c r="O98" s="20"/>
      <c r="P98" s="21" t="s">
        <v>19</v>
      </c>
      <c r="Q98" s="21" t="s">
        <v>11</v>
      </c>
      <c r="R98" s="22" t="s">
        <v>80</v>
      </c>
      <c r="S98" s="21" t="s">
        <v>10</v>
      </c>
      <c r="T98" s="22" t="s">
        <v>4086</v>
      </c>
    </row>
    <row r="99" spans="1:20" ht="18.75" customHeight="1" x14ac:dyDescent="0.3">
      <c r="A99" s="11">
        <v>46141</v>
      </c>
      <c r="B99" s="18" t="s">
        <v>4249</v>
      </c>
      <c r="C99" s="17" t="s">
        <v>4250</v>
      </c>
      <c r="D99" s="42" t="s">
        <v>110</v>
      </c>
      <c r="E99" s="18" t="s">
        <v>66</v>
      </c>
      <c r="F99" s="18" t="s">
        <v>67</v>
      </c>
      <c r="G99" s="42" t="s">
        <v>110</v>
      </c>
      <c r="H99" s="18" t="s">
        <v>111</v>
      </c>
      <c r="I99" s="44" t="s">
        <v>4062</v>
      </c>
      <c r="J99" s="19">
        <v>1.35199473240371</v>
      </c>
      <c r="K99" s="19">
        <v>1.7242108421650331</v>
      </c>
      <c r="L99" s="19">
        <v>1.559534831800065</v>
      </c>
      <c r="M99" s="19">
        <v>1.5851817608501491</v>
      </c>
      <c r="N99" s="46" t="s">
        <v>1</v>
      </c>
      <c r="O99" s="20"/>
      <c r="P99" s="21" t="s">
        <v>19</v>
      </c>
      <c r="Q99" s="21" t="s">
        <v>11</v>
      </c>
      <c r="R99" s="22" t="s">
        <v>80</v>
      </c>
      <c r="S99" s="21" t="s">
        <v>10</v>
      </c>
      <c r="T99" s="22" t="s">
        <v>4086</v>
      </c>
    </row>
    <row r="100" spans="1:20" ht="18.75" customHeight="1" x14ac:dyDescent="0.3">
      <c r="A100" s="11">
        <v>46141</v>
      </c>
      <c r="B100" s="18" t="s">
        <v>4251</v>
      </c>
      <c r="C100" s="17" t="s">
        <v>4252</v>
      </c>
      <c r="D100" s="42" t="s">
        <v>181</v>
      </c>
      <c r="E100" s="18" t="s">
        <v>19</v>
      </c>
      <c r="F100" s="18" t="s">
        <v>261</v>
      </c>
      <c r="G100" s="42" t="s">
        <v>181</v>
      </c>
      <c r="H100" s="18" t="s">
        <v>4253</v>
      </c>
      <c r="I100" s="45" t="s">
        <v>4092</v>
      </c>
      <c r="J100" s="19">
        <v>2.7619410173095291</v>
      </c>
      <c r="K100" s="19">
        <v>1.1849199898186149</v>
      </c>
      <c r="L100" s="19">
        <v>1.516032018070905</v>
      </c>
      <c r="M100" s="19">
        <v>1.582789581033228</v>
      </c>
      <c r="N100" s="46" t="s">
        <v>1</v>
      </c>
      <c r="O100" s="20"/>
      <c r="P100" s="21" t="s">
        <v>7</v>
      </c>
      <c r="Q100" s="21" t="s">
        <v>11</v>
      </c>
      <c r="R100" s="22" t="s">
        <v>70</v>
      </c>
      <c r="S100" s="21" t="s">
        <v>10</v>
      </c>
      <c r="T100" s="22" t="s">
        <v>4254</v>
      </c>
    </row>
    <row r="101" spans="1:20" ht="18.75" customHeight="1" x14ac:dyDescent="0.3">
      <c r="A101" s="11">
        <v>46141</v>
      </c>
      <c r="B101" s="18" t="s">
        <v>2768</v>
      </c>
      <c r="C101" s="17" t="s">
        <v>2769</v>
      </c>
      <c r="D101" s="42" t="s">
        <v>116</v>
      </c>
      <c r="E101" s="18" t="s">
        <v>390</v>
      </c>
      <c r="F101" s="18" t="s">
        <v>1115</v>
      </c>
      <c r="G101" s="42" t="s">
        <v>116</v>
      </c>
      <c r="H101" s="18" t="s">
        <v>117</v>
      </c>
      <c r="I101" s="44" t="s">
        <v>4062</v>
      </c>
      <c r="J101" s="19">
        <v>0</v>
      </c>
      <c r="K101" s="19">
        <v>2.6437722492528328</v>
      </c>
      <c r="L101" s="19">
        <v>1.0531990163439251</v>
      </c>
      <c r="M101" s="19">
        <v>1.4367760741710971</v>
      </c>
      <c r="N101" s="46" t="s">
        <v>1</v>
      </c>
      <c r="O101" s="20"/>
      <c r="P101" s="21" t="s">
        <v>25</v>
      </c>
      <c r="Q101" s="21" t="s">
        <v>11</v>
      </c>
      <c r="R101" s="22" t="s">
        <v>4075</v>
      </c>
      <c r="S101" s="21" t="s">
        <v>10</v>
      </c>
      <c r="T101" s="22" t="s">
        <v>4162</v>
      </c>
    </row>
    <row r="102" spans="1:20" ht="18.75" customHeight="1" x14ac:dyDescent="0.3">
      <c r="A102" s="11">
        <v>46141</v>
      </c>
      <c r="B102" s="18" t="s">
        <v>4255</v>
      </c>
      <c r="C102" s="17" t="s">
        <v>4256</v>
      </c>
      <c r="D102" s="42" t="s">
        <v>60</v>
      </c>
      <c r="E102" s="18" t="s">
        <v>19</v>
      </c>
      <c r="F102" s="18" t="s">
        <v>58</v>
      </c>
      <c r="G102" s="42" t="s">
        <v>59</v>
      </c>
      <c r="H102" s="18" t="s">
        <v>60</v>
      </c>
      <c r="I102" s="43" t="s">
        <v>4054</v>
      </c>
      <c r="J102" s="19">
        <v>0</v>
      </c>
      <c r="K102" s="19">
        <v>0</v>
      </c>
      <c r="L102" s="19">
        <v>2.37962443118019</v>
      </c>
      <c r="M102" s="19">
        <v>1.24094691424609</v>
      </c>
      <c r="N102" s="46" t="s">
        <v>1</v>
      </c>
      <c r="O102" s="20"/>
      <c r="P102" s="21" t="s">
        <v>9</v>
      </c>
      <c r="Q102" s="21" t="s">
        <v>11</v>
      </c>
      <c r="R102" s="22" t="s">
        <v>104</v>
      </c>
      <c r="S102" s="21" t="s">
        <v>10</v>
      </c>
      <c r="T102" s="22" t="s">
        <v>4257</v>
      </c>
    </row>
    <row r="103" spans="1:20" ht="18.75" customHeight="1" x14ac:dyDescent="0.3">
      <c r="A103" s="11">
        <v>46141</v>
      </c>
      <c r="B103" s="18" t="s">
        <v>4258</v>
      </c>
      <c r="C103" s="17" t="s">
        <v>4259</v>
      </c>
      <c r="D103" s="42" t="s">
        <v>181</v>
      </c>
      <c r="E103" s="18" t="s">
        <v>19</v>
      </c>
      <c r="F103" s="18" t="s">
        <v>221</v>
      </c>
      <c r="G103" s="42" t="s">
        <v>181</v>
      </c>
      <c r="H103" s="18" t="s">
        <v>4260</v>
      </c>
      <c r="I103" s="45" t="s">
        <v>4092</v>
      </c>
      <c r="J103" s="19">
        <v>4.2232193885911382</v>
      </c>
      <c r="K103" s="19">
        <v>1.8163848002964871</v>
      </c>
      <c r="L103" s="19">
        <v>0</v>
      </c>
      <c r="M103" s="19">
        <v>1.212856665896191</v>
      </c>
      <c r="N103" s="46" t="s">
        <v>1</v>
      </c>
      <c r="O103" s="20"/>
      <c r="P103" s="21" t="s">
        <v>7</v>
      </c>
      <c r="Q103" s="21" t="s">
        <v>11</v>
      </c>
      <c r="R103" s="22" t="s">
        <v>70</v>
      </c>
      <c r="S103" s="21" t="s">
        <v>10</v>
      </c>
      <c r="T103" s="22" t="s">
        <v>4261</v>
      </c>
    </row>
    <row r="104" spans="1:20" ht="18.75" customHeight="1" x14ac:dyDescent="0.3">
      <c r="A104" s="11">
        <v>46141</v>
      </c>
      <c r="B104" s="18" t="s">
        <v>4262</v>
      </c>
      <c r="C104" s="17" t="s">
        <v>4263</v>
      </c>
      <c r="D104" s="42" t="s">
        <v>181</v>
      </c>
      <c r="E104" s="18" t="s">
        <v>19</v>
      </c>
      <c r="F104" s="18" t="s">
        <v>221</v>
      </c>
      <c r="G104" s="42" t="s">
        <v>181</v>
      </c>
      <c r="H104" s="18" t="s">
        <v>4260</v>
      </c>
      <c r="I104" s="45" t="s">
        <v>4092</v>
      </c>
      <c r="J104" s="19">
        <v>4.2220953283055369</v>
      </c>
      <c r="K104" s="19">
        <v>1.811869073241055</v>
      </c>
      <c r="L104" s="19">
        <v>0</v>
      </c>
      <c r="M104" s="19">
        <v>1.2111801685343559</v>
      </c>
      <c r="N104" s="46" t="s">
        <v>1</v>
      </c>
      <c r="O104" s="20"/>
      <c r="P104" s="21" t="s">
        <v>7</v>
      </c>
      <c r="Q104" s="21" t="s">
        <v>11</v>
      </c>
      <c r="R104" s="22" t="s">
        <v>70</v>
      </c>
      <c r="S104" s="21" t="s">
        <v>10</v>
      </c>
      <c r="T104" s="22" t="s">
        <v>4264</v>
      </c>
    </row>
    <row r="105" spans="1:20" ht="18.75" customHeight="1" x14ac:dyDescent="0.3">
      <c r="A105" s="11">
        <v>46141</v>
      </c>
      <c r="B105" s="18" t="s">
        <v>4265</v>
      </c>
      <c r="C105" s="17" t="s">
        <v>4266</v>
      </c>
      <c r="D105" s="42" t="s">
        <v>200</v>
      </c>
      <c r="E105" s="18" t="s">
        <v>19</v>
      </c>
      <c r="F105" s="18" t="s">
        <v>221</v>
      </c>
      <c r="G105" s="42" t="s">
        <v>200</v>
      </c>
      <c r="H105" s="18" t="s">
        <v>4267</v>
      </c>
      <c r="I105" s="45" t="s">
        <v>4092</v>
      </c>
      <c r="J105" s="19">
        <v>8.3977294981395545</v>
      </c>
      <c r="K105" s="19">
        <v>0</v>
      </c>
      <c r="L105" s="19">
        <v>0</v>
      </c>
      <c r="M105" s="19">
        <v>1.1991949959050661</v>
      </c>
      <c r="N105" s="46" t="s">
        <v>1</v>
      </c>
      <c r="O105" s="20"/>
      <c r="P105" s="21" t="s">
        <v>19</v>
      </c>
      <c r="Q105" s="21" t="s">
        <v>11</v>
      </c>
      <c r="R105" s="22" t="s">
        <v>80</v>
      </c>
      <c r="S105" s="21" t="s">
        <v>10</v>
      </c>
      <c r="T105" s="22" t="s">
        <v>4268</v>
      </c>
    </row>
    <row r="106" spans="1:20" ht="18.75" customHeight="1" x14ac:dyDescent="0.3">
      <c r="A106" s="11">
        <v>46141</v>
      </c>
      <c r="B106" s="18" t="s">
        <v>4269</v>
      </c>
      <c r="C106" s="17" t="s">
        <v>4270</v>
      </c>
      <c r="D106" s="42" t="s">
        <v>181</v>
      </c>
      <c r="E106" s="18" t="s">
        <v>19</v>
      </c>
      <c r="F106" s="18" t="s">
        <v>109</v>
      </c>
      <c r="G106" s="42" t="s">
        <v>181</v>
      </c>
      <c r="H106" s="18" t="s">
        <v>4269</v>
      </c>
      <c r="I106" s="44" t="s">
        <v>4062</v>
      </c>
      <c r="J106" s="19">
        <v>0</v>
      </c>
      <c r="K106" s="19">
        <v>3.412348994087266</v>
      </c>
      <c r="L106" s="19">
        <v>0</v>
      </c>
      <c r="M106" s="19">
        <v>1.145564915404657</v>
      </c>
      <c r="N106" s="46" t="s">
        <v>1</v>
      </c>
      <c r="O106" s="20"/>
      <c r="P106" s="21" t="s">
        <v>7</v>
      </c>
      <c r="Q106" s="21" t="s">
        <v>11</v>
      </c>
      <c r="R106" s="22" t="s">
        <v>70</v>
      </c>
      <c r="S106" s="21" t="s">
        <v>10</v>
      </c>
      <c r="T106" s="22" t="s">
        <v>4158</v>
      </c>
    </row>
    <row r="107" spans="1:20" ht="18.75" customHeight="1" x14ac:dyDescent="0.3">
      <c r="A107" s="11">
        <v>46141</v>
      </c>
      <c r="B107" s="18" t="s">
        <v>4271</v>
      </c>
      <c r="C107" s="17" t="s">
        <v>4272</v>
      </c>
      <c r="D107" s="42" t="s">
        <v>116</v>
      </c>
      <c r="E107" s="18" t="s">
        <v>19</v>
      </c>
      <c r="F107" s="18" t="s">
        <v>109</v>
      </c>
      <c r="G107" s="42" t="s">
        <v>116</v>
      </c>
      <c r="H107" s="18" t="s">
        <v>117</v>
      </c>
      <c r="I107" s="44" t="s">
        <v>4062</v>
      </c>
      <c r="J107" s="19">
        <v>1.173394042580403</v>
      </c>
      <c r="K107" s="19">
        <v>2.0124204807028638</v>
      </c>
      <c r="L107" s="19">
        <v>0.57764349362068179</v>
      </c>
      <c r="M107" s="19">
        <v>1.144387800235708</v>
      </c>
      <c r="N107" s="46" t="s">
        <v>1</v>
      </c>
      <c r="O107" s="20"/>
      <c r="P107" s="21" t="s">
        <v>25</v>
      </c>
      <c r="Q107" s="21" t="s">
        <v>11</v>
      </c>
      <c r="R107" s="22" t="s">
        <v>4075</v>
      </c>
      <c r="S107" s="21" t="s">
        <v>10</v>
      </c>
      <c r="T107" s="22" t="s">
        <v>4162</v>
      </c>
    </row>
    <row r="108" spans="1:20" ht="18.75" customHeight="1" x14ac:dyDescent="0.3">
      <c r="A108" s="11">
        <v>46141</v>
      </c>
      <c r="B108" s="18" t="s">
        <v>4273</v>
      </c>
      <c r="C108" s="17" t="s">
        <v>4274</v>
      </c>
      <c r="D108" s="42" t="s">
        <v>181</v>
      </c>
      <c r="E108" s="18" t="s">
        <v>19</v>
      </c>
      <c r="F108" s="18" t="s">
        <v>261</v>
      </c>
      <c r="G108" s="42" t="s">
        <v>181</v>
      </c>
      <c r="H108" s="18" t="s">
        <v>4275</v>
      </c>
      <c r="I108" s="45" t="s">
        <v>4092</v>
      </c>
      <c r="J108" s="19">
        <v>3.950697217126482</v>
      </c>
      <c r="K108" s="19">
        <v>1.7029603619041791</v>
      </c>
      <c r="L108" s="19">
        <v>0</v>
      </c>
      <c r="M108" s="19">
        <v>1.135862632799993</v>
      </c>
      <c r="N108" s="46" t="s">
        <v>1</v>
      </c>
      <c r="O108" s="20"/>
      <c r="P108" s="21" t="s">
        <v>7</v>
      </c>
      <c r="Q108" s="21" t="s">
        <v>11</v>
      </c>
      <c r="R108" s="22" t="s">
        <v>70</v>
      </c>
      <c r="S108" s="21" t="s">
        <v>10</v>
      </c>
      <c r="T108" s="22" t="s">
        <v>4276</v>
      </c>
    </row>
    <row r="109" spans="1:20" ht="18.75" customHeight="1" x14ac:dyDescent="0.3">
      <c r="A109" s="11">
        <v>46141</v>
      </c>
      <c r="B109" s="18" t="s">
        <v>1716</v>
      </c>
      <c r="C109" s="17" t="s">
        <v>1717</v>
      </c>
      <c r="D109" s="42" t="s">
        <v>200</v>
      </c>
      <c r="E109" s="18" t="s">
        <v>19</v>
      </c>
      <c r="F109" s="18" t="s">
        <v>221</v>
      </c>
      <c r="G109" s="42" t="s">
        <v>200</v>
      </c>
      <c r="H109" s="18" t="s">
        <v>1718</v>
      </c>
      <c r="I109" s="45" t="s">
        <v>4092</v>
      </c>
      <c r="J109" s="19">
        <v>3.0212242565215481</v>
      </c>
      <c r="K109" s="19">
        <v>1.305006051567049</v>
      </c>
      <c r="L109" s="19">
        <v>0.30510623543291748</v>
      </c>
      <c r="M109" s="19">
        <v>1.028645538857319</v>
      </c>
      <c r="N109" s="46" t="s">
        <v>1</v>
      </c>
      <c r="O109" s="20"/>
      <c r="P109" s="21" t="s">
        <v>19</v>
      </c>
      <c r="Q109" s="21" t="s">
        <v>11</v>
      </c>
      <c r="R109" s="22" t="s">
        <v>80</v>
      </c>
      <c r="S109" s="21" t="s">
        <v>10</v>
      </c>
      <c r="T109" s="22" t="s">
        <v>4277</v>
      </c>
    </row>
    <row r="110" spans="1:20" ht="18.75" customHeight="1" x14ac:dyDescent="0.3">
      <c r="A110" s="11">
        <v>46141</v>
      </c>
      <c r="B110" s="18" t="s">
        <v>4278</v>
      </c>
      <c r="C110" s="17" t="s">
        <v>4279</v>
      </c>
      <c r="D110" s="42" t="s">
        <v>111</v>
      </c>
      <c r="E110" s="18" t="s">
        <v>19</v>
      </c>
      <c r="F110" s="18" t="s">
        <v>109</v>
      </c>
      <c r="G110" s="42" t="s">
        <v>110</v>
      </c>
      <c r="H110" s="18" t="s">
        <v>111</v>
      </c>
      <c r="I110" s="44" t="s">
        <v>4062</v>
      </c>
      <c r="J110" s="19">
        <v>1.352619210340156</v>
      </c>
      <c r="K110" s="19">
        <v>1.727398414204161</v>
      </c>
      <c r="L110" s="19">
        <v>0.26915655978654618</v>
      </c>
      <c r="M110" s="19">
        <v>0.91342353602543147</v>
      </c>
      <c r="N110" s="46" t="s">
        <v>1</v>
      </c>
      <c r="O110" s="20"/>
      <c r="P110" s="21" t="s">
        <v>19</v>
      </c>
      <c r="Q110" s="21" t="s">
        <v>11</v>
      </c>
      <c r="R110" s="22" t="s">
        <v>80</v>
      </c>
      <c r="S110" s="21" t="s">
        <v>10</v>
      </c>
      <c r="T110" s="22" t="s">
        <v>4280</v>
      </c>
    </row>
    <row r="111" spans="1:20" ht="18.75" customHeight="1" x14ac:dyDescent="0.3">
      <c r="A111" s="11">
        <v>46141</v>
      </c>
      <c r="B111" s="18" t="s">
        <v>4281</v>
      </c>
      <c r="C111" s="17" t="s">
        <v>4282</v>
      </c>
      <c r="D111" s="42" t="s">
        <v>116</v>
      </c>
      <c r="E111" s="18" t="s">
        <v>19</v>
      </c>
      <c r="F111" s="18" t="s">
        <v>109</v>
      </c>
      <c r="G111" s="42" t="s">
        <v>116</v>
      </c>
      <c r="H111" s="18" t="s">
        <v>4283</v>
      </c>
      <c r="I111" s="44" t="s">
        <v>4119</v>
      </c>
      <c r="J111" s="19">
        <v>0</v>
      </c>
      <c r="K111" s="19">
        <v>2.6402127938091402</v>
      </c>
      <c r="L111" s="19">
        <v>0</v>
      </c>
      <c r="M111" s="19">
        <v>0.88634988713962437</v>
      </c>
      <c r="N111" s="46" t="s">
        <v>145</v>
      </c>
      <c r="O111" s="20"/>
      <c r="P111" s="21" t="s">
        <v>25</v>
      </c>
      <c r="Q111" s="21" t="s">
        <v>11</v>
      </c>
      <c r="R111" s="22" t="s">
        <v>4075</v>
      </c>
      <c r="S111" s="21" t="s">
        <v>10</v>
      </c>
      <c r="T111" s="22" t="s">
        <v>4162</v>
      </c>
    </row>
    <row r="112" spans="1:20" ht="18.75" customHeight="1" x14ac:dyDescent="0.3">
      <c r="A112" s="11">
        <v>46141</v>
      </c>
      <c r="B112" s="18" t="s">
        <v>2997</v>
      </c>
      <c r="C112" s="17" t="s">
        <v>2998</v>
      </c>
      <c r="D112" s="42" t="s">
        <v>200</v>
      </c>
      <c r="E112" s="18" t="s">
        <v>19</v>
      </c>
      <c r="F112" s="18" t="s">
        <v>221</v>
      </c>
      <c r="G112" s="42" t="s">
        <v>200</v>
      </c>
      <c r="H112" s="18" t="s">
        <v>2999</v>
      </c>
      <c r="I112" s="45" t="s">
        <v>4092</v>
      </c>
      <c r="J112" s="19">
        <v>2.16406584095696</v>
      </c>
      <c r="K112" s="19">
        <v>0.50638060551441255</v>
      </c>
      <c r="L112" s="19">
        <v>0.63981968494113162</v>
      </c>
      <c r="M112" s="19">
        <v>0.81268485704080307</v>
      </c>
      <c r="N112" s="46" t="s">
        <v>1</v>
      </c>
      <c r="O112" s="20"/>
      <c r="P112" s="21" t="s">
        <v>19</v>
      </c>
      <c r="Q112" s="21" t="s">
        <v>11</v>
      </c>
      <c r="R112" s="22" t="s">
        <v>80</v>
      </c>
      <c r="S112" s="21" t="s">
        <v>10</v>
      </c>
      <c r="T112" s="22" t="s">
        <v>4284</v>
      </c>
    </row>
    <row r="113" spans="1:20" ht="18.75" customHeight="1" x14ac:dyDescent="0.3">
      <c r="A113" s="11">
        <v>46141</v>
      </c>
      <c r="B113" s="18" t="s">
        <v>2359</v>
      </c>
      <c r="C113" s="17" t="s">
        <v>2360</v>
      </c>
      <c r="D113" s="42" t="s">
        <v>181</v>
      </c>
      <c r="E113" s="18" t="s">
        <v>19</v>
      </c>
      <c r="F113" s="18" t="s">
        <v>261</v>
      </c>
      <c r="G113" s="42" t="s">
        <v>181</v>
      </c>
      <c r="H113" s="18" t="s">
        <v>2361</v>
      </c>
      <c r="I113" s="45" t="s">
        <v>4092</v>
      </c>
      <c r="J113" s="19">
        <v>2.765313198166333</v>
      </c>
      <c r="K113" s="19">
        <v>1.1790750930078511</v>
      </c>
      <c r="L113" s="19">
        <v>1.635019845595613E-2</v>
      </c>
      <c r="M113" s="19">
        <v>0.79924201864277544</v>
      </c>
      <c r="N113" s="46" t="s">
        <v>1</v>
      </c>
      <c r="O113" s="20"/>
      <c r="P113" s="21" t="s">
        <v>7</v>
      </c>
      <c r="Q113" s="21" t="s">
        <v>11</v>
      </c>
      <c r="R113" s="22" t="s">
        <v>70</v>
      </c>
      <c r="S113" s="21" t="s">
        <v>10</v>
      </c>
      <c r="T113" s="22" t="s">
        <v>4285</v>
      </c>
    </row>
    <row r="114" spans="1:20" ht="18.75" customHeight="1" x14ac:dyDescent="0.3">
      <c r="A114" s="11">
        <v>46141</v>
      </c>
      <c r="B114" s="18" t="s">
        <v>3230</v>
      </c>
      <c r="C114" s="17" t="s">
        <v>3231</v>
      </c>
      <c r="D114" s="42" t="s">
        <v>200</v>
      </c>
      <c r="E114" s="18" t="s">
        <v>19</v>
      </c>
      <c r="F114" s="18" t="s">
        <v>261</v>
      </c>
      <c r="G114" s="42" t="s">
        <v>200</v>
      </c>
      <c r="H114" s="18" t="s">
        <v>3232</v>
      </c>
      <c r="I114" s="45" t="s">
        <v>4092</v>
      </c>
      <c r="J114" s="19">
        <v>1.3448756839282361</v>
      </c>
      <c r="K114" s="19">
        <v>0.58634942097078091</v>
      </c>
      <c r="L114" s="19">
        <v>0.75746880383131243</v>
      </c>
      <c r="M114" s="19">
        <v>0.78390370147918442</v>
      </c>
      <c r="N114" s="46" t="s">
        <v>1</v>
      </c>
      <c r="O114" s="20"/>
      <c r="P114" s="21" t="s">
        <v>19</v>
      </c>
      <c r="Q114" s="21" t="s">
        <v>11</v>
      </c>
      <c r="R114" s="22" t="s">
        <v>80</v>
      </c>
      <c r="S114" s="21" t="s">
        <v>10</v>
      </c>
      <c r="T114" s="22" t="s">
        <v>4286</v>
      </c>
    </row>
    <row r="115" spans="1:20" ht="18.75" customHeight="1" x14ac:dyDescent="0.3">
      <c r="A115" s="11">
        <v>46141</v>
      </c>
      <c r="B115" s="42" t="s">
        <v>3117</v>
      </c>
      <c r="C115" s="27" t="s">
        <v>3118</v>
      </c>
      <c r="D115" s="42" t="s">
        <v>59</v>
      </c>
      <c r="E115" s="42" t="s">
        <v>19</v>
      </c>
      <c r="F115" s="42" t="s">
        <v>261</v>
      </c>
      <c r="G115" s="42" t="s">
        <v>59</v>
      </c>
      <c r="H115" s="42" t="s">
        <v>3119</v>
      </c>
      <c r="I115" s="45" t="s">
        <v>4092</v>
      </c>
      <c r="J115" s="19">
        <v>1.3452503706901029</v>
      </c>
      <c r="K115" s="19">
        <v>0.59129461325825927</v>
      </c>
      <c r="L115" s="19">
        <v>0.75404877130543457</v>
      </c>
      <c r="M115" s="19">
        <v>0.78383385697123253</v>
      </c>
      <c r="N115" s="46" t="s">
        <v>1</v>
      </c>
      <c r="O115" s="20"/>
      <c r="P115" s="21" t="s">
        <v>19</v>
      </c>
      <c r="Q115" s="21" t="s">
        <v>11</v>
      </c>
      <c r="R115" s="22" t="s">
        <v>80</v>
      </c>
      <c r="S115" s="21" t="s">
        <v>10</v>
      </c>
      <c r="T115" s="22" t="s">
        <v>4287</v>
      </c>
    </row>
    <row r="116" spans="1:20" ht="18.75" customHeight="1" x14ac:dyDescent="0.3">
      <c r="A116" s="11">
        <v>46141</v>
      </c>
      <c r="B116" s="18" t="s">
        <v>4288</v>
      </c>
      <c r="C116" s="17" t="s">
        <v>4289</v>
      </c>
      <c r="D116" s="42" t="s">
        <v>200</v>
      </c>
      <c r="E116" s="18" t="s">
        <v>19</v>
      </c>
      <c r="F116" s="18" t="s">
        <v>109</v>
      </c>
      <c r="G116" s="42" t="s">
        <v>200</v>
      </c>
      <c r="H116" s="18" t="s">
        <v>4290</v>
      </c>
      <c r="I116" s="44" t="s">
        <v>4119</v>
      </c>
      <c r="J116" s="19">
        <v>0</v>
      </c>
      <c r="K116" s="19">
        <v>2.310458466361339</v>
      </c>
      <c r="L116" s="19">
        <v>0</v>
      </c>
      <c r="M116" s="19">
        <v>0.77564755602354785</v>
      </c>
      <c r="N116" s="46" t="s">
        <v>1</v>
      </c>
      <c r="O116" s="20"/>
      <c r="P116" s="21" t="s">
        <v>19</v>
      </c>
      <c r="Q116" s="21" t="s">
        <v>11</v>
      </c>
      <c r="R116" s="22" t="s">
        <v>80</v>
      </c>
      <c r="S116" s="21" t="s">
        <v>10</v>
      </c>
      <c r="T116" s="22" t="s">
        <v>4166</v>
      </c>
    </row>
    <row r="117" spans="1:20" ht="18.75" customHeight="1" x14ac:dyDescent="0.3">
      <c r="A117" s="11">
        <v>46141</v>
      </c>
      <c r="B117" s="18" t="s">
        <v>3114</v>
      </c>
      <c r="C117" s="17" t="s">
        <v>3115</v>
      </c>
      <c r="D117" s="42" t="s">
        <v>200</v>
      </c>
      <c r="E117" s="18" t="s">
        <v>19</v>
      </c>
      <c r="F117" s="18" t="s">
        <v>221</v>
      </c>
      <c r="G117" s="42" t="s">
        <v>200</v>
      </c>
      <c r="H117" s="18" t="s">
        <v>3114</v>
      </c>
      <c r="I117" s="45" t="s">
        <v>4092</v>
      </c>
      <c r="J117" s="19">
        <v>1.2981647342821401</v>
      </c>
      <c r="K117" s="19">
        <v>0.57226853319939375</v>
      </c>
      <c r="L117" s="19">
        <v>0.72470489223340706</v>
      </c>
      <c r="M117" s="19">
        <v>0.75542026072636637</v>
      </c>
      <c r="N117" s="46" t="s">
        <v>1</v>
      </c>
      <c r="O117" s="20"/>
      <c r="P117" s="21" t="s">
        <v>19</v>
      </c>
      <c r="Q117" s="21" t="s">
        <v>11</v>
      </c>
      <c r="R117" s="22" t="s">
        <v>80</v>
      </c>
      <c r="S117" s="21" t="s">
        <v>10</v>
      </c>
      <c r="T117" s="22" t="s">
        <v>4291</v>
      </c>
    </row>
    <row r="118" spans="1:20" ht="18.75" customHeight="1" x14ac:dyDescent="0.3">
      <c r="A118" s="11">
        <v>46141</v>
      </c>
      <c r="B118" s="18" t="s">
        <v>3111</v>
      </c>
      <c r="C118" s="17" t="s">
        <v>3112</v>
      </c>
      <c r="D118" s="42" t="s">
        <v>200</v>
      </c>
      <c r="E118" s="18" t="s">
        <v>19</v>
      </c>
      <c r="F118" s="18" t="s">
        <v>221</v>
      </c>
      <c r="G118" s="42" t="s">
        <v>200</v>
      </c>
      <c r="H118" s="18" t="s">
        <v>3111</v>
      </c>
      <c r="I118" s="45" t="s">
        <v>4092</v>
      </c>
      <c r="J118" s="19">
        <v>1.2583230419369409</v>
      </c>
      <c r="K118" s="19">
        <v>0.54543514329542941</v>
      </c>
      <c r="L118" s="19">
        <v>0.70117506845537148</v>
      </c>
      <c r="M118" s="19">
        <v>0.72845205837322646</v>
      </c>
      <c r="N118" s="46" t="s">
        <v>1</v>
      </c>
      <c r="O118" s="20"/>
      <c r="P118" s="21" t="s">
        <v>19</v>
      </c>
      <c r="Q118" s="21" t="s">
        <v>11</v>
      </c>
      <c r="R118" s="22" t="s">
        <v>80</v>
      </c>
      <c r="S118" s="21" t="s">
        <v>10</v>
      </c>
      <c r="T118" s="22" t="s">
        <v>4292</v>
      </c>
    </row>
    <row r="119" spans="1:20" ht="18.75" customHeight="1" x14ac:dyDescent="0.3">
      <c r="A119" s="11">
        <v>46141</v>
      </c>
      <c r="B119" s="18" t="s">
        <v>4293</v>
      </c>
      <c r="C119" s="17" t="s">
        <v>4294</v>
      </c>
      <c r="D119" s="42" t="s">
        <v>200</v>
      </c>
      <c r="E119" s="18" t="s">
        <v>19</v>
      </c>
      <c r="F119" s="18" t="s">
        <v>109</v>
      </c>
      <c r="G119" s="42" t="s">
        <v>200</v>
      </c>
      <c r="H119" s="18" t="s">
        <v>4290</v>
      </c>
      <c r="I119" s="44" t="s">
        <v>4119</v>
      </c>
      <c r="J119" s="19">
        <v>0</v>
      </c>
      <c r="K119" s="19">
        <v>2.1685052582188362</v>
      </c>
      <c r="L119" s="19">
        <v>0</v>
      </c>
      <c r="M119" s="19">
        <v>0.7279922267594664</v>
      </c>
      <c r="N119" s="46" t="s">
        <v>1</v>
      </c>
      <c r="O119" s="20"/>
      <c r="P119" s="21" t="s">
        <v>19</v>
      </c>
      <c r="Q119" s="21" t="s">
        <v>11</v>
      </c>
      <c r="R119" s="22" t="s">
        <v>80</v>
      </c>
      <c r="S119" s="21" t="s">
        <v>10</v>
      </c>
      <c r="T119" s="22" t="s">
        <v>4166</v>
      </c>
    </row>
    <row r="120" spans="1:20" ht="18.75" customHeight="1" x14ac:dyDescent="0.3">
      <c r="A120" s="11">
        <v>46141</v>
      </c>
      <c r="B120" s="18" t="s">
        <v>4295</v>
      </c>
      <c r="C120" s="17" t="s">
        <v>4296</v>
      </c>
      <c r="D120" s="42" t="s">
        <v>200</v>
      </c>
      <c r="E120" s="18" t="s">
        <v>19</v>
      </c>
      <c r="F120" s="18" t="s">
        <v>109</v>
      </c>
      <c r="G120" s="42" t="s">
        <v>200</v>
      </c>
      <c r="H120" s="18" t="s">
        <v>4295</v>
      </c>
      <c r="I120" s="44" t="s">
        <v>4119</v>
      </c>
      <c r="J120" s="19">
        <v>0</v>
      </c>
      <c r="K120" s="19">
        <v>2.161173842528842</v>
      </c>
      <c r="L120" s="19">
        <v>0</v>
      </c>
      <c r="M120" s="19">
        <v>0.72553098595166565</v>
      </c>
      <c r="N120" s="46" t="s">
        <v>1</v>
      </c>
      <c r="O120" s="20"/>
      <c r="P120" s="21" t="s">
        <v>19</v>
      </c>
      <c r="Q120" s="21" t="s">
        <v>11</v>
      </c>
      <c r="R120" s="22" t="s">
        <v>80</v>
      </c>
      <c r="S120" s="21" t="s">
        <v>10</v>
      </c>
      <c r="T120" s="22" t="s">
        <v>4166</v>
      </c>
    </row>
    <row r="121" spans="1:20" ht="18.75" customHeight="1" x14ac:dyDescent="0.3">
      <c r="A121" s="11">
        <v>46141</v>
      </c>
      <c r="B121" s="18" t="s">
        <v>4297</v>
      </c>
      <c r="C121" s="17" t="s">
        <v>4298</v>
      </c>
      <c r="D121" s="42" t="s">
        <v>59</v>
      </c>
      <c r="E121" s="18" t="s">
        <v>19</v>
      </c>
      <c r="F121" s="18" t="s">
        <v>221</v>
      </c>
      <c r="G121" s="42" t="s">
        <v>59</v>
      </c>
      <c r="H121" s="18" t="s">
        <v>4299</v>
      </c>
      <c r="I121" s="45" t="s">
        <v>4092</v>
      </c>
      <c r="J121" s="19">
        <v>1.344251205991791</v>
      </c>
      <c r="K121" s="19">
        <v>0.58252879015065773</v>
      </c>
      <c r="L121" s="19">
        <v>0.37839239866306829</v>
      </c>
      <c r="M121" s="19">
        <v>0.58484788818404665</v>
      </c>
      <c r="N121" s="46" t="s">
        <v>1</v>
      </c>
      <c r="O121" s="20"/>
      <c r="P121" s="21" t="s">
        <v>19</v>
      </c>
      <c r="Q121" s="21" t="s">
        <v>11</v>
      </c>
      <c r="R121" s="22" t="s">
        <v>80</v>
      </c>
      <c r="S121" s="21" t="s">
        <v>10</v>
      </c>
      <c r="T121" s="22" t="s">
        <v>4300</v>
      </c>
    </row>
    <row r="122" spans="1:20" ht="18.75" customHeight="1" x14ac:dyDescent="0.3">
      <c r="A122" s="11">
        <v>46141</v>
      </c>
      <c r="B122" s="18" t="s">
        <v>3005</v>
      </c>
      <c r="C122" s="18" t="s">
        <v>3006</v>
      </c>
      <c r="D122" s="42" t="s">
        <v>200</v>
      </c>
      <c r="E122" s="18" t="s">
        <v>66</v>
      </c>
      <c r="F122" s="18" t="s">
        <v>193</v>
      </c>
      <c r="G122" s="42" t="s">
        <v>200</v>
      </c>
      <c r="H122" s="18" t="s">
        <v>3007</v>
      </c>
      <c r="I122" s="45" t="s">
        <v>4092</v>
      </c>
      <c r="J122" s="19">
        <v>1.6175227509801799</v>
      </c>
      <c r="K122" s="19">
        <v>1.0508080022546</v>
      </c>
      <c r="L122" s="19">
        <v>0</v>
      </c>
      <c r="M122" s="19">
        <v>0.5837504656822875</v>
      </c>
      <c r="N122" s="46" t="s">
        <v>1</v>
      </c>
      <c r="O122" s="20"/>
      <c r="P122" s="21" t="s">
        <v>19</v>
      </c>
      <c r="Q122" s="21" t="s">
        <v>11</v>
      </c>
      <c r="R122" s="22" t="s">
        <v>80</v>
      </c>
      <c r="S122" s="21" t="s">
        <v>10</v>
      </c>
      <c r="T122" s="22" t="s">
        <v>4301</v>
      </c>
    </row>
    <row r="123" spans="1:20" ht="18.75" customHeight="1" x14ac:dyDescent="0.3">
      <c r="A123" s="11">
        <v>46141</v>
      </c>
      <c r="B123" s="18" t="s">
        <v>3279</v>
      </c>
      <c r="C123" s="17" t="s">
        <v>3280</v>
      </c>
      <c r="D123" s="42" t="s">
        <v>122</v>
      </c>
      <c r="E123" s="18" t="s">
        <v>19</v>
      </c>
      <c r="F123" s="18" t="s">
        <v>820</v>
      </c>
      <c r="G123" s="42" t="s">
        <v>122</v>
      </c>
      <c r="H123" s="18" t="s">
        <v>3281</v>
      </c>
      <c r="I123" s="45" t="s">
        <v>4092</v>
      </c>
      <c r="J123" s="19">
        <v>1.944499398502852</v>
      </c>
      <c r="K123" s="19">
        <v>0.88189493082543624</v>
      </c>
      <c r="L123" s="19">
        <v>0</v>
      </c>
      <c r="M123" s="19">
        <v>0.57373663439230871</v>
      </c>
      <c r="N123" s="46" t="s">
        <v>145</v>
      </c>
      <c r="O123" s="20"/>
      <c r="P123" s="21" t="s">
        <v>7</v>
      </c>
      <c r="Q123" s="21" t="s">
        <v>11</v>
      </c>
      <c r="R123" s="22" t="s">
        <v>70</v>
      </c>
      <c r="S123" s="21" t="s">
        <v>10</v>
      </c>
      <c r="T123" s="22" t="s">
        <v>4302</v>
      </c>
    </row>
    <row r="124" spans="1:20" ht="18.75" customHeight="1" x14ac:dyDescent="0.3">
      <c r="A124" s="11">
        <v>46141</v>
      </c>
      <c r="B124" s="18" t="s">
        <v>3283</v>
      </c>
      <c r="C124" s="17" t="s">
        <v>3284</v>
      </c>
      <c r="D124" s="42" t="s">
        <v>200</v>
      </c>
      <c r="E124" s="18" t="s">
        <v>19</v>
      </c>
      <c r="F124" s="18" t="s">
        <v>261</v>
      </c>
      <c r="G124" s="42" t="s">
        <v>200</v>
      </c>
      <c r="H124" s="18" t="s">
        <v>3285</v>
      </c>
      <c r="I124" s="45" t="s">
        <v>4092</v>
      </c>
      <c r="J124" s="19">
        <v>0.92934806501764522</v>
      </c>
      <c r="K124" s="19">
        <v>0.41233090228665648</v>
      </c>
      <c r="L124" s="19">
        <v>0.5685120067765892</v>
      </c>
      <c r="M124" s="19">
        <v>0.56760756435887127</v>
      </c>
      <c r="N124" s="46" t="s">
        <v>1</v>
      </c>
      <c r="O124" s="20"/>
      <c r="P124" s="21" t="s">
        <v>19</v>
      </c>
      <c r="Q124" s="21" t="s">
        <v>11</v>
      </c>
      <c r="R124" s="22" t="s">
        <v>80</v>
      </c>
      <c r="S124" s="21" t="s">
        <v>10</v>
      </c>
      <c r="T124" s="22" t="s">
        <v>4303</v>
      </c>
    </row>
    <row r="125" spans="1:20" ht="18.75" customHeight="1" x14ac:dyDescent="0.3">
      <c r="A125" s="11">
        <v>46141</v>
      </c>
      <c r="B125" s="18" t="s">
        <v>4304</v>
      </c>
      <c r="C125" s="17" t="s">
        <v>4305</v>
      </c>
      <c r="D125" s="42" t="s">
        <v>200</v>
      </c>
      <c r="E125" s="18" t="s">
        <v>19</v>
      </c>
      <c r="F125" s="18" t="s">
        <v>261</v>
      </c>
      <c r="G125" s="42" t="s">
        <v>200</v>
      </c>
      <c r="H125" s="18" t="s">
        <v>4165</v>
      </c>
      <c r="I125" s="45" t="s">
        <v>4092</v>
      </c>
      <c r="J125" s="19">
        <v>1.257074086064051</v>
      </c>
      <c r="K125" s="19">
        <v>0.54490378903990522</v>
      </c>
      <c r="L125" s="19">
        <v>0.34949312381940489</v>
      </c>
      <c r="M125" s="19">
        <v>0.54469721550004213</v>
      </c>
      <c r="N125" s="46" t="s">
        <v>1</v>
      </c>
      <c r="O125" s="20"/>
      <c r="P125" s="21" t="s">
        <v>19</v>
      </c>
      <c r="Q125" s="21" t="s">
        <v>11</v>
      </c>
      <c r="R125" s="22" t="s">
        <v>80</v>
      </c>
      <c r="S125" s="21" t="s">
        <v>10</v>
      </c>
      <c r="T125" s="22" t="s">
        <v>4306</v>
      </c>
    </row>
    <row r="126" spans="1:20" ht="18.75" customHeight="1" x14ac:dyDescent="0.3">
      <c r="A126" s="11">
        <v>46141</v>
      </c>
      <c r="B126" s="18" t="s">
        <v>3180</v>
      </c>
      <c r="C126" s="17" t="s">
        <v>3181</v>
      </c>
      <c r="D126" s="42" t="s">
        <v>200</v>
      </c>
      <c r="E126" s="18" t="s">
        <v>19</v>
      </c>
      <c r="F126" s="18" t="s">
        <v>261</v>
      </c>
      <c r="G126" s="42" t="s">
        <v>200</v>
      </c>
      <c r="H126" s="18" t="s">
        <v>3182</v>
      </c>
      <c r="I126" s="45" t="s">
        <v>4092</v>
      </c>
      <c r="J126" s="19">
        <v>1.2585728331115189</v>
      </c>
      <c r="K126" s="19">
        <v>0.54357540340109611</v>
      </c>
      <c r="L126" s="19">
        <v>0.34921952121733479</v>
      </c>
      <c r="M126" s="19">
        <v>0.54432260143274169</v>
      </c>
      <c r="N126" s="46" t="s">
        <v>1</v>
      </c>
      <c r="O126" s="20"/>
      <c r="P126" s="21" t="s">
        <v>19</v>
      </c>
      <c r="Q126" s="21" t="s">
        <v>11</v>
      </c>
      <c r="R126" s="22" t="s">
        <v>80</v>
      </c>
      <c r="S126" s="21" t="s">
        <v>10</v>
      </c>
      <c r="T126" s="22" t="s">
        <v>4307</v>
      </c>
    </row>
    <row r="127" spans="1:20" ht="18.75" customHeight="1" x14ac:dyDescent="0.3">
      <c r="A127" s="11">
        <v>46141</v>
      </c>
      <c r="B127" s="18" t="s">
        <v>4308</v>
      </c>
      <c r="C127" s="17" t="s">
        <v>4309</v>
      </c>
      <c r="D127" s="42" t="s">
        <v>200</v>
      </c>
      <c r="E127" s="18"/>
      <c r="F127" s="18"/>
      <c r="G127" s="42" t="s">
        <v>200</v>
      </c>
      <c r="H127" s="18" t="s">
        <v>4290</v>
      </c>
      <c r="I127" s="44" t="s">
        <v>4119</v>
      </c>
      <c r="J127" s="19">
        <v>0</v>
      </c>
      <c r="K127" s="19">
        <v>1.295429276701654</v>
      </c>
      <c r="L127" s="19">
        <v>0</v>
      </c>
      <c r="M127" s="19">
        <v>0.4348905496913818</v>
      </c>
      <c r="N127" s="46" t="s">
        <v>1</v>
      </c>
      <c r="O127" s="20"/>
      <c r="P127" s="21" t="s">
        <v>19</v>
      </c>
      <c r="Q127" s="21" t="s">
        <v>11</v>
      </c>
      <c r="R127" s="22" t="s">
        <v>80</v>
      </c>
      <c r="S127" s="21" t="s">
        <v>10</v>
      </c>
      <c r="T127" s="22" t="s">
        <v>4166</v>
      </c>
    </row>
    <row r="128" spans="1:20" ht="18.75" customHeight="1" x14ac:dyDescent="0.3">
      <c r="A128" s="11">
        <v>46141</v>
      </c>
      <c r="B128" s="18" t="s">
        <v>4310</v>
      </c>
      <c r="C128" s="17" t="s">
        <v>4311</v>
      </c>
      <c r="D128" s="42" t="s">
        <v>631</v>
      </c>
      <c r="E128" s="18" t="s">
        <v>19</v>
      </c>
      <c r="F128" s="18" t="s">
        <v>109</v>
      </c>
      <c r="G128" s="42" t="s">
        <v>200</v>
      </c>
      <c r="H128" s="18" t="s">
        <v>631</v>
      </c>
      <c r="I128" s="44" t="s">
        <v>4062</v>
      </c>
      <c r="J128" s="19">
        <v>0.63634301723758946</v>
      </c>
      <c r="K128" s="19">
        <v>0.81033393854701119</v>
      </c>
      <c r="L128" s="19">
        <v>5.9508565950265588E-2</v>
      </c>
      <c r="M128" s="19">
        <v>0.39394120987464082</v>
      </c>
      <c r="N128" s="46" t="s">
        <v>1</v>
      </c>
      <c r="O128" s="20"/>
      <c r="P128" s="21" t="s">
        <v>7</v>
      </c>
      <c r="Q128" s="21" t="s">
        <v>11</v>
      </c>
      <c r="R128" s="22" t="s">
        <v>70</v>
      </c>
      <c r="S128" s="21" t="s">
        <v>10</v>
      </c>
      <c r="T128" s="22" t="s">
        <v>4312</v>
      </c>
    </row>
    <row r="129" spans="1:20" ht="18.75" customHeight="1" x14ac:dyDescent="0.3">
      <c r="A129" s="11">
        <v>46141</v>
      </c>
      <c r="B129" s="18" t="s">
        <v>3166</v>
      </c>
      <c r="C129" s="17" t="s">
        <v>3167</v>
      </c>
      <c r="D129" s="42" t="s">
        <v>200</v>
      </c>
      <c r="E129" s="18" t="s">
        <v>19</v>
      </c>
      <c r="F129" s="18" t="s">
        <v>261</v>
      </c>
      <c r="G129" s="42" t="s">
        <v>200</v>
      </c>
      <c r="H129" s="18" t="s">
        <v>3168</v>
      </c>
      <c r="I129" s="45" t="s">
        <v>4092</v>
      </c>
      <c r="J129" s="19">
        <v>0.87938983010203464</v>
      </c>
      <c r="K129" s="19">
        <v>0.3900140235546472</v>
      </c>
      <c r="L129" s="19">
        <v>0.25404001602216808</v>
      </c>
      <c r="M129" s="19">
        <v>0.38898795430987448</v>
      </c>
      <c r="N129" s="46" t="s">
        <v>1</v>
      </c>
      <c r="O129" s="20"/>
      <c r="P129" s="21" t="s">
        <v>19</v>
      </c>
      <c r="Q129" s="21" t="s">
        <v>11</v>
      </c>
      <c r="R129" s="22" t="s">
        <v>80</v>
      </c>
      <c r="S129" s="21" t="s">
        <v>10</v>
      </c>
      <c r="T129" s="22" t="s">
        <v>4313</v>
      </c>
    </row>
    <row r="130" spans="1:20" ht="18.75" customHeight="1" x14ac:dyDescent="0.3">
      <c r="A130" s="11">
        <v>46141</v>
      </c>
      <c r="B130" s="18" t="s">
        <v>3327</v>
      </c>
      <c r="C130" s="17" t="s">
        <v>3328</v>
      </c>
      <c r="D130" s="42" t="s">
        <v>200</v>
      </c>
      <c r="E130" s="18" t="s">
        <v>19</v>
      </c>
      <c r="F130" s="18" t="s">
        <v>221</v>
      </c>
      <c r="G130" s="42" t="s">
        <v>200</v>
      </c>
      <c r="H130" s="18" t="s">
        <v>3329</v>
      </c>
      <c r="I130" s="45" t="s">
        <v>4092</v>
      </c>
      <c r="J130" s="19">
        <v>0.89562625644960814</v>
      </c>
      <c r="K130" s="19">
        <v>0.38682589802150341</v>
      </c>
      <c r="L130" s="19">
        <v>0.25140659097724272</v>
      </c>
      <c r="M130" s="19">
        <v>0.38886292294732783</v>
      </c>
      <c r="N130" s="46" t="s">
        <v>1</v>
      </c>
      <c r="O130" s="20"/>
      <c r="P130" s="21" t="s">
        <v>19</v>
      </c>
      <c r="Q130" s="21" t="s">
        <v>11</v>
      </c>
      <c r="R130" s="22" t="s">
        <v>80</v>
      </c>
      <c r="S130" s="21" t="s">
        <v>10</v>
      </c>
      <c r="T130" s="22" t="s">
        <v>4314</v>
      </c>
    </row>
    <row r="131" spans="1:20" ht="18.75" customHeight="1" x14ac:dyDescent="0.3">
      <c r="A131" s="11">
        <v>46141</v>
      </c>
      <c r="B131" s="18" t="s">
        <v>4315</v>
      </c>
      <c r="C131" s="17" t="s">
        <v>4316</v>
      </c>
      <c r="D131" s="42" t="s">
        <v>116</v>
      </c>
      <c r="E131" s="18" t="s">
        <v>19</v>
      </c>
      <c r="F131" s="18" t="s">
        <v>109</v>
      </c>
      <c r="G131" s="42" t="s">
        <v>116</v>
      </c>
      <c r="H131" s="18" t="s">
        <v>285</v>
      </c>
      <c r="I131" s="44" t="s">
        <v>4119</v>
      </c>
      <c r="J131" s="19">
        <v>0</v>
      </c>
      <c r="K131" s="19">
        <v>1.003553930318825</v>
      </c>
      <c r="L131" s="19">
        <v>0</v>
      </c>
      <c r="M131" s="19">
        <v>0.33690462941560873</v>
      </c>
      <c r="N131" s="46" t="s">
        <v>1</v>
      </c>
      <c r="O131" s="20"/>
      <c r="P131" s="21" t="s">
        <v>25</v>
      </c>
      <c r="Q131" s="21" t="s">
        <v>11</v>
      </c>
      <c r="R131" s="22" t="s">
        <v>4075</v>
      </c>
      <c r="S131" s="21" t="s">
        <v>10</v>
      </c>
      <c r="T131" s="22" t="s">
        <v>4162</v>
      </c>
    </row>
    <row r="132" spans="1:20" ht="18.75" customHeight="1" x14ac:dyDescent="0.3">
      <c r="A132" s="11">
        <v>46141</v>
      </c>
      <c r="B132" s="18" t="s">
        <v>3037</v>
      </c>
      <c r="C132" s="17" t="s">
        <v>3038</v>
      </c>
      <c r="D132" s="42" t="s">
        <v>200</v>
      </c>
      <c r="E132" s="18" t="s">
        <v>19</v>
      </c>
      <c r="F132" s="18" t="s">
        <v>221</v>
      </c>
      <c r="G132" s="42" t="s">
        <v>200</v>
      </c>
      <c r="H132" s="18" t="s">
        <v>3039</v>
      </c>
      <c r="I132" s="45" t="s">
        <v>4092</v>
      </c>
      <c r="J132" s="19">
        <v>1.1286814223309309</v>
      </c>
      <c r="K132" s="19">
        <v>0.50345815710903052</v>
      </c>
      <c r="L132" s="19">
        <v>0</v>
      </c>
      <c r="M132" s="19">
        <v>0.33019231299049362</v>
      </c>
      <c r="N132" s="46" t="s">
        <v>1</v>
      </c>
      <c r="O132" s="20"/>
      <c r="P132" s="21" t="s">
        <v>19</v>
      </c>
      <c r="Q132" s="21" t="s">
        <v>11</v>
      </c>
      <c r="R132" s="22" t="s">
        <v>80</v>
      </c>
      <c r="S132" s="21" t="s">
        <v>10</v>
      </c>
      <c r="T132" s="22" t="s">
        <v>4317</v>
      </c>
    </row>
    <row r="133" spans="1:20" ht="18.75" customHeight="1" x14ac:dyDescent="0.3">
      <c r="A133" s="11">
        <v>46141</v>
      </c>
      <c r="B133" s="18" t="s">
        <v>3041</v>
      </c>
      <c r="C133" s="17" t="s">
        <v>3042</v>
      </c>
      <c r="D133" s="42" t="s">
        <v>200</v>
      </c>
      <c r="E133" s="18" t="s">
        <v>19</v>
      </c>
      <c r="F133" s="18" t="s">
        <v>221</v>
      </c>
      <c r="G133" s="42" t="s">
        <v>200</v>
      </c>
      <c r="H133" s="18" t="s">
        <v>3043</v>
      </c>
      <c r="I133" s="45" t="s">
        <v>4092</v>
      </c>
      <c r="J133" s="19">
        <v>1.0973326299213859</v>
      </c>
      <c r="K133" s="19">
        <v>0.5000043544481243</v>
      </c>
      <c r="L133" s="19">
        <v>0</v>
      </c>
      <c r="M133" s="19">
        <v>0.32455622694334407</v>
      </c>
      <c r="N133" s="46" t="s">
        <v>1</v>
      </c>
      <c r="O133" s="20"/>
      <c r="P133" s="21" t="s">
        <v>19</v>
      </c>
      <c r="Q133" s="21" t="s">
        <v>11</v>
      </c>
      <c r="R133" s="22" t="s">
        <v>80</v>
      </c>
      <c r="S133" s="21" t="s">
        <v>10</v>
      </c>
      <c r="T133" s="22" t="s">
        <v>4318</v>
      </c>
    </row>
    <row r="134" spans="1:20" ht="18.75" customHeight="1" x14ac:dyDescent="0.3">
      <c r="A134" s="11">
        <v>46141</v>
      </c>
      <c r="B134" s="18" t="s">
        <v>3033</v>
      </c>
      <c r="C134" s="17" t="s">
        <v>3034</v>
      </c>
      <c r="D134" s="42" t="s">
        <v>59</v>
      </c>
      <c r="E134" s="18" t="s">
        <v>19</v>
      </c>
      <c r="F134" s="18" t="s">
        <v>261</v>
      </c>
      <c r="G134" s="42" t="s">
        <v>59</v>
      </c>
      <c r="H134" s="18" t="s">
        <v>3035</v>
      </c>
      <c r="I134" s="45" t="s">
        <v>4092</v>
      </c>
      <c r="J134" s="19">
        <v>1.0953343005247611</v>
      </c>
      <c r="K134" s="19">
        <v>0.5005357087036485</v>
      </c>
      <c r="L134" s="19">
        <v>0</v>
      </c>
      <c r="M134" s="19">
        <v>0.32444924744249398</v>
      </c>
      <c r="N134" s="46" t="s">
        <v>1</v>
      </c>
      <c r="O134" s="20"/>
      <c r="P134" s="21" t="s">
        <v>19</v>
      </c>
      <c r="Q134" s="21" t="s">
        <v>11</v>
      </c>
      <c r="R134" s="22" t="s">
        <v>80</v>
      </c>
      <c r="S134" s="21" t="s">
        <v>10</v>
      </c>
      <c r="T134" s="22" t="s">
        <v>4319</v>
      </c>
    </row>
    <row r="135" spans="1:20" ht="18.75" customHeight="1" x14ac:dyDescent="0.3">
      <c r="A135" s="11">
        <v>46141</v>
      </c>
      <c r="B135" s="42" t="s">
        <v>3170</v>
      </c>
      <c r="C135" s="27" t="s">
        <v>3171</v>
      </c>
      <c r="D135" s="42" t="s">
        <v>59</v>
      </c>
      <c r="E135" s="42" t="s">
        <v>19</v>
      </c>
      <c r="F135" s="42" t="s">
        <v>109</v>
      </c>
      <c r="G135" s="42" t="s">
        <v>59</v>
      </c>
      <c r="H135" s="42" t="s">
        <v>3170</v>
      </c>
      <c r="I135" s="45" t="s">
        <v>4092</v>
      </c>
      <c r="J135" s="19">
        <v>1.070854765416112</v>
      </c>
      <c r="K135" s="19">
        <v>0.48557347396051109</v>
      </c>
      <c r="L135" s="19">
        <v>0</v>
      </c>
      <c r="M135" s="19">
        <v>0.31593057731435098</v>
      </c>
      <c r="N135" s="46" t="s">
        <v>1</v>
      </c>
      <c r="O135" s="20"/>
      <c r="P135" s="21" t="s">
        <v>24</v>
      </c>
      <c r="Q135" s="21" t="s">
        <v>22</v>
      </c>
      <c r="R135" s="22" t="s">
        <v>167</v>
      </c>
      <c r="S135" s="21" t="s">
        <v>5</v>
      </c>
      <c r="T135" s="22" t="s">
        <v>4320</v>
      </c>
    </row>
    <row r="136" spans="1:20" ht="18.75" customHeight="1" x14ac:dyDescent="0.3">
      <c r="A136" s="11">
        <v>46141</v>
      </c>
      <c r="B136" s="18" t="s">
        <v>4321</v>
      </c>
      <c r="C136" s="18" t="s">
        <v>4322</v>
      </c>
      <c r="D136" s="42" t="s">
        <v>181</v>
      </c>
      <c r="E136" s="18" t="s">
        <v>19</v>
      </c>
      <c r="F136" s="18" t="s">
        <v>271</v>
      </c>
      <c r="G136" s="42" t="s">
        <v>181</v>
      </c>
      <c r="H136" s="18" t="s">
        <v>4321</v>
      </c>
      <c r="I136" s="44" t="s">
        <v>4119</v>
      </c>
      <c r="J136" s="19">
        <v>0</v>
      </c>
      <c r="K136" s="19">
        <v>0.89113888973890809</v>
      </c>
      <c r="L136" s="19">
        <v>0</v>
      </c>
      <c r="M136" s="19">
        <v>0.29916560369599893</v>
      </c>
      <c r="N136" s="46" t="s">
        <v>1</v>
      </c>
      <c r="O136" s="20"/>
      <c r="P136" s="21" t="s">
        <v>7</v>
      </c>
      <c r="Q136" s="21" t="s">
        <v>11</v>
      </c>
      <c r="R136" s="22" t="s">
        <v>70</v>
      </c>
      <c r="S136" s="21" t="s">
        <v>10</v>
      </c>
      <c r="T136" s="22" t="s">
        <v>4323</v>
      </c>
    </row>
    <row r="137" spans="1:20" ht="18.75" customHeight="1" x14ac:dyDescent="0.3">
      <c r="A137" s="11">
        <v>46141</v>
      </c>
      <c r="B137" s="18" t="s">
        <v>3188</v>
      </c>
      <c r="C137" s="17" t="s">
        <v>3189</v>
      </c>
      <c r="D137" s="42" t="s">
        <v>200</v>
      </c>
      <c r="E137" s="18" t="s">
        <v>19</v>
      </c>
      <c r="F137" s="18" t="s">
        <v>221</v>
      </c>
      <c r="G137" s="42" t="s">
        <v>200</v>
      </c>
      <c r="H137" s="18" t="s">
        <v>3190</v>
      </c>
      <c r="I137" s="45" t="s">
        <v>4092</v>
      </c>
      <c r="J137" s="19">
        <v>0.84004772010599138</v>
      </c>
      <c r="K137" s="19">
        <v>0.36238360226739741</v>
      </c>
      <c r="L137" s="19">
        <v>0</v>
      </c>
      <c r="M137" s="19">
        <v>0.2416150917824138</v>
      </c>
      <c r="N137" s="46" t="s">
        <v>1</v>
      </c>
      <c r="O137" s="20"/>
      <c r="P137" s="21" t="s">
        <v>19</v>
      </c>
      <c r="Q137" s="21" t="s">
        <v>11</v>
      </c>
      <c r="R137" s="22" t="s">
        <v>80</v>
      </c>
      <c r="S137" s="21" t="s">
        <v>10</v>
      </c>
      <c r="T137" s="22" t="s">
        <v>4324</v>
      </c>
    </row>
    <row r="138" spans="1:20" ht="18.75" customHeight="1" x14ac:dyDescent="0.3">
      <c r="A138" s="11">
        <v>46141</v>
      </c>
      <c r="B138" s="18" t="s">
        <v>4325</v>
      </c>
      <c r="C138" s="17" t="s">
        <v>4326</v>
      </c>
      <c r="D138" s="42" t="s">
        <v>631</v>
      </c>
      <c r="E138" s="18" t="s">
        <v>66</v>
      </c>
      <c r="F138" s="18" t="s">
        <v>137</v>
      </c>
      <c r="G138" s="42" t="s">
        <v>200</v>
      </c>
      <c r="H138" s="18" t="s">
        <v>631</v>
      </c>
      <c r="I138" s="44" t="s">
        <v>4062</v>
      </c>
      <c r="J138" s="19">
        <v>0</v>
      </c>
      <c r="K138" s="19">
        <v>0</v>
      </c>
      <c r="L138" s="19">
        <v>0</v>
      </c>
      <c r="M138" s="19">
        <v>0</v>
      </c>
      <c r="N138" s="46" t="s">
        <v>1</v>
      </c>
      <c r="O138" s="20"/>
      <c r="P138" s="21" t="s">
        <v>7</v>
      </c>
      <c r="Q138" s="21" t="s">
        <v>11</v>
      </c>
      <c r="R138" s="22" t="s">
        <v>70</v>
      </c>
      <c r="S138" s="21" t="s">
        <v>10</v>
      </c>
      <c r="T138" s="22" t="s">
        <v>4323</v>
      </c>
    </row>
    <row r="139" spans="1:20" ht="18.75" customHeight="1" x14ac:dyDescent="0.3">
      <c r="A139" s="11">
        <v>46141</v>
      </c>
      <c r="B139" s="18" t="s">
        <v>3449</v>
      </c>
      <c r="C139" s="18" t="s">
        <v>3450</v>
      </c>
      <c r="D139" s="42" t="s">
        <v>672</v>
      </c>
      <c r="E139" s="18" t="s">
        <v>66</v>
      </c>
      <c r="F139" s="18" t="s">
        <v>67</v>
      </c>
      <c r="G139" s="42" t="s">
        <v>181</v>
      </c>
      <c r="H139" s="18" t="s">
        <v>672</v>
      </c>
      <c r="I139" s="44" t="s">
        <v>4062</v>
      </c>
      <c r="J139" s="19">
        <v>0</v>
      </c>
      <c r="K139" s="19">
        <v>0</v>
      </c>
      <c r="L139" s="19">
        <v>0</v>
      </c>
      <c r="M139" s="19">
        <v>0</v>
      </c>
      <c r="N139" s="46" t="s">
        <v>1</v>
      </c>
      <c r="O139" s="20"/>
      <c r="P139" s="21" t="s">
        <v>7</v>
      </c>
      <c r="Q139" s="21" t="s">
        <v>11</v>
      </c>
      <c r="R139" s="22" t="s">
        <v>70</v>
      </c>
      <c r="S139" s="21" t="s">
        <v>10</v>
      </c>
      <c r="T139" s="22" t="s">
        <v>4323</v>
      </c>
    </row>
    <row r="140" spans="1:20" ht="18.75" customHeight="1" x14ac:dyDescent="0.3">
      <c r="A140" s="11">
        <v>46141</v>
      </c>
      <c r="B140" s="18" t="s">
        <v>4327</v>
      </c>
      <c r="C140" s="17" t="s">
        <v>4328</v>
      </c>
      <c r="D140" s="42" t="s">
        <v>59</v>
      </c>
      <c r="E140" s="18" t="s">
        <v>19</v>
      </c>
      <c r="F140" s="18" t="s">
        <v>109</v>
      </c>
      <c r="G140" s="42" t="s">
        <v>59</v>
      </c>
      <c r="H140" s="18" t="s">
        <v>272</v>
      </c>
      <c r="I140" s="43" t="s">
        <v>4054</v>
      </c>
      <c r="J140" s="19">
        <v>0</v>
      </c>
      <c r="K140" s="19">
        <v>0</v>
      </c>
      <c r="L140" s="19">
        <v>0</v>
      </c>
      <c r="M140" s="19">
        <v>0</v>
      </c>
      <c r="N140" s="46" t="s">
        <v>156</v>
      </c>
      <c r="O140" s="20"/>
      <c r="P140" s="21" t="s">
        <v>157</v>
      </c>
      <c r="Q140" s="21" t="s">
        <v>157</v>
      </c>
      <c r="R140" s="22" t="s">
        <v>156</v>
      </c>
      <c r="S140" s="21" t="s">
        <v>157</v>
      </c>
      <c r="T140" s="22" t="s">
        <v>4329</v>
      </c>
    </row>
    <row r="141" spans="1:20" ht="18.75" customHeight="1" x14ac:dyDescent="0.3">
      <c r="A141" s="11">
        <v>46141</v>
      </c>
      <c r="B141" s="18" t="s">
        <v>1786</v>
      </c>
      <c r="C141" s="17" t="s">
        <v>1787</v>
      </c>
      <c r="D141" s="42" t="s">
        <v>59</v>
      </c>
      <c r="E141" s="18" t="s">
        <v>19</v>
      </c>
      <c r="F141" s="18" t="s">
        <v>109</v>
      </c>
      <c r="G141" s="42" t="s">
        <v>59</v>
      </c>
      <c r="H141" s="18" t="s">
        <v>1786</v>
      </c>
      <c r="I141" s="43" t="s">
        <v>4054</v>
      </c>
      <c r="J141" s="19">
        <v>0</v>
      </c>
      <c r="K141" s="19">
        <v>0</v>
      </c>
      <c r="L141" s="19">
        <v>0</v>
      </c>
      <c r="M141" s="19">
        <v>0</v>
      </c>
      <c r="N141" s="46" t="s">
        <v>156</v>
      </c>
      <c r="O141" s="20"/>
      <c r="P141" s="21" t="s">
        <v>157</v>
      </c>
      <c r="Q141" s="21" t="s">
        <v>157</v>
      </c>
      <c r="R141" s="22" t="s">
        <v>156</v>
      </c>
      <c r="S141" s="21" t="s">
        <v>157</v>
      </c>
      <c r="T141" s="22" t="s">
        <v>4166</v>
      </c>
    </row>
    <row r="142" spans="1:20" ht="18.75" customHeight="1" x14ac:dyDescent="0.3">
      <c r="A142" s="11">
        <v>46141</v>
      </c>
      <c r="B142" s="18" t="s">
        <v>4330</v>
      </c>
      <c r="C142" s="17" t="s">
        <v>4331</v>
      </c>
      <c r="D142" s="42" t="s">
        <v>59</v>
      </c>
      <c r="E142" s="18" t="s">
        <v>66</v>
      </c>
      <c r="F142" s="18" t="s">
        <v>193</v>
      </c>
      <c r="G142" s="42" t="s">
        <v>59</v>
      </c>
      <c r="H142" s="18" t="s">
        <v>4332</v>
      </c>
      <c r="I142" s="43" t="s">
        <v>4054</v>
      </c>
      <c r="J142" s="19">
        <v>0</v>
      </c>
      <c r="K142" s="19">
        <v>0</v>
      </c>
      <c r="L142" s="19">
        <v>0</v>
      </c>
      <c r="M142" s="19">
        <v>0</v>
      </c>
      <c r="N142" s="46" t="s">
        <v>156</v>
      </c>
      <c r="O142" s="20"/>
      <c r="P142" s="21" t="s">
        <v>157</v>
      </c>
      <c r="Q142" s="21" t="s">
        <v>157</v>
      </c>
      <c r="R142" s="22" t="s">
        <v>156</v>
      </c>
      <c r="S142" s="21" t="s">
        <v>157</v>
      </c>
      <c r="T142" s="22" t="s">
        <v>4333</v>
      </c>
    </row>
    <row r="143" spans="1:20" ht="18.75" customHeight="1" x14ac:dyDescent="0.3">
      <c r="A143" s="11">
        <v>46141</v>
      </c>
      <c r="B143" s="18" t="s">
        <v>4334</v>
      </c>
      <c r="C143" s="17" t="s">
        <v>4335</v>
      </c>
      <c r="D143" s="42" t="s">
        <v>59</v>
      </c>
      <c r="E143" s="18" t="s">
        <v>19</v>
      </c>
      <c r="F143" s="18" t="s">
        <v>594</v>
      </c>
      <c r="G143" s="42" t="s">
        <v>98</v>
      </c>
      <c r="H143" s="18" t="s">
        <v>4336</v>
      </c>
      <c r="I143" s="43" t="s">
        <v>4054</v>
      </c>
      <c r="J143" s="19">
        <v>0</v>
      </c>
      <c r="K143" s="19">
        <v>0</v>
      </c>
      <c r="L143" s="19">
        <v>0</v>
      </c>
      <c r="M143" s="19">
        <v>0</v>
      </c>
      <c r="N143" s="46" t="s">
        <v>156</v>
      </c>
      <c r="O143" s="20"/>
      <c r="P143" s="21" t="s">
        <v>157</v>
      </c>
      <c r="Q143" s="21" t="s">
        <v>157</v>
      </c>
      <c r="R143" s="22" t="s">
        <v>156</v>
      </c>
      <c r="S143" s="21" t="s">
        <v>157</v>
      </c>
      <c r="T143" s="22" t="s">
        <v>4333</v>
      </c>
    </row>
    <row r="144" spans="1:20" ht="18.75" customHeight="1" x14ac:dyDescent="0.3">
      <c r="A144" s="11">
        <v>46141</v>
      </c>
      <c r="B144" s="18" t="s">
        <v>4337</v>
      </c>
      <c r="C144" s="17" t="s">
        <v>4338</v>
      </c>
      <c r="D144" s="42" t="s">
        <v>59</v>
      </c>
      <c r="E144" s="18" t="s">
        <v>19</v>
      </c>
      <c r="F144" s="18" t="s">
        <v>109</v>
      </c>
      <c r="G144" s="42" t="s">
        <v>98</v>
      </c>
      <c r="H144" s="18" t="s">
        <v>4339</v>
      </c>
      <c r="I144" s="43" t="s">
        <v>4054</v>
      </c>
      <c r="J144" s="19">
        <v>0</v>
      </c>
      <c r="K144" s="19">
        <v>0</v>
      </c>
      <c r="L144" s="19">
        <v>0</v>
      </c>
      <c r="M144" s="19">
        <v>0</v>
      </c>
      <c r="N144" s="46" t="s">
        <v>156</v>
      </c>
      <c r="O144" s="20"/>
      <c r="P144" s="21" t="s">
        <v>157</v>
      </c>
      <c r="Q144" s="21" t="s">
        <v>157</v>
      </c>
      <c r="R144" s="22" t="s">
        <v>156</v>
      </c>
      <c r="S144" s="21" t="s">
        <v>157</v>
      </c>
      <c r="T144" s="22" t="s">
        <v>4333</v>
      </c>
    </row>
    <row r="145" spans="1:20" ht="18.75" customHeight="1" x14ac:dyDescent="0.3">
      <c r="A145" s="11">
        <v>46141</v>
      </c>
      <c r="B145" s="18" t="s">
        <v>4340</v>
      </c>
      <c r="C145" s="17" t="s">
        <v>4341</v>
      </c>
      <c r="D145" s="42" t="s">
        <v>59</v>
      </c>
      <c r="E145" s="18" t="s">
        <v>66</v>
      </c>
      <c r="F145" s="18"/>
      <c r="G145" s="42" t="s">
        <v>98</v>
      </c>
      <c r="H145" s="18" t="s">
        <v>4340</v>
      </c>
      <c r="I145" s="43" t="s">
        <v>4054</v>
      </c>
      <c r="J145" s="19">
        <v>0</v>
      </c>
      <c r="K145" s="19">
        <v>0</v>
      </c>
      <c r="L145" s="19">
        <v>0</v>
      </c>
      <c r="M145" s="19">
        <v>0</v>
      </c>
      <c r="N145" s="46" t="s">
        <v>156</v>
      </c>
      <c r="O145" s="20"/>
      <c r="P145" s="21" t="s">
        <v>157</v>
      </c>
      <c r="Q145" s="21" t="s">
        <v>157</v>
      </c>
      <c r="R145" s="22" t="s">
        <v>156</v>
      </c>
      <c r="S145" s="21" t="s">
        <v>157</v>
      </c>
      <c r="T145" s="22" t="s">
        <v>4333</v>
      </c>
    </row>
    <row r="146" spans="1:20" ht="18.75" customHeight="1" x14ac:dyDescent="0.3">
      <c r="A146" s="11">
        <v>46141</v>
      </c>
      <c r="B146" s="18" t="s">
        <v>4342</v>
      </c>
      <c r="C146" s="17" t="s">
        <v>4343</v>
      </c>
      <c r="D146" s="42" t="s">
        <v>59</v>
      </c>
      <c r="E146" s="18" t="s">
        <v>66</v>
      </c>
      <c r="F146" s="18" t="s">
        <v>193</v>
      </c>
      <c r="G146" s="42" t="s">
        <v>59</v>
      </c>
      <c r="H146" s="18" t="s">
        <v>4344</v>
      </c>
      <c r="I146" s="43" t="s">
        <v>4054</v>
      </c>
      <c r="J146" s="19">
        <v>0</v>
      </c>
      <c r="K146" s="19">
        <v>0</v>
      </c>
      <c r="L146" s="19">
        <v>0</v>
      </c>
      <c r="M146" s="19">
        <v>0</v>
      </c>
      <c r="N146" s="46" t="s">
        <v>156</v>
      </c>
      <c r="O146" s="20"/>
      <c r="P146" s="21" t="s">
        <v>157</v>
      </c>
      <c r="Q146" s="21" t="s">
        <v>157</v>
      </c>
      <c r="R146" s="22" t="s">
        <v>156</v>
      </c>
      <c r="S146" s="21" t="s">
        <v>157</v>
      </c>
      <c r="T146" s="22" t="s">
        <v>4333</v>
      </c>
    </row>
    <row r="147" spans="1:20" ht="18.75" customHeight="1" x14ac:dyDescent="0.3">
      <c r="A147" s="11">
        <v>46141</v>
      </c>
      <c r="B147" s="18" t="s">
        <v>1808</v>
      </c>
      <c r="C147" s="18" t="s">
        <v>1809</v>
      </c>
      <c r="D147" s="42" t="s">
        <v>60</v>
      </c>
      <c r="E147" s="18" t="s">
        <v>66</v>
      </c>
      <c r="F147" s="18" t="s">
        <v>103</v>
      </c>
      <c r="G147" s="42" t="s">
        <v>59</v>
      </c>
      <c r="H147" s="18" t="s">
        <v>60</v>
      </c>
      <c r="I147" s="43" t="s">
        <v>4054</v>
      </c>
      <c r="J147" s="19">
        <v>0</v>
      </c>
      <c r="K147" s="19">
        <v>0</v>
      </c>
      <c r="L147" s="19">
        <v>0</v>
      </c>
      <c r="M147" s="19">
        <v>0</v>
      </c>
      <c r="N147" s="46" t="s">
        <v>1</v>
      </c>
      <c r="O147" s="20"/>
      <c r="P147" s="21" t="s">
        <v>19</v>
      </c>
      <c r="Q147" s="21" t="s">
        <v>11</v>
      </c>
      <c r="R147" s="22" t="s">
        <v>80</v>
      </c>
      <c r="S147" s="21" t="s">
        <v>10</v>
      </c>
      <c r="T147" s="22" t="s">
        <v>4345</v>
      </c>
    </row>
    <row r="148" spans="1:20" ht="18.75" customHeight="1" x14ac:dyDescent="0.3">
      <c r="A148" s="11">
        <v>46141</v>
      </c>
      <c r="B148" s="18" t="s">
        <v>4046</v>
      </c>
      <c r="C148" s="17" t="s">
        <v>4047</v>
      </c>
      <c r="D148" s="42" t="s">
        <v>181</v>
      </c>
      <c r="E148" s="18" t="s">
        <v>19</v>
      </c>
      <c r="F148" s="18" t="s">
        <v>109</v>
      </c>
      <c r="G148" s="42" t="s">
        <v>181</v>
      </c>
      <c r="H148" s="18" t="s">
        <v>4046</v>
      </c>
      <c r="I148" s="45" t="s">
        <v>4092</v>
      </c>
      <c r="J148" s="19">
        <v>0</v>
      </c>
      <c r="K148" s="19">
        <v>0</v>
      </c>
      <c r="L148" s="19">
        <v>0</v>
      </c>
      <c r="M148" s="19">
        <v>0</v>
      </c>
      <c r="N148" s="46" t="s">
        <v>1</v>
      </c>
      <c r="O148" s="20"/>
      <c r="P148" s="21" t="s">
        <v>7</v>
      </c>
      <c r="Q148" s="21" t="s">
        <v>11</v>
      </c>
      <c r="R148" s="22" t="s">
        <v>70</v>
      </c>
      <c r="S148" s="21" t="s">
        <v>10</v>
      </c>
      <c r="T148" s="22" t="s">
        <v>4158</v>
      </c>
    </row>
    <row r="149" spans="1:20" ht="18.75" customHeight="1" x14ac:dyDescent="0.3">
      <c r="A149" s="11">
        <v>46141</v>
      </c>
      <c r="B149" s="18" t="s">
        <v>3203</v>
      </c>
      <c r="C149" s="17" t="s">
        <v>3204</v>
      </c>
      <c r="D149" s="42" t="s">
        <v>59</v>
      </c>
      <c r="E149" s="18" t="s">
        <v>19</v>
      </c>
      <c r="F149" s="18" t="s">
        <v>1158</v>
      </c>
      <c r="G149" s="42" t="s">
        <v>59</v>
      </c>
      <c r="H149" s="18" t="s">
        <v>3203</v>
      </c>
      <c r="I149" s="43" t="s">
        <v>4054</v>
      </c>
      <c r="J149" s="19">
        <v>0</v>
      </c>
      <c r="K149" s="19">
        <v>0</v>
      </c>
      <c r="L149" s="19">
        <v>0</v>
      </c>
      <c r="M149" s="19">
        <v>0</v>
      </c>
      <c r="N149" s="46" t="s">
        <v>1</v>
      </c>
      <c r="O149" s="20"/>
      <c r="P149" s="21" t="s">
        <v>24</v>
      </c>
      <c r="Q149" s="21" t="s">
        <v>22</v>
      </c>
      <c r="R149" s="22" t="s">
        <v>167</v>
      </c>
      <c r="S149" s="21" t="s">
        <v>5</v>
      </c>
      <c r="T149" s="22" t="s">
        <v>4329</v>
      </c>
    </row>
    <row r="150" spans="1:20" ht="18.75" customHeight="1" x14ac:dyDescent="0.3">
      <c r="A150" s="11">
        <v>46141</v>
      </c>
      <c r="B150" s="42" t="s">
        <v>4346</v>
      </c>
      <c r="C150" s="27" t="s">
        <v>4347</v>
      </c>
      <c r="D150" s="42" t="s">
        <v>60</v>
      </c>
      <c r="E150" s="42" t="s">
        <v>136</v>
      </c>
      <c r="F150" s="42" t="s">
        <v>109</v>
      </c>
      <c r="G150" s="42" t="s">
        <v>68</v>
      </c>
      <c r="H150" s="42" t="s">
        <v>60</v>
      </c>
      <c r="I150" s="43" t="s">
        <v>4054</v>
      </c>
      <c r="J150" s="19">
        <v>0</v>
      </c>
      <c r="K150" s="19">
        <v>0</v>
      </c>
      <c r="L150" s="19">
        <v>0</v>
      </c>
      <c r="M150" s="19">
        <v>0</v>
      </c>
      <c r="N150" s="46" t="s">
        <v>1</v>
      </c>
      <c r="O150" s="20"/>
      <c r="P150" s="21" t="s">
        <v>7</v>
      </c>
      <c r="Q150" s="21" t="s">
        <v>11</v>
      </c>
      <c r="R150" s="22" t="s">
        <v>70</v>
      </c>
      <c r="S150" s="21" t="s">
        <v>10</v>
      </c>
      <c r="T150" s="22" t="s">
        <v>4348</v>
      </c>
    </row>
    <row r="151" spans="1:20" ht="18.75" customHeight="1" x14ac:dyDescent="0.3">
      <c r="A151" s="11">
        <v>46141</v>
      </c>
      <c r="B151" s="18" t="s">
        <v>4349</v>
      </c>
      <c r="C151" s="17" t="s">
        <v>4350</v>
      </c>
      <c r="D151" s="42" t="s">
        <v>68</v>
      </c>
      <c r="E151" s="18" t="s">
        <v>19</v>
      </c>
      <c r="F151" s="18" t="s">
        <v>109</v>
      </c>
      <c r="G151" s="42" t="s">
        <v>68</v>
      </c>
      <c r="H151" s="18" t="s">
        <v>4351</v>
      </c>
      <c r="I151" s="43" t="s">
        <v>4054</v>
      </c>
      <c r="J151" s="19">
        <v>0</v>
      </c>
      <c r="K151" s="19">
        <v>0</v>
      </c>
      <c r="L151" s="19">
        <v>0</v>
      </c>
      <c r="M151" s="19">
        <v>0</v>
      </c>
      <c r="N151" s="46" t="s">
        <v>1</v>
      </c>
      <c r="O151" s="20"/>
      <c r="P151" s="21" t="s">
        <v>24</v>
      </c>
      <c r="Q151" s="21" t="s">
        <v>22</v>
      </c>
      <c r="R151" s="22" t="s">
        <v>167</v>
      </c>
      <c r="S151" s="21" t="s">
        <v>5</v>
      </c>
      <c r="T151" s="22" t="s">
        <v>4352</v>
      </c>
    </row>
    <row r="152" spans="1:20" ht="18.75" customHeight="1" x14ac:dyDescent="0.3">
      <c r="A152" s="11">
        <v>46141</v>
      </c>
      <c r="B152" s="18" t="s">
        <v>4353</v>
      </c>
      <c r="C152" s="17" t="s">
        <v>4354</v>
      </c>
      <c r="D152" s="42" t="s">
        <v>122</v>
      </c>
      <c r="E152" s="18" t="s">
        <v>19</v>
      </c>
      <c r="F152" s="18" t="s">
        <v>221</v>
      </c>
      <c r="G152" s="42" t="s">
        <v>122</v>
      </c>
      <c r="H152" s="18" t="s">
        <v>4353</v>
      </c>
      <c r="I152" s="45" t="s">
        <v>4092</v>
      </c>
      <c r="J152" s="19">
        <v>0</v>
      </c>
      <c r="K152" s="19">
        <v>0</v>
      </c>
      <c r="L152" s="19">
        <v>0</v>
      </c>
      <c r="M152" s="19">
        <v>0</v>
      </c>
      <c r="N152" s="46" t="s">
        <v>145</v>
      </c>
      <c r="O152" s="20"/>
      <c r="P152" s="21" t="s">
        <v>4</v>
      </c>
      <c r="Q152" s="21" t="s">
        <v>4</v>
      </c>
      <c r="R152" s="22" t="s">
        <v>4</v>
      </c>
      <c r="S152" s="21" t="s">
        <v>4</v>
      </c>
      <c r="T152" s="22" t="s">
        <v>4355</v>
      </c>
    </row>
    <row r="153" spans="1:20" ht="18.75" customHeight="1" x14ac:dyDescent="0.3">
      <c r="A153" s="11">
        <v>46141</v>
      </c>
      <c r="B153" s="18" t="s">
        <v>4356</v>
      </c>
      <c r="C153" s="17" t="s">
        <v>4357</v>
      </c>
      <c r="D153" s="42" t="s">
        <v>68</v>
      </c>
      <c r="E153" s="18" t="s">
        <v>19</v>
      </c>
      <c r="F153" s="18" t="s">
        <v>476</v>
      </c>
      <c r="G153" s="42" t="s">
        <v>68</v>
      </c>
      <c r="H153" s="18" t="s">
        <v>4358</v>
      </c>
      <c r="I153" s="43" t="s">
        <v>4054</v>
      </c>
      <c r="J153" s="19">
        <v>0</v>
      </c>
      <c r="K153" s="19">
        <v>0</v>
      </c>
      <c r="L153" s="19">
        <v>0</v>
      </c>
      <c r="M153" s="19">
        <v>0</v>
      </c>
      <c r="N153" s="46" t="s">
        <v>1</v>
      </c>
      <c r="O153" s="20"/>
      <c r="P153" s="21" t="s">
        <v>24</v>
      </c>
      <c r="Q153" s="21" t="s">
        <v>22</v>
      </c>
      <c r="R153" s="22" t="s">
        <v>167</v>
      </c>
      <c r="S153" s="21" t="s">
        <v>5</v>
      </c>
      <c r="T153" s="22" t="s">
        <v>4359</v>
      </c>
    </row>
    <row r="154" spans="1:20" ht="18.75" customHeight="1" x14ac:dyDescent="0.3">
      <c r="A154" s="11">
        <v>46141</v>
      </c>
      <c r="B154" s="18" t="s">
        <v>4360</v>
      </c>
      <c r="C154" s="17" t="s">
        <v>4361</v>
      </c>
      <c r="D154" s="42" t="s">
        <v>59</v>
      </c>
      <c r="E154" s="18" t="s">
        <v>19</v>
      </c>
      <c r="F154" s="18" t="s">
        <v>109</v>
      </c>
      <c r="G154" s="42" t="s">
        <v>59</v>
      </c>
      <c r="H154" s="18" t="s">
        <v>272</v>
      </c>
      <c r="I154" s="43" t="s">
        <v>4054</v>
      </c>
      <c r="J154" s="19">
        <v>0</v>
      </c>
      <c r="K154" s="19">
        <v>0</v>
      </c>
      <c r="L154" s="19">
        <v>0</v>
      </c>
      <c r="M154" s="19">
        <v>0</v>
      </c>
      <c r="N154" s="46" t="s">
        <v>1</v>
      </c>
      <c r="O154" s="20"/>
      <c r="P154" s="21" t="s">
        <v>24</v>
      </c>
      <c r="Q154" s="21" t="s">
        <v>22</v>
      </c>
      <c r="R154" s="22" t="s">
        <v>167</v>
      </c>
      <c r="S154" s="21" t="s">
        <v>5</v>
      </c>
      <c r="T154" s="22" t="s">
        <v>4329</v>
      </c>
    </row>
    <row r="155" spans="1:20" ht="18.75" customHeight="1" x14ac:dyDescent="0.3">
      <c r="A155" s="11">
        <v>46141</v>
      </c>
      <c r="B155" s="18" t="s">
        <v>4362</v>
      </c>
      <c r="C155" s="17" t="s">
        <v>4363</v>
      </c>
      <c r="D155" s="42" t="s">
        <v>59</v>
      </c>
      <c r="E155" s="18" t="s">
        <v>19</v>
      </c>
      <c r="F155" s="18" t="s">
        <v>109</v>
      </c>
      <c r="G155" s="42" t="s">
        <v>59</v>
      </c>
      <c r="H155" s="18" t="s">
        <v>4362</v>
      </c>
      <c r="I155" s="43" t="s">
        <v>4054</v>
      </c>
      <c r="J155" s="19">
        <v>0</v>
      </c>
      <c r="K155" s="19">
        <v>0</v>
      </c>
      <c r="L155" s="19">
        <v>0</v>
      </c>
      <c r="M155" s="19">
        <v>0</v>
      </c>
      <c r="N155" s="46" t="s">
        <v>1</v>
      </c>
      <c r="O155" s="20"/>
      <c r="P155" s="21" t="s">
        <v>24</v>
      </c>
      <c r="Q155" s="21" t="s">
        <v>22</v>
      </c>
      <c r="R155" s="22" t="s">
        <v>167</v>
      </c>
      <c r="S155" s="21" t="s">
        <v>5</v>
      </c>
      <c r="T155" s="22" t="s">
        <v>4329</v>
      </c>
    </row>
    <row r="156" spans="1:20" ht="18.75" customHeight="1" x14ac:dyDescent="0.3">
      <c r="A156" s="11">
        <v>46141</v>
      </c>
      <c r="B156" s="18" t="s">
        <v>4364</v>
      </c>
      <c r="C156" s="17" t="s">
        <v>4365</v>
      </c>
      <c r="D156" s="42" t="s">
        <v>59</v>
      </c>
      <c r="E156" s="18" t="s">
        <v>19</v>
      </c>
      <c r="F156" s="18" t="s">
        <v>261</v>
      </c>
      <c r="G156" s="42" t="s">
        <v>59</v>
      </c>
      <c r="H156" s="18" t="s">
        <v>4366</v>
      </c>
      <c r="I156" s="43" t="s">
        <v>4054</v>
      </c>
      <c r="J156" s="19">
        <v>0</v>
      </c>
      <c r="K156" s="19">
        <v>0</v>
      </c>
      <c r="L156" s="19">
        <v>0</v>
      </c>
      <c r="M156" s="19">
        <v>0</v>
      </c>
      <c r="N156" s="46" t="s">
        <v>1</v>
      </c>
      <c r="O156" s="20"/>
      <c r="P156" s="21" t="s">
        <v>24</v>
      </c>
      <c r="Q156" s="21" t="s">
        <v>22</v>
      </c>
      <c r="R156" s="22" t="s">
        <v>167</v>
      </c>
      <c r="S156" s="21" t="s">
        <v>5</v>
      </c>
      <c r="T156" s="22" t="s">
        <v>4329</v>
      </c>
    </row>
    <row r="157" spans="1:20" ht="18.75" customHeight="1" x14ac:dyDescent="0.3">
      <c r="A157" s="11">
        <v>46141</v>
      </c>
      <c r="B157" s="18" t="s">
        <v>4367</v>
      </c>
      <c r="C157" s="17" t="s">
        <v>4368</v>
      </c>
      <c r="D157" s="42" t="s">
        <v>59</v>
      </c>
      <c r="E157" s="18" t="s">
        <v>19</v>
      </c>
      <c r="F157" s="18" t="s">
        <v>4369</v>
      </c>
      <c r="G157" s="42" t="s">
        <v>59</v>
      </c>
      <c r="H157" s="18" t="s">
        <v>4367</v>
      </c>
      <c r="I157" s="43" t="s">
        <v>4054</v>
      </c>
      <c r="J157" s="19">
        <v>0</v>
      </c>
      <c r="K157" s="19">
        <v>0</v>
      </c>
      <c r="L157" s="19">
        <v>0</v>
      </c>
      <c r="M157" s="19">
        <v>0</v>
      </c>
      <c r="N157" s="46" t="s">
        <v>1</v>
      </c>
      <c r="O157" s="20"/>
      <c r="P157" s="21" t="s">
        <v>24</v>
      </c>
      <c r="Q157" s="21" t="s">
        <v>22</v>
      </c>
      <c r="R157" s="22" t="s">
        <v>167</v>
      </c>
      <c r="S157" s="21" t="s">
        <v>5</v>
      </c>
      <c r="T157" s="22" t="s">
        <v>4329</v>
      </c>
    </row>
    <row r="158" spans="1:20" ht="18.75" customHeight="1" x14ac:dyDescent="0.3">
      <c r="A158" s="11">
        <v>46141</v>
      </c>
      <c r="B158" s="18" t="s">
        <v>4370</v>
      </c>
      <c r="C158" s="17" t="s">
        <v>4371</v>
      </c>
      <c r="D158" s="42" t="s">
        <v>59</v>
      </c>
      <c r="E158" s="18" t="s">
        <v>19</v>
      </c>
      <c r="F158" s="18" t="s">
        <v>732</v>
      </c>
      <c r="G158" s="42" t="s">
        <v>59</v>
      </c>
      <c r="H158" s="18" t="s">
        <v>4372</v>
      </c>
      <c r="I158" s="43" t="s">
        <v>4054</v>
      </c>
      <c r="J158" s="19">
        <v>0</v>
      </c>
      <c r="K158" s="19">
        <v>0</v>
      </c>
      <c r="L158" s="19">
        <v>0</v>
      </c>
      <c r="M158" s="19">
        <v>0</v>
      </c>
      <c r="N158" s="46" t="s">
        <v>1</v>
      </c>
      <c r="O158" s="20"/>
      <c r="P158" s="21" t="s">
        <v>24</v>
      </c>
      <c r="Q158" s="21" t="s">
        <v>22</v>
      </c>
      <c r="R158" s="22" t="s">
        <v>167</v>
      </c>
      <c r="S158" s="21" t="s">
        <v>5</v>
      </c>
      <c r="T158" s="22" t="s">
        <v>4329</v>
      </c>
    </row>
    <row r="159" spans="1:20" ht="18.75" customHeight="1" x14ac:dyDescent="0.3">
      <c r="A159" s="11">
        <v>46139</v>
      </c>
      <c r="B159" s="47" t="s">
        <v>4052</v>
      </c>
      <c r="C159" s="17" t="s">
        <v>4053</v>
      </c>
      <c r="D159" s="42" t="s">
        <v>60</v>
      </c>
      <c r="E159" s="18" t="s">
        <v>19</v>
      </c>
      <c r="F159" s="18" t="s">
        <v>109</v>
      </c>
      <c r="G159" s="42" t="s">
        <v>59</v>
      </c>
      <c r="H159" s="18" t="s">
        <v>60</v>
      </c>
      <c r="I159" s="43" t="s">
        <v>4054</v>
      </c>
      <c r="J159" s="19">
        <v>25.2838626907905</v>
      </c>
      <c r="K159" s="19">
        <v>21.52057386496935</v>
      </c>
      <c r="L159" s="19">
        <v>87.039896184228681</v>
      </c>
      <c r="M159" s="19">
        <v>56.225548107626857</v>
      </c>
      <c r="N159" s="46" t="s">
        <v>1</v>
      </c>
      <c r="O159" s="20"/>
      <c r="P159" s="21" t="s">
        <v>12</v>
      </c>
      <c r="Q159" s="21" t="s">
        <v>14</v>
      </c>
      <c r="R159" s="22" t="s">
        <v>146</v>
      </c>
      <c r="S159" s="21" t="s">
        <v>5</v>
      </c>
      <c r="T159" s="22" t="s">
        <v>4373</v>
      </c>
    </row>
    <row r="160" spans="1:20" ht="18.75" customHeight="1" x14ac:dyDescent="0.3">
      <c r="A160" s="11">
        <v>46139</v>
      </c>
      <c r="B160" s="18" t="s">
        <v>4374</v>
      </c>
      <c r="C160" s="17" t="s">
        <v>4375</v>
      </c>
      <c r="D160" s="42" t="s">
        <v>69</v>
      </c>
      <c r="E160" s="18" t="s">
        <v>66</v>
      </c>
      <c r="F160" s="18" t="s">
        <v>103</v>
      </c>
      <c r="G160" s="42" t="s">
        <v>68</v>
      </c>
      <c r="H160" s="18" t="s">
        <v>69</v>
      </c>
      <c r="I160" s="43" t="s">
        <v>4054</v>
      </c>
      <c r="J160" s="19">
        <v>25.797932928072129</v>
      </c>
      <c r="K160" s="19">
        <v>21.99297204116813</v>
      </c>
      <c r="L160" s="19">
        <v>66.36231113212375</v>
      </c>
      <c r="M160" s="19">
        <v>45.674422785525309</v>
      </c>
      <c r="N160" s="46" t="s">
        <v>1</v>
      </c>
      <c r="O160" s="20"/>
      <c r="P160" s="21" t="s">
        <v>9</v>
      </c>
      <c r="Q160" s="21" t="s">
        <v>11</v>
      </c>
      <c r="R160" s="22" t="s">
        <v>104</v>
      </c>
      <c r="S160" s="21" t="s">
        <v>10</v>
      </c>
      <c r="T160" s="22" t="s">
        <v>4376</v>
      </c>
    </row>
    <row r="161" spans="1:20" ht="18.75" customHeight="1" x14ac:dyDescent="0.3">
      <c r="A161" s="11">
        <v>46139</v>
      </c>
      <c r="B161" s="18" t="s">
        <v>4377</v>
      </c>
      <c r="C161" s="18" t="s">
        <v>4378</v>
      </c>
      <c r="D161" s="42" t="s">
        <v>69</v>
      </c>
      <c r="E161" s="18" t="s">
        <v>66</v>
      </c>
      <c r="F161" s="18" t="s">
        <v>568</v>
      </c>
      <c r="G161" s="42" t="s">
        <v>68</v>
      </c>
      <c r="H161" s="18" t="s">
        <v>69</v>
      </c>
      <c r="I161" s="43" t="s">
        <v>4054</v>
      </c>
      <c r="J161" s="19">
        <v>10.03998157540296</v>
      </c>
      <c r="K161" s="19">
        <v>8.690543281278158</v>
      </c>
      <c r="L161" s="19">
        <v>34.423892784989938</v>
      </c>
      <c r="M161" s="19">
        <v>22.302890281451798</v>
      </c>
      <c r="N161" s="46" t="s">
        <v>1</v>
      </c>
      <c r="O161" s="20"/>
      <c r="P161" s="21" t="s">
        <v>9</v>
      </c>
      <c r="Q161" s="21" t="s">
        <v>11</v>
      </c>
      <c r="R161" s="22" t="s">
        <v>104</v>
      </c>
      <c r="S161" s="21" t="s">
        <v>10</v>
      </c>
      <c r="T161" s="22" t="s">
        <v>4379</v>
      </c>
    </row>
    <row r="162" spans="1:20" ht="18.75" customHeight="1" x14ac:dyDescent="0.3">
      <c r="A162" s="11">
        <v>46139</v>
      </c>
      <c r="B162" s="18" t="s">
        <v>4380</v>
      </c>
      <c r="C162" s="17" t="s">
        <v>4381</v>
      </c>
      <c r="D162" s="42" t="s">
        <v>69</v>
      </c>
      <c r="E162" s="18"/>
      <c r="F162" s="18"/>
      <c r="G162" s="42" t="s">
        <v>68</v>
      </c>
      <c r="H162" s="18" t="s">
        <v>69</v>
      </c>
      <c r="I162" s="43" t="s">
        <v>4054</v>
      </c>
      <c r="J162" s="19">
        <v>0</v>
      </c>
      <c r="K162" s="19">
        <v>0</v>
      </c>
      <c r="L162" s="19">
        <v>42.764907511376393</v>
      </c>
      <c r="M162" s="19">
        <v>22.30140996995145</v>
      </c>
      <c r="N162" s="46" t="s">
        <v>1</v>
      </c>
      <c r="O162" s="20"/>
      <c r="P162" s="21" t="s">
        <v>7</v>
      </c>
      <c r="Q162" s="21" t="s">
        <v>11</v>
      </c>
      <c r="R162" s="22" t="s">
        <v>70</v>
      </c>
      <c r="S162" s="21" t="s">
        <v>10</v>
      </c>
      <c r="T162" s="22" t="s">
        <v>4382</v>
      </c>
    </row>
    <row r="163" spans="1:20" ht="18.75" customHeight="1" x14ac:dyDescent="0.3">
      <c r="A163" s="11">
        <v>46139</v>
      </c>
      <c r="B163" s="42" t="s">
        <v>438</v>
      </c>
      <c r="C163" s="27" t="s">
        <v>439</v>
      </c>
      <c r="D163" s="42" t="s">
        <v>60</v>
      </c>
      <c r="E163" s="42" t="s">
        <v>440</v>
      </c>
      <c r="F163" s="42" t="s">
        <v>441</v>
      </c>
      <c r="G163" s="42" t="s">
        <v>59</v>
      </c>
      <c r="H163" s="42" t="s">
        <v>138</v>
      </c>
      <c r="I163" s="43" t="s">
        <v>4054</v>
      </c>
      <c r="J163" s="19">
        <v>9.4363612020350978</v>
      </c>
      <c r="K163" s="19">
        <v>8.0865515060640369</v>
      </c>
      <c r="L163" s="19">
        <v>31.61354945750076</v>
      </c>
      <c r="M163" s="19">
        <v>20.548364451977989</v>
      </c>
      <c r="N163" s="46" t="s">
        <v>1</v>
      </c>
      <c r="O163" s="20"/>
      <c r="P163" s="21" t="s">
        <v>19</v>
      </c>
      <c r="Q163" s="21" t="s">
        <v>11</v>
      </c>
      <c r="R163" s="22" t="s">
        <v>80</v>
      </c>
      <c r="S163" s="21" t="s">
        <v>10</v>
      </c>
      <c r="T163" s="22" t="s">
        <v>4383</v>
      </c>
    </row>
    <row r="164" spans="1:20" ht="18.75" customHeight="1" x14ac:dyDescent="0.3">
      <c r="A164" s="11">
        <v>46139</v>
      </c>
      <c r="B164" s="18" t="s">
        <v>219</v>
      </c>
      <c r="C164" s="18" t="s">
        <v>220</v>
      </c>
      <c r="D164" s="42" t="s">
        <v>122</v>
      </c>
      <c r="E164" s="18" t="s">
        <v>19</v>
      </c>
      <c r="F164" s="18" t="s">
        <v>221</v>
      </c>
      <c r="G164" s="42" t="s">
        <v>122</v>
      </c>
      <c r="H164" s="18" t="s">
        <v>219</v>
      </c>
      <c r="I164" s="44" t="s">
        <v>4119</v>
      </c>
      <c r="J164" s="19">
        <v>0</v>
      </c>
      <c r="K164" s="19">
        <v>48.482067569727072</v>
      </c>
      <c r="L164" s="19">
        <v>0</v>
      </c>
      <c r="M164" s="19">
        <v>16.275989276124111</v>
      </c>
      <c r="N164" s="46" t="s">
        <v>145</v>
      </c>
      <c r="O164" s="20"/>
      <c r="P164" s="21" t="s">
        <v>19</v>
      </c>
      <c r="Q164" s="21" t="s">
        <v>11</v>
      </c>
      <c r="R164" s="22" t="s">
        <v>80</v>
      </c>
      <c r="S164" s="21" t="s">
        <v>10</v>
      </c>
      <c r="T164" s="22" t="s">
        <v>4384</v>
      </c>
    </row>
    <row r="165" spans="1:20" ht="18.75" customHeight="1" x14ac:dyDescent="0.3">
      <c r="A165" s="11">
        <v>46139</v>
      </c>
      <c r="B165" s="18" t="s">
        <v>4385</v>
      </c>
      <c r="C165" s="17" t="s">
        <v>4386</v>
      </c>
      <c r="D165" s="42" t="s">
        <v>69</v>
      </c>
      <c r="E165" s="18" t="s">
        <v>19</v>
      </c>
      <c r="F165" s="18" t="s">
        <v>4387</v>
      </c>
      <c r="G165" s="42" t="s">
        <v>68</v>
      </c>
      <c r="H165" s="18" t="s">
        <v>69</v>
      </c>
      <c r="I165" s="43" t="s">
        <v>4054</v>
      </c>
      <c r="J165" s="19">
        <v>13.655833723007561</v>
      </c>
      <c r="K165" s="19">
        <v>11.61615002499056</v>
      </c>
      <c r="L165" s="19">
        <v>18.729705526991442</v>
      </c>
      <c r="M165" s="19">
        <v>15.617054472609601</v>
      </c>
      <c r="N165" s="46" t="s">
        <v>1</v>
      </c>
      <c r="O165" s="20"/>
      <c r="P165" s="21" t="s">
        <v>9</v>
      </c>
      <c r="Q165" s="21" t="s">
        <v>11</v>
      </c>
      <c r="R165" s="22" t="s">
        <v>104</v>
      </c>
      <c r="S165" s="21" t="s">
        <v>10</v>
      </c>
      <c r="T165" s="22" t="s">
        <v>4388</v>
      </c>
    </row>
    <row r="166" spans="1:20" ht="18.75" customHeight="1" x14ac:dyDescent="0.3">
      <c r="A166" s="11">
        <v>46139</v>
      </c>
      <c r="B166" s="18" t="s">
        <v>4389</v>
      </c>
      <c r="C166" s="17" t="s">
        <v>4390</v>
      </c>
      <c r="D166" s="42" t="s">
        <v>59</v>
      </c>
      <c r="E166" s="18" t="s">
        <v>66</v>
      </c>
      <c r="F166" s="18" t="s">
        <v>67</v>
      </c>
      <c r="G166" s="42" t="s">
        <v>59</v>
      </c>
      <c r="H166" s="18" t="s">
        <v>1732</v>
      </c>
      <c r="I166" s="43" t="s">
        <v>4054</v>
      </c>
      <c r="J166" s="19">
        <v>32.372936225315627</v>
      </c>
      <c r="K166" s="19">
        <v>27.540622418066651</v>
      </c>
      <c r="L166" s="19">
        <v>0</v>
      </c>
      <c r="M166" s="19">
        <v>13.868556899607061</v>
      </c>
      <c r="N166" s="46" t="s">
        <v>1</v>
      </c>
      <c r="O166" s="20"/>
      <c r="P166" s="21" t="s">
        <v>157</v>
      </c>
      <c r="Q166" s="21" t="s">
        <v>157</v>
      </c>
      <c r="R166" s="22" t="s">
        <v>156</v>
      </c>
      <c r="S166" s="21" t="s">
        <v>157</v>
      </c>
      <c r="T166" s="22" t="s">
        <v>4391</v>
      </c>
    </row>
    <row r="167" spans="1:20" ht="18.75" customHeight="1" x14ac:dyDescent="0.3">
      <c r="A167" s="11">
        <v>46139</v>
      </c>
      <c r="B167" s="18" t="s">
        <v>4089</v>
      </c>
      <c r="C167" s="17" t="s">
        <v>4090</v>
      </c>
      <c r="D167" s="42" t="s">
        <v>68</v>
      </c>
      <c r="E167" s="18" t="s">
        <v>19</v>
      </c>
      <c r="F167" s="18" t="s">
        <v>380</v>
      </c>
      <c r="G167" s="42" t="s">
        <v>68</v>
      </c>
      <c r="H167" s="18" t="s">
        <v>4091</v>
      </c>
      <c r="I167" s="45" t="s">
        <v>4092</v>
      </c>
      <c r="J167" s="19">
        <v>32.368814670935087</v>
      </c>
      <c r="K167" s="19">
        <v>13.77031120903332</v>
      </c>
      <c r="L167" s="19">
        <v>0</v>
      </c>
      <c r="M167" s="19">
        <v>9.2451160421535636</v>
      </c>
      <c r="N167" s="46" t="s">
        <v>1</v>
      </c>
      <c r="O167" s="20"/>
      <c r="P167" s="21" t="s">
        <v>6</v>
      </c>
      <c r="Q167" s="21" t="s">
        <v>6</v>
      </c>
      <c r="R167" s="22" t="s">
        <v>188</v>
      </c>
      <c r="S167" s="21" t="s">
        <v>10</v>
      </c>
      <c r="T167" s="22" t="s">
        <v>4392</v>
      </c>
    </row>
    <row r="168" spans="1:20" ht="18.75" customHeight="1" x14ac:dyDescent="0.3">
      <c r="A168" s="11">
        <v>46139</v>
      </c>
      <c r="B168" s="18" t="s">
        <v>368</v>
      </c>
      <c r="C168" s="18" t="s">
        <v>369</v>
      </c>
      <c r="D168" s="42" t="s">
        <v>143</v>
      </c>
      <c r="E168" s="18" t="s">
        <v>19</v>
      </c>
      <c r="F168" s="18" t="s">
        <v>109</v>
      </c>
      <c r="G168" s="42" t="s">
        <v>143</v>
      </c>
      <c r="H168" s="18" t="s">
        <v>370</v>
      </c>
      <c r="I168" s="45" t="s">
        <v>4092</v>
      </c>
      <c r="J168" s="19">
        <v>32.366941237125758</v>
      </c>
      <c r="K168" s="19">
        <v>13.77031120903332</v>
      </c>
      <c r="L168" s="19">
        <v>0</v>
      </c>
      <c r="M168" s="19">
        <v>9.2448485159788039</v>
      </c>
      <c r="N168" s="46" t="s">
        <v>145</v>
      </c>
      <c r="O168" s="20"/>
      <c r="P168" s="21" t="s">
        <v>157</v>
      </c>
      <c r="Q168" s="21" t="s">
        <v>157</v>
      </c>
      <c r="R168" s="22" t="s">
        <v>156</v>
      </c>
      <c r="S168" s="21" t="s">
        <v>157</v>
      </c>
      <c r="T168" s="22" t="s">
        <v>4393</v>
      </c>
    </row>
    <row r="169" spans="1:20" ht="18.75" customHeight="1" x14ac:dyDescent="0.3">
      <c r="A169" s="11">
        <v>46139</v>
      </c>
      <c r="B169" s="18" t="s">
        <v>4094</v>
      </c>
      <c r="C169" s="17" t="s">
        <v>4095</v>
      </c>
      <c r="D169" s="42" t="s">
        <v>122</v>
      </c>
      <c r="E169" s="18" t="s">
        <v>19</v>
      </c>
      <c r="F169" s="18" t="s">
        <v>221</v>
      </c>
      <c r="G169" s="42" t="s">
        <v>122</v>
      </c>
      <c r="H169" s="18" t="s">
        <v>4094</v>
      </c>
      <c r="I169" s="45" t="s">
        <v>4092</v>
      </c>
      <c r="J169" s="19">
        <v>32.363943743030831</v>
      </c>
      <c r="K169" s="19">
        <v>13.77031120903332</v>
      </c>
      <c r="L169" s="19">
        <v>0</v>
      </c>
      <c r="M169" s="19">
        <v>9.2444204740991864</v>
      </c>
      <c r="N169" s="46" t="s">
        <v>145</v>
      </c>
      <c r="O169" s="20"/>
      <c r="P169" s="21" t="s">
        <v>6</v>
      </c>
      <c r="Q169" s="21" t="s">
        <v>6</v>
      </c>
      <c r="R169" s="22" t="s">
        <v>188</v>
      </c>
      <c r="S169" s="21" t="s">
        <v>10</v>
      </c>
      <c r="T169" s="22" t="s">
        <v>4394</v>
      </c>
    </row>
    <row r="170" spans="1:20" ht="18.75" customHeight="1" x14ac:dyDescent="0.3">
      <c r="A170" s="11">
        <v>46139</v>
      </c>
      <c r="B170" s="18" t="s">
        <v>4395</v>
      </c>
      <c r="C170" s="17" t="s">
        <v>4396</v>
      </c>
      <c r="D170" s="42" t="s">
        <v>60</v>
      </c>
      <c r="E170" s="18" t="s">
        <v>19</v>
      </c>
      <c r="F170" s="18" t="s">
        <v>109</v>
      </c>
      <c r="G170" s="42" t="s">
        <v>59</v>
      </c>
      <c r="H170" s="18" t="s">
        <v>60</v>
      </c>
      <c r="I170" s="43" t="s">
        <v>4054</v>
      </c>
      <c r="J170" s="19">
        <v>7.3398638738015016</v>
      </c>
      <c r="K170" s="19">
        <v>6.2820669747136284</v>
      </c>
      <c r="L170" s="19">
        <v>8.0149830256945673</v>
      </c>
      <c r="M170" s="19">
        <v>7.3368161674271537</v>
      </c>
      <c r="N170" s="46" t="s">
        <v>1</v>
      </c>
      <c r="O170" s="20"/>
      <c r="P170" s="21" t="s">
        <v>19</v>
      </c>
      <c r="Q170" s="21" t="s">
        <v>11</v>
      </c>
      <c r="R170" s="22" t="s">
        <v>80</v>
      </c>
      <c r="S170" s="21" t="s">
        <v>10</v>
      </c>
      <c r="T170" s="22" t="s">
        <v>4397</v>
      </c>
    </row>
    <row r="171" spans="1:20" ht="18.75" customHeight="1" x14ac:dyDescent="0.3">
      <c r="A171" s="11">
        <v>46139</v>
      </c>
      <c r="B171" s="18" t="s">
        <v>4398</v>
      </c>
      <c r="C171" s="17" t="s">
        <v>4399</v>
      </c>
      <c r="D171" s="42" t="s">
        <v>69</v>
      </c>
      <c r="E171" s="18" t="s">
        <v>66</v>
      </c>
      <c r="F171" s="18" t="s">
        <v>67</v>
      </c>
      <c r="G171" s="42" t="s">
        <v>68</v>
      </c>
      <c r="H171" s="18" t="s">
        <v>69</v>
      </c>
      <c r="I171" s="43" t="s">
        <v>4054</v>
      </c>
      <c r="J171" s="19">
        <v>2.6803841988097949</v>
      </c>
      <c r="K171" s="19">
        <v>2.277520221957015</v>
      </c>
      <c r="L171" s="19">
        <v>5.8855681741075641</v>
      </c>
      <c r="M171" s="19">
        <v>4.216604885955376</v>
      </c>
      <c r="N171" s="46" t="s">
        <v>1</v>
      </c>
      <c r="O171" s="20"/>
      <c r="P171" s="21" t="s">
        <v>7</v>
      </c>
      <c r="Q171" s="21" t="s">
        <v>11</v>
      </c>
      <c r="R171" s="22" t="s">
        <v>70</v>
      </c>
      <c r="S171" s="21" t="s">
        <v>10</v>
      </c>
      <c r="T171" s="22" t="s">
        <v>4400</v>
      </c>
    </row>
    <row r="172" spans="1:20" ht="18.75" customHeight="1" x14ac:dyDescent="0.3">
      <c r="A172" s="11">
        <v>46139</v>
      </c>
      <c r="B172" s="18" t="s">
        <v>4401</v>
      </c>
      <c r="C172" s="17" t="s">
        <v>4402</v>
      </c>
      <c r="D172" s="42" t="s">
        <v>69</v>
      </c>
      <c r="E172" s="18" t="s">
        <v>66</v>
      </c>
      <c r="F172" s="18" t="s">
        <v>568</v>
      </c>
      <c r="G172" s="42" t="s">
        <v>68</v>
      </c>
      <c r="H172" s="18" t="s">
        <v>69</v>
      </c>
      <c r="I172" s="43" t="s">
        <v>4054</v>
      </c>
      <c r="J172" s="19">
        <v>2.6748887929690781</v>
      </c>
      <c r="K172" s="19">
        <v>2.4180921488825642</v>
      </c>
      <c r="L172" s="19">
        <v>5.5404526919212831</v>
      </c>
      <c r="M172" s="19">
        <v>4.0830379844363982</v>
      </c>
      <c r="N172" s="46" t="s">
        <v>1</v>
      </c>
      <c r="O172" s="20"/>
      <c r="P172" s="21" t="s">
        <v>7</v>
      </c>
      <c r="Q172" s="21" t="s">
        <v>11</v>
      </c>
      <c r="R172" s="22" t="s">
        <v>70</v>
      </c>
      <c r="S172" s="21" t="s">
        <v>10</v>
      </c>
      <c r="T172" s="22" t="s">
        <v>4403</v>
      </c>
    </row>
    <row r="173" spans="1:20" ht="18.75" customHeight="1" x14ac:dyDescent="0.3">
      <c r="A173" s="11">
        <v>46139</v>
      </c>
      <c r="B173" s="18" t="s">
        <v>3132</v>
      </c>
      <c r="C173" s="17" t="s">
        <v>3133</v>
      </c>
      <c r="D173" s="42" t="s">
        <v>68</v>
      </c>
      <c r="E173" s="18" t="s">
        <v>19</v>
      </c>
      <c r="F173" s="18" t="s">
        <v>221</v>
      </c>
      <c r="G173" s="42" t="s">
        <v>68</v>
      </c>
      <c r="H173" s="18" t="s">
        <v>3132</v>
      </c>
      <c r="I173" s="45" t="s">
        <v>4092</v>
      </c>
      <c r="J173" s="19">
        <v>12.640432598347781</v>
      </c>
      <c r="K173" s="19">
        <v>5.6422681402599704</v>
      </c>
      <c r="L173" s="19">
        <v>0</v>
      </c>
      <c r="M173" s="19">
        <v>3.6992270990460372</v>
      </c>
      <c r="N173" s="46" t="s">
        <v>1</v>
      </c>
      <c r="O173" s="20"/>
      <c r="P173" s="21" t="s">
        <v>19</v>
      </c>
      <c r="Q173" s="21" t="s">
        <v>11</v>
      </c>
      <c r="R173" s="22" t="s">
        <v>80</v>
      </c>
      <c r="S173" s="21" t="s">
        <v>10</v>
      </c>
      <c r="T173" s="22" t="s">
        <v>4404</v>
      </c>
    </row>
    <row r="174" spans="1:20" ht="18.75" customHeight="1" x14ac:dyDescent="0.3">
      <c r="A174" s="11">
        <v>46139</v>
      </c>
      <c r="B174" s="18" t="s">
        <v>3156</v>
      </c>
      <c r="C174" s="17" t="s">
        <v>3157</v>
      </c>
      <c r="D174" s="42" t="s">
        <v>143</v>
      </c>
      <c r="E174" s="18" t="s">
        <v>66</v>
      </c>
      <c r="F174" s="18" t="s">
        <v>193</v>
      </c>
      <c r="G174" s="42" t="s">
        <v>143</v>
      </c>
      <c r="H174" s="18" t="s">
        <v>3156</v>
      </c>
      <c r="I174" s="45" t="s">
        <v>4092</v>
      </c>
      <c r="J174" s="19">
        <v>12.203173147248901</v>
      </c>
      <c r="K174" s="19">
        <v>5.1976721612211474</v>
      </c>
      <c r="L174" s="19">
        <v>0</v>
      </c>
      <c r="M174" s="19">
        <v>3.4875304917161492</v>
      </c>
      <c r="N174" s="46" t="s">
        <v>145</v>
      </c>
      <c r="O174" s="20"/>
      <c r="P174" s="21" t="s">
        <v>7</v>
      </c>
      <c r="Q174" s="21" t="s">
        <v>11</v>
      </c>
      <c r="R174" s="22" t="s">
        <v>70</v>
      </c>
      <c r="S174" s="21" t="s">
        <v>10</v>
      </c>
      <c r="T174" s="22" t="s">
        <v>4405</v>
      </c>
    </row>
    <row r="175" spans="1:20" ht="18.75" customHeight="1" x14ac:dyDescent="0.3">
      <c r="A175" s="11">
        <v>46139</v>
      </c>
      <c r="B175" s="18" t="s">
        <v>4406</v>
      </c>
      <c r="C175" s="17" t="s">
        <v>4407</v>
      </c>
      <c r="D175" s="42" t="s">
        <v>143</v>
      </c>
      <c r="E175" s="18" t="s">
        <v>19</v>
      </c>
      <c r="F175" s="18" t="s">
        <v>732</v>
      </c>
      <c r="G175" s="42" t="s">
        <v>143</v>
      </c>
      <c r="H175" s="18" t="s">
        <v>4408</v>
      </c>
      <c r="I175" s="44" t="s">
        <v>4119</v>
      </c>
      <c r="J175" s="19">
        <v>0</v>
      </c>
      <c r="K175" s="19">
        <v>10.287782503884589</v>
      </c>
      <c r="L175" s="19">
        <v>0</v>
      </c>
      <c r="M175" s="19">
        <v>3.4537272460070829</v>
      </c>
      <c r="N175" s="46" t="s">
        <v>145</v>
      </c>
      <c r="O175" s="20"/>
      <c r="P175" s="21" t="s">
        <v>19</v>
      </c>
      <c r="Q175" s="21" t="s">
        <v>11</v>
      </c>
      <c r="R175" s="22" t="s">
        <v>80</v>
      </c>
      <c r="S175" s="21" t="s">
        <v>10</v>
      </c>
      <c r="T175" s="22" t="s">
        <v>4409</v>
      </c>
    </row>
    <row r="176" spans="1:20" ht="18.75" customHeight="1" x14ac:dyDescent="0.3">
      <c r="A176" s="11">
        <v>46139</v>
      </c>
      <c r="B176" s="18" t="s">
        <v>4410</v>
      </c>
      <c r="C176" s="17" t="s">
        <v>4411</v>
      </c>
      <c r="D176" s="42" t="s">
        <v>69</v>
      </c>
      <c r="E176" s="18" t="s">
        <v>19</v>
      </c>
      <c r="F176" s="18" t="s">
        <v>58</v>
      </c>
      <c r="G176" s="42" t="s">
        <v>68</v>
      </c>
      <c r="H176" s="18" t="s">
        <v>69</v>
      </c>
      <c r="I176" s="43" t="s">
        <v>4054</v>
      </c>
      <c r="J176" s="19">
        <v>2.6802593032225062</v>
      </c>
      <c r="K176" s="19">
        <v>2.2772014647531038</v>
      </c>
      <c r="L176" s="19">
        <v>4.4095847369146828</v>
      </c>
      <c r="M176" s="19">
        <v>3.446771565463298</v>
      </c>
      <c r="N176" s="46" t="s">
        <v>1</v>
      </c>
      <c r="O176" s="20"/>
      <c r="P176" s="21" t="s">
        <v>7</v>
      </c>
      <c r="Q176" s="21" t="s">
        <v>11</v>
      </c>
      <c r="R176" s="22" t="s">
        <v>70</v>
      </c>
      <c r="S176" s="21" t="s">
        <v>10</v>
      </c>
      <c r="T176" s="22" t="s">
        <v>4412</v>
      </c>
    </row>
    <row r="177" spans="1:20" ht="18.75" customHeight="1" x14ac:dyDescent="0.3">
      <c r="A177" s="11">
        <v>46139</v>
      </c>
      <c r="B177" s="18" t="s">
        <v>4413</v>
      </c>
      <c r="C177" s="17" t="s">
        <v>4414</v>
      </c>
      <c r="D177" s="42" t="s">
        <v>69</v>
      </c>
      <c r="E177" s="18" t="s">
        <v>19</v>
      </c>
      <c r="F177" s="18" t="s">
        <v>109</v>
      </c>
      <c r="G177" s="42" t="s">
        <v>68</v>
      </c>
      <c r="H177" s="18" t="s">
        <v>69</v>
      </c>
      <c r="I177" s="43" t="s">
        <v>4054</v>
      </c>
      <c r="J177" s="19">
        <v>2.6798846164606389</v>
      </c>
      <c r="K177" s="19">
        <v>2.2768827075491922</v>
      </c>
      <c r="L177" s="19">
        <v>3.6770137698717562</v>
      </c>
      <c r="M177" s="19">
        <v>3.064583672199821</v>
      </c>
      <c r="N177" s="46" t="s">
        <v>1</v>
      </c>
      <c r="O177" s="20"/>
      <c r="P177" s="21" t="s">
        <v>7</v>
      </c>
      <c r="Q177" s="21" t="s">
        <v>11</v>
      </c>
      <c r="R177" s="22" t="s">
        <v>70</v>
      </c>
      <c r="S177" s="21" t="s">
        <v>10</v>
      </c>
      <c r="T177" s="22" t="s">
        <v>4415</v>
      </c>
    </row>
    <row r="178" spans="1:20" ht="18.75" customHeight="1" x14ac:dyDescent="0.3">
      <c r="A178" s="11">
        <v>46139</v>
      </c>
      <c r="B178" s="18" t="s">
        <v>4416</v>
      </c>
      <c r="C178" s="17" t="s">
        <v>4417</v>
      </c>
      <c r="D178" s="42" t="s">
        <v>69</v>
      </c>
      <c r="E178" s="18" t="s">
        <v>19</v>
      </c>
      <c r="F178" s="18" t="s">
        <v>109</v>
      </c>
      <c r="G178" s="42" t="s">
        <v>68</v>
      </c>
      <c r="H178" s="18" t="s">
        <v>69</v>
      </c>
      <c r="I178" s="43" t="s">
        <v>4054</v>
      </c>
      <c r="J178" s="19">
        <v>2.6802593032225062</v>
      </c>
      <c r="K178" s="19">
        <v>2.2794327651804931</v>
      </c>
      <c r="L178" s="19">
        <v>3.6738331396226909</v>
      </c>
      <c r="M178" s="19">
        <v>3.06383459891049</v>
      </c>
      <c r="N178" s="46" t="s">
        <v>1</v>
      </c>
      <c r="O178" s="20"/>
      <c r="P178" s="21" t="s">
        <v>7</v>
      </c>
      <c r="Q178" s="21" t="s">
        <v>11</v>
      </c>
      <c r="R178" s="22" t="s">
        <v>70</v>
      </c>
      <c r="S178" s="21" t="s">
        <v>10</v>
      </c>
      <c r="T178" s="22" t="s">
        <v>4418</v>
      </c>
    </row>
    <row r="179" spans="1:20" ht="18.75" customHeight="1" x14ac:dyDescent="0.3">
      <c r="A179" s="11">
        <v>46139</v>
      </c>
      <c r="B179" s="18" t="s">
        <v>792</v>
      </c>
      <c r="C179" s="17" t="s">
        <v>793</v>
      </c>
      <c r="D179" s="42" t="s">
        <v>143</v>
      </c>
      <c r="E179" s="18" t="s">
        <v>19</v>
      </c>
      <c r="F179" s="18" t="s">
        <v>109</v>
      </c>
      <c r="G179" s="42" t="s">
        <v>143</v>
      </c>
      <c r="H179" s="18" t="s">
        <v>789</v>
      </c>
      <c r="I179" s="45" t="s">
        <v>4092</v>
      </c>
      <c r="J179" s="19">
        <v>5.2628502571849944</v>
      </c>
      <c r="K179" s="19">
        <v>0.30630799907426459</v>
      </c>
      <c r="L179" s="19">
        <v>2.8372931837930948</v>
      </c>
      <c r="M179" s="19">
        <v>2.3339815906786532</v>
      </c>
      <c r="N179" s="46" t="s">
        <v>145</v>
      </c>
      <c r="O179" s="20"/>
      <c r="P179" s="21" t="s">
        <v>19</v>
      </c>
      <c r="Q179" s="21" t="s">
        <v>11</v>
      </c>
      <c r="R179" s="22" t="s">
        <v>80</v>
      </c>
      <c r="S179" s="21" t="s">
        <v>10</v>
      </c>
      <c r="T179" s="22" t="s">
        <v>4419</v>
      </c>
    </row>
    <row r="180" spans="1:20" ht="18.75" customHeight="1" x14ac:dyDescent="0.3">
      <c r="A180" s="11">
        <v>46139</v>
      </c>
      <c r="B180" s="18" t="s">
        <v>4420</v>
      </c>
      <c r="C180" s="18" t="s">
        <v>4421</v>
      </c>
      <c r="D180" s="42" t="s">
        <v>116</v>
      </c>
      <c r="E180" s="18" t="s">
        <v>19</v>
      </c>
      <c r="F180" s="18" t="s">
        <v>820</v>
      </c>
      <c r="G180" s="42" t="s">
        <v>116</v>
      </c>
      <c r="H180" s="18" t="s">
        <v>4422</v>
      </c>
      <c r="I180" s="44" t="s">
        <v>4119</v>
      </c>
      <c r="J180" s="19">
        <v>0</v>
      </c>
      <c r="K180" s="19">
        <v>5.7937840645198584</v>
      </c>
      <c r="L180" s="19">
        <v>0</v>
      </c>
      <c r="M180" s="19">
        <v>1.9450401360602461</v>
      </c>
      <c r="N180" s="46" t="s">
        <v>1</v>
      </c>
      <c r="O180" s="20"/>
      <c r="P180" s="21" t="s">
        <v>12</v>
      </c>
      <c r="Q180" s="21" t="s">
        <v>14</v>
      </c>
      <c r="R180" s="22" t="s">
        <v>146</v>
      </c>
      <c r="S180" s="21" t="s">
        <v>5</v>
      </c>
      <c r="T180" s="22" t="s">
        <v>4423</v>
      </c>
    </row>
    <row r="181" spans="1:20" ht="18.75" customHeight="1" x14ac:dyDescent="0.3">
      <c r="A181" s="11">
        <v>46139</v>
      </c>
      <c r="B181" s="18" t="s">
        <v>3045</v>
      </c>
      <c r="C181" s="17" t="s">
        <v>3046</v>
      </c>
      <c r="D181" s="42" t="s">
        <v>143</v>
      </c>
      <c r="E181" s="18" t="s">
        <v>19</v>
      </c>
      <c r="F181" s="18" t="s">
        <v>109</v>
      </c>
      <c r="G181" s="42" t="s">
        <v>143</v>
      </c>
      <c r="H181" s="18" t="s">
        <v>3047</v>
      </c>
      <c r="I181" s="45" t="s">
        <v>4092</v>
      </c>
      <c r="J181" s="19">
        <v>4.592785431379367</v>
      </c>
      <c r="K181" s="19">
        <v>1.9616463704808049</v>
      </c>
      <c r="L181" s="19">
        <v>0</v>
      </c>
      <c r="M181" s="19">
        <v>1.314396647197587</v>
      </c>
      <c r="N181" s="46" t="s">
        <v>145</v>
      </c>
      <c r="O181" s="20"/>
      <c r="P181" s="21" t="s">
        <v>7</v>
      </c>
      <c r="Q181" s="21" t="s">
        <v>11</v>
      </c>
      <c r="R181" s="22" t="s">
        <v>70</v>
      </c>
      <c r="S181" s="21" t="s">
        <v>10</v>
      </c>
      <c r="T181" s="22" t="s">
        <v>4424</v>
      </c>
    </row>
    <row r="182" spans="1:20" ht="18.75" customHeight="1" x14ac:dyDescent="0.3">
      <c r="A182" s="11">
        <v>46139</v>
      </c>
      <c r="B182" s="18" t="s">
        <v>3070</v>
      </c>
      <c r="C182" s="18" t="s">
        <v>3071</v>
      </c>
      <c r="D182" s="42" t="s">
        <v>143</v>
      </c>
      <c r="E182" s="18" t="s">
        <v>19</v>
      </c>
      <c r="F182" s="18" t="s">
        <v>109</v>
      </c>
      <c r="G182" s="42" t="s">
        <v>110</v>
      </c>
      <c r="H182" s="18" t="s">
        <v>3072</v>
      </c>
      <c r="I182" s="45" t="s">
        <v>4092</v>
      </c>
      <c r="J182" s="19">
        <v>4.5811701417614872</v>
      </c>
      <c r="K182" s="19">
        <v>1.9643029879922911</v>
      </c>
      <c r="L182" s="19">
        <v>0</v>
      </c>
      <c r="M182" s="19">
        <v>1.313629842054145</v>
      </c>
      <c r="N182" s="46" t="s">
        <v>1</v>
      </c>
      <c r="O182" s="20"/>
      <c r="P182" s="21" t="s">
        <v>7</v>
      </c>
      <c r="Q182" s="21" t="s">
        <v>11</v>
      </c>
      <c r="R182" s="22" t="s">
        <v>70</v>
      </c>
      <c r="S182" s="21" t="s">
        <v>10</v>
      </c>
      <c r="T182" s="22" t="s">
        <v>4425</v>
      </c>
    </row>
    <row r="183" spans="1:20" ht="18.75" customHeight="1" x14ac:dyDescent="0.3">
      <c r="A183" s="11">
        <v>46139</v>
      </c>
      <c r="B183" s="18" t="s">
        <v>3010</v>
      </c>
      <c r="C183" s="18" t="s">
        <v>3011</v>
      </c>
      <c r="D183" s="42" t="s">
        <v>110</v>
      </c>
      <c r="E183" s="18" t="s">
        <v>19</v>
      </c>
      <c r="F183" s="18" t="s">
        <v>109</v>
      </c>
      <c r="G183" s="42" t="s">
        <v>110</v>
      </c>
      <c r="H183" s="18" t="s">
        <v>3010</v>
      </c>
      <c r="I183" s="45" t="s">
        <v>4092</v>
      </c>
      <c r="J183" s="19">
        <v>4.5801709770631751</v>
      </c>
      <c r="K183" s="19">
        <v>0</v>
      </c>
      <c r="L183" s="19">
        <v>1.256920911148504</v>
      </c>
      <c r="M183" s="19">
        <v>1.309517866084168</v>
      </c>
      <c r="N183" s="46" t="s">
        <v>1</v>
      </c>
      <c r="O183" s="20"/>
      <c r="P183" s="21" t="s">
        <v>7</v>
      </c>
      <c r="Q183" s="21" t="s">
        <v>11</v>
      </c>
      <c r="R183" s="22" t="s">
        <v>70</v>
      </c>
      <c r="S183" s="21" t="s">
        <v>10</v>
      </c>
      <c r="T183" s="22" t="s">
        <v>4426</v>
      </c>
    </row>
    <row r="184" spans="1:20" ht="18.75" customHeight="1" x14ac:dyDescent="0.3">
      <c r="A184" s="11">
        <v>46139</v>
      </c>
      <c r="B184" s="18" t="s">
        <v>359</v>
      </c>
      <c r="C184" s="18" t="s">
        <v>360</v>
      </c>
      <c r="D184" s="42" t="s">
        <v>60</v>
      </c>
      <c r="E184" s="18" t="s">
        <v>19</v>
      </c>
      <c r="F184" s="18" t="s">
        <v>109</v>
      </c>
      <c r="G184" s="42" t="s">
        <v>59</v>
      </c>
      <c r="H184" s="18" t="s">
        <v>60</v>
      </c>
      <c r="I184" s="43" t="s">
        <v>4054</v>
      </c>
      <c r="J184" s="19">
        <v>0.25915834362472978</v>
      </c>
      <c r="K184" s="19">
        <v>0.17563521935595841</v>
      </c>
      <c r="L184" s="19">
        <v>2.0446664455957628</v>
      </c>
      <c r="M184" s="19">
        <v>1.1622407136314219</v>
      </c>
      <c r="N184" s="46" t="s">
        <v>1</v>
      </c>
      <c r="O184" s="20"/>
      <c r="P184" s="21" t="s">
        <v>19</v>
      </c>
      <c r="Q184" s="21" t="s">
        <v>11</v>
      </c>
      <c r="R184" s="22" t="s">
        <v>80</v>
      </c>
      <c r="S184" s="21" t="s">
        <v>10</v>
      </c>
      <c r="T184" s="22" t="s">
        <v>4427</v>
      </c>
    </row>
    <row r="185" spans="1:20" ht="18.75" customHeight="1" x14ac:dyDescent="0.3">
      <c r="A185" s="11">
        <v>46139</v>
      </c>
      <c r="B185" s="18" t="s">
        <v>2776</v>
      </c>
      <c r="C185" s="18" t="s">
        <v>2777</v>
      </c>
      <c r="D185" s="42" t="s">
        <v>122</v>
      </c>
      <c r="E185" s="18" t="s">
        <v>19</v>
      </c>
      <c r="F185" s="18" t="s">
        <v>109</v>
      </c>
      <c r="G185" s="42" t="s">
        <v>122</v>
      </c>
      <c r="H185" s="18" t="s">
        <v>1443</v>
      </c>
      <c r="I185" s="45" t="s">
        <v>4092</v>
      </c>
      <c r="J185" s="19">
        <v>2.086755472425053</v>
      </c>
      <c r="K185" s="19">
        <v>1.0426016877981441</v>
      </c>
      <c r="L185" s="19">
        <v>0.61821217513289906</v>
      </c>
      <c r="M185" s="19">
        <v>0.9703924765264027</v>
      </c>
      <c r="N185" s="46" t="s">
        <v>145</v>
      </c>
      <c r="O185" s="20"/>
      <c r="P185" s="21" t="s">
        <v>19</v>
      </c>
      <c r="Q185" s="21" t="s">
        <v>11</v>
      </c>
      <c r="R185" s="22" t="s">
        <v>80</v>
      </c>
      <c r="S185" s="21" t="s">
        <v>10</v>
      </c>
      <c r="T185" s="22" t="s">
        <v>4428</v>
      </c>
    </row>
    <row r="186" spans="1:20" ht="18.75" customHeight="1" x14ac:dyDescent="0.3">
      <c r="A186" s="11">
        <v>46139</v>
      </c>
      <c r="B186" s="18" t="s">
        <v>4429</v>
      </c>
      <c r="C186" s="17" t="s">
        <v>4430</v>
      </c>
      <c r="D186" s="42" t="s">
        <v>110</v>
      </c>
      <c r="E186" s="18" t="s">
        <v>19</v>
      </c>
      <c r="F186" s="18" t="s">
        <v>820</v>
      </c>
      <c r="G186" s="42" t="s">
        <v>110</v>
      </c>
      <c r="H186" s="18" t="s">
        <v>4431</v>
      </c>
      <c r="I186" s="44" t="s">
        <v>4119</v>
      </c>
      <c r="J186" s="19">
        <v>0</v>
      </c>
      <c r="K186" s="19">
        <v>2.5989868621030841</v>
      </c>
      <c r="L186" s="19">
        <v>0</v>
      </c>
      <c r="M186" s="19">
        <v>0.87250986636532524</v>
      </c>
      <c r="N186" s="46" t="s">
        <v>1</v>
      </c>
      <c r="O186" s="20"/>
      <c r="P186" s="21" t="s">
        <v>19</v>
      </c>
      <c r="Q186" s="21" t="s">
        <v>11</v>
      </c>
      <c r="R186" s="22" t="s">
        <v>80</v>
      </c>
      <c r="S186" s="21" t="s">
        <v>10</v>
      </c>
      <c r="T186" s="22" t="s">
        <v>4409</v>
      </c>
    </row>
    <row r="187" spans="1:20" ht="18.75" customHeight="1" x14ac:dyDescent="0.3">
      <c r="A187" s="11">
        <v>46139</v>
      </c>
      <c r="B187" s="18" t="s">
        <v>906</v>
      </c>
      <c r="C187" s="17" t="s">
        <v>907</v>
      </c>
      <c r="D187" s="42" t="s">
        <v>68</v>
      </c>
      <c r="E187" s="18" t="s">
        <v>19</v>
      </c>
      <c r="F187" s="42" t="s">
        <v>109</v>
      </c>
      <c r="G187" s="42" t="s">
        <v>68</v>
      </c>
      <c r="H187" s="18" t="s">
        <v>906</v>
      </c>
      <c r="I187" s="45" t="s">
        <v>4092</v>
      </c>
      <c r="J187" s="19">
        <v>2.9772610097958112</v>
      </c>
      <c r="K187" s="19">
        <v>1.286185317788181</v>
      </c>
      <c r="L187" s="19">
        <v>0</v>
      </c>
      <c r="M187" s="19">
        <v>0.85693984299423831</v>
      </c>
      <c r="N187" s="46" t="s">
        <v>1</v>
      </c>
      <c r="O187" s="20"/>
      <c r="P187" s="21" t="s">
        <v>19</v>
      </c>
      <c r="Q187" s="21" t="s">
        <v>11</v>
      </c>
      <c r="R187" s="22" t="s">
        <v>80</v>
      </c>
      <c r="S187" s="21" t="s">
        <v>10</v>
      </c>
      <c r="T187" s="22" t="s">
        <v>4432</v>
      </c>
    </row>
    <row r="188" spans="1:20" ht="18.75" customHeight="1" x14ac:dyDescent="0.3">
      <c r="A188" s="11">
        <v>46139</v>
      </c>
      <c r="B188" s="18" t="s">
        <v>4433</v>
      </c>
      <c r="C188" s="17" t="s">
        <v>4434</v>
      </c>
      <c r="D188" s="42" t="s">
        <v>143</v>
      </c>
      <c r="E188" s="18" t="s">
        <v>19</v>
      </c>
      <c r="F188" s="18" t="s">
        <v>221</v>
      </c>
      <c r="G188" s="42" t="s">
        <v>143</v>
      </c>
      <c r="H188" s="18" t="s">
        <v>4435</v>
      </c>
      <c r="I188" s="44" t="s">
        <v>4119</v>
      </c>
      <c r="J188" s="19">
        <v>0</v>
      </c>
      <c r="K188" s="19">
        <v>2.2913861603272232</v>
      </c>
      <c r="L188" s="19">
        <v>0</v>
      </c>
      <c r="M188" s="19">
        <v>0.7692447629076028</v>
      </c>
      <c r="N188" s="46" t="s">
        <v>145</v>
      </c>
      <c r="O188" s="20"/>
      <c r="P188" s="21" t="s">
        <v>19</v>
      </c>
      <c r="Q188" s="21" t="s">
        <v>11</v>
      </c>
      <c r="R188" s="22" t="s">
        <v>80</v>
      </c>
      <c r="S188" s="21" t="s">
        <v>10</v>
      </c>
      <c r="T188" s="22" t="s">
        <v>4436</v>
      </c>
    </row>
    <row r="189" spans="1:20" ht="18.75" customHeight="1" x14ac:dyDescent="0.3">
      <c r="A189" s="11">
        <v>46139</v>
      </c>
      <c r="B189" s="18" t="s">
        <v>814</v>
      </c>
      <c r="C189" s="17" t="s">
        <v>815</v>
      </c>
      <c r="D189" s="42" t="s">
        <v>143</v>
      </c>
      <c r="E189" s="18" t="s">
        <v>19</v>
      </c>
      <c r="F189" s="18" t="s">
        <v>109</v>
      </c>
      <c r="G189" s="42" t="s">
        <v>143</v>
      </c>
      <c r="H189" s="18" t="s">
        <v>789</v>
      </c>
      <c r="I189" s="45" t="s">
        <v>4092</v>
      </c>
      <c r="J189" s="19">
        <v>1.432552386205133</v>
      </c>
      <c r="K189" s="19">
        <v>0.31055858709264161</v>
      </c>
      <c r="L189" s="19">
        <v>0.39361154340322241</v>
      </c>
      <c r="M189" s="19">
        <v>0.51409036433030442</v>
      </c>
      <c r="N189" s="46" t="s">
        <v>145</v>
      </c>
      <c r="O189" s="20"/>
      <c r="P189" s="21" t="s">
        <v>19</v>
      </c>
      <c r="Q189" s="21" t="s">
        <v>11</v>
      </c>
      <c r="R189" s="22" t="s">
        <v>80</v>
      </c>
      <c r="S189" s="21" t="s">
        <v>10</v>
      </c>
      <c r="T189" s="22" t="s">
        <v>4437</v>
      </c>
    </row>
    <row r="190" spans="1:20" ht="18.75" customHeight="1" x14ac:dyDescent="0.3">
      <c r="A190" s="11">
        <v>46139</v>
      </c>
      <c r="B190" s="18" t="s">
        <v>789</v>
      </c>
      <c r="C190" s="17" t="s">
        <v>3707</v>
      </c>
      <c r="D190" s="42" t="s">
        <v>143</v>
      </c>
      <c r="E190" s="18" t="s">
        <v>19</v>
      </c>
      <c r="F190" s="18" t="s">
        <v>109</v>
      </c>
      <c r="G190" s="42" t="s">
        <v>143</v>
      </c>
      <c r="H190" s="18" t="s">
        <v>789</v>
      </c>
      <c r="I190" s="45" t="s">
        <v>4092</v>
      </c>
      <c r="J190" s="19">
        <v>1.5977892481885141</v>
      </c>
      <c r="K190" s="19">
        <v>0.59211804784484579</v>
      </c>
      <c r="L190" s="19">
        <v>0</v>
      </c>
      <c r="M190" s="19">
        <v>0.42694501507528743</v>
      </c>
      <c r="N190" s="46" t="s">
        <v>145</v>
      </c>
      <c r="O190" s="20"/>
      <c r="P190" s="21" t="s">
        <v>19</v>
      </c>
      <c r="Q190" s="21" t="s">
        <v>11</v>
      </c>
      <c r="R190" s="22" t="s">
        <v>80</v>
      </c>
      <c r="S190" s="21" t="s">
        <v>10</v>
      </c>
      <c r="T190" s="22" t="s">
        <v>4438</v>
      </c>
    </row>
    <row r="191" spans="1:20" ht="18.75" customHeight="1" x14ac:dyDescent="0.3">
      <c r="A191" s="11">
        <v>46139</v>
      </c>
      <c r="B191" s="18" t="s">
        <v>3084</v>
      </c>
      <c r="C191" s="17" t="s">
        <v>3085</v>
      </c>
      <c r="D191" s="42" t="s">
        <v>143</v>
      </c>
      <c r="E191" s="18" t="s">
        <v>19</v>
      </c>
      <c r="F191" s="18" t="s">
        <v>820</v>
      </c>
      <c r="G191" s="42" t="s">
        <v>143</v>
      </c>
      <c r="H191" s="18" t="s">
        <v>3086</v>
      </c>
      <c r="I191" s="45" t="s">
        <v>4092</v>
      </c>
      <c r="J191" s="19">
        <v>0.6977916461837903</v>
      </c>
      <c r="K191" s="19">
        <v>0.30285439630933292</v>
      </c>
      <c r="L191" s="19">
        <v>0.38465105818542322</v>
      </c>
      <c r="M191" s="19">
        <v>0.40190742236368598</v>
      </c>
      <c r="N191" s="46" t="s">
        <v>145</v>
      </c>
      <c r="O191" s="20"/>
      <c r="P191" s="21" t="s">
        <v>19</v>
      </c>
      <c r="Q191" s="21" t="s">
        <v>11</v>
      </c>
      <c r="R191" s="22" t="s">
        <v>80</v>
      </c>
      <c r="S191" s="21" t="s">
        <v>10</v>
      </c>
      <c r="T191" s="22" t="s">
        <v>4409</v>
      </c>
    </row>
    <row r="192" spans="1:20" ht="18.75" customHeight="1" x14ac:dyDescent="0.3">
      <c r="A192" s="11">
        <v>46139</v>
      </c>
      <c r="B192" s="18" t="s">
        <v>787</v>
      </c>
      <c r="C192" s="17" t="s">
        <v>788</v>
      </c>
      <c r="D192" s="42" t="s">
        <v>143</v>
      </c>
      <c r="E192" s="18" t="s">
        <v>19</v>
      </c>
      <c r="F192" s="18" t="s">
        <v>109</v>
      </c>
      <c r="G192" s="42" t="s">
        <v>143</v>
      </c>
      <c r="H192" s="18" t="s">
        <v>789</v>
      </c>
      <c r="I192" s="45" t="s">
        <v>4092</v>
      </c>
      <c r="J192" s="19">
        <v>1.390087886526864</v>
      </c>
      <c r="K192" s="19">
        <v>0.50741394469370826</v>
      </c>
      <c r="L192" s="19">
        <v>0</v>
      </c>
      <c r="M192" s="19">
        <v>0.36884913542709868</v>
      </c>
      <c r="N192" s="46" t="s">
        <v>145</v>
      </c>
      <c r="O192" s="20"/>
      <c r="P192" s="21" t="s">
        <v>19</v>
      </c>
      <c r="Q192" s="21" t="s">
        <v>11</v>
      </c>
      <c r="R192" s="22" t="s">
        <v>80</v>
      </c>
      <c r="S192" s="21" t="s">
        <v>10</v>
      </c>
      <c r="T192" s="22" t="s">
        <v>4439</v>
      </c>
    </row>
    <row r="193" spans="1:20" ht="18.75" customHeight="1" x14ac:dyDescent="0.3">
      <c r="A193" s="11">
        <v>46139</v>
      </c>
      <c r="B193" s="18" t="s">
        <v>3067</v>
      </c>
      <c r="C193" s="17" t="s">
        <v>3068</v>
      </c>
      <c r="D193" s="42" t="s">
        <v>143</v>
      </c>
      <c r="E193" s="18" t="s">
        <v>19</v>
      </c>
      <c r="F193" s="18" t="s">
        <v>221</v>
      </c>
      <c r="G193" s="42" t="s">
        <v>143</v>
      </c>
      <c r="H193" s="18" t="s">
        <v>3067</v>
      </c>
      <c r="I193" s="45" t="s">
        <v>4092</v>
      </c>
      <c r="J193" s="19">
        <v>1.455907861028181</v>
      </c>
      <c r="K193" s="19">
        <v>0.30232307280703602</v>
      </c>
      <c r="L193" s="19">
        <v>0</v>
      </c>
      <c r="M193" s="19">
        <v>0.30939685048651272</v>
      </c>
      <c r="N193" s="46" t="s">
        <v>145</v>
      </c>
      <c r="O193" s="20"/>
      <c r="P193" s="21" t="s">
        <v>19</v>
      </c>
      <c r="Q193" s="21" t="s">
        <v>11</v>
      </c>
      <c r="R193" s="22" t="s">
        <v>80</v>
      </c>
      <c r="S193" s="21" t="s">
        <v>10</v>
      </c>
      <c r="T193" s="22" t="s">
        <v>4440</v>
      </c>
    </row>
    <row r="194" spans="1:20" ht="18.75" customHeight="1" x14ac:dyDescent="0.3">
      <c r="A194" s="11">
        <v>46139</v>
      </c>
      <c r="B194" s="18" t="s">
        <v>3106</v>
      </c>
      <c r="C194" s="17" t="s">
        <v>3107</v>
      </c>
      <c r="D194" s="42" t="s">
        <v>110</v>
      </c>
      <c r="E194" s="18" t="s">
        <v>19</v>
      </c>
      <c r="F194" s="18" t="s">
        <v>261</v>
      </c>
      <c r="G194" s="42" t="s">
        <v>110</v>
      </c>
      <c r="H194" s="18" t="s">
        <v>3108</v>
      </c>
      <c r="I194" s="45" t="s">
        <v>4092</v>
      </c>
      <c r="J194" s="19">
        <v>0.69729206383463427</v>
      </c>
      <c r="K194" s="19">
        <v>0.30258873455818452</v>
      </c>
      <c r="L194" s="19">
        <v>0.1921374273037886</v>
      </c>
      <c r="M194" s="19">
        <v>0.30135324048778761</v>
      </c>
      <c r="N194" s="46" t="s">
        <v>1</v>
      </c>
      <c r="O194" s="20"/>
      <c r="P194" s="21" t="s">
        <v>19</v>
      </c>
      <c r="Q194" s="21" t="s">
        <v>11</v>
      </c>
      <c r="R194" s="22" t="s">
        <v>80</v>
      </c>
      <c r="S194" s="21" t="s">
        <v>10</v>
      </c>
      <c r="T194" s="22" t="s">
        <v>4441</v>
      </c>
    </row>
    <row r="195" spans="1:20" ht="18.75" customHeight="1" x14ac:dyDescent="0.3">
      <c r="A195" s="11">
        <v>46139</v>
      </c>
      <c r="B195" s="18" t="s">
        <v>4330</v>
      </c>
      <c r="C195" s="17" t="s">
        <v>4331</v>
      </c>
      <c r="D195" s="42" t="s">
        <v>59</v>
      </c>
      <c r="E195" s="18" t="s">
        <v>66</v>
      </c>
      <c r="F195" s="18" t="s">
        <v>193</v>
      </c>
      <c r="G195" s="42" t="s">
        <v>59</v>
      </c>
      <c r="H195" s="18" t="s">
        <v>4332</v>
      </c>
      <c r="I195" s="43" t="s">
        <v>4054</v>
      </c>
      <c r="J195" s="19">
        <v>0</v>
      </c>
      <c r="K195" s="19">
        <v>0</v>
      </c>
      <c r="L195" s="19">
        <v>0</v>
      </c>
      <c r="M195" s="19">
        <v>0</v>
      </c>
      <c r="N195" s="46" t="s">
        <v>156</v>
      </c>
      <c r="O195" s="20"/>
      <c r="P195" s="21" t="s">
        <v>157</v>
      </c>
      <c r="Q195" s="21" t="s">
        <v>157</v>
      </c>
      <c r="R195" s="22" t="s">
        <v>156</v>
      </c>
      <c r="S195" s="21" t="s">
        <v>157</v>
      </c>
      <c r="T195" s="22" t="s">
        <v>4442</v>
      </c>
    </row>
    <row r="196" spans="1:20" ht="18.75" customHeight="1" x14ac:dyDescent="0.3">
      <c r="A196" s="11">
        <v>46139</v>
      </c>
      <c r="B196" s="18" t="s">
        <v>4435</v>
      </c>
      <c r="C196" s="17" t="s">
        <v>4443</v>
      </c>
      <c r="D196" s="42" t="s">
        <v>143</v>
      </c>
      <c r="E196" s="18" t="s">
        <v>19</v>
      </c>
      <c r="F196" s="18" t="s">
        <v>261</v>
      </c>
      <c r="G196" s="42" t="s">
        <v>143</v>
      </c>
      <c r="H196" s="18" t="s">
        <v>4435</v>
      </c>
      <c r="I196" s="45" t="s">
        <v>4092</v>
      </c>
      <c r="J196" s="19">
        <v>0</v>
      </c>
      <c r="K196" s="19">
        <v>0</v>
      </c>
      <c r="L196" s="19">
        <v>0</v>
      </c>
      <c r="M196" s="19">
        <v>0</v>
      </c>
      <c r="N196" s="46" t="s">
        <v>145</v>
      </c>
      <c r="O196" s="20"/>
      <c r="P196" s="21" t="s">
        <v>19</v>
      </c>
      <c r="Q196" s="21" t="s">
        <v>11</v>
      </c>
      <c r="R196" s="22" t="s">
        <v>80</v>
      </c>
      <c r="S196" s="21" t="s">
        <v>10</v>
      </c>
      <c r="T196" s="22" t="s">
        <v>4436</v>
      </c>
    </row>
    <row r="197" spans="1:20" ht="18.75" customHeight="1" x14ac:dyDescent="0.3">
      <c r="A197" s="11">
        <v>46139</v>
      </c>
      <c r="B197" s="18" t="s">
        <v>4444</v>
      </c>
      <c r="C197" s="17" t="s">
        <v>4445</v>
      </c>
      <c r="D197" s="42" t="s">
        <v>59</v>
      </c>
      <c r="E197" s="18" t="s">
        <v>19</v>
      </c>
      <c r="F197" s="18" t="s">
        <v>476</v>
      </c>
      <c r="G197" s="42" t="s">
        <v>59</v>
      </c>
      <c r="H197" s="18" t="s">
        <v>4446</v>
      </c>
      <c r="I197" s="43" t="s">
        <v>4054</v>
      </c>
      <c r="J197" s="19">
        <v>0</v>
      </c>
      <c r="K197" s="19">
        <v>0</v>
      </c>
      <c r="L197" s="19">
        <v>0</v>
      </c>
      <c r="M197" s="19">
        <v>0</v>
      </c>
      <c r="N197" s="46" t="s">
        <v>1</v>
      </c>
      <c r="O197" s="20"/>
      <c r="P197" s="21" t="s">
        <v>4</v>
      </c>
      <c r="Q197" s="21" t="s">
        <v>4</v>
      </c>
      <c r="R197" s="22" t="s">
        <v>4</v>
      </c>
      <c r="S197" s="21" t="s">
        <v>4</v>
      </c>
      <c r="T197" s="22" t="s">
        <v>4447</v>
      </c>
    </row>
    <row r="198" spans="1:20" ht="18.75" customHeight="1" x14ac:dyDescent="0.3">
      <c r="A198" s="11">
        <v>46139</v>
      </c>
      <c r="B198" s="18" t="s">
        <v>4353</v>
      </c>
      <c r="C198" s="17" t="s">
        <v>4354</v>
      </c>
      <c r="D198" s="42" t="s">
        <v>122</v>
      </c>
      <c r="E198" s="18" t="s">
        <v>19</v>
      </c>
      <c r="F198" s="18" t="s">
        <v>221</v>
      </c>
      <c r="G198" s="42" t="s">
        <v>122</v>
      </c>
      <c r="H198" s="18" t="s">
        <v>4353</v>
      </c>
      <c r="I198" s="45" t="s">
        <v>4092</v>
      </c>
      <c r="J198" s="19">
        <v>0</v>
      </c>
      <c r="K198" s="19">
        <v>0</v>
      </c>
      <c r="L198" s="19">
        <v>0</v>
      </c>
      <c r="M198" s="19">
        <v>0</v>
      </c>
      <c r="N198" s="46" t="s">
        <v>145</v>
      </c>
      <c r="O198" s="20"/>
      <c r="P198" s="21" t="s">
        <v>4</v>
      </c>
      <c r="Q198" s="21" t="s">
        <v>4</v>
      </c>
      <c r="R198" s="22" t="s">
        <v>4</v>
      </c>
      <c r="S198" s="21" t="s">
        <v>4</v>
      </c>
      <c r="T198" s="22" t="s">
        <v>4448</v>
      </c>
    </row>
    <row r="199" spans="1:20" ht="18.75" customHeight="1" x14ac:dyDescent="0.3">
      <c r="A199" s="11">
        <v>46139</v>
      </c>
      <c r="B199" s="18" t="s">
        <v>4449</v>
      </c>
      <c r="C199" s="17" t="s">
        <v>4450</v>
      </c>
      <c r="D199" s="42" t="s">
        <v>59</v>
      </c>
      <c r="E199" s="18" t="s">
        <v>66</v>
      </c>
      <c r="F199" s="18" t="s">
        <v>233</v>
      </c>
      <c r="G199" s="42" t="s">
        <v>59</v>
      </c>
      <c r="H199" s="18" t="s">
        <v>4449</v>
      </c>
      <c r="I199" s="43" t="s">
        <v>4054</v>
      </c>
      <c r="J199" s="19">
        <v>0</v>
      </c>
      <c r="K199" s="19">
        <v>0</v>
      </c>
      <c r="L199" s="19">
        <v>0</v>
      </c>
      <c r="M199" s="19">
        <v>0</v>
      </c>
      <c r="N199" s="46" t="s">
        <v>1</v>
      </c>
      <c r="O199" s="20"/>
      <c r="P199" s="21" t="s">
        <v>7</v>
      </c>
      <c r="Q199" s="21" t="s">
        <v>11</v>
      </c>
      <c r="R199" s="22" t="s">
        <v>70</v>
      </c>
      <c r="S199" s="21" t="s">
        <v>10</v>
      </c>
      <c r="T199" s="22" t="s">
        <v>4442</v>
      </c>
    </row>
    <row r="200" spans="1:20" ht="18.75" customHeight="1" x14ac:dyDescent="0.3">
      <c r="A200" s="11">
        <v>46139</v>
      </c>
      <c r="B200" s="18" t="s">
        <v>3342</v>
      </c>
      <c r="C200" s="17" t="s">
        <v>3343</v>
      </c>
      <c r="D200" s="42" t="s">
        <v>59</v>
      </c>
      <c r="E200" s="18" t="s">
        <v>19</v>
      </c>
      <c r="F200" s="18" t="s">
        <v>3314</v>
      </c>
      <c r="G200" s="42" t="s">
        <v>59</v>
      </c>
      <c r="H200" s="18" t="s">
        <v>3344</v>
      </c>
      <c r="I200" s="43" t="s">
        <v>4054</v>
      </c>
      <c r="J200" s="19">
        <v>0</v>
      </c>
      <c r="K200" s="19">
        <v>0</v>
      </c>
      <c r="L200" s="19">
        <v>0</v>
      </c>
      <c r="M200" s="19">
        <v>0</v>
      </c>
      <c r="N200" s="46" t="s">
        <v>1</v>
      </c>
      <c r="O200" s="20"/>
      <c r="P200" s="21" t="s">
        <v>7</v>
      </c>
      <c r="Q200" s="21" t="s">
        <v>11</v>
      </c>
      <c r="R200" s="22" t="s">
        <v>70</v>
      </c>
      <c r="S200" s="21" t="s">
        <v>10</v>
      </c>
      <c r="T200" s="22" t="s">
        <v>4442</v>
      </c>
    </row>
    <row r="201" spans="1:20" ht="18.75" customHeight="1" x14ac:dyDescent="0.3">
      <c r="A201" s="11">
        <v>46139</v>
      </c>
      <c r="B201" s="18" t="s">
        <v>4451</v>
      </c>
      <c r="C201" s="17" t="s">
        <v>4452</v>
      </c>
      <c r="D201" s="42" t="s">
        <v>68</v>
      </c>
      <c r="E201" s="18" t="s">
        <v>4453</v>
      </c>
      <c r="F201" s="18" t="s">
        <v>109</v>
      </c>
      <c r="G201" s="42" t="s">
        <v>68</v>
      </c>
      <c r="H201" s="18" t="s">
        <v>4454</v>
      </c>
      <c r="I201" s="43" t="s">
        <v>4054</v>
      </c>
      <c r="J201" s="19">
        <v>0</v>
      </c>
      <c r="K201" s="19">
        <v>0</v>
      </c>
      <c r="L201" s="19">
        <v>0</v>
      </c>
      <c r="M201" s="19">
        <v>0</v>
      </c>
      <c r="N201" s="46" t="s">
        <v>1</v>
      </c>
      <c r="O201" s="20"/>
      <c r="P201" s="21" t="s">
        <v>19</v>
      </c>
      <c r="Q201" s="21" t="s">
        <v>11</v>
      </c>
      <c r="R201" s="22" t="s">
        <v>80</v>
      </c>
      <c r="S201" s="21" t="s">
        <v>10</v>
      </c>
      <c r="T201" s="22" t="s">
        <v>4455</v>
      </c>
    </row>
    <row r="202" spans="1:20" ht="18.75" customHeight="1" x14ac:dyDescent="0.3">
      <c r="A202" s="11">
        <v>46139</v>
      </c>
      <c r="B202" s="18" t="s">
        <v>4456</v>
      </c>
      <c r="C202" s="17" t="s">
        <v>4457</v>
      </c>
      <c r="D202" s="42" t="s">
        <v>68</v>
      </c>
      <c r="E202" s="18" t="s">
        <v>19</v>
      </c>
      <c r="F202" s="18" t="s">
        <v>109</v>
      </c>
      <c r="G202" s="42" t="s">
        <v>68</v>
      </c>
      <c r="H202" s="18" t="s">
        <v>4456</v>
      </c>
      <c r="I202" s="43" t="s">
        <v>4054</v>
      </c>
      <c r="J202" s="19">
        <v>0</v>
      </c>
      <c r="K202" s="19">
        <v>0</v>
      </c>
      <c r="L202" s="19">
        <v>0</v>
      </c>
      <c r="M202" s="19">
        <v>0</v>
      </c>
      <c r="N202" s="46" t="s">
        <v>1</v>
      </c>
      <c r="O202" s="20"/>
      <c r="P202" s="21" t="s">
        <v>19</v>
      </c>
      <c r="Q202" s="21" t="s">
        <v>11</v>
      </c>
      <c r="R202" s="22" t="s">
        <v>80</v>
      </c>
      <c r="S202" s="21" t="s">
        <v>10</v>
      </c>
      <c r="T202" s="22" t="s">
        <v>4455</v>
      </c>
    </row>
    <row r="203" spans="1:20" ht="18.75" customHeight="1" x14ac:dyDescent="0.3">
      <c r="A203" s="11">
        <v>46139</v>
      </c>
      <c r="B203" s="42" t="s">
        <v>4458</v>
      </c>
      <c r="C203" s="27" t="s">
        <v>4459</v>
      </c>
      <c r="D203" s="42" t="s">
        <v>68</v>
      </c>
      <c r="E203" s="42" t="s">
        <v>19</v>
      </c>
      <c r="F203" s="42" t="s">
        <v>221</v>
      </c>
      <c r="G203" s="42" t="s">
        <v>68</v>
      </c>
      <c r="H203" s="42" t="s">
        <v>4458</v>
      </c>
      <c r="I203" s="43" t="s">
        <v>4054</v>
      </c>
      <c r="J203" s="19">
        <v>0</v>
      </c>
      <c r="K203" s="19">
        <v>0</v>
      </c>
      <c r="L203" s="19">
        <v>0</v>
      </c>
      <c r="M203" s="19">
        <v>0</v>
      </c>
      <c r="N203" s="46" t="s">
        <v>1</v>
      </c>
      <c r="O203" s="20"/>
      <c r="P203" s="21" t="s">
        <v>19</v>
      </c>
      <c r="Q203" s="21" t="s">
        <v>11</v>
      </c>
      <c r="R203" s="22" t="s">
        <v>80</v>
      </c>
      <c r="S203" s="21" t="s">
        <v>10</v>
      </c>
      <c r="T203" s="22" t="s">
        <v>4455</v>
      </c>
    </row>
    <row r="204" spans="1:20" ht="18.75" customHeight="1" x14ac:dyDescent="0.3">
      <c r="A204" s="11">
        <v>46139</v>
      </c>
      <c r="B204" s="18" t="s">
        <v>4460</v>
      </c>
      <c r="C204" s="17" t="s">
        <v>4461</v>
      </c>
      <c r="D204" s="42" t="s">
        <v>68</v>
      </c>
      <c r="E204" s="18"/>
      <c r="F204" s="18"/>
      <c r="G204" s="42" t="s">
        <v>68</v>
      </c>
      <c r="H204" s="18" t="s">
        <v>4462</v>
      </c>
      <c r="I204" s="43" t="s">
        <v>4054</v>
      </c>
      <c r="J204" s="19">
        <v>0</v>
      </c>
      <c r="K204" s="19">
        <v>0</v>
      </c>
      <c r="L204" s="19">
        <v>0</v>
      </c>
      <c r="M204" s="19">
        <v>0</v>
      </c>
      <c r="N204" s="46" t="s">
        <v>1</v>
      </c>
      <c r="O204" s="20"/>
      <c r="P204" s="21" t="s">
        <v>19</v>
      </c>
      <c r="Q204" s="21" t="s">
        <v>11</v>
      </c>
      <c r="R204" s="22" t="s">
        <v>80</v>
      </c>
      <c r="S204" s="21" t="s">
        <v>10</v>
      </c>
      <c r="T204" s="22" t="s">
        <v>4455</v>
      </c>
    </row>
    <row r="205" spans="1:20" ht="18.75" customHeight="1" x14ac:dyDescent="0.3">
      <c r="A205" s="11">
        <v>46139</v>
      </c>
      <c r="B205" s="18" t="s">
        <v>4463</v>
      </c>
      <c r="C205" s="17" t="s">
        <v>4464</v>
      </c>
      <c r="D205" s="42" t="s">
        <v>68</v>
      </c>
      <c r="E205" s="18" t="s">
        <v>19</v>
      </c>
      <c r="F205" s="18" t="s">
        <v>109</v>
      </c>
      <c r="G205" s="42" t="s">
        <v>68</v>
      </c>
      <c r="H205" s="18" t="s">
        <v>4465</v>
      </c>
      <c r="I205" s="43" t="s">
        <v>4054</v>
      </c>
      <c r="J205" s="19">
        <v>0</v>
      </c>
      <c r="K205" s="19">
        <v>0</v>
      </c>
      <c r="L205" s="19">
        <v>0</v>
      </c>
      <c r="M205" s="19">
        <v>0</v>
      </c>
      <c r="N205" s="46" t="s">
        <v>1</v>
      </c>
      <c r="O205" s="20"/>
      <c r="P205" s="21" t="s">
        <v>19</v>
      </c>
      <c r="Q205" s="21" t="s">
        <v>11</v>
      </c>
      <c r="R205" s="22" t="s">
        <v>80</v>
      </c>
      <c r="S205" s="21" t="s">
        <v>10</v>
      </c>
      <c r="T205" s="22" t="s">
        <v>4466</v>
      </c>
    </row>
    <row r="206" spans="1:20" ht="18.75" customHeight="1" x14ac:dyDescent="0.3">
      <c r="A206" s="11">
        <v>46140</v>
      </c>
      <c r="B206" s="18" t="s">
        <v>1143</v>
      </c>
      <c r="C206" s="17" t="s">
        <v>1144</v>
      </c>
      <c r="D206" s="42" t="s">
        <v>143</v>
      </c>
      <c r="E206" s="18" t="s">
        <v>19</v>
      </c>
      <c r="F206" s="18" t="s">
        <v>109</v>
      </c>
      <c r="G206" s="42" t="s">
        <v>143</v>
      </c>
      <c r="H206" s="18" t="s">
        <v>1145</v>
      </c>
      <c r="I206" s="45" t="s">
        <v>4092</v>
      </c>
      <c r="J206" s="19">
        <v>32.368065297411363</v>
      </c>
      <c r="K206" s="19">
        <v>55.081244836133287</v>
      </c>
      <c r="L206" s="19">
        <v>0</v>
      </c>
      <c r="M206" s="19">
        <v>23.113565931290719</v>
      </c>
      <c r="N206" s="46" t="s">
        <v>145</v>
      </c>
      <c r="O206" s="20"/>
      <c r="P206" s="21" t="s">
        <v>7</v>
      </c>
      <c r="Q206" s="21" t="s">
        <v>11</v>
      </c>
      <c r="R206" s="22" t="s">
        <v>70</v>
      </c>
      <c r="S206" s="21" t="s">
        <v>10</v>
      </c>
      <c r="T206" s="22" t="s">
        <v>4467</v>
      </c>
    </row>
    <row r="207" spans="1:20" ht="18.75" customHeight="1" x14ac:dyDescent="0.3">
      <c r="A207" s="11">
        <v>46140</v>
      </c>
      <c r="B207" s="18" t="s">
        <v>1357</v>
      </c>
      <c r="C207" s="17" t="s">
        <v>1358</v>
      </c>
      <c r="D207" s="42" t="s">
        <v>68</v>
      </c>
      <c r="E207" s="18" t="s">
        <v>19</v>
      </c>
      <c r="F207" s="18" t="s">
        <v>109</v>
      </c>
      <c r="G207" s="42" t="s">
        <v>68</v>
      </c>
      <c r="H207" s="18" t="s">
        <v>1359</v>
      </c>
      <c r="I207" s="43" t="s">
        <v>4054</v>
      </c>
      <c r="J207" s="19">
        <v>14.295049338752801</v>
      </c>
      <c r="K207" s="19">
        <v>24.32590289040532</v>
      </c>
      <c r="L207" s="19">
        <v>23.881847725924612</v>
      </c>
      <c r="M207" s="19">
        <v>22.6619282430593</v>
      </c>
      <c r="N207" s="46" t="s">
        <v>1</v>
      </c>
      <c r="O207" s="20"/>
      <c r="P207" s="21" t="s">
        <v>19</v>
      </c>
      <c r="Q207" s="21" t="s">
        <v>11</v>
      </c>
      <c r="R207" s="22" t="s">
        <v>80</v>
      </c>
      <c r="S207" s="21" t="s">
        <v>10</v>
      </c>
      <c r="T207" s="28" t="s">
        <v>4468</v>
      </c>
    </row>
    <row r="208" spans="1:20" ht="18.75" customHeight="1" x14ac:dyDescent="0.3">
      <c r="A208" s="11">
        <v>46140</v>
      </c>
      <c r="B208" s="18" t="s">
        <v>1367</v>
      </c>
      <c r="C208" s="18" t="s">
        <v>1368</v>
      </c>
      <c r="D208" s="42" t="s">
        <v>68</v>
      </c>
      <c r="E208" s="18" t="s">
        <v>19</v>
      </c>
      <c r="F208" s="18" t="s">
        <v>732</v>
      </c>
      <c r="G208" s="42" t="s">
        <v>68</v>
      </c>
      <c r="H208" s="18" t="s">
        <v>1359</v>
      </c>
      <c r="I208" s="43" t="s">
        <v>4054</v>
      </c>
      <c r="J208" s="19">
        <v>14.271818759517039</v>
      </c>
      <c r="K208" s="19">
        <v>24.28876767614949</v>
      </c>
      <c r="L208" s="19">
        <v>23.831470646818438</v>
      </c>
      <c r="M208" s="19">
        <v>22.619873128386882</v>
      </c>
      <c r="N208" s="46" t="s">
        <v>156</v>
      </c>
      <c r="O208" s="46" t="s">
        <v>252</v>
      </c>
      <c r="P208" s="21" t="s">
        <v>157</v>
      </c>
      <c r="Q208" s="21" t="s">
        <v>157</v>
      </c>
      <c r="R208" s="22" t="s">
        <v>156</v>
      </c>
      <c r="S208" s="21" t="s">
        <v>157</v>
      </c>
      <c r="T208" s="22" t="s">
        <v>4468</v>
      </c>
    </row>
    <row r="209" spans="1:20" ht="18.75" customHeight="1" x14ac:dyDescent="0.3">
      <c r="A209" s="11">
        <v>46140</v>
      </c>
      <c r="B209" s="18" t="s">
        <v>4389</v>
      </c>
      <c r="C209" s="17" t="s">
        <v>4390</v>
      </c>
      <c r="D209" s="42" t="s">
        <v>59</v>
      </c>
      <c r="E209" s="18" t="s">
        <v>66</v>
      </c>
      <c r="F209" s="18" t="s">
        <v>67</v>
      </c>
      <c r="G209" s="42" t="s">
        <v>59</v>
      </c>
      <c r="H209" s="18" t="s">
        <v>1732</v>
      </c>
      <c r="I209" s="43" t="s">
        <v>4054</v>
      </c>
      <c r="J209" s="19">
        <v>20.773383451434601</v>
      </c>
      <c r="K209" s="19">
        <v>17.66711802686741</v>
      </c>
      <c r="L209" s="19">
        <v>22.69902947684993</v>
      </c>
      <c r="M209" s="19">
        <v>20.734776690551399</v>
      </c>
      <c r="N209" s="46" t="s">
        <v>156</v>
      </c>
      <c r="O209" s="46" t="s">
        <v>252</v>
      </c>
      <c r="P209" s="21" t="s">
        <v>157</v>
      </c>
      <c r="Q209" s="21" t="s">
        <v>157</v>
      </c>
      <c r="R209" s="22" t="s">
        <v>156</v>
      </c>
      <c r="S209" s="21" t="s">
        <v>157</v>
      </c>
      <c r="T209" s="22" t="s">
        <v>4469</v>
      </c>
    </row>
    <row r="210" spans="1:20" ht="18.75" customHeight="1" x14ac:dyDescent="0.3">
      <c r="A210" s="11">
        <v>46140</v>
      </c>
      <c r="B210" s="18" t="s">
        <v>4059</v>
      </c>
      <c r="C210" s="17" t="s">
        <v>4060</v>
      </c>
      <c r="D210" s="42" t="s">
        <v>68</v>
      </c>
      <c r="E210" s="18" t="s">
        <v>66</v>
      </c>
      <c r="F210" s="18" t="s">
        <v>67</v>
      </c>
      <c r="G210" s="42" t="s">
        <v>68</v>
      </c>
      <c r="H210" s="18" t="s">
        <v>4059</v>
      </c>
      <c r="I210" s="43" t="s">
        <v>4054</v>
      </c>
      <c r="J210" s="19">
        <v>13.62560899088362</v>
      </c>
      <c r="K210" s="19">
        <v>11.665238634393139</v>
      </c>
      <c r="L210" s="19">
        <v>23.269901306069372</v>
      </c>
      <c r="M210" s="19">
        <v>17.996878147891319</v>
      </c>
      <c r="N210" s="46" t="s">
        <v>1</v>
      </c>
      <c r="O210" s="20"/>
      <c r="P210" s="21" t="s">
        <v>24</v>
      </c>
      <c r="Q210" s="21" t="s">
        <v>22</v>
      </c>
      <c r="R210" s="22" t="s">
        <v>167</v>
      </c>
      <c r="S210" s="21" t="s">
        <v>5</v>
      </c>
      <c r="T210" s="22" t="s">
        <v>4470</v>
      </c>
    </row>
    <row r="211" spans="1:20" ht="18.75" customHeight="1" x14ac:dyDescent="0.3">
      <c r="A211" s="11">
        <v>46140</v>
      </c>
      <c r="B211" s="18" t="s">
        <v>219</v>
      </c>
      <c r="C211" s="18" t="s">
        <v>220</v>
      </c>
      <c r="D211" s="42" t="s">
        <v>122</v>
      </c>
      <c r="E211" s="18" t="s">
        <v>19</v>
      </c>
      <c r="F211" s="18" t="s">
        <v>221</v>
      </c>
      <c r="G211" s="42" t="s">
        <v>122</v>
      </c>
      <c r="H211" s="18" t="s">
        <v>219</v>
      </c>
      <c r="I211" s="44" t="s">
        <v>4119</v>
      </c>
      <c r="J211" s="19">
        <v>0</v>
      </c>
      <c r="K211" s="19">
        <v>46.364669716535602</v>
      </c>
      <c r="L211" s="19">
        <v>0</v>
      </c>
      <c r="M211" s="19">
        <v>15.56515439470598</v>
      </c>
      <c r="N211" s="46" t="s">
        <v>145</v>
      </c>
      <c r="O211" s="20"/>
      <c r="P211" s="21" t="s">
        <v>19</v>
      </c>
      <c r="Q211" s="21" t="s">
        <v>11</v>
      </c>
      <c r="R211" s="22" t="s">
        <v>80</v>
      </c>
      <c r="S211" s="21" t="s">
        <v>10</v>
      </c>
      <c r="T211" s="22" t="s">
        <v>4471</v>
      </c>
    </row>
    <row r="212" spans="1:20" ht="18.75" customHeight="1" x14ac:dyDescent="0.3">
      <c r="A212" s="11">
        <v>46140</v>
      </c>
      <c r="B212" s="47" t="s">
        <v>4052</v>
      </c>
      <c r="C212" s="17" t="s">
        <v>4053</v>
      </c>
      <c r="D212" s="42" t="s">
        <v>60</v>
      </c>
      <c r="E212" s="18" t="s">
        <v>19</v>
      </c>
      <c r="F212" s="18" t="s">
        <v>109</v>
      </c>
      <c r="G212" s="42" t="s">
        <v>59</v>
      </c>
      <c r="H212" s="18" t="s">
        <v>60</v>
      </c>
      <c r="I212" s="43" t="s">
        <v>4054</v>
      </c>
      <c r="J212" s="19">
        <v>32.372936225315627</v>
      </c>
      <c r="K212" s="19">
        <v>27.540622418066651</v>
      </c>
      <c r="L212" s="19">
        <v>0</v>
      </c>
      <c r="M212" s="19">
        <v>13.868556899607061</v>
      </c>
      <c r="N212" s="46" t="s">
        <v>1</v>
      </c>
      <c r="O212" s="20"/>
      <c r="P212" s="21" t="s">
        <v>12</v>
      </c>
      <c r="Q212" s="21" t="s">
        <v>14</v>
      </c>
      <c r="R212" s="22" t="s">
        <v>146</v>
      </c>
      <c r="S212" s="21" t="s">
        <v>5</v>
      </c>
      <c r="T212" s="28" t="s">
        <v>4472</v>
      </c>
    </row>
    <row r="213" spans="1:20" ht="18.75" customHeight="1" x14ac:dyDescent="0.3">
      <c r="A213" s="11">
        <v>46140</v>
      </c>
      <c r="B213" s="18" t="s">
        <v>2983</v>
      </c>
      <c r="C213" s="18" t="s">
        <v>2984</v>
      </c>
      <c r="D213" s="42" t="s">
        <v>59</v>
      </c>
      <c r="E213" s="18" t="s">
        <v>66</v>
      </c>
      <c r="F213" s="18" t="s">
        <v>938</v>
      </c>
      <c r="G213" s="42" t="s">
        <v>355</v>
      </c>
      <c r="H213" s="18" t="s">
        <v>356</v>
      </c>
      <c r="I213" s="43" t="s">
        <v>4054</v>
      </c>
      <c r="J213" s="19">
        <v>8.6626330387795818</v>
      </c>
      <c r="K213" s="19">
        <v>14.76855251928694</v>
      </c>
      <c r="L213" s="19">
        <v>14.235851188639151</v>
      </c>
      <c r="M213" s="19">
        <v>13.618830133006879</v>
      </c>
      <c r="N213" s="46" t="s">
        <v>1</v>
      </c>
      <c r="O213" s="20"/>
      <c r="P213" s="21" t="s">
        <v>24</v>
      </c>
      <c r="Q213" s="21" t="s">
        <v>22</v>
      </c>
      <c r="R213" s="22" t="s">
        <v>391</v>
      </c>
      <c r="S213" s="21" t="s">
        <v>5</v>
      </c>
      <c r="T213" s="22" t="s">
        <v>4473</v>
      </c>
    </row>
    <row r="214" spans="1:20" ht="18.75" customHeight="1" x14ac:dyDescent="0.3">
      <c r="A214" s="11">
        <v>46140</v>
      </c>
      <c r="B214" s="18" t="s">
        <v>2989</v>
      </c>
      <c r="C214" s="17" t="s">
        <v>2990</v>
      </c>
      <c r="D214" s="42" t="s">
        <v>59</v>
      </c>
      <c r="E214" s="18" t="s">
        <v>19</v>
      </c>
      <c r="F214" s="18" t="s">
        <v>1158</v>
      </c>
      <c r="G214" s="42" t="s">
        <v>355</v>
      </c>
      <c r="H214" s="18" t="s">
        <v>2989</v>
      </c>
      <c r="I214" s="43" t="s">
        <v>4054</v>
      </c>
      <c r="J214" s="19">
        <v>8.6473957771303205</v>
      </c>
      <c r="K214" s="19">
        <v>14.702622904277639</v>
      </c>
      <c r="L214" s="19">
        <v>14.210782350224459</v>
      </c>
      <c r="M214" s="19">
        <v>13.581447808853619</v>
      </c>
      <c r="N214" s="46" t="s">
        <v>1</v>
      </c>
      <c r="O214" s="20"/>
      <c r="P214" s="21" t="s">
        <v>24</v>
      </c>
      <c r="Q214" s="21" t="s">
        <v>22</v>
      </c>
      <c r="R214" s="22" t="s">
        <v>391</v>
      </c>
      <c r="S214" s="21" t="s">
        <v>5</v>
      </c>
      <c r="T214" s="23" t="s">
        <v>4474</v>
      </c>
    </row>
    <row r="215" spans="1:20" ht="18.75" customHeight="1" x14ac:dyDescent="0.3">
      <c r="A215" s="11">
        <v>46140</v>
      </c>
      <c r="B215" s="18" t="s">
        <v>2986</v>
      </c>
      <c r="C215" s="17" t="s">
        <v>2987</v>
      </c>
      <c r="D215" s="42" t="s">
        <v>68</v>
      </c>
      <c r="E215" s="18" t="s">
        <v>19</v>
      </c>
      <c r="F215" s="18" t="s">
        <v>109</v>
      </c>
      <c r="G215" s="42" t="s">
        <v>355</v>
      </c>
      <c r="H215" s="18" t="s">
        <v>356</v>
      </c>
      <c r="I215" s="43" t="s">
        <v>4054</v>
      </c>
      <c r="J215" s="19">
        <v>8.6475206727176079</v>
      </c>
      <c r="K215" s="19">
        <v>14.69768216761698</v>
      </c>
      <c r="L215" s="19">
        <v>14.20982474111722</v>
      </c>
      <c r="M215" s="19">
        <v>13.579307599455531</v>
      </c>
      <c r="N215" s="46" t="s">
        <v>1</v>
      </c>
      <c r="O215" s="20"/>
      <c r="P215" s="21" t="s">
        <v>19</v>
      </c>
      <c r="Q215" s="21" t="s">
        <v>11</v>
      </c>
      <c r="R215" s="22" t="s">
        <v>80</v>
      </c>
      <c r="S215" s="21" t="s">
        <v>10</v>
      </c>
      <c r="T215" s="22" t="s">
        <v>4475</v>
      </c>
    </row>
    <row r="216" spans="1:20" ht="18.75" customHeight="1" x14ac:dyDescent="0.3">
      <c r="A216" s="11">
        <v>46140</v>
      </c>
      <c r="B216" s="18" t="s">
        <v>1197</v>
      </c>
      <c r="C216" s="18" t="s">
        <v>1198</v>
      </c>
      <c r="D216" s="42" t="s">
        <v>60</v>
      </c>
      <c r="E216" s="18" t="s">
        <v>19</v>
      </c>
      <c r="F216" s="18" t="s">
        <v>109</v>
      </c>
      <c r="G216" s="42" t="s">
        <v>59</v>
      </c>
      <c r="H216" s="18" t="s">
        <v>60</v>
      </c>
      <c r="I216" s="43" t="s">
        <v>4054</v>
      </c>
      <c r="J216" s="19">
        <v>32.103411547945917</v>
      </c>
      <c r="K216" s="19">
        <v>25.449787665201239</v>
      </c>
      <c r="L216" s="19">
        <v>0</v>
      </c>
      <c r="M216" s="19">
        <v>13.12815145833869</v>
      </c>
      <c r="N216" s="46" t="s">
        <v>1</v>
      </c>
      <c r="O216" s="20"/>
      <c r="P216" s="21" t="s">
        <v>19</v>
      </c>
      <c r="Q216" s="21" t="s">
        <v>11</v>
      </c>
      <c r="R216" s="22" t="s">
        <v>80</v>
      </c>
      <c r="S216" s="21" t="s">
        <v>10</v>
      </c>
      <c r="T216" s="22" t="s">
        <v>4476</v>
      </c>
    </row>
    <row r="217" spans="1:20" ht="18.75" customHeight="1" x14ac:dyDescent="0.3">
      <c r="A217" s="11">
        <v>46140</v>
      </c>
      <c r="B217" s="18" t="s">
        <v>4089</v>
      </c>
      <c r="C217" s="17" t="s">
        <v>4090</v>
      </c>
      <c r="D217" s="42" t="s">
        <v>68</v>
      </c>
      <c r="E217" s="18" t="s">
        <v>19</v>
      </c>
      <c r="F217" s="18" t="s">
        <v>380</v>
      </c>
      <c r="G217" s="42" t="s">
        <v>68</v>
      </c>
      <c r="H217" s="18" t="s">
        <v>4091</v>
      </c>
      <c r="I217" s="45" t="s">
        <v>4092</v>
      </c>
      <c r="J217" s="19">
        <v>32.368814670935087</v>
      </c>
      <c r="K217" s="19">
        <v>13.77031120903332</v>
      </c>
      <c r="L217" s="19">
        <v>0</v>
      </c>
      <c r="M217" s="19">
        <v>9.2451160421535636</v>
      </c>
      <c r="N217" s="46" t="s">
        <v>1</v>
      </c>
      <c r="O217" s="20"/>
      <c r="P217" s="21" t="s">
        <v>15</v>
      </c>
      <c r="Q217" s="21" t="s">
        <v>15</v>
      </c>
      <c r="R217" s="22" t="s">
        <v>524</v>
      </c>
      <c r="S217" s="21" t="s">
        <v>15</v>
      </c>
      <c r="T217" s="23" t="s">
        <v>4477</v>
      </c>
    </row>
    <row r="218" spans="1:20" ht="18.75" customHeight="1" x14ac:dyDescent="0.3">
      <c r="A218" s="11">
        <v>46140</v>
      </c>
      <c r="B218" s="18" t="s">
        <v>4094</v>
      </c>
      <c r="C218" s="17" t="s">
        <v>4095</v>
      </c>
      <c r="D218" s="42" t="s">
        <v>122</v>
      </c>
      <c r="E218" s="18" t="s">
        <v>19</v>
      </c>
      <c r="F218" s="18" t="s">
        <v>221</v>
      </c>
      <c r="G218" s="42" t="s">
        <v>122</v>
      </c>
      <c r="H218" s="18" t="s">
        <v>4094</v>
      </c>
      <c r="I218" s="45" t="s">
        <v>4092</v>
      </c>
      <c r="J218" s="19">
        <v>32.363569056268958</v>
      </c>
      <c r="K218" s="19">
        <v>13.77031120903332</v>
      </c>
      <c r="L218" s="19">
        <v>0</v>
      </c>
      <c r="M218" s="19">
        <v>9.2443669688642345</v>
      </c>
      <c r="N218" s="46" t="s">
        <v>145</v>
      </c>
      <c r="O218" s="20"/>
      <c r="P218" s="21" t="s">
        <v>15</v>
      </c>
      <c r="Q218" s="21" t="s">
        <v>15</v>
      </c>
      <c r="R218" s="22" t="s">
        <v>15</v>
      </c>
      <c r="S218" s="21" t="s">
        <v>15</v>
      </c>
      <c r="T218" s="22" t="s">
        <v>4478</v>
      </c>
    </row>
    <row r="219" spans="1:20" ht="18.75" customHeight="1" x14ac:dyDescent="0.3">
      <c r="A219" s="11">
        <v>46140</v>
      </c>
      <c r="B219" s="18" t="s">
        <v>2916</v>
      </c>
      <c r="C219" s="17" t="s">
        <v>2917</v>
      </c>
      <c r="D219" s="42" t="s">
        <v>122</v>
      </c>
      <c r="E219" s="18" t="s">
        <v>19</v>
      </c>
      <c r="F219" s="18" t="s">
        <v>221</v>
      </c>
      <c r="G219" s="42" t="s">
        <v>122</v>
      </c>
      <c r="H219" s="18" t="s">
        <v>2916</v>
      </c>
      <c r="I219" s="45" t="s">
        <v>4092</v>
      </c>
      <c r="J219" s="19">
        <v>31.534761939018981</v>
      </c>
      <c r="K219" s="19">
        <v>13.05948264430776</v>
      </c>
      <c r="L219" s="19">
        <v>0</v>
      </c>
      <c r="M219" s="19">
        <v>8.8873800412632367</v>
      </c>
      <c r="N219" s="46" t="s">
        <v>145</v>
      </c>
      <c r="O219" s="20"/>
      <c r="P219" s="21" t="s">
        <v>19</v>
      </c>
      <c r="Q219" s="21" t="s">
        <v>11</v>
      </c>
      <c r="R219" s="22" t="s">
        <v>80</v>
      </c>
      <c r="S219" s="21" t="s">
        <v>10</v>
      </c>
      <c r="T219" s="22" t="s">
        <v>4479</v>
      </c>
    </row>
    <row r="220" spans="1:20" ht="18.75" customHeight="1" x14ac:dyDescent="0.3">
      <c r="A220" s="11">
        <v>46140</v>
      </c>
      <c r="B220" s="18" t="s">
        <v>4098</v>
      </c>
      <c r="C220" s="18" t="s">
        <v>4099</v>
      </c>
      <c r="D220" s="42" t="s">
        <v>69</v>
      </c>
      <c r="E220" s="18" t="s">
        <v>66</v>
      </c>
      <c r="F220" s="18" t="s">
        <v>396</v>
      </c>
      <c r="G220" s="42" t="s">
        <v>68</v>
      </c>
      <c r="H220" s="18" t="s">
        <v>69</v>
      </c>
      <c r="I220" s="43" t="s">
        <v>4054</v>
      </c>
      <c r="J220" s="19">
        <v>3.221556778533146</v>
      </c>
      <c r="K220" s="19">
        <v>2.7171926585540822</v>
      </c>
      <c r="L220" s="19">
        <v>12.67665836009167</v>
      </c>
      <c r="M220" s="19">
        <v>7.9829632197880906</v>
      </c>
      <c r="N220" s="46" t="s">
        <v>1</v>
      </c>
      <c r="O220" s="20"/>
      <c r="P220" s="21" t="s">
        <v>9</v>
      </c>
      <c r="Q220" s="21" t="s">
        <v>11</v>
      </c>
      <c r="R220" s="22" t="s">
        <v>104</v>
      </c>
      <c r="S220" s="21" t="s">
        <v>10</v>
      </c>
      <c r="T220" s="22" t="s">
        <v>4480</v>
      </c>
    </row>
    <row r="221" spans="1:20" ht="18.75" customHeight="1" x14ac:dyDescent="0.3">
      <c r="A221" s="11">
        <v>46140</v>
      </c>
      <c r="B221" s="18" t="s">
        <v>4145</v>
      </c>
      <c r="C221" s="17" t="s">
        <v>4146</v>
      </c>
      <c r="D221" s="42" t="s">
        <v>69</v>
      </c>
      <c r="E221" s="18" t="s">
        <v>66</v>
      </c>
      <c r="F221" s="18" t="s">
        <v>4147</v>
      </c>
      <c r="G221" s="42" t="s">
        <v>68</v>
      </c>
      <c r="H221" s="18" t="s">
        <v>69</v>
      </c>
      <c r="I221" s="43" t="s">
        <v>4054</v>
      </c>
      <c r="J221" s="19">
        <v>3.375303246485938</v>
      </c>
      <c r="K221" s="19">
        <v>2.8713648928465778</v>
      </c>
      <c r="L221" s="19">
        <v>11.226701370420709</v>
      </c>
      <c r="M221" s="19">
        <v>7.3005396181295712</v>
      </c>
      <c r="N221" s="46" t="s">
        <v>1</v>
      </c>
      <c r="O221" s="20"/>
      <c r="P221" s="21" t="s">
        <v>9</v>
      </c>
      <c r="Q221" s="21" t="s">
        <v>11</v>
      </c>
      <c r="R221" s="22" t="s">
        <v>104</v>
      </c>
      <c r="S221" s="21" t="s">
        <v>10</v>
      </c>
      <c r="T221" s="22" t="s">
        <v>4481</v>
      </c>
    </row>
    <row r="222" spans="1:20" ht="18.75" customHeight="1" x14ac:dyDescent="0.3">
      <c r="A222" s="11">
        <v>46140</v>
      </c>
      <c r="B222" s="18" t="s">
        <v>4482</v>
      </c>
      <c r="C222" s="17" t="s">
        <v>4483</v>
      </c>
      <c r="D222" s="42" t="s">
        <v>116</v>
      </c>
      <c r="E222" s="18" t="s">
        <v>19</v>
      </c>
      <c r="F222" s="18" t="s">
        <v>221</v>
      </c>
      <c r="G222" s="42" t="s">
        <v>116</v>
      </c>
      <c r="H222" s="18" t="s">
        <v>285</v>
      </c>
      <c r="I222" s="45" t="s">
        <v>4092</v>
      </c>
      <c r="J222" s="19">
        <v>9.5460195276748632</v>
      </c>
      <c r="K222" s="19">
        <v>8.8136366881891526</v>
      </c>
      <c r="L222" s="19">
        <v>3.8707012856867</v>
      </c>
      <c r="M222" s="19">
        <v>6.3405366324379564</v>
      </c>
      <c r="N222" s="46" t="s">
        <v>1</v>
      </c>
      <c r="O222" s="20"/>
      <c r="P222" s="21" t="s">
        <v>7</v>
      </c>
      <c r="Q222" s="21" t="s">
        <v>11</v>
      </c>
      <c r="R222" s="22" t="s">
        <v>70</v>
      </c>
      <c r="S222" s="21" t="s">
        <v>10</v>
      </c>
      <c r="T222" s="23" t="s">
        <v>4484</v>
      </c>
    </row>
    <row r="223" spans="1:20" ht="18.75" customHeight="1" x14ac:dyDescent="0.3">
      <c r="A223" s="11">
        <v>46140</v>
      </c>
      <c r="B223" s="42" t="s">
        <v>2785</v>
      </c>
      <c r="C223" s="42" t="s">
        <v>2786</v>
      </c>
      <c r="D223" s="42" t="s">
        <v>69</v>
      </c>
      <c r="E223" s="42" t="s">
        <v>440</v>
      </c>
      <c r="F223" s="42" t="s">
        <v>109</v>
      </c>
      <c r="G223" s="42" t="s">
        <v>68</v>
      </c>
      <c r="H223" s="42" t="s">
        <v>69</v>
      </c>
      <c r="I223" s="43" t="s">
        <v>4054</v>
      </c>
      <c r="J223" s="19">
        <v>3.5133128704403118</v>
      </c>
      <c r="K223" s="19">
        <v>3.099488798446846</v>
      </c>
      <c r="L223" s="19">
        <v>6.6033988009639568</v>
      </c>
      <c r="M223" s="19">
        <v>4.9858318137846611</v>
      </c>
      <c r="N223" s="46" t="s">
        <v>1</v>
      </c>
      <c r="O223" s="20"/>
      <c r="P223" s="21" t="s">
        <v>19</v>
      </c>
      <c r="Q223" s="21" t="s">
        <v>11</v>
      </c>
      <c r="R223" s="22" t="s">
        <v>80</v>
      </c>
      <c r="S223" s="21" t="s">
        <v>10</v>
      </c>
      <c r="T223" s="22" t="s">
        <v>4485</v>
      </c>
    </row>
    <row r="224" spans="1:20" ht="18.75" customHeight="1" x14ac:dyDescent="0.3">
      <c r="A224" s="11">
        <v>46140</v>
      </c>
      <c r="B224" s="18" t="s">
        <v>4486</v>
      </c>
      <c r="C224" s="18" t="s">
        <v>4487</v>
      </c>
      <c r="D224" s="42" t="s">
        <v>69</v>
      </c>
      <c r="E224" s="18" t="s">
        <v>66</v>
      </c>
      <c r="F224" s="18" t="s">
        <v>103</v>
      </c>
      <c r="G224" s="42" t="s">
        <v>68</v>
      </c>
      <c r="H224" s="18" t="s">
        <v>69</v>
      </c>
      <c r="I224" s="43" t="s">
        <v>4054</v>
      </c>
      <c r="J224" s="19">
        <v>3.62771722839706</v>
      </c>
      <c r="K224" s="19">
        <v>3.149533679461157</v>
      </c>
      <c r="L224" s="19">
        <v>5.286446876224371</v>
      </c>
      <c r="M224" s="19">
        <v>4.3321940285304166</v>
      </c>
      <c r="N224" s="46" t="s">
        <v>1</v>
      </c>
      <c r="O224" s="20"/>
      <c r="P224" s="21" t="s">
        <v>19</v>
      </c>
      <c r="Q224" s="21" t="s">
        <v>11</v>
      </c>
      <c r="R224" s="22" t="s">
        <v>80</v>
      </c>
      <c r="S224" s="21" t="s">
        <v>10</v>
      </c>
      <c r="T224" s="22" t="s">
        <v>4488</v>
      </c>
    </row>
    <row r="225" spans="1:20" ht="18.75" customHeight="1" x14ac:dyDescent="0.3">
      <c r="A225" s="11">
        <v>46140</v>
      </c>
      <c r="B225" s="18" t="s">
        <v>2976</v>
      </c>
      <c r="C225" s="17" t="s">
        <v>2977</v>
      </c>
      <c r="D225" s="42" t="s">
        <v>69</v>
      </c>
      <c r="E225" s="18" t="s">
        <v>1115</v>
      </c>
      <c r="F225" s="18"/>
      <c r="G225" s="42" t="s">
        <v>68</v>
      </c>
      <c r="H225" s="18" t="s">
        <v>69</v>
      </c>
      <c r="I225" s="43" t="s">
        <v>4054</v>
      </c>
      <c r="J225" s="19">
        <v>3.584128668433189</v>
      </c>
      <c r="K225" s="19">
        <v>3.0476907528110129</v>
      </c>
      <c r="L225" s="19">
        <v>4.9266936548273348</v>
      </c>
      <c r="M225" s="19">
        <v>4.1041725522425114</v>
      </c>
      <c r="N225" s="46" t="s">
        <v>1</v>
      </c>
      <c r="O225" s="20"/>
      <c r="P225" s="21" t="s">
        <v>19</v>
      </c>
      <c r="Q225" s="21" t="s">
        <v>11</v>
      </c>
      <c r="R225" s="22" t="s">
        <v>80</v>
      </c>
      <c r="S225" s="21" t="s">
        <v>10</v>
      </c>
      <c r="T225" s="22" t="s">
        <v>4489</v>
      </c>
    </row>
    <row r="226" spans="1:20" ht="18.75" customHeight="1" x14ac:dyDescent="0.3">
      <c r="A226" s="11">
        <v>46140</v>
      </c>
      <c r="B226" s="18" t="s">
        <v>3121</v>
      </c>
      <c r="C226" s="17" t="s">
        <v>3122</v>
      </c>
      <c r="D226" s="42" t="s">
        <v>200</v>
      </c>
      <c r="E226" s="18" t="s">
        <v>19</v>
      </c>
      <c r="F226" s="18" t="s">
        <v>261</v>
      </c>
      <c r="G226" s="42" t="s">
        <v>200</v>
      </c>
      <c r="H226" s="18" t="s">
        <v>3123</v>
      </c>
      <c r="I226" s="45" t="s">
        <v>4092</v>
      </c>
      <c r="J226" s="19">
        <v>11.481526443892911</v>
      </c>
      <c r="K226" s="19">
        <v>4.8900532135877626</v>
      </c>
      <c r="L226" s="19">
        <v>0</v>
      </c>
      <c r="M226" s="19">
        <v>3.2812081803956938</v>
      </c>
      <c r="N226" s="46" t="s">
        <v>1</v>
      </c>
      <c r="O226" s="20"/>
      <c r="P226" s="21" t="s">
        <v>24</v>
      </c>
      <c r="Q226" s="21" t="s">
        <v>22</v>
      </c>
      <c r="R226" s="22" t="s">
        <v>391</v>
      </c>
      <c r="S226" s="21" t="s">
        <v>5</v>
      </c>
      <c r="T226" s="23" t="s">
        <v>4490</v>
      </c>
    </row>
    <row r="227" spans="1:20" ht="18.75" customHeight="1" x14ac:dyDescent="0.3">
      <c r="A227" s="11">
        <v>46140</v>
      </c>
      <c r="B227" s="18" t="s">
        <v>4491</v>
      </c>
      <c r="C227" s="17" t="s">
        <v>4492</v>
      </c>
      <c r="D227" s="42" t="s">
        <v>59</v>
      </c>
      <c r="E227" s="18" t="s">
        <v>19</v>
      </c>
      <c r="F227" s="18" t="s">
        <v>109</v>
      </c>
      <c r="G227" s="42" t="s">
        <v>98</v>
      </c>
      <c r="H227" s="18" t="s">
        <v>4491</v>
      </c>
      <c r="I227" s="45" t="s">
        <v>4092</v>
      </c>
      <c r="J227" s="19">
        <v>4.8324600633870087</v>
      </c>
      <c r="K227" s="19">
        <v>5.6422681402599704</v>
      </c>
      <c r="L227" s="19">
        <v>0.91044000497345035</v>
      </c>
      <c r="M227" s="19">
        <v>3.059033388695934</v>
      </c>
      <c r="N227" s="46" t="s">
        <v>1</v>
      </c>
      <c r="O227" s="20"/>
      <c r="P227" s="21" t="s">
        <v>19</v>
      </c>
      <c r="Q227" s="21" t="s">
        <v>11</v>
      </c>
      <c r="R227" s="22" t="s">
        <v>80</v>
      </c>
      <c r="S227" s="21" t="s">
        <v>10</v>
      </c>
      <c r="T227" s="22" t="s">
        <v>4493</v>
      </c>
    </row>
    <row r="228" spans="1:20" ht="18.75" customHeight="1" x14ac:dyDescent="0.3">
      <c r="A228" s="11">
        <v>46140</v>
      </c>
      <c r="B228" s="42" t="s">
        <v>4494</v>
      </c>
      <c r="C228" s="27" t="s">
        <v>4495</v>
      </c>
      <c r="D228" s="42" t="s">
        <v>69</v>
      </c>
      <c r="E228" s="18" t="s">
        <v>136</v>
      </c>
      <c r="F228" s="42" t="s">
        <v>4496</v>
      </c>
      <c r="G228" s="42" t="s">
        <v>68</v>
      </c>
      <c r="H228" s="42" t="s">
        <v>69</v>
      </c>
      <c r="I228" s="43" t="s">
        <v>4054</v>
      </c>
      <c r="J228" s="19">
        <v>2.506279750128892</v>
      </c>
      <c r="K228" s="19">
        <v>2.2698700490631101</v>
      </c>
      <c r="L228" s="19">
        <v>3.6816992144322089</v>
      </c>
      <c r="M228" s="19">
        <v>3.039882088730228</v>
      </c>
      <c r="N228" s="46" t="s">
        <v>1</v>
      </c>
      <c r="O228" s="20"/>
      <c r="P228" s="21" t="s">
        <v>19</v>
      </c>
      <c r="Q228" s="21" t="s">
        <v>11</v>
      </c>
      <c r="R228" s="22" t="s">
        <v>80</v>
      </c>
      <c r="S228" s="21" t="s">
        <v>10</v>
      </c>
      <c r="T228" s="22" t="s">
        <v>4497</v>
      </c>
    </row>
    <row r="229" spans="1:20" ht="18.75" customHeight="1" x14ac:dyDescent="0.3">
      <c r="A229" s="11">
        <v>46140</v>
      </c>
      <c r="B229" s="18" t="s">
        <v>4498</v>
      </c>
      <c r="C229" s="17" t="s">
        <v>4499</v>
      </c>
      <c r="D229" s="42" t="s">
        <v>116</v>
      </c>
      <c r="E229" s="18" t="s">
        <v>19</v>
      </c>
      <c r="F229" s="18" t="s">
        <v>221</v>
      </c>
      <c r="G229" s="42" t="s">
        <v>116</v>
      </c>
      <c r="H229" s="18" t="s">
        <v>4500</v>
      </c>
      <c r="I229" s="45" t="s">
        <v>4092</v>
      </c>
      <c r="J229" s="19">
        <v>7.5330773473376258</v>
      </c>
      <c r="K229" s="19">
        <v>4.4482567806032414</v>
      </c>
      <c r="L229" s="19">
        <v>0</v>
      </c>
      <c r="M229" s="19">
        <v>2.5690538562292931</v>
      </c>
      <c r="N229" s="46" t="s">
        <v>145</v>
      </c>
      <c r="O229" s="20"/>
      <c r="P229" s="21" t="s">
        <v>19</v>
      </c>
      <c r="Q229" s="21" t="s">
        <v>11</v>
      </c>
      <c r="R229" s="22" t="s">
        <v>80</v>
      </c>
      <c r="S229" s="21" t="s">
        <v>10</v>
      </c>
      <c r="T229" s="22" t="s">
        <v>4501</v>
      </c>
    </row>
    <row r="230" spans="1:20" ht="18.75" customHeight="1" x14ac:dyDescent="0.3">
      <c r="A230" s="11">
        <v>46140</v>
      </c>
      <c r="B230" s="18" t="s">
        <v>4502</v>
      </c>
      <c r="C230" s="18" t="s">
        <v>4503</v>
      </c>
      <c r="D230" s="42" t="s">
        <v>69</v>
      </c>
      <c r="E230" s="18" t="s">
        <v>19</v>
      </c>
      <c r="F230" s="18" t="s">
        <v>109</v>
      </c>
      <c r="G230" s="42" t="s">
        <v>68</v>
      </c>
      <c r="H230" s="18" t="s">
        <v>69</v>
      </c>
      <c r="I230" s="43" t="s">
        <v>4054</v>
      </c>
      <c r="J230" s="19">
        <v>1.727305972207235</v>
      </c>
      <c r="K230" s="19">
        <v>1.530565840788001</v>
      </c>
      <c r="L230" s="19">
        <v>2.7721415641751319</v>
      </c>
      <c r="M230" s="19">
        <v>2.2061278475486041</v>
      </c>
      <c r="N230" s="46" t="s">
        <v>1</v>
      </c>
      <c r="O230" s="20"/>
      <c r="P230" s="21" t="s">
        <v>19</v>
      </c>
      <c r="Q230" s="21" t="s">
        <v>11</v>
      </c>
      <c r="R230" s="22" t="s">
        <v>80</v>
      </c>
      <c r="S230" s="21" t="s">
        <v>10</v>
      </c>
      <c r="T230" s="22" t="s">
        <v>4504</v>
      </c>
    </row>
    <row r="231" spans="1:20" ht="18.75" customHeight="1" x14ac:dyDescent="0.3">
      <c r="A231" s="11">
        <v>46140</v>
      </c>
      <c r="B231" s="18" t="s">
        <v>4505</v>
      </c>
      <c r="C231" s="18" t="s">
        <v>4506</v>
      </c>
      <c r="D231" s="42" t="s">
        <v>69</v>
      </c>
      <c r="E231" s="18" t="s">
        <v>66</v>
      </c>
      <c r="F231" s="18" t="s">
        <v>67</v>
      </c>
      <c r="G231" s="42" t="s">
        <v>68</v>
      </c>
      <c r="H231" s="18" t="s">
        <v>69</v>
      </c>
      <c r="I231" s="43" t="s">
        <v>4054</v>
      </c>
      <c r="J231" s="19">
        <v>1.6487466478024371</v>
      </c>
      <c r="K231" s="19">
        <v>1.4006191539928801</v>
      </c>
      <c r="L231" s="19">
        <v>2.2620437129405269</v>
      </c>
      <c r="M231" s="19">
        <v>1.8852747886186521</v>
      </c>
      <c r="N231" s="46" t="s">
        <v>1</v>
      </c>
      <c r="O231" s="20"/>
      <c r="P231" s="21" t="s">
        <v>19</v>
      </c>
      <c r="Q231" s="21" t="s">
        <v>11</v>
      </c>
      <c r="R231" s="22" t="s">
        <v>80</v>
      </c>
      <c r="S231" s="21" t="s">
        <v>10</v>
      </c>
      <c r="T231" s="22" t="s">
        <v>4507</v>
      </c>
    </row>
    <row r="232" spans="1:20" ht="18.75" customHeight="1" x14ac:dyDescent="0.3">
      <c r="A232" s="11">
        <v>46140</v>
      </c>
      <c r="B232" s="18" t="s">
        <v>706</v>
      </c>
      <c r="C232" s="17" t="s">
        <v>707</v>
      </c>
      <c r="D232" s="42" t="s">
        <v>116</v>
      </c>
      <c r="E232" s="18" t="s">
        <v>19</v>
      </c>
      <c r="F232" s="18" t="s">
        <v>109</v>
      </c>
      <c r="G232" s="42" t="s">
        <v>116</v>
      </c>
      <c r="H232" s="18" t="s">
        <v>708</v>
      </c>
      <c r="I232" s="45" t="s">
        <v>4092</v>
      </c>
      <c r="J232" s="19">
        <v>5.0282963442562014</v>
      </c>
      <c r="K232" s="19">
        <v>3.0521002274651412</v>
      </c>
      <c r="L232" s="19">
        <v>0</v>
      </c>
      <c r="M232" s="19">
        <v>1.742665502392754</v>
      </c>
      <c r="N232" s="46" t="s">
        <v>145</v>
      </c>
      <c r="O232" s="20"/>
      <c r="P232" s="21" t="s">
        <v>19</v>
      </c>
      <c r="Q232" s="21" t="s">
        <v>11</v>
      </c>
      <c r="R232" s="22" t="s">
        <v>80</v>
      </c>
      <c r="S232" s="21" t="s">
        <v>10</v>
      </c>
      <c r="T232" s="22" t="s">
        <v>4508</v>
      </c>
    </row>
    <row r="233" spans="1:20" ht="18.75" customHeight="1" x14ac:dyDescent="0.3">
      <c r="A233" s="11">
        <v>46140</v>
      </c>
      <c r="B233" s="18" t="s">
        <v>4509</v>
      </c>
      <c r="C233" s="17" t="s">
        <v>4510</v>
      </c>
      <c r="D233" s="42" t="s">
        <v>143</v>
      </c>
      <c r="E233" s="18" t="s">
        <v>19</v>
      </c>
      <c r="F233" s="18" t="s">
        <v>221</v>
      </c>
      <c r="G233" s="42" t="s">
        <v>143</v>
      </c>
      <c r="H233" s="18" t="s">
        <v>4511</v>
      </c>
      <c r="I233" s="44" t="s">
        <v>4119</v>
      </c>
      <c r="J233" s="19">
        <v>0</v>
      </c>
      <c r="K233" s="19">
        <v>4.0319598722931138</v>
      </c>
      <c r="L233" s="19">
        <v>0</v>
      </c>
      <c r="M233" s="19">
        <v>1.3535754338204451</v>
      </c>
      <c r="N233" s="46" t="s">
        <v>145</v>
      </c>
      <c r="O233" s="20"/>
      <c r="P233" s="21" t="s">
        <v>24</v>
      </c>
      <c r="Q233" s="21" t="s">
        <v>22</v>
      </c>
      <c r="R233" s="22" t="s">
        <v>167</v>
      </c>
      <c r="S233" s="21" t="s">
        <v>5</v>
      </c>
      <c r="T233" s="22" t="s">
        <v>4512</v>
      </c>
    </row>
    <row r="234" spans="1:20" ht="18.75" customHeight="1" x14ac:dyDescent="0.3">
      <c r="A234" s="11">
        <v>46140</v>
      </c>
      <c r="B234" s="18" t="s">
        <v>4513</v>
      </c>
      <c r="C234" s="17" t="s">
        <v>4514</v>
      </c>
      <c r="D234" s="42" t="s">
        <v>143</v>
      </c>
      <c r="E234" s="18" t="s">
        <v>19</v>
      </c>
      <c r="F234" s="18" t="s">
        <v>221</v>
      </c>
      <c r="G234" s="42" t="s">
        <v>143</v>
      </c>
      <c r="H234" s="18" t="s">
        <v>4513</v>
      </c>
      <c r="I234" s="44" t="s">
        <v>4119</v>
      </c>
      <c r="J234" s="19">
        <v>0</v>
      </c>
      <c r="K234" s="19">
        <v>4.0318536198918089</v>
      </c>
      <c r="L234" s="19">
        <v>0</v>
      </c>
      <c r="M234" s="19">
        <v>1.35353976366381</v>
      </c>
      <c r="N234" s="46" t="s">
        <v>145</v>
      </c>
      <c r="O234" s="20"/>
      <c r="P234" s="21" t="s">
        <v>24</v>
      </c>
      <c r="Q234" s="21" t="s">
        <v>22</v>
      </c>
      <c r="R234" s="22" t="s">
        <v>167</v>
      </c>
      <c r="S234" s="21" t="s">
        <v>5</v>
      </c>
      <c r="T234" s="22" t="s">
        <v>4512</v>
      </c>
    </row>
    <row r="235" spans="1:20" ht="18.75" customHeight="1" x14ac:dyDescent="0.3">
      <c r="A235" s="11">
        <v>46140</v>
      </c>
      <c r="B235" s="18" t="s">
        <v>4515</v>
      </c>
      <c r="C235" s="17" t="s">
        <v>4516</v>
      </c>
      <c r="D235" s="42" t="s">
        <v>143</v>
      </c>
      <c r="E235" s="18" t="s">
        <v>19</v>
      </c>
      <c r="F235" s="18" t="s">
        <v>221</v>
      </c>
      <c r="G235" s="42" t="s">
        <v>143</v>
      </c>
      <c r="H235" s="18" t="s">
        <v>4517</v>
      </c>
      <c r="I235" s="44" t="s">
        <v>4119</v>
      </c>
      <c r="J235" s="19">
        <v>0</v>
      </c>
      <c r="K235" s="19">
        <v>4.0256909806161616</v>
      </c>
      <c r="L235" s="19">
        <v>0</v>
      </c>
      <c r="M235" s="19">
        <v>1.3514708945789919</v>
      </c>
      <c r="N235" s="46" t="s">
        <v>145</v>
      </c>
      <c r="O235" s="20"/>
      <c r="P235" s="21" t="s">
        <v>24</v>
      </c>
      <c r="Q235" s="21" t="s">
        <v>22</v>
      </c>
      <c r="R235" s="22" t="s">
        <v>167</v>
      </c>
      <c r="S235" s="21" t="s">
        <v>5</v>
      </c>
      <c r="T235" s="22" t="s">
        <v>4512</v>
      </c>
    </row>
    <row r="236" spans="1:20" ht="18.75" customHeight="1" x14ac:dyDescent="0.3">
      <c r="A236" s="11">
        <v>46140</v>
      </c>
      <c r="B236" s="18" t="s">
        <v>4518</v>
      </c>
      <c r="C236" s="17" t="s">
        <v>4519</v>
      </c>
      <c r="D236" s="42" t="s">
        <v>143</v>
      </c>
      <c r="E236" s="18" t="s">
        <v>19</v>
      </c>
      <c r="F236" s="18" t="s">
        <v>109</v>
      </c>
      <c r="G236" s="42" t="s">
        <v>143</v>
      </c>
      <c r="H236" s="18" t="s">
        <v>4520</v>
      </c>
      <c r="I236" s="44" t="s">
        <v>4119</v>
      </c>
      <c r="J236" s="19">
        <v>0</v>
      </c>
      <c r="K236" s="19">
        <v>4.0255316020142056</v>
      </c>
      <c r="L236" s="19">
        <v>0</v>
      </c>
      <c r="M236" s="19">
        <v>1.35141738934404</v>
      </c>
      <c r="N236" s="46" t="s">
        <v>145</v>
      </c>
      <c r="O236" s="20"/>
      <c r="P236" s="21" t="s">
        <v>24</v>
      </c>
      <c r="Q236" s="21" t="s">
        <v>22</v>
      </c>
      <c r="R236" s="22" t="s">
        <v>167</v>
      </c>
      <c r="S236" s="21" t="s">
        <v>5</v>
      </c>
      <c r="T236" s="22" t="s">
        <v>4512</v>
      </c>
    </row>
    <row r="237" spans="1:20" ht="18.75" customHeight="1" x14ac:dyDescent="0.3">
      <c r="A237" s="11">
        <v>46140</v>
      </c>
      <c r="B237" s="18" t="s">
        <v>4521</v>
      </c>
      <c r="C237" s="17" t="s">
        <v>4522</v>
      </c>
      <c r="D237" s="42" t="s">
        <v>143</v>
      </c>
      <c r="E237" s="18" t="s">
        <v>66</v>
      </c>
      <c r="F237" s="18" t="s">
        <v>193</v>
      </c>
      <c r="G237" s="42" t="s">
        <v>143</v>
      </c>
      <c r="H237" s="18" t="s">
        <v>4029</v>
      </c>
      <c r="I237" s="44" t="s">
        <v>4062</v>
      </c>
      <c r="J237" s="19">
        <v>0</v>
      </c>
      <c r="K237" s="19">
        <v>4.0229815443829029</v>
      </c>
      <c r="L237" s="19">
        <v>0</v>
      </c>
      <c r="M237" s="19">
        <v>1.3505613055848049</v>
      </c>
      <c r="N237" s="46" t="s">
        <v>145</v>
      </c>
      <c r="O237" s="20"/>
      <c r="P237" s="21" t="s">
        <v>24</v>
      </c>
      <c r="Q237" s="21" t="s">
        <v>22</v>
      </c>
      <c r="R237" s="22" t="s">
        <v>167</v>
      </c>
      <c r="S237" s="21" t="s">
        <v>5</v>
      </c>
      <c r="T237" s="22" t="s">
        <v>4512</v>
      </c>
    </row>
    <row r="238" spans="1:20" ht="18.75" customHeight="1" x14ac:dyDescent="0.3">
      <c r="A238" s="11">
        <v>46140</v>
      </c>
      <c r="B238" s="18" t="s">
        <v>775</v>
      </c>
      <c r="C238" s="17" t="s">
        <v>776</v>
      </c>
      <c r="D238" s="42" t="s">
        <v>143</v>
      </c>
      <c r="E238" s="18" t="s">
        <v>66</v>
      </c>
      <c r="F238" s="18" t="s">
        <v>396</v>
      </c>
      <c r="G238" s="42" t="s">
        <v>143</v>
      </c>
      <c r="H238" s="18" t="s">
        <v>775</v>
      </c>
      <c r="I238" s="45" t="s">
        <v>4092</v>
      </c>
      <c r="J238" s="19">
        <v>2.706862063315068</v>
      </c>
      <c r="K238" s="19">
        <v>0.90759622695773223</v>
      </c>
      <c r="L238" s="19">
        <v>0.41498674668995572</v>
      </c>
      <c r="M238" s="19">
        <v>0.90764101429576038</v>
      </c>
      <c r="N238" s="46" t="s">
        <v>145</v>
      </c>
      <c r="O238" s="20"/>
      <c r="P238" s="21" t="s">
        <v>7</v>
      </c>
      <c r="Q238" s="21" t="s">
        <v>11</v>
      </c>
      <c r="R238" s="22" t="s">
        <v>70</v>
      </c>
      <c r="S238" s="21" t="s">
        <v>10</v>
      </c>
      <c r="T238" s="22" t="s">
        <v>4523</v>
      </c>
    </row>
    <row r="239" spans="1:20" ht="18.75" customHeight="1" x14ac:dyDescent="0.3">
      <c r="A239" s="11">
        <v>46140</v>
      </c>
      <c r="B239" s="18" t="s">
        <v>771</v>
      </c>
      <c r="C239" s="17" t="s">
        <v>772</v>
      </c>
      <c r="D239" s="42" t="s">
        <v>290</v>
      </c>
      <c r="E239" s="18" t="s">
        <v>19</v>
      </c>
      <c r="F239" s="18" t="s">
        <v>109</v>
      </c>
      <c r="G239" s="42" t="s">
        <v>143</v>
      </c>
      <c r="H239" s="18" t="s">
        <v>290</v>
      </c>
      <c r="I239" s="45" t="s">
        <v>4092</v>
      </c>
      <c r="J239" s="19">
        <v>2.795662825877566</v>
      </c>
      <c r="K239" s="19">
        <v>1.2113474759957561</v>
      </c>
      <c r="L239" s="19">
        <v>0</v>
      </c>
      <c r="M239" s="19">
        <v>0.80588371245012635</v>
      </c>
      <c r="N239" s="46" t="s">
        <v>1</v>
      </c>
      <c r="O239" s="20"/>
      <c r="P239" s="21" t="s">
        <v>7</v>
      </c>
      <c r="Q239" s="21" t="s">
        <v>11</v>
      </c>
      <c r="R239" s="22" t="s">
        <v>70</v>
      </c>
      <c r="S239" s="21" t="s">
        <v>10</v>
      </c>
      <c r="T239" s="22" t="s">
        <v>4524</v>
      </c>
    </row>
    <row r="240" spans="1:20" ht="18.75" customHeight="1" x14ac:dyDescent="0.3">
      <c r="A240" s="11">
        <v>46140</v>
      </c>
      <c r="B240" s="18" t="s">
        <v>805</v>
      </c>
      <c r="C240" s="17" t="s">
        <v>806</v>
      </c>
      <c r="D240" s="42" t="s">
        <v>143</v>
      </c>
      <c r="E240" s="18" t="s">
        <v>19</v>
      </c>
      <c r="F240" s="18" t="s">
        <v>109</v>
      </c>
      <c r="G240" s="42" t="s">
        <v>143</v>
      </c>
      <c r="H240" s="18" t="s">
        <v>807</v>
      </c>
      <c r="I240" s="45" t="s">
        <v>4092</v>
      </c>
      <c r="J240" s="19">
        <v>3.004862934586686</v>
      </c>
      <c r="K240" s="19">
        <v>0.59929822496632101</v>
      </c>
      <c r="L240" s="19">
        <v>0</v>
      </c>
      <c r="M240" s="19">
        <v>0.63028547567503013</v>
      </c>
      <c r="N240" s="46" t="s">
        <v>145</v>
      </c>
      <c r="O240" s="20"/>
      <c r="P240" s="21" t="s">
        <v>7</v>
      </c>
      <c r="Q240" s="21" t="s">
        <v>11</v>
      </c>
      <c r="R240" s="22" t="s">
        <v>70</v>
      </c>
      <c r="S240" s="21" t="s">
        <v>10</v>
      </c>
      <c r="T240" s="22" t="s">
        <v>4525</v>
      </c>
    </row>
    <row r="241" spans="1:20" ht="18.75" customHeight="1" x14ac:dyDescent="0.3">
      <c r="A241" s="11">
        <v>46140</v>
      </c>
      <c r="B241" s="18" t="s">
        <v>4526</v>
      </c>
      <c r="C241" s="17" t="s">
        <v>4527</v>
      </c>
      <c r="D241" s="42" t="s">
        <v>143</v>
      </c>
      <c r="E241" s="18"/>
      <c r="F241" s="18"/>
      <c r="G241" s="42" t="s">
        <v>143</v>
      </c>
      <c r="H241" s="18" t="s">
        <v>775</v>
      </c>
      <c r="I241" s="45" t="s">
        <v>4092</v>
      </c>
      <c r="J241" s="19">
        <v>1.343751623642635</v>
      </c>
      <c r="K241" s="19">
        <v>1.202581145577365</v>
      </c>
      <c r="L241" s="19">
        <v>0</v>
      </c>
      <c r="M241" s="19">
        <v>0.59560796877794564</v>
      </c>
      <c r="N241" s="46" t="s">
        <v>145</v>
      </c>
      <c r="O241" s="20"/>
      <c r="P241" s="21" t="s">
        <v>7</v>
      </c>
      <c r="Q241" s="21" t="s">
        <v>11</v>
      </c>
      <c r="R241" s="22" t="s">
        <v>70</v>
      </c>
      <c r="S241" s="21" t="s">
        <v>10</v>
      </c>
      <c r="T241" s="22" t="s">
        <v>4528</v>
      </c>
    </row>
    <row r="242" spans="1:20" ht="18.75" customHeight="1" x14ac:dyDescent="0.3">
      <c r="A242" s="11">
        <v>46140</v>
      </c>
      <c r="B242" s="18" t="s">
        <v>2776</v>
      </c>
      <c r="C242" s="18" t="s">
        <v>2777</v>
      </c>
      <c r="D242" s="42" t="s">
        <v>122</v>
      </c>
      <c r="E242" s="18" t="s">
        <v>19</v>
      </c>
      <c r="F242" s="18" t="s">
        <v>109</v>
      </c>
      <c r="G242" s="42" t="s">
        <v>122</v>
      </c>
      <c r="H242" s="18" t="s">
        <v>1443</v>
      </c>
      <c r="I242" s="45" t="s">
        <v>4092</v>
      </c>
      <c r="J242" s="19">
        <v>0.1907155617903433</v>
      </c>
      <c r="K242" s="19">
        <v>0.1035960912716626</v>
      </c>
      <c r="L242" s="19">
        <v>6.2825997500366923E-2</v>
      </c>
      <c r="M242" s="19">
        <v>9.4775606178641975E-2</v>
      </c>
      <c r="N242" s="46" t="s">
        <v>145</v>
      </c>
      <c r="O242" s="20"/>
      <c r="P242" s="21" t="s">
        <v>19</v>
      </c>
      <c r="Q242" s="21" t="s">
        <v>11</v>
      </c>
      <c r="R242" s="22" t="s">
        <v>80</v>
      </c>
      <c r="S242" s="21" t="s">
        <v>10</v>
      </c>
      <c r="T242" s="22" t="s">
        <v>4529</v>
      </c>
    </row>
    <row r="243" spans="1:20" ht="18.75" customHeight="1" x14ac:dyDescent="0.3">
      <c r="A243" s="11">
        <v>46140</v>
      </c>
      <c r="B243" s="18" t="s">
        <v>3295</v>
      </c>
      <c r="C243" s="17" t="s">
        <v>3296</v>
      </c>
      <c r="D243" s="42" t="s">
        <v>116</v>
      </c>
      <c r="E243" s="18" t="s">
        <v>136</v>
      </c>
      <c r="F243" s="18" t="s">
        <v>233</v>
      </c>
      <c r="G243" s="42" t="s">
        <v>116</v>
      </c>
      <c r="H243" s="18" t="s">
        <v>2474</v>
      </c>
      <c r="I243" s="45" t="s">
        <v>4092</v>
      </c>
      <c r="J243" s="19">
        <v>0</v>
      </c>
      <c r="K243" s="19">
        <v>0</v>
      </c>
      <c r="L243" s="19">
        <v>0</v>
      </c>
      <c r="M243" s="19">
        <v>0</v>
      </c>
      <c r="N243" s="46" t="s">
        <v>145</v>
      </c>
      <c r="O243" s="20"/>
      <c r="P243" s="21" t="s">
        <v>19</v>
      </c>
      <c r="Q243" s="21" t="s">
        <v>11</v>
      </c>
      <c r="R243" s="22" t="s">
        <v>80</v>
      </c>
      <c r="S243" s="21" t="s">
        <v>10</v>
      </c>
      <c r="T243" s="22" t="s">
        <v>4530</v>
      </c>
    </row>
    <row r="244" spans="1:20" ht="18.75" customHeight="1" x14ac:dyDescent="0.3">
      <c r="A244" s="11">
        <v>46140</v>
      </c>
      <c r="B244" s="18" t="s">
        <v>943</v>
      </c>
      <c r="C244" s="17" t="s">
        <v>944</v>
      </c>
      <c r="D244" s="42" t="s">
        <v>122</v>
      </c>
      <c r="E244" s="18" t="s">
        <v>19</v>
      </c>
      <c r="F244" s="18" t="s">
        <v>109</v>
      </c>
      <c r="G244" s="42" t="s">
        <v>122</v>
      </c>
      <c r="H244" s="18" t="s">
        <v>943</v>
      </c>
      <c r="I244" s="45" t="s">
        <v>4092</v>
      </c>
      <c r="J244" s="19">
        <v>0</v>
      </c>
      <c r="K244" s="19">
        <v>0</v>
      </c>
      <c r="L244" s="19">
        <v>0</v>
      </c>
      <c r="M244" s="19">
        <v>0</v>
      </c>
      <c r="N244" s="46" t="s">
        <v>145</v>
      </c>
      <c r="O244" s="20"/>
      <c r="P244" s="21" t="s">
        <v>19</v>
      </c>
      <c r="Q244" s="21" t="s">
        <v>11</v>
      </c>
      <c r="R244" s="22" t="s">
        <v>80</v>
      </c>
      <c r="S244" s="21" t="s">
        <v>10</v>
      </c>
      <c r="T244" s="22" t="s">
        <v>4531</v>
      </c>
    </row>
    <row r="245" spans="1:20" ht="18.75" customHeight="1" x14ac:dyDescent="0.3">
      <c r="A245" s="11">
        <v>46140</v>
      </c>
      <c r="B245" s="18" t="s">
        <v>3904</v>
      </c>
      <c r="C245" s="17" t="s">
        <v>3905</v>
      </c>
      <c r="D245" s="42" t="s">
        <v>116</v>
      </c>
      <c r="E245" s="18" t="s">
        <v>19</v>
      </c>
      <c r="F245" s="18" t="s">
        <v>109</v>
      </c>
      <c r="G245" s="42" t="s">
        <v>116</v>
      </c>
      <c r="H245" s="18" t="s">
        <v>2474</v>
      </c>
      <c r="I245" s="44" t="s">
        <v>4062</v>
      </c>
      <c r="J245" s="19">
        <v>0</v>
      </c>
      <c r="K245" s="19">
        <v>0</v>
      </c>
      <c r="L245" s="19">
        <v>0</v>
      </c>
      <c r="M245" s="19">
        <v>0</v>
      </c>
      <c r="N245" s="46" t="s">
        <v>145</v>
      </c>
      <c r="O245" s="20"/>
      <c r="P245" s="21" t="s">
        <v>19</v>
      </c>
      <c r="Q245" s="21" t="s">
        <v>11</v>
      </c>
      <c r="R245" s="22" t="s">
        <v>80</v>
      </c>
      <c r="S245" s="21" t="s">
        <v>10</v>
      </c>
      <c r="T245" s="22" t="s">
        <v>4532</v>
      </c>
    </row>
    <row r="246" spans="1:20" ht="18.75" customHeight="1" x14ac:dyDescent="0.3">
      <c r="A246" s="11">
        <v>46140</v>
      </c>
      <c r="B246" s="18" t="s">
        <v>4533</v>
      </c>
      <c r="C246" s="17" t="s">
        <v>4534</v>
      </c>
      <c r="D246" s="42" t="s">
        <v>116</v>
      </c>
      <c r="E246" s="18" t="s">
        <v>19</v>
      </c>
      <c r="F246" s="18" t="s">
        <v>261</v>
      </c>
      <c r="G246" s="42" t="s">
        <v>116</v>
      </c>
      <c r="H246" s="18" t="s">
        <v>4535</v>
      </c>
      <c r="I246" s="45" t="s">
        <v>4092</v>
      </c>
      <c r="J246" s="19">
        <v>0</v>
      </c>
      <c r="K246" s="19">
        <v>0</v>
      </c>
      <c r="L246" s="19">
        <v>0</v>
      </c>
      <c r="M246" s="19">
        <v>0</v>
      </c>
      <c r="N246" s="46" t="s">
        <v>145</v>
      </c>
      <c r="O246" s="20"/>
      <c r="P246" s="21" t="s">
        <v>19</v>
      </c>
      <c r="Q246" s="21" t="s">
        <v>11</v>
      </c>
      <c r="R246" s="22" t="s">
        <v>80</v>
      </c>
      <c r="S246" s="21" t="s">
        <v>10</v>
      </c>
      <c r="T246" s="22" t="s">
        <v>4532</v>
      </c>
    </row>
    <row r="247" spans="1:20" ht="18.75" customHeight="1" x14ac:dyDescent="0.3">
      <c r="A247" s="11">
        <v>46140</v>
      </c>
      <c r="B247" s="18" t="s">
        <v>4536</v>
      </c>
      <c r="C247" s="17" t="s">
        <v>4537</v>
      </c>
      <c r="D247" s="42" t="s">
        <v>116</v>
      </c>
      <c r="E247" s="18" t="s">
        <v>19</v>
      </c>
      <c r="F247" s="18" t="s">
        <v>3314</v>
      </c>
      <c r="G247" s="42" t="s">
        <v>116</v>
      </c>
      <c r="H247" s="18" t="s">
        <v>4449</v>
      </c>
      <c r="I247" s="45" t="s">
        <v>4092</v>
      </c>
      <c r="J247" s="19">
        <v>0</v>
      </c>
      <c r="K247" s="19">
        <v>0</v>
      </c>
      <c r="L247" s="19">
        <v>0</v>
      </c>
      <c r="M247" s="19">
        <v>0</v>
      </c>
      <c r="N247" s="46" t="s">
        <v>145</v>
      </c>
      <c r="O247" s="20"/>
      <c r="P247" s="21" t="s">
        <v>19</v>
      </c>
      <c r="Q247" s="21" t="s">
        <v>11</v>
      </c>
      <c r="R247" s="22" t="s">
        <v>80</v>
      </c>
      <c r="S247" s="21" t="s">
        <v>10</v>
      </c>
      <c r="T247" s="22" t="s">
        <v>4532</v>
      </c>
    </row>
    <row r="248" spans="1:20" ht="18.75" customHeight="1" x14ac:dyDescent="0.3">
      <c r="A248" s="11">
        <v>46140</v>
      </c>
      <c r="B248" s="18" t="s">
        <v>1808</v>
      </c>
      <c r="C248" s="18" t="s">
        <v>1809</v>
      </c>
      <c r="D248" s="42" t="s">
        <v>60</v>
      </c>
      <c r="E248" s="18" t="s">
        <v>66</v>
      </c>
      <c r="F248" s="18" t="s">
        <v>103</v>
      </c>
      <c r="G248" s="42" t="s">
        <v>59</v>
      </c>
      <c r="H248" s="18" t="s">
        <v>60</v>
      </c>
      <c r="I248" s="43" t="s">
        <v>4054</v>
      </c>
      <c r="J248" s="19">
        <v>0</v>
      </c>
      <c r="K248" s="19">
        <v>0</v>
      </c>
      <c r="L248" s="19">
        <v>0</v>
      </c>
      <c r="M248" s="19">
        <v>0</v>
      </c>
      <c r="N248" s="46" t="s">
        <v>1</v>
      </c>
      <c r="O248" s="20"/>
      <c r="P248" s="21" t="s">
        <v>21</v>
      </c>
      <c r="Q248" s="21" t="s">
        <v>11</v>
      </c>
      <c r="R248" s="22" t="s">
        <v>61</v>
      </c>
      <c r="S248" s="21" t="s">
        <v>10</v>
      </c>
      <c r="T248" s="28" t="s">
        <v>4538</v>
      </c>
    </row>
    <row r="249" spans="1:20" ht="18.75" customHeight="1" x14ac:dyDescent="0.3">
      <c r="A249" s="11">
        <v>46140</v>
      </c>
      <c r="B249" s="18" t="s">
        <v>2474</v>
      </c>
      <c r="C249" s="17" t="s">
        <v>4539</v>
      </c>
      <c r="D249" s="42" t="s">
        <v>116</v>
      </c>
      <c r="E249" s="18" t="s">
        <v>66</v>
      </c>
      <c r="F249" s="18" t="s">
        <v>1282</v>
      </c>
      <c r="G249" s="42" t="s">
        <v>116</v>
      </c>
      <c r="H249" s="18" t="s">
        <v>2474</v>
      </c>
      <c r="I249" s="45" t="s">
        <v>4092</v>
      </c>
      <c r="J249" s="19">
        <v>0</v>
      </c>
      <c r="K249" s="19">
        <v>0</v>
      </c>
      <c r="L249" s="19">
        <v>0</v>
      </c>
      <c r="M249" s="19">
        <v>0</v>
      </c>
      <c r="N249" s="46" t="s">
        <v>145</v>
      </c>
      <c r="O249" s="20"/>
      <c r="P249" s="21" t="s">
        <v>19</v>
      </c>
      <c r="Q249" s="21" t="s">
        <v>11</v>
      </c>
      <c r="R249" s="22" t="s">
        <v>80</v>
      </c>
      <c r="S249" s="21" t="s">
        <v>10</v>
      </c>
      <c r="T249" s="22" t="s">
        <v>4532</v>
      </c>
    </row>
    <row r="250" spans="1:20" ht="18.75" customHeight="1" x14ac:dyDescent="0.3">
      <c r="A250" s="11">
        <v>46140</v>
      </c>
      <c r="B250" s="42" t="s">
        <v>4346</v>
      </c>
      <c r="C250" s="27" t="s">
        <v>4347</v>
      </c>
      <c r="D250" s="42" t="s">
        <v>60</v>
      </c>
      <c r="E250" s="42" t="s">
        <v>136</v>
      </c>
      <c r="F250" s="42" t="s">
        <v>109</v>
      </c>
      <c r="G250" s="42" t="s">
        <v>68</v>
      </c>
      <c r="H250" s="42" t="s">
        <v>60</v>
      </c>
      <c r="I250" s="43" t="s">
        <v>4054</v>
      </c>
      <c r="J250" s="19">
        <v>0</v>
      </c>
      <c r="K250" s="19">
        <v>0</v>
      </c>
      <c r="L250" s="19">
        <v>0</v>
      </c>
      <c r="M250" s="19">
        <v>0</v>
      </c>
      <c r="N250" s="46" t="s">
        <v>1</v>
      </c>
      <c r="O250" s="20"/>
      <c r="P250" s="21" t="s">
        <v>7</v>
      </c>
      <c r="Q250" s="21" t="s">
        <v>11</v>
      </c>
      <c r="R250" s="22" t="s">
        <v>70</v>
      </c>
      <c r="S250" s="21" t="s">
        <v>10</v>
      </c>
      <c r="T250" s="22" t="s">
        <v>4540</v>
      </c>
    </row>
    <row r="251" spans="1:20" ht="18.75" customHeight="1" x14ac:dyDescent="0.3">
      <c r="A251" s="11">
        <v>46140</v>
      </c>
      <c r="B251" s="18" t="s">
        <v>4349</v>
      </c>
      <c r="C251" s="17" t="s">
        <v>4350</v>
      </c>
      <c r="D251" s="42" t="s">
        <v>68</v>
      </c>
      <c r="E251" s="18" t="s">
        <v>19</v>
      </c>
      <c r="F251" s="18" t="s">
        <v>109</v>
      </c>
      <c r="G251" s="42" t="s">
        <v>68</v>
      </c>
      <c r="H251" s="18" t="s">
        <v>4351</v>
      </c>
      <c r="I251" s="43" t="s">
        <v>4054</v>
      </c>
      <c r="J251" s="19">
        <v>0</v>
      </c>
      <c r="K251" s="19">
        <v>0</v>
      </c>
      <c r="L251" s="19">
        <v>0</v>
      </c>
      <c r="M251" s="19">
        <v>0</v>
      </c>
      <c r="N251" s="46" t="s">
        <v>1</v>
      </c>
      <c r="O251" s="20"/>
      <c r="P251" s="21" t="s">
        <v>12</v>
      </c>
      <c r="Q251" s="21" t="s">
        <v>14</v>
      </c>
      <c r="R251" s="22" t="s">
        <v>146</v>
      </c>
      <c r="S251" s="21" t="s">
        <v>5</v>
      </c>
      <c r="T251" s="23" t="s">
        <v>4541</v>
      </c>
    </row>
    <row r="252" spans="1:20" ht="18.75" customHeight="1" x14ac:dyDescent="0.3">
      <c r="A252" s="11">
        <v>46140</v>
      </c>
      <c r="B252" s="18" t="s">
        <v>4444</v>
      </c>
      <c r="C252" s="17" t="s">
        <v>4445</v>
      </c>
      <c r="D252" s="42" t="s">
        <v>59</v>
      </c>
      <c r="E252" s="18" t="s">
        <v>19</v>
      </c>
      <c r="F252" s="18" t="s">
        <v>476</v>
      </c>
      <c r="G252" s="42" t="s">
        <v>59</v>
      </c>
      <c r="H252" s="18" t="s">
        <v>4446</v>
      </c>
      <c r="I252" s="43" t="s">
        <v>4054</v>
      </c>
      <c r="J252" s="19">
        <v>0</v>
      </c>
      <c r="K252" s="19">
        <v>0</v>
      </c>
      <c r="L252" s="19">
        <v>0</v>
      </c>
      <c r="M252" s="19">
        <v>0</v>
      </c>
      <c r="N252" s="46" t="s">
        <v>1</v>
      </c>
      <c r="O252" s="20"/>
      <c r="P252" s="21" t="s">
        <v>4</v>
      </c>
      <c r="Q252" s="21" t="s">
        <v>4</v>
      </c>
      <c r="R252" s="22" t="s">
        <v>4</v>
      </c>
      <c r="S252" s="21" t="s">
        <v>4</v>
      </c>
      <c r="T252" s="23" t="s">
        <v>4542</v>
      </c>
    </row>
    <row r="253" spans="1:20" ht="18.75" customHeight="1" x14ac:dyDescent="0.3">
      <c r="A253" s="11">
        <v>46140</v>
      </c>
      <c r="B253" s="18" t="s">
        <v>4353</v>
      </c>
      <c r="C253" s="17" t="s">
        <v>4354</v>
      </c>
      <c r="D253" s="42" t="s">
        <v>122</v>
      </c>
      <c r="E253" s="18" t="s">
        <v>19</v>
      </c>
      <c r="F253" s="18" t="s">
        <v>221</v>
      </c>
      <c r="G253" s="42" t="s">
        <v>122</v>
      </c>
      <c r="H253" s="18" t="s">
        <v>4353</v>
      </c>
      <c r="I253" s="45" t="s">
        <v>4092</v>
      </c>
      <c r="J253" s="19">
        <v>0</v>
      </c>
      <c r="K253" s="19">
        <v>0</v>
      </c>
      <c r="L253" s="19">
        <v>0</v>
      </c>
      <c r="M253" s="19">
        <v>0</v>
      </c>
      <c r="N253" s="46" t="s">
        <v>145</v>
      </c>
      <c r="O253" s="20"/>
      <c r="P253" s="21" t="s">
        <v>4</v>
      </c>
      <c r="Q253" s="21" t="s">
        <v>4</v>
      </c>
      <c r="R253" s="22" t="s">
        <v>4</v>
      </c>
      <c r="S253" s="21" t="s">
        <v>4</v>
      </c>
      <c r="T253" s="22" t="s">
        <v>4543</v>
      </c>
    </row>
    <row r="254" spans="1:20" ht="18.75" customHeight="1" x14ac:dyDescent="0.3">
      <c r="A254" s="11">
        <v>46140</v>
      </c>
      <c r="B254" s="18" t="s">
        <v>4356</v>
      </c>
      <c r="C254" s="17" t="s">
        <v>4357</v>
      </c>
      <c r="D254" s="42" t="s">
        <v>68</v>
      </c>
      <c r="E254" s="18" t="s">
        <v>19</v>
      </c>
      <c r="F254" s="18" t="s">
        <v>476</v>
      </c>
      <c r="G254" s="42" t="s">
        <v>68</v>
      </c>
      <c r="H254" s="18" t="s">
        <v>4358</v>
      </c>
      <c r="I254" s="43" t="s">
        <v>4054</v>
      </c>
      <c r="J254" s="19">
        <v>0</v>
      </c>
      <c r="K254" s="19">
        <v>0</v>
      </c>
      <c r="L254" s="19">
        <v>0</v>
      </c>
      <c r="M254" s="19">
        <v>0</v>
      </c>
      <c r="N254" s="46" t="s">
        <v>1</v>
      </c>
      <c r="O254" s="20"/>
      <c r="P254" s="21" t="s">
        <v>12</v>
      </c>
      <c r="Q254" s="21" t="s">
        <v>14</v>
      </c>
      <c r="R254" s="22" t="s">
        <v>146</v>
      </c>
      <c r="S254" s="21" t="s">
        <v>5</v>
      </c>
      <c r="T254" s="22" t="s">
        <v>4544</v>
      </c>
    </row>
    <row r="255" spans="1:20" ht="18.75" customHeight="1" x14ac:dyDescent="0.3">
      <c r="A255" s="11">
        <v>46142</v>
      </c>
      <c r="B255" s="18" t="s">
        <v>1156</v>
      </c>
      <c r="C255" s="18" t="s">
        <v>1157</v>
      </c>
      <c r="D255" s="42"/>
      <c r="E255" s="18" t="s">
        <v>19</v>
      </c>
      <c r="F255" s="18" t="s">
        <v>1158</v>
      </c>
      <c r="G255" s="42" t="s">
        <v>68</v>
      </c>
      <c r="H255" s="18" t="s">
        <v>69</v>
      </c>
      <c r="I255" s="47" t="s">
        <v>4054</v>
      </c>
      <c r="J255" s="29">
        <v>0.29250546543089972</v>
      </c>
      <c r="K255" s="29">
        <v>23.9284657833267</v>
      </c>
      <c r="L255" s="29">
        <v>69.809703918208129</v>
      </c>
      <c r="M255" s="30">
        <v>44.479793569669518</v>
      </c>
      <c r="N255" s="31" t="s">
        <v>1</v>
      </c>
      <c r="O255" s="32"/>
      <c r="P255" s="33" t="s">
        <v>16</v>
      </c>
      <c r="Q255" s="34" t="s">
        <v>22</v>
      </c>
      <c r="R255" s="22" t="s">
        <v>172</v>
      </c>
      <c r="S255" s="35" t="s">
        <v>5</v>
      </c>
      <c r="T255" s="22" t="s">
        <v>4545</v>
      </c>
    </row>
    <row r="256" spans="1:20" ht="18.75" customHeight="1" x14ac:dyDescent="0.3">
      <c r="A256" s="11">
        <v>46142</v>
      </c>
      <c r="B256" s="18" t="s">
        <v>4546</v>
      </c>
      <c r="C256" s="18" t="s">
        <v>4547</v>
      </c>
      <c r="D256" s="42"/>
      <c r="E256" s="18" t="s">
        <v>66</v>
      </c>
      <c r="F256" s="18" t="s">
        <v>67</v>
      </c>
      <c r="G256" s="42" t="s">
        <v>68</v>
      </c>
      <c r="H256" s="18" t="s">
        <v>69</v>
      </c>
      <c r="I256" s="47" t="s">
        <v>4054</v>
      </c>
      <c r="J256" s="29">
        <v>14.76977746603839</v>
      </c>
      <c r="K256" s="29">
        <v>12.568277793078121</v>
      </c>
      <c r="L256" s="29">
        <v>48.755983688907328</v>
      </c>
      <c r="M256" s="30">
        <v>31.754126323719539</v>
      </c>
      <c r="N256" s="31" t="s">
        <v>1</v>
      </c>
      <c r="O256" s="32"/>
      <c r="P256" s="33" t="s">
        <v>16</v>
      </c>
      <c r="Q256" s="34" t="s">
        <v>22</v>
      </c>
      <c r="R256" s="22" t="s">
        <v>172</v>
      </c>
      <c r="S256" s="35" t="s">
        <v>5</v>
      </c>
      <c r="T256" s="22" t="s">
        <v>4548</v>
      </c>
    </row>
    <row r="257" spans="1:20" ht="18.75" customHeight="1" x14ac:dyDescent="0.3">
      <c r="A257" s="11">
        <v>46142</v>
      </c>
      <c r="B257" s="18" t="s">
        <v>3396</v>
      </c>
      <c r="C257" s="18" t="s">
        <v>3397</v>
      </c>
      <c r="D257" s="42"/>
      <c r="E257" s="18" t="s">
        <v>19</v>
      </c>
      <c r="F257" s="18" t="s">
        <v>109</v>
      </c>
      <c r="G257" s="42" t="s">
        <v>68</v>
      </c>
      <c r="H257" s="18" t="s">
        <v>69</v>
      </c>
      <c r="I257" s="47" t="s">
        <v>4054</v>
      </c>
      <c r="J257" s="29">
        <v>14.72256693404314</v>
      </c>
      <c r="K257" s="29">
        <v>12.557758805349</v>
      </c>
      <c r="L257" s="29">
        <v>48.755983688907328</v>
      </c>
      <c r="M257" s="30">
        <v>31.743853318608721</v>
      </c>
      <c r="N257" s="31" t="s">
        <v>1</v>
      </c>
      <c r="O257" s="32"/>
      <c r="P257" s="33" t="s">
        <v>16</v>
      </c>
      <c r="Q257" s="34" t="s">
        <v>22</v>
      </c>
      <c r="R257" s="22" t="s">
        <v>172</v>
      </c>
      <c r="S257" s="35" t="s">
        <v>5</v>
      </c>
      <c r="T257" s="22" t="s">
        <v>4549</v>
      </c>
    </row>
    <row r="258" spans="1:20" ht="18.75" customHeight="1" x14ac:dyDescent="0.3">
      <c r="A258" s="11">
        <v>46142</v>
      </c>
      <c r="B258" s="18" t="s">
        <v>1254</v>
      </c>
      <c r="C258" s="18" t="s">
        <v>1255</v>
      </c>
      <c r="D258" s="42"/>
      <c r="E258" s="18" t="s">
        <v>19</v>
      </c>
      <c r="F258" s="18" t="s">
        <v>109</v>
      </c>
      <c r="G258" s="42" t="s">
        <v>68</v>
      </c>
      <c r="H258" s="18" t="s">
        <v>69</v>
      </c>
      <c r="I258" s="47" t="s">
        <v>4054</v>
      </c>
      <c r="J258" s="29">
        <v>7.1190484754745043E-2</v>
      </c>
      <c r="K258" s="29">
        <v>23.92782826891888</v>
      </c>
      <c r="L258" s="29">
        <v>38.783168843448948</v>
      </c>
      <c r="M258" s="30">
        <v>28.267992740409721</v>
      </c>
      <c r="N258" s="31" t="s">
        <v>1</v>
      </c>
      <c r="O258" s="32"/>
      <c r="P258" s="33" t="s">
        <v>16</v>
      </c>
      <c r="Q258" s="34" t="s">
        <v>22</v>
      </c>
      <c r="R258" s="22" t="s">
        <v>172</v>
      </c>
      <c r="S258" s="35" t="s">
        <v>5</v>
      </c>
      <c r="T258" s="22" t="s">
        <v>4550</v>
      </c>
    </row>
    <row r="259" spans="1:20" ht="18.75" customHeight="1" x14ac:dyDescent="0.3">
      <c r="A259" s="11">
        <v>46142</v>
      </c>
      <c r="B259" s="18" t="s">
        <v>4551</v>
      </c>
      <c r="C259" s="18" t="s">
        <v>4552</v>
      </c>
      <c r="D259" s="42"/>
      <c r="E259" s="18" t="s">
        <v>19</v>
      </c>
      <c r="F259" s="18" t="s">
        <v>109</v>
      </c>
      <c r="G259" s="42" t="s">
        <v>116</v>
      </c>
      <c r="H259" s="18" t="s">
        <v>166</v>
      </c>
      <c r="I259" s="49" t="s">
        <v>4062</v>
      </c>
      <c r="J259" s="29">
        <v>27.872323737355568</v>
      </c>
      <c r="K259" s="29">
        <v>47.434259514265023</v>
      </c>
      <c r="L259" s="29">
        <v>14.68151562708622</v>
      </c>
      <c r="M259" s="30">
        <v>27.560635699263479</v>
      </c>
      <c r="N259" s="31" t="s">
        <v>1</v>
      </c>
      <c r="O259" s="32"/>
      <c r="P259" s="33" t="s">
        <v>25</v>
      </c>
      <c r="Q259" s="34" t="s">
        <v>11</v>
      </c>
      <c r="R259" s="22" t="s">
        <v>4075</v>
      </c>
      <c r="S259" s="35" t="s">
        <v>10</v>
      </c>
      <c r="T259" s="22" t="s">
        <v>4553</v>
      </c>
    </row>
    <row r="260" spans="1:20" ht="18.75" customHeight="1" x14ac:dyDescent="0.3">
      <c r="A260" s="11">
        <v>46142</v>
      </c>
      <c r="B260" s="18" t="s">
        <v>4554</v>
      </c>
      <c r="C260" s="18" t="s">
        <v>4555</v>
      </c>
      <c r="D260" s="42"/>
      <c r="E260" s="18" t="s">
        <v>66</v>
      </c>
      <c r="F260" s="18" t="s">
        <v>67</v>
      </c>
      <c r="G260" s="42" t="s">
        <v>59</v>
      </c>
      <c r="H260" s="18" t="s">
        <v>60</v>
      </c>
      <c r="I260" s="47" t="s">
        <v>4054</v>
      </c>
      <c r="J260" s="29">
        <v>12.28298142752659</v>
      </c>
      <c r="K260" s="29">
        <v>10.458742617583161</v>
      </c>
      <c r="L260" s="29">
        <v>40.99934992021749</v>
      </c>
      <c r="M260" s="30">
        <v>26.645821027129301</v>
      </c>
      <c r="N260" s="31" t="s">
        <v>1</v>
      </c>
      <c r="O260" s="32"/>
      <c r="P260" s="33" t="s">
        <v>16</v>
      </c>
      <c r="Q260" s="34" t="s">
        <v>22</v>
      </c>
      <c r="R260" s="22" t="s">
        <v>172</v>
      </c>
      <c r="S260" s="35" t="s">
        <v>5</v>
      </c>
      <c r="T260" s="22" t="s">
        <v>4556</v>
      </c>
    </row>
    <row r="261" spans="1:20" ht="18.75" customHeight="1" x14ac:dyDescent="0.3">
      <c r="A261" s="11">
        <v>46142</v>
      </c>
      <c r="B261" s="18" t="s">
        <v>571</v>
      </c>
      <c r="C261" s="18" t="s">
        <v>572</v>
      </c>
      <c r="D261" s="42"/>
      <c r="E261" s="18" t="s">
        <v>19</v>
      </c>
      <c r="F261" s="18" t="s">
        <v>58</v>
      </c>
      <c r="G261" s="42" t="s">
        <v>59</v>
      </c>
      <c r="H261" s="18" t="s">
        <v>60</v>
      </c>
      <c r="I261" s="47" t="s">
        <v>4054</v>
      </c>
      <c r="J261" s="29">
        <v>20.23096191583836</v>
      </c>
      <c r="K261" s="29">
        <v>17.19440109346472</v>
      </c>
      <c r="L261" s="29">
        <v>33.20485639146623</v>
      </c>
      <c r="M261" s="30">
        <v>25.977290951480029</v>
      </c>
      <c r="N261" s="31" t="s">
        <v>1</v>
      </c>
      <c r="O261" s="32"/>
      <c r="P261" s="33" t="s">
        <v>24</v>
      </c>
      <c r="Q261" s="34" t="s">
        <v>22</v>
      </c>
      <c r="R261" s="36" t="s">
        <v>1766</v>
      </c>
      <c r="S261" s="35" t="s">
        <v>5</v>
      </c>
      <c r="T261" s="22" t="s">
        <v>4557</v>
      </c>
    </row>
    <row r="262" spans="1:20" ht="18.75" customHeight="1" x14ac:dyDescent="0.3">
      <c r="A262" s="11">
        <v>46142</v>
      </c>
      <c r="B262" s="18" t="s">
        <v>2024</v>
      </c>
      <c r="C262" s="18" t="s">
        <v>2025</v>
      </c>
      <c r="D262" s="42"/>
      <c r="E262" s="18" t="s">
        <v>66</v>
      </c>
      <c r="F262" s="18" t="s">
        <v>233</v>
      </c>
      <c r="G262" s="42" t="s">
        <v>68</v>
      </c>
      <c r="H262" s="18" t="s">
        <v>69</v>
      </c>
      <c r="I262" s="47" t="s">
        <v>4054</v>
      </c>
      <c r="J262" s="29">
        <v>11.611917437022649</v>
      </c>
      <c r="K262" s="29">
        <v>9.9028300539592173</v>
      </c>
      <c r="L262" s="29">
        <v>38.292975581514973</v>
      </c>
      <c r="M262" s="30">
        <v>24.9520236393262</v>
      </c>
      <c r="N262" s="31" t="s">
        <v>1</v>
      </c>
      <c r="O262" s="32"/>
      <c r="P262" s="33" t="s">
        <v>16</v>
      </c>
      <c r="Q262" s="34" t="s">
        <v>22</v>
      </c>
      <c r="R262" s="22" t="s">
        <v>172</v>
      </c>
      <c r="S262" s="35" t="s">
        <v>5</v>
      </c>
      <c r="T262" s="22" t="s">
        <v>4558</v>
      </c>
    </row>
    <row r="263" spans="1:20" ht="18.75" customHeight="1" x14ac:dyDescent="0.3">
      <c r="A263" s="11">
        <v>46142</v>
      </c>
      <c r="B263" s="18" t="s">
        <v>4559</v>
      </c>
      <c r="C263" s="18" t="s">
        <v>4560</v>
      </c>
      <c r="D263" s="42"/>
      <c r="E263" s="18" t="s">
        <v>19</v>
      </c>
      <c r="F263" s="18" t="s">
        <v>109</v>
      </c>
      <c r="G263" s="42" t="s">
        <v>68</v>
      </c>
      <c r="H263" s="18" t="s">
        <v>69</v>
      </c>
      <c r="I263" s="47" t="s">
        <v>4054</v>
      </c>
      <c r="J263" s="29">
        <v>11.33689735381221</v>
      </c>
      <c r="K263" s="29">
        <v>9.6258300437589899</v>
      </c>
      <c r="L263" s="29">
        <v>37.216109940091968</v>
      </c>
      <c r="M263" s="30">
        <v>24.258185587544549</v>
      </c>
      <c r="N263" s="31" t="s">
        <v>1</v>
      </c>
      <c r="O263" s="32"/>
      <c r="P263" s="33" t="s">
        <v>16</v>
      </c>
      <c r="Q263" s="34" t="s">
        <v>22</v>
      </c>
      <c r="R263" s="22" t="s">
        <v>172</v>
      </c>
      <c r="S263" s="35" t="s">
        <v>5</v>
      </c>
      <c r="T263" s="22" t="s">
        <v>4561</v>
      </c>
    </row>
    <row r="264" spans="1:20" ht="18.75" customHeight="1" x14ac:dyDescent="0.3">
      <c r="A264" s="11">
        <v>46142</v>
      </c>
      <c r="B264" s="18" t="s">
        <v>543</v>
      </c>
      <c r="C264" s="18" t="s">
        <v>544</v>
      </c>
      <c r="D264" s="42"/>
      <c r="E264" s="18" t="s">
        <v>66</v>
      </c>
      <c r="F264" s="18" t="s">
        <v>103</v>
      </c>
      <c r="G264" s="42" t="s">
        <v>59</v>
      </c>
      <c r="H264" s="18" t="s">
        <v>60</v>
      </c>
      <c r="I264" s="47" t="s">
        <v>4054</v>
      </c>
      <c r="J264" s="29">
        <v>20.30802249319569</v>
      </c>
      <c r="K264" s="29">
        <v>17.277118587880079</v>
      </c>
      <c r="L264" s="29">
        <v>28.100492046919559</v>
      </c>
      <c r="M264" s="30">
        <v>23.35419680794902</v>
      </c>
      <c r="N264" s="31" t="s">
        <v>1</v>
      </c>
      <c r="O264" s="32"/>
      <c r="P264" s="33" t="s">
        <v>24</v>
      </c>
      <c r="Q264" s="34" t="s">
        <v>22</v>
      </c>
      <c r="R264" s="36" t="s">
        <v>1766</v>
      </c>
      <c r="S264" s="35" t="s">
        <v>5</v>
      </c>
      <c r="T264" s="22" t="s">
        <v>4557</v>
      </c>
    </row>
    <row r="265" spans="1:20" ht="18.75" customHeight="1" x14ac:dyDescent="0.3">
      <c r="A265" s="11">
        <v>46142</v>
      </c>
      <c r="B265" s="18" t="s">
        <v>4562</v>
      </c>
      <c r="C265" s="18" t="s">
        <v>4563</v>
      </c>
      <c r="D265" s="42"/>
      <c r="E265" s="18" t="s">
        <v>19</v>
      </c>
      <c r="F265" s="18" t="s">
        <v>109</v>
      </c>
      <c r="G265" s="42" t="s">
        <v>59</v>
      </c>
      <c r="H265" s="18" t="s">
        <v>60</v>
      </c>
      <c r="I265" s="47" t="s">
        <v>4054</v>
      </c>
      <c r="J265" s="29">
        <v>20.198613958730501</v>
      </c>
      <c r="K265" s="29">
        <v>17.1766569424469</v>
      </c>
      <c r="L265" s="29">
        <v>27.70876152140557</v>
      </c>
      <c r="M265" s="30">
        <v>23.100564159197329</v>
      </c>
      <c r="N265" s="31" t="s">
        <v>1</v>
      </c>
      <c r="O265" s="32"/>
      <c r="P265" s="33" t="s">
        <v>24</v>
      </c>
      <c r="Q265" s="34" t="s">
        <v>22</v>
      </c>
      <c r="R265" s="36" t="s">
        <v>1766</v>
      </c>
      <c r="S265" s="35" t="s">
        <v>5</v>
      </c>
      <c r="T265" s="22" t="s">
        <v>4557</v>
      </c>
    </row>
    <row r="266" spans="1:20" ht="18.75" customHeight="1" x14ac:dyDescent="0.3">
      <c r="A266" s="11">
        <v>46142</v>
      </c>
      <c r="B266" s="18" t="s">
        <v>868</v>
      </c>
      <c r="C266" s="18" t="s">
        <v>869</v>
      </c>
      <c r="D266" s="42"/>
      <c r="E266" s="18" t="s">
        <v>19</v>
      </c>
      <c r="F266" s="18" t="s">
        <v>109</v>
      </c>
      <c r="G266" s="42" t="s">
        <v>59</v>
      </c>
      <c r="H266" s="18" t="s">
        <v>60</v>
      </c>
      <c r="I266" s="47" t="s">
        <v>4054</v>
      </c>
      <c r="J266" s="29">
        <v>20.238580546662991</v>
      </c>
      <c r="K266" s="29">
        <v>17.173363118006471</v>
      </c>
      <c r="L266" s="29">
        <v>27.669636349309538</v>
      </c>
      <c r="M266" s="30">
        <v>23.084762279808121</v>
      </c>
      <c r="N266" s="31" t="s">
        <v>1</v>
      </c>
      <c r="O266" s="32"/>
      <c r="P266" s="33" t="s">
        <v>24</v>
      </c>
      <c r="Q266" s="34" t="s">
        <v>22</v>
      </c>
      <c r="R266" s="36" t="s">
        <v>1766</v>
      </c>
      <c r="S266" s="35" t="s">
        <v>5</v>
      </c>
      <c r="T266" s="22" t="s">
        <v>4557</v>
      </c>
    </row>
    <row r="267" spans="1:20" ht="18.75" customHeight="1" x14ac:dyDescent="0.3">
      <c r="A267" s="11">
        <v>46142</v>
      </c>
      <c r="B267" s="18" t="s">
        <v>4564</v>
      </c>
      <c r="C267" s="18" t="s">
        <v>4565</v>
      </c>
      <c r="D267" s="42"/>
      <c r="E267" s="18" t="s">
        <v>19</v>
      </c>
      <c r="F267" s="18" t="s">
        <v>109</v>
      </c>
      <c r="G267" s="42" t="s">
        <v>68</v>
      </c>
      <c r="H267" s="18" t="s">
        <v>69</v>
      </c>
      <c r="I267" s="47" t="s">
        <v>4054</v>
      </c>
      <c r="J267" s="29">
        <v>11.6386450927025</v>
      </c>
      <c r="K267" s="29">
        <v>9.9002799963279191</v>
      </c>
      <c r="L267" s="29">
        <v>31.90609903976431</v>
      </c>
      <c r="M267" s="30">
        <v>21.62430122163153</v>
      </c>
      <c r="N267" s="31" t="s">
        <v>1</v>
      </c>
      <c r="O267" s="32"/>
      <c r="P267" s="33" t="s">
        <v>16</v>
      </c>
      <c r="Q267" s="34" t="s">
        <v>22</v>
      </c>
      <c r="R267" s="22" t="s">
        <v>172</v>
      </c>
      <c r="S267" s="35" t="s">
        <v>5</v>
      </c>
      <c r="T267" s="22" t="s">
        <v>4566</v>
      </c>
    </row>
    <row r="268" spans="1:20" ht="18.75" customHeight="1" x14ac:dyDescent="0.3">
      <c r="A268" s="11">
        <v>46142</v>
      </c>
      <c r="B268" s="18" t="s">
        <v>2190</v>
      </c>
      <c r="C268" s="18" t="s">
        <v>2191</v>
      </c>
      <c r="D268" s="42"/>
      <c r="E268" s="18" t="s">
        <v>66</v>
      </c>
      <c r="F268" s="18" t="s">
        <v>103</v>
      </c>
      <c r="G268" s="42" t="s">
        <v>68</v>
      </c>
      <c r="H268" s="18" t="s">
        <v>69</v>
      </c>
      <c r="I268" s="47" t="s">
        <v>4054</v>
      </c>
      <c r="J268" s="29">
        <v>11.31666426867139</v>
      </c>
      <c r="K268" s="29">
        <v>9.632577071241812</v>
      </c>
      <c r="L268" s="29">
        <v>29.103553386434118</v>
      </c>
      <c r="M268" s="30">
        <v>20.026955937368911</v>
      </c>
      <c r="N268" s="31" t="s">
        <v>1</v>
      </c>
      <c r="O268" s="32"/>
      <c r="P268" s="33" t="s">
        <v>16</v>
      </c>
      <c r="Q268" s="34" t="s">
        <v>22</v>
      </c>
      <c r="R268" s="22" t="s">
        <v>172</v>
      </c>
      <c r="S268" s="35" t="s">
        <v>5</v>
      </c>
      <c r="T268" s="22" t="s">
        <v>4567</v>
      </c>
    </row>
    <row r="269" spans="1:20" ht="18.75" customHeight="1" x14ac:dyDescent="0.3">
      <c r="A269" s="11">
        <v>46142</v>
      </c>
      <c r="B269" s="18" t="s">
        <v>4568</v>
      </c>
      <c r="C269" s="18" t="s">
        <v>4569</v>
      </c>
      <c r="D269" s="42"/>
      <c r="E269" s="18" t="s">
        <v>19</v>
      </c>
      <c r="F269" s="18" t="s">
        <v>85</v>
      </c>
      <c r="G269" s="42" t="s">
        <v>59</v>
      </c>
      <c r="H269" s="18" t="s">
        <v>60</v>
      </c>
      <c r="I269" s="47" t="s">
        <v>4054</v>
      </c>
      <c r="J269" s="29">
        <v>16.188091755292579</v>
      </c>
      <c r="K269" s="29">
        <v>13.76754864659941</v>
      </c>
      <c r="L269" s="29">
        <v>22.1931040652969</v>
      </c>
      <c r="M269" s="30">
        <v>18.50703272808212</v>
      </c>
      <c r="N269" s="31" t="s">
        <v>1</v>
      </c>
      <c r="O269" s="32"/>
      <c r="P269" s="33" t="s">
        <v>24</v>
      </c>
      <c r="Q269" s="34" t="s">
        <v>22</v>
      </c>
      <c r="R269" s="37" t="s">
        <v>1766</v>
      </c>
      <c r="S269" s="35" t="s">
        <v>5</v>
      </c>
      <c r="T269" s="22" t="s">
        <v>4570</v>
      </c>
    </row>
    <row r="270" spans="1:20" ht="18.75" customHeight="1" x14ac:dyDescent="0.3">
      <c r="A270" s="11">
        <v>46142</v>
      </c>
      <c r="B270" s="18" t="s">
        <v>1087</v>
      </c>
      <c r="C270" s="18" t="s">
        <v>1088</v>
      </c>
      <c r="D270" s="42"/>
      <c r="E270" s="18" t="s">
        <v>66</v>
      </c>
      <c r="F270" s="18" t="s">
        <v>103</v>
      </c>
      <c r="G270" s="42" t="s">
        <v>68</v>
      </c>
      <c r="H270" s="18" t="s">
        <v>69</v>
      </c>
      <c r="I270" s="47" t="s">
        <v>4054</v>
      </c>
      <c r="J270" s="29">
        <v>32.372936225315627</v>
      </c>
      <c r="K270" s="29">
        <v>32.130726154411093</v>
      </c>
      <c r="L270" s="29">
        <v>0</v>
      </c>
      <c r="M270" s="30">
        <v>15.40950766623007</v>
      </c>
      <c r="N270" s="31" t="s">
        <v>1</v>
      </c>
      <c r="O270" s="32"/>
      <c r="P270" s="33" t="s">
        <v>9</v>
      </c>
      <c r="Q270" s="34" t="s">
        <v>11</v>
      </c>
      <c r="R270" s="22" t="s">
        <v>104</v>
      </c>
      <c r="S270" s="35" t="s">
        <v>10</v>
      </c>
      <c r="T270" s="22" t="s">
        <v>4571</v>
      </c>
    </row>
    <row r="271" spans="1:20" ht="18.75" customHeight="1" x14ac:dyDescent="0.3">
      <c r="A271" s="11">
        <v>46142</v>
      </c>
      <c r="B271" s="18" t="s">
        <v>4094</v>
      </c>
      <c r="C271" s="18" t="s">
        <v>4095</v>
      </c>
      <c r="D271" s="42"/>
      <c r="E271" s="18" t="s">
        <v>19</v>
      </c>
      <c r="F271" s="18" t="s">
        <v>221</v>
      </c>
      <c r="G271" s="42" t="s">
        <v>122</v>
      </c>
      <c r="H271" s="18" t="s">
        <v>4094</v>
      </c>
      <c r="I271" s="48" t="s">
        <v>4092</v>
      </c>
      <c r="J271" s="29">
        <v>32.727702604393997</v>
      </c>
      <c r="K271" s="29">
        <v>13.77031120903332</v>
      </c>
      <c r="L271" s="29">
        <v>0</v>
      </c>
      <c r="M271" s="30">
        <v>9.2963652058697779</v>
      </c>
      <c r="N271" s="31" t="s">
        <v>145</v>
      </c>
      <c r="O271" s="32"/>
      <c r="P271" s="33" t="s">
        <v>24</v>
      </c>
      <c r="Q271" s="34" t="s">
        <v>22</v>
      </c>
      <c r="R271" s="22" t="s">
        <v>167</v>
      </c>
      <c r="S271" s="35" t="s">
        <v>5</v>
      </c>
      <c r="T271" s="22" t="s">
        <v>4572</v>
      </c>
    </row>
    <row r="272" spans="1:20" ht="18.75" customHeight="1" x14ac:dyDescent="0.3">
      <c r="A272" s="11">
        <v>46142</v>
      </c>
      <c r="B272" s="18" t="s">
        <v>1409</v>
      </c>
      <c r="C272" s="18" t="s">
        <v>1410</v>
      </c>
      <c r="D272" s="42"/>
      <c r="E272" s="18" t="s">
        <v>19</v>
      </c>
      <c r="F272" s="18" t="s">
        <v>109</v>
      </c>
      <c r="G272" s="42" t="s">
        <v>143</v>
      </c>
      <c r="H272" s="18" t="s">
        <v>1411</v>
      </c>
      <c r="I272" s="48" t="s">
        <v>4092</v>
      </c>
      <c r="J272" s="29">
        <v>19.958583911279241</v>
      </c>
      <c r="K272" s="29">
        <v>14.81664838911863</v>
      </c>
      <c r="L272" s="29">
        <v>1.104602105207861</v>
      </c>
      <c r="M272" s="30">
        <v>8.4002410564081611</v>
      </c>
      <c r="N272" s="31" t="s">
        <v>145</v>
      </c>
      <c r="O272" s="32"/>
      <c r="P272" s="33" t="s">
        <v>18</v>
      </c>
      <c r="Q272" s="34" t="s">
        <v>18</v>
      </c>
      <c r="R272" s="36" t="s">
        <v>949</v>
      </c>
      <c r="S272" s="35" t="s">
        <v>13</v>
      </c>
      <c r="T272" s="22" t="s">
        <v>4573</v>
      </c>
    </row>
    <row r="273" spans="1:20" ht="18.75" customHeight="1" x14ac:dyDescent="0.3">
      <c r="A273" s="11">
        <v>46142</v>
      </c>
      <c r="B273" s="18" t="s">
        <v>856</v>
      </c>
      <c r="C273" s="18" t="s">
        <v>857</v>
      </c>
      <c r="D273" s="42"/>
      <c r="E273" s="18" t="s">
        <v>19</v>
      </c>
      <c r="F273" s="18" t="s">
        <v>820</v>
      </c>
      <c r="G273" s="42" t="s">
        <v>122</v>
      </c>
      <c r="H273" s="18" t="s">
        <v>856</v>
      </c>
      <c r="I273" s="48" t="s">
        <v>4092</v>
      </c>
      <c r="J273" s="29">
        <v>17.127330981133898</v>
      </c>
      <c r="K273" s="29">
        <v>13.77031120903332</v>
      </c>
      <c r="L273" s="29">
        <v>0</v>
      </c>
      <c r="M273" s="30">
        <v>7.068633580432512</v>
      </c>
      <c r="N273" s="31" t="s">
        <v>145</v>
      </c>
      <c r="O273" s="32"/>
      <c r="P273" s="33" t="s">
        <v>18</v>
      </c>
      <c r="Q273" s="34" t="s">
        <v>18</v>
      </c>
      <c r="R273" s="22" t="s">
        <v>949</v>
      </c>
      <c r="S273" s="35" t="s">
        <v>13</v>
      </c>
      <c r="T273" s="22" t="s">
        <v>4574</v>
      </c>
    </row>
    <row r="274" spans="1:20" ht="18.75" customHeight="1" x14ac:dyDescent="0.3">
      <c r="A274" s="11">
        <v>46142</v>
      </c>
      <c r="B274" s="18" t="s">
        <v>1396</v>
      </c>
      <c r="C274" s="18" t="s">
        <v>1397</v>
      </c>
      <c r="D274" s="42"/>
      <c r="E274" s="18" t="s">
        <v>19</v>
      </c>
      <c r="F274" s="18" t="s">
        <v>109</v>
      </c>
      <c r="G274" s="42" t="s">
        <v>143</v>
      </c>
      <c r="H274" s="18" t="s">
        <v>1396</v>
      </c>
      <c r="I274" s="48" t="s">
        <v>4092</v>
      </c>
      <c r="J274" s="29">
        <v>19.96186769484456</v>
      </c>
      <c r="K274" s="29">
        <v>11.26640622279753</v>
      </c>
      <c r="L274" s="29">
        <v>0</v>
      </c>
      <c r="M274" s="30">
        <v>6.6328153771167511</v>
      </c>
      <c r="N274" s="31" t="s">
        <v>145</v>
      </c>
      <c r="O274" s="32"/>
      <c r="P274" s="33" t="s">
        <v>18</v>
      </c>
      <c r="Q274" s="34" t="s">
        <v>18</v>
      </c>
      <c r="R274" s="36" t="s">
        <v>949</v>
      </c>
      <c r="S274" s="35" t="s">
        <v>13</v>
      </c>
      <c r="T274" s="22" t="s">
        <v>4575</v>
      </c>
    </row>
    <row r="275" spans="1:20" ht="18.75" customHeight="1" x14ac:dyDescent="0.3">
      <c r="A275" s="11">
        <v>46142</v>
      </c>
      <c r="B275" s="18" t="s">
        <v>4101</v>
      </c>
      <c r="C275" s="18" t="s">
        <v>4102</v>
      </c>
      <c r="D275" s="42"/>
      <c r="E275" s="18" t="s">
        <v>19</v>
      </c>
      <c r="F275" s="18" t="s">
        <v>109</v>
      </c>
      <c r="G275" s="42" t="s">
        <v>116</v>
      </c>
      <c r="H275" s="18" t="s">
        <v>117</v>
      </c>
      <c r="I275" s="49" t="s">
        <v>4062</v>
      </c>
      <c r="J275" s="29">
        <v>3.2722643869724908</v>
      </c>
      <c r="K275" s="29">
        <v>4.1836883013556099</v>
      </c>
      <c r="L275" s="29">
        <v>7.556219862673383</v>
      </c>
      <c r="M275" s="30">
        <v>5.8122736728561524</v>
      </c>
      <c r="N275" s="31" t="s">
        <v>1</v>
      </c>
      <c r="O275" s="32"/>
      <c r="P275" s="33" t="s">
        <v>23</v>
      </c>
      <c r="Q275" s="34" t="s">
        <v>11</v>
      </c>
      <c r="R275" s="22" t="s">
        <v>1116</v>
      </c>
      <c r="S275" s="35" t="s">
        <v>10</v>
      </c>
      <c r="T275" s="22" t="s">
        <v>4576</v>
      </c>
    </row>
    <row r="276" spans="1:20" ht="18.75" customHeight="1" x14ac:dyDescent="0.3">
      <c r="A276" s="11">
        <v>46142</v>
      </c>
      <c r="B276" s="18" t="s">
        <v>4577</v>
      </c>
      <c r="C276" s="18" t="s">
        <v>4578</v>
      </c>
      <c r="D276" s="42"/>
      <c r="E276" s="18"/>
      <c r="F276" s="18"/>
      <c r="G276" s="42" t="s">
        <v>355</v>
      </c>
      <c r="H276" s="18" t="s">
        <v>1849</v>
      </c>
      <c r="I276" s="48" t="s">
        <v>4092</v>
      </c>
      <c r="J276" s="29">
        <v>11.86784640380232</v>
      </c>
      <c r="K276" s="29">
        <v>5.0623956601419193</v>
      </c>
      <c r="L276" s="29">
        <v>0.20394202083430341</v>
      </c>
      <c r="M276" s="30">
        <v>3.5005854125119411</v>
      </c>
      <c r="N276" s="31" t="s">
        <v>1</v>
      </c>
      <c r="O276" s="32"/>
      <c r="P276" s="33" t="s">
        <v>16</v>
      </c>
      <c r="Q276" s="34" t="s">
        <v>22</v>
      </c>
      <c r="R276" s="22" t="s">
        <v>172</v>
      </c>
      <c r="S276" s="35" t="s">
        <v>5</v>
      </c>
      <c r="T276" s="22" t="s">
        <v>4579</v>
      </c>
    </row>
    <row r="277" spans="1:20" ht="18.75" customHeight="1" x14ac:dyDescent="0.3">
      <c r="A277" s="11">
        <v>46142</v>
      </c>
      <c r="B277" s="18" t="s">
        <v>636</v>
      </c>
      <c r="C277" s="18" t="s">
        <v>637</v>
      </c>
      <c r="D277" s="42"/>
      <c r="E277" s="18" t="s">
        <v>66</v>
      </c>
      <c r="F277" s="18" t="s">
        <v>4580</v>
      </c>
      <c r="G277" s="42" t="s">
        <v>355</v>
      </c>
      <c r="H277" s="18" t="s">
        <v>638</v>
      </c>
      <c r="I277" s="48" t="s">
        <v>4092</v>
      </c>
      <c r="J277" s="29">
        <v>10.357179664387219</v>
      </c>
      <c r="K277" s="29">
        <v>4.4336470754239041</v>
      </c>
      <c r="L277" s="29">
        <v>5.116368658712548E-2</v>
      </c>
      <c r="M277" s="30">
        <v>2.9941120366213578</v>
      </c>
      <c r="N277" s="31" t="s">
        <v>156</v>
      </c>
      <c r="O277" s="38" t="s">
        <v>2843</v>
      </c>
      <c r="P277" s="33" t="s">
        <v>157</v>
      </c>
      <c r="Q277" s="34" t="s">
        <v>157</v>
      </c>
      <c r="R277" s="22" t="s">
        <v>2570</v>
      </c>
      <c r="S277" s="35" t="s">
        <v>157</v>
      </c>
      <c r="T277" s="22" t="s">
        <v>4579</v>
      </c>
    </row>
    <row r="278" spans="1:20" ht="18.75" customHeight="1" x14ac:dyDescent="0.3">
      <c r="A278" s="11">
        <v>46142</v>
      </c>
      <c r="B278" s="18" t="s">
        <v>4581</v>
      </c>
      <c r="C278" s="18" t="s">
        <v>4582</v>
      </c>
      <c r="D278" s="42"/>
      <c r="E278" s="18"/>
      <c r="F278" s="18"/>
      <c r="G278" s="42" t="s">
        <v>355</v>
      </c>
      <c r="H278" s="18" t="s">
        <v>4581</v>
      </c>
      <c r="I278" s="48" t="s">
        <v>4092</v>
      </c>
      <c r="J278" s="29">
        <v>10.3374769629953</v>
      </c>
      <c r="K278" s="29">
        <v>4.4328501824141231</v>
      </c>
      <c r="L278" s="29">
        <v>2.5992247196667422E-2</v>
      </c>
      <c r="M278" s="30">
        <v>2.97790434886788</v>
      </c>
      <c r="N278" s="31" t="s">
        <v>1</v>
      </c>
      <c r="O278" s="32"/>
      <c r="P278" s="33" t="s">
        <v>16</v>
      </c>
      <c r="Q278" s="34" t="s">
        <v>22</v>
      </c>
      <c r="R278" s="22" t="s">
        <v>172</v>
      </c>
      <c r="S278" s="35" t="s">
        <v>5</v>
      </c>
      <c r="T278" s="22" t="s">
        <v>4579</v>
      </c>
    </row>
    <row r="279" spans="1:20" ht="18.75" customHeight="1" x14ac:dyDescent="0.3">
      <c r="A279" s="11">
        <v>46142</v>
      </c>
      <c r="B279" s="18" t="s">
        <v>1497</v>
      </c>
      <c r="C279" s="18" t="s">
        <v>1498</v>
      </c>
      <c r="D279" s="42"/>
      <c r="E279" s="18" t="s">
        <v>19</v>
      </c>
      <c r="F279" s="18" t="s">
        <v>261</v>
      </c>
      <c r="G279" s="42" t="s">
        <v>143</v>
      </c>
      <c r="H279" s="18" t="s">
        <v>1499</v>
      </c>
      <c r="I279" s="48" t="s">
        <v>4092</v>
      </c>
      <c r="J279" s="29">
        <v>9.9801760512148974</v>
      </c>
      <c r="K279" s="29">
        <v>4.2014630877958039</v>
      </c>
      <c r="L279" s="29">
        <v>0</v>
      </c>
      <c r="M279" s="30">
        <v>2.835647835693472</v>
      </c>
      <c r="N279" s="31" t="s">
        <v>145</v>
      </c>
      <c r="O279" s="32"/>
      <c r="P279" s="33" t="s">
        <v>18</v>
      </c>
      <c r="Q279" s="34" t="s">
        <v>18</v>
      </c>
      <c r="R279" s="36" t="s">
        <v>949</v>
      </c>
      <c r="S279" s="35" t="s">
        <v>13</v>
      </c>
      <c r="T279" s="22" t="s">
        <v>4583</v>
      </c>
    </row>
    <row r="280" spans="1:20" ht="18.75" customHeight="1" x14ac:dyDescent="0.3">
      <c r="A280" s="11">
        <v>46142</v>
      </c>
      <c r="B280" s="42" t="s">
        <v>4584</v>
      </c>
      <c r="C280" s="42" t="s">
        <v>4585</v>
      </c>
      <c r="D280" s="42"/>
      <c r="E280" s="42" t="s">
        <v>19</v>
      </c>
      <c r="F280" s="42" t="s">
        <v>261</v>
      </c>
      <c r="G280" s="42" t="s">
        <v>355</v>
      </c>
      <c r="H280" s="42" t="s">
        <v>4584</v>
      </c>
      <c r="I280" s="48" t="s">
        <v>4092</v>
      </c>
      <c r="J280" s="29">
        <v>15.496174644745141</v>
      </c>
      <c r="K280" s="29">
        <v>0</v>
      </c>
      <c r="L280" s="29">
        <v>0</v>
      </c>
      <c r="M280" s="30">
        <v>2.2128523065390739</v>
      </c>
      <c r="N280" s="31" t="s">
        <v>1</v>
      </c>
      <c r="O280" s="32"/>
      <c r="P280" s="33" t="s">
        <v>16</v>
      </c>
      <c r="Q280" s="34" t="s">
        <v>22</v>
      </c>
      <c r="R280" s="22" t="s">
        <v>172</v>
      </c>
      <c r="S280" s="35" t="s">
        <v>5</v>
      </c>
      <c r="T280" s="22" t="s">
        <v>4586</v>
      </c>
    </row>
    <row r="281" spans="1:20" ht="18.75" customHeight="1" x14ac:dyDescent="0.3">
      <c r="A281" s="11">
        <v>46142</v>
      </c>
      <c r="B281" s="18" t="s">
        <v>649</v>
      </c>
      <c r="C281" s="18" t="s">
        <v>650</v>
      </c>
      <c r="D281" s="42"/>
      <c r="E281" s="18" t="s">
        <v>66</v>
      </c>
      <c r="F281" s="18" t="s">
        <v>4580</v>
      </c>
      <c r="G281" s="42" t="s">
        <v>355</v>
      </c>
      <c r="H281" s="18" t="s">
        <v>651</v>
      </c>
      <c r="I281" s="48" t="s">
        <v>4092</v>
      </c>
      <c r="J281" s="29">
        <v>0</v>
      </c>
      <c r="K281" s="29">
        <v>4.4413503745184642</v>
      </c>
      <c r="L281" s="29">
        <v>4.6512442351932019E-2</v>
      </c>
      <c r="M281" s="30">
        <v>1.515268253845957</v>
      </c>
      <c r="N281" s="31" t="s">
        <v>1</v>
      </c>
      <c r="O281" s="32"/>
      <c r="P281" s="33" t="s">
        <v>16</v>
      </c>
      <c r="Q281" s="34" t="s">
        <v>22</v>
      </c>
      <c r="R281" s="22" t="s">
        <v>172</v>
      </c>
      <c r="S281" s="35" t="s">
        <v>5</v>
      </c>
      <c r="T281" s="22" t="s">
        <v>4579</v>
      </c>
    </row>
    <row r="282" spans="1:20" ht="18.75" customHeight="1" x14ac:dyDescent="0.3">
      <c r="A282" s="11">
        <v>46142</v>
      </c>
      <c r="B282" s="18" t="s">
        <v>3732</v>
      </c>
      <c r="C282" s="18" t="s">
        <v>3733</v>
      </c>
      <c r="D282" s="42"/>
      <c r="E282" s="18" t="s">
        <v>19</v>
      </c>
      <c r="F282" s="18" t="s">
        <v>109</v>
      </c>
      <c r="G282" s="42" t="s">
        <v>59</v>
      </c>
      <c r="H282" s="18" t="s">
        <v>3734</v>
      </c>
      <c r="I282" s="47" t="s">
        <v>4054</v>
      </c>
      <c r="J282" s="29">
        <v>1.4294299965229069</v>
      </c>
      <c r="K282" s="29">
        <v>1.213508675296062</v>
      </c>
      <c r="L282" s="29">
        <v>1.580739033460504</v>
      </c>
      <c r="M282" s="30">
        <v>1.4358486500985921</v>
      </c>
      <c r="N282" s="31" t="s">
        <v>1</v>
      </c>
      <c r="O282" s="32"/>
      <c r="P282" s="33" t="s">
        <v>23</v>
      </c>
      <c r="Q282" s="34" t="s">
        <v>11</v>
      </c>
      <c r="R282" s="22" t="s">
        <v>1116</v>
      </c>
      <c r="S282" s="35" t="s">
        <v>10</v>
      </c>
      <c r="T282" s="22" t="s">
        <v>4587</v>
      </c>
    </row>
    <row r="283" spans="1:20" ht="18.75" customHeight="1" x14ac:dyDescent="0.3">
      <c r="A283" s="11">
        <v>46142</v>
      </c>
      <c r="B283" s="18" t="s">
        <v>755</v>
      </c>
      <c r="C283" s="18" t="s">
        <v>756</v>
      </c>
      <c r="D283" s="42"/>
      <c r="E283" s="18" t="s">
        <v>19</v>
      </c>
      <c r="F283" s="18" t="s">
        <v>199</v>
      </c>
      <c r="G283" s="42" t="s">
        <v>200</v>
      </c>
      <c r="H283" s="18" t="s">
        <v>755</v>
      </c>
      <c r="I283" s="48" t="s">
        <v>4092</v>
      </c>
      <c r="J283" s="29">
        <v>2.3450003637421788</v>
      </c>
      <c r="K283" s="29">
        <v>1.633878746071191</v>
      </c>
      <c r="L283" s="29">
        <v>0.63779448387026372</v>
      </c>
      <c r="M283" s="30">
        <v>1.2159803013459161</v>
      </c>
      <c r="N283" s="31" t="s">
        <v>1</v>
      </c>
      <c r="O283" s="32"/>
      <c r="P283" s="33" t="s">
        <v>25</v>
      </c>
      <c r="Q283" s="34" t="s">
        <v>11</v>
      </c>
      <c r="R283" s="37" t="s">
        <v>4075</v>
      </c>
      <c r="S283" s="35" t="s">
        <v>10</v>
      </c>
      <c r="T283" s="22" t="s">
        <v>4588</v>
      </c>
    </row>
    <row r="284" spans="1:20" ht="18.75" customHeight="1" x14ac:dyDescent="0.3">
      <c r="A284" s="11">
        <v>46142</v>
      </c>
      <c r="B284" s="18" t="s">
        <v>3827</v>
      </c>
      <c r="C284" s="18" t="s">
        <v>3828</v>
      </c>
      <c r="D284" s="42"/>
      <c r="E284" s="18" t="s">
        <v>19</v>
      </c>
      <c r="F284" s="18" t="s">
        <v>109</v>
      </c>
      <c r="G284" s="42" t="s">
        <v>122</v>
      </c>
      <c r="H284" s="18" t="s">
        <v>123</v>
      </c>
      <c r="I284" s="49" t="s">
        <v>4062</v>
      </c>
      <c r="J284" s="29">
        <v>0.1011654257041114</v>
      </c>
      <c r="K284" s="29">
        <v>0.65223036540625823</v>
      </c>
      <c r="L284" s="29">
        <v>0</v>
      </c>
      <c r="M284" s="30">
        <v>0.23340766993976031</v>
      </c>
      <c r="N284" s="31" t="s">
        <v>1</v>
      </c>
      <c r="O284" s="32"/>
      <c r="P284" s="33" t="s">
        <v>24</v>
      </c>
      <c r="Q284" s="34" t="s">
        <v>22</v>
      </c>
      <c r="R284" s="36" t="s">
        <v>1766</v>
      </c>
      <c r="S284" s="35" t="s">
        <v>5</v>
      </c>
      <c r="T284" s="22" t="s">
        <v>4589</v>
      </c>
    </row>
    <row r="285" spans="1:20" ht="18.75" customHeight="1" x14ac:dyDescent="0.3">
      <c r="A285" s="11">
        <v>46142</v>
      </c>
      <c r="B285" s="18" t="s">
        <v>4590</v>
      </c>
      <c r="C285" s="18" t="s">
        <v>4591</v>
      </c>
      <c r="D285" s="42"/>
      <c r="E285" s="18"/>
      <c r="F285" s="18"/>
      <c r="G285" s="42" t="s">
        <v>355</v>
      </c>
      <c r="H285" s="18" t="s">
        <v>4590</v>
      </c>
      <c r="I285" s="48" t="s">
        <v>4092</v>
      </c>
      <c r="J285" s="29">
        <v>0</v>
      </c>
      <c r="K285" s="29">
        <v>0</v>
      </c>
      <c r="L285" s="29">
        <v>2.0881814630322029E-2</v>
      </c>
      <c r="M285" s="30">
        <v>1.0889627409189589E-2</v>
      </c>
      <c r="N285" s="31" t="s">
        <v>1</v>
      </c>
      <c r="O285" s="32"/>
      <c r="P285" s="33" t="s">
        <v>16</v>
      </c>
      <c r="Q285" s="34" t="s">
        <v>22</v>
      </c>
      <c r="R285" s="22" t="s">
        <v>172</v>
      </c>
      <c r="S285" s="35" t="s">
        <v>5</v>
      </c>
      <c r="T285" s="22" t="s">
        <v>4592</v>
      </c>
    </row>
    <row r="286" spans="1:20" ht="18.75" customHeight="1" x14ac:dyDescent="0.3">
      <c r="A286" s="11">
        <v>46142</v>
      </c>
      <c r="B286" s="18" t="s">
        <v>4593</v>
      </c>
      <c r="C286" s="18" t="s">
        <v>4594</v>
      </c>
      <c r="D286" s="42"/>
      <c r="E286" s="18" t="s">
        <v>136</v>
      </c>
      <c r="F286" s="18" t="s">
        <v>4595</v>
      </c>
      <c r="G286" s="42" t="s">
        <v>200</v>
      </c>
      <c r="H286" s="18" t="s">
        <v>4593</v>
      </c>
      <c r="I286" s="49" t="s">
        <v>4119</v>
      </c>
      <c r="J286" s="29">
        <v>0</v>
      </c>
      <c r="K286" s="29">
        <v>0</v>
      </c>
      <c r="L286" s="29">
        <v>0</v>
      </c>
      <c r="M286" s="30">
        <v>0</v>
      </c>
      <c r="N286" s="31" t="s">
        <v>1</v>
      </c>
      <c r="O286" s="32"/>
      <c r="P286" s="33" t="s">
        <v>157</v>
      </c>
      <c r="Q286" s="34" t="s">
        <v>157</v>
      </c>
      <c r="R286" s="22" t="s">
        <v>157</v>
      </c>
      <c r="S286" s="35" t="s">
        <v>157</v>
      </c>
      <c r="T286" s="22" t="s">
        <v>4596</v>
      </c>
    </row>
    <row r="287" spans="1:20" ht="18.75" customHeight="1" x14ac:dyDescent="0.3">
      <c r="A287" s="11">
        <v>46142</v>
      </c>
      <c r="B287" s="18" t="s">
        <v>4029</v>
      </c>
      <c r="C287" s="18" t="s">
        <v>4030</v>
      </c>
      <c r="D287" s="42"/>
      <c r="E287" s="18" t="s">
        <v>19</v>
      </c>
      <c r="F287" s="18" t="s">
        <v>109</v>
      </c>
      <c r="G287" s="42" t="s">
        <v>143</v>
      </c>
      <c r="H287" s="18" t="s">
        <v>4029</v>
      </c>
      <c r="I287" s="49" t="s">
        <v>4119</v>
      </c>
      <c r="J287" s="29">
        <v>0</v>
      </c>
      <c r="K287" s="29">
        <v>0</v>
      </c>
      <c r="L287" s="29">
        <v>0</v>
      </c>
      <c r="M287" s="30">
        <v>0</v>
      </c>
      <c r="N287" s="31" t="s">
        <v>145</v>
      </c>
      <c r="O287" s="32"/>
      <c r="P287" s="33" t="s">
        <v>18</v>
      </c>
      <c r="Q287" s="34" t="s">
        <v>18</v>
      </c>
      <c r="R287" s="36" t="s">
        <v>949</v>
      </c>
      <c r="S287" s="35" t="s">
        <v>13</v>
      </c>
      <c r="T287" s="22" t="s">
        <v>4575</v>
      </c>
    </row>
    <row r="288" spans="1:20" ht="18.75" customHeight="1" x14ac:dyDescent="0.3">
      <c r="A288" s="11">
        <v>46142</v>
      </c>
      <c r="B288" s="18" t="s">
        <v>4518</v>
      </c>
      <c r="C288" s="18" t="s">
        <v>4519</v>
      </c>
      <c r="D288" s="42"/>
      <c r="E288" s="18" t="s">
        <v>19</v>
      </c>
      <c r="F288" s="18" t="s">
        <v>109</v>
      </c>
      <c r="G288" s="42" t="s">
        <v>143</v>
      </c>
      <c r="H288" s="18" t="s">
        <v>4520</v>
      </c>
      <c r="I288" s="49" t="s">
        <v>4119</v>
      </c>
      <c r="J288" s="29">
        <v>0</v>
      </c>
      <c r="K288" s="29">
        <v>0</v>
      </c>
      <c r="L288" s="29">
        <v>0</v>
      </c>
      <c r="M288" s="30">
        <v>0</v>
      </c>
      <c r="N288" s="31" t="s">
        <v>145</v>
      </c>
      <c r="O288" s="32"/>
      <c r="P288" s="33" t="s">
        <v>18</v>
      </c>
      <c r="Q288" s="34" t="s">
        <v>18</v>
      </c>
      <c r="R288" s="36" t="s">
        <v>949</v>
      </c>
      <c r="S288" s="35" t="s">
        <v>13</v>
      </c>
      <c r="T288" s="22" t="s">
        <v>4575</v>
      </c>
    </row>
    <row r="289" spans="1:20" ht="18.75" customHeight="1" x14ac:dyDescent="0.3">
      <c r="A289" s="11">
        <v>46142</v>
      </c>
      <c r="B289" s="18" t="s">
        <v>4515</v>
      </c>
      <c r="C289" s="18" t="s">
        <v>4516</v>
      </c>
      <c r="D289" s="42"/>
      <c r="E289" s="18" t="s">
        <v>19</v>
      </c>
      <c r="F289" s="18" t="s">
        <v>221</v>
      </c>
      <c r="G289" s="42" t="s">
        <v>143</v>
      </c>
      <c r="H289" s="18" t="s">
        <v>4517</v>
      </c>
      <c r="I289" s="49" t="s">
        <v>4119</v>
      </c>
      <c r="J289" s="29">
        <v>0</v>
      </c>
      <c r="K289" s="29">
        <v>0</v>
      </c>
      <c r="L289" s="29">
        <v>0</v>
      </c>
      <c r="M289" s="30">
        <v>0</v>
      </c>
      <c r="N289" s="31" t="s">
        <v>145</v>
      </c>
      <c r="O289" s="32"/>
      <c r="P289" s="33" t="s">
        <v>18</v>
      </c>
      <c r="Q289" s="34" t="s">
        <v>18</v>
      </c>
      <c r="R289" s="36" t="s">
        <v>949</v>
      </c>
      <c r="S289" s="35" t="s">
        <v>13</v>
      </c>
      <c r="T289" s="22" t="s">
        <v>4575</v>
      </c>
    </row>
    <row r="290" spans="1:20" ht="18.75" customHeight="1" x14ac:dyDescent="0.3">
      <c r="A290" s="11">
        <v>46142</v>
      </c>
      <c r="B290" s="18" t="s">
        <v>4521</v>
      </c>
      <c r="C290" s="18" t="s">
        <v>4522</v>
      </c>
      <c r="D290" s="42"/>
      <c r="E290" s="18" t="s">
        <v>66</v>
      </c>
      <c r="F290" s="18" t="s">
        <v>193</v>
      </c>
      <c r="G290" s="42" t="s">
        <v>143</v>
      </c>
      <c r="H290" s="18" t="s">
        <v>4029</v>
      </c>
      <c r="I290" s="49" t="s">
        <v>4119</v>
      </c>
      <c r="J290" s="29">
        <v>0</v>
      </c>
      <c r="K290" s="29">
        <v>0</v>
      </c>
      <c r="L290" s="29">
        <v>0</v>
      </c>
      <c r="M290" s="30">
        <v>0</v>
      </c>
      <c r="N290" s="31" t="s">
        <v>145</v>
      </c>
      <c r="O290" s="32"/>
      <c r="P290" s="33" t="s">
        <v>18</v>
      </c>
      <c r="Q290" s="34" t="s">
        <v>18</v>
      </c>
      <c r="R290" s="36" t="s">
        <v>949</v>
      </c>
      <c r="S290" s="35" t="s">
        <v>13</v>
      </c>
      <c r="T290" s="22" t="s">
        <v>4575</v>
      </c>
    </row>
    <row r="291" spans="1:20" ht="18.75" customHeight="1" x14ac:dyDescent="0.3">
      <c r="A291" s="11">
        <v>46142</v>
      </c>
      <c r="B291" s="18" t="s">
        <v>4509</v>
      </c>
      <c r="C291" s="18" t="s">
        <v>4510</v>
      </c>
      <c r="D291" s="42"/>
      <c r="E291" s="18" t="s">
        <v>19</v>
      </c>
      <c r="F291" s="18" t="s">
        <v>221</v>
      </c>
      <c r="G291" s="42" t="s">
        <v>143</v>
      </c>
      <c r="H291" s="18" t="s">
        <v>4511</v>
      </c>
      <c r="I291" s="49" t="s">
        <v>4119</v>
      </c>
      <c r="J291" s="29">
        <v>0</v>
      </c>
      <c r="K291" s="29">
        <v>0</v>
      </c>
      <c r="L291" s="29">
        <v>0</v>
      </c>
      <c r="M291" s="30">
        <v>0</v>
      </c>
      <c r="N291" s="31" t="s">
        <v>145</v>
      </c>
      <c r="O291" s="32"/>
      <c r="P291" s="33" t="s">
        <v>18</v>
      </c>
      <c r="Q291" s="34" t="s">
        <v>18</v>
      </c>
      <c r="R291" s="36" t="s">
        <v>949</v>
      </c>
      <c r="S291" s="35" t="s">
        <v>13</v>
      </c>
      <c r="T291" s="22" t="s">
        <v>4575</v>
      </c>
    </row>
    <row r="292" spans="1:20" ht="18.75" customHeight="1" x14ac:dyDescent="0.3">
      <c r="A292" s="11">
        <v>46142</v>
      </c>
      <c r="B292" s="18" t="s">
        <v>1847</v>
      </c>
      <c r="C292" s="18" t="s">
        <v>1848</v>
      </c>
      <c r="D292" s="42"/>
      <c r="E292" s="18" t="s">
        <v>19</v>
      </c>
      <c r="F292" s="18" t="s">
        <v>271</v>
      </c>
      <c r="G292" s="42" t="s">
        <v>355</v>
      </c>
      <c r="H292" s="18" t="s">
        <v>1849</v>
      </c>
      <c r="I292" s="47" t="s">
        <v>4054</v>
      </c>
      <c r="J292" s="29">
        <v>0</v>
      </c>
      <c r="K292" s="29">
        <v>0</v>
      </c>
      <c r="L292" s="29">
        <v>0</v>
      </c>
      <c r="M292" s="30">
        <v>0</v>
      </c>
      <c r="N292" s="31" t="s">
        <v>1</v>
      </c>
      <c r="O292" s="32"/>
      <c r="P292" s="33" t="s">
        <v>16</v>
      </c>
      <c r="Q292" s="34" t="s">
        <v>22</v>
      </c>
      <c r="R292" s="22" t="s">
        <v>172</v>
      </c>
      <c r="S292" s="35" t="s">
        <v>5</v>
      </c>
      <c r="T292" s="22" t="s">
        <v>4579</v>
      </c>
    </row>
    <row r="293" spans="1:20" ht="18.75" customHeight="1" x14ac:dyDescent="0.3">
      <c r="A293" s="11">
        <v>46142</v>
      </c>
      <c r="B293" s="18" t="s">
        <v>4597</v>
      </c>
      <c r="C293" s="18" t="s">
        <v>4598</v>
      </c>
      <c r="D293" s="42"/>
      <c r="E293" s="18" t="s">
        <v>19</v>
      </c>
      <c r="F293" s="18" t="s">
        <v>221</v>
      </c>
      <c r="G293" s="42" t="s">
        <v>355</v>
      </c>
      <c r="H293" s="18" t="s">
        <v>4599</v>
      </c>
      <c r="I293" s="47" t="s">
        <v>4054</v>
      </c>
      <c r="J293" s="29">
        <v>0</v>
      </c>
      <c r="K293" s="29">
        <v>0</v>
      </c>
      <c r="L293" s="29">
        <v>0</v>
      </c>
      <c r="M293" s="30">
        <v>0</v>
      </c>
      <c r="N293" s="31" t="s">
        <v>1</v>
      </c>
      <c r="O293" s="32"/>
      <c r="P293" s="33" t="s">
        <v>16</v>
      </c>
      <c r="Q293" s="34" t="s">
        <v>22</v>
      </c>
      <c r="R293" s="22" t="s">
        <v>172</v>
      </c>
      <c r="S293" s="35" t="s">
        <v>5</v>
      </c>
      <c r="T293" s="22" t="s">
        <v>4579</v>
      </c>
    </row>
    <row r="294" spans="1:20" ht="18.75" customHeight="1" x14ac:dyDescent="0.3">
      <c r="A294" s="11">
        <v>46142</v>
      </c>
      <c r="B294" s="18" t="s">
        <v>4513</v>
      </c>
      <c r="C294" s="18" t="s">
        <v>4514</v>
      </c>
      <c r="D294" s="42"/>
      <c r="E294" s="18" t="s">
        <v>19</v>
      </c>
      <c r="F294" s="18" t="s">
        <v>221</v>
      </c>
      <c r="G294" s="42" t="s">
        <v>143</v>
      </c>
      <c r="H294" s="18" t="s">
        <v>4513</v>
      </c>
      <c r="I294" s="49" t="s">
        <v>4119</v>
      </c>
      <c r="J294" s="29">
        <v>0</v>
      </c>
      <c r="K294" s="29">
        <v>0</v>
      </c>
      <c r="L294" s="29">
        <v>0</v>
      </c>
      <c r="M294" s="30">
        <v>0</v>
      </c>
      <c r="N294" s="31" t="s">
        <v>145</v>
      </c>
      <c r="O294" s="32"/>
      <c r="P294" s="33" t="s">
        <v>18</v>
      </c>
      <c r="Q294" s="34" t="s">
        <v>18</v>
      </c>
      <c r="R294" s="36" t="s">
        <v>949</v>
      </c>
      <c r="S294" s="35" t="s">
        <v>13</v>
      </c>
      <c r="T294" s="22" t="s">
        <v>4575</v>
      </c>
    </row>
    <row r="295" spans="1:20" ht="18.75" customHeight="1" x14ac:dyDescent="0.3">
      <c r="A295" s="11">
        <v>46142</v>
      </c>
      <c r="B295" s="18" t="s">
        <v>3865</v>
      </c>
      <c r="C295" s="18" t="s">
        <v>3866</v>
      </c>
      <c r="D295" s="42"/>
      <c r="E295" s="18" t="s">
        <v>19</v>
      </c>
      <c r="F295" s="18" t="s">
        <v>476</v>
      </c>
      <c r="G295" s="42" t="s">
        <v>355</v>
      </c>
      <c r="H295" s="18" t="s">
        <v>1849</v>
      </c>
      <c r="I295" s="47" t="s">
        <v>4054</v>
      </c>
      <c r="J295" s="29">
        <v>0</v>
      </c>
      <c r="K295" s="29">
        <v>0</v>
      </c>
      <c r="L295" s="29">
        <v>0</v>
      </c>
      <c r="M295" s="30">
        <v>0</v>
      </c>
      <c r="N295" s="31" t="s">
        <v>1</v>
      </c>
      <c r="O295" s="32"/>
      <c r="P295" s="33" t="s">
        <v>16</v>
      </c>
      <c r="Q295" s="34" t="s">
        <v>22</v>
      </c>
      <c r="R295" s="22" t="s">
        <v>172</v>
      </c>
      <c r="S295" s="35" t="s">
        <v>5</v>
      </c>
      <c r="T295" s="22" t="s">
        <v>4600</v>
      </c>
    </row>
    <row r="296" spans="1:20" ht="18.75" customHeight="1" x14ac:dyDescent="0.3">
      <c r="A296" s="11" t="s">
        <v>3361</v>
      </c>
      <c r="B296" s="18" t="s">
        <v>1091</v>
      </c>
      <c r="C296" s="18" t="s">
        <v>1092</v>
      </c>
      <c r="D296" s="42"/>
      <c r="E296" s="18" t="s">
        <v>66</v>
      </c>
      <c r="F296" s="18" t="s">
        <v>568</v>
      </c>
      <c r="G296" s="42" t="s">
        <v>68</v>
      </c>
      <c r="H296" s="18" t="s">
        <v>69</v>
      </c>
      <c r="I296" s="47" t="s">
        <v>4054</v>
      </c>
      <c r="J296" s="29">
        <v>21.62279834058727</v>
      </c>
      <c r="K296" s="29">
        <v>18.495142990231582</v>
      </c>
      <c r="L296" s="29">
        <v>60.021570829147208</v>
      </c>
      <c r="M296" s="30">
        <v>40.597328875990563</v>
      </c>
      <c r="N296" s="31" t="s">
        <v>1</v>
      </c>
      <c r="O296" s="32"/>
      <c r="P296" s="33" t="s">
        <v>16</v>
      </c>
      <c r="Q296" s="34" t="s">
        <v>22</v>
      </c>
      <c r="R296" s="39" t="s">
        <v>172</v>
      </c>
      <c r="S296" s="35" t="s">
        <v>5</v>
      </c>
      <c r="T296" s="22" t="s">
        <v>4601</v>
      </c>
    </row>
    <row r="297" spans="1:20" ht="18.75" customHeight="1" x14ac:dyDescent="0.3">
      <c r="A297" s="11" t="s">
        <v>3361</v>
      </c>
      <c r="B297" s="18" t="s">
        <v>2855</v>
      </c>
      <c r="C297" s="18" t="s">
        <v>2856</v>
      </c>
      <c r="D297" s="42"/>
      <c r="E297" s="18" t="s">
        <v>19</v>
      </c>
      <c r="F297" s="18" t="s">
        <v>109</v>
      </c>
      <c r="G297" s="42" t="s">
        <v>68</v>
      </c>
      <c r="H297" s="18" t="s">
        <v>69</v>
      </c>
      <c r="I297" s="47" t="s">
        <v>4054</v>
      </c>
      <c r="J297" s="29">
        <v>18.111983381892738</v>
      </c>
      <c r="K297" s="29">
        <v>15.424661097340801</v>
      </c>
      <c r="L297" s="29">
        <v>60.355913208876977</v>
      </c>
      <c r="M297" s="30">
        <v>39.239544363687209</v>
      </c>
      <c r="N297" s="31" t="s">
        <v>1</v>
      </c>
      <c r="O297" s="32"/>
      <c r="P297" s="33" t="s">
        <v>19</v>
      </c>
      <c r="Q297" s="34" t="s">
        <v>11</v>
      </c>
      <c r="R297" s="22" t="s">
        <v>80</v>
      </c>
      <c r="S297" s="35" t="s">
        <v>10</v>
      </c>
      <c r="T297" s="22" t="s">
        <v>4602</v>
      </c>
    </row>
    <row r="298" spans="1:20" ht="18.75" customHeight="1" x14ac:dyDescent="0.3">
      <c r="A298" s="11" t="s">
        <v>3361</v>
      </c>
      <c r="B298" s="18" t="s">
        <v>1156</v>
      </c>
      <c r="C298" s="18" t="s">
        <v>1157</v>
      </c>
      <c r="D298" s="42"/>
      <c r="E298" s="18" t="s">
        <v>19</v>
      </c>
      <c r="F298" s="18" t="s">
        <v>1158</v>
      </c>
      <c r="G298" s="42" t="s">
        <v>68</v>
      </c>
      <c r="H298" s="18" t="s">
        <v>69</v>
      </c>
      <c r="I298" s="47" t="s">
        <v>4054</v>
      </c>
      <c r="J298" s="29">
        <v>0</v>
      </c>
      <c r="K298" s="29">
        <v>16.785435600844579</v>
      </c>
      <c r="L298" s="29">
        <v>48.578552401464748</v>
      </c>
      <c r="M298" s="30">
        <v>30.96822359766346</v>
      </c>
      <c r="N298" s="31" t="s">
        <v>1</v>
      </c>
      <c r="O298" s="32"/>
      <c r="P298" s="33" t="s">
        <v>16</v>
      </c>
      <c r="Q298" s="34" t="s">
        <v>22</v>
      </c>
      <c r="R298" s="22" t="s">
        <v>172</v>
      </c>
      <c r="S298" s="35" t="s">
        <v>5</v>
      </c>
      <c r="T298" s="22" t="s">
        <v>4603</v>
      </c>
    </row>
    <row r="299" spans="1:20" ht="18.75" customHeight="1" x14ac:dyDescent="0.3">
      <c r="A299" s="11" t="s">
        <v>3361</v>
      </c>
      <c r="B299" s="18" t="s">
        <v>1370</v>
      </c>
      <c r="C299" s="18" t="s">
        <v>1371</v>
      </c>
      <c r="D299" s="42"/>
      <c r="E299" s="18" t="s">
        <v>19</v>
      </c>
      <c r="F299" s="18" t="s">
        <v>109</v>
      </c>
      <c r="G299" s="42" t="s">
        <v>68</v>
      </c>
      <c r="H299" s="18" t="s">
        <v>69</v>
      </c>
      <c r="I299" s="47" t="s">
        <v>4054</v>
      </c>
      <c r="J299" s="29">
        <v>13.30100535951944</v>
      </c>
      <c r="K299" s="29">
        <v>11.31906831094383</v>
      </c>
      <c r="L299" s="29">
        <v>44.323621535370279</v>
      </c>
      <c r="M299" s="30">
        <v>28.8135856212172</v>
      </c>
      <c r="N299" s="31" t="s">
        <v>1</v>
      </c>
      <c r="O299" s="32"/>
      <c r="P299" s="33" t="s">
        <v>21</v>
      </c>
      <c r="Q299" s="34" t="s">
        <v>11</v>
      </c>
      <c r="R299" s="39" t="s">
        <v>61</v>
      </c>
      <c r="S299" s="35" t="s">
        <v>10</v>
      </c>
      <c r="T299" s="22" t="s">
        <v>4604</v>
      </c>
    </row>
    <row r="300" spans="1:20" ht="18.75" customHeight="1" x14ac:dyDescent="0.3">
      <c r="A300" s="11" t="s">
        <v>3361</v>
      </c>
      <c r="B300" s="42" t="s">
        <v>438</v>
      </c>
      <c r="C300" s="42" t="s">
        <v>439</v>
      </c>
      <c r="D300" s="42"/>
      <c r="E300" s="42" t="s">
        <v>440</v>
      </c>
      <c r="F300" s="42" t="s">
        <v>441</v>
      </c>
      <c r="G300" s="42" t="s">
        <v>59</v>
      </c>
      <c r="H300" s="42" t="s">
        <v>138</v>
      </c>
      <c r="I300" s="47" t="s">
        <v>4054</v>
      </c>
      <c r="J300" s="29">
        <v>10.628239791534281</v>
      </c>
      <c r="K300" s="29">
        <v>9.0300197034452978</v>
      </c>
      <c r="L300" s="29">
        <v>35.499322012752067</v>
      </c>
      <c r="M300" s="30">
        <v>23.061683688465411</v>
      </c>
      <c r="N300" s="31" t="s">
        <v>1</v>
      </c>
      <c r="O300" s="32"/>
      <c r="P300" s="33" t="s">
        <v>21</v>
      </c>
      <c r="Q300" s="34" t="s">
        <v>11</v>
      </c>
      <c r="R300" s="22" t="s">
        <v>61</v>
      </c>
      <c r="S300" s="35" t="s">
        <v>10</v>
      </c>
      <c r="T300" s="22" t="s">
        <v>4605</v>
      </c>
    </row>
    <row r="301" spans="1:20" ht="18.75" customHeight="1" x14ac:dyDescent="0.3">
      <c r="A301" s="11" t="s">
        <v>3361</v>
      </c>
      <c r="B301" s="18" t="s">
        <v>1254</v>
      </c>
      <c r="C301" s="18" t="s">
        <v>1255</v>
      </c>
      <c r="D301" s="42"/>
      <c r="E301" s="18" t="s">
        <v>19</v>
      </c>
      <c r="F301" s="18" t="s">
        <v>109</v>
      </c>
      <c r="G301" s="42" t="s">
        <v>68</v>
      </c>
      <c r="H301" s="18" t="s">
        <v>69</v>
      </c>
      <c r="I301" s="47" t="s">
        <v>4054</v>
      </c>
      <c r="J301" s="29">
        <v>0</v>
      </c>
      <c r="K301" s="29">
        <v>16.78261991221002</v>
      </c>
      <c r="L301" s="29">
        <v>27.048216439357621</v>
      </c>
      <c r="M301" s="30">
        <v>19.73945447489249</v>
      </c>
      <c r="N301" s="31" t="s">
        <v>1</v>
      </c>
      <c r="O301" s="32"/>
      <c r="P301" s="33" t="s">
        <v>16</v>
      </c>
      <c r="Q301" s="34" t="s">
        <v>22</v>
      </c>
      <c r="R301" s="22" t="s">
        <v>172</v>
      </c>
      <c r="S301" s="35" t="s">
        <v>5</v>
      </c>
      <c r="T301" s="22" t="s">
        <v>4606</v>
      </c>
    </row>
    <row r="302" spans="1:20" ht="18.75" customHeight="1" x14ac:dyDescent="0.3">
      <c r="A302" s="11" t="s">
        <v>3361</v>
      </c>
      <c r="B302" s="18" t="s">
        <v>4551</v>
      </c>
      <c r="C302" s="18" t="s">
        <v>4552</v>
      </c>
      <c r="D302" s="42"/>
      <c r="E302" s="18" t="s">
        <v>19</v>
      </c>
      <c r="F302" s="18" t="s">
        <v>109</v>
      </c>
      <c r="G302" s="42" t="s">
        <v>116</v>
      </c>
      <c r="H302" s="18" t="s">
        <v>166</v>
      </c>
      <c r="I302" s="49" t="s">
        <v>4062</v>
      </c>
      <c r="J302" s="29">
        <v>10.26641727515797</v>
      </c>
      <c r="K302" s="29">
        <v>17.47745749053928</v>
      </c>
      <c r="L302" s="29">
        <v>16.85357828427091</v>
      </c>
      <c r="M302" s="30">
        <v>16.122375746576381</v>
      </c>
      <c r="N302" s="31" t="s">
        <v>1</v>
      </c>
      <c r="O302" s="32"/>
      <c r="P302" s="33" t="s">
        <v>25</v>
      </c>
      <c r="Q302" s="34" t="s">
        <v>11</v>
      </c>
      <c r="R302" s="22" t="s">
        <v>4075</v>
      </c>
      <c r="S302" s="35" t="s">
        <v>10</v>
      </c>
      <c r="T302" s="22" t="s">
        <v>4607</v>
      </c>
    </row>
    <row r="303" spans="1:20" ht="18.75" customHeight="1" x14ac:dyDescent="0.3">
      <c r="A303" s="11" t="s">
        <v>3361</v>
      </c>
      <c r="B303" s="18" t="s">
        <v>1396</v>
      </c>
      <c r="C303" s="18" t="s">
        <v>1397</v>
      </c>
      <c r="D303" s="42"/>
      <c r="E303" s="18" t="s">
        <v>19</v>
      </c>
      <c r="F303" s="18" t="s">
        <v>109</v>
      </c>
      <c r="G303" s="42" t="s">
        <v>143</v>
      </c>
      <c r="H303" s="18" t="s">
        <v>1396</v>
      </c>
      <c r="I303" s="48" t="s">
        <v>4092</v>
      </c>
      <c r="J303" s="29">
        <v>31.936689663255571</v>
      </c>
      <c r="K303" s="29">
        <v>20.14157389856889</v>
      </c>
      <c r="L303" s="29">
        <v>8.655726119417686</v>
      </c>
      <c r="M303" s="30">
        <v>15.836177138407351</v>
      </c>
      <c r="N303" s="31" t="s">
        <v>145</v>
      </c>
      <c r="O303" s="32"/>
      <c r="P303" s="33" t="s">
        <v>24</v>
      </c>
      <c r="Q303" s="34" t="s">
        <v>22</v>
      </c>
      <c r="R303" s="22" t="s">
        <v>167</v>
      </c>
      <c r="S303" s="35" t="s">
        <v>5</v>
      </c>
      <c r="T303" s="22" t="s">
        <v>4608</v>
      </c>
    </row>
    <row r="304" spans="1:20" ht="18.75" customHeight="1" x14ac:dyDescent="0.3">
      <c r="A304" s="11" t="s">
        <v>3361</v>
      </c>
      <c r="B304" s="18" t="s">
        <v>1087</v>
      </c>
      <c r="C304" s="18" t="s">
        <v>1088</v>
      </c>
      <c r="D304" s="42"/>
      <c r="E304" s="18" t="s">
        <v>66</v>
      </c>
      <c r="F304" s="18" t="s">
        <v>103</v>
      </c>
      <c r="G304" s="42" t="s">
        <v>68</v>
      </c>
      <c r="H304" s="18" t="s">
        <v>69</v>
      </c>
      <c r="I304" s="47" t="s">
        <v>4054</v>
      </c>
      <c r="J304" s="29">
        <v>32.372936225315627</v>
      </c>
      <c r="K304" s="29">
        <v>32.130726154411093</v>
      </c>
      <c r="L304" s="29">
        <v>0</v>
      </c>
      <c r="M304" s="30">
        <v>15.40950766623007</v>
      </c>
      <c r="N304" s="31" t="s">
        <v>1</v>
      </c>
      <c r="O304" s="32"/>
      <c r="P304" s="33" t="s">
        <v>9</v>
      </c>
      <c r="Q304" s="34" t="s">
        <v>11</v>
      </c>
      <c r="R304" s="22" t="s">
        <v>104</v>
      </c>
      <c r="S304" s="35" t="s">
        <v>10</v>
      </c>
      <c r="T304" s="22" t="s">
        <v>4609</v>
      </c>
    </row>
    <row r="305" spans="1:20" ht="18.75" customHeight="1" x14ac:dyDescent="0.3">
      <c r="A305" s="11" t="s">
        <v>3361</v>
      </c>
      <c r="B305" s="18" t="s">
        <v>1409</v>
      </c>
      <c r="C305" s="18" t="s">
        <v>1410</v>
      </c>
      <c r="D305" s="42"/>
      <c r="E305" s="18" t="s">
        <v>19</v>
      </c>
      <c r="F305" s="18" t="s">
        <v>109</v>
      </c>
      <c r="G305" s="42" t="s">
        <v>143</v>
      </c>
      <c r="H305" s="18" t="s">
        <v>1411</v>
      </c>
      <c r="I305" s="48" t="s">
        <v>4092</v>
      </c>
      <c r="J305" s="29">
        <v>31.859899647574249</v>
      </c>
      <c r="K305" s="29">
        <v>26.85923946281903</v>
      </c>
      <c r="L305" s="29">
        <v>1.356932104967091</v>
      </c>
      <c r="M305" s="30">
        <v>14.274171773901569</v>
      </c>
      <c r="N305" s="31" t="s">
        <v>145</v>
      </c>
      <c r="O305" s="32"/>
      <c r="P305" s="33" t="s">
        <v>24</v>
      </c>
      <c r="Q305" s="34" t="s">
        <v>22</v>
      </c>
      <c r="R305" s="22" t="s">
        <v>167</v>
      </c>
      <c r="S305" s="35" t="s">
        <v>5</v>
      </c>
      <c r="T305" s="22" t="s">
        <v>4610</v>
      </c>
    </row>
    <row r="306" spans="1:20" ht="18.75" customHeight="1" x14ac:dyDescent="0.3">
      <c r="A306" s="11" t="s">
        <v>3361</v>
      </c>
      <c r="B306" s="18" t="s">
        <v>4554</v>
      </c>
      <c r="C306" s="18" t="s">
        <v>4555</v>
      </c>
      <c r="D306" s="42"/>
      <c r="E306" s="18" t="s">
        <v>66</v>
      </c>
      <c r="F306" s="18" t="s">
        <v>67</v>
      </c>
      <c r="G306" s="42" t="s">
        <v>59</v>
      </c>
      <c r="H306" s="18" t="s">
        <v>60</v>
      </c>
      <c r="I306" s="47" t="s">
        <v>4054</v>
      </c>
      <c r="J306" s="29">
        <v>32.372936225315627</v>
      </c>
      <c r="K306" s="29">
        <v>27.540622418066651</v>
      </c>
      <c r="L306" s="29">
        <v>0</v>
      </c>
      <c r="M306" s="30">
        <v>13.868556899607061</v>
      </c>
      <c r="N306" s="31" t="s">
        <v>1</v>
      </c>
      <c r="O306" s="32"/>
      <c r="P306" s="33" t="s">
        <v>16</v>
      </c>
      <c r="Q306" s="34" t="s">
        <v>22</v>
      </c>
      <c r="R306" s="22" t="s">
        <v>172</v>
      </c>
      <c r="S306" s="35" t="s">
        <v>5</v>
      </c>
      <c r="T306" s="22" t="s">
        <v>4611</v>
      </c>
    </row>
    <row r="307" spans="1:20" ht="18.75" customHeight="1" x14ac:dyDescent="0.3">
      <c r="A307" s="11" t="s">
        <v>3361</v>
      </c>
      <c r="B307" s="18" t="s">
        <v>4546</v>
      </c>
      <c r="C307" s="18" t="s">
        <v>4547</v>
      </c>
      <c r="D307" s="42"/>
      <c r="E307" s="18" t="s">
        <v>66</v>
      </c>
      <c r="F307" s="18" t="s">
        <v>67</v>
      </c>
      <c r="G307" s="42" t="s">
        <v>68</v>
      </c>
      <c r="H307" s="18" t="s">
        <v>69</v>
      </c>
      <c r="I307" s="47" t="s">
        <v>4054</v>
      </c>
      <c r="J307" s="29">
        <v>32.372936225315627</v>
      </c>
      <c r="K307" s="29">
        <v>27.540622418066651</v>
      </c>
      <c r="L307" s="29">
        <v>0</v>
      </c>
      <c r="M307" s="30">
        <v>13.868556899607061</v>
      </c>
      <c r="N307" s="31" t="s">
        <v>1</v>
      </c>
      <c r="O307" s="32"/>
      <c r="P307" s="33" t="s">
        <v>16</v>
      </c>
      <c r="Q307" s="34" t="s">
        <v>22</v>
      </c>
      <c r="R307" s="22" t="s">
        <v>172</v>
      </c>
      <c r="S307" s="35" t="s">
        <v>5</v>
      </c>
      <c r="T307" s="22" t="s">
        <v>4612</v>
      </c>
    </row>
    <row r="308" spans="1:20" ht="18.75" customHeight="1" x14ac:dyDescent="0.3">
      <c r="A308" s="11" t="s">
        <v>3361</v>
      </c>
      <c r="B308" s="18" t="s">
        <v>4377</v>
      </c>
      <c r="C308" s="18" t="s">
        <v>4378</v>
      </c>
      <c r="D308" s="42"/>
      <c r="E308" s="18" t="s">
        <v>66</v>
      </c>
      <c r="F308" s="18" t="s">
        <v>568</v>
      </c>
      <c r="G308" s="42" t="s">
        <v>68</v>
      </c>
      <c r="H308" s="18" t="s">
        <v>69</v>
      </c>
      <c r="I308" s="47" t="s">
        <v>4054</v>
      </c>
      <c r="J308" s="29">
        <v>5.4760470246873618</v>
      </c>
      <c r="K308" s="29">
        <v>4.6608678356130859</v>
      </c>
      <c r="L308" s="29">
        <v>18.034960119684719</v>
      </c>
      <c r="M308" s="30">
        <v>11.751711454115339</v>
      </c>
      <c r="N308" s="31" t="s">
        <v>1</v>
      </c>
      <c r="O308" s="32"/>
      <c r="P308" s="33" t="s">
        <v>9</v>
      </c>
      <c r="Q308" s="34" t="s">
        <v>11</v>
      </c>
      <c r="R308" s="22" t="s">
        <v>104</v>
      </c>
      <c r="S308" s="35" t="s">
        <v>10</v>
      </c>
      <c r="T308" s="22" t="s">
        <v>4613</v>
      </c>
    </row>
    <row r="309" spans="1:20" ht="18.75" customHeight="1" x14ac:dyDescent="0.3">
      <c r="A309" s="11" t="s">
        <v>3361</v>
      </c>
      <c r="B309" s="18" t="s">
        <v>4395</v>
      </c>
      <c r="C309" s="18" t="s">
        <v>4396</v>
      </c>
      <c r="D309" s="42"/>
      <c r="E309" s="18" t="s">
        <v>19</v>
      </c>
      <c r="F309" s="18" t="s">
        <v>109</v>
      </c>
      <c r="G309" s="42" t="s">
        <v>59</v>
      </c>
      <c r="H309" s="18" t="s">
        <v>60</v>
      </c>
      <c r="I309" s="47" t="s">
        <v>4054</v>
      </c>
      <c r="J309" s="29">
        <v>10.627615313597831</v>
      </c>
      <c r="K309" s="29">
        <v>9.1120996834528452</v>
      </c>
      <c r="L309" s="29">
        <v>11.657146664127639</v>
      </c>
      <c r="M309" s="30">
        <v>10.655728056433039</v>
      </c>
      <c r="N309" s="31" t="s">
        <v>1</v>
      </c>
      <c r="O309" s="32"/>
      <c r="P309" s="33" t="s">
        <v>21</v>
      </c>
      <c r="Q309" s="34" t="s">
        <v>11</v>
      </c>
      <c r="R309" s="22" t="s">
        <v>61</v>
      </c>
      <c r="S309" s="35" t="s">
        <v>10</v>
      </c>
      <c r="T309" s="22" t="s">
        <v>4614</v>
      </c>
    </row>
    <row r="310" spans="1:20" ht="18.75" customHeight="1" x14ac:dyDescent="0.3">
      <c r="A310" s="11" t="s">
        <v>3361</v>
      </c>
      <c r="B310" s="18" t="s">
        <v>1315</v>
      </c>
      <c r="C310" s="18" t="s">
        <v>1316</v>
      </c>
      <c r="D310" s="42"/>
      <c r="E310" s="18" t="s">
        <v>19</v>
      </c>
      <c r="F310" s="18" t="s">
        <v>221</v>
      </c>
      <c r="G310" s="42" t="s">
        <v>122</v>
      </c>
      <c r="H310" s="18" t="s">
        <v>1317</v>
      </c>
      <c r="I310" s="48" t="s">
        <v>4092</v>
      </c>
      <c r="J310" s="29">
        <v>32.728081502497702</v>
      </c>
      <c r="K310" s="29">
        <v>13.77031120903332</v>
      </c>
      <c r="L310" s="29">
        <v>0</v>
      </c>
      <c r="M310" s="30">
        <v>9.2964193124839536</v>
      </c>
      <c r="N310" s="31" t="s">
        <v>145</v>
      </c>
      <c r="O310" s="32"/>
      <c r="P310" s="33" t="s">
        <v>24</v>
      </c>
      <c r="Q310" s="34" t="s">
        <v>22</v>
      </c>
      <c r="R310" s="22" t="s">
        <v>391</v>
      </c>
      <c r="S310" s="35" t="s">
        <v>5</v>
      </c>
      <c r="T310" s="22" t="s">
        <v>4615</v>
      </c>
    </row>
    <row r="311" spans="1:20" ht="18.75" customHeight="1" x14ac:dyDescent="0.3">
      <c r="A311" s="11" t="s">
        <v>3361</v>
      </c>
      <c r="B311" s="18" t="s">
        <v>4094</v>
      </c>
      <c r="C311" s="18" t="s">
        <v>4095</v>
      </c>
      <c r="D311" s="42"/>
      <c r="E311" s="18" t="s">
        <v>19</v>
      </c>
      <c r="F311" s="18" t="s">
        <v>221</v>
      </c>
      <c r="G311" s="42" t="s">
        <v>122</v>
      </c>
      <c r="H311" s="18" t="s">
        <v>4094</v>
      </c>
      <c r="I311" s="48" t="s">
        <v>4092</v>
      </c>
      <c r="J311" s="29">
        <v>32.728081502497702</v>
      </c>
      <c r="K311" s="29">
        <v>13.77031120903332</v>
      </c>
      <c r="L311" s="29">
        <v>0</v>
      </c>
      <c r="M311" s="30">
        <v>9.2964193124839536</v>
      </c>
      <c r="N311" s="31" t="s">
        <v>145</v>
      </c>
      <c r="O311" s="32"/>
      <c r="P311" s="33" t="s">
        <v>24</v>
      </c>
      <c r="Q311" s="34" t="s">
        <v>22</v>
      </c>
      <c r="R311" s="22" t="s">
        <v>391</v>
      </c>
      <c r="S311" s="35" t="s">
        <v>5</v>
      </c>
      <c r="T311" s="22" t="s">
        <v>4616</v>
      </c>
    </row>
    <row r="312" spans="1:20" ht="18.75" customHeight="1" x14ac:dyDescent="0.3">
      <c r="A312" s="11" t="s">
        <v>3361</v>
      </c>
      <c r="B312" s="18" t="s">
        <v>2776</v>
      </c>
      <c r="C312" s="18" t="s">
        <v>2777</v>
      </c>
      <c r="D312" s="42"/>
      <c r="E312" s="18" t="s">
        <v>19</v>
      </c>
      <c r="F312" s="18" t="s">
        <v>109</v>
      </c>
      <c r="G312" s="42" t="s">
        <v>122</v>
      </c>
      <c r="H312" s="18" t="s">
        <v>1443</v>
      </c>
      <c r="I312" s="48" t="s">
        <v>4092</v>
      </c>
      <c r="J312" s="29">
        <v>3.1555897069046348</v>
      </c>
      <c r="K312" s="29">
        <v>5.8061624692718059</v>
      </c>
      <c r="L312" s="29">
        <v>7.9760288552248264</v>
      </c>
      <c r="M312" s="30">
        <v>6.5592214174891641</v>
      </c>
      <c r="N312" s="31" t="s">
        <v>145</v>
      </c>
      <c r="O312" s="32"/>
      <c r="P312" s="33" t="s">
        <v>24</v>
      </c>
      <c r="Q312" s="34" t="s">
        <v>22</v>
      </c>
      <c r="R312" s="22" t="s">
        <v>391</v>
      </c>
      <c r="S312" s="35" t="s">
        <v>5</v>
      </c>
      <c r="T312" s="22" t="s">
        <v>4617</v>
      </c>
    </row>
    <row r="313" spans="1:20" ht="18.75" customHeight="1" x14ac:dyDescent="0.3">
      <c r="A313" s="11" t="s">
        <v>3361</v>
      </c>
      <c r="B313" s="18" t="s">
        <v>4577</v>
      </c>
      <c r="C313" s="18" t="s">
        <v>4578</v>
      </c>
      <c r="D313" s="42"/>
      <c r="E313" s="18"/>
      <c r="F313" s="18"/>
      <c r="G313" s="42" t="s">
        <v>355</v>
      </c>
      <c r="H313" s="18" t="s">
        <v>1849</v>
      </c>
      <c r="I313" s="48" t="s">
        <v>4092</v>
      </c>
      <c r="J313" s="29">
        <v>11.01658866417705</v>
      </c>
      <c r="K313" s="29">
        <v>4.6867934215313261</v>
      </c>
      <c r="L313" s="29">
        <v>5.9956932214408134</v>
      </c>
      <c r="M313" s="30">
        <v>6.273263866744899</v>
      </c>
      <c r="N313" s="31" t="s">
        <v>1</v>
      </c>
      <c r="O313" s="32"/>
      <c r="P313" s="33" t="s">
        <v>16</v>
      </c>
      <c r="Q313" s="34" t="s">
        <v>22</v>
      </c>
      <c r="R313" s="22" t="s">
        <v>172</v>
      </c>
      <c r="S313" s="35" t="s">
        <v>5</v>
      </c>
      <c r="T313" s="22" t="s">
        <v>4618</v>
      </c>
    </row>
    <row r="314" spans="1:20" ht="18.75" customHeight="1" x14ac:dyDescent="0.3">
      <c r="A314" s="11" t="s">
        <v>3361</v>
      </c>
      <c r="B314" s="18" t="s">
        <v>4581</v>
      </c>
      <c r="C314" s="18" t="s">
        <v>4582</v>
      </c>
      <c r="D314" s="42"/>
      <c r="E314" s="18"/>
      <c r="F314" s="18"/>
      <c r="G314" s="42" t="s">
        <v>355</v>
      </c>
      <c r="H314" s="18" t="s">
        <v>4581</v>
      </c>
      <c r="I314" s="48" t="s">
        <v>4092</v>
      </c>
      <c r="J314" s="29">
        <v>11.051826187820289</v>
      </c>
      <c r="K314" s="29">
        <v>4.6729806093617734</v>
      </c>
      <c r="L314" s="29">
        <v>5.9778406516557343</v>
      </c>
      <c r="M314" s="30">
        <v>6.2643487506189937</v>
      </c>
      <c r="N314" s="31" t="s">
        <v>1</v>
      </c>
      <c r="O314" s="32"/>
      <c r="P314" s="33" t="s">
        <v>16</v>
      </c>
      <c r="Q314" s="34" t="s">
        <v>22</v>
      </c>
      <c r="R314" s="22" t="s">
        <v>172</v>
      </c>
      <c r="S314" s="35" t="s">
        <v>5</v>
      </c>
      <c r="T314" s="22" t="s">
        <v>4618</v>
      </c>
    </row>
    <row r="315" spans="1:20" ht="18.75" customHeight="1" x14ac:dyDescent="0.3">
      <c r="A315" s="11" t="s">
        <v>3361</v>
      </c>
      <c r="B315" s="18" t="s">
        <v>4619</v>
      </c>
      <c r="C315" s="18" t="s">
        <v>4620</v>
      </c>
      <c r="D315" s="42"/>
      <c r="E315" s="18" t="s">
        <v>19</v>
      </c>
      <c r="F315" s="18" t="s">
        <v>109</v>
      </c>
      <c r="G315" s="42" t="s">
        <v>59</v>
      </c>
      <c r="H315" s="18" t="s">
        <v>60</v>
      </c>
      <c r="I315" s="47" t="s">
        <v>4054</v>
      </c>
      <c r="J315" s="29">
        <v>4.8027349136122197</v>
      </c>
      <c r="K315" s="29">
        <v>4.0884861497869842</v>
      </c>
      <c r="L315" s="29">
        <v>6.96267321780737</v>
      </c>
      <c r="M315" s="30">
        <v>5.6893364780143409</v>
      </c>
      <c r="N315" s="31" t="s">
        <v>1</v>
      </c>
      <c r="O315" s="32"/>
      <c r="P315" s="33" t="s">
        <v>19</v>
      </c>
      <c r="Q315" s="34" t="s">
        <v>11</v>
      </c>
      <c r="R315" s="22" t="s">
        <v>80</v>
      </c>
      <c r="S315" s="35" t="s">
        <v>10</v>
      </c>
      <c r="T315" s="22" t="s">
        <v>4621</v>
      </c>
    </row>
    <row r="316" spans="1:20" ht="18.75" customHeight="1" x14ac:dyDescent="0.3">
      <c r="A316" s="11" t="s">
        <v>3361</v>
      </c>
      <c r="B316" s="18" t="s">
        <v>4622</v>
      </c>
      <c r="C316" s="18" t="s">
        <v>4623</v>
      </c>
      <c r="D316" s="42"/>
      <c r="E316" s="18" t="s">
        <v>19</v>
      </c>
      <c r="F316" s="18" t="s">
        <v>109</v>
      </c>
      <c r="G316" s="42" t="s">
        <v>143</v>
      </c>
      <c r="H316" s="18" t="s">
        <v>2718</v>
      </c>
      <c r="I316" s="49" t="s">
        <v>4062</v>
      </c>
      <c r="J316" s="29">
        <v>3.776842559620158</v>
      </c>
      <c r="K316" s="29">
        <v>6.4495738853698086</v>
      </c>
      <c r="L316" s="29">
        <v>5.5763630334429939</v>
      </c>
      <c r="M316" s="30">
        <v>5.6125386307796363</v>
      </c>
      <c r="N316" s="31" t="s">
        <v>2719</v>
      </c>
      <c r="O316" s="32"/>
      <c r="P316" s="33" t="s">
        <v>19</v>
      </c>
      <c r="Q316" s="34" t="s">
        <v>11</v>
      </c>
      <c r="R316" s="39" t="s">
        <v>80</v>
      </c>
      <c r="S316" s="35" t="s">
        <v>10</v>
      </c>
      <c r="T316" s="22" t="s">
        <v>4624</v>
      </c>
    </row>
    <row r="317" spans="1:20" ht="18.75" customHeight="1" x14ac:dyDescent="0.3">
      <c r="A317" s="11" t="s">
        <v>3361</v>
      </c>
      <c r="B317" s="18" t="s">
        <v>649</v>
      </c>
      <c r="C317" s="18" t="s">
        <v>650</v>
      </c>
      <c r="D317" s="42"/>
      <c r="E317" s="18" t="s">
        <v>66</v>
      </c>
      <c r="F317" s="18" t="s">
        <v>4580</v>
      </c>
      <c r="G317" s="42" t="s">
        <v>355</v>
      </c>
      <c r="H317" s="18" t="s">
        <v>651</v>
      </c>
      <c r="I317" s="48" t="s">
        <v>4092</v>
      </c>
      <c r="J317" s="29">
        <v>0</v>
      </c>
      <c r="K317" s="29">
        <v>4.6836058494921984</v>
      </c>
      <c r="L317" s="29">
        <v>6.0223010744921366</v>
      </c>
      <c r="M317" s="30">
        <v>4.7129016102935504</v>
      </c>
      <c r="N317" s="31" t="s">
        <v>1</v>
      </c>
      <c r="O317" s="32"/>
      <c r="P317" s="33" t="s">
        <v>16</v>
      </c>
      <c r="Q317" s="34" t="s">
        <v>22</v>
      </c>
      <c r="R317" s="22" t="s">
        <v>172</v>
      </c>
      <c r="S317" s="35" t="s">
        <v>5</v>
      </c>
      <c r="T317" s="22" t="s">
        <v>4625</v>
      </c>
    </row>
    <row r="318" spans="1:20" ht="18.75" customHeight="1" x14ac:dyDescent="0.3">
      <c r="A318" s="11" t="s">
        <v>3361</v>
      </c>
      <c r="B318" s="18" t="s">
        <v>295</v>
      </c>
      <c r="C318" s="18" t="s">
        <v>2229</v>
      </c>
      <c r="D318" s="42"/>
      <c r="E318" s="18" t="s">
        <v>19</v>
      </c>
      <c r="F318" s="18" t="s">
        <v>109</v>
      </c>
      <c r="G318" s="42" t="s">
        <v>122</v>
      </c>
      <c r="H318" s="18" t="s">
        <v>295</v>
      </c>
      <c r="I318" s="48" t="s">
        <v>4092</v>
      </c>
      <c r="J318" s="29">
        <v>4.9138032073977076</v>
      </c>
      <c r="K318" s="29">
        <v>3.1893783299502569</v>
      </c>
      <c r="L318" s="29">
        <v>4.0033874738162307</v>
      </c>
      <c r="M318" s="30">
        <v>3.8601224980066222</v>
      </c>
      <c r="N318" s="31" t="s">
        <v>145</v>
      </c>
      <c r="O318" s="32"/>
      <c r="P318" s="33" t="s">
        <v>24</v>
      </c>
      <c r="Q318" s="34" t="s">
        <v>22</v>
      </c>
      <c r="R318" s="22" t="s">
        <v>391</v>
      </c>
      <c r="S318" s="35" t="s">
        <v>5</v>
      </c>
      <c r="T318" s="22" t="s">
        <v>4626</v>
      </c>
    </row>
    <row r="319" spans="1:20" ht="18.75" customHeight="1" x14ac:dyDescent="0.3">
      <c r="A319" s="11" t="s">
        <v>3361</v>
      </c>
      <c r="B319" s="18" t="s">
        <v>3049</v>
      </c>
      <c r="C319" s="18" t="s">
        <v>3050</v>
      </c>
      <c r="D319" s="42"/>
      <c r="E319" s="18" t="s">
        <v>19</v>
      </c>
      <c r="F319" s="18" t="s">
        <v>109</v>
      </c>
      <c r="G319" s="42" t="s">
        <v>68</v>
      </c>
      <c r="H319" s="18" t="s">
        <v>69</v>
      </c>
      <c r="I319" s="47" t="s">
        <v>4054</v>
      </c>
      <c r="J319" s="29">
        <v>1.6227683656463201</v>
      </c>
      <c r="K319" s="29">
        <v>1.378253023518331</v>
      </c>
      <c r="L319" s="29">
        <v>5.3853542168727433</v>
      </c>
      <c r="M319" s="30">
        <v>3.5028272166148731</v>
      </c>
      <c r="N319" s="31" t="s">
        <v>1</v>
      </c>
      <c r="O319" s="32"/>
      <c r="P319" s="33" t="s">
        <v>7</v>
      </c>
      <c r="Q319" s="34" t="s">
        <v>11</v>
      </c>
      <c r="R319" s="22" t="s">
        <v>70</v>
      </c>
      <c r="S319" s="35" t="s">
        <v>10</v>
      </c>
      <c r="T319" s="22" t="s">
        <v>4627</v>
      </c>
    </row>
    <row r="320" spans="1:20" ht="18.75" customHeight="1" x14ac:dyDescent="0.3">
      <c r="A320" s="11" t="s">
        <v>3361</v>
      </c>
      <c r="B320" s="18" t="s">
        <v>636</v>
      </c>
      <c r="C320" s="18" t="s">
        <v>637</v>
      </c>
      <c r="D320" s="42"/>
      <c r="E320" s="18" t="s">
        <v>66</v>
      </c>
      <c r="F320" s="18" t="s">
        <v>4580</v>
      </c>
      <c r="G320" s="42" t="s">
        <v>355</v>
      </c>
      <c r="H320" s="18" t="s">
        <v>638</v>
      </c>
      <c r="I320" s="48" t="s">
        <v>4092</v>
      </c>
      <c r="J320" s="29">
        <v>11.02138804015714</v>
      </c>
      <c r="K320" s="29">
        <v>4.6713868233422069</v>
      </c>
      <c r="L320" s="29">
        <v>0.62939714078084275</v>
      </c>
      <c r="M320" s="30">
        <v>3.4703150372104909</v>
      </c>
      <c r="N320" s="31" t="s">
        <v>156</v>
      </c>
      <c r="O320" s="38" t="s">
        <v>2843</v>
      </c>
      <c r="P320" s="33" t="s">
        <v>16</v>
      </c>
      <c r="Q320" s="34" t="s">
        <v>22</v>
      </c>
      <c r="R320" s="22" t="s">
        <v>172</v>
      </c>
      <c r="S320" s="35" t="s">
        <v>5</v>
      </c>
      <c r="T320" s="22" t="s">
        <v>4618</v>
      </c>
    </row>
    <row r="321" spans="1:20" ht="18.75" customHeight="1" x14ac:dyDescent="0.3">
      <c r="A321" s="11" t="s">
        <v>3361</v>
      </c>
      <c r="B321" s="42" t="s">
        <v>4584</v>
      </c>
      <c r="C321" s="42" t="s">
        <v>4585</v>
      </c>
      <c r="D321" s="42"/>
      <c r="E321" s="42" t="s">
        <v>19</v>
      </c>
      <c r="F321" s="42" t="s">
        <v>261</v>
      </c>
      <c r="G321" s="42" t="s">
        <v>355</v>
      </c>
      <c r="H321" s="42" t="s">
        <v>4584</v>
      </c>
      <c r="I321" s="48" t="s">
        <v>4092</v>
      </c>
      <c r="J321" s="29">
        <v>16.50038091889358</v>
      </c>
      <c r="K321" s="29">
        <v>0</v>
      </c>
      <c r="L321" s="29">
        <v>0</v>
      </c>
      <c r="M321" s="30">
        <v>2.356252869641525</v>
      </c>
      <c r="N321" s="31" t="s">
        <v>1</v>
      </c>
      <c r="O321" s="32"/>
      <c r="P321" s="33" t="s">
        <v>16</v>
      </c>
      <c r="Q321" s="34" t="s">
        <v>22</v>
      </c>
      <c r="R321" s="22" t="s">
        <v>172</v>
      </c>
      <c r="S321" s="35" t="s">
        <v>5</v>
      </c>
      <c r="T321" s="22" t="s">
        <v>4628</v>
      </c>
    </row>
    <row r="322" spans="1:20" ht="18.75" customHeight="1" x14ac:dyDescent="0.3">
      <c r="A322" s="11" t="s">
        <v>3361</v>
      </c>
      <c r="B322" s="18" t="s">
        <v>4590</v>
      </c>
      <c r="C322" s="18" t="s">
        <v>4591</v>
      </c>
      <c r="D322" s="42"/>
      <c r="E322" s="18"/>
      <c r="F322" s="18"/>
      <c r="G322" s="42" t="s">
        <v>355</v>
      </c>
      <c r="H322" s="18" t="s">
        <v>4590</v>
      </c>
      <c r="I322" s="48" t="s">
        <v>4092</v>
      </c>
      <c r="J322" s="29">
        <v>0</v>
      </c>
      <c r="K322" s="29">
        <v>0</v>
      </c>
      <c r="L322" s="29">
        <v>3.0110992367581808</v>
      </c>
      <c r="M322" s="30">
        <v>1.570253800298488</v>
      </c>
      <c r="N322" s="31" t="s">
        <v>1</v>
      </c>
      <c r="O322" s="32"/>
      <c r="P322" s="33" t="s">
        <v>16</v>
      </c>
      <c r="Q322" s="34" t="s">
        <v>22</v>
      </c>
      <c r="R322" s="22" t="s">
        <v>172</v>
      </c>
      <c r="S322" s="35" t="s">
        <v>5</v>
      </c>
      <c r="T322" s="22" t="s">
        <v>4629</v>
      </c>
    </row>
    <row r="323" spans="1:20" ht="18.75" customHeight="1" x14ac:dyDescent="0.3">
      <c r="A323" s="11" t="s">
        <v>3361</v>
      </c>
      <c r="B323" s="18" t="s">
        <v>293</v>
      </c>
      <c r="C323" s="18" t="s">
        <v>294</v>
      </c>
      <c r="D323" s="42"/>
      <c r="E323" s="18" t="s">
        <v>19</v>
      </c>
      <c r="F323" s="18" t="s">
        <v>109</v>
      </c>
      <c r="G323" s="42" t="s">
        <v>122</v>
      </c>
      <c r="H323" s="18" t="s">
        <v>295</v>
      </c>
      <c r="I323" s="48" t="s">
        <v>4092</v>
      </c>
      <c r="J323" s="29">
        <v>5.4907387199508539</v>
      </c>
      <c r="K323" s="29">
        <v>1.134510014926337</v>
      </c>
      <c r="L323" s="29">
        <v>0</v>
      </c>
      <c r="M323" s="30">
        <v>1.1649450790194891</v>
      </c>
      <c r="N323" s="31" t="s">
        <v>145</v>
      </c>
      <c r="O323" s="32"/>
      <c r="P323" s="33" t="s">
        <v>24</v>
      </c>
      <c r="Q323" s="34" t="s">
        <v>22</v>
      </c>
      <c r="R323" s="22" t="s">
        <v>391</v>
      </c>
      <c r="S323" s="35" t="s">
        <v>5</v>
      </c>
      <c r="T323" s="22" t="s">
        <v>4630</v>
      </c>
    </row>
    <row r="324" spans="1:20" ht="18.75" customHeight="1" x14ac:dyDescent="0.3">
      <c r="A324" s="11" t="s">
        <v>3361</v>
      </c>
      <c r="B324" s="18" t="s">
        <v>3184</v>
      </c>
      <c r="C324" s="18" t="s">
        <v>3185</v>
      </c>
      <c r="D324" s="42"/>
      <c r="E324" s="18" t="s">
        <v>19</v>
      </c>
      <c r="F324" s="18" t="s">
        <v>109</v>
      </c>
      <c r="G324" s="42" t="s">
        <v>122</v>
      </c>
      <c r="H324" s="18" t="s">
        <v>3184</v>
      </c>
      <c r="I324" s="48" t="s">
        <v>4092</v>
      </c>
      <c r="J324" s="29">
        <v>4.9793525793362106</v>
      </c>
      <c r="K324" s="29">
        <v>1.095196626443758</v>
      </c>
      <c r="L324" s="29">
        <v>0</v>
      </c>
      <c r="M324" s="30">
        <v>1.0787212274660971</v>
      </c>
      <c r="N324" s="31" t="s">
        <v>145</v>
      </c>
      <c r="O324" s="32"/>
      <c r="P324" s="33" t="s">
        <v>24</v>
      </c>
      <c r="Q324" s="34" t="s">
        <v>22</v>
      </c>
      <c r="R324" s="22" t="s">
        <v>391</v>
      </c>
      <c r="S324" s="35" t="s">
        <v>5</v>
      </c>
      <c r="T324" s="22" t="s">
        <v>4631</v>
      </c>
    </row>
    <row r="325" spans="1:20" ht="18.75" customHeight="1" x14ac:dyDescent="0.3">
      <c r="A325" s="11" t="s">
        <v>3361</v>
      </c>
      <c r="B325" s="18" t="s">
        <v>573</v>
      </c>
      <c r="C325" s="18" t="s">
        <v>574</v>
      </c>
      <c r="D325" s="42"/>
      <c r="E325" s="18" t="s">
        <v>19</v>
      </c>
      <c r="F325" s="18" t="s">
        <v>221</v>
      </c>
      <c r="G325" s="42" t="s">
        <v>122</v>
      </c>
      <c r="H325" s="18" t="s">
        <v>573</v>
      </c>
      <c r="I325" s="48" t="s">
        <v>4092</v>
      </c>
      <c r="J325" s="29">
        <v>5.0339139062676823</v>
      </c>
      <c r="K325" s="29">
        <v>1.046320521843793</v>
      </c>
      <c r="L325" s="29">
        <v>0</v>
      </c>
      <c r="M325" s="30">
        <v>1.0701043078553281</v>
      </c>
      <c r="N325" s="31" t="s">
        <v>145</v>
      </c>
      <c r="O325" s="32"/>
      <c r="P325" s="33" t="s">
        <v>24</v>
      </c>
      <c r="Q325" s="34" t="s">
        <v>22</v>
      </c>
      <c r="R325" s="22" t="s">
        <v>391</v>
      </c>
      <c r="S325" s="35" t="s">
        <v>5</v>
      </c>
      <c r="T325" s="22" t="s">
        <v>4632</v>
      </c>
    </row>
    <row r="326" spans="1:20" ht="18.75" customHeight="1" x14ac:dyDescent="0.3">
      <c r="A326" s="11" t="s">
        <v>3361</v>
      </c>
      <c r="B326" s="18" t="s">
        <v>4633</v>
      </c>
      <c r="C326" s="18" t="s">
        <v>4634</v>
      </c>
      <c r="D326" s="42"/>
      <c r="E326" s="18" t="s">
        <v>19</v>
      </c>
      <c r="F326" s="18" t="s">
        <v>109</v>
      </c>
      <c r="G326" s="42" t="s">
        <v>68</v>
      </c>
      <c r="H326" s="18" t="s">
        <v>69</v>
      </c>
      <c r="I326" s="47" t="s">
        <v>4054</v>
      </c>
      <c r="J326" s="29">
        <v>0.78871563373020148</v>
      </c>
      <c r="K326" s="29">
        <v>0.67480900068341487</v>
      </c>
      <c r="L326" s="29">
        <v>0.91988614848522698</v>
      </c>
      <c r="M326" s="30">
        <v>0.81887978586491572</v>
      </c>
      <c r="N326" s="31" t="s">
        <v>1</v>
      </c>
      <c r="O326" s="32"/>
      <c r="P326" s="33" t="s">
        <v>19</v>
      </c>
      <c r="Q326" s="34" t="s">
        <v>11</v>
      </c>
      <c r="R326" s="22" t="s">
        <v>80</v>
      </c>
      <c r="S326" s="35" t="s">
        <v>10</v>
      </c>
      <c r="T326" s="22" t="s">
        <v>4635</v>
      </c>
    </row>
    <row r="327" spans="1:20" ht="18.75" customHeight="1" x14ac:dyDescent="0.3">
      <c r="A327" s="11" t="s">
        <v>3361</v>
      </c>
      <c r="B327" s="18" t="s">
        <v>837</v>
      </c>
      <c r="C327" s="18" t="s">
        <v>838</v>
      </c>
      <c r="D327" s="42"/>
      <c r="E327" s="18" t="s">
        <v>19</v>
      </c>
      <c r="F327" s="18" t="s">
        <v>820</v>
      </c>
      <c r="G327" s="42" t="s">
        <v>122</v>
      </c>
      <c r="H327" s="18" t="s">
        <v>837</v>
      </c>
      <c r="I327" s="48" t="s">
        <v>4092</v>
      </c>
      <c r="J327" s="29">
        <v>2.528513345296409</v>
      </c>
      <c r="K327" s="29">
        <v>1.090415268385065</v>
      </c>
      <c r="L327" s="29">
        <v>0</v>
      </c>
      <c r="M327" s="30">
        <v>0.72713645439400365</v>
      </c>
      <c r="N327" s="31" t="s">
        <v>145</v>
      </c>
      <c r="O327" s="32"/>
      <c r="P327" s="33" t="s">
        <v>24</v>
      </c>
      <c r="Q327" s="34" t="s">
        <v>22</v>
      </c>
      <c r="R327" s="22" t="s">
        <v>391</v>
      </c>
      <c r="S327" s="35" t="s">
        <v>5</v>
      </c>
      <c r="T327" s="22" t="s">
        <v>4636</v>
      </c>
    </row>
    <row r="328" spans="1:20" ht="18.75" customHeight="1" x14ac:dyDescent="0.3">
      <c r="A328" s="11" t="s">
        <v>3361</v>
      </c>
      <c r="B328" s="18" t="s">
        <v>3264</v>
      </c>
      <c r="C328" s="18" t="s">
        <v>3265</v>
      </c>
      <c r="D328" s="42"/>
      <c r="E328" s="18" t="s">
        <v>19</v>
      </c>
      <c r="F328" s="18" t="s">
        <v>261</v>
      </c>
      <c r="G328" s="42" t="s">
        <v>122</v>
      </c>
      <c r="H328" s="18" t="s">
        <v>3264</v>
      </c>
      <c r="I328" s="48" t="s">
        <v>4092</v>
      </c>
      <c r="J328" s="29">
        <v>2.53836469599237</v>
      </c>
      <c r="K328" s="29">
        <v>1.058273916990524</v>
      </c>
      <c r="L328" s="29">
        <v>0</v>
      </c>
      <c r="M328" s="30">
        <v>0.71775300398053554</v>
      </c>
      <c r="N328" s="31" t="s">
        <v>145</v>
      </c>
      <c r="O328" s="32"/>
      <c r="P328" s="33" t="s">
        <v>12</v>
      </c>
      <c r="Q328" s="34" t="s">
        <v>14</v>
      </c>
      <c r="R328" s="22" t="s">
        <v>146</v>
      </c>
      <c r="S328" s="35" t="s">
        <v>5</v>
      </c>
      <c r="T328" s="22" t="s">
        <v>4637</v>
      </c>
    </row>
    <row r="329" spans="1:20" ht="18.75" customHeight="1" x14ac:dyDescent="0.3">
      <c r="A329" s="11" t="s">
        <v>3361</v>
      </c>
      <c r="B329" s="18" t="s">
        <v>3260</v>
      </c>
      <c r="C329" s="18" t="s">
        <v>3261</v>
      </c>
      <c r="D329" s="42"/>
      <c r="E329" s="18" t="s">
        <v>19</v>
      </c>
      <c r="F329" s="18" t="s">
        <v>109</v>
      </c>
      <c r="G329" s="42" t="s">
        <v>122</v>
      </c>
      <c r="H329" s="18" t="s">
        <v>3260</v>
      </c>
      <c r="I329" s="48" t="s">
        <v>4092</v>
      </c>
      <c r="J329" s="29">
        <v>2.4848137640040742</v>
      </c>
      <c r="K329" s="29">
        <v>1.074743039192686</v>
      </c>
      <c r="L329" s="29">
        <v>0</v>
      </c>
      <c r="M329" s="30">
        <v>0.71563481012216057</v>
      </c>
      <c r="N329" s="31" t="s">
        <v>145</v>
      </c>
      <c r="O329" s="32"/>
      <c r="P329" s="33" t="s">
        <v>18</v>
      </c>
      <c r="Q329" s="34" t="s">
        <v>18</v>
      </c>
      <c r="R329" s="22" t="s">
        <v>949</v>
      </c>
      <c r="S329" s="35" t="s">
        <v>13</v>
      </c>
      <c r="T329" s="22" t="s">
        <v>4638</v>
      </c>
    </row>
    <row r="330" spans="1:20" ht="18.75" customHeight="1" x14ac:dyDescent="0.3">
      <c r="A330" s="11" t="s">
        <v>3361</v>
      </c>
      <c r="B330" s="18" t="s">
        <v>879</v>
      </c>
      <c r="C330" s="18" t="s">
        <v>880</v>
      </c>
      <c r="D330" s="42"/>
      <c r="E330" s="18" t="s">
        <v>19</v>
      </c>
      <c r="F330" s="18" t="s">
        <v>820</v>
      </c>
      <c r="G330" s="42" t="s">
        <v>122</v>
      </c>
      <c r="H330" s="18" t="s">
        <v>879</v>
      </c>
      <c r="I330" s="48" t="s">
        <v>4092</v>
      </c>
      <c r="J330" s="29">
        <v>2.478625094977124</v>
      </c>
      <c r="K330" s="29">
        <v>1.0566801309709599</v>
      </c>
      <c r="L330" s="29">
        <v>0</v>
      </c>
      <c r="M330" s="30">
        <v>0.70868714212938355</v>
      </c>
      <c r="N330" s="31" t="s">
        <v>145</v>
      </c>
      <c r="O330" s="32"/>
      <c r="P330" s="33" t="s">
        <v>12</v>
      </c>
      <c r="Q330" s="34" t="s">
        <v>14</v>
      </c>
      <c r="R330" s="22" t="s">
        <v>146</v>
      </c>
      <c r="S330" s="35" t="s">
        <v>5</v>
      </c>
      <c r="T330" s="22" t="s">
        <v>4639</v>
      </c>
    </row>
    <row r="331" spans="1:20" ht="18.75" customHeight="1" x14ac:dyDescent="0.3">
      <c r="A331" s="11" t="s">
        <v>3361</v>
      </c>
      <c r="B331" s="18" t="s">
        <v>4640</v>
      </c>
      <c r="C331" s="18" t="s">
        <v>4641</v>
      </c>
      <c r="D331" s="42"/>
      <c r="E331" s="18" t="s">
        <v>19</v>
      </c>
      <c r="F331" s="18" t="s">
        <v>109</v>
      </c>
      <c r="G331" s="42" t="s">
        <v>122</v>
      </c>
      <c r="H331" s="18" t="s">
        <v>4642</v>
      </c>
      <c r="I331" s="48" t="s">
        <v>4092</v>
      </c>
      <c r="J331" s="29">
        <v>2.4022139773994859</v>
      </c>
      <c r="K331" s="29">
        <v>1.063586537055738</v>
      </c>
      <c r="L331" s="29">
        <v>0</v>
      </c>
      <c r="M331" s="30">
        <v>0.70009420178530446</v>
      </c>
      <c r="N331" s="31" t="s">
        <v>145</v>
      </c>
      <c r="O331" s="32"/>
      <c r="P331" s="33" t="s">
        <v>24</v>
      </c>
      <c r="Q331" s="34" t="s">
        <v>22</v>
      </c>
      <c r="R331" s="22" t="s">
        <v>391</v>
      </c>
      <c r="S331" s="35" t="s">
        <v>5</v>
      </c>
      <c r="T331" s="22" t="s">
        <v>4643</v>
      </c>
    </row>
    <row r="332" spans="1:20" ht="18.75" customHeight="1" x14ac:dyDescent="0.3">
      <c r="A332" s="11" t="s">
        <v>3361</v>
      </c>
      <c r="B332" s="18" t="s">
        <v>1700</v>
      </c>
      <c r="C332" s="18" t="s">
        <v>1701</v>
      </c>
      <c r="D332" s="42"/>
      <c r="E332" s="18" t="s">
        <v>19</v>
      </c>
      <c r="F332" s="18" t="s">
        <v>109</v>
      </c>
      <c r="G332" s="42" t="s">
        <v>122</v>
      </c>
      <c r="H332" s="18" t="s">
        <v>1702</v>
      </c>
      <c r="I332" s="48" t="s">
        <v>4092</v>
      </c>
      <c r="J332" s="29">
        <v>1.6354505148972629</v>
      </c>
      <c r="K332" s="29">
        <v>0.71401613676469089</v>
      </c>
      <c r="L332" s="29">
        <v>0</v>
      </c>
      <c r="M332" s="30">
        <v>0.47324563490420668</v>
      </c>
      <c r="N332" s="31" t="s">
        <v>145</v>
      </c>
      <c r="O332" s="32"/>
      <c r="P332" s="33" t="s">
        <v>24</v>
      </c>
      <c r="Q332" s="34" t="s">
        <v>22</v>
      </c>
      <c r="R332" s="22" t="s">
        <v>391</v>
      </c>
      <c r="S332" s="35" t="s">
        <v>5</v>
      </c>
      <c r="T332" s="22" t="s">
        <v>4644</v>
      </c>
    </row>
    <row r="333" spans="1:20" ht="18.75" customHeight="1" x14ac:dyDescent="0.3">
      <c r="A333" s="11" t="s">
        <v>3361</v>
      </c>
      <c r="B333" s="18" t="s">
        <v>4645</v>
      </c>
      <c r="C333" s="18" t="s">
        <v>4646</v>
      </c>
      <c r="D333" s="42"/>
      <c r="E333" s="18" t="s">
        <v>19</v>
      </c>
      <c r="F333" s="18" t="s">
        <v>109</v>
      </c>
      <c r="G333" s="42" t="s">
        <v>59</v>
      </c>
      <c r="H333" s="18" t="s">
        <v>4645</v>
      </c>
      <c r="I333" s="47" t="s">
        <v>4054</v>
      </c>
      <c r="J333" s="29">
        <v>0</v>
      </c>
      <c r="K333" s="29">
        <v>0</v>
      </c>
      <c r="L333" s="29">
        <v>0</v>
      </c>
      <c r="M333" s="30">
        <v>0</v>
      </c>
      <c r="N333" s="31" t="s">
        <v>1</v>
      </c>
      <c r="O333" s="32"/>
      <c r="P333" s="33" t="s">
        <v>19</v>
      </c>
      <c r="Q333" s="34" t="s">
        <v>11</v>
      </c>
      <c r="R333" s="22" t="s">
        <v>80</v>
      </c>
      <c r="S333" s="35" t="s">
        <v>10</v>
      </c>
      <c r="T333" s="22" t="s">
        <v>4647</v>
      </c>
    </row>
    <row r="334" spans="1:20" ht="18.75" customHeight="1" x14ac:dyDescent="0.3">
      <c r="A334" s="11" t="s">
        <v>3361</v>
      </c>
      <c r="B334" s="18" t="s">
        <v>1847</v>
      </c>
      <c r="C334" s="18" t="s">
        <v>1848</v>
      </c>
      <c r="D334" s="42"/>
      <c r="E334" s="18" t="s">
        <v>19</v>
      </c>
      <c r="F334" s="18" t="s">
        <v>271</v>
      </c>
      <c r="G334" s="42" t="s">
        <v>355</v>
      </c>
      <c r="H334" s="18" t="s">
        <v>1849</v>
      </c>
      <c r="I334" s="47" t="s">
        <v>4054</v>
      </c>
      <c r="J334" s="29">
        <v>0</v>
      </c>
      <c r="K334" s="29">
        <v>0</v>
      </c>
      <c r="L334" s="29">
        <v>0</v>
      </c>
      <c r="M334" s="30">
        <v>0</v>
      </c>
      <c r="N334" s="31" t="s">
        <v>1</v>
      </c>
      <c r="O334" s="32"/>
      <c r="P334" s="33" t="s">
        <v>16</v>
      </c>
      <c r="Q334" s="34" t="s">
        <v>22</v>
      </c>
      <c r="R334" s="22" t="s">
        <v>172</v>
      </c>
      <c r="S334" s="35" t="s">
        <v>5</v>
      </c>
      <c r="T334" s="22" t="s">
        <v>4618</v>
      </c>
    </row>
    <row r="335" spans="1:20" ht="18.75" customHeight="1" x14ac:dyDescent="0.3">
      <c r="A335" s="11" t="s">
        <v>3361</v>
      </c>
      <c r="B335" s="18" t="s">
        <v>4597</v>
      </c>
      <c r="C335" s="18" t="s">
        <v>4598</v>
      </c>
      <c r="D335" s="42"/>
      <c r="E335" s="18" t="s">
        <v>19</v>
      </c>
      <c r="F335" s="18" t="s">
        <v>221</v>
      </c>
      <c r="G335" s="42" t="s">
        <v>355</v>
      </c>
      <c r="H335" s="18" t="s">
        <v>4599</v>
      </c>
      <c r="I335" s="47" t="s">
        <v>4054</v>
      </c>
      <c r="J335" s="29">
        <v>0</v>
      </c>
      <c r="K335" s="29">
        <v>0</v>
      </c>
      <c r="L335" s="29">
        <v>0</v>
      </c>
      <c r="M335" s="30">
        <v>0</v>
      </c>
      <c r="N335" s="31" t="s">
        <v>1</v>
      </c>
      <c r="O335" s="32"/>
      <c r="P335" s="33" t="s">
        <v>16</v>
      </c>
      <c r="Q335" s="34" t="s">
        <v>22</v>
      </c>
      <c r="R335" s="22" t="s">
        <v>172</v>
      </c>
      <c r="S335" s="35" t="s">
        <v>5</v>
      </c>
      <c r="T335" s="22" t="s">
        <v>4618</v>
      </c>
    </row>
    <row r="336" spans="1:20" ht="18.75" customHeight="1" x14ac:dyDescent="0.3">
      <c r="A336" s="11" t="s">
        <v>3361</v>
      </c>
      <c r="B336" s="18" t="s">
        <v>4648</v>
      </c>
      <c r="C336" s="18" t="s">
        <v>4649</v>
      </c>
      <c r="D336" s="42"/>
      <c r="E336" s="18" t="s">
        <v>66</v>
      </c>
      <c r="F336" s="18" t="s">
        <v>4650</v>
      </c>
      <c r="G336" s="42" t="s">
        <v>355</v>
      </c>
      <c r="H336" s="18" t="s">
        <v>4651</v>
      </c>
      <c r="I336" s="47" t="s">
        <v>4054</v>
      </c>
      <c r="J336" s="29">
        <v>0</v>
      </c>
      <c r="K336" s="29">
        <v>0</v>
      </c>
      <c r="L336" s="29">
        <v>0</v>
      </c>
      <c r="M336" s="30">
        <v>0</v>
      </c>
      <c r="N336" s="31" t="s">
        <v>1</v>
      </c>
      <c r="O336" s="32"/>
      <c r="P336" s="33" t="s">
        <v>16</v>
      </c>
      <c r="Q336" s="34" t="s">
        <v>22</v>
      </c>
      <c r="R336" s="22" t="s">
        <v>172</v>
      </c>
      <c r="S336" s="35" t="s">
        <v>5</v>
      </c>
      <c r="T336" s="22" t="s">
        <v>4652</v>
      </c>
    </row>
    <row r="337" spans="1:20" ht="18.75" customHeight="1" x14ac:dyDescent="0.3">
      <c r="A337" s="11" t="s">
        <v>3361</v>
      </c>
      <c r="B337" s="18" t="s">
        <v>4593</v>
      </c>
      <c r="C337" s="18" t="s">
        <v>4594</v>
      </c>
      <c r="D337" s="42"/>
      <c r="E337" s="18" t="s">
        <v>136</v>
      </c>
      <c r="F337" s="18" t="s">
        <v>4595</v>
      </c>
      <c r="G337" s="42" t="s">
        <v>200</v>
      </c>
      <c r="H337" s="18" t="s">
        <v>4593</v>
      </c>
      <c r="I337" s="49" t="s">
        <v>4119</v>
      </c>
      <c r="J337" s="29">
        <v>0</v>
      </c>
      <c r="K337" s="29">
        <v>0</v>
      </c>
      <c r="L337" s="29">
        <v>0</v>
      </c>
      <c r="M337" s="30">
        <v>0</v>
      </c>
      <c r="N337" s="31" t="s">
        <v>1</v>
      </c>
      <c r="O337" s="32"/>
      <c r="P337" s="33" t="s">
        <v>157</v>
      </c>
      <c r="Q337" s="34" t="s">
        <v>157</v>
      </c>
      <c r="R337" s="22" t="s">
        <v>157</v>
      </c>
      <c r="S337" s="35" t="s">
        <v>157</v>
      </c>
      <c r="T337" s="22" t="s">
        <v>4653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282"/>
  <sheetViews>
    <sheetView workbookViewId="0">
      <pane ySplit="1" topLeftCell="A2" activePane="bottomLeft" state="frozen"/>
      <selection pane="bottomLeft"/>
    </sheetView>
  </sheetViews>
  <sheetFormatPr defaultRowHeight="14.4" x14ac:dyDescent="0.3"/>
  <cols>
    <col min="1" max="1" width="16.6640625" style="9" bestFit="1" customWidth="1"/>
    <col min="2" max="2" width="26.44140625" style="9" bestFit="1" customWidth="1"/>
    <col min="3" max="3" width="24.44140625" style="9" bestFit="1" customWidth="1"/>
    <col min="4" max="4" width="20.5546875" style="9" bestFit="1" customWidth="1"/>
    <col min="5" max="5" width="16.44140625" style="9" bestFit="1" customWidth="1"/>
    <col min="6" max="6" width="32.109375" style="9" bestFit="1" customWidth="1"/>
  </cols>
  <sheetData>
    <row r="1" spans="1:6" ht="18.75" customHeight="1" x14ac:dyDescent="0.3">
      <c r="A1" s="7" t="s">
        <v>4654</v>
      </c>
      <c r="B1" s="7" t="s">
        <v>4655</v>
      </c>
      <c r="C1" s="7" t="s">
        <v>4656</v>
      </c>
      <c r="D1" s="7" t="s">
        <v>4657</v>
      </c>
      <c r="E1" s="7" t="s">
        <v>4658</v>
      </c>
      <c r="F1" s="8" t="s">
        <v>4659</v>
      </c>
    </row>
    <row r="2" spans="1:6" ht="18.75" customHeight="1" x14ac:dyDescent="0.3">
      <c r="B2" t="s">
        <v>4660</v>
      </c>
      <c r="C2" t="s">
        <v>4661</v>
      </c>
      <c r="D2" t="s">
        <v>4660</v>
      </c>
      <c r="E2" t="str">
        <f t="shared" ref="E2:E65" si="0">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NRD_009</v>
      </c>
      <c r="F2" t="s">
        <v>4086</v>
      </c>
    </row>
    <row r="3" spans="1:6" ht="18.75" hidden="1" customHeight="1" x14ac:dyDescent="0.3">
      <c r="D3" t="s">
        <v>4662</v>
      </c>
      <c r="E3" t="str">
        <f t="shared" si="0"/>
        <v>NRD_013</v>
      </c>
      <c r="F3" t="s">
        <v>4086</v>
      </c>
    </row>
    <row r="4" spans="1:6" ht="18.75" hidden="1" customHeight="1" x14ac:dyDescent="0.3">
      <c r="D4" t="s">
        <v>4663</v>
      </c>
      <c r="E4" t="str">
        <f t="shared" si="0"/>
        <v>NRD_038</v>
      </c>
      <c r="F4" t="s">
        <v>4086</v>
      </c>
    </row>
    <row r="5" spans="1:6" ht="18.75" hidden="1" customHeight="1" x14ac:dyDescent="0.3">
      <c r="D5" t="s">
        <v>4664</v>
      </c>
      <c r="E5" t="str">
        <f t="shared" si="0"/>
        <v>NRD_158</v>
      </c>
      <c r="F5" t="s">
        <v>4086</v>
      </c>
    </row>
    <row r="6" spans="1:6" ht="18.75" hidden="1" customHeight="1" x14ac:dyDescent="0.3">
      <c r="D6" t="s">
        <v>4665</v>
      </c>
      <c r="E6" t="str">
        <f t="shared" si="0"/>
        <v>NRD_183</v>
      </c>
      <c r="F6" t="s">
        <v>4086</v>
      </c>
    </row>
    <row r="7" spans="1:6" ht="18.75" hidden="1" customHeight="1" x14ac:dyDescent="0.3">
      <c r="D7" t="s">
        <v>4666</v>
      </c>
      <c r="E7" t="str">
        <f t="shared" si="0"/>
        <v>NRD_162</v>
      </c>
      <c r="F7" t="s">
        <v>4086</v>
      </c>
    </row>
    <row r="8" spans="1:6" ht="18.75" hidden="1" customHeight="1" x14ac:dyDescent="0.3">
      <c r="D8" t="s">
        <v>4667</v>
      </c>
      <c r="E8" t="str">
        <f t="shared" si="0"/>
        <v>NRD_037</v>
      </c>
      <c r="F8" t="s">
        <v>4086</v>
      </c>
    </row>
    <row r="9" spans="1:6" ht="18.75" hidden="1" customHeight="1" x14ac:dyDescent="0.3">
      <c r="D9" t="s">
        <v>4668</v>
      </c>
      <c r="E9" t="str">
        <f t="shared" si="0"/>
        <v>NRD_116</v>
      </c>
      <c r="F9" t="s">
        <v>4086</v>
      </c>
    </row>
    <row r="10" spans="1:6" ht="18.75" hidden="1" customHeight="1" x14ac:dyDescent="0.3">
      <c r="D10" t="s">
        <v>3722</v>
      </c>
      <c r="E10" t="str">
        <f t="shared" si="0"/>
        <v>NRD_255</v>
      </c>
      <c r="F10" t="s">
        <v>4086</v>
      </c>
    </row>
    <row r="11" spans="1:6" ht="18.75" hidden="1" customHeight="1" x14ac:dyDescent="0.3">
      <c r="D11" t="s">
        <v>4669</v>
      </c>
      <c r="E11" t="str">
        <f t="shared" si="0"/>
        <v>NRD_261</v>
      </c>
      <c r="F11" t="s">
        <v>4086</v>
      </c>
    </row>
    <row r="12" spans="1:6" ht="18.75" hidden="1" customHeight="1" x14ac:dyDescent="0.3">
      <c r="D12" t="s">
        <v>4084</v>
      </c>
      <c r="E12" t="str">
        <f t="shared" si="0"/>
        <v>NRD_262</v>
      </c>
      <c r="F12" t="s">
        <v>4086</v>
      </c>
    </row>
    <row r="13" spans="1:6" ht="18.75" hidden="1" customHeight="1" x14ac:dyDescent="0.3">
      <c r="D13" t="s">
        <v>4670</v>
      </c>
      <c r="E13" t="str">
        <f t="shared" si="0"/>
        <v>NRD_143</v>
      </c>
      <c r="F13" t="s">
        <v>4086</v>
      </c>
    </row>
    <row r="14" spans="1:6" ht="18.75" hidden="1" customHeight="1" x14ac:dyDescent="0.3">
      <c r="D14" t="s">
        <v>4671</v>
      </c>
      <c r="E14" t="str">
        <f t="shared" si="0"/>
        <v>NRD_252</v>
      </c>
      <c r="F14" t="s">
        <v>4086</v>
      </c>
    </row>
    <row r="15" spans="1:6" ht="18.75" hidden="1" customHeight="1" x14ac:dyDescent="0.3">
      <c r="D15" t="s">
        <v>4672</v>
      </c>
      <c r="E15" t="str">
        <f t="shared" si="0"/>
        <v>NRD_054</v>
      </c>
      <c r="F15" t="s">
        <v>4086</v>
      </c>
    </row>
    <row r="16" spans="1:6" ht="18.75" hidden="1" customHeight="1" x14ac:dyDescent="0.3">
      <c r="D16" t="s">
        <v>4673</v>
      </c>
      <c r="E16" t="str">
        <f t="shared" si="0"/>
        <v>NRD_083</v>
      </c>
      <c r="F16" t="s">
        <v>4086</v>
      </c>
    </row>
    <row r="17" spans="2:6" ht="18.75" hidden="1" customHeight="1" x14ac:dyDescent="0.3">
      <c r="D17" t="s">
        <v>4674</v>
      </c>
      <c r="E17" t="str">
        <f t="shared" si="0"/>
        <v>NRD_096</v>
      </c>
      <c r="F17" t="s">
        <v>4086</v>
      </c>
    </row>
    <row r="18" spans="2:6" ht="18.75" hidden="1" customHeight="1" x14ac:dyDescent="0.3">
      <c r="D18" t="s">
        <v>4675</v>
      </c>
      <c r="E18" t="str">
        <f t="shared" si="0"/>
        <v>NRD_133</v>
      </c>
      <c r="F18" t="s">
        <v>4086</v>
      </c>
    </row>
    <row r="19" spans="2:6" ht="18.75" hidden="1" customHeight="1" x14ac:dyDescent="0.3">
      <c r="D19" t="s">
        <v>4676</v>
      </c>
      <c r="E19" t="str">
        <f t="shared" si="0"/>
        <v>NRD_145</v>
      </c>
      <c r="F19" t="s">
        <v>4086</v>
      </c>
    </row>
    <row r="20" spans="2:6" ht="18.75" hidden="1" customHeight="1" x14ac:dyDescent="0.3">
      <c r="D20" t="s">
        <v>4677</v>
      </c>
      <c r="E20" t="str">
        <f t="shared" si="0"/>
        <v>NRD_146</v>
      </c>
      <c r="F20" t="s">
        <v>4086</v>
      </c>
    </row>
    <row r="21" spans="2:6" ht="18.75" hidden="1" customHeight="1" x14ac:dyDescent="0.3">
      <c r="D21" t="s">
        <v>4678</v>
      </c>
      <c r="E21" t="str">
        <f t="shared" si="0"/>
        <v>NRD_085</v>
      </c>
      <c r="F21" t="s">
        <v>4086</v>
      </c>
    </row>
    <row r="22" spans="2:6" ht="18.75" hidden="1" customHeight="1" x14ac:dyDescent="0.3">
      <c r="D22" t="s">
        <v>4679</v>
      </c>
      <c r="E22" t="str">
        <f t="shared" si="0"/>
        <v>NRD_117</v>
      </c>
      <c r="F22" t="s">
        <v>4086</v>
      </c>
    </row>
    <row r="23" spans="2:6" ht="18.75" hidden="1" customHeight="1" x14ac:dyDescent="0.3">
      <c r="D23" t="s">
        <v>4680</v>
      </c>
      <c r="E23" t="str">
        <f t="shared" si="0"/>
        <v>NRD_130</v>
      </c>
      <c r="F23" t="s">
        <v>4086</v>
      </c>
    </row>
    <row r="24" spans="2:6" ht="18.75" hidden="1" customHeight="1" x14ac:dyDescent="0.3">
      <c r="D24" t="s">
        <v>4681</v>
      </c>
      <c r="E24" t="str">
        <f t="shared" si="0"/>
        <v>NRD_147</v>
      </c>
      <c r="F24" t="s">
        <v>4086</v>
      </c>
    </row>
    <row r="25" spans="2:6" ht="18.75" hidden="1" customHeight="1" x14ac:dyDescent="0.3">
      <c r="D25" t="s">
        <v>4682</v>
      </c>
      <c r="E25" t="str">
        <f t="shared" si="0"/>
        <v>NRD_148</v>
      </c>
      <c r="F25" t="s">
        <v>4086</v>
      </c>
    </row>
    <row r="26" spans="2:6" ht="18.75" hidden="1" customHeight="1" x14ac:dyDescent="0.3">
      <c r="D26" t="s">
        <v>4683</v>
      </c>
      <c r="E26" t="str">
        <f t="shared" si="0"/>
        <v>NRD_189</v>
      </c>
      <c r="F26" t="s">
        <v>4086</v>
      </c>
    </row>
    <row r="27" spans="2:6" ht="18.75" hidden="1" customHeight="1" x14ac:dyDescent="0.3">
      <c r="D27" t="s">
        <v>4684</v>
      </c>
      <c r="E27" t="str">
        <f t="shared" si="0"/>
        <v>NRD_287</v>
      </c>
      <c r="F27" t="s">
        <v>4086</v>
      </c>
    </row>
    <row r="28" spans="2:6" ht="18.75" hidden="1" customHeight="1" x14ac:dyDescent="0.3">
      <c r="D28" t="s">
        <v>4685</v>
      </c>
      <c r="E28" t="str">
        <f t="shared" si="0"/>
        <v>NRD_212</v>
      </c>
      <c r="F28" t="s">
        <v>4086</v>
      </c>
    </row>
    <row r="29" spans="2:6" ht="18.75" hidden="1" customHeight="1" x14ac:dyDescent="0.3">
      <c r="D29" t="s">
        <v>4686</v>
      </c>
      <c r="E29" t="str">
        <f t="shared" si="0"/>
        <v>NRD_304</v>
      </c>
      <c r="F29" t="s">
        <v>4086</v>
      </c>
    </row>
    <row r="30" spans="2:6" ht="18.75" hidden="1" customHeight="1" x14ac:dyDescent="0.3">
      <c r="B30" t="s">
        <v>4687</v>
      </c>
      <c r="C30" t="s">
        <v>4688</v>
      </c>
      <c r="D30" t="s">
        <v>4689</v>
      </c>
      <c r="E30" t="str">
        <f t="shared" si="0"/>
        <v>SUO_170</v>
      </c>
      <c r="F30" t="s">
        <v>4064</v>
      </c>
    </row>
    <row r="31" spans="2:6" ht="18.75" hidden="1" customHeight="1" x14ac:dyDescent="0.3">
      <c r="D31" t="s">
        <v>4690</v>
      </c>
      <c r="E31" t="str">
        <f t="shared" si="0"/>
        <v>SUO_221</v>
      </c>
      <c r="F31" t="s">
        <v>4064</v>
      </c>
    </row>
    <row r="32" spans="2:6" ht="18.75" hidden="1" customHeight="1" x14ac:dyDescent="0.3">
      <c r="D32" t="s">
        <v>4687</v>
      </c>
      <c r="E32" t="str">
        <f t="shared" si="0"/>
        <v>SUO_066</v>
      </c>
      <c r="F32" t="s">
        <v>4064</v>
      </c>
    </row>
    <row r="33" spans="2:6" ht="18.75" hidden="1" customHeight="1" x14ac:dyDescent="0.3">
      <c r="D33" t="s">
        <v>4691</v>
      </c>
      <c r="E33" t="str">
        <f t="shared" si="0"/>
        <v>SUO_186</v>
      </c>
      <c r="F33" t="s">
        <v>4064</v>
      </c>
    </row>
    <row r="34" spans="2:6" ht="18.75" hidden="1" customHeight="1" x14ac:dyDescent="0.3">
      <c r="D34" t="s">
        <v>4692</v>
      </c>
      <c r="E34" t="str">
        <f t="shared" si="0"/>
        <v>SUO_197</v>
      </c>
      <c r="F34" t="s">
        <v>4064</v>
      </c>
    </row>
    <row r="35" spans="2:6" ht="18.75" hidden="1" customHeight="1" x14ac:dyDescent="0.3">
      <c r="B35" t="s">
        <v>4693</v>
      </c>
      <c r="C35" t="s">
        <v>4694</v>
      </c>
      <c r="D35" t="s">
        <v>4695</v>
      </c>
      <c r="E35" t="str">
        <f t="shared" si="0"/>
        <v>OST_093</v>
      </c>
      <c r="F35" t="s">
        <v>4323</v>
      </c>
    </row>
    <row r="36" spans="2:6" ht="18.75" hidden="1" customHeight="1" x14ac:dyDescent="0.3">
      <c r="D36" t="s">
        <v>4696</v>
      </c>
      <c r="E36" t="str">
        <f t="shared" si="0"/>
        <v>OST_200</v>
      </c>
      <c r="F36" t="s">
        <v>4323</v>
      </c>
    </row>
    <row r="37" spans="2:6" ht="18.75" hidden="1" customHeight="1" x14ac:dyDescent="0.3">
      <c r="D37" t="s">
        <v>4697</v>
      </c>
      <c r="E37" t="str">
        <f t="shared" si="0"/>
        <v>OST_115</v>
      </c>
      <c r="F37" t="s">
        <v>4323</v>
      </c>
    </row>
    <row r="38" spans="2:6" ht="18.75" hidden="1" customHeight="1" x14ac:dyDescent="0.3">
      <c r="D38" t="s">
        <v>4698</v>
      </c>
      <c r="E38" t="str">
        <f t="shared" si="0"/>
        <v>OST_905</v>
      </c>
      <c r="F38" t="s">
        <v>4323</v>
      </c>
    </row>
    <row r="39" spans="2:6" ht="18.75" hidden="1" customHeight="1" x14ac:dyDescent="0.3">
      <c r="D39" t="s">
        <v>4699</v>
      </c>
      <c r="E39" t="str">
        <f t="shared" si="0"/>
        <v>OST_907</v>
      </c>
      <c r="F39" t="s">
        <v>4323</v>
      </c>
    </row>
    <row r="40" spans="2:6" ht="18.75" hidden="1" customHeight="1" x14ac:dyDescent="0.3">
      <c r="D40" t="s">
        <v>4700</v>
      </c>
      <c r="E40" t="str">
        <f t="shared" si="0"/>
        <v>OST_386</v>
      </c>
      <c r="F40" t="s">
        <v>4323</v>
      </c>
    </row>
    <row r="41" spans="2:6" ht="18.75" hidden="1" customHeight="1" x14ac:dyDescent="0.3">
      <c r="D41" t="s">
        <v>4701</v>
      </c>
      <c r="E41" t="str">
        <f t="shared" si="0"/>
        <v>OST_390</v>
      </c>
      <c r="F41" t="s">
        <v>4323</v>
      </c>
    </row>
    <row r="42" spans="2:6" ht="18.75" hidden="1" customHeight="1" x14ac:dyDescent="0.3">
      <c r="D42" t="s">
        <v>4702</v>
      </c>
      <c r="E42" t="str">
        <f t="shared" si="0"/>
        <v>OST_337</v>
      </c>
      <c r="F42" t="s">
        <v>4323</v>
      </c>
    </row>
    <row r="43" spans="2:6" ht="18.75" hidden="1" customHeight="1" x14ac:dyDescent="0.3">
      <c r="D43" t="s">
        <v>4703</v>
      </c>
      <c r="E43" t="str">
        <f t="shared" si="0"/>
        <v>OST_382</v>
      </c>
      <c r="F43" t="s">
        <v>4323</v>
      </c>
    </row>
    <row r="44" spans="2:6" ht="18.75" hidden="1" customHeight="1" x14ac:dyDescent="0.3">
      <c r="D44" t="s">
        <v>4704</v>
      </c>
      <c r="E44" t="str">
        <f t="shared" si="0"/>
        <v>OST_389</v>
      </c>
      <c r="F44" t="s">
        <v>4323</v>
      </c>
    </row>
    <row r="45" spans="2:6" ht="18.75" hidden="1" customHeight="1" x14ac:dyDescent="0.3">
      <c r="D45" t="s">
        <v>4705</v>
      </c>
      <c r="E45" t="str">
        <f t="shared" si="0"/>
        <v>OST_391</v>
      </c>
      <c r="F45" t="s">
        <v>4323</v>
      </c>
    </row>
    <row r="46" spans="2:6" ht="18.75" hidden="1" customHeight="1" x14ac:dyDescent="0.3">
      <c r="D46" t="s">
        <v>4706</v>
      </c>
      <c r="E46" t="str">
        <f t="shared" si="0"/>
        <v>ADM_191</v>
      </c>
      <c r="F46" t="s">
        <v>4323</v>
      </c>
    </row>
    <row r="47" spans="2:6" ht="18.75" hidden="1" customHeight="1" x14ac:dyDescent="0.3">
      <c r="D47" t="s">
        <v>4707</v>
      </c>
      <c r="E47" t="str">
        <f t="shared" si="0"/>
        <v>ADM_248</v>
      </c>
      <c r="F47" t="s">
        <v>4323</v>
      </c>
    </row>
    <row r="48" spans="2:6" ht="18.75" hidden="1" customHeight="1" x14ac:dyDescent="0.3">
      <c r="D48" t="s">
        <v>4708</v>
      </c>
      <c r="E48" t="str">
        <f t="shared" si="0"/>
        <v>OST_383</v>
      </c>
      <c r="F48" t="s">
        <v>4323</v>
      </c>
    </row>
    <row r="49" spans="4:6" ht="18.75" hidden="1" customHeight="1" x14ac:dyDescent="0.3">
      <c r="D49" t="s">
        <v>4709</v>
      </c>
      <c r="E49" t="str">
        <f t="shared" si="0"/>
        <v>ADM_259</v>
      </c>
      <c r="F49" t="s">
        <v>4323</v>
      </c>
    </row>
    <row r="50" spans="4:6" ht="18.75" hidden="1" customHeight="1" x14ac:dyDescent="0.3">
      <c r="D50" t="s">
        <v>4698</v>
      </c>
      <c r="E50" t="str">
        <f t="shared" si="0"/>
        <v>OST_905</v>
      </c>
      <c r="F50" t="s">
        <v>4323</v>
      </c>
    </row>
    <row r="51" spans="4:6" ht="18.75" hidden="1" customHeight="1" x14ac:dyDescent="0.3">
      <c r="D51" t="s">
        <v>4710</v>
      </c>
      <c r="E51" t="str">
        <f t="shared" si="0"/>
        <v>OST_405</v>
      </c>
      <c r="F51" t="s">
        <v>4323</v>
      </c>
    </row>
    <row r="52" spans="4:6" ht="18.75" hidden="1" customHeight="1" x14ac:dyDescent="0.3">
      <c r="D52" t="s">
        <v>4711</v>
      </c>
      <c r="E52" t="str">
        <f t="shared" si="0"/>
        <v>OST_376</v>
      </c>
      <c r="F52" t="s">
        <v>4323</v>
      </c>
    </row>
    <row r="53" spans="4:6" ht="18.75" hidden="1" customHeight="1" x14ac:dyDescent="0.3">
      <c r="D53" t="s">
        <v>4712</v>
      </c>
      <c r="E53" t="str">
        <f t="shared" si="0"/>
        <v>OST_372</v>
      </c>
      <c r="F53" t="s">
        <v>4323</v>
      </c>
    </row>
    <row r="54" spans="4:6" ht="18.75" hidden="1" customHeight="1" x14ac:dyDescent="0.3">
      <c r="D54" t="s">
        <v>4713</v>
      </c>
      <c r="E54" t="str">
        <f t="shared" si="0"/>
        <v>OST_908</v>
      </c>
      <c r="F54" t="s">
        <v>4323</v>
      </c>
    </row>
    <row r="55" spans="4:6" ht="18.75" hidden="1" customHeight="1" x14ac:dyDescent="0.3">
      <c r="D55" t="s">
        <v>4714</v>
      </c>
      <c r="E55" t="str">
        <f t="shared" si="0"/>
        <v>OST_378</v>
      </c>
      <c r="F55" t="s">
        <v>4323</v>
      </c>
    </row>
    <row r="56" spans="4:6" ht="18.75" hidden="1" customHeight="1" x14ac:dyDescent="0.3">
      <c r="D56" t="s">
        <v>4715</v>
      </c>
      <c r="E56" t="str">
        <f t="shared" si="0"/>
        <v>OST_373</v>
      </c>
      <c r="F56" t="s">
        <v>4323</v>
      </c>
    </row>
    <row r="57" spans="4:6" ht="18.75" hidden="1" customHeight="1" x14ac:dyDescent="0.3">
      <c r="D57" t="s">
        <v>4716</v>
      </c>
      <c r="E57" t="str">
        <f t="shared" si="0"/>
        <v>OST_019</v>
      </c>
      <c r="F57" t="s">
        <v>4323</v>
      </c>
    </row>
    <row r="58" spans="4:6" ht="18.75" hidden="1" customHeight="1" x14ac:dyDescent="0.3">
      <c r="D58" t="s">
        <v>4717</v>
      </c>
      <c r="E58" t="str">
        <f t="shared" si="0"/>
        <v>OST_252</v>
      </c>
      <c r="F58" t="s">
        <v>4323</v>
      </c>
    </row>
    <row r="59" spans="4:6" ht="18.75" hidden="1" customHeight="1" x14ac:dyDescent="0.3">
      <c r="D59" t="s">
        <v>4718</v>
      </c>
      <c r="E59" t="str">
        <f t="shared" si="0"/>
        <v>ADM_058</v>
      </c>
      <c r="F59" t="s">
        <v>4323</v>
      </c>
    </row>
    <row r="60" spans="4:6" ht="18.75" hidden="1" customHeight="1" x14ac:dyDescent="0.3">
      <c r="D60" t="s">
        <v>4719</v>
      </c>
      <c r="E60" t="str">
        <f t="shared" si="0"/>
        <v>ADM_004</v>
      </c>
      <c r="F60" t="s">
        <v>4323</v>
      </c>
    </row>
    <row r="61" spans="4:6" ht="18.75" hidden="1" customHeight="1" x14ac:dyDescent="0.3">
      <c r="D61" t="s">
        <v>4720</v>
      </c>
      <c r="E61" t="str">
        <f t="shared" si="0"/>
        <v>ADM_012</v>
      </c>
      <c r="F61" t="s">
        <v>4323</v>
      </c>
    </row>
    <row r="62" spans="4:6" ht="18.75" hidden="1" customHeight="1" x14ac:dyDescent="0.3">
      <c r="D62" t="s">
        <v>4721</v>
      </c>
      <c r="E62" t="str">
        <f t="shared" si="0"/>
        <v>OST_023</v>
      </c>
      <c r="F62" t="s">
        <v>4323</v>
      </c>
    </row>
    <row r="63" spans="4:6" ht="18.75" hidden="1" customHeight="1" x14ac:dyDescent="0.3">
      <c r="D63" t="s">
        <v>4722</v>
      </c>
      <c r="E63" t="str">
        <f t="shared" si="0"/>
        <v>ADM_001</v>
      </c>
      <c r="F63" t="s">
        <v>4323</v>
      </c>
    </row>
    <row r="64" spans="4:6" ht="18.75" hidden="1" customHeight="1" x14ac:dyDescent="0.3">
      <c r="D64" t="s">
        <v>4723</v>
      </c>
      <c r="E64" t="str">
        <f t="shared" si="0"/>
        <v>OST_039</v>
      </c>
      <c r="F64" t="s">
        <v>4323</v>
      </c>
    </row>
    <row r="65" spans="2:6" ht="18.75" hidden="1" customHeight="1" x14ac:dyDescent="0.3">
      <c r="D65" t="s">
        <v>4724</v>
      </c>
      <c r="E65" t="str">
        <f t="shared" si="0"/>
        <v>OST_027</v>
      </c>
      <c r="F65" t="s">
        <v>4323</v>
      </c>
    </row>
    <row r="66" spans="2:6" ht="18.75" hidden="1" customHeight="1" x14ac:dyDescent="0.3">
      <c r="B66" t="s">
        <v>4725</v>
      </c>
      <c r="C66" t="s">
        <v>4726</v>
      </c>
      <c r="D66" t="s">
        <v>4725</v>
      </c>
      <c r="E66" t="str">
        <f t="shared" ref="E66:E129" si="1">IFERROR(MID(D66, SEARCH("CTR_", D66), 7), IFERROR(MID(D66, SEARCH("SUO_", D66), 7), IFERROR(MID(D66, SEARCH("SUD_", D66), 7), IFERROR(MID(D66, SEARCH("NRO_", D66), 7), IFERROR(MID(D66, SEARCH("ADM_", D66), 7), IFERROR(MID(D66, SEARCH("NRD_", D66), 7), IFERROR(MID(D66, SEARCH("EXN_", D66), 7), IFERROR(MID(D66, SEARCH("LIT_", D66), 7), IFERROR(MID(D66, SEARCH("EST_", D66), 7), MID(D66, SEARCH("OST_",D66), 7))))))))))</f>
        <v>CTR_301</v>
      </c>
      <c r="F66" t="s">
        <v>4727</v>
      </c>
    </row>
    <row r="67" spans="2:6" ht="18.75" hidden="1" customHeight="1" x14ac:dyDescent="0.3">
      <c r="D67" t="s">
        <v>4728</v>
      </c>
      <c r="E67" t="str">
        <f t="shared" si="1"/>
        <v>CTR_300</v>
      </c>
      <c r="F67" t="s">
        <v>4727</v>
      </c>
    </row>
    <row r="68" spans="2:6" ht="18.75" hidden="1" customHeight="1" x14ac:dyDescent="0.3">
      <c r="D68" t="s">
        <v>4169</v>
      </c>
      <c r="E68" t="str">
        <f t="shared" si="1"/>
        <v>CTR_406</v>
      </c>
      <c r="F68" t="s">
        <v>4727</v>
      </c>
    </row>
    <row r="69" spans="2:6" ht="18.75" hidden="1" customHeight="1" x14ac:dyDescent="0.3">
      <c r="D69" t="s">
        <v>4729</v>
      </c>
      <c r="E69" t="str">
        <f t="shared" si="1"/>
        <v>CTR_986</v>
      </c>
      <c r="F69" t="s">
        <v>4727</v>
      </c>
    </row>
    <row r="70" spans="2:6" ht="18.75" hidden="1" customHeight="1" x14ac:dyDescent="0.3">
      <c r="D70" t="s">
        <v>4730</v>
      </c>
      <c r="E70" t="str">
        <f t="shared" si="1"/>
        <v>CTR_986</v>
      </c>
      <c r="F70" t="s">
        <v>4727</v>
      </c>
    </row>
    <row r="71" spans="2:6" ht="18.75" hidden="1" customHeight="1" x14ac:dyDescent="0.3">
      <c r="B71" t="s">
        <v>4731</v>
      </c>
      <c r="C71" t="s">
        <v>4732</v>
      </c>
      <c r="D71" t="s">
        <v>4665</v>
      </c>
      <c r="E71" t="str">
        <f t="shared" si="1"/>
        <v>NRD_183</v>
      </c>
      <c r="F71" t="s">
        <v>4733</v>
      </c>
    </row>
    <row r="72" spans="2:6" ht="18.75" hidden="1" customHeight="1" x14ac:dyDescent="0.3">
      <c r="D72" t="s">
        <v>4675</v>
      </c>
      <c r="E72" t="str">
        <f t="shared" si="1"/>
        <v>NRD_133</v>
      </c>
      <c r="F72" t="s">
        <v>4733</v>
      </c>
    </row>
    <row r="73" spans="2:6" ht="18.75" hidden="1" customHeight="1" x14ac:dyDescent="0.3">
      <c r="D73" t="s">
        <v>4674</v>
      </c>
      <c r="E73" t="str">
        <f t="shared" si="1"/>
        <v>NRD_096</v>
      </c>
      <c r="F73" t="s">
        <v>4733</v>
      </c>
    </row>
    <row r="74" spans="2:6" ht="18.75" hidden="1" customHeight="1" x14ac:dyDescent="0.3">
      <c r="D74" t="s">
        <v>4662</v>
      </c>
      <c r="E74" t="str">
        <f t="shared" si="1"/>
        <v>NRD_013</v>
      </c>
      <c r="F74" t="s">
        <v>4733</v>
      </c>
    </row>
    <row r="75" spans="2:6" ht="18.75" hidden="1" customHeight="1" x14ac:dyDescent="0.3">
      <c r="D75" t="s">
        <v>4685</v>
      </c>
      <c r="E75" t="str">
        <f t="shared" si="1"/>
        <v>NRD_212</v>
      </c>
      <c r="F75" t="s">
        <v>4733</v>
      </c>
    </row>
    <row r="76" spans="2:6" ht="18.75" hidden="1" customHeight="1" x14ac:dyDescent="0.3">
      <c r="D76" t="s">
        <v>4684</v>
      </c>
      <c r="E76" t="str">
        <f t="shared" si="1"/>
        <v>NRD_287</v>
      </c>
      <c r="F76" t="s">
        <v>4733</v>
      </c>
    </row>
    <row r="77" spans="2:6" ht="18.75" hidden="1" customHeight="1" x14ac:dyDescent="0.3">
      <c r="B77" t="s">
        <v>4734</v>
      </c>
      <c r="C77" t="s">
        <v>4735</v>
      </c>
      <c r="E77" t="e">
        <f t="shared" si="1"/>
        <v>#VALUE!</v>
      </c>
      <c r="F77" t="s">
        <v>4329</v>
      </c>
    </row>
    <row r="78" spans="2:6" ht="18.75" hidden="1" customHeight="1" x14ac:dyDescent="0.3">
      <c r="D78" t="s">
        <v>4736</v>
      </c>
      <c r="E78" t="str">
        <f t="shared" si="1"/>
        <v>CTR_097</v>
      </c>
      <c r="F78" t="s">
        <v>4329</v>
      </c>
    </row>
    <row r="79" spans="2:6" ht="18.75" hidden="1" customHeight="1" x14ac:dyDescent="0.3">
      <c r="D79" t="s">
        <v>4737</v>
      </c>
      <c r="E79" t="str">
        <f t="shared" si="1"/>
        <v>CTR_541</v>
      </c>
      <c r="F79" t="s">
        <v>4329</v>
      </c>
    </row>
    <row r="80" spans="2:6" ht="18.75" hidden="1" customHeight="1" x14ac:dyDescent="0.3">
      <c r="D80" t="s">
        <v>4738</v>
      </c>
      <c r="E80" t="str">
        <f t="shared" si="1"/>
        <v>CTR_358</v>
      </c>
      <c r="F80" t="s">
        <v>4329</v>
      </c>
    </row>
    <row r="81" spans="2:6" ht="18.75" hidden="1" customHeight="1" x14ac:dyDescent="0.3">
      <c r="D81" t="s">
        <v>4739</v>
      </c>
      <c r="E81" t="str">
        <f t="shared" si="1"/>
        <v>CTR_116</v>
      </c>
      <c r="F81" t="s">
        <v>4329</v>
      </c>
    </row>
    <row r="82" spans="2:6" ht="18.75" hidden="1" customHeight="1" x14ac:dyDescent="0.3">
      <c r="D82" t="s">
        <v>4740</v>
      </c>
      <c r="E82" t="str">
        <f t="shared" si="1"/>
        <v>CTR_528</v>
      </c>
      <c r="F82" t="s">
        <v>4329</v>
      </c>
    </row>
    <row r="83" spans="2:6" ht="18.75" hidden="1" customHeight="1" x14ac:dyDescent="0.3">
      <c r="D83" t="s">
        <v>4741</v>
      </c>
      <c r="E83" t="str">
        <f t="shared" si="1"/>
        <v>CTR_066</v>
      </c>
      <c r="F83" t="s">
        <v>4329</v>
      </c>
    </row>
    <row r="84" spans="2:6" ht="18.75" hidden="1" customHeight="1" x14ac:dyDescent="0.3">
      <c r="D84" t="s">
        <v>4742</v>
      </c>
      <c r="E84" t="str">
        <f t="shared" si="1"/>
        <v>CTR_733</v>
      </c>
      <c r="F84" t="s">
        <v>4329</v>
      </c>
    </row>
    <row r="85" spans="2:6" ht="18.75" hidden="1" customHeight="1" x14ac:dyDescent="0.3">
      <c r="D85" t="s">
        <v>4743</v>
      </c>
      <c r="E85" t="str">
        <f t="shared" si="1"/>
        <v>CTR_060</v>
      </c>
      <c r="F85" t="s">
        <v>4329</v>
      </c>
    </row>
    <row r="86" spans="2:6" ht="18.75" hidden="1" customHeight="1" x14ac:dyDescent="0.3">
      <c r="B86" t="s">
        <v>4744</v>
      </c>
      <c r="C86" t="s">
        <v>4745</v>
      </c>
      <c r="D86" t="s">
        <v>4746</v>
      </c>
      <c r="E86" t="str">
        <f t="shared" si="1"/>
        <v>ADM_227</v>
      </c>
      <c r="F86" t="s">
        <v>4747</v>
      </c>
    </row>
    <row r="87" spans="2:6" ht="18.75" hidden="1" customHeight="1" x14ac:dyDescent="0.3">
      <c r="D87" t="s">
        <v>4748</v>
      </c>
      <c r="E87" t="str">
        <f t="shared" si="1"/>
        <v>ADM_017</v>
      </c>
      <c r="F87" t="s">
        <v>4747</v>
      </c>
    </row>
    <row r="88" spans="2:6" ht="18.75" hidden="1" customHeight="1" x14ac:dyDescent="0.3">
      <c r="D88" t="s">
        <v>4749</v>
      </c>
      <c r="E88" t="str">
        <f t="shared" si="1"/>
        <v>ADM_083</v>
      </c>
      <c r="F88" t="s">
        <v>4747</v>
      </c>
    </row>
    <row r="89" spans="2:6" ht="18.75" hidden="1" customHeight="1" x14ac:dyDescent="0.3">
      <c r="D89" t="s">
        <v>4750</v>
      </c>
      <c r="E89" t="str">
        <f t="shared" si="1"/>
        <v>ADM_007</v>
      </c>
      <c r="F89" t="s">
        <v>4747</v>
      </c>
    </row>
    <row r="90" spans="2:6" ht="18.75" hidden="1" customHeight="1" x14ac:dyDescent="0.3">
      <c r="B90" t="s">
        <v>4751</v>
      </c>
      <c r="C90" t="s">
        <v>4752</v>
      </c>
      <c r="D90" t="s">
        <v>4753</v>
      </c>
      <c r="E90" t="str">
        <f t="shared" si="1"/>
        <v>SUO_182</v>
      </c>
      <c r="F90" t="s">
        <v>4754</v>
      </c>
    </row>
    <row r="91" spans="2:6" ht="18.75" hidden="1" customHeight="1" x14ac:dyDescent="0.3">
      <c r="D91" t="s">
        <v>4755</v>
      </c>
      <c r="E91" t="str">
        <f t="shared" si="1"/>
        <v>SUO_260</v>
      </c>
      <c r="F91" t="s">
        <v>4754</v>
      </c>
    </row>
    <row r="92" spans="2:6" ht="18.75" hidden="1" customHeight="1" x14ac:dyDescent="0.3">
      <c r="D92" t="s">
        <v>4756</v>
      </c>
      <c r="E92" t="str">
        <f t="shared" si="1"/>
        <v>SUO_220</v>
      </c>
      <c r="F92" t="s">
        <v>4754</v>
      </c>
    </row>
    <row r="93" spans="2:6" ht="18.75" hidden="1" customHeight="1" x14ac:dyDescent="0.3">
      <c r="D93" t="s">
        <v>4757</v>
      </c>
      <c r="E93" t="str">
        <f t="shared" si="1"/>
        <v>SUO_200</v>
      </c>
      <c r="F93" t="s">
        <v>4754</v>
      </c>
    </row>
    <row r="94" spans="2:6" ht="18.75" hidden="1" customHeight="1" x14ac:dyDescent="0.3">
      <c r="D94" t="s">
        <v>4758</v>
      </c>
      <c r="E94" t="str">
        <f t="shared" si="1"/>
        <v>SUO_169</v>
      </c>
      <c r="F94" t="s">
        <v>4754</v>
      </c>
    </row>
    <row r="95" spans="2:6" ht="18.75" hidden="1" customHeight="1" x14ac:dyDescent="0.3">
      <c r="B95" t="s">
        <v>4759</v>
      </c>
      <c r="C95" t="s">
        <v>4760</v>
      </c>
      <c r="D95" t="s">
        <v>4761</v>
      </c>
      <c r="E95" t="str">
        <f t="shared" si="1"/>
        <v>EXN_208</v>
      </c>
      <c r="F95" t="s">
        <v>4762</v>
      </c>
    </row>
    <row r="96" spans="2:6" ht="18.75" hidden="1" customHeight="1" x14ac:dyDescent="0.3">
      <c r="D96" t="s">
        <v>4759</v>
      </c>
      <c r="E96" t="str">
        <f t="shared" si="1"/>
        <v>EXN_202</v>
      </c>
      <c r="F96" t="s">
        <v>4762</v>
      </c>
    </row>
    <row r="97" spans="2:6" ht="18.75" hidden="1" customHeight="1" x14ac:dyDescent="0.3">
      <c r="D97" t="s">
        <v>4763</v>
      </c>
      <c r="E97" t="str">
        <f t="shared" si="1"/>
        <v>EXN_310</v>
      </c>
      <c r="F97" t="s">
        <v>4762</v>
      </c>
    </row>
    <row r="98" spans="2:6" ht="18.75" hidden="1" customHeight="1" x14ac:dyDescent="0.3">
      <c r="D98" t="s">
        <v>4764</v>
      </c>
      <c r="E98" t="str">
        <f t="shared" si="1"/>
        <v>EXN_050</v>
      </c>
      <c r="F98" t="s">
        <v>4762</v>
      </c>
    </row>
    <row r="99" spans="2:6" ht="18.75" hidden="1" customHeight="1" x14ac:dyDescent="0.3">
      <c r="D99" t="s">
        <v>4765</v>
      </c>
      <c r="E99" t="str">
        <f t="shared" si="1"/>
        <v>EXN_118</v>
      </c>
      <c r="F99" t="s">
        <v>4762</v>
      </c>
    </row>
    <row r="100" spans="2:6" ht="18.75" hidden="1" customHeight="1" x14ac:dyDescent="0.3">
      <c r="B100" t="s">
        <v>4766</v>
      </c>
      <c r="C100" t="s">
        <v>4767</v>
      </c>
      <c r="D100" t="s">
        <v>4768</v>
      </c>
      <c r="E100" t="str">
        <f t="shared" si="1"/>
        <v>SUO_254</v>
      </c>
      <c r="F100" t="s">
        <v>4070</v>
      </c>
    </row>
    <row r="101" spans="2:6" ht="18.75" hidden="1" customHeight="1" x14ac:dyDescent="0.3">
      <c r="D101" t="s">
        <v>4769</v>
      </c>
      <c r="E101" t="str">
        <f t="shared" si="1"/>
        <v>SUO_132</v>
      </c>
      <c r="F101" t="s">
        <v>4070</v>
      </c>
    </row>
    <row r="102" spans="2:6" ht="18.75" hidden="1" customHeight="1" x14ac:dyDescent="0.3">
      <c r="D102" t="s">
        <v>4770</v>
      </c>
      <c r="E102" t="str">
        <f t="shared" si="1"/>
        <v>SUO_038</v>
      </c>
      <c r="F102" t="s">
        <v>4070</v>
      </c>
    </row>
    <row r="103" spans="2:6" ht="18.75" hidden="1" customHeight="1" x14ac:dyDescent="0.3">
      <c r="D103" t="s">
        <v>4771</v>
      </c>
      <c r="E103" t="str">
        <f t="shared" si="1"/>
        <v>SUO_301</v>
      </c>
      <c r="F103" t="s">
        <v>4070</v>
      </c>
    </row>
    <row r="104" spans="2:6" ht="18.75" hidden="1" customHeight="1" x14ac:dyDescent="0.3">
      <c r="D104" t="s">
        <v>4772</v>
      </c>
      <c r="E104" t="str">
        <f t="shared" si="1"/>
        <v>SUO_306</v>
      </c>
      <c r="F104" t="s">
        <v>4070</v>
      </c>
    </row>
    <row r="105" spans="2:6" ht="18.75" hidden="1" customHeight="1" x14ac:dyDescent="0.3">
      <c r="D105" s="10" t="s">
        <v>4766</v>
      </c>
      <c r="E105" t="str">
        <f t="shared" si="1"/>
        <v>SUO_007</v>
      </c>
      <c r="F105" t="s">
        <v>4070</v>
      </c>
    </row>
    <row r="106" spans="2:6" ht="18.75" hidden="1" customHeight="1" x14ac:dyDescent="0.3">
      <c r="B106" t="s">
        <v>4773</v>
      </c>
      <c r="C106" t="s">
        <v>4774</v>
      </c>
      <c r="D106" t="s">
        <v>4775</v>
      </c>
      <c r="E106" t="str">
        <f t="shared" si="1"/>
        <v>SUO_179</v>
      </c>
      <c r="F106" t="s">
        <v>4162</v>
      </c>
    </row>
    <row r="107" spans="2:6" ht="18.75" hidden="1" customHeight="1" x14ac:dyDescent="0.3">
      <c r="D107" t="s">
        <v>4753</v>
      </c>
      <c r="E107" t="str">
        <f t="shared" si="1"/>
        <v>SUO_182</v>
      </c>
      <c r="F107" t="s">
        <v>4162</v>
      </c>
    </row>
    <row r="108" spans="2:6" ht="18.75" hidden="1" customHeight="1" x14ac:dyDescent="0.3">
      <c r="D108" t="s">
        <v>4776</v>
      </c>
      <c r="E108" t="str">
        <f t="shared" si="1"/>
        <v>SUO_079</v>
      </c>
      <c r="F108" t="s">
        <v>4162</v>
      </c>
    </row>
    <row r="109" spans="2:6" ht="18.75" hidden="1" customHeight="1" x14ac:dyDescent="0.3">
      <c r="D109" t="s">
        <v>4692</v>
      </c>
      <c r="E109" t="str">
        <f t="shared" si="1"/>
        <v>SUO_197</v>
      </c>
      <c r="F109" t="s">
        <v>4162</v>
      </c>
    </row>
    <row r="110" spans="2:6" ht="18.75" hidden="1" customHeight="1" x14ac:dyDescent="0.3">
      <c r="D110" t="s">
        <v>4777</v>
      </c>
      <c r="E110" t="str">
        <f t="shared" si="1"/>
        <v>SUO_190</v>
      </c>
      <c r="F110" t="s">
        <v>4162</v>
      </c>
    </row>
    <row r="111" spans="2:6" ht="18.75" hidden="1" customHeight="1" x14ac:dyDescent="0.3">
      <c r="D111" t="s">
        <v>4778</v>
      </c>
      <c r="E111" t="str">
        <f t="shared" si="1"/>
        <v>SUO_232</v>
      </c>
      <c r="F111" t="s">
        <v>4162</v>
      </c>
    </row>
    <row r="112" spans="2:6" ht="18.75" hidden="1" customHeight="1" x14ac:dyDescent="0.3">
      <c r="D112" t="s">
        <v>4779</v>
      </c>
      <c r="E112" t="str">
        <f t="shared" si="1"/>
        <v>SUO_259</v>
      </c>
      <c r="F112" t="s">
        <v>4162</v>
      </c>
    </row>
    <row r="113" spans="4:6" ht="18.75" hidden="1" customHeight="1" x14ac:dyDescent="0.3">
      <c r="D113" t="s">
        <v>4780</v>
      </c>
      <c r="E113" t="str">
        <f t="shared" si="1"/>
        <v>SUO_242</v>
      </c>
      <c r="F113" t="s">
        <v>4162</v>
      </c>
    </row>
    <row r="114" spans="4:6" ht="18.75" hidden="1" customHeight="1" x14ac:dyDescent="0.3">
      <c r="D114" t="s">
        <v>4755</v>
      </c>
      <c r="E114" t="str">
        <f t="shared" si="1"/>
        <v>SUO_260</v>
      </c>
      <c r="F114" t="s">
        <v>4162</v>
      </c>
    </row>
    <row r="115" spans="4:6" ht="18.75" hidden="1" customHeight="1" x14ac:dyDescent="0.3">
      <c r="D115" t="s">
        <v>4781</v>
      </c>
      <c r="E115" t="str">
        <f t="shared" si="1"/>
        <v>SUO_297</v>
      </c>
      <c r="F115" t="s">
        <v>4162</v>
      </c>
    </row>
    <row r="116" spans="4:6" ht="18.75" hidden="1" customHeight="1" x14ac:dyDescent="0.3">
      <c r="D116" t="s">
        <v>4782</v>
      </c>
      <c r="E116" t="str">
        <f t="shared" si="1"/>
        <v>SUO_299</v>
      </c>
      <c r="F116" t="s">
        <v>4162</v>
      </c>
    </row>
    <row r="117" spans="4:6" ht="18.75" hidden="1" customHeight="1" x14ac:dyDescent="0.3">
      <c r="D117" t="s">
        <v>4783</v>
      </c>
      <c r="E117" t="str">
        <f t="shared" si="1"/>
        <v>SUO_303</v>
      </c>
      <c r="F117" t="s">
        <v>4162</v>
      </c>
    </row>
    <row r="118" spans="4:6" ht="18.75" hidden="1" customHeight="1" x14ac:dyDescent="0.3">
      <c r="D118" t="s">
        <v>4773</v>
      </c>
      <c r="E118" t="str">
        <f t="shared" si="1"/>
        <v>SUO_023</v>
      </c>
      <c r="F118" t="s">
        <v>4162</v>
      </c>
    </row>
    <row r="119" spans="4:6" ht="18.75" hidden="1" customHeight="1" x14ac:dyDescent="0.3">
      <c r="D119" t="s">
        <v>4784</v>
      </c>
      <c r="E119" t="str">
        <f t="shared" si="1"/>
        <v>SUO_033</v>
      </c>
      <c r="F119" t="s">
        <v>4162</v>
      </c>
    </row>
    <row r="120" spans="4:6" ht="18.75" hidden="1" customHeight="1" x14ac:dyDescent="0.3">
      <c r="D120" t="s">
        <v>4785</v>
      </c>
      <c r="E120" t="str">
        <f t="shared" si="1"/>
        <v>SUO_062</v>
      </c>
      <c r="F120" t="s">
        <v>4162</v>
      </c>
    </row>
    <row r="121" spans="4:6" ht="18.75" hidden="1" customHeight="1" x14ac:dyDescent="0.3">
      <c r="D121" t="s">
        <v>4786</v>
      </c>
      <c r="E121" t="str">
        <f t="shared" si="1"/>
        <v>SUO_063</v>
      </c>
      <c r="F121" t="s">
        <v>4162</v>
      </c>
    </row>
    <row r="122" spans="4:6" ht="18.75" hidden="1" customHeight="1" x14ac:dyDescent="0.3">
      <c r="D122" s="10" t="s">
        <v>4787</v>
      </c>
      <c r="E122" s="10" t="str">
        <f t="shared" si="1"/>
        <v>SUO_077</v>
      </c>
      <c r="F122" t="s">
        <v>4162</v>
      </c>
    </row>
    <row r="123" spans="4:6" ht="18.75" hidden="1" customHeight="1" x14ac:dyDescent="0.3">
      <c r="D123" t="s">
        <v>4687</v>
      </c>
      <c r="E123" t="str">
        <f t="shared" si="1"/>
        <v>SUO_066</v>
      </c>
      <c r="F123" t="s">
        <v>4162</v>
      </c>
    </row>
    <row r="124" spans="4:6" ht="18.75" hidden="1" customHeight="1" x14ac:dyDescent="0.3">
      <c r="D124" t="s">
        <v>4788</v>
      </c>
      <c r="E124" t="str">
        <f t="shared" si="1"/>
        <v>SUO_152</v>
      </c>
      <c r="F124" t="s">
        <v>4162</v>
      </c>
    </row>
    <row r="125" spans="4:6" ht="18.75" hidden="1" customHeight="1" x14ac:dyDescent="0.3">
      <c r="D125" t="s">
        <v>4789</v>
      </c>
      <c r="E125" t="str">
        <f t="shared" si="1"/>
        <v>SUO_163</v>
      </c>
      <c r="F125" t="s">
        <v>4162</v>
      </c>
    </row>
    <row r="126" spans="4:6" ht="18.75" hidden="1" customHeight="1" x14ac:dyDescent="0.3">
      <c r="D126" t="s">
        <v>4758</v>
      </c>
      <c r="E126" t="str">
        <f t="shared" si="1"/>
        <v>SUO_169</v>
      </c>
      <c r="F126" t="s">
        <v>4162</v>
      </c>
    </row>
    <row r="127" spans="4:6" ht="18.75" hidden="1" customHeight="1" x14ac:dyDescent="0.3">
      <c r="D127" t="s">
        <v>4689</v>
      </c>
      <c r="E127" t="str">
        <f t="shared" si="1"/>
        <v>SUO_170</v>
      </c>
      <c r="F127" t="s">
        <v>4162</v>
      </c>
    </row>
    <row r="128" spans="4:6" ht="18.75" customHeight="1" x14ac:dyDescent="0.3">
      <c r="D128" t="s">
        <v>4695</v>
      </c>
      <c r="E128" t="str">
        <f t="shared" si="1"/>
        <v>OST_093</v>
      </c>
      <c r="F128" t="s">
        <v>4323</v>
      </c>
    </row>
    <row r="129" spans="4:6" ht="18.75" customHeight="1" x14ac:dyDescent="0.3">
      <c r="D129" t="s">
        <v>4696</v>
      </c>
      <c r="E129" t="str">
        <f t="shared" si="1"/>
        <v>OST_200</v>
      </c>
      <c r="F129" t="s">
        <v>4323</v>
      </c>
    </row>
    <row r="130" spans="4:6" ht="18.75" customHeight="1" x14ac:dyDescent="0.3">
      <c r="D130" t="s">
        <v>4697</v>
      </c>
      <c r="E130" t="str">
        <f t="shared" ref="E130:E193" si="2">IFERROR(MID(D130, SEARCH("CTR_", D130), 7), IFERROR(MID(D130, SEARCH("SUO_", D130), 7), IFERROR(MID(D130, SEARCH("SUD_", D130), 7), IFERROR(MID(D130, SEARCH("NRO_", D130), 7), IFERROR(MID(D130, SEARCH("ADM_", D130), 7), IFERROR(MID(D130, SEARCH("NRD_", D130), 7), IFERROR(MID(D130, SEARCH("EXN_", D130), 7), IFERROR(MID(D130, SEARCH("LIT_", D130), 7), IFERROR(MID(D130, SEARCH("EST_", D130), 7), MID(D130, SEARCH("OST_",D130), 7))))))))))</f>
        <v>OST_115</v>
      </c>
      <c r="F130" t="s">
        <v>4323</v>
      </c>
    </row>
    <row r="131" spans="4:6" ht="18.75" customHeight="1" x14ac:dyDescent="0.3">
      <c r="D131" t="s">
        <v>4698</v>
      </c>
      <c r="E131" t="str">
        <f t="shared" si="2"/>
        <v>OST_905</v>
      </c>
      <c r="F131" t="s">
        <v>4323</v>
      </c>
    </row>
    <row r="132" spans="4:6" ht="18.75" customHeight="1" x14ac:dyDescent="0.3">
      <c r="D132" t="s">
        <v>4699</v>
      </c>
      <c r="E132" t="str">
        <f t="shared" si="2"/>
        <v>OST_907</v>
      </c>
      <c r="F132" t="s">
        <v>4323</v>
      </c>
    </row>
    <row r="133" spans="4:6" ht="18.75" customHeight="1" x14ac:dyDescent="0.3">
      <c r="D133" t="s">
        <v>4700</v>
      </c>
      <c r="E133" t="str">
        <f t="shared" si="2"/>
        <v>OST_386</v>
      </c>
      <c r="F133" t="s">
        <v>4323</v>
      </c>
    </row>
    <row r="134" spans="4:6" ht="18.75" customHeight="1" x14ac:dyDescent="0.3">
      <c r="D134" t="s">
        <v>4701</v>
      </c>
      <c r="E134" t="str">
        <f t="shared" si="2"/>
        <v>OST_390</v>
      </c>
      <c r="F134" t="s">
        <v>4323</v>
      </c>
    </row>
    <row r="135" spans="4:6" ht="18.75" customHeight="1" x14ac:dyDescent="0.3">
      <c r="D135" t="s">
        <v>4702</v>
      </c>
      <c r="E135" t="str">
        <f t="shared" si="2"/>
        <v>OST_337</v>
      </c>
      <c r="F135" t="s">
        <v>4323</v>
      </c>
    </row>
    <row r="136" spans="4:6" ht="18.75" customHeight="1" x14ac:dyDescent="0.3">
      <c r="D136" t="s">
        <v>4703</v>
      </c>
      <c r="E136" t="str">
        <f t="shared" si="2"/>
        <v>OST_382</v>
      </c>
      <c r="F136" t="s">
        <v>4323</v>
      </c>
    </row>
    <row r="137" spans="4:6" ht="18.75" customHeight="1" x14ac:dyDescent="0.3">
      <c r="D137" t="s">
        <v>4704</v>
      </c>
      <c r="E137" t="str">
        <f t="shared" si="2"/>
        <v>OST_389</v>
      </c>
      <c r="F137" t="s">
        <v>4323</v>
      </c>
    </row>
    <row r="138" spans="4:6" ht="18.75" customHeight="1" x14ac:dyDescent="0.3">
      <c r="D138" t="s">
        <v>4705</v>
      </c>
      <c r="E138" t="str">
        <f t="shared" si="2"/>
        <v>OST_391</v>
      </c>
      <c r="F138" t="s">
        <v>4323</v>
      </c>
    </row>
    <row r="139" spans="4:6" ht="18.75" customHeight="1" x14ac:dyDescent="0.3">
      <c r="D139" t="s">
        <v>4706</v>
      </c>
      <c r="E139" t="str">
        <f t="shared" si="2"/>
        <v>ADM_191</v>
      </c>
      <c r="F139" t="s">
        <v>4323</v>
      </c>
    </row>
    <row r="140" spans="4:6" ht="18.75" customHeight="1" x14ac:dyDescent="0.3">
      <c r="D140" t="s">
        <v>4707</v>
      </c>
      <c r="E140" t="str">
        <f t="shared" si="2"/>
        <v>ADM_248</v>
      </c>
      <c r="F140" t="s">
        <v>4323</v>
      </c>
    </row>
    <row r="141" spans="4:6" ht="18.75" customHeight="1" x14ac:dyDescent="0.3">
      <c r="D141" t="s">
        <v>4708</v>
      </c>
      <c r="E141" t="str">
        <f t="shared" si="2"/>
        <v>OST_383</v>
      </c>
      <c r="F141" t="s">
        <v>4323</v>
      </c>
    </row>
    <row r="142" spans="4:6" ht="18.75" customHeight="1" x14ac:dyDescent="0.3">
      <c r="D142" t="s">
        <v>4709</v>
      </c>
      <c r="E142" t="str">
        <f t="shared" si="2"/>
        <v>ADM_259</v>
      </c>
      <c r="F142" t="s">
        <v>4323</v>
      </c>
    </row>
    <row r="143" spans="4:6" ht="18.75" customHeight="1" x14ac:dyDescent="0.3">
      <c r="D143" t="s">
        <v>4698</v>
      </c>
      <c r="E143" t="str">
        <f t="shared" si="2"/>
        <v>OST_905</v>
      </c>
      <c r="F143" t="s">
        <v>4323</v>
      </c>
    </row>
    <row r="144" spans="4:6" ht="18.75" customHeight="1" x14ac:dyDescent="0.3">
      <c r="D144" t="s">
        <v>4710</v>
      </c>
      <c r="E144" t="str">
        <f t="shared" si="2"/>
        <v>OST_405</v>
      </c>
      <c r="F144" t="s">
        <v>4323</v>
      </c>
    </row>
    <row r="145" spans="1:6" ht="18.75" customHeight="1" x14ac:dyDescent="0.3">
      <c r="D145" t="s">
        <v>4711</v>
      </c>
      <c r="E145" t="str">
        <f t="shared" si="2"/>
        <v>OST_376</v>
      </c>
      <c r="F145" t="s">
        <v>4323</v>
      </c>
    </row>
    <row r="146" spans="1:6" ht="18.75" customHeight="1" x14ac:dyDescent="0.3">
      <c r="D146" t="s">
        <v>4712</v>
      </c>
      <c r="E146" t="str">
        <f t="shared" si="2"/>
        <v>OST_372</v>
      </c>
      <c r="F146" t="s">
        <v>4323</v>
      </c>
    </row>
    <row r="147" spans="1:6" ht="18.75" customHeight="1" x14ac:dyDescent="0.3">
      <c r="D147" t="s">
        <v>4713</v>
      </c>
      <c r="E147" t="str">
        <f t="shared" si="2"/>
        <v>OST_908</v>
      </c>
      <c r="F147" t="s">
        <v>4323</v>
      </c>
    </row>
    <row r="148" spans="1:6" ht="18.75" customHeight="1" x14ac:dyDescent="0.3">
      <c r="D148" t="s">
        <v>4714</v>
      </c>
      <c r="E148" t="str">
        <f t="shared" si="2"/>
        <v>OST_378</v>
      </c>
      <c r="F148" t="s">
        <v>4323</v>
      </c>
    </row>
    <row r="149" spans="1:6" ht="18.75" customHeight="1" x14ac:dyDescent="0.3">
      <c r="D149" t="s">
        <v>4715</v>
      </c>
      <c r="E149" t="str">
        <f t="shared" si="2"/>
        <v>OST_373</v>
      </c>
      <c r="F149" t="s">
        <v>4323</v>
      </c>
    </row>
    <row r="150" spans="1:6" ht="18.75" customHeight="1" x14ac:dyDescent="0.3">
      <c r="D150" t="s">
        <v>4716</v>
      </c>
      <c r="E150" t="str">
        <f t="shared" si="2"/>
        <v>OST_019</v>
      </c>
      <c r="F150" t="s">
        <v>4323</v>
      </c>
    </row>
    <row r="151" spans="1:6" ht="18.75" customHeight="1" x14ac:dyDescent="0.3">
      <c r="D151" t="s">
        <v>4717</v>
      </c>
      <c r="E151" t="str">
        <f t="shared" si="2"/>
        <v>OST_252</v>
      </c>
      <c r="F151" t="s">
        <v>4323</v>
      </c>
    </row>
    <row r="152" spans="1:6" ht="18.75" customHeight="1" x14ac:dyDescent="0.3">
      <c r="D152" t="s">
        <v>4718</v>
      </c>
      <c r="E152" t="str">
        <f t="shared" si="2"/>
        <v>ADM_058</v>
      </c>
      <c r="F152" t="s">
        <v>4323</v>
      </c>
    </row>
    <row r="153" spans="1:6" ht="18.75" customHeight="1" x14ac:dyDescent="0.3">
      <c r="D153" t="s">
        <v>4719</v>
      </c>
      <c r="E153" t="str">
        <f t="shared" si="2"/>
        <v>ADM_004</v>
      </c>
      <c r="F153" t="s">
        <v>4323</v>
      </c>
    </row>
    <row r="154" spans="1:6" ht="18.75" customHeight="1" x14ac:dyDescent="0.3">
      <c r="D154" t="s">
        <v>4720</v>
      </c>
      <c r="E154" t="str">
        <f t="shared" si="2"/>
        <v>ADM_012</v>
      </c>
      <c r="F154" t="s">
        <v>4323</v>
      </c>
    </row>
    <row r="155" spans="1:6" ht="18.75" customHeight="1" x14ac:dyDescent="0.3">
      <c r="D155" t="s">
        <v>4721</v>
      </c>
      <c r="E155" t="str">
        <f t="shared" si="2"/>
        <v>OST_023</v>
      </c>
      <c r="F155" t="s">
        <v>4323</v>
      </c>
    </row>
    <row r="156" spans="1:6" ht="18.75" customHeight="1" x14ac:dyDescent="0.3">
      <c r="D156" t="s">
        <v>4722</v>
      </c>
      <c r="E156" t="str">
        <f t="shared" si="2"/>
        <v>ADM_001</v>
      </c>
      <c r="F156" t="s">
        <v>4323</v>
      </c>
    </row>
    <row r="157" spans="1:6" ht="18.75" customHeight="1" x14ac:dyDescent="0.3">
      <c r="D157" t="s">
        <v>4723</v>
      </c>
      <c r="E157" t="str">
        <f t="shared" si="2"/>
        <v>OST_039</v>
      </c>
      <c r="F157" t="s">
        <v>4323</v>
      </c>
    </row>
    <row r="158" spans="1:6" ht="18.75" customHeight="1" x14ac:dyDescent="0.3">
      <c r="D158" t="s">
        <v>4724</v>
      </c>
      <c r="E158" t="str">
        <f t="shared" si="2"/>
        <v>OST_027</v>
      </c>
      <c r="F158" t="s">
        <v>4323</v>
      </c>
    </row>
    <row r="159" spans="1:6" ht="18.75" customHeight="1" x14ac:dyDescent="0.3">
      <c r="A159" t="s">
        <v>4775</v>
      </c>
      <c r="B159" t="s">
        <v>4773</v>
      </c>
      <c r="C159" t="s">
        <v>4774</v>
      </c>
      <c r="D159" t="str">
        <f t="shared" ref="D159:D190" si="3">A159</f>
        <v>SUO_179_H_MOLYKO-PARAMOUNT-STREET-IHS</v>
      </c>
      <c r="E159" t="str">
        <f t="shared" si="2"/>
        <v>SUO_179</v>
      </c>
      <c r="F159" t="s">
        <v>4162</v>
      </c>
    </row>
    <row r="160" spans="1:6" ht="18.75" customHeight="1" x14ac:dyDescent="0.3">
      <c r="A160" t="s">
        <v>4753</v>
      </c>
      <c r="D160" t="str">
        <f t="shared" si="3"/>
        <v>SUO_182_H_Buea-Service-Center-IHS</v>
      </c>
      <c r="E160" t="str">
        <f t="shared" si="2"/>
        <v>SUO_182</v>
      </c>
      <c r="F160" t="s">
        <v>4162</v>
      </c>
    </row>
    <row r="161" spans="1:6" ht="18.75" customHeight="1" x14ac:dyDescent="0.3">
      <c r="A161" t="s">
        <v>4776</v>
      </c>
      <c r="D161" t="str">
        <f t="shared" si="3"/>
        <v>SUO_079_H_Mile14-IHS</v>
      </c>
      <c r="E161" t="str">
        <f t="shared" si="2"/>
        <v>SUO_079</v>
      </c>
      <c r="F161" t="s">
        <v>4162</v>
      </c>
    </row>
    <row r="162" spans="1:6" ht="18.75" customHeight="1" x14ac:dyDescent="0.3">
      <c r="A162" t="s">
        <v>4692</v>
      </c>
      <c r="D162" t="str">
        <f t="shared" si="3"/>
        <v>SUO_197_H_Bokwai-IHS</v>
      </c>
      <c r="E162" t="str">
        <f t="shared" si="2"/>
        <v>SUO_197</v>
      </c>
      <c r="F162" t="s">
        <v>4162</v>
      </c>
    </row>
    <row r="163" spans="1:6" ht="18.75" customHeight="1" x14ac:dyDescent="0.3">
      <c r="A163" t="s">
        <v>4777</v>
      </c>
      <c r="D163" t="str">
        <f t="shared" si="3"/>
        <v>SUO_190_H_Tole-II-IHS</v>
      </c>
      <c r="E163" t="str">
        <f t="shared" si="2"/>
        <v>SUO_190</v>
      </c>
      <c r="F163" t="s">
        <v>4162</v>
      </c>
    </row>
    <row r="164" spans="1:6" ht="18.75" customHeight="1" x14ac:dyDescent="0.3">
      <c r="A164" t="s">
        <v>4778</v>
      </c>
      <c r="D164" t="str">
        <f t="shared" si="3"/>
        <v>SUO_232_H_Buea-Bwitingui-Road</v>
      </c>
      <c r="E164" t="str">
        <f t="shared" si="2"/>
        <v>SUO_232</v>
      </c>
      <c r="F164" t="s">
        <v>4162</v>
      </c>
    </row>
    <row r="165" spans="1:6" ht="18.75" customHeight="1" x14ac:dyDescent="0.3">
      <c r="A165" t="s">
        <v>4779</v>
      </c>
      <c r="D165" t="str">
        <f t="shared" si="3"/>
        <v>SUO_259_H_Buea-Salvation-Pharmacy-IHS</v>
      </c>
      <c r="E165" t="str">
        <f t="shared" si="2"/>
        <v>SUO_259</v>
      </c>
      <c r="F165" t="s">
        <v>4162</v>
      </c>
    </row>
    <row r="166" spans="1:6" ht="18.75" customHeight="1" x14ac:dyDescent="0.3">
      <c r="A166" t="s">
        <v>4780</v>
      </c>
      <c r="D166" t="str">
        <f t="shared" si="3"/>
        <v>SUO_242_H_Buea-GRA-IHS</v>
      </c>
      <c r="E166" t="str">
        <f t="shared" si="2"/>
        <v>SUO_242</v>
      </c>
      <c r="F166" t="s">
        <v>4162</v>
      </c>
    </row>
    <row r="167" spans="1:6" ht="18.75" customHeight="1" x14ac:dyDescent="0.3">
      <c r="A167" t="s">
        <v>4755</v>
      </c>
      <c r="D167" t="str">
        <f t="shared" si="3"/>
        <v>SUO_260_H_Buea-Dirty-South-IHS</v>
      </c>
      <c r="E167" t="str">
        <f t="shared" si="2"/>
        <v>SUO_260</v>
      </c>
      <c r="F167" t="s">
        <v>4162</v>
      </c>
    </row>
    <row r="168" spans="1:6" ht="18.75" customHeight="1" x14ac:dyDescent="0.3">
      <c r="A168" t="s">
        <v>4781</v>
      </c>
      <c r="D168" t="str">
        <f t="shared" si="3"/>
        <v>SUO_297_H_Buea-Molyko-New</v>
      </c>
      <c r="E168" t="str">
        <f t="shared" si="2"/>
        <v>SUO_297</v>
      </c>
      <c r="F168" t="s">
        <v>4162</v>
      </c>
    </row>
    <row r="169" spans="1:6" ht="18.75" customHeight="1" x14ac:dyDescent="0.3">
      <c r="A169" t="s">
        <v>4782</v>
      </c>
      <c r="D169" t="str">
        <f t="shared" si="3"/>
        <v>SUO_299_H_Limbe-Samko</v>
      </c>
      <c r="E169" t="str">
        <f t="shared" si="2"/>
        <v>SUO_299</v>
      </c>
      <c r="F169" t="s">
        <v>4162</v>
      </c>
    </row>
    <row r="170" spans="1:6" ht="18.75" customHeight="1" x14ac:dyDescent="0.3">
      <c r="A170" t="s">
        <v>4783</v>
      </c>
      <c r="D170" t="str">
        <f t="shared" si="3"/>
        <v>SUO_303_H_Buea-Up-Molyko</v>
      </c>
      <c r="E170" t="str">
        <f t="shared" si="2"/>
        <v>SUO_303</v>
      </c>
      <c r="F170" t="s">
        <v>4162</v>
      </c>
    </row>
    <row r="171" spans="1:6" ht="18.75" customHeight="1" x14ac:dyDescent="0.3">
      <c r="A171" t="s">
        <v>4773</v>
      </c>
      <c r="D171" t="str">
        <f t="shared" si="3"/>
        <v>SUO_023_H_Buea-Signal-Hill</v>
      </c>
      <c r="E171" t="str">
        <f t="shared" si="2"/>
        <v>SUO_023</v>
      </c>
      <c r="F171" t="s">
        <v>4162</v>
      </c>
    </row>
    <row r="172" spans="1:6" ht="18.75" customHeight="1" x14ac:dyDescent="0.3">
      <c r="A172" t="s">
        <v>4784</v>
      </c>
      <c r="D172" t="str">
        <f t="shared" si="3"/>
        <v>SUO_033_H_Buea-Entree</v>
      </c>
      <c r="E172" t="str">
        <f t="shared" si="2"/>
        <v>SUO_033</v>
      </c>
      <c r="F172" t="s">
        <v>4162</v>
      </c>
    </row>
    <row r="173" spans="1:6" ht="18.75" customHeight="1" x14ac:dyDescent="0.3">
      <c r="A173" t="s">
        <v>4785</v>
      </c>
      <c r="D173" t="str">
        <f t="shared" si="3"/>
        <v>SUO_062_H_Buea-Universite</v>
      </c>
      <c r="E173" t="str">
        <f t="shared" si="2"/>
        <v>SUO_062</v>
      </c>
      <c r="F173" t="s">
        <v>4162</v>
      </c>
    </row>
    <row r="174" spans="1:6" ht="18.75" customHeight="1" x14ac:dyDescent="0.3">
      <c r="A174" t="s">
        <v>4786</v>
      </c>
      <c r="D174" t="str">
        <f t="shared" si="3"/>
        <v>SUO_063_H_Buea-Centre-Ville</v>
      </c>
      <c r="E174" t="str">
        <f t="shared" si="2"/>
        <v>SUO_063</v>
      </c>
      <c r="F174" t="s">
        <v>4162</v>
      </c>
    </row>
    <row r="175" spans="1:6" ht="18.75" customHeight="1" x14ac:dyDescent="0.3">
      <c r="A175" t="s">
        <v>4787</v>
      </c>
      <c r="D175" t="str">
        <f t="shared" si="3"/>
        <v>SUO_077_H_Buea-David-Square</v>
      </c>
      <c r="E175" t="str">
        <f t="shared" si="2"/>
        <v>SUO_077</v>
      </c>
      <c r="F175" t="s">
        <v>4162</v>
      </c>
    </row>
    <row r="176" spans="1:6" ht="18.75" customHeight="1" x14ac:dyDescent="0.3">
      <c r="A176" t="s">
        <v>4687</v>
      </c>
      <c r="D176" t="str">
        <f t="shared" si="3"/>
        <v>SUO_066_H_Berunda-MTN</v>
      </c>
      <c r="E176" t="str">
        <f t="shared" si="2"/>
        <v>SUO_066</v>
      </c>
      <c r="F176" t="s">
        <v>4162</v>
      </c>
    </row>
    <row r="177" spans="1:6" ht="18.75" customHeight="1" x14ac:dyDescent="0.3">
      <c r="A177" t="s">
        <v>4788</v>
      </c>
      <c r="D177" t="str">
        <f t="shared" si="3"/>
        <v>SUO_152_H_Tole-Tea-IHS</v>
      </c>
      <c r="E177" t="str">
        <f t="shared" si="2"/>
        <v>SUO_152</v>
      </c>
      <c r="F177" t="s">
        <v>4162</v>
      </c>
    </row>
    <row r="178" spans="1:6" ht="18.75" customHeight="1" x14ac:dyDescent="0.3">
      <c r="A178" t="s">
        <v>4789</v>
      </c>
      <c r="D178" t="str">
        <f t="shared" si="3"/>
        <v>SUO_163_H_Buea-Hospital</v>
      </c>
      <c r="E178" t="str">
        <f t="shared" si="2"/>
        <v>SUO_163</v>
      </c>
      <c r="F178" t="s">
        <v>4162</v>
      </c>
    </row>
    <row r="179" spans="1:6" ht="18.75" customHeight="1" x14ac:dyDescent="0.3">
      <c r="A179" t="s">
        <v>4758</v>
      </c>
      <c r="D179" t="str">
        <f t="shared" si="3"/>
        <v>SUO_169_H_Buea-Bomaka-III-MTN</v>
      </c>
      <c r="E179" t="str">
        <f t="shared" si="2"/>
        <v>SUO_169</v>
      </c>
      <c r="F179" t="s">
        <v>4162</v>
      </c>
    </row>
    <row r="180" spans="1:6" ht="18.75" customHeight="1" x14ac:dyDescent="0.3">
      <c r="A180" t="s">
        <v>4689</v>
      </c>
      <c r="D180" t="str">
        <f t="shared" si="3"/>
        <v>SUO_170_H_Buea-Low-Boduma-MTN</v>
      </c>
      <c r="E180" t="str">
        <f t="shared" si="2"/>
        <v>SUO_170</v>
      </c>
      <c r="F180" t="s">
        <v>4162</v>
      </c>
    </row>
    <row r="181" spans="1:6" ht="18.75" customHeight="1" x14ac:dyDescent="0.3">
      <c r="A181" t="s">
        <v>4790</v>
      </c>
      <c r="D181" t="str">
        <f t="shared" si="3"/>
        <v>SUO_180_H_Buea-Sandpit-IHS</v>
      </c>
      <c r="E181" t="str">
        <f t="shared" si="2"/>
        <v>SUO_180</v>
      </c>
      <c r="F181" t="s">
        <v>4162</v>
      </c>
    </row>
    <row r="182" spans="1:6" ht="18.75" customHeight="1" x14ac:dyDescent="0.3">
      <c r="A182" t="s">
        <v>4791</v>
      </c>
      <c r="D182" t="str">
        <f t="shared" si="3"/>
        <v>SUO_181_H_Great-Soppo-IHS</v>
      </c>
      <c r="E182" t="str">
        <f t="shared" si="2"/>
        <v>SUO_181</v>
      </c>
      <c r="F182" t="s">
        <v>4162</v>
      </c>
    </row>
    <row r="183" spans="1:6" ht="18.75" customHeight="1" x14ac:dyDescent="0.3">
      <c r="A183" t="s">
        <v>4792</v>
      </c>
      <c r="D183" t="str">
        <f t="shared" si="3"/>
        <v>SUO_183_H_Molyko-IHS</v>
      </c>
      <c r="E183" t="str">
        <f t="shared" si="2"/>
        <v>SUO_183</v>
      </c>
      <c r="F183" t="s">
        <v>4162</v>
      </c>
    </row>
    <row r="184" spans="1:6" ht="18.75" customHeight="1" x14ac:dyDescent="0.3">
      <c r="A184" t="s">
        <v>4793</v>
      </c>
      <c r="D184" t="str">
        <f t="shared" si="3"/>
        <v>SUO_184_H_GSS-BUEA-TOWN-IHS</v>
      </c>
      <c r="E184" t="str">
        <f t="shared" si="2"/>
        <v>SUO_184</v>
      </c>
      <c r="F184" t="s">
        <v>4162</v>
      </c>
    </row>
    <row r="185" spans="1:6" ht="18.75" customHeight="1" x14ac:dyDescent="0.3">
      <c r="A185" t="s">
        <v>4794</v>
      </c>
      <c r="D185" t="str">
        <f t="shared" si="3"/>
        <v>SUO_185_H_BUEA-WOKOKO-IHS</v>
      </c>
      <c r="E185" t="str">
        <f t="shared" si="2"/>
        <v>SUO_185</v>
      </c>
      <c r="F185" t="s">
        <v>4162</v>
      </c>
    </row>
    <row r="186" spans="1:6" ht="18.75" customHeight="1" x14ac:dyDescent="0.3">
      <c r="A186" t="s">
        <v>4691</v>
      </c>
      <c r="D186" t="str">
        <f t="shared" si="3"/>
        <v>SUO_186_H_Buea-Boduma-IHS</v>
      </c>
      <c r="E186" t="str">
        <f t="shared" si="2"/>
        <v>SUO_186</v>
      </c>
      <c r="F186" t="s">
        <v>4162</v>
      </c>
    </row>
    <row r="187" spans="1:6" ht="18.75" customHeight="1" x14ac:dyDescent="0.3">
      <c r="A187" t="s">
        <v>4757</v>
      </c>
      <c r="D187" t="str">
        <f t="shared" si="3"/>
        <v>SUO_200_H_Buea-UB-Lamp-IHS</v>
      </c>
      <c r="E187" t="str">
        <f t="shared" si="2"/>
        <v>SUO_200</v>
      </c>
      <c r="F187" t="s">
        <v>4162</v>
      </c>
    </row>
    <row r="188" spans="1:6" ht="18.75" customHeight="1" x14ac:dyDescent="0.3">
      <c r="A188" t="s">
        <v>4795</v>
      </c>
      <c r="D188" t="str">
        <f t="shared" si="3"/>
        <v>SUO_196_H_Tole-IHS</v>
      </c>
      <c r="E188" t="str">
        <f t="shared" si="2"/>
        <v>SUO_196</v>
      </c>
      <c r="F188" t="s">
        <v>4162</v>
      </c>
    </row>
    <row r="189" spans="1:6" ht="18.75" customHeight="1" x14ac:dyDescent="0.3">
      <c r="A189" t="s">
        <v>4796</v>
      </c>
      <c r="D189" t="str">
        <f t="shared" si="3"/>
        <v>SUO_212_H_Limbe-Mile4-IHS</v>
      </c>
      <c r="E189" t="str">
        <f t="shared" si="2"/>
        <v>SUO_212</v>
      </c>
      <c r="F189" t="s">
        <v>4162</v>
      </c>
    </row>
    <row r="190" spans="1:6" ht="18.75" customHeight="1" x14ac:dyDescent="0.3">
      <c r="A190" t="s">
        <v>4797</v>
      </c>
      <c r="D190" t="str">
        <f t="shared" si="3"/>
        <v>SUO_201_H_Buea-Bomaka-II-IHS</v>
      </c>
      <c r="E190" t="str">
        <f t="shared" si="2"/>
        <v>SUO_201</v>
      </c>
      <c r="F190" t="s">
        <v>4162</v>
      </c>
    </row>
    <row r="191" spans="1:6" ht="18.75" customHeight="1" x14ac:dyDescent="0.3">
      <c r="A191" t="s">
        <v>4798</v>
      </c>
      <c r="D191" t="str">
        <f t="shared" ref="D191:D208" si="4">A191</f>
        <v>SUO_213_H_Molyko-Buea-SC2</v>
      </c>
      <c r="E191" t="str">
        <f t="shared" si="2"/>
        <v>SUO_213</v>
      </c>
      <c r="F191" t="s">
        <v>4162</v>
      </c>
    </row>
    <row r="192" spans="1:6" ht="18.75" customHeight="1" x14ac:dyDescent="0.3">
      <c r="A192" t="s">
        <v>4756</v>
      </c>
      <c r="D192" t="str">
        <f t="shared" si="4"/>
        <v>SUO_220_H_Mile16-Bolifamba-IHS</v>
      </c>
      <c r="E192" t="str">
        <f t="shared" si="2"/>
        <v>SUO_220</v>
      </c>
      <c r="F192" t="s">
        <v>4162</v>
      </c>
    </row>
    <row r="193" spans="1:6" ht="18.75" customHeight="1" x14ac:dyDescent="0.3">
      <c r="A193" t="s">
        <v>4799</v>
      </c>
      <c r="D193" t="str">
        <f t="shared" si="4"/>
        <v>SUO_199_H_Buea-Soppo-University-IHS</v>
      </c>
      <c r="E193" t="str">
        <f t="shared" si="2"/>
        <v>SUO_199</v>
      </c>
      <c r="F193" t="s">
        <v>4162</v>
      </c>
    </row>
    <row r="194" spans="1:6" ht="18.75" customHeight="1" x14ac:dyDescent="0.3">
      <c r="A194" t="s">
        <v>4690</v>
      </c>
      <c r="D194" t="str">
        <f t="shared" si="4"/>
        <v>SUO_221_H_BOVA-II-IHS</v>
      </c>
      <c r="E194" t="str">
        <f t="shared" ref="E194:E257" si="5">IFERROR(MID(D194, SEARCH("CTR_", D194), 7), IFERROR(MID(D194, SEARCH("SUO_", D194), 7), IFERROR(MID(D194, SEARCH("SUD_", D194), 7), IFERROR(MID(D194, SEARCH("NRO_", D194), 7), IFERROR(MID(D194, SEARCH("ADM_", D194), 7), IFERROR(MID(D194, SEARCH("NRD_", D194), 7), IFERROR(MID(D194, SEARCH("EXN_", D194), 7), IFERROR(MID(D194, SEARCH("LIT_", D194), 7), IFERROR(MID(D194, SEARCH("EST_", D194), 7), MID(D194, SEARCH("OST_",D194), 7))))))))))</f>
        <v>SUO_221</v>
      </c>
      <c r="F194" t="s">
        <v>4162</v>
      </c>
    </row>
    <row r="195" spans="1:6" ht="18.75" customHeight="1" x14ac:dyDescent="0.3">
      <c r="A195" t="s">
        <v>4800</v>
      </c>
      <c r="D195" t="str">
        <f t="shared" si="4"/>
        <v>SUO_215_H_Buea-Kouma-IHS</v>
      </c>
      <c r="E195" t="str">
        <f t="shared" si="5"/>
        <v>SUO_215</v>
      </c>
      <c r="F195" t="s">
        <v>4162</v>
      </c>
    </row>
    <row r="196" spans="1:6" ht="18.75" customHeight="1" x14ac:dyDescent="0.3">
      <c r="A196" t="s">
        <v>4801</v>
      </c>
      <c r="D196" t="str">
        <f t="shared" si="4"/>
        <v>SUO_243_H_Mile16-Buea-IHS</v>
      </c>
      <c r="E196" t="str">
        <f t="shared" si="5"/>
        <v>SUO_243</v>
      </c>
      <c r="F196" t="s">
        <v>4162</v>
      </c>
    </row>
    <row r="197" spans="1:6" ht="18.75" customHeight="1" x14ac:dyDescent="0.3">
      <c r="A197" t="s">
        <v>4802</v>
      </c>
      <c r="D197" t="str">
        <f t="shared" si="4"/>
        <v>SUO_228_H_MOLYKO-CHIEF-STREET-MTN</v>
      </c>
      <c r="E197" t="str">
        <f t="shared" si="5"/>
        <v>SUO_228</v>
      </c>
      <c r="F197" t="s">
        <v>4162</v>
      </c>
    </row>
    <row r="198" spans="1:6" ht="18.75" customHeight="1" x14ac:dyDescent="0.3">
      <c r="A198" t="s">
        <v>4803</v>
      </c>
      <c r="D198" t="str">
        <f t="shared" si="4"/>
        <v>SUO_240_H_Buea-Street2</v>
      </c>
      <c r="E198" t="str">
        <f t="shared" si="5"/>
        <v>SUO_240</v>
      </c>
      <c r="F198" t="s">
        <v>4162</v>
      </c>
    </row>
    <row r="199" spans="1:6" ht="18.75" customHeight="1" x14ac:dyDescent="0.3">
      <c r="A199" t="s">
        <v>4804</v>
      </c>
      <c r="D199" t="str">
        <f t="shared" si="4"/>
        <v>SUO_226_H_Buea-Camtel</v>
      </c>
      <c r="E199" t="str">
        <f t="shared" si="5"/>
        <v>SUO_226</v>
      </c>
      <c r="F199" t="s">
        <v>4162</v>
      </c>
    </row>
    <row r="200" spans="1:6" ht="18.75" customHeight="1" x14ac:dyDescent="0.3">
      <c r="A200" t="s">
        <v>4805</v>
      </c>
      <c r="D200" t="str">
        <f t="shared" si="4"/>
        <v>SUO_241_H_Buea-Prime22</v>
      </c>
      <c r="E200" t="str">
        <f t="shared" si="5"/>
        <v>SUO_241</v>
      </c>
      <c r="F200" t="s">
        <v>4162</v>
      </c>
    </row>
    <row r="201" spans="1:6" ht="18.75" customHeight="1" x14ac:dyDescent="0.3">
      <c r="A201" t="s">
        <v>4806</v>
      </c>
      <c r="D201" t="str">
        <f t="shared" si="4"/>
        <v>SUO_202_H_Mountain-Hotel-IHS</v>
      </c>
      <c r="E201" t="str">
        <f t="shared" si="5"/>
        <v>SUO_202</v>
      </c>
      <c r="F201" t="s">
        <v>4162</v>
      </c>
    </row>
    <row r="202" spans="1:6" ht="18.75" customHeight="1" x14ac:dyDescent="0.3">
      <c r="A202" t="s">
        <v>4807</v>
      </c>
      <c r="D202" t="str">
        <f t="shared" si="4"/>
        <v>SUO_222_H_Buea-Bakwere-Town-MTN</v>
      </c>
      <c r="E202" t="str">
        <f t="shared" si="5"/>
        <v>SUO_222</v>
      </c>
      <c r="F202" t="s">
        <v>4162</v>
      </c>
    </row>
    <row r="203" spans="1:6" ht="18.75" customHeight="1" x14ac:dyDescent="0.3">
      <c r="A203" t="s">
        <v>4808</v>
      </c>
      <c r="D203" t="str">
        <f t="shared" si="4"/>
        <v>SUO_021_H_Mile4</v>
      </c>
      <c r="E203" t="str">
        <f t="shared" si="5"/>
        <v>SUO_021</v>
      </c>
      <c r="F203" t="s">
        <v>4162</v>
      </c>
    </row>
    <row r="204" spans="1:6" ht="18.75" customHeight="1" x14ac:dyDescent="0.3">
      <c r="A204" t="s">
        <v>4809</v>
      </c>
      <c r="D204" t="str">
        <f t="shared" si="4"/>
        <v>SUO_127_H_Wotutu-IHS</v>
      </c>
      <c r="E204" t="str">
        <f t="shared" si="5"/>
        <v>SUO_127</v>
      </c>
      <c r="F204" t="s">
        <v>4162</v>
      </c>
    </row>
    <row r="205" spans="1:6" ht="18.75" customHeight="1" x14ac:dyDescent="0.3">
      <c r="A205" t="s">
        <v>4772</v>
      </c>
      <c r="D205" t="str">
        <f t="shared" si="4"/>
        <v>SUO_306_H_Buea-Bondouma</v>
      </c>
      <c r="E205" t="str">
        <f t="shared" si="5"/>
        <v>SUO_306</v>
      </c>
      <c r="F205" t="s">
        <v>4162</v>
      </c>
    </row>
    <row r="206" spans="1:6" ht="18.75" customHeight="1" x14ac:dyDescent="0.3">
      <c r="A206" t="s">
        <v>4768</v>
      </c>
      <c r="D206" t="str">
        <f t="shared" si="4"/>
        <v>SUO_254_H_Bokova-IHS</v>
      </c>
      <c r="E206" t="str">
        <f t="shared" si="5"/>
        <v>SUO_254</v>
      </c>
      <c r="F206" t="s">
        <v>4162</v>
      </c>
    </row>
    <row r="207" spans="1:6" ht="18.75" customHeight="1" x14ac:dyDescent="0.3">
      <c r="A207" t="s">
        <v>4771</v>
      </c>
      <c r="D207" t="str">
        <f t="shared" si="4"/>
        <v>SUO_301_H_Buea-Koke-Quater</v>
      </c>
      <c r="E207" t="str">
        <f t="shared" si="5"/>
        <v>SUO_301</v>
      </c>
      <c r="F207" t="s">
        <v>4162</v>
      </c>
    </row>
    <row r="208" spans="1:6" ht="18.75" customHeight="1" x14ac:dyDescent="0.3">
      <c r="A208" t="s">
        <v>4766</v>
      </c>
      <c r="D208" t="str">
        <f t="shared" si="4"/>
        <v>SUO_007_H_Buea-Orange</v>
      </c>
      <c r="E208" t="str">
        <f t="shared" si="5"/>
        <v>SUO_007</v>
      </c>
      <c r="F208" t="s">
        <v>4162</v>
      </c>
    </row>
    <row r="209" spans="2:6" ht="18.75" customHeight="1" x14ac:dyDescent="0.3">
      <c r="B209" t="s">
        <v>4810</v>
      </c>
      <c r="C209" t="s">
        <v>4811</v>
      </c>
      <c r="D209" t="s">
        <v>4812</v>
      </c>
      <c r="E209" t="str">
        <f t="shared" si="5"/>
        <v>CTR_209</v>
      </c>
      <c r="F209" t="s">
        <v>4257</v>
      </c>
    </row>
    <row r="210" spans="2:6" ht="18.75" customHeight="1" x14ac:dyDescent="0.3">
      <c r="D210" t="s">
        <v>4813</v>
      </c>
      <c r="E210" t="str">
        <f t="shared" si="5"/>
        <v>CTR_598</v>
      </c>
      <c r="F210" t="s">
        <v>4257</v>
      </c>
    </row>
    <row r="211" spans="2:6" ht="18.75" customHeight="1" x14ac:dyDescent="0.3">
      <c r="D211" t="s">
        <v>4814</v>
      </c>
      <c r="E211" t="str">
        <f t="shared" si="5"/>
        <v>CTR_543</v>
      </c>
      <c r="F211" t="s">
        <v>4257</v>
      </c>
    </row>
    <row r="212" spans="2:6" ht="18.75" customHeight="1" x14ac:dyDescent="0.3">
      <c r="D212" t="s">
        <v>4810</v>
      </c>
      <c r="E212" t="str">
        <f t="shared" si="5"/>
        <v>CTR_773</v>
      </c>
      <c r="F212" t="s">
        <v>4257</v>
      </c>
    </row>
    <row r="213" spans="2:6" ht="18.75" customHeight="1" x14ac:dyDescent="0.3">
      <c r="D213" t="s">
        <v>4815</v>
      </c>
      <c r="E213" t="str">
        <f t="shared" si="5"/>
        <v>CTR_104</v>
      </c>
      <c r="F213" t="s">
        <v>4257</v>
      </c>
    </row>
    <row r="214" spans="2:6" ht="18.75" customHeight="1" x14ac:dyDescent="0.3">
      <c r="B214" t="s">
        <v>4816</v>
      </c>
      <c r="C214" t="s">
        <v>4817</v>
      </c>
      <c r="D214" t="s">
        <v>4818</v>
      </c>
      <c r="E214" t="str">
        <f t="shared" si="5"/>
        <v>EST_076</v>
      </c>
      <c r="F214" s="10" t="s">
        <v>4333</v>
      </c>
    </row>
    <row r="215" spans="2:6" ht="18.75" customHeight="1" x14ac:dyDescent="0.3">
      <c r="D215" t="s">
        <v>4819</v>
      </c>
      <c r="E215" t="str">
        <f t="shared" si="5"/>
        <v>CTR_859</v>
      </c>
      <c r="F215" s="10" t="s">
        <v>4333</v>
      </c>
    </row>
    <row r="216" spans="2:6" ht="18.75" customHeight="1" x14ac:dyDescent="0.3">
      <c r="D216" t="s">
        <v>4820</v>
      </c>
      <c r="E216" t="str">
        <f t="shared" si="5"/>
        <v>EST_077</v>
      </c>
      <c r="F216" s="10" t="s">
        <v>4333</v>
      </c>
    </row>
    <row r="217" spans="2:6" ht="18.75" customHeight="1" x14ac:dyDescent="0.3">
      <c r="D217" t="s">
        <v>4821</v>
      </c>
      <c r="E217" t="str">
        <f t="shared" si="5"/>
        <v>CTR_894</v>
      </c>
      <c r="F217" s="10" t="s">
        <v>4333</v>
      </c>
    </row>
    <row r="218" spans="2:6" ht="18.75" customHeight="1" x14ac:dyDescent="0.3">
      <c r="D218" t="s">
        <v>4822</v>
      </c>
      <c r="E218" t="str">
        <f t="shared" si="5"/>
        <v>CTR_139</v>
      </c>
      <c r="F218" s="10" t="s">
        <v>4333</v>
      </c>
    </row>
    <row r="219" spans="2:6" ht="18.75" customHeight="1" x14ac:dyDescent="0.3">
      <c r="D219" t="s">
        <v>4823</v>
      </c>
      <c r="E219" t="str">
        <f t="shared" si="5"/>
        <v>CTR_870</v>
      </c>
      <c r="F219" s="10" t="s">
        <v>4333</v>
      </c>
    </row>
    <row r="220" spans="2:6" ht="18.75" customHeight="1" x14ac:dyDescent="0.3">
      <c r="D220" t="s">
        <v>4824</v>
      </c>
      <c r="E220" t="str">
        <f t="shared" si="5"/>
        <v>EST_150</v>
      </c>
      <c r="F220" s="10" t="s">
        <v>4333</v>
      </c>
    </row>
    <row r="221" spans="2:6" ht="18.75" customHeight="1" x14ac:dyDescent="0.3">
      <c r="D221" t="s">
        <v>4825</v>
      </c>
      <c r="E221" t="str">
        <f t="shared" si="5"/>
        <v>CTR_141</v>
      </c>
      <c r="F221" s="10" t="s">
        <v>4333</v>
      </c>
    </row>
    <row r="222" spans="2:6" ht="18.75" customHeight="1" x14ac:dyDescent="0.3">
      <c r="D222" t="s">
        <v>4826</v>
      </c>
      <c r="E222" t="str">
        <f t="shared" si="5"/>
        <v>CTR_233</v>
      </c>
      <c r="F222" s="10" t="s">
        <v>4333</v>
      </c>
    </row>
    <row r="223" spans="2:6" ht="18.75" customHeight="1" x14ac:dyDescent="0.3">
      <c r="D223" t="s">
        <v>4827</v>
      </c>
      <c r="E223" t="str">
        <f t="shared" si="5"/>
        <v>EST_024</v>
      </c>
      <c r="F223" s="10" t="s">
        <v>4333</v>
      </c>
    </row>
    <row r="224" spans="2:6" ht="18.75" customHeight="1" x14ac:dyDescent="0.3">
      <c r="D224" t="s">
        <v>4828</v>
      </c>
      <c r="E224" t="str">
        <f t="shared" si="5"/>
        <v>CTR_407</v>
      </c>
      <c r="F224" s="10" t="s">
        <v>4333</v>
      </c>
    </row>
    <row r="225" spans="2:6" ht="18.75" customHeight="1" x14ac:dyDescent="0.3">
      <c r="D225" t="s">
        <v>4829</v>
      </c>
      <c r="E225" t="str">
        <f t="shared" si="5"/>
        <v>CTR_107</v>
      </c>
      <c r="F225" s="10" t="s">
        <v>4333</v>
      </c>
    </row>
    <row r="226" spans="2:6" ht="18.75" customHeight="1" x14ac:dyDescent="0.3">
      <c r="D226" t="s">
        <v>4830</v>
      </c>
      <c r="E226" t="str">
        <f t="shared" si="5"/>
        <v>CTR_107</v>
      </c>
      <c r="F226" s="10" t="s">
        <v>4333</v>
      </c>
    </row>
    <row r="227" spans="2:6" ht="18.75" customHeight="1" x14ac:dyDescent="0.3">
      <c r="D227" t="s">
        <v>4831</v>
      </c>
      <c r="E227" t="str">
        <f t="shared" si="5"/>
        <v>CTR_107</v>
      </c>
      <c r="F227" s="10" t="s">
        <v>4333</v>
      </c>
    </row>
    <row r="228" spans="2:6" ht="18.75" customHeight="1" x14ac:dyDescent="0.3">
      <c r="D228" t="s">
        <v>4832</v>
      </c>
      <c r="E228" t="str">
        <f t="shared" si="5"/>
        <v>CTR_106</v>
      </c>
      <c r="F228" s="10" t="s">
        <v>4333</v>
      </c>
    </row>
    <row r="229" spans="2:6" ht="18.75" customHeight="1" x14ac:dyDescent="0.3">
      <c r="B229" t="s">
        <v>4833</v>
      </c>
      <c r="C229" t="s">
        <v>4834</v>
      </c>
      <c r="D229" t="s">
        <v>4835</v>
      </c>
      <c r="E229" t="str">
        <f t="shared" si="5"/>
        <v>ADM_163</v>
      </c>
      <c r="F229" t="s">
        <v>4166</v>
      </c>
    </row>
    <row r="230" spans="2:6" ht="18.75" customHeight="1" x14ac:dyDescent="0.3">
      <c r="D230" t="s">
        <v>4836</v>
      </c>
      <c r="E230" t="str">
        <f t="shared" si="5"/>
        <v>ADM_011</v>
      </c>
      <c r="F230" t="s">
        <v>4166</v>
      </c>
    </row>
    <row r="231" spans="2:6" ht="18.75" customHeight="1" x14ac:dyDescent="0.3">
      <c r="D231" t="s">
        <v>4837</v>
      </c>
      <c r="E231" t="str">
        <f t="shared" si="5"/>
        <v>ADM_044</v>
      </c>
      <c r="F231" t="s">
        <v>4166</v>
      </c>
    </row>
    <row r="232" spans="2:6" ht="18.75" customHeight="1" x14ac:dyDescent="0.3">
      <c r="D232" t="s">
        <v>4838</v>
      </c>
      <c r="E232" t="str">
        <f t="shared" si="5"/>
        <v>ADM_105</v>
      </c>
      <c r="F232" t="s">
        <v>4166</v>
      </c>
    </row>
    <row r="233" spans="2:6" ht="18.75" customHeight="1" x14ac:dyDescent="0.3">
      <c r="D233" t="s">
        <v>4839</v>
      </c>
      <c r="E233" t="str">
        <f t="shared" si="5"/>
        <v>ADM_187</v>
      </c>
      <c r="F233" t="s">
        <v>4166</v>
      </c>
    </row>
    <row r="234" spans="2:6" ht="18.75" customHeight="1" x14ac:dyDescent="0.3">
      <c r="D234" t="s">
        <v>4840</v>
      </c>
      <c r="E234" t="str">
        <f t="shared" si="5"/>
        <v>ADM_206</v>
      </c>
      <c r="F234" t="s">
        <v>4166</v>
      </c>
    </row>
    <row r="235" spans="2:6" ht="18.75" customHeight="1" x14ac:dyDescent="0.3">
      <c r="D235" t="s">
        <v>4841</v>
      </c>
      <c r="E235" t="str">
        <f t="shared" si="5"/>
        <v>ADM_207</v>
      </c>
      <c r="F235" t="s">
        <v>4166</v>
      </c>
    </row>
    <row r="236" spans="2:6" ht="18.75" customHeight="1" x14ac:dyDescent="0.3">
      <c r="D236" t="s">
        <v>4842</v>
      </c>
      <c r="E236" t="str">
        <f t="shared" si="5"/>
        <v>ADM_208</v>
      </c>
      <c r="F236" t="s">
        <v>4166</v>
      </c>
    </row>
    <row r="237" spans="2:6" ht="18.75" customHeight="1" x14ac:dyDescent="0.3">
      <c r="D237" t="s">
        <v>4843</v>
      </c>
      <c r="E237" t="str">
        <f t="shared" si="5"/>
        <v>ADM_244</v>
      </c>
      <c r="F237" t="s">
        <v>4166</v>
      </c>
    </row>
    <row r="238" spans="2:6" ht="18.75" customHeight="1" x14ac:dyDescent="0.3">
      <c r="D238" t="s">
        <v>4844</v>
      </c>
      <c r="E238" t="str">
        <f t="shared" si="5"/>
        <v>CTR_169</v>
      </c>
      <c r="F238" t="s">
        <v>4166</v>
      </c>
    </row>
    <row r="239" spans="2:6" ht="18.75" customHeight="1" x14ac:dyDescent="0.3">
      <c r="D239" t="s">
        <v>4845</v>
      </c>
      <c r="E239" t="str">
        <f t="shared" si="5"/>
        <v>ADM_153</v>
      </c>
      <c r="F239" t="s">
        <v>4166</v>
      </c>
    </row>
    <row r="240" spans="2:6" ht="18.75" customHeight="1" x14ac:dyDescent="0.3">
      <c r="D240" t="s">
        <v>4729</v>
      </c>
      <c r="E240" t="str">
        <f t="shared" si="5"/>
        <v>CTR_986</v>
      </c>
      <c r="F240" t="s">
        <v>4166</v>
      </c>
    </row>
    <row r="241" spans="4:6" ht="18.75" customHeight="1" x14ac:dyDescent="0.3">
      <c r="D241" t="s">
        <v>4846</v>
      </c>
      <c r="E241" t="str">
        <f t="shared" si="5"/>
        <v>CTR_302</v>
      </c>
      <c r="F241" t="s">
        <v>4166</v>
      </c>
    </row>
    <row r="242" spans="4:6" ht="18.75" customHeight="1" x14ac:dyDescent="0.3">
      <c r="D242" t="s">
        <v>4847</v>
      </c>
      <c r="E242" t="str">
        <f t="shared" si="5"/>
        <v>ADM_098</v>
      </c>
      <c r="F242" t="s">
        <v>4166</v>
      </c>
    </row>
    <row r="243" spans="4:6" ht="18.75" customHeight="1" x14ac:dyDescent="0.3">
      <c r="D243" t="s">
        <v>4848</v>
      </c>
      <c r="E243" t="str">
        <f t="shared" si="5"/>
        <v>ADM_099</v>
      </c>
      <c r="F243" t="s">
        <v>4166</v>
      </c>
    </row>
    <row r="244" spans="4:6" ht="18.75" customHeight="1" x14ac:dyDescent="0.3">
      <c r="D244" t="s">
        <v>4849</v>
      </c>
      <c r="E244" t="str">
        <f t="shared" si="5"/>
        <v>ADM_067</v>
      </c>
      <c r="F244" t="s">
        <v>4166</v>
      </c>
    </row>
    <row r="245" spans="4:6" ht="18.75" customHeight="1" x14ac:dyDescent="0.3">
      <c r="D245" t="s">
        <v>4850</v>
      </c>
      <c r="E245" t="str">
        <f t="shared" si="5"/>
        <v>ADM_109</v>
      </c>
      <c r="F245" t="s">
        <v>4166</v>
      </c>
    </row>
    <row r="246" spans="4:6" ht="18.75" customHeight="1" x14ac:dyDescent="0.3">
      <c r="D246" t="s">
        <v>4851</v>
      </c>
      <c r="E246" t="str">
        <f t="shared" si="5"/>
        <v>ADM_038</v>
      </c>
      <c r="F246" t="s">
        <v>4166</v>
      </c>
    </row>
    <row r="247" spans="4:6" ht="18.75" customHeight="1" x14ac:dyDescent="0.3">
      <c r="D247" t="s">
        <v>4852</v>
      </c>
      <c r="E247" t="str">
        <f t="shared" si="5"/>
        <v>ADM_041</v>
      </c>
      <c r="F247" t="s">
        <v>4166</v>
      </c>
    </row>
    <row r="248" spans="4:6" ht="18.75" customHeight="1" x14ac:dyDescent="0.3">
      <c r="D248" t="s">
        <v>4853</v>
      </c>
      <c r="E248" t="str">
        <f t="shared" si="5"/>
        <v>ADM_252</v>
      </c>
      <c r="F248" t="s">
        <v>4166</v>
      </c>
    </row>
    <row r="249" spans="4:6" ht="18.75" customHeight="1" x14ac:dyDescent="0.3">
      <c r="D249" t="s">
        <v>4854</v>
      </c>
      <c r="E249" t="str">
        <f t="shared" si="5"/>
        <v>ADM_055</v>
      </c>
      <c r="F249" t="s">
        <v>4166</v>
      </c>
    </row>
    <row r="250" spans="4:6" ht="18.75" customHeight="1" x14ac:dyDescent="0.3">
      <c r="D250" t="s">
        <v>4855</v>
      </c>
      <c r="E250" t="str">
        <f t="shared" si="5"/>
        <v>CTR_367</v>
      </c>
      <c r="F250" t="s">
        <v>4166</v>
      </c>
    </row>
    <row r="251" spans="4:6" ht="18.75" customHeight="1" x14ac:dyDescent="0.3">
      <c r="D251" t="s">
        <v>4856</v>
      </c>
      <c r="E251" t="str">
        <f t="shared" si="5"/>
        <v>CTR_985</v>
      </c>
      <c r="F251" t="s">
        <v>4166</v>
      </c>
    </row>
    <row r="252" spans="4:6" ht="18.75" customHeight="1" x14ac:dyDescent="0.3">
      <c r="D252" t="s">
        <v>4857</v>
      </c>
      <c r="E252" t="str">
        <f t="shared" si="5"/>
        <v>CTR_300</v>
      </c>
      <c r="F252" t="s">
        <v>4166</v>
      </c>
    </row>
    <row r="253" spans="4:6" ht="18.75" customHeight="1" x14ac:dyDescent="0.3">
      <c r="D253" t="s">
        <v>4858</v>
      </c>
      <c r="E253" t="str">
        <f t="shared" si="5"/>
        <v>CTR_406</v>
      </c>
      <c r="F253" t="s">
        <v>4166</v>
      </c>
    </row>
    <row r="254" spans="4:6" ht="18.75" customHeight="1" x14ac:dyDescent="0.3">
      <c r="D254" t="s">
        <v>4859</v>
      </c>
      <c r="E254" t="str">
        <f t="shared" si="5"/>
        <v>CTR_111</v>
      </c>
      <c r="F254" t="s">
        <v>4166</v>
      </c>
    </row>
    <row r="255" spans="4:6" ht="18.75" customHeight="1" x14ac:dyDescent="0.3">
      <c r="D255" t="s">
        <v>4860</v>
      </c>
      <c r="E255" t="str">
        <f t="shared" si="5"/>
        <v>ADM_024</v>
      </c>
      <c r="F255" t="s">
        <v>4166</v>
      </c>
    </row>
    <row r="256" spans="4:6" ht="18.75" customHeight="1" x14ac:dyDescent="0.3">
      <c r="D256" t="s">
        <v>4861</v>
      </c>
      <c r="E256" t="str">
        <f t="shared" si="5"/>
        <v>ADM_251</v>
      </c>
      <c r="F256" t="s">
        <v>4166</v>
      </c>
    </row>
    <row r="257" spans="2:6" ht="18.75" customHeight="1" x14ac:dyDescent="0.3">
      <c r="D257" t="s">
        <v>4862</v>
      </c>
      <c r="E257" t="str">
        <f t="shared" si="5"/>
        <v>ADM_064</v>
      </c>
      <c r="F257" t="s">
        <v>4166</v>
      </c>
    </row>
    <row r="258" spans="2:6" ht="18.75" customHeight="1" x14ac:dyDescent="0.3">
      <c r="D258" t="s">
        <v>4863</v>
      </c>
      <c r="E258" t="str">
        <f t="shared" ref="E258:E321" si="6">IFERROR(MID(D258, SEARCH("CTR_", D258), 7), IFERROR(MID(D258, SEARCH("SUO_", D258), 7), IFERROR(MID(D258, SEARCH("SUD_", D258), 7), IFERROR(MID(D258, SEARCH("NRO_", D258), 7), IFERROR(MID(D258, SEARCH("ADM_", D258), 7), IFERROR(MID(D258, SEARCH("NRD_", D258), 7), IFERROR(MID(D258, SEARCH("EXN_", D258), 7), IFERROR(MID(D258, SEARCH("LIT_", D258), 7), IFERROR(MID(D258, SEARCH("EST_", D258), 7), MID(D258, SEARCH("OST_",D258), 7))))))))))</f>
        <v>ADM_103</v>
      </c>
      <c r="F258" t="s">
        <v>4166</v>
      </c>
    </row>
    <row r="259" spans="2:6" ht="18.75" customHeight="1" x14ac:dyDescent="0.3">
      <c r="D259" t="s">
        <v>4864</v>
      </c>
      <c r="E259" t="str">
        <f t="shared" si="6"/>
        <v>CTR_301</v>
      </c>
      <c r="F259" t="s">
        <v>4166</v>
      </c>
    </row>
    <row r="260" spans="2:6" ht="18.75" customHeight="1" x14ac:dyDescent="0.3">
      <c r="D260" t="s">
        <v>4865</v>
      </c>
      <c r="E260" t="str">
        <f t="shared" si="6"/>
        <v>ADM_042</v>
      </c>
      <c r="F260" t="s">
        <v>4166</v>
      </c>
    </row>
    <row r="261" spans="2:6" ht="18.75" customHeight="1" x14ac:dyDescent="0.3">
      <c r="D261" t="s">
        <v>4866</v>
      </c>
      <c r="E261" t="str">
        <f t="shared" si="6"/>
        <v>ADM_144</v>
      </c>
      <c r="F261" t="s">
        <v>4166</v>
      </c>
    </row>
    <row r="262" spans="2:6" ht="18.75" customHeight="1" x14ac:dyDescent="0.3">
      <c r="D262" t="s">
        <v>4867</v>
      </c>
      <c r="E262" t="str">
        <f t="shared" si="6"/>
        <v>ADM_154</v>
      </c>
      <c r="F262" t="s">
        <v>4166</v>
      </c>
    </row>
    <row r="263" spans="2:6" ht="18.75" customHeight="1" x14ac:dyDescent="0.3">
      <c r="D263" t="s">
        <v>4868</v>
      </c>
      <c r="E263" t="str">
        <f t="shared" si="6"/>
        <v>ADM_043</v>
      </c>
      <c r="F263" t="s">
        <v>4166</v>
      </c>
    </row>
    <row r="264" spans="2:6" ht="18.75" customHeight="1" x14ac:dyDescent="0.3">
      <c r="D264" t="s">
        <v>4869</v>
      </c>
      <c r="E264" t="str">
        <f t="shared" si="6"/>
        <v>ADM_054</v>
      </c>
      <c r="F264" t="s">
        <v>4166</v>
      </c>
    </row>
    <row r="265" spans="2:6" ht="18.75" customHeight="1" x14ac:dyDescent="0.3">
      <c r="D265" t="s">
        <v>4870</v>
      </c>
      <c r="E265" t="str">
        <f t="shared" si="6"/>
        <v>CTR_985</v>
      </c>
      <c r="F265" t="s">
        <v>4166</v>
      </c>
    </row>
    <row r="266" spans="2:6" ht="18.75" customHeight="1" x14ac:dyDescent="0.3">
      <c r="D266" t="s">
        <v>4871</v>
      </c>
      <c r="E266" t="str">
        <f t="shared" si="6"/>
        <v>CTR_111</v>
      </c>
      <c r="F266" t="s">
        <v>4166</v>
      </c>
    </row>
    <row r="267" spans="2:6" ht="18.75" customHeight="1" x14ac:dyDescent="0.3">
      <c r="B267" t="s">
        <v>4872</v>
      </c>
      <c r="C267" t="s">
        <v>4873</v>
      </c>
      <c r="D267" t="s">
        <v>4874</v>
      </c>
      <c r="E267" t="str">
        <f t="shared" si="6"/>
        <v>EXN_395</v>
      </c>
      <c r="F267" t="s">
        <v>4875</v>
      </c>
    </row>
    <row r="268" spans="2:6" ht="18.75" customHeight="1" x14ac:dyDescent="0.3">
      <c r="D268" t="s">
        <v>4876</v>
      </c>
      <c r="E268" t="str">
        <f t="shared" si="6"/>
        <v>EXN_315</v>
      </c>
      <c r="F268" t="s">
        <v>4875</v>
      </c>
    </row>
    <row r="269" spans="2:6" ht="18.75" customHeight="1" x14ac:dyDescent="0.3">
      <c r="D269" t="s">
        <v>4877</v>
      </c>
      <c r="E269" t="str">
        <f t="shared" si="6"/>
        <v>EXN_302</v>
      </c>
      <c r="F269" t="s">
        <v>4875</v>
      </c>
    </row>
    <row r="270" spans="2:6" ht="18.75" customHeight="1" x14ac:dyDescent="0.3">
      <c r="D270" t="s">
        <v>4878</v>
      </c>
      <c r="E270" t="str">
        <f t="shared" si="6"/>
        <v>EXN_281</v>
      </c>
      <c r="F270" t="s">
        <v>4875</v>
      </c>
    </row>
    <row r="271" spans="2:6" ht="18.75" customHeight="1" x14ac:dyDescent="0.3">
      <c r="D271" t="s">
        <v>4879</v>
      </c>
      <c r="E271" t="str">
        <f t="shared" si="6"/>
        <v>EXN_307</v>
      </c>
      <c r="F271" t="s">
        <v>4875</v>
      </c>
    </row>
    <row r="272" spans="2:6" ht="18.75" customHeight="1" x14ac:dyDescent="0.3">
      <c r="D272" t="s">
        <v>4880</v>
      </c>
      <c r="E272" t="str">
        <f t="shared" si="6"/>
        <v>EXN_384</v>
      </c>
      <c r="F272" t="s">
        <v>4875</v>
      </c>
    </row>
    <row r="273" spans="2:6" ht="18.75" customHeight="1" x14ac:dyDescent="0.3">
      <c r="D273" t="s">
        <v>4881</v>
      </c>
      <c r="E273" t="str">
        <f t="shared" si="6"/>
        <v>EXN_380</v>
      </c>
      <c r="F273" t="s">
        <v>4875</v>
      </c>
    </row>
    <row r="274" spans="2:6" ht="18.75" customHeight="1" x14ac:dyDescent="0.3">
      <c r="D274" t="s">
        <v>4882</v>
      </c>
      <c r="E274" t="str">
        <f t="shared" si="6"/>
        <v>EXN_382</v>
      </c>
      <c r="F274" t="s">
        <v>4875</v>
      </c>
    </row>
    <row r="275" spans="2:6" ht="18.75" customHeight="1" x14ac:dyDescent="0.3">
      <c r="D275" t="s">
        <v>4883</v>
      </c>
      <c r="E275" t="str">
        <f t="shared" si="6"/>
        <v>EXN_385</v>
      </c>
      <c r="F275" t="s">
        <v>4875</v>
      </c>
    </row>
    <row r="276" spans="2:6" ht="18.75" customHeight="1" x14ac:dyDescent="0.3">
      <c r="D276" t="s">
        <v>4884</v>
      </c>
      <c r="E276" t="str">
        <f t="shared" si="6"/>
        <v>EXN_391</v>
      </c>
      <c r="F276" t="s">
        <v>4875</v>
      </c>
    </row>
    <row r="277" spans="2:6" ht="18.75" customHeight="1" x14ac:dyDescent="0.3">
      <c r="D277" t="s">
        <v>4885</v>
      </c>
      <c r="E277" t="str">
        <f t="shared" si="6"/>
        <v>EXN_393</v>
      </c>
      <c r="F277" t="s">
        <v>4875</v>
      </c>
    </row>
    <row r="278" spans="2:6" ht="18.75" customHeight="1" x14ac:dyDescent="0.3">
      <c r="B278" t="s">
        <v>4886</v>
      </c>
      <c r="D278" t="s">
        <v>4887</v>
      </c>
      <c r="E278" t="str">
        <f t="shared" si="6"/>
        <v>LIT_497</v>
      </c>
      <c r="F278" t="s">
        <v>4352</v>
      </c>
    </row>
    <row r="279" spans="2:6" ht="18.75" customHeight="1" x14ac:dyDescent="0.3">
      <c r="D279" t="s">
        <v>4886</v>
      </c>
      <c r="E279" t="str">
        <f t="shared" si="6"/>
        <v>LIT_480</v>
      </c>
      <c r="F279" t="s">
        <v>4352</v>
      </c>
    </row>
    <row r="280" spans="2:6" ht="18.75" customHeight="1" x14ac:dyDescent="0.3">
      <c r="D280" t="s">
        <v>4888</v>
      </c>
      <c r="E280" t="str">
        <f t="shared" si="6"/>
        <v>LIT_832</v>
      </c>
      <c r="F280" t="s">
        <v>4352</v>
      </c>
    </row>
    <row r="281" spans="2:6" ht="18.75" customHeight="1" x14ac:dyDescent="0.3">
      <c r="D281" t="s">
        <v>4889</v>
      </c>
      <c r="E281" t="str">
        <f t="shared" si="6"/>
        <v>LIT_821</v>
      </c>
      <c r="F281" t="s">
        <v>4352</v>
      </c>
    </row>
    <row r="282" spans="2:6" ht="18.75" customHeight="1" x14ac:dyDescent="0.3">
      <c r="D282" t="s">
        <v>4890</v>
      </c>
      <c r="E282" t="str">
        <f t="shared" si="6"/>
        <v>LIT_831</v>
      </c>
      <c r="F282" t="s">
        <v>4352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Q26"/>
  <sheetViews>
    <sheetView workbookViewId="0"/>
  </sheetViews>
  <sheetFormatPr defaultRowHeight="14.4" x14ac:dyDescent="0.3"/>
  <cols>
    <col min="1" max="1" width="26.88671875" style="6" bestFit="1" customWidth="1"/>
    <col min="2" max="2" width="36.44140625" style="6" bestFit="1" customWidth="1"/>
    <col min="3" max="3" width="25.44140625" style="6" bestFit="1" customWidth="1"/>
    <col min="4" max="4" width="42.109375" style="6" bestFit="1" customWidth="1"/>
    <col min="5" max="17" width="13.5546875" style="9" bestFit="1" customWidth="1"/>
  </cols>
  <sheetData>
    <row r="1" spans="1:17" ht="18.75" customHeight="1" x14ac:dyDescent="0.3">
      <c r="A1" s="10" t="s">
        <v>4891</v>
      </c>
      <c r="B1" s="10" t="s">
        <v>51</v>
      </c>
      <c r="C1" s="10" t="s">
        <v>53</v>
      </c>
      <c r="D1" s="10" t="s">
        <v>52</v>
      </c>
    </row>
    <row r="2" spans="1:17" ht="18.75" customHeight="1" x14ac:dyDescent="0.3">
      <c r="A2" s="1" t="s">
        <v>4892</v>
      </c>
      <c r="B2" s="1" t="s">
        <v>4893</v>
      </c>
      <c r="C2" s="1" t="s">
        <v>4894</v>
      </c>
      <c r="D2" s="1" t="s">
        <v>4895</v>
      </c>
    </row>
    <row r="3" spans="1:17" ht="18.75" customHeight="1" x14ac:dyDescent="0.3">
      <c r="A3" s="2" t="s">
        <v>24</v>
      </c>
      <c r="B3" s="2" t="s">
        <v>22</v>
      </c>
      <c r="C3" s="2" t="s">
        <v>5</v>
      </c>
      <c r="D3" s="2" t="s">
        <v>1766</v>
      </c>
      <c r="E3" s="2" t="s">
        <v>4896</v>
      </c>
      <c r="F3" s="2"/>
      <c r="G3" s="2" t="s">
        <v>4897</v>
      </c>
    </row>
    <row r="4" spans="1:17" ht="18.75" customHeight="1" x14ac:dyDescent="0.3">
      <c r="A4" s="2" t="s">
        <v>12</v>
      </c>
      <c r="B4" s="2" t="s">
        <v>14</v>
      </c>
      <c r="C4" s="2" t="s">
        <v>5</v>
      </c>
      <c r="D4" s="2" t="s">
        <v>146</v>
      </c>
      <c r="E4" s="2" t="s">
        <v>4898</v>
      </c>
      <c r="G4" s="2" t="s">
        <v>4899</v>
      </c>
      <c r="H4" s="2" t="s">
        <v>4900</v>
      </c>
      <c r="I4" s="2" t="s">
        <v>4901</v>
      </c>
      <c r="J4" t="s">
        <v>4902</v>
      </c>
      <c r="K4" s="2" t="s">
        <v>4903</v>
      </c>
      <c r="L4" t="s">
        <v>4904</v>
      </c>
      <c r="M4" s="2" t="s">
        <v>4905</v>
      </c>
      <c r="N4" t="s">
        <v>4906</v>
      </c>
      <c r="O4" s="2" t="s">
        <v>4907</v>
      </c>
      <c r="P4" t="s">
        <v>4908</v>
      </c>
      <c r="Q4" t="s">
        <v>4909</v>
      </c>
    </row>
    <row r="5" spans="1:17" ht="18.75" customHeight="1" x14ac:dyDescent="0.3">
      <c r="A5" s="2" t="s">
        <v>6</v>
      </c>
      <c r="B5" s="2" t="s">
        <v>6</v>
      </c>
      <c r="C5" s="2" t="s">
        <v>10</v>
      </c>
      <c r="D5" s="2" t="s">
        <v>188</v>
      </c>
    </row>
    <row r="6" spans="1:17" ht="18.75" customHeight="1" x14ac:dyDescent="0.3">
      <c r="A6" s="3" t="s">
        <v>7</v>
      </c>
      <c r="B6" s="2" t="s">
        <v>11</v>
      </c>
      <c r="C6" s="2" t="s">
        <v>10</v>
      </c>
      <c r="D6" s="3" t="s">
        <v>70</v>
      </c>
    </row>
    <row r="7" spans="1:17" ht="18.75" customHeight="1" x14ac:dyDescent="0.3">
      <c r="A7" s="3" t="s">
        <v>9</v>
      </c>
      <c r="B7" s="2" t="s">
        <v>11</v>
      </c>
      <c r="C7" s="2" t="s">
        <v>10</v>
      </c>
      <c r="D7" s="3" t="s">
        <v>104</v>
      </c>
      <c r="F7" t="s">
        <v>4910</v>
      </c>
    </row>
    <row r="8" spans="1:17" ht="18.75" customHeight="1" x14ac:dyDescent="0.3">
      <c r="A8" s="4" t="s">
        <v>21</v>
      </c>
      <c r="B8" s="2" t="s">
        <v>11</v>
      </c>
      <c r="C8" s="2" t="s">
        <v>10</v>
      </c>
      <c r="D8" s="4" t="s">
        <v>61</v>
      </c>
      <c r="F8" t="s">
        <v>4911</v>
      </c>
    </row>
    <row r="9" spans="1:17" ht="19.05" customHeight="1" x14ac:dyDescent="0.3">
      <c r="A9" s="4" t="s">
        <v>19</v>
      </c>
      <c r="B9" s="2" t="s">
        <v>11</v>
      </c>
      <c r="C9" s="2" t="s">
        <v>10</v>
      </c>
      <c r="D9" s="4" t="s">
        <v>80</v>
      </c>
    </row>
    <row r="10" spans="1:17" ht="18.75" customHeight="1" x14ac:dyDescent="0.3">
      <c r="A10" s="2" t="s">
        <v>23</v>
      </c>
      <c r="B10" s="2" t="s">
        <v>11</v>
      </c>
      <c r="C10" s="2" t="s">
        <v>10</v>
      </c>
      <c r="D10" s="2" t="s">
        <v>1116</v>
      </c>
    </row>
    <row r="11" spans="1:17" ht="18.75" customHeight="1" x14ac:dyDescent="0.3">
      <c r="A11" s="2" t="s">
        <v>25</v>
      </c>
      <c r="B11" s="2" t="s">
        <v>11</v>
      </c>
      <c r="C11" s="2" t="s">
        <v>10</v>
      </c>
      <c r="D11" s="2" t="s">
        <v>4075</v>
      </c>
    </row>
    <row r="12" spans="1:17" ht="18.75" customHeight="1" x14ac:dyDescent="0.3">
      <c r="A12" s="2" t="s">
        <v>157</v>
      </c>
      <c r="B12" s="2" t="s">
        <v>157</v>
      </c>
      <c r="C12" s="2" t="s">
        <v>157</v>
      </c>
      <c r="D12" s="2" t="s">
        <v>157</v>
      </c>
    </row>
    <row r="13" spans="1:17" ht="18.75" customHeight="1" x14ac:dyDescent="0.3">
      <c r="A13" s="5" t="s">
        <v>2142</v>
      </c>
      <c r="B13" s="2" t="s">
        <v>22</v>
      </c>
      <c r="C13" s="2" t="s">
        <v>5</v>
      </c>
      <c r="D13" s="2" t="s">
        <v>2142</v>
      </c>
      <c r="F13" t="s">
        <v>4912</v>
      </c>
    </row>
    <row r="14" spans="1:17" ht="18.75" customHeight="1" x14ac:dyDescent="0.3">
      <c r="A14" s="2" t="s">
        <v>15</v>
      </c>
      <c r="B14" s="2" t="s">
        <v>15</v>
      </c>
      <c r="C14" s="2" t="s">
        <v>15</v>
      </c>
      <c r="D14" s="2" t="s">
        <v>15</v>
      </c>
    </row>
    <row r="15" spans="1:17" ht="18.75" customHeight="1" x14ac:dyDescent="0.3">
      <c r="A15" s="2" t="s">
        <v>4913</v>
      </c>
      <c r="B15" s="2" t="s">
        <v>22</v>
      </c>
      <c r="C15" s="2" t="s">
        <v>5</v>
      </c>
      <c r="D15" s="2" t="s">
        <v>4914</v>
      </c>
    </row>
    <row r="16" spans="1:17" ht="18.75" customHeight="1" x14ac:dyDescent="0.3">
      <c r="A16" s="2" t="s">
        <v>16</v>
      </c>
      <c r="B16" s="2" t="s">
        <v>22</v>
      </c>
      <c r="C16" s="2" t="s">
        <v>5</v>
      </c>
      <c r="D16" s="2" t="s">
        <v>16</v>
      </c>
      <c r="E16" s="2" t="s">
        <v>4915</v>
      </c>
    </row>
    <row r="17" spans="1:8" ht="18.75" customHeight="1" x14ac:dyDescent="0.3">
      <c r="A17" s="2" t="s">
        <v>20</v>
      </c>
      <c r="B17" s="2" t="s">
        <v>20</v>
      </c>
      <c r="C17" s="2" t="s">
        <v>20</v>
      </c>
      <c r="D17" s="2" t="s">
        <v>958</v>
      </c>
    </row>
    <row r="18" spans="1:8" ht="18.75" customHeight="1" x14ac:dyDescent="0.3">
      <c r="A18" s="2" t="s">
        <v>4916</v>
      </c>
      <c r="B18" s="2" t="s">
        <v>4917</v>
      </c>
      <c r="C18" s="2" t="s">
        <v>4917</v>
      </c>
      <c r="D18" s="2" t="s">
        <v>4918</v>
      </c>
      <c r="H18" t="s">
        <v>4919</v>
      </c>
    </row>
    <row r="19" spans="1:8" ht="18.75" customHeight="1" x14ac:dyDescent="0.3">
      <c r="A19" s="2" t="s">
        <v>4</v>
      </c>
      <c r="B19" s="2" t="s">
        <v>4</v>
      </c>
      <c r="C19" s="2" t="s">
        <v>4</v>
      </c>
      <c r="D19" s="2" t="s">
        <v>4</v>
      </c>
    </row>
    <row r="20" spans="1:8" ht="18.75" customHeight="1" x14ac:dyDescent="0.3">
      <c r="A20" s="2" t="s">
        <v>18</v>
      </c>
      <c r="B20" s="2" t="s">
        <v>18</v>
      </c>
      <c r="C20" s="2" t="s">
        <v>18</v>
      </c>
      <c r="D20" s="2" t="s">
        <v>949</v>
      </c>
      <c r="E20" t="s">
        <v>4920</v>
      </c>
    </row>
    <row r="21" spans="1:8" ht="18.75" customHeight="1" x14ac:dyDescent="0.3">
      <c r="A21" s="2" t="s">
        <v>8</v>
      </c>
      <c r="B21" s="2" t="s">
        <v>8</v>
      </c>
      <c r="C21" s="2" t="s">
        <v>8</v>
      </c>
      <c r="D21" s="2" t="s">
        <v>8</v>
      </c>
    </row>
    <row r="22" spans="1:8" ht="18.75" customHeight="1" x14ac:dyDescent="0.3">
      <c r="A22" s="2" t="s">
        <v>24</v>
      </c>
      <c r="B22" s="2" t="s">
        <v>22</v>
      </c>
      <c r="C22" s="2" t="s">
        <v>5</v>
      </c>
      <c r="D22" s="2" t="s">
        <v>167</v>
      </c>
    </row>
    <row r="23" spans="1:8" ht="18.75" customHeight="1" x14ac:dyDescent="0.3">
      <c r="A23" s="2" t="s">
        <v>24</v>
      </c>
      <c r="B23" s="2" t="s">
        <v>22</v>
      </c>
      <c r="C23" s="2" t="s">
        <v>5</v>
      </c>
      <c r="D23" s="2" t="s">
        <v>4063</v>
      </c>
    </row>
    <row r="24" spans="1:8" ht="18.75" customHeight="1" x14ac:dyDescent="0.3">
      <c r="A24" s="2" t="s">
        <v>15</v>
      </c>
      <c r="B24" s="2" t="s">
        <v>15</v>
      </c>
      <c r="C24" s="2" t="s">
        <v>15</v>
      </c>
      <c r="D24" s="2" t="s">
        <v>524</v>
      </c>
    </row>
    <row r="25" spans="1:8" ht="18.75" customHeight="1" x14ac:dyDescent="0.3">
      <c r="A25" s="2" t="s">
        <v>15</v>
      </c>
      <c r="B25" s="2" t="s">
        <v>15</v>
      </c>
      <c r="C25" s="2" t="s">
        <v>15</v>
      </c>
      <c r="D25" s="2" t="s">
        <v>4921</v>
      </c>
    </row>
    <row r="26" spans="1:8" ht="18.75" customHeight="1" x14ac:dyDescent="0.3">
      <c r="A26" s="2" t="s">
        <v>12</v>
      </c>
      <c r="B26" s="2" t="s">
        <v>14</v>
      </c>
      <c r="C26" s="2" t="s">
        <v>5</v>
      </c>
      <c r="D26" s="2" t="s">
        <v>2650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RAPPORT</vt:lpstr>
      <vt:lpstr>daily break down</vt:lpstr>
      <vt:lpstr>impacted</vt:lpstr>
      <vt:lpstr>INCIDENT-04-29-2026</vt:lpstr>
      <vt:lpstr>Correspondance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Foweng Tcho Darrel Audrey</cp:lastModifiedBy>
  <dcterms:created xsi:type="dcterms:W3CDTF">2026-05-18T13:33:08Z</dcterms:created>
  <dcterms:modified xsi:type="dcterms:W3CDTF">2026-05-27T19:09:15Z</dcterms:modified>
</cp:coreProperties>
</file>