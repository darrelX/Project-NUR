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1" autoFilterDateGrouping="1"/>
  </bookViews>
  <sheets>
    <sheet xmlns:r="http://schemas.openxmlformats.org/officeDocument/2006/relationships" name="RAPPORT" sheetId="1" state="visible" r:id="rId1"/>
    <sheet xmlns:r="http://schemas.openxmlformats.org/officeDocument/2006/relationships" name="daily break down" sheetId="2" state="visible" r:id="rId2"/>
    <sheet xmlns:r="http://schemas.openxmlformats.org/officeDocument/2006/relationships" name="impacted" sheetId="3" state="visible" r:id="rId3"/>
    <sheet xmlns:r="http://schemas.openxmlformats.org/officeDocument/2006/relationships" name="INCIDENT-04-29-2026" sheetId="4" state="visible" r:id="rId4"/>
    <sheet xmlns:r="http://schemas.openxmlformats.org/officeDocument/2006/relationships" name="Correspondance" sheetId="5" state="visible" r:id="rId5"/>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24">
    <font>
      <name val="Calibri"/>
      <family val="2"/>
      <color theme="1"/>
      <sz val="11"/>
      <scheme val="minor"/>
    </font>
    <font>
      <name val="Calibri"/>
      <family val="2"/>
      <color theme="1"/>
      <sz val="11"/>
    </font>
    <font>
      <name val="Aptos Narrow"/>
      <family val="2"/>
      <b val="1"/>
      <color rgb="FF000000"/>
      <sz val="11"/>
    </font>
    <font>
      <name val="Arial"/>
      <family val="2"/>
      <color rgb="FF000000"/>
      <sz val="9"/>
    </font>
    <font>
      <name val="Arial"/>
      <family val="2"/>
      <b val="1"/>
      <color theme="1"/>
      <sz val="9"/>
    </font>
    <font>
      <name val="Arial"/>
      <family val="2"/>
      <b val="1"/>
      <color rgb="FF000000"/>
      <sz val="9"/>
    </font>
    <font>
      <name val="Aptos Narrow"/>
      <family val="2"/>
      <b val="1"/>
      <color rgb="FFffffff"/>
      <sz val="11"/>
    </font>
    <font>
      <name val="Arial"/>
      <family val="2"/>
      <color theme="1"/>
      <sz val="9"/>
    </font>
    <font>
      <name val="Arial"/>
      <family val="2"/>
      <color rgb="FF000000"/>
      <sz val="8"/>
    </font>
    <font>
      <name val="Arial"/>
      <family val="2"/>
      <color rgb="FFffffff"/>
      <sz val="9"/>
    </font>
    <font>
      <name val="Arial"/>
      <family val="2"/>
      <color rgb="FF0b1e31"/>
      <sz val="9"/>
    </font>
    <font>
      <name val="Aptos Narrow"/>
      <family val="2"/>
      <color rgb="FFffffff"/>
      <sz val="11"/>
    </font>
    <font>
      <name val="Aptos Narrow"/>
      <family val="2"/>
      <color rgb="FF000000"/>
      <sz val="8"/>
    </font>
    <font>
      <name val="Aptos Narrow"/>
      <family val="2"/>
      <color theme="1"/>
      <sz val="11"/>
    </font>
    <font>
      <name val="Aptos Narrow"/>
      <family val="2"/>
      <color rgb="FF00b050"/>
      <sz val="11"/>
    </font>
    <font>
      <name val="Aptos Narrow"/>
      <family val="2"/>
      <color rgb="FF47d45a"/>
      <sz val="11"/>
    </font>
    <font>
      <name val="Arial"/>
      <family val="2"/>
      <color rgb="FFff0000"/>
      <sz val="9"/>
    </font>
    <font>
      <name val="Arial"/>
      <family val="2"/>
      <color rgb="FFff0000"/>
      <sz val="8"/>
    </font>
    <font>
      <name val="Arial"/>
      <family val="2"/>
      <color theme="1"/>
      <sz val="8"/>
    </font>
    <font>
      <name val="Aptos Narrow"/>
      <family val="2"/>
      <color rgb="FF000000"/>
      <sz val="11"/>
    </font>
    <font>
      <name val="Aptos Narrow"/>
      <family val="2"/>
      <color rgb="FF000000"/>
      <sz val="12"/>
    </font>
    <font>
      <name val="Arial"/>
      <family val="2"/>
      <b val="1"/>
      <color theme="1"/>
      <sz val="11"/>
    </font>
    <font>
      <name val="Arial"/>
      <family val="2"/>
      <b val="1"/>
      <color rgb="FF000000"/>
      <sz val="11"/>
    </font>
    <font>
      <b val="1"/>
    </font>
  </fonts>
  <fills count="23">
    <fill>
      <patternFill/>
    </fill>
    <fill>
      <patternFill patternType="gray125"/>
    </fill>
    <fill>
      <patternFill patternType="solid">
        <fgColor rgb="FFffff00"/>
      </patternFill>
    </fill>
    <fill>
      <patternFill patternType="solid">
        <fgColor rgb="FF84e291"/>
      </patternFill>
    </fill>
    <fill>
      <patternFill patternType="solid">
        <fgColor rgb="FFf6c6ad"/>
      </patternFill>
    </fill>
    <fill>
      <patternFill patternType="solid">
        <fgColor rgb="FFf2aa84"/>
      </patternFill>
    </fill>
    <fill>
      <patternFill patternType="solid">
        <fgColor rgb="FFffc000"/>
      </patternFill>
    </fill>
    <fill>
      <patternFill patternType="solid">
        <fgColor rgb="FF0b3041"/>
      </patternFill>
    </fill>
    <fill>
      <patternFill patternType="solid">
        <fgColor rgb="FF92d050"/>
      </patternFill>
    </fill>
    <fill>
      <patternFill patternType="solid">
        <fgColor rgb="FFffffff"/>
      </patternFill>
    </fill>
    <fill>
      <patternFill patternType="solid">
        <fgColor rgb="FF002060"/>
      </patternFill>
    </fill>
    <fill>
      <patternFill patternType="solid">
        <fgColor rgb="FFf2cfee"/>
      </patternFill>
    </fill>
    <fill>
      <patternFill patternType="solid">
        <fgColor rgb="FFc2f1c8"/>
      </patternFill>
    </fill>
    <fill>
      <patternFill patternType="solid">
        <fgColor rgb="FF4e95d9"/>
      </patternFill>
    </fill>
    <fill>
      <patternFill patternType="solid">
        <fgColor rgb="FFff0000"/>
      </patternFill>
    </fill>
    <fill>
      <patternFill patternType="solid">
        <fgColor rgb="FFdceaf7"/>
      </patternFill>
    </fill>
    <fill>
      <patternFill patternType="solid">
        <fgColor rgb="FFc1e5f5"/>
      </patternFill>
    </fill>
    <fill>
      <patternFill patternType="solid">
        <fgColor rgb="FFcaeefb"/>
      </patternFill>
    </fill>
    <fill>
      <patternFill patternType="solid">
        <fgColor rgb="FF46b1e1"/>
      </patternFill>
    </fill>
    <fill>
      <patternFill patternType="solid">
        <fgColor rgb="FFd86ecc"/>
      </patternFill>
    </fill>
    <fill>
      <patternFill patternType="solid">
        <fgColor rgb="FFd9f2d0"/>
      </patternFill>
    </fill>
    <fill>
      <patternFill patternType="solid">
        <fgColor rgb="FF104862"/>
      </patternFill>
    </fill>
    <fill>
      <patternFill patternType="solid">
        <fgColor rgb="FF96dcf8"/>
      </patternFill>
    </fill>
  </fills>
  <borders count="9">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style="thin">
        <color rgb="FF000000"/>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right style="thin"/>
      <top style="thin"/>
      <bottom style="thin"/>
    </border>
  </borders>
  <cellStyleXfs count="1">
    <xf numFmtId="0" fontId="0" fillId="0" borderId="2"/>
  </cellStyleXfs>
  <cellXfs count="97">
    <xf numFmtId="0" fontId="0" fillId="0" borderId="0" pivotButton="0" quotePrefix="0" xfId="0"/>
    <xf numFmtId="0" fontId="1" fillId="2" borderId="1" applyAlignment="1" pivotButton="0" quotePrefix="0" xfId="0">
      <alignment horizontal="left"/>
    </xf>
    <xf numFmtId="0" fontId="0" fillId="0" borderId="0" applyAlignment="1" pivotButton="0" quotePrefix="0" xfId="0">
      <alignment horizontal="general"/>
    </xf>
    <xf numFmtId="0" fontId="2" fillId="0" borderId="2" applyAlignment="1" pivotButton="0" quotePrefix="0" xfId="0">
      <alignment horizontal="center"/>
    </xf>
    <xf numFmtId="0" fontId="1" fillId="0" borderId="2" applyAlignment="1" pivotButton="0" quotePrefix="0" xfId="0">
      <alignment horizontal="center"/>
    </xf>
    <xf numFmtId="0" fontId="1" fillId="3" borderId="1" applyAlignment="1" pivotButton="0" quotePrefix="0" xfId="0">
      <alignment horizontal="center"/>
    </xf>
    <xf numFmtId="0" fontId="1" fillId="4" borderId="1" applyAlignment="1" pivotButton="0" quotePrefix="0" xfId="0">
      <alignment horizontal="center"/>
    </xf>
    <xf numFmtId="0" fontId="3" fillId="0" borderId="3" applyAlignment="1" pivotButton="0" quotePrefix="0" xfId="0">
      <alignment horizontal="center"/>
    </xf>
    <xf numFmtId="0" fontId="0" fillId="0" borderId="0" applyAlignment="1" pivotButton="0" quotePrefix="0" xfId="0">
      <alignment horizontal="center"/>
    </xf>
    <xf numFmtId="0" fontId="0" fillId="0" borderId="0" applyAlignment="1" pivotButton="0" quotePrefix="0" xfId="0">
      <alignment horizontal="general"/>
    </xf>
    <xf numFmtId="0" fontId="1" fillId="5" borderId="1" applyAlignment="1" pivotButton="0" quotePrefix="0" xfId="0">
      <alignment horizontal="left"/>
    </xf>
    <xf numFmtId="0" fontId="1" fillId="5" borderId="4" applyAlignment="1" pivotButton="0" quotePrefix="0" xfId="0">
      <alignment horizontal="left"/>
    </xf>
    <xf numFmtId="0" fontId="0" fillId="0" borderId="0" applyAlignment="1" pivotButton="0" quotePrefix="0" xfId="0">
      <alignment horizontal="general"/>
    </xf>
    <xf numFmtId="0" fontId="1" fillId="2" borderId="1" applyAlignment="1" pivotButton="0" quotePrefix="0" xfId="0">
      <alignment horizontal="left"/>
    </xf>
    <xf numFmtId="14" fontId="1" fillId="0" borderId="3" applyAlignment="1" pivotButton="0" quotePrefix="0" xfId="0">
      <alignment horizontal="left"/>
    </xf>
    <xf numFmtId="0" fontId="4" fillId="6" borderId="3" applyAlignment="1" pivotButton="0" quotePrefix="0" xfId="0">
      <alignment horizontal="center"/>
    </xf>
    <xf numFmtId="4" fontId="5" fillId="6" borderId="3" applyAlignment="1" pivotButton="0" quotePrefix="0" xfId="0">
      <alignment horizontal="center"/>
    </xf>
    <xf numFmtId="0" fontId="5" fillId="2" borderId="3" applyAlignment="1" pivotButton="0" quotePrefix="0" xfId="0">
      <alignment horizontal="center"/>
    </xf>
    <xf numFmtId="0" fontId="2" fillId="2" borderId="3" applyAlignment="1" pivotButton="0" quotePrefix="0" xfId="0">
      <alignment horizontal="center"/>
    </xf>
    <xf numFmtId="0" fontId="6" fillId="7" borderId="3" applyAlignment="1" pivotButton="0" quotePrefix="0" xfId="0">
      <alignment horizontal="center"/>
    </xf>
    <xf numFmtId="0" fontId="7" fillId="8" borderId="3" applyAlignment="1" pivotButton="0" quotePrefix="0" xfId="0">
      <alignment horizontal="center"/>
    </xf>
    <xf numFmtId="0" fontId="7" fillId="9" borderId="3" applyAlignment="1" pivotButton="0" quotePrefix="0" xfId="0">
      <alignment horizontal="center"/>
    </xf>
    <xf numFmtId="0" fontId="8" fillId="0" borderId="3" applyAlignment="1" pivotButton="0" quotePrefix="0" xfId="0">
      <alignment horizontal="center"/>
    </xf>
    <xf numFmtId="0" fontId="7" fillId="0" borderId="3" applyAlignment="1" pivotButton="0" quotePrefix="0" xfId="0">
      <alignment horizontal="center"/>
    </xf>
    <xf numFmtId="0" fontId="9" fillId="10" borderId="3" applyAlignment="1" pivotButton="0" quotePrefix="0" xfId="0">
      <alignment horizontal="center"/>
    </xf>
    <xf numFmtId="4" fontId="3" fillId="11" borderId="3" applyAlignment="1" pivotButton="0" quotePrefix="0" xfId="0">
      <alignment horizontal="center"/>
    </xf>
    <xf numFmtId="0" fontId="10" fillId="9" borderId="3" applyAlignment="1" pivotButton="0" quotePrefix="0" xfId="0">
      <alignment horizontal="center"/>
    </xf>
    <xf numFmtId="4" fontId="10" fillId="9" borderId="3" applyAlignment="1" pivotButton="0" quotePrefix="0" xfId="0">
      <alignment horizontal="center"/>
    </xf>
    <xf numFmtId="0" fontId="11" fillId="7" borderId="3" applyAlignment="1" pivotButton="0" quotePrefix="0" xfId="0">
      <alignment horizontal="center"/>
    </xf>
    <xf numFmtId="0" fontId="1" fillId="9" borderId="3" applyAlignment="1" pivotButton="0" quotePrefix="0" xfId="0">
      <alignment horizontal="center"/>
    </xf>
    <xf numFmtId="0" fontId="1" fillId="12" borderId="3" applyAlignment="1" pivotButton="0" quotePrefix="0" xfId="0">
      <alignment horizontal="center"/>
    </xf>
    <xf numFmtId="0" fontId="9" fillId="13" borderId="3" applyAlignment="1" pivotButton="0" quotePrefix="0" xfId="0">
      <alignment horizontal="center"/>
    </xf>
    <xf numFmtId="0" fontId="12" fillId="0" borderId="3" applyAlignment="1" pivotButton="0" quotePrefix="0" xfId="0">
      <alignment horizontal="center"/>
    </xf>
    <xf numFmtId="0" fontId="12" fillId="9" borderId="3" applyAlignment="1" pivotButton="0" quotePrefix="0" xfId="0">
      <alignment horizontal="center"/>
    </xf>
    <xf numFmtId="0" fontId="9" fillId="8" borderId="3" applyAlignment="1" pivotButton="0" quotePrefix="0" xfId="0">
      <alignment horizontal="center"/>
    </xf>
    <xf numFmtId="0" fontId="12" fillId="2" borderId="3" applyAlignment="1" pivotButton="0" quotePrefix="0" xfId="0">
      <alignment horizontal="center"/>
    </xf>
    <xf numFmtId="0" fontId="8" fillId="9" borderId="3" applyAlignment="1" pivotButton="0" quotePrefix="0" xfId="0">
      <alignment horizontal="center"/>
    </xf>
    <xf numFmtId="0" fontId="1" fillId="14" borderId="3" applyAlignment="1" pivotButton="0" quotePrefix="0" xfId="0">
      <alignment horizontal="center"/>
    </xf>
    <xf numFmtId="4" fontId="3" fillId="15" borderId="3" applyAlignment="1" pivotButton="0" quotePrefix="0" xfId="0">
      <alignment horizontal="center"/>
    </xf>
    <xf numFmtId="4" fontId="9" fillId="10" borderId="3" applyAlignment="1" pivotButton="0" quotePrefix="0" xfId="0">
      <alignment horizontal="center"/>
    </xf>
    <xf numFmtId="0" fontId="10" fillId="16" borderId="3" applyAlignment="1" pivotButton="0" quotePrefix="0" xfId="0">
      <alignment horizontal="center"/>
    </xf>
    <xf numFmtId="4" fontId="10" fillId="17" borderId="3" applyAlignment="1" pivotButton="0" quotePrefix="0" xfId="0">
      <alignment horizontal="center"/>
    </xf>
    <xf numFmtId="0" fontId="1" fillId="16" borderId="3" applyAlignment="1" pivotButton="0" quotePrefix="0" xfId="0">
      <alignment horizontal="center"/>
    </xf>
    <xf numFmtId="0" fontId="1" fillId="16" borderId="5" applyAlignment="1" pivotButton="0" quotePrefix="0" xfId="0">
      <alignment horizontal="center"/>
    </xf>
    <xf numFmtId="0" fontId="1" fillId="16" borderId="6" applyAlignment="1" pivotButton="0" quotePrefix="0" xfId="0">
      <alignment horizontal="center"/>
    </xf>
    <xf numFmtId="0" fontId="7" fillId="18" borderId="3" applyAlignment="1" pivotButton="0" quotePrefix="0" xfId="0">
      <alignment horizontal="center"/>
    </xf>
    <xf numFmtId="0" fontId="13" fillId="9" borderId="3" applyAlignment="1" pivotButton="0" quotePrefix="0" xfId="0">
      <alignment horizontal="center"/>
    </xf>
    <xf numFmtId="0" fontId="14" fillId="9" borderId="3" applyAlignment="1" pivotButton="0" quotePrefix="0" xfId="0">
      <alignment horizontal="center"/>
    </xf>
    <xf numFmtId="0" fontId="7" fillId="19" borderId="3" applyAlignment="1" pivotButton="0" quotePrefix="0" xfId="0">
      <alignment horizontal="center"/>
    </xf>
    <xf numFmtId="0" fontId="10" fillId="17" borderId="3" applyAlignment="1" pivotButton="0" quotePrefix="0" xfId="0">
      <alignment horizontal="center"/>
    </xf>
    <xf numFmtId="0" fontId="15" fillId="9" borderId="3" applyAlignment="1" pivotButton="0" quotePrefix="0" xfId="0">
      <alignment horizontal="center"/>
    </xf>
    <xf numFmtId="14" fontId="0" fillId="0" borderId="0" applyAlignment="1" pivotButton="0" quotePrefix="0" xfId="0">
      <alignment horizontal="general"/>
    </xf>
    <xf numFmtId="4" fontId="0" fillId="0" borderId="0" applyAlignment="1" pivotButton="0" quotePrefix="0" xfId="0">
      <alignment horizontal="center"/>
    </xf>
    <xf numFmtId="0" fontId="8" fillId="0" borderId="3" applyAlignment="1" pivotButton="0" quotePrefix="0" xfId="0">
      <alignment horizontal="center"/>
    </xf>
    <xf numFmtId="0" fontId="9" fillId="10" borderId="3" applyAlignment="1" pivotButton="0" quotePrefix="0" xfId="0">
      <alignment horizontal="center"/>
    </xf>
    <xf numFmtId="0" fontId="9" fillId="13" borderId="3" applyAlignment="1" pivotButton="0" quotePrefix="0" xfId="0">
      <alignment horizontal="center"/>
    </xf>
    <xf numFmtId="0" fontId="9" fillId="8" borderId="3" applyAlignment="1" pivotButton="0" quotePrefix="0" xfId="0">
      <alignment horizontal="center"/>
    </xf>
    <xf numFmtId="0" fontId="7" fillId="4" borderId="3" applyAlignment="1" pivotButton="0" quotePrefix="0" xfId="0">
      <alignment horizontal="center"/>
    </xf>
    <xf numFmtId="0" fontId="16" fillId="0" borderId="3" applyAlignment="1" pivotButton="0" quotePrefix="0" xfId="0">
      <alignment horizontal="center"/>
    </xf>
    <xf numFmtId="0" fontId="16" fillId="9" borderId="3" applyAlignment="1" pivotButton="0" quotePrefix="0" xfId="0">
      <alignment horizontal="center"/>
    </xf>
    <xf numFmtId="0" fontId="17" fillId="0" borderId="3" applyAlignment="1" pivotButton="0" quotePrefix="0" xfId="0">
      <alignment horizontal="center"/>
    </xf>
    <xf numFmtId="0" fontId="17" fillId="0" borderId="3" applyAlignment="1" pivotButton="0" quotePrefix="0" xfId="0">
      <alignment horizontal="center"/>
    </xf>
    <xf numFmtId="0" fontId="16" fillId="8" borderId="3" applyAlignment="1" pivotButton="0" quotePrefix="0" xfId="0">
      <alignment horizontal="center"/>
    </xf>
    <xf numFmtId="4" fontId="16" fillId="9" borderId="3" applyAlignment="1" pivotButton="0" quotePrefix="0" xfId="0">
      <alignment horizontal="center"/>
    </xf>
    <xf numFmtId="0" fontId="18" fillId="9" borderId="3" applyAlignment="1" pivotButton="0" quotePrefix="0" xfId="0">
      <alignment horizontal="center"/>
    </xf>
    <xf numFmtId="0" fontId="19" fillId="9" borderId="3" applyAlignment="1" pivotButton="0" quotePrefix="0" xfId="0">
      <alignment horizontal="center"/>
    </xf>
    <xf numFmtId="0" fontId="7" fillId="14" borderId="3" applyAlignment="1" pivotButton="0" quotePrefix="0" xfId="0">
      <alignment horizontal="center"/>
    </xf>
    <xf numFmtId="0" fontId="3" fillId="9" borderId="3" applyAlignment="1" pivotButton="0" quotePrefix="0" xfId="0">
      <alignment horizontal="center"/>
    </xf>
    <xf numFmtId="0" fontId="10" fillId="9" borderId="3" applyAlignment="1" pivotButton="0" quotePrefix="0" xfId="0">
      <alignment horizontal="center"/>
    </xf>
    <xf numFmtId="0" fontId="1" fillId="4" borderId="3" applyAlignment="1" pivotButton="0" quotePrefix="0" xfId="0">
      <alignment horizontal="center"/>
    </xf>
    <xf numFmtId="0" fontId="9" fillId="0" borderId="3" applyAlignment="1" pivotButton="0" quotePrefix="0" xfId="0">
      <alignment horizontal="center"/>
    </xf>
    <xf numFmtId="4" fontId="10" fillId="0" borderId="3" applyAlignment="1" pivotButton="0" quotePrefix="0" xfId="0">
      <alignment horizontal="center"/>
    </xf>
    <xf numFmtId="0" fontId="7" fillId="13" borderId="3" applyAlignment="1" pivotButton="0" quotePrefix="0" xfId="0">
      <alignment horizontal="center"/>
    </xf>
    <xf numFmtId="0" fontId="16" fillId="9" borderId="3" applyAlignment="1" pivotButton="0" quotePrefix="0" xfId="0">
      <alignment horizontal="center"/>
    </xf>
    <xf numFmtId="0" fontId="7" fillId="8" borderId="3" applyAlignment="1" pivotButton="0" quotePrefix="0" xfId="0">
      <alignment horizontal="center"/>
    </xf>
    <xf numFmtId="4" fontId="10" fillId="16" borderId="3" applyAlignment="1" pivotButton="0" quotePrefix="0" xfId="0">
      <alignment horizontal="center"/>
    </xf>
    <xf numFmtId="0" fontId="7" fillId="19" borderId="3" applyAlignment="1" pivotButton="0" quotePrefix="0" xfId="0">
      <alignment horizontal="center"/>
    </xf>
    <xf numFmtId="0" fontId="7" fillId="18" borderId="3" applyAlignment="1" pivotButton="0" quotePrefix="0" xfId="0">
      <alignment horizontal="center"/>
    </xf>
    <xf numFmtId="0" fontId="1" fillId="20" borderId="3" applyAlignment="1" pivotButton="0" quotePrefix="0" xfId="0">
      <alignment horizontal="center"/>
    </xf>
    <xf numFmtId="0" fontId="1" fillId="2" borderId="3" applyAlignment="1" pivotButton="0" quotePrefix="0" xfId="0">
      <alignment horizontal="center"/>
    </xf>
    <xf numFmtId="0" fontId="7" fillId="16" borderId="3" applyAlignment="1" pivotButton="0" quotePrefix="0" xfId="0">
      <alignment horizontal="center"/>
    </xf>
    <xf numFmtId="1" fontId="20" fillId="0" borderId="2" applyAlignment="1" pivotButton="0" quotePrefix="0" xfId="0">
      <alignment horizontal="center"/>
    </xf>
    <xf numFmtId="1" fontId="0" fillId="0" borderId="0" applyAlignment="1" pivotButton="0" quotePrefix="0" xfId="0">
      <alignment horizontal="general"/>
    </xf>
    <xf numFmtId="1" fontId="1" fillId="0" borderId="2" applyAlignment="1" pivotButton="0" quotePrefix="0" xfId="0">
      <alignment horizontal="center"/>
    </xf>
    <xf numFmtId="1" fontId="1" fillId="0" borderId="2" applyAlignment="1" pivotButton="0" quotePrefix="0" xfId="0">
      <alignment horizontal="left"/>
    </xf>
    <xf numFmtId="1" fontId="1" fillId="21" borderId="1" applyAlignment="1" pivotButton="0" quotePrefix="0" xfId="0">
      <alignment horizontal="left"/>
    </xf>
    <xf numFmtId="1" fontId="6" fillId="21" borderId="1" applyAlignment="1" pivotButton="0" quotePrefix="0" xfId="0">
      <alignment horizontal="left"/>
    </xf>
    <xf numFmtId="1" fontId="6" fillId="21" borderId="1" applyAlignment="1" pivotButton="0" quotePrefix="0" xfId="0">
      <alignment horizontal="right"/>
    </xf>
    <xf numFmtId="1" fontId="21" fillId="22" borderId="3" applyAlignment="1" pivotButton="0" quotePrefix="0" xfId="0">
      <alignment horizontal="center"/>
    </xf>
    <xf numFmtId="1" fontId="22" fillId="22" borderId="3" applyAlignment="1" pivotButton="0" quotePrefix="0" xfId="0">
      <alignment horizontal="center"/>
    </xf>
    <xf numFmtId="1" fontId="21" fillId="0" borderId="2" applyAlignment="1" pivotButton="0" quotePrefix="0" xfId="0">
      <alignment horizontal="center"/>
    </xf>
    <xf numFmtId="1" fontId="22" fillId="0" borderId="3" applyAlignment="1" pivotButton="0" quotePrefix="0" xfId="0">
      <alignment horizontal="center"/>
    </xf>
    <xf numFmtId="1" fontId="22" fillId="0" borderId="2" applyAlignment="1" pivotButton="0" quotePrefix="0" xfId="0">
      <alignment horizontal="center"/>
    </xf>
    <xf numFmtId="1" fontId="22" fillId="0" borderId="7" applyAlignment="1" pivotButton="0" quotePrefix="0" xfId="0">
      <alignment horizontal="center"/>
    </xf>
    <xf numFmtId="1" fontId="0" fillId="0" borderId="0" applyAlignment="1" pivotButton="0" quotePrefix="0" xfId="0">
      <alignment horizontal="general"/>
    </xf>
    <xf numFmtId="0" fontId="23" fillId="0" borderId="8" applyAlignment="1" pivotButton="0" quotePrefix="0" xfId="0">
      <alignment horizontal="center" vertical="top"/>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K57"/>
  <sheetViews>
    <sheetView workbookViewId="0">
      <selection activeCell="A1" sqref="A1"/>
    </sheetView>
  </sheetViews>
  <sheetFormatPr baseColWidth="8" defaultRowHeight="15"/>
  <cols>
    <col width="15.43357142857143" bestFit="1" customWidth="1" style="94" min="1" max="1"/>
    <col width="24.14785714285714" bestFit="1" customWidth="1" style="94" min="2" max="2"/>
    <col width="13.005" bestFit="1" customWidth="1" style="94" min="3" max="3"/>
    <col width="15.86214285714286" bestFit="1" customWidth="1" style="94" min="4" max="4"/>
    <col width="24.14785714285714" bestFit="1" customWidth="1" style="94" min="5" max="5"/>
    <col width="21.43357142857143" bestFit="1" customWidth="1" style="94" min="6" max="6"/>
    <col width="17.86214285714286" bestFit="1" customWidth="1" style="94" min="7" max="7"/>
    <col width="24.14785714285714" bestFit="1" customWidth="1" style="94" min="8" max="8"/>
    <col width="24.14785714285714" bestFit="1" customWidth="1" style="94" min="9" max="9"/>
    <col width="13.57642857142857" bestFit="1" customWidth="1" style="12" min="10" max="10"/>
    <col width="13.57642857142857" bestFit="1" customWidth="1" style="12" min="11" max="11"/>
  </cols>
  <sheetData>
    <row r="1" ht="18.75" customHeight="1">
      <c r="A1" s="81" t="n"/>
      <c r="B1" s="81" t="n"/>
      <c r="C1" s="81" t="n"/>
      <c r="D1" s="81" t="n"/>
      <c r="E1" s="81" t="n"/>
      <c r="F1" s="81" t="n"/>
      <c r="G1" s="81" t="n"/>
      <c r="H1" s="81" t="n"/>
      <c r="I1" s="94" t="n"/>
      <c r="J1" s="12" t="n"/>
      <c r="K1" s="12" t="n"/>
    </row>
    <row r="2" ht="18.75" customHeight="1">
      <c r="A2" s="81" t="n"/>
      <c r="B2" s="81" t="n"/>
      <c r="C2" s="81" t="n"/>
      <c r="D2" s="81" t="n"/>
      <c r="E2" s="81" t="n"/>
      <c r="F2" s="81" t="n"/>
      <c r="G2" s="81" t="n"/>
      <c r="H2" s="81" t="n"/>
      <c r="I2" s="94" t="n"/>
      <c r="J2" s="12" t="n"/>
      <c r="K2" s="12" t="n"/>
    </row>
    <row r="3" ht="18.75" customHeight="1">
      <c r="A3" s="94" t="n"/>
      <c r="B3" s="94" t="n"/>
      <c r="C3" s="81" t="n"/>
      <c r="D3" s="94" t="n"/>
      <c r="E3" s="94" t="n"/>
      <c r="F3" s="81" t="n"/>
      <c r="G3" s="94" t="n"/>
      <c r="H3" s="94" t="n"/>
      <c r="I3" s="94" t="n"/>
      <c r="J3" s="12" t="n"/>
      <c r="K3" s="12" t="n"/>
    </row>
    <row r="4" ht="18.75" customHeight="1">
      <c r="A4" s="94" t="n"/>
      <c r="B4" s="94" t="n"/>
      <c r="C4" s="81" t="n"/>
      <c r="D4" s="94" t="n"/>
      <c r="E4" s="94" t="n"/>
      <c r="F4" s="81" t="n"/>
      <c r="G4" s="94" t="n"/>
      <c r="H4" s="94" t="n"/>
      <c r="I4" s="94" t="n"/>
      <c r="J4" s="12" t="n"/>
      <c r="K4" s="12" t="n"/>
    </row>
    <row r="5" ht="18.75" customHeight="1">
      <c r="A5" s="94" t="n"/>
      <c r="B5" s="94" t="n"/>
      <c r="C5" s="81" t="n"/>
      <c r="D5" s="94" t="n"/>
      <c r="E5" s="94" t="n"/>
      <c r="F5" s="81" t="n"/>
      <c r="G5" s="94" t="n"/>
      <c r="H5" s="94" t="n"/>
      <c r="I5" s="94" t="n"/>
      <c r="J5" s="12" t="n"/>
      <c r="K5" s="12" t="n"/>
    </row>
    <row r="6" ht="18.75" customHeight="1">
      <c r="A6" s="94" t="n"/>
      <c r="B6" s="94" t="n"/>
      <c r="C6" s="81" t="n"/>
      <c r="D6" s="94" t="n"/>
      <c r="E6" s="94" t="n"/>
      <c r="F6" s="81" t="n"/>
      <c r="G6" s="94" t="n"/>
      <c r="H6" s="94" t="n"/>
      <c r="I6" s="94" t="n"/>
      <c r="J6" s="12" t="n"/>
      <c r="K6" s="12" t="n"/>
    </row>
    <row r="7" ht="18.75" customHeight="1">
      <c r="A7" s="94" t="n"/>
      <c r="B7" s="94" t="n"/>
      <c r="C7" s="81" t="n"/>
      <c r="D7" s="94" t="n"/>
      <c r="E7" s="94" t="n"/>
      <c r="F7" s="81" t="n"/>
      <c r="G7" s="94" t="n"/>
      <c r="H7" s="94" t="n"/>
      <c r="I7" s="94" t="n"/>
      <c r="J7" s="12" t="n"/>
      <c r="K7" s="12" t="n"/>
    </row>
    <row r="8" ht="18.75" customHeight="1">
      <c r="A8" s="94" t="n"/>
      <c r="B8" s="94" t="n"/>
      <c r="C8" s="81" t="n"/>
      <c r="D8" s="94" t="n"/>
      <c r="E8" s="94" t="n"/>
      <c r="F8" s="81" t="n"/>
      <c r="G8" s="94" t="n"/>
      <c r="H8" s="94" t="n"/>
      <c r="I8" s="94" t="n"/>
      <c r="J8" s="12" t="n"/>
      <c r="K8" s="12" t="n"/>
    </row>
    <row r="9" ht="18.75" customHeight="1">
      <c r="A9" s="94" t="n"/>
      <c r="B9" s="94" t="n"/>
      <c r="C9" s="81" t="n"/>
      <c r="D9" s="94" t="n"/>
      <c r="E9" s="94" t="n"/>
      <c r="F9" s="81" t="n"/>
      <c r="G9" s="94" t="n"/>
      <c r="H9" s="94" t="n"/>
      <c r="I9" s="94" t="n"/>
      <c r="J9" s="12" t="n"/>
      <c r="K9" s="12" t="n"/>
    </row>
    <row r="10" ht="18.75" customHeight="1">
      <c r="A10" s="94" t="n"/>
      <c r="B10" s="94" t="n"/>
      <c r="C10" s="81" t="n"/>
      <c r="D10" s="94" t="n"/>
      <c r="E10" s="94" t="n"/>
      <c r="F10" s="81" t="n"/>
      <c r="G10" s="94" t="n"/>
      <c r="H10" s="94" t="n"/>
      <c r="I10" s="94" t="n"/>
      <c r="J10" s="12" t="n"/>
      <c r="K10" s="12" t="n"/>
    </row>
    <row r="11" ht="18.75" customHeight="1">
      <c r="A11" s="94" t="n"/>
      <c r="B11" s="94" t="n"/>
      <c r="C11" s="81" t="n"/>
      <c r="D11" s="94" t="n"/>
      <c r="E11" s="94" t="n"/>
      <c r="F11" s="81" t="n"/>
      <c r="G11" s="94" t="n"/>
      <c r="H11" s="94" t="n"/>
      <c r="I11" s="94" t="n"/>
      <c r="J11" s="12" t="n"/>
      <c r="K11" s="12" t="n"/>
    </row>
    <row r="12" ht="18.75" customHeight="1">
      <c r="A12" s="81" t="n"/>
      <c r="B12" s="81" t="n"/>
      <c r="C12" s="81" t="n"/>
      <c r="D12" s="94" t="n"/>
      <c r="E12" s="94" t="n"/>
      <c r="F12" s="81" t="n"/>
      <c r="G12" s="94" t="n"/>
      <c r="H12" s="94" t="n"/>
      <c r="I12" s="94" t="n"/>
      <c r="J12" s="12" t="n"/>
      <c r="K12" s="12" t="n"/>
    </row>
    <row r="13" ht="18.75" customHeight="1">
      <c r="A13" s="81" t="n"/>
      <c r="B13" s="81" t="n"/>
      <c r="C13" s="81" t="n"/>
      <c r="D13" s="94" t="n"/>
      <c r="E13" s="94" t="n"/>
      <c r="F13" s="81" t="n"/>
      <c r="G13" s="94" t="n"/>
      <c r="H13" s="94" t="n"/>
      <c r="I13" s="94" t="n"/>
      <c r="J13" s="12" t="n"/>
      <c r="K13" s="12" t="n"/>
    </row>
    <row r="14" ht="18.75" customHeight="1">
      <c r="A14" s="81" t="n"/>
      <c r="B14" s="81" t="n"/>
      <c r="C14" s="81" t="n"/>
      <c r="D14" s="94" t="n"/>
      <c r="E14" s="94" t="n"/>
      <c r="F14" s="81" t="n"/>
      <c r="G14" s="94" t="n"/>
      <c r="H14" s="94" t="n"/>
      <c r="I14" s="94" t="n"/>
      <c r="J14" s="12" t="n"/>
      <c r="K14" s="12" t="n"/>
    </row>
    <row r="15" ht="18.75" customHeight="1">
      <c r="A15" s="81" t="n"/>
      <c r="B15" s="81" t="n"/>
      <c r="C15" s="81" t="n"/>
      <c r="D15" s="94" t="n"/>
      <c r="E15" s="94" t="n"/>
      <c r="F15" s="81" t="n"/>
      <c r="G15" s="94" t="n"/>
      <c r="H15" s="94" t="n"/>
      <c r="I15" s="94" t="n"/>
      <c r="J15" s="12" t="n"/>
      <c r="K15" s="12" t="n"/>
    </row>
    <row r="16" ht="18.75" customHeight="1">
      <c r="A16" s="83" t="inlineStr">
        <is>
          <t>oprationnel</t>
        </is>
      </c>
      <c r="B16" s="83" t="inlineStr">
        <is>
          <t>Operationnel</t>
        </is>
      </c>
      <c r="C16" s="81" t="n"/>
      <c r="D16" s="83" t="inlineStr">
        <is>
          <t>oprationnel</t>
        </is>
      </c>
      <c r="E16" s="83" t="inlineStr">
        <is>
          <t>Operationnel</t>
        </is>
      </c>
      <c r="F16" s="83" t="n"/>
      <c r="G16" s="83" t="inlineStr">
        <is>
          <t>oprationnel</t>
        </is>
      </c>
      <c r="H16" s="83" t="inlineStr">
        <is>
          <t>Operationnel</t>
        </is>
      </c>
      <c r="I16" s="94" t="n"/>
      <c r="J16" s="12" t="n"/>
      <c r="K16" s="12" t="n"/>
    </row>
    <row r="17" ht="18.75" customHeight="1">
      <c r="A17" s="81" t="n"/>
      <c r="B17" s="81" t="n"/>
      <c r="C17" s="81" t="n"/>
      <c r="D17" s="81" t="n"/>
      <c r="E17" s="81" t="n"/>
      <c r="F17" s="83" t="n"/>
      <c r="G17" s="83" t="n"/>
      <c r="H17" s="83" t="n"/>
      <c r="I17" s="94" t="n"/>
      <c r="J17" s="12" t="n"/>
      <c r="K17" s="12" t="n"/>
    </row>
    <row r="18" ht="18.75" customHeight="1">
      <c r="A18" s="83" t="inlineStr">
        <is>
          <t>Row Labels</t>
        </is>
      </c>
      <c r="B18" s="83" t="inlineStr">
        <is>
          <t>Sum of NUR  DU 29/04/2026</t>
        </is>
      </c>
      <c r="C18" s="83" t="n"/>
      <c r="D18" s="83" t="inlineStr">
        <is>
          <t>Row Labels</t>
        </is>
      </c>
      <c r="E18" s="83" t="inlineStr">
        <is>
          <t>Sum of NUR  DU 29/04/2026</t>
        </is>
      </c>
      <c r="F18" s="83" t="n"/>
      <c r="G18" s="83" t="inlineStr">
        <is>
          <t>Row Labels</t>
        </is>
      </c>
      <c r="H18" s="83" t="inlineStr">
        <is>
          <t>Sum of NUR  DU 29/04/2026</t>
        </is>
      </c>
      <c r="I18" s="94" t="n"/>
      <c r="J18" s="12" t="n"/>
      <c r="K18" s="12" t="n"/>
    </row>
    <row r="19" ht="18.75" customHeight="1">
      <c r="A19" s="83" t="inlineStr">
        <is>
          <t>ACCESS-ISSUE</t>
        </is>
      </c>
      <c r="B19" s="83" t="n">
        <v>0</v>
      </c>
      <c r="C19" s="83" t="n"/>
      <c r="D19" s="83" t="inlineStr">
        <is>
          <t>ACCESS-ISSUE</t>
        </is>
      </c>
      <c r="E19" s="83" t="n">
        <v>0</v>
      </c>
      <c r="F19" s="83" t="n"/>
      <c r="G19" s="83" t="inlineStr">
        <is>
          <t>ACCESS-ISSUE</t>
        </is>
      </c>
      <c r="H19" s="83" t="n">
        <v>0</v>
      </c>
      <c r="I19" s="94" t="n"/>
      <c r="J19" s="84" t="n"/>
      <c r="K19" s="84" t="n"/>
    </row>
    <row r="20" ht="18.75" customHeight="1">
      <c r="A20" s="83" t="inlineStr">
        <is>
          <t>ACTIVE</t>
        </is>
      </c>
      <c r="B20" s="83" t="n">
        <v>449.0607120167458</v>
      </c>
      <c r="C20" s="83" t="n"/>
      <c r="D20" s="83" t="inlineStr">
        <is>
          <t>ENVTECH</t>
        </is>
      </c>
      <c r="E20" s="83" t="n">
        <v>42.35888172632144</v>
      </c>
      <c r="F20" s="83" t="n"/>
      <c r="G20" s="83" t="inlineStr">
        <is>
          <t>AKTIVCO</t>
        </is>
      </c>
      <c r="H20" s="83" t="n">
        <v>365.696523956275</v>
      </c>
      <c r="I20" s="94" t="n"/>
      <c r="J20" s="84" t="n"/>
      <c r="K20" s="84" t="n"/>
    </row>
    <row r="21" ht="18.75" customHeight="1">
      <c r="A21" s="83" t="inlineStr">
        <is>
          <t>No root cause</t>
        </is>
      </c>
      <c r="B21" s="83" t="n">
        <v>242.5680047323808</v>
      </c>
      <c r="C21" s="83" t="n"/>
      <c r="D21" s="83" t="inlineStr">
        <is>
          <t>No root cause</t>
        </is>
      </c>
      <c r="E21" s="83" t="n">
        <v>242.5680047323808</v>
      </c>
      <c r="F21" s="83" t="n"/>
      <c r="G21" s="83" t="inlineStr">
        <is>
          <t>AKTIVCO GRID ONLY</t>
        </is>
      </c>
      <c r="H21" s="83" t="n">
        <v>216.0785371240723</v>
      </c>
      <c r="I21" s="94" t="n"/>
      <c r="J21" s="12" t="n"/>
      <c r="K21" s="12" t="n"/>
    </row>
    <row r="22" ht="18.75" customHeight="1">
      <c r="A22" s="83" t="inlineStr">
        <is>
          <t>PASSIVE</t>
        </is>
      </c>
      <c r="B22" s="83" t="n">
        <v>1389.529606435662</v>
      </c>
      <c r="C22" s="83" t="n"/>
      <c r="D22" s="83" t="inlineStr">
        <is>
          <t>POWER ISSUE</t>
        </is>
      </c>
      <c r="E22" s="83" t="n">
        <v>1347.170724709341</v>
      </c>
      <c r="F22" s="83" t="n"/>
      <c r="G22" s="83" t="inlineStr">
        <is>
          <t>BSS</t>
        </is>
      </c>
      <c r="H22" s="83" t="n">
        <v>211.1671156979664</v>
      </c>
      <c r="I22" s="94" t="n"/>
      <c r="J22" s="12" t="n"/>
      <c r="K22" s="12" t="n"/>
    </row>
    <row r="23" ht="18.75" customHeight="1">
      <c r="A23" s="83" t="inlineStr">
        <is>
          <t>PLANNED WORKS</t>
        </is>
      </c>
      <c r="B23" s="83" t="n">
        <v>0</v>
      </c>
      <c r="C23" s="83" t="n"/>
      <c r="D23" s="83" t="inlineStr">
        <is>
          <t>RAN ISSUE</t>
        </is>
      </c>
      <c r="E23" s="83" t="n">
        <v>211.1671156979664</v>
      </c>
      <c r="F23" s="83" t="n"/>
      <c r="G23" s="83" t="inlineStr">
        <is>
          <t>ENVTECH</t>
        </is>
      </c>
      <c r="H23" s="83" t="n">
        <v>42.35888172632144</v>
      </c>
      <c r="I23" s="94" t="n"/>
      <c r="J23" s="12" t="n"/>
      <c r="K23" s="12" t="n"/>
    </row>
    <row r="24" ht="18.75" customHeight="1">
      <c r="A24" s="83" t="inlineStr">
        <is>
          <t>SPARE-ISSUE</t>
        </is>
      </c>
      <c r="B24" s="83" t="n">
        <v>130.2794692090369</v>
      </c>
      <c r="C24" s="83" t="n"/>
      <c r="D24" s="83" t="inlineStr">
        <is>
          <t>SPARE-ISSUE</t>
        </is>
      </c>
      <c r="E24" s="83" t="n">
        <v>130.2794692090369</v>
      </c>
      <c r="F24" s="83" t="n"/>
      <c r="G24" s="83" t="inlineStr">
        <is>
          <t>Fiber AOF</t>
        </is>
      </c>
      <c r="H24" s="83" t="n">
        <v>46.89494853509802</v>
      </c>
      <c r="I24" s="94" t="n"/>
      <c r="J24" s="12" t="n"/>
      <c r="K24" s="12" t="n"/>
    </row>
    <row r="25" ht="18.75" customHeight="1">
      <c r="A25" s="83" t="inlineStr">
        <is>
          <t>Grand Total</t>
        </is>
      </c>
      <c r="B25" s="83" t="n">
        <v>2211.437792393826</v>
      </c>
      <c r="C25" s="83" t="n"/>
      <c r="D25" s="83" t="inlineStr">
        <is>
          <t>TRAVAUX OCM</t>
        </is>
      </c>
      <c r="E25" s="83" t="n">
        <v>0</v>
      </c>
      <c r="F25" s="83" t="n"/>
      <c r="G25" s="83" t="inlineStr">
        <is>
          <t>IHS</t>
        </is>
      </c>
      <c r="H25" s="83" t="n">
        <v>304.3833460252023</v>
      </c>
      <c r="I25" s="94" t="n"/>
      <c r="J25" s="12" t="n"/>
      <c r="K25" s="12" t="n"/>
    </row>
    <row r="26" ht="18.75" customHeight="1">
      <c r="A26" s="83" t="n"/>
      <c r="B26" s="83" t="n"/>
      <c r="C26" s="83" t="n"/>
      <c r="D26" s="83" t="inlineStr">
        <is>
          <t>TRAVAUX-HUAWEI</t>
        </is>
      </c>
      <c r="E26" s="83" t="n">
        <v>0</v>
      </c>
      <c r="F26" s="83" t="n"/>
      <c r="G26" s="83" t="inlineStr">
        <is>
          <t>IHS GRID ONLY</t>
        </is>
      </c>
      <c r="H26" s="83" t="n">
        <v>352.0713966574198</v>
      </c>
      <c r="I26" s="94" t="n"/>
      <c r="J26" s="12" t="n"/>
      <c r="K26" s="12" t="n"/>
    </row>
    <row r="27" ht="18.75" customHeight="1">
      <c r="A27" s="83" t="n"/>
      <c r="B27" s="83" t="n"/>
      <c r="C27" s="83" t="n"/>
      <c r="D27" s="83" t="inlineStr">
        <is>
          <t>TX ISSUE</t>
        </is>
      </c>
      <c r="E27" s="83" t="n">
        <v>237.8935963187795</v>
      </c>
      <c r="F27" s="83" t="n"/>
      <c r="G27" s="83" t="inlineStr">
        <is>
          <t>No root cause</t>
        </is>
      </c>
      <c r="H27" s="83" t="n">
        <v>242.5680047323808</v>
      </c>
      <c r="I27" s="94" t="n"/>
      <c r="J27" s="12" t="n"/>
      <c r="K27" s="12" t="n"/>
    </row>
    <row r="28" ht="18.75" customHeight="1">
      <c r="A28" s="83" t="n"/>
      <c r="B28" s="83" t="n"/>
      <c r="C28" s="83" t="n"/>
      <c r="D28" s="83" t="inlineStr">
        <is>
          <t>Grand Total</t>
        </is>
      </c>
      <c r="E28" s="83" t="n">
        <v>2211.437792393826</v>
      </c>
      <c r="F28" s="83" t="n"/>
      <c r="G28" s="83" t="inlineStr">
        <is>
          <t>Partners</t>
        </is>
      </c>
      <c r="H28" s="83" t="n">
        <v>0</v>
      </c>
      <c r="I28" s="94" t="n"/>
      <c r="J28" s="12" t="n"/>
      <c r="K28" s="12" t="n"/>
    </row>
    <row r="29" ht="18.75" customHeight="1">
      <c r="A29" s="83" t="n"/>
      <c r="B29" s="83" t="n"/>
      <c r="C29" s="83" t="n"/>
      <c r="D29" s="83" t="n"/>
      <c r="E29" s="83" t="n"/>
      <c r="F29" s="83" t="n"/>
      <c r="G29" s="83" t="inlineStr">
        <is>
          <t>PDH</t>
        </is>
      </c>
      <c r="H29" s="83" t="n">
        <v>190.9986477836815</v>
      </c>
      <c r="I29" s="94" t="n"/>
      <c r="J29" s="12" t="n"/>
      <c r="K29" s="12" t="n"/>
    </row>
    <row r="30" ht="18.75" customHeight="1">
      <c r="A30" s="83" t="n"/>
      <c r="B30" s="83" t="n"/>
      <c r="C30" s="83" t="n"/>
      <c r="D30" s="83" t="n"/>
      <c r="E30" s="83" t="n"/>
      <c r="F30" s="83" t="n"/>
      <c r="G30" s="83" t="inlineStr">
        <is>
          <t>SPARE-ISSUE</t>
        </is>
      </c>
      <c r="H30" s="83" t="n">
        <v>130.2794692090369</v>
      </c>
      <c r="I30" s="94" t="n"/>
      <c r="J30" s="12" t="n"/>
      <c r="K30" s="12" t="n"/>
    </row>
    <row r="31" ht="18.75" customHeight="1">
      <c r="A31" s="83" t="n"/>
      <c r="B31" s="83" t="n"/>
      <c r="C31" s="83" t="n"/>
      <c r="D31" s="83" t="n"/>
      <c r="E31" s="83" t="n"/>
      <c r="F31" s="83" t="n"/>
      <c r="G31" s="83" t="inlineStr">
        <is>
          <t>SST &amp; DC</t>
        </is>
      </c>
      <c r="H31" s="83" t="n">
        <v>108.940920946372</v>
      </c>
      <c r="I31" s="94" t="n"/>
      <c r="J31" s="12" t="n"/>
      <c r="K31" s="12" t="n"/>
    </row>
    <row r="32" ht="18.75" customHeight="1">
      <c r="A32" s="83" t="n"/>
      <c r="B32" s="83" t="n"/>
      <c r="C32" s="83" t="n"/>
      <c r="D32" s="83" t="n"/>
      <c r="E32" s="83" t="n"/>
      <c r="F32" s="83" t="n"/>
      <c r="G32" s="83" t="inlineStr">
        <is>
          <t>TRAVAUX OCM</t>
        </is>
      </c>
      <c r="H32" s="83" t="n">
        <v>0</v>
      </c>
      <c r="I32" s="94" t="n"/>
      <c r="J32" s="12" t="n"/>
      <c r="K32" s="12" t="n"/>
    </row>
    <row r="33" ht="18.75" customHeight="1">
      <c r="A33" s="83" t="n"/>
      <c r="B33" s="83" t="n"/>
      <c r="C33" s="83" t="n"/>
      <c r="D33" s="83" t="n"/>
      <c r="E33" s="83" t="n"/>
      <c r="F33" s="83" t="n"/>
      <c r="G33" s="83" t="inlineStr">
        <is>
          <t>TRAVAUX-HUAWEI</t>
        </is>
      </c>
      <c r="H33" s="83" t="n">
        <v>0</v>
      </c>
      <c r="I33" s="94" t="n"/>
      <c r="J33" s="12" t="n"/>
      <c r="K33" s="12" t="n"/>
    </row>
    <row r="34" ht="18.75" customHeight="1">
      <c r="A34" s="83" t="n"/>
      <c r="B34" s="83" t="n"/>
      <c r="C34" s="83" t="n"/>
      <c r="D34" s="83" t="n"/>
      <c r="E34" s="83" t="n"/>
      <c r="F34" s="83" t="n"/>
      <c r="G34" s="83" t="inlineStr">
        <is>
          <t>Grand Total</t>
        </is>
      </c>
      <c r="H34" s="83" t="n">
        <v>2211.437792393826</v>
      </c>
      <c r="I34" s="94" t="n"/>
      <c r="J34" s="12" t="n"/>
      <c r="K34" s="12" t="n"/>
    </row>
    <row r="35" ht="18.75" customHeight="1">
      <c r="A35" s="94" t="n"/>
      <c r="B35" s="94" t="n"/>
      <c r="C35" s="94" t="n"/>
      <c r="D35" s="94" t="n"/>
      <c r="E35" s="94" t="n"/>
      <c r="F35" s="94" t="n"/>
      <c r="G35" s="94" t="n"/>
      <c r="H35" s="94" t="n"/>
      <c r="I35" s="94" t="n"/>
      <c r="J35" s="12" t="n"/>
      <c r="K35" s="12" t="n"/>
    </row>
    <row r="36" ht="18.75" customHeight="1">
      <c r="A36" s="94" t="n"/>
      <c r="B36" s="94" t="n"/>
      <c r="C36" s="94" t="n"/>
      <c r="D36" s="94" t="n"/>
      <c r="E36" s="94" t="n"/>
      <c r="F36" s="94" t="n"/>
      <c r="G36" s="94" t="n"/>
      <c r="H36" s="94" t="n"/>
      <c r="I36" s="94" t="n"/>
      <c r="J36" s="12" t="n"/>
      <c r="K36" s="12" t="n"/>
    </row>
    <row r="37" ht="18.75" customHeight="1">
      <c r="A37" s="94" t="n"/>
      <c r="B37" s="94" t="n"/>
      <c r="C37" s="94" t="n"/>
      <c r="D37" s="94" t="n"/>
      <c r="E37" s="94" t="n"/>
      <c r="F37" s="94" t="n"/>
      <c r="G37" s="84" t="n"/>
      <c r="H37" s="84" t="n"/>
      <c r="I37" s="94" t="n"/>
      <c r="J37" s="12" t="n"/>
      <c r="K37" s="12" t="n"/>
    </row>
    <row r="38" ht="18.75" customHeight="1">
      <c r="A38" s="94" t="n"/>
      <c r="B38" s="94" t="n"/>
      <c r="C38" s="94" t="n"/>
      <c r="D38" s="94" t="n"/>
      <c r="E38" s="94" t="n"/>
      <c r="F38" s="94" t="n"/>
      <c r="G38" s="84" t="n"/>
      <c r="H38" s="84" t="n"/>
      <c r="I38" s="94" t="n"/>
      <c r="J38" s="12" t="n"/>
      <c r="K38" s="12" t="n"/>
    </row>
    <row r="39" ht="18.75" customHeight="1">
      <c r="A39" s="94" t="n"/>
      <c r="B39" s="85" t="n"/>
      <c r="C39" s="85" t="n"/>
      <c r="D39" s="86" t="inlineStr">
        <is>
          <t xml:space="preserve">                                       </t>
        </is>
      </c>
      <c r="E39" s="87" t="inlineStr">
        <is>
          <t xml:space="preserve">  NUR DAILY RECAP - NUR 2211</t>
        </is>
      </c>
      <c r="F39" s="85" t="n"/>
      <c r="G39" s="85" t="n"/>
      <c r="H39" s="85" t="n"/>
      <c r="I39" s="85" t="n"/>
      <c r="J39" s="12" t="n"/>
      <c r="K39" s="12" t="n"/>
    </row>
    <row r="40" ht="18.75" customHeight="1">
      <c r="A40" s="94" t="n"/>
      <c r="B40" s="88" t="inlineStr">
        <is>
          <t>RCA</t>
        </is>
      </c>
      <c r="C40" s="89" t="inlineStr">
        <is>
          <t>NUR</t>
        </is>
      </c>
      <c r="D40" s="90" t="n"/>
      <c r="E40" s="88" t="inlineStr">
        <is>
          <t>RCA</t>
        </is>
      </c>
      <c r="F40" s="88" t="inlineStr">
        <is>
          <t>NUR</t>
        </is>
      </c>
      <c r="G40" s="90" t="n"/>
      <c r="H40" s="88" t="inlineStr">
        <is>
          <t>RCA</t>
        </is>
      </c>
      <c r="I40" s="88" t="inlineStr">
        <is>
          <t>NUR</t>
        </is>
      </c>
      <c r="J40" s="12" t="n"/>
      <c r="K40" s="12" t="n"/>
    </row>
    <row r="41" ht="18.75" customHeight="1">
      <c r="A41" s="94" t="n"/>
      <c r="B41" s="91" t="inlineStr">
        <is>
          <t>ACCESS-ISSUE</t>
        </is>
      </c>
      <c r="C41" s="91">
        <f>GETPIVOTDATA("NUR  DU 29/04/2026",$A$18,"CATEGORIE","ACCESS-ISSUE")</f>
        <v/>
      </c>
      <c r="D41" s="92" t="n"/>
      <c r="E41" s="91" t="inlineStr">
        <is>
          <t>ACCESS-ISSUE</t>
        </is>
      </c>
      <c r="F41" s="91">
        <f>GETPIVOTDATA("NUR  DU 29/04/2026",$D$18,"SUB RCA","ACCESS-ISSUE")</f>
        <v/>
      </c>
      <c r="G41" s="92" t="n"/>
      <c r="H41" s="91" t="inlineStr">
        <is>
          <t>ACCESS-ISSUE</t>
        </is>
      </c>
      <c r="I41" s="91">
        <f>GETPIVOTDATA("NUR  DU 29/04/2026",$G$18,"OCM NOMENCLATURE","ACCESS-ISSUE")</f>
        <v/>
      </c>
      <c r="J41" s="12" t="n"/>
      <c r="K41" s="12" t="n"/>
    </row>
    <row r="42" ht="18.75" customHeight="1">
      <c r="A42" s="94" t="n"/>
      <c r="B42" s="91" t="inlineStr">
        <is>
          <t>ACTIVE</t>
        </is>
      </c>
      <c r="C42" s="91">
        <f>GETPIVOTDATA("NUR  DU 29/04/2026",$A$18,"CATEGORIE","ACTIVE")</f>
        <v/>
      </c>
      <c r="D42" s="92" t="n"/>
      <c r="E42" s="91" t="inlineStr">
        <is>
          <t>ENV TCH OCM</t>
        </is>
      </c>
      <c r="F42" s="91">
        <f>GETPIVOTDATA("NUR  DU 29/04/2026",$D$18,"SUB RCA","ENVTECH")</f>
        <v/>
      </c>
      <c r="G42" s="92" t="n"/>
      <c r="H42" s="91" t="inlineStr">
        <is>
          <t>AKTIVCO With Backup</t>
        </is>
      </c>
      <c r="I42" s="91">
        <f>GETPIVOTDATA("NUR  DU 29/04/2026",$G$18,"OCM NOMENCLATURE","AKTIVCO")</f>
        <v/>
      </c>
      <c r="J42" s="12" t="n"/>
      <c r="K42" s="12" t="n"/>
    </row>
    <row r="43" ht="18.75" customHeight="1">
      <c r="A43" s="94" t="n"/>
      <c r="B43" s="91" t="inlineStr">
        <is>
          <t>No root cause</t>
        </is>
      </c>
      <c r="C43" s="91">
        <f>GETPIVOTDATA("NUR  DU 29/04/2026",$A$18,"CATEGORIE","No root cause")</f>
        <v/>
      </c>
      <c r="D43" s="92" t="n"/>
      <c r="E43" s="91" t="inlineStr">
        <is>
          <t>No root cause</t>
        </is>
      </c>
      <c r="F43" s="91">
        <f>GETPIVOTDATA("NUR  DU 29/04/2026",$D$18,"SUB RCA","No root cause")</f>
        <v/>
      </c>
      <c r="G43" s="92" t="n"/>
      <c r="H43" s="91" t="inlineStr">
        <is>
          <t>AKTIVCO GRID ONLY</t>
        </is>
      </c>
      <c r="I43" s="91">
        <f>GETPIVOTDATA("NUR  DU 29/04/2026",$G$18,"OCM NOMENCLATURE","AKTIVCO GRID ONLY")</f>
        <v/>
      </c>
      <c r="J43" s="12" t="n"/>
      <c r="K43" s="12" t="n"/>
    </row>
    <row r="44" ht="18.75" customHeight="1">
      <c r="A44" s="94" t="n"/>
      <c r="B44" s="91" t="inlineStr">
        <is>
          <t>PASSIVE</t>
        </is>
      </c>
      <c r="C44" s="91">
        <f>GETPIVOTDATA("NUR  DU 29/04/2026",$A$18,"CATEGORIE","PASSIVE")</f>
        <v/>
      </c>
      <c r="D44" s="92" t="n"/>
      <c r="E44" s="91" t="inlineStr">
        <is>
          <t>POWER ISSUE</t>
        </is>
      </c>
      <c r="F44" s="91">
        <f>GETPIVOTDATA("NUR  DU 29/04/2026",$D$18,"SUB RCA","POWER ISSUE")</f>
        <v/>
      </c>
      <c r="G44" s="92" t="n"/>
      <c r="H44" s="91" t="inlineStr">
        <is>
          <t>Hardware issue</t>
        </is>
      </c>
      <c r="I44" s="91">
        <f>GETPIVOTDATA("NUR  DU 29/04/2026",$G$18,"OCM NOMENCLATURE","BSS")</f>
        <v/>
      </c>
      <c r="J44" s="12" t="n"/>
      <c r="K44" s="12" t="n"/>
    </row>
    <row r="45" ht="18.75" customHeight="1">
      <c r="A45" s="94" t="n"/>
      <c r="B45" s="91" t="inlineStr">
        <is>
          <t>PLANNED WORKS</t>
        </is>
      </c>
      <c r="C45" s="91">
        <f>GETPIVOTDATA("NUR  DU 29/04/2026",$A$18,"CATEGORIE","PLANNED WORKS")</f>
        <v/>
      </c>
      <c r="D45" s="92" t="n"/>
      <c r="E45" s="91" t="inlineStr">
        <is>
          <t>RAN ISSUE</t>
        </is>
      </c>
      <c r="F45" s="91">
        <f>GETPIVOTDATA("NUR  DU 29/04/2026",$D$18,"SUB RCA","RAN ISSUE")</f>
        <v/>
      </c>
      <c r="G45" s="92" t="n"/>
      <c r="H45" s="91" t="inlineStr">
        <is>
          <t>ENVTECH</t>
        </is>
      </c>
      <c r="I45" s="91">
        <f>GETPIVOTDATA("NUR  DU 29/04/2026",$G$18,"OCM NOMENCLATURE","ENVTECH")</f>
        <v/>
      </c>
      <c r="J45" s="12" t="n"/>
      <c r="K45" s="12" t="n"/>
    </row>
    <row r="46" ht="18.75" customHeight="1">
      <c r="A46" s="94" t="n"/>
      <c r="B46" s="91" t="inlineStr">
        <is>
          <t>SPARE-ISSUE</t>
        </is>
      </c>
      <c r="C46" s="91">
        <f>GETPIVOTDATA("NUR  DU 29/04/2026",$A$18,"CATEGORIE","SPARE-ISSUE")</f>
        <v/>
      </c>
      <c r="D46" s="92" t="n"/>
      <c r="E46" s="91" t="inlineStr">
        <is>
          <t>SPARE-ISSUE</t>
        </is>
      </c>
      <c r="F46" s="91">
        <f>GETPIVOTDATA("NUR  DU 29/04/2026",$D$18,"SUB RCA","SPARE-ISSUE")</f>
        <v/>
      </c>
      <c r="G46" s="92" t="n"/>
      <c r="H46" s="91" t="inlineStr">
        <is>
          <t>Fiber AOF</t>
        </is>
      </c>
      <c r="I46" s="91">
        <f>GETPIVOTDATA("NUR  DU 29/04/2026",$G$18,"OCM NOMENCLATURE","Fiber AOF")</f>
        <v/>
      </c>
      <c r="J46" s="12" t="n"/>
      <c r="K46" s="12" t="n"/>
    </row>
    <row r="47" ht="18.75" customHeight="1">
      <c r="A47" s="94" t="n"/>
      <c r="B47" s="89" t="inlineStr">
        <is>
          <t>Grand Total</t>
        </is>
      </c>
      <c r="C47" s="89">
        <f>GETPIVOTDATA("NUR  DU 29/04/2026",$A$18)</f>
        <v/>
      </c>
      <c r="D47" s="92" t="n"/>
      <c r="E47" s="91" t="inlineStr">
        <is>
          <t>PLANNED WORKS</t>
        </is>
      </c>
      <c r="F47" s="91">
        <f>GETPIVOTDATA("NUR  DU 29/04/2026",$D$18,"SUB RCA","TRAVAUX OCM")</f>
        <v/>
      </c>
      <c r="G47" s="92" t="n"/>
      <c r="H47" s="91" t="inlineStr">
        <is>
          <t>IHS</t>
        </is>
      </c>
      <c r="I47" s="91">
        <f>GETPIVOTDATA("NUR  DU 29/04/2026",$G$18,"OCM NOMENCLATURE","IHS")</f>
        <v/>
      </c>
      <c r="J47" s="12" t="n"/>
      <c r="K47" s="12" t="n"/>
    </row>
    <row r="48" ht="18.75" customHeight="1">
      <c r="A48" s="94" t="n"/>
      <c r="B48" s="92" t="n"/>
      <c r="C48" s="92" t="n"/>
      <c r="D48" s="92" t="n"/>
      <c r="E48" s="93" t="inlineStr">
        <is>
          <t>TX ISSUE</t>
        </is>
      </c>
      <c r="F48" s="93">
        <f>GETPIVOTDATA("NUR  DU 29/04/2026",$D$18,"SUB RCA","TX ISSUE")</f>
        <v/>
      </c>
      <c r="G48" s="92" t="n"/>
      <c r="H48" s="91" t="inlineStr">
        <is>
          <t>IHS GRID ONLY</t>
        </is>
      </c>
      <c r="I48" s="91">
        <f>GETPIVOTDATA("NUR  DU 29/04/2026",$G$18,"OCM NOMENCLATURE","IHS GRID ONLY")</f>
        <v/>
      </c>
      <c r="J48" s="12" t="n"/>
      <c r="K48" s="12" t="n"/>
    </row>
    <row r="49" ht="18.75" customHeight="1">
      <c r="A49" s="94" t="n"/>
      <c r="B49" s="92" t="n"/>
      <c r="C49" s="92" t="n"/>
      <c r="D49" s="92" t="n"/>
      <c r="E49" s="89" t="inlineStr">
        <is>
          <t>Grand Total</t>
        </is>
      </c>
      <c r="F49" s="89">
        <f>GETPIVOTDATA("NUR  DU 29/04/2026",$D$18)</f>
        <v/>
      </c>
      <c r="G49" s="92" t="n"/>
      <c r="H49" s="91" t="inlineStr">
        <is>
          <t>No root cause</t>
        </is>
      </c>
      <c r="I49" s="91">
        <f>GETPIVOTDATA("NUR  DU 29/04/2026",$G$18,"OCM NOMENCLATURE","No root cause")</f>
        <v/>
      </c>
      <c r="J49" s="12" t="n"/>
      <c r="K49" s="12" t="n"/>
    </row>
    <row r="50" ht="18.75" customHeight="1">
      <c r="A50" s="94" t="n"/>
      <c r="B50" s="92" t="n"/>
      <c r="C50" s="92" t="n"/>
      <c r="D50" s="92" t="n"/>
      <c r="E50" s="92" t="n"/>
      <c r="F50" s="92" t="n"/>
      <c r="G50" s="92" t="n"/>
      <c r="H50" s="91" t="inlineStr">
        <is>
          <t>Power MTN</t>
        </is>
      </c>
      <c r="I50" s="91">
        <f>GETPIVOTDATA("NUR  DU 29/04/2026",$G$18,"OCM NOMENCLATURE","Partners")</f>
        <v/>
      </c>
      <c r="J50" s="12" t="n"/>
      <c r="K50" s="12" t="n"/>
    </row>
    <row r="51" ht="18.75" customHeight="1">
      <c r="A51" s="94" t="n"/>
      <c r="B51" s="92" t="n"/>
      <c r="C51" s="92" t="n"/>
      <c r="D51" s="92" t="n"/>
      <c r="E51" s="92" t="n"/>
      <c r="F51" s="92" t="n"/>
      <c r="G51" s="92" t="n"/>
      <c r="H51" s="91" t="inlineStr">
        <is>
          <t>TX issue MPR / ODU --</t>
        </is>
      </c>
      <c r="I51" s="91">
        <f>GETPIVOTDATA("NUR  DU 29/04/2026",$G$18,"OCM NOMENCLATURE","PDH")</f>
        <v/>
      </c>
      <c r="J51" s="12" t="n"/>
      <c r="K51" s="12" t="n"/>
    </row>
    <row r="52" ht="18.75" customHeight="1">
      <c r="A52" s="94" t="n"/>
      <c r="B52" s="92" t="n"/>
      <c r="C52" s="92" t="n"/>
      <c r="D52" s="92" t="n"/>
      <c r="E52" s="92" t="n"/>
      <c r="F52" s="92" t="n"/>
      <c r="G52" s="92" t="n"/>
      <c r="H52" s="91" t="inlineStr">
        <is>
          <t>SPARE-ISSUE</t>
        </is>
      </c>
      <c r="I52" s="91">
        <f>GETPIVOTDATA("NUR  DU 29/04/2026",$G$18,"OCM NOMENCLATURE","SPARE-ISSUE")</f>
        <v/>
      </c>
      <c r="J52" s="12" t="n"/>
      <c r="K52" s="12" t="n"/>
    </row>
    <row r="53" ht="18.75" customHeight="1">
      <c r="A53" s="94" t="n"/>
      <c r="B53" s="92" t="n"/>
      <c r="C53" s="92" t="n"/>
      <c r="D53" s="92" t="n"/>
      <c r="E53" s="92" t="n"/>
      <c r="F53" s="92" t="n"/>
      <c r="G53" s="92" t="n"/>
      <c r="H53" s="91" t="inlineStr">
        <is>
          <t>PLANNED WORKS</t>
        </is>
      </c>
      <c r="I53" s="91">
        <f>GETPIVOTDATA("NUR  DU 29/04/2026",$G$18,"OCM NOMENCLATURE","TRAVAUX OCM")</f>
        <v/>
      </c>
      <c r="J53" s="12" t="n"/>
      <c r="K53" s="12" t="n"/>
    </row>
    <row r="54" ht="18.75" customHeight="1">
      <c r="A54" s="94" t="n"/>
      <c r="B54" s="92" t="n"/>
      <c r="C54" s="92" t="n"/>
      <c r="D54" s="92" t="n"/>
      <c r="E54" s="92" t="n"/>
      <c r="F54" s="92" t="n"/>
      <c r="G54" s="92" t="n"/>
      <c r="H54" s="89" t="inlineStr">
        <is>
          <t>Grand Total</t>
        </is>
      </c>
      <c r="I54" s="89">
        <f>GETPIVOTDATA("NUR  DU 29/04/2026",$G$18)</f>
        <v/>
      </c>
      <c r="J54" s="12" t="n"/>
      <c r="K54" s="12" t="n"/>
    </row>
    <row r="55" ht="18.75" customHeight="1">
      <c r="A55" s="92" t="n"/>
      <c r="B55" s="92" t="n"/>
      <c r="C55" s="92" t="n"/>
      <c r="D55" s="92" t="n"/>
      <c r="E55" s="92" t="n"/>
      <c r="F55" s="92" t="n"/>
      <c r="G55" s="94" t="n"/>
      <c r="H55" s="94" t="n"/>
      <c r="I55" s="94" t="n"/>
      <c r="J55" s="12" t="n"/>
      <c r="K55" s="12" t="n"/>
    </row>
    <row r="56" ht="18.75" customHeight="1">
      <c r="A56" s="94" t="n"/>
      <c r="B56" s="94" t="n"/>
      <c r="C56" s="94" t="n"/>
      <c r="D56" s="94" t="n"/>
      <c r="E56" s="94" t="n"/>
      <c r="F56" s="94" t="n"/>
      <c r="G56" s="94" t="n"/>
      <c r="H56" s="94" t="n"/>
      <c r="I56" s="94" t="n"/>
      <c r="J56" s="12" t="n"/>
      <c r="K56" s="12" t="n"/>
    </row>
    <row r="57" ht="18.75" customHeight="1">
      <c r="A57" s="94" t="n"/>
      <c r="B57" s="94" t="inlineStr">
        <is>
          <t>CTR_211</t>
        </is>
      </c>
      <c r="C57" s="94" t="n"/>
      <c r="D57" s="94" t="n"/>
      <c r="E57" s="94" t="n"/>
      <c r="F57" s="94" t="n"/>
      <c r="G57" s="94" t="n"/>
      <c r="H57" s="94" t="n"/>
      <c r="I57" s="94" t="n"/>
      <c r="J57" s="12" t="n"/>
      <c r="K57" s="1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1335"/>
  <sheetViews>
    <sheetView workbookViewId="0">
      <selection activeCell="A1" sqref="A1"/>
    </sheetView>
  </sheetViews>
  <sheetFormatPr baseColWidth="8" defaultRowHeight="15"/>
  <sheetData>
    <row r="1">
      <c r="A1" s="95" t="inlineStr">
        <is>
          <t>DATE</t>
        </is>
      </c>
      <c r="B1" s="95" t="inlineStr">
        <is>
          <t>Nom du Physique</t>
        </is>
      </c>
      <c r="C1" s="95" t="inlineStr">
        <is>
          <t>Codesite</t>
        </is>
      </c>
      <c r="D1" s="95" t="inlineStr">
        <is>
          <t>CLUSTER</t>
        </is>
      </c>
      <c r="E1" s="95" t="inlineStr">
        <is>
          <t>Owner</t>
        </is>
      </c>
      <c r="F1" s="95" t="inlineStr">
        <is>
          <t>Topology</t>
        </is>
      </c>
      <c r="G1" s="95" t="inlineStr">
        <is>
          <t>Region</t>
        </is>
      </c>
      <c r="H1" s="95" t="inlineStr">
        <is>
          <t>Ville</t>
        </is>
      </c>
      <c r="I1" s="95" t="inlineStr">
        <is>
          <t>Equipementiers</t>
        </is>
      </c>
      <c r="J1" s="95" t="inlineStr">
        <is>
          <t>NUR 2G</t>
        </is>
      </c>
      <c r="K1" s="95" t="inlineStr">
        <is>
          <t>NUR 3G</t>
        </is>
      </c>
      <c r="L1" s="95" t="inlineStr">
        <is>
          <t>NUR 4G</t>
        </is>
      </c>
      <c r="M1" s="95" t="inlineStr">
        <is>
          <t>NUR  DU 29/04/2026</t>
        </is>
      </c>
      <c r="N1" s="95" t="inlineStr">
        <is>
          <t>oprationnel</t>
        </is>
      </c>
      <c r="O1" s="95" t="inlineStr">
        <is>
          <t>Raison d'exclusion</t>
        </is>
      </c>
      <c r="P1" s="95" t="inlineStr">
        <is>
          <t>OCM NOMENCLATURE</t>
        </is>
      </c>
      <c r="Q1" s="95" t="inlineStr">
        <is>
          <t>SUB RCA</t>
        </is>
      </c>
      <c r="R1" s="95" t="inlineStr">
        <is>
          <t>CAUSE</t>
        </is>
      </c>
      <c r="S1" s="95" t="inlineStr">
        <is>
          <t>CATEGORIE</t>
        </is>
      </c>
      <c r="T1" s="95" t="inlineStr">
        <is>
          <t>Verifications 29/04/2026</t>
        </is>
      </c>
      <c r="U1" s="95" t="inlineStr">
        <is>
          <t>cleaning comment</t>
        </is>
      </c>
    </row>
    <row r="2">
      <c r="A2" s="96" t="n">
        <v>46141</v>
      </c>
      <c r="B2" t="inlineStr">
        <is>
          <t>NR-Bastos</t>
        </is>
      </c>
      <c r="C2" t="inlineStr">
        <is>
          <t>CTR_038</t>
        </is>
      </c>
      <c r="D2" t="inlineStr"/>
      <c r="E2" t="inlineStr">
        <is>
          <t>IHS</t>
        </is>
      </c>
      <c r="F2" t="inlineStr">
        <is>
          <t>GridOnly</t>
        </is>
      </c>
      <c r="G2" t="inlineStr">
        <is>
          <t>CENTRE</t>
        </is>
      </c>
      <c r="H2" t="inlineStr">
        <is>
          <t>Yaounde</t>
        </is>
      </c>
      <c r="I2" t="inlineStr"/>
      <c r="J2" t="n">
        <v>29.99879600653853</v>
      </c>
      <c r="K2" t="n">
        <v>25.63094800942501</v>
      </c>
      <c r="L2" t="n">
        <v>77.56633768689788</v>
      </c>
      <c r="M2" t="n">
        <v>53.33838779452845</v>
      </c>
      <c r="N2" t="inlineStr">
        <is>
          <t>Operationnel</t>
        </is>
      </c>
      <c r="O2" t="inlineStr"/>
      <c r="P2" t="inlineStr">
        <is>
          <t>IHS GRID ONLY</t>
        </is>
      </c>
      <c r="Q2" t="inlineStr">
        <is>
          <t>POWER ISSUE</t>
        </is>
      </c>
      <c r="R2" t="inlineStr">
        <is>
          <t>Coupure ENEO &amp; Baisse de tension</t>
        </is>
      </c>
      <c r="S2" t="inlineStr">
        <is>
          <t>PASSIVE</t>
        </is>
      </c>
      <c r="T2" t="inlineStr">
        <is>
          <t>(04/29/2026 retour IHS): Power issue NUR to be checked   ||   (04/29/2026 hourly IHS): Grid outage, No space to deploy MDG // awaiting grid return (Francois is informed )..;..;(04/29/2026 ocm ran 00h): 28.04.26: Grid only No space to deployed MGen//awaiting grid return - Escalated to L2..;..;(04/29/2026 com ran 17h): 28.04.26: Grid only No space to deployed MGen//awaiting grid return - Escalated to L2..;..;(04/29/2026 com ran 18h): 28.04.26: Grid only No space to deployed MGen//awaiting grid return - Escalated to L2..;..;(04/29/2026 ticket): INC-20260429-00019946  ;  Others Transmission equipement fault</t>
        </is>
      </c>
      <c r="U2" t="inlineStr">
        <is>
          <t>04/29/2026 retour IHS) : Power issue NUR to be checked || : Grid outage, No space to deploy MDG // awaiting grid return (Francois is informed ).;.; : 28.04.26 : Grid only No space to deployed MGen//awaiting grid return - Escalated to L2.;.;(04/29/2026 com ran 17h) : 28.04.26 : Grid only No space to deployed MGen//awaiting grid return - Escalated to L2.;.;(04/29/2026 com ran 18h) : 28.04.26 : Grid only No space to deployed MGen//awaiting grid return - Escalated to L2.;.; : ;</t>
        </is>
      </c>
    </row>
    <row r="3">
      <c r="A3" s="96" t="n">
        <v>46141</v>
      </c>
      <c r="B3" t="inlineStr">
        <is>
          <t>Bobongo-II</t>
        </is>
      </c>
      <c r="C3" t="inlineStr">
        <is>
          <t>LIT_568</t>
        </is>
      </c>
      <c r="D3" t="inlineStr"/>
      <c r="E3" t="inlineStr">
        <is>
          <t>CAMUSAT</t>
        </is>
      </c>
      <c r="F3" t="inlineStr">
        <is>
          <t>Good Grid + GE</t>
        </is>
      </c>
      <c r="G3" t="inlineStr">
        <is>
          <t>LITTORAL</t>
        </is>
      </c>
      <c r="H3" t="inlineStr">
        <is>
          <t>Douala</t>
        </is>
      </c>
      <c r="I3" t="inlineStr"/>
      <c r="J3" t="n">
        <v>30.74317370678113</v>
      </c>
      <c r="K3" t="n">
        <v>26.41795954588574</v>
      </c>
      <c r="L3" t="n">
        <v>68.73742112036983</v>
      </c>
      <c r="M3" t="n">
        <v>49.10471473862337</v>
      </c>
      <c r="N3" t="inlineStr">
        <is>
          <t>Operationnel</t>
        </is>
      </c>
      <c r="O3" t="inlineStr"/>
      <c r="P3" t="inlineStr">
        <is>
          <t>AKTIVCO</t>
        </is>
      </c>
      <c r="Q3" t="inlineStr">
        <is>
          <t>POWER ISSUE</t>
        </is>
      </c>
      <c r="R3" t="inlineStr">
        <is>
          <t>AKTIVCO Defaut GE &amp; Power Cabinet</t>
        </is>
      </c>
      <c r="S3" t="inlineStr">
        <is>
          <t>PASSIVE</t>
        </is>
      </c>
      <c r="T3" t="inlineStr">
        <is>
          <t>(04/29/2026 ocm ran 00h): 28.04.26: Camusat: Our is trying to manage the point , by join the guard - Escalated to L2..;..;(04/29/2026 com ran 17h): 29/04/2026 Camusat: Technician is on site
29.04.26: Camusat: relance - Escalated to L2
28.04.26: Camusat: Our is trying to manage the point , by join the guard - Escalated to L2..;..;(04/29/2026 com ran 18h): 29/04/2026 Camusat: Technician is on site
29.04.26: Camusat: relance - Escalated to L2
28.04.26: Camusat: Our is trying to manage the point , by join the guard - Escalated to L2..;..;(04/29/2026 ticket): INC-20260429-00020549  ;  2026-04-30 00:48:19  ;  No Power Issue on Site, U = 53.8V and Site is on Gen. TX FME Willy Ngouni 699759164 / Huawei is informed.  ;  Others Transmission equipement fault  ;  user:OCM_NOC.IHS</t>
        </is>
      </c>
      <c r="U3" t="inlineStr">
        <is>
          <t>: 28.04.26 : Camusat : Our is trying to manage the point , by join the guard - Escalated to L2.;.;(04/29/2026 com ran 17h) : 29/04/2026 Camusat : Technician is on site 29.04.26 : Camusat : relance - Escalated to L2 28.04.26 : Camusat : Our is trying to manage the point , by join the guard - Escalated to L2.;.;(04/29/2026 com ran 18h) : 29/04/2026 Camusat : Technician is on site 29.04.26 : Camusat : relance - Escalated to L2 28.04.26 : Camusat : Our is trying to manage the point , by join the guard - Escalated to L2.;.; : ; 2026-04-30 00 : 48 : 19 ; No Power Issue on Site, U = 53.8V and Site is on Gen. TX FME Willy Ngouni 699759164 / Huawei is informed. ; user : OCM_NOC.IHS</t>
        </is>
      </c>
    </row>
    <row r="4">
      <c r="A4" s="96" t="n">
        <v>46141</v>
      </c>
      <c r="B4" t="inlineStr">
        <is>
          <t>Charles-Atangana</t>
        </is>
      </c>
      <c r="C4" t="inlineStr">
        <is>
          <t>CTR_197</t>
        </is>
      </c>
      <c r="D4" t="inlineStr"/>
      <c r="E4" t="inlineStr">
        <is>
          <t>IHS</t>
        </is>
      </c>
      <c r="F4" t="inlineStr">
        <is>
          <t>GridOnly</t>
        </is>
      </c>
      <c r="G4" t="inlineStr">
        <is>
          <t>CENTRE</t>
        </is>
      </c>
      <c r="H4" t="inlineStr">
        <is>
          <t>Yaounde</t>
        </is>
      </c>
      <c r="I4" t="inlineStr"/>
      <c r="J4" t="n">
        <v>26.28864769053072</v>
      </c>
      <c r="K4" t="n">
        <v>22.39402172989109</v>
      </c>
      <c r="L4" t="n">
        <v>70.52537992457324</v>
      </c>
      <c r="M4" t="n">
        <v>48.05012655771574</v>
      </c>
      <c r="N4" t="inlineStr">
        <is>
          <t>Operationnel</t>
        </is>
      </c>
      <c r="O4" t="inlineStr"/>
      <c r="P4" t="inlineStr">
        <is>
          <t>IHS GRID ONLY</t>
        </is>
      </c>
      <c r="Q4" t="inlineStr">
        <is>
          <t>POWER ISSUE</t>
        </is>
      </c>
      <c r="R4" t="inlineStr">
        <is>
          <t>Coupure ENEO &amp; Baisse de tension</t>
        </is>
      </c>
      <c r="S4" t="inlineStr">
        <is>
          <t>PASSIVE</t>
        </is>
      </c>
      <c r="T4" t="inlineStr">
        <is>
          <t>(04/29/2026 retour IHS): Power issue NUR to be checked   ||   (04/29/2026 ocm ran 00h): 27.04.26: IHS: Grid only, no space//awaiting grid return - Escalated to L4
24.04.26: IHS: Grid only, no space//awaiting grid return - Escalated to L2..;..;(04/29/2026 com ran 17h): 29.04.26: IHS: Grid only, no space//awaiting grid return - Escalated to L4
27.04.26: IHS: Grid only, no space//awaiting grid return - Escalated to L4
24.04.26: IHS: Grid only, no space//awaiting grid return - Escalated to L2..;..;(04/29/2026 com ran 18h): 29.04.26: IHS: Grid only, no space//awaiting grid return - Escalated to L4
27.04.26: IHS: Grid only, no space//awaiting grid return - Escalated to L4
24.04.26: IHS: Grid only, no space//awaiting grid return - Escalated to L2</t>
        </is>
      </c>
      <c r="U4" t="inlineStr">
        <is>
          <t>04/29/2026 retour IHS) : Power issue NUR to be checked || : 27.04.26 : IHS : Grid only, no space//awaiting grid return - Escalated to L4 24.04.26 : IHS : Grid only, no space//awaiting grid return - Escalated to L2.;.;(04/29/2026 com ran 17h) : 29.04.26 : IHS : Grid only, no space//awaiting grid return - Escalated to L4 27.04.26 : IHS : Grid only, no space//awaiting grid return - Escalated to L4 24.04.26 : IHS : Grid only, no space//awaiting grid return - Escalated to L2.;.;(04/29/2026 com ran 18h) : 29.04.26 : IHS : Grid only, no space//awaiting grid return - Escalated to L4 27.04.26 : IHS : Grid only, no space//awaiting grid return - Escalated to L4 24.04.26 : IHS : Grid only, no space//awaiting grid return - Escalated to L2</t>
        </is>
      </c>
    </row>
    <row r="5">
      <c r="A5" s="96" t="n">
        <v>46141</v>
      </c>
      <c r="B5" t="inlineStr">
        <is>
          <t>Lada</t>
        </is>
      </c>
      <c r="C5" t="inlineStr">
        <is>
          <t>CTR_667</t>
        </is>
      </c>
      <c r="D5" t="inlineStr"/>
      <c r="E5" t="inlineStr">
        <is>
          <t>CAMUSAT</t>
        </is>
      </c>
      <c r="F5" t="inlineStr">
        <is>
          <t>Bad Grid + Solar + GE</t>
        </is>
      </c>
      <c r="G5" t="inlineStr">
        <is>
          <t>CENTRE</t>
        </is>
      </c>
      <c r="H5" t="inlineStr">
        <is>
          <t>Lada</t>
        </is>
      </c>
      <c r="I5" t="inlineStr"/>
      <c r="J5" t="n">
        <v>32.37293622531563</v>
      </c>
      <c r="K5" t="n">
        <v>27.54062241806665</v>
      </c>
      <c r="L5" t="n">
        <v>44.32362153537026</v>
      </c>
      <c r="M5" t="n">
        <v>36.98281839895216</v>
      </c>
      <c r="N5" t="inlineStr">
        <is>
          <t>Operationnel</t>
        </is>
      </c>
      <c r="O5" t="inlineStr"/>
      <c r="P5" t="inlineStr">
        <is>
          <t>IHS</t>
        </is>
      </c>
      <c r="Q5" t="inlineStr">
        <is>
          <t>POWER ISSUE</t>
        </is>
      </c>
      <c r="R5" t="inlineStr">
        <is>
          <t>Defaut GE &amp; Power Cabinet</t>
        </is>
      </c>
      <c r="S5" t="inlineStr">
        <is>
          <t>PASSIVE</t>
        </is>
      </c>
      <c r="T5" t="inlineStr">
        <is>
          <t>(04/29/2026 BO TX): power at bitoto</t>
        </is>
      </c>
      <c r="U5" t="inlineStr">
        <is>
          <t>04/29/2026 BO TX) : power at bitoto</t>
        </is>
      </c>
    </row>
    <row r="6">
      <c r="A6" s="96" t="n">
        <v>46141</v>
      </c>
      <c r="B6" t="inlineStr">
        <is>
          <t>Briqueterie</t>
        </is>
      </c>
      <c r="C6" t="inlineStr">
        <is>
          <t>CTR_321</t>
        </is>
      </c>
      <c r="D6" t="inlineStr"/>
      <c r="E6" t="inlineStr">
        <is>
          <t>IHS</t>
        </is>
      </c>
      <c r="F6" t="inlineStr">
        <is>
          <t>Grid-Lithium</t>
        </is>
      </c>
      <c r="G6" t="inlineStr">
        <is>
          <t>CENTRE</t>
        </is>
      </c>
      <c r="H6" t="inlineStr">
        <is>
          <t>Yaounde</t>
        </is>
      </c>
      <c r="I6" t="inlineStr"/>
      <c r="J6" t="n">
        <v>15.41411380086248</v>
      </c>
      <c r="K6" t="n">
        <v>13.35199550509842</v>
      </c>
      <c r="L6" t="n">
        <v>53.18834584244433</v>
      </c>
      <c r="M6" t="n">
        <v>34.4206667180317</v>
      </c>
      <c r="N6" t="inlineStr">
        <is>
          <t>Operationnel</t>
        </is>
      </c>
      <c r="O6" t="inlineStr"/>
      <c r="P6" t="inlineStr">
        <is>
          <t>IHS</t>
        </is>
      </c>
      <c r="Q6" t="inlineStr">
        <is>
          <t>POWER ISSUE</t>
        </is>
      </c>
      <c r="R6" t="inlineStr">
        <is>
          <t>Defaut GE &amp; Power Cabinet</t>
        </is>
      </c>
      <c r="S6" t="inlineStr">
        <is>
          <t>PASSIVE</t>
        </is>
      </c>
      <c r="T6" t="inlineStr">
        <is>
          <t xml:space="preserve">(04/29/2026 ocm ran 00h): 27.04.26: IHS: Grid only, no space//awaiting grid return - Escalated to L4
24.04.26: IHS: Grid only, no space//awaiting grid return escalade L2 IHS </t>
        </is>
      </c>
      <c r="U6" t="inlineStr">
        <is>
          <t>: 27.04.26 : IHS : Grid only, no space//awaiting grid return - Escalated to L4 24.04.26 : IHS : Grid only, no space//awaiting grid return escalade L2 IHS</t>
        </is>
      </c>
    </row>
    <row r="7">
      <c r="A7" s="96" t="n">
        <v>46141</v>
      </c>
      <c r="B7" t="inlineStr">
        <is>
          <t>Koweit-City</t>
        </is>
      </c>
      <c r="C7" t="inlineStr">
        <is>
          <t>CTR_258</t>
        </is>
      </c>
      <c r="D7" t="inlineStr"/>
      <c r="E7" t="inlineStr">
        <is>
          <t>CAMUSAT</t>
        </is>
      </c>
      <c r="F7" t="inlineStr">
        <is>
          <t>Good Grid + GE</t>
        </is>
      </c>
      <c r="G7" t="inlineStr">
        <is>
          <t>CENTRE</t>
        </is>
      </c>
      <c r="H7" t="inlineStr">
        <is>
          <t>Yaounde</t>
        </is>
      </c>
      <c r="I7" t="inlineStr"/>
      <c r="J7" t="n">
        <v>11.05201051920594</v>
      </c>
      <c r="K7" t="n">
        <v>11.445189911292</v>
      </c>
      <c r="L7" t="n">
        <v>42.53436311880701</v>
      </c>
      <c r="M7" t="n">
        <v>27.60169204955013</v>
      </c>
      <c r="N7" t="inlineStr">
        <is>
          <t>Operationnel</t>
        </is>
      </c>
      <c r="O7" t="inlineStr"/>
      <c r="P7" t="inlineStr">
        <is>
          <t>AKTIVCO</t>
        </is>
      </c>
      <c r="Q7" t="inlineStr">
        <is>
          <t>POWER ISSUE</t>
        </is>
      </c>
      <c r="R7" t="inlineStr">
        <is>
          <t>AKTIVCO Defaut GE &amp; Power Cabinet</t>
        </is>
      </c>
      <c r="S7" t="inlineStr">
        <is>
          <t>PASSIVE</t>
        </is>
      </c>
      <c r="T7" t="inlineStr">
        <is>
          <t>(04/29/2026 ticket): INC-20260429-00007544  ;  2026-04-29 11:23:58  ;  Les sites sont actuellement Up.
Il y avait un souci d'énergie à EFOULAN-PONT.  ;  
En Attente RCA CAMUSAT  ;  Grid Outage  ;  
Souci Energie  ;  user:ISSOUMAILA MOHAMED</t>
        </is>
      </c>
      <c r="U7" t="inlineStr">
        <is>
          <t>: ; 2026-04-29 11 : 23 : 58 ; Les sites sont actuellement Up. Il y avait un souci d'énergie à EFOULAN-PONT. En Attente RCA CAMUSAT ; Grid Outage ; Souci Energie ; user : ISSOUMAILA MOHAMED</t>
        </is>
      </c>
    </row>
    <row r="8">
      <c r="A8" s="96" t="n">
        <v>46141</v>
      </c>
      <c r="B8" t="inlineStr">
        <is>
          <t>Ancienne-Mairie-Dla-V</t>
        </is>
      </c>
      <c r="C8" t="inlineStr">
        <is>
          <t>LIT_771</t>
        </is>
      </c>
      <c r="D8" t="inlineStr"/>
      <c r="E8" t="inlineStr">
        <is>
          <t>CAMUSAT</t>
        </is>
      </c>
      <c r="F8" t="inlineStr">
        <is>
          <t>Good Grid + GE</t>
        </is>
      </c>
      <c r="G8" t="inlineStr">
        <is>
          <t>LITTORAL</t>
        </is>
      </c>
      <c r="H8" t="inlineStr">
        <is>
          <t>Douala</t>
        </is>
      </c>
      <c r="I8" t="inlineStr"/>
      <c r="J8" t="n">
        <v>21.21626320396149</v>
      </c>
      <c r="K8" t="n">
        <v>18.08888693384471</v>
      </c>
      <c r="L8" t="n">
        <v>34.92246512661234</v>
      </c>
      <c r="M8" t="n">
        <v>27.31399440121222</v>
      </c>
      <c r="N8" t="inlineStr">
        <is>
          <t>Operationnel</t>
        </is>
      </c>
      <c r="O8" t="inlineStr"/>
      <c r="P8" t="inlineStr">
        <is>
          <t>AKTIVCO</t>
        </is>
      </c>
      <c r="Q8" t="inlineStr">
        <is>
          <t>POWER ISSUE</t>
        </is>
      </c>
      <c r="R8" t="inlineStr">
        <is>
          <t>AKTIVCO Defaut GE &amp; Power Cabinet</t>
        </is>
      </c>
      <c r="S8" t="inlineStr">
        <is>
          <t>PASSIVE</t>
        </is>
      </c>
      <c r="T8" t="inlineStr">
        <is>
          <t>(04/29/2026 ocm ran 00h): 28.04.26: Camusat: unknow / investigation ongoing by our FME - Escalated to L2</t>
        </is>
      </c>
      <c r="U8" t="inlineStr">
        <is>
          <t>: 28.04.26 : Camusat : unknow / investigation ongoing by our FME - Escalated to L2</t>
        </is>
      </c>
    </row>
    <row r="9">
      <c r="A9" s="96" t="n">
        <v>46141</v>
      </c>
      <c r="B9" t="inlineStr">
        <is>
          <t>Batouri</t>
        </is>
      </c>
      <c r="C9" t="inlineStr">
        <is>
          <t>EST_005</t>
        </is>
      </c>
      <c r="D9" t="inlineStr"/>
      <c r="E9" t="inlineStr">
        <is>
          <t>CAMUSAT</t>
        </is>
      </c>
      <c r="F9" t="inlineStr">
        <is>
          <t>Bad Grid + Solar + GE</t>
        </is>
      </c>
      <c r="G9" t="inlineStr">
        <is>
          <t>EST</t>
        </is>
      </c>
      <c r="H9" t="inlineStr">
        <is>
          <t>Batouri</t>
        </is>
      </c>
      <c r="I9" t="inlineStr"/>
      <c r="J9" t="n">
        <v>14.73580586629578</v>
      </c>
      <c r="K9" t="n">
        <v>25.91634195932828</v>
      </c>
      <c r="L9" t="n">
        <v>30.16472107856334</v>
      </c>
      <c r="M9" t="n">
        <v>26.53524354156144</v>
      </c>
      <c r="N9" t="inlineStr">
        <is>
          <t>Operationnel</t>
        </is>
      </c>
      <c r="O9" t="inlineStr"/>
      <c r="P9" t="inlineStr">
        <is>
          <t>AKTIVCO</t>
        </is>
      </c>
      <c r="Q9" t="inlineStr">
        <is>
          <t>POWER ISSUE</t>
        </is>
      </c>
      <c r="R9" t="inlineStr">
        <is>
          <t>AKTIVCO Defaut GE &amp; Power Cabinet</t>
        </is>
      </c>
      <c r="S9" t="inlineStr">
        <is>
          <t>PASSIVE</t>
        </is>
      </c>
      <c r="T9" t="inlineStr">
        <is>
          <t>(04/29/2026 ticket): INC-20260429-00019584 || (04/29/2026 retour CAMUSAT): ATS faulty</t>
        </is>
      </c>
      <c r="U9" t="inlineStr">
        <is>
          <t>: || (04/29/2026 retour CAMUSAT) : ATS faulty</t>
        </is>
      </c>
    </row>
    <row r="10">
      <c r="A10" s="96" t="n">
        <v>46141</v>
      </c>
      <c r="B10" t="inlineStr">
        <is>
          <t>Makepe-Bloc-E</t>
        </is>
      </c>
      <c r="C10" t="inlineStr">
        <is>
          <t>LIT_613</t>
        </is>
      </c>
      <c r="D10" t="inlineStr"/>
      <c r="E10" t="inlineStr">
        <is>
          <t>CAMUSAT</t>
        </is>
      </c>
      <c r="F10" t="inlineStr">
        <is>
          <t>Good Grid no GE - 8h</t>
        </is>
      </c>
      <c r="G10" t="inlineStr">
        <is>
          <t>LITTORAL</t>
        </is>
      </c>
      <c r="H10" t="inlineStr">
        <is>
          <t>Douala</t>
        </is>
      </c>
      <c r="I10" t="inlineStr"/>
      <c r="J10" t="n">
        <v>9.246145222593912</v>
      </c>
      <c r="K10" t="n">
        <v>13.66177438110101</v>
      </c>
      <c r="L10" t="n">
        <v>38.12392337376085</v>
      </c>
      <c r="M10" t="n">
        <v>25.78795376006255</v>
      </c>
      <c r="N10" t="inlineStr">
        <is>
          <t>Operationnel</t>
        </is>
      </c>
      <c r="O10" t="inlineStr"/>
      <c r="P10" t="inlineStr">
        <is>
          <t>AKTIVCO GRID ONLY</t>
        </is>
      </c>
      <c r="Q10" t="inlineStr">
        <is>
          <t>POWER ISSUE</t>
        </is>
      </c>
      <c r="R10" t="inlineStr">
        <is>
          <t>AKTIVCO Coupure ENEO &amp; Baisse de tension</t>
        </is>
      </c>
      <c r="S10" t="inlineStr">
        <is>
          <t>PASSIVE</t>
        </is>
      </c>
      <c r="T10" t="inlineStr">
        <is>
          <t>(04/29/2026 ticket): INC-20260429-00012624 || (04/29/2026 retour CAMUSAT): Grid outage,  / grid return awaited</t>
        </is>
      </c>
      <c r="U10" t="inlineStr">
        <is>
          <t>: || (04/29/2026 retour CAMUSAT) : Grid outage, / grid return awaited</t>
        </is>
      </c>
    </row>
    <row r="11">
      <c r="A11" s="96" t="n">
        <v>46141</v>
      </c>
      <c r="B11" t="inlineStr">
        <is>
          <t>Garoua-Djamboutou-Village</t>
        </is>
      </c>
      <c r="C11" t="inlineStr">
        <is>
          <t>NRD_060</t>
        </is>
      </c>
      <c r="D11" t="inlineStr"/>
      <c r="E11" t="inlineStr">
        <is>
          <t>IHS</t>
        </is>
      </c>
      <c r="F11" t="inlineStr">
        <is>
          <t>Grid-Gen</t>
        </is>
      </c>
      <c r="G11" t="inlineStr">
        <is>
          <t>NORD</t>
        </is>
      </c>
      <c r="H11" t="inlineStr">
        <is>
          <t>Garoua</t>
        </is>
      </c>
      <c r="I11" t="inlineStr"/>
      <c r="J11" t="n">
        <v>20.47101123460787</v>
      </c>
      <c r="K11" t="n">
        <v>35.49818350894731</v>
      </c>
      <c r="L11" t="n">
        <v>18.88593261277352</v>
      </c>
      <c r="M11" t="n">
        <v>24.68920592524106</v>
      </c>
      <c r="N11" t="inlineStr">
        <is>
          <t>Operationnel</t>
        </is>
      </c>
      <c r="O11" t="inlineStr"/>
      <c r="P11" t="inlineStr">
        <is>
          <t>IHS</t>
        </is>
      </c>
      <c r="Q11" t="inlineStr">
        <is>
          <t>POWER ISSUE</t>
        </is>
      </c>
      <c r="R11" t="inlineStr">
        <is>
          <t>Defaut GE &amp; Power Cabinet</t>
        </is>
      </c>
      <c r="S11" t="inlineStr">
        <is>
          <t>PASSIVE</t>
        </is>
      </c>
      <c r="T11" t="inlineStr">
        <is>
          <t>(04/29/2026 cell huawei):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HIS..;..;(04/29/2026 cell huawei):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HIS..;..;(04/29/2026 cell huawei):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HIS..;..;(04/29/2026 com ran 17h): Power status check ongoing..;..;(04/29/2026 com ran 18h): Power status check ongoing</t>
        </is>
      </c>
      <c r="U11" t="inlineStr">
        <is>
          <t>04/29/2026 cell huawei) :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HIS.;.;(04/29/2026 cell huawei) :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HIS.;.;(04/29/2026 cell huawei) :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HIS.;.;(04/29/2026 com ran 17h) : ;(04/29/2026 com ran 18h) : Power status check ongoing</t>
        </is>
      </c>
    </row>
    <row r="12">
      <c r="A12" s="96" t="n">
        <v>46141</v>
      </c>
      <c r="B12" t="inlineStr">
        <is>
          <t>Wonya-Mavio-IHS</t>
        </is>
      </c>
      <c r="C12" t="inlineStr">
        <is>
          <t>SUO_195</t>
        </is>
      </c>
      <c r="D12" t="inlineStr"/>
      <c r="E12" t="inlineStr">
        <is>
          <t>IHS</t>
        </is>
      </c>
      <c r="F12" t="inlineStr">
        <is>
          <t>Grid-Gen</t>
        </is>
      </c>
      <c r="G12" t="inlineStr">
        <is>
          <t>SUD-OUEST</t>
        </is>
      </c>
      <c r="H12" t="inlineStr">
        <is>
          <t>Buea</t>
        </is>
      </c>
      <c r="I12" t="inlineStr"/>
      <c r="J12" t="n">
        <v>32.3710627915063</v>
      </c>
      <c r="K12" t="n">
        <v>55.08124483613329</v>
      </c>
      <c r="L12" t="n">
        <v>0</v>
      </c>
      <c r="M12" t="n">
        <v>23.11399397317033</v>
      </c>
      <c r="N12" t="inlineStr">
        <is>
          <t>Operationnel</t>
        </is>
      </c>
      <c r="O12" t="inlineStr"/>
      <c r="P12" t="inlineStr">
        <is>
          <t>SPARE-ISSUE</t>
        </is>
      </c>
      <c r="Q12" t="inlineStr">
        <is>
          <t>SPARE-ISSUE</t>
        </is>
      </c>
      <c r="R12" t="inlineStr">
        <is>
          <t>SPARE-ISSUE</t>
        </is>
      </c>
      <c r="S12" t="inlineStr">
        <is>
          <t>SPARE-ISSUE</t>
        </is>
      </c>
      <c r="T12" t="inlineStr">
        <is>
          <t>(04/29/2026 ocm ran 00h): 20.04.26; Carte EAC 3DB19417AA faulty, commande passée vers OCM
19.04.26; Besoin d'un FME sur SUO_077_H_Buea-David-Square pour vérifier la chaine antennaire de l'ODU 3.2; FME Fabien activé pour investigations, update ASAP
19.04.26; Reste down après l'incident P2 sur Buea-David..;..;(04/29/2026 com ran 17h): 20.04.26; Carte EAC 3DB19417AA faulty, commande passée vers OCM
19.04.26; Besoin d'un FME sur SUO_077_H_Buea-David-Square pour vérifier la chaine antennaire de l'ODU 3.2; FME Fabien activé pour investigations, update ASAP
19.04.26; Reste down après l'incident P2 sur Buea-David..;..;(04/29/2026 com ran 18h): 20.04.26; Carte EAC 3DB19417AA faulty, commande passée vers OCM
19.04.26; Besoin d'un FME sur SUO_077_H_Buea-David-Square pour vérifier la chaine antennaire de l'ODU 3.2; FME Fabien activé pour investigations, update ASAP
19.04.26; Reste down après l'incident P2 sur Buea-David</t>
        </is>
      </c>
      <c r="U12" t="inlineStr">
        <is>
          <t>: 20.04.26; Carte EAC 3DB19417AA faulty, commande passée vers OCM 19.04.26; Besoin d'un FME sur SUO_077_H_Buea-David-Square pour vérifier la chaine antennaire de l'ODU 3.2; FME Fabien activé pour investigations, update ASAP 19.04.26; Reste down après l'incident P2 sur Buea-David.;.;(04/29/2026 com ran 17h) : 20.04.26; Carte EAC 3DB19417AA faulty, commande passée vers OCM 19.04.26; Besoin d'un FME sur SUO_077_H_Buea-David-Square pour vérifier la chaine antennaire de l'ODU 3.2; FME Fabien activé pour investigations, update ASAP 19.04.26; Reste down après l'incident P2 sur Buea-David.;.;(04/29/2026 com ran 18h) : 20.04.26; Carte EAC 3DB19417AA faulty, commande passée vers OCM 19.04.26; Besoin d'un FME sur SUO_077_H_Buea-David-Square pour vérifier la chaine antennaire de l'ODU 3.2; FME Fabien activé pour investigations, update ASAP 19.04.26; Reste down après l'incident P2 sur Buea-David</t>
        </is>
      </c>
    </row>
    <row r="13">
      <c r="A13" s="96" t="n">
        <v>46141</v>
      </c>
      <c r="B13" t="inlineStr">
        <is>
          <t>Bda-Mankon-Palace-IHS</t>
        </is>
      </c>
      <c r="C13" t="inlineStr">
        <is>
          <t>NRO_059</t>
        </is>
      </c>
      <c r="D13" t="inlineStr"/>
      <c r="E13" t="inlineStr">
        <is>
          <t>IHS</t>
        </is>
      </c>
      <c r="F13" t="inlineStr">
        <is>
          <t>Grid-Gen</t>
        </is>
      </c>
      <c r="G13" t="inlineStr">
        <is>
          <t>NORD-OUEST</t>
        </is>
      </c>
      <c r="H13" t="inlineStr">
        <is>
          <t>Bamenda</t>
        </is>
      </c>
      <c r="I13" t="inlineStr"/>
      <c r="J13" t="n">
        <v>32.3710627915063</v>
      </c>
      <c r="K13" t="n">
        <v>55.08124483613329</v>
      </c>
      <c r="L13" t="n">
        <v>0</v>
      </c>
      <c r="M13" t="n">
        <v>23.11399397317033</v>
      </c>
      <c r="N13" t="inlineStr">
        <is>
          <t>Operationnel</t>
        </is>
      </c>
      <c r="O13" t="inlineStr"/>
      <c r="P13" t="inlineStr">
        <is>
          <t>IHS GRID ONLY</t>
        </is>
      </c>
      <c r="Q13" t="inlineStr">
        <is>
          <t>POWER ISSUE</t>
        </is>
      </c>
      <c r="R13" t="inlineStr">
        <is>
          <t>Coupure ENEO &amp; Baisse de tension</t>
        </is>
      </c>
      <c r="S13" t="inlineStr">
        <is>
          <t>PASSIVE</t>
        </is>
      </c>
      <c r="T13" t="inlineStr">
        <is>
          <t xml:space="preserve">(04/29/2026 retour IHS): Power issue NUR to be checked   ||   (04/29/2026 ocm ran 00h): 28/04/2026 FME jeremiah en route pour le site 
28.04.2026: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 Rectifiers reset. Escalade L2 IHS ..;..;(04/29/2026 com ran 17h): 29/04/2026 FME DERRICK en route ETA=15H30 UTC 
28/04/2026 FME jeremiah en route pour le site 
28.04.2026: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 Rectifiers reset. Escalade L2 IHS ..;..;(04/29/2026 com ran 18h): 29/04/2026 escalade Liberté ETA=30/04/2026
29/04/2026 FME DERRICK en route ETA=15H30 UTC escalade PM HAMMER PHILIPE
28/04/2026 FME jeremiah en route pour le site 
28.04.2026: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 Rectifiers reset. Escalade L2 IHS </t>
        </is>
      </c>
      <c r="U13" t="inlineStr">
        <is>
          <t>04/29/2026 retour IHS) : Power issue NUR to be checked || : 28/04/2026 FME jeremiah en route pour le site 28.04.2026 :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Rectifiers reset. Escalade L2 IHS .;.;(04/29/2026 com ran 17h) : 29/04/2026 FME DERRICK en route ETA=15H30 UTC 28/04/2026 FME jeremiah en route pour le site 28.04.2026 :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Rectifiers reset. Escalade L2 IHS .;.;(04/29/2026 com ran 18h) : 29/04/2026 escalade Liberté ETA=30/04/2026 29/04/2026 FME DERRICK en route ETA=15H30 UTC escalade PM HAMMER PHILIPE 28/04/2026 FME jeremiah en route pour le site 28.04.2026 :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Rectifiers reset. Escalade L2 IHS</t>
        </is>
      </c>
    </row>
    <row r="14">
      <c r="A14" s="96" t="n">
        <v>46141</v>
      </c>
      <c r="B14" t="inlineStr">
        <is>
          <t>Nkolda-II</t>
        </is>
      </c>
      <c r="C14" t="inlineStr">
        <is>
          <t>CTR_776</t>
        </is>
      </c>
      <c r="D14" t="inlineStr"/>
      <c r="E14" t="inlineStr">
        <is>
          <t>CAMUSAT</t>
        </is>
      </c>
      <c r="F14" t="inlineStr">
        <is>
          <t>Good Grid no GE - 8h</t>
        </is>
      </c>
      <c r="G14" t="inlineStr">
        <is>
          <t>CENTRE</t>
        </is>
      </c>
      <c r="H14" t="inlineStr">
        <is>
          <t>Yaounde</t>
        </is>
      </c>
      <c r="I14" t="inlineStr"/>
      <c r="J14" t="n">
        <v>22.25439532550788</v>
      </c>
      <c r="K14" t="n">
        <v>19.2408754687856</v>
      </c>
      <c r="L14" t="n">
        <v>25.34462983756761</v>
      </c>
      <c r="M14" t="n">
        <v>22.85424389255578</v>
      </c>
      <c r="N14" t="inlineStr">
        <is>
          <t>Operationnel</t>
        </is>
      </c>
      <c r="O14" t="inlineStr"/>
      <c r="P14" t="inlineStr">
        <is>
          <t>AKTIVCO GRID ONLY</t>
        </is>
      </c>
      <c r="Q14" t="inlineStr">
        <is>
          <t>POWER ISSUE</t>
        </is>
      </c>
      <c r="R14" t="inlineStr">
        <is>
          <t>AKTIVCO Coupure ENEO &amp; Baisse de tension</t>
        </is>
      </c>
      <c r="S14" t="inlineStr">
        <is>
          <t>PASSIVE</t>
        </is>
      </c>
      <c r="T14" t="inlineStr">
        <is>
          <t>(04/29/2026 ocm ran 00h): 28/04/2026 Grid outage grid only site / grid return awaited - Escalated to L2..;..;(04/29/2026 ticket): INC-20260429-00016085</t>
        </is>
      </c>
      <c r="U14" t="inlineStr">
        <is>
          <t>: 28/04/2026 Grid outage grid only site / grid return awaited - Escalated to L2.;.; :</t>
        </is>
      </c>
    </row>
    <row r="15">
      <c r="A15" s="96" t="n">
        <v>46141</v>
      </c>
      <c r="B15" t="inlineStr">
        <is>
          <t>Nyalla-III</t>
        </is>
      </c>
      <c r="C15" t="inlineStr">
        <is>
          <t>LIT_751</t>
        </is>
      </c>
      <c r="D15" t="inlineStr"/>
      <c r="E15" t="inlineStr">
        <is>
          <t>CAMUSAT</t>
        </is>
      </c>
      <c r="F15" t="inlineStr">
        <is>
          <t>Good Grid no GE - 8h</t>
        </is>
      </c>
      <c r="G15" t="inlineStr">
        <is>
          <t>LITTORAL</t>
        </is>
      </c>
      <c r="H15" t="inlineStr">
        <is>
          <t>Douala</t>
        </is>
      </c>
      <c r="I15" t="inlineStr"/>
      <c r="J15" t="n">
        <v>10.85180289278163</v>
      </c>
      <c r="K15" t="n">
        <v>9.316688682164218</v>
      </c>
      <c r="L15" t="n">
        <v>34.74869327397251</v>
      </c>
      <c r="M15" t="n">
        <v>22.79840226234401</v>
      </c>
      <c r="N15" t="inlineStr">
        <is>
          <t>Operationnel</t>
        </is>
      </c>
      <c r="O15" t="inlineStr"/>
      <c r="P15" t="inlineStr">
        <is>
          <t>AKTIVCO GRID ONLY</t>
        </is>
      </c>
      <c r="Q15" t="inlineStr">
        <is>
          <t>POWER ISSUE</t>
        </is>
      </c>
      <c r="R15" t="inlineStr">
        <is>
          <t>AKTIVCO Coupure ENEO &amp; Baisse de tension</t>
        </is>
      </c>
      <c r="S15" t="inlineStr">
        <is>
          <t>PASSIVE</t>
        </is>
      </c>
      <c r="T15" t="inlineStr">
        <is>
          <t>(04/29/2026 com ran 17h): 29/04/2026 Camusat: Grid outage and grid only on site // awaiting grid return..;..;(04/29/2026 com ran 18h): 29/04/2026 Camusat: Grid outage and grid only on site // awaiting grid return..;..;(04/29/2026 ticket): INC-20260429-00013393</t>
        </is>
      </c>
      <c r="U15" t="inlineStr">
        <is>
          <t>04/29/2026 com ran 17h) : 29/04/2026 Camusat : Grid outage and grid only on site // awaiting grid return.;.;(04/29/2026 com ran 18h) : 29/04/2026 Camusat : Grid outage and grid only on site // awaiting grid return.;.; :</t>
        </is>
      </c>
    </row>
    <row r="16">
      <c r="A16" s="96" t="n">
        <v>46141</v>
      </c>
      <c r="B16" t="inlineStr">
        <is>
          <t>CTR_948_Z_Nkoabang-III</t>
        </is>
      </c>
      <c r="C16" t="inlineStr">
        <is>
          <t>CTR_948</t>
        </is>
      </c>
      <c r="D16" t="inlineStr"/>
      <c r="E16" t="inlineStr">
        <is>
          <t>ESCO</t>
        </is>
      </c>
      <c r="F16" t="inlineStr">
        <is>
          <t>Good Grid + Solar + GE</t>
        </is>
      </c>
      <c r="G16" t="inlineStr">
        <is>
          <t>CENTRE</t>
        </is>
      </c>
      <c r="H16" t="inlineStr">
        <is>
          <t>Yaoundé</t>
        </is>
      </c>
      <c r="I16" t="inlineStr"/>
      <c r="J16" t="n">
        <v>13.59013864409354</v>
      </c>
      <c r="K16" t="n">
        <v>11.62560648870665</v>
      </c>
      <c r="L16" t="n">
        <v>31.58427397907924</v>
      </c>
      <c r="M16" t="n">
        <v>22.31435823680988</v>
      </c>
      <c r="N16" t="inlineStr">
        <is>
          <t>Operationnel</t>
        </is>
      </c>
      <c r="O16" t="inlineStr"/>
      <c r="P16" t="inlineStr">
        <is>
          <t>AKTIVCO</t>
        </is>
      </c>
      <c r="Q16" t="inlineStr">
        <is>
          <t>POWER ISSUE</t>
        </is>
      </c>
      <c r="R16" t="inlineStr">
        <is>
          <t>AKTIVCO Defaut GE &amp; Power Cabinet</t>
        </is>
      </c>
      <c r="S16" t="inlineStr">
        <is>
          <t>PASSIVE</t>
        </is>
      </c>
      <c r="T16" t="inlineStr">
        <is>
          <t>(04/29/2026 retour CAMUSAT): Mauvaises phases ENEO et GE en arret pour nuisance sonore</t>
        </is>
      </c>
      <c r="U16" t="inlineStr">
        <is>
          <t>04/29/2026 retour CAMUSAT) : Mauvaises phases ENEO et GE en arret pour nuisance sonore</t>
        </is>
      </c>
    </row>
    <row r="17">
      <c r="A17" s="96" t="n">
        <v>46141</v>
      </c>
      <c r="B17" t="inlineStr">
        <is>
          <t>Mora-Kourgui</t>
        </is>
      </c>
      <c r="C17" t="inlineStr">
        <is>
          <t>EXN_238</t>
        </is>
      </c>
      <c r="D17" t="inlineStr"/>
      <c r="E17" t="inlineStr">
        <is>
          <t>CAMUSAT</t>
        </is>
      </c>
      <c r="F17" t="inlineStr">
        <is>
          <t>Bad Grid + Solar + GE</t>
        </is>
      </c>
      <c r="G17" t="inlineStr">
        <is>
          <t>EXTREME-NORD</t>
        </is>
      </c>
      <c r="H17" t="inlineStr">
        <is>
          <t>Mora</t>
        </is>
      </c>
      <c r="I17" t="inlineStr"/>
      <c r="J17" t="n">
        <v>7.245817496572865</v>
      </c>
      <c r="K17" t="n">
        <v>12.84161209543336</v>
      </c>
      <c r="L17" t="n">
        <v>30.90221689244353</v>
      </c>
      <c r="M17" t="n">
        <v>21.46093190424418</v>
      </c>
      <c r="N17" t="inlineStr">
        <is>
          <t>Insecurity</t>
        </is>
      </c>
      <c r="O17" t="inlineStr"/>
      <c r="P17" t="inlineStr">
        <is>
          <t>BSS</t>
        </is>
      </c>
      <c r="Q17" t="inlineStr">
        <is>
          <t>RAN ISSUE</t>
        </is>
      </c>
      <c r="R17" t="inlineStr">
        <is>
          <t>BSS Hardware issue</t>
        </is>
      </c>
      <c r="S17" t="inlineStr">
        <is>
          <t>ACTIVE</t>
        </is>
      </c>
      <c r="T17" t="inlineStr">
        <is>
          <t>(04/29/2026 cell huawei): 28/04/2026 : Probleme de licence  || Point envoye a Huawei Projet
27/04/2026 : Besoin d'analyse BO RAN || No HW alarm observed, need a reset of BTS on site || HW Projet should renew License</t>
        </is>
      </c>
      <c r="U17" t="inlineStr">
        <is>
          <t>04/29/2026 cell huawei) : 28/04/2026 : Probleme de licence || Point envoye a Huawei Projet 27/04/2026 : Besoin d'analyse BO RAN || No HW alarm observed, need a reset of BTS on site || HW Projet should renew License</t>
        </is>
      </c>
    </row>
    <row r="18">
      <c r="A18" s="96" t="n">
        <v>46141</v>
      </c>
      <c r="B18" t="inlineStr">
        <is>
          <t>Bobongo-Itba-HIS</t>
        </is>
      </c>
      <c r="C18" t="inlineStr">
        <is>
          <t>LIT_426</t>
        </is>
      </c>
      <c r="D18" t="inlineStr"/>
      <c r="E18" t="inlineStr">
        <is>
          <t>IHS</t>
        </is>
      </c>
      <c r="F18" t="inlineStr">
        <is>
          <t>Grid-Gen</t>
        </is>
      </c>
      <c r="G18" t="inlineStr">
        <is>
          <t>LITTORAL</t>
        </is>
      </c>
      <c r="H18" t="inlineStr">
        <is>
          <t>Douala</t>
        </is>
      </c>
      <c r="I18" t="inlineStr"/>
      <c r="J18" t="n">
        <v>0.4616140906202415</v>
      </c>
      <c r="K18" t="n">
        <v>0.6467052405384365</v>
      </c>
      <c r="L18" t="n">
        <v>38.783168843449</v>
      </c>
      <c r="M18" t="n">
        <v>20.50800366974573</v>
      </c>
      <c r="N18" t="inlineStr">
        <is>
          <t>Operationnel</t>
        </is>
      </c>
      <c r="O18" t="inlineStr"/>
      <c r="P18" t="inlineStr">
        <is>
          <t>IHS</t>
        </is>
      </c>
      <c r="Q18" t="inlineStr">
        <is>
          <t>POWER ISSUE</t>
        </is>
      </c>
      <c r="R18" t="inlineStr">
        <is>
          <t>Defaut GE &amp; Power Cabinet</t>
        </is>
      </c>
      <c r="S18" t="inlineStr">
        <is>
          <t>PASSIVE</t>
        </is>
      </c>
      <c r="T18" t="inlineStr">
        <is>
          <t>(04/29/2026 ticket): INC-20260429-00016176  ;  Others Transmission equipement fault  ||  (groupe whatsapp incident mgmt): LIT_426_Z_Bobongo-Itba-IHS(LIT-426)	INC-20260429-00005286</t>
        </is>
      </c>
      <c r="U18" t="inlineStr">
        <is>
          <t>: ; || (groupe whatsapp incident mgmt) : LIT_426_Z_Bobongo-Itba-IHS(LIT-426)</t>
        </is>
      </c>
    </row>
    <row r="19">
      <c r="A19" s="96" t="n">
        <v>46141</v>
      </c>
      <c r="B19" t="inlineStr">
        <is>
          <t>LIT_837_Z_Yassa-Hotel-Midi</t>
        </is>
      </c>
      <c r="C19" t="inlineStr">
        <is>
          <t>LIT_837</t>
        </is>
      </c>
      <c r="D19" t="inlineStr"/>
      <c r="E19" t="inlineStr">
        <is>
          <t>ESCO</t>
        </is>
      </c>
      <c r="F19" t="inlineStr">
        <is>
          <t>Bad Grid + Solar + GE</t>
        </is>
      </c>
      <c r="G19" t="inlineStr">
        <is>
          <t>LIT</t>
        </is>
      </c>
      <c r="H19" t="inlineStr">
        <is>
          <t>Douala</t>
        </is>
      </c>
      <c r="I19" t="inlineStr"/>
      <c r="J19" t="n">
        <v>14.72331630756687</v>
      </c>
      <c r="K19" t="n">
        <v>12.58363126506659</v>
      </c>
      <c r="L19" t="n">
        <v>27.12031072500312</v>
      </c>
      <c r="M19" t="n">
        <v>20.46989010738144</v>
      </c>
      <c r="N19" t="inlineStr">
        <is>
          <t>EXCLU</t>
        </is>
      </c>
      <c r="O19" t="inlineStr"/>
      <c r="P19" t="inlineStr">
        <is>
          <t>Exclu</t>
        </is>
      </c>
      <c r="Q19" t="inlineStr">
        <is>
          <t>Exclu</t>
        </is>
      </c>
      <c r="R19" t="inlineStr">
        <is>
          <t>EXCLU</t>
        </is>
      </c>
      <c r="S19" t="inlineStr">
        <is>
          <t>Exclu</t>
        </is>
      </c>
      <c r="T19" t="inlineStr">
        <is>
          <t>(04/29/2026 ocm ran 00h): 28.04.26: Camusat: FME is managing - Escalated to L2</t>
        </is>
      </c>
      <c r="U19" t="inlineStr">
        <is>
          <t>: 28.04.26 : Camusat : FME is managing - Escalated to L2</t>
        </is>
      </c>
    </row>
    <row r="20">
      <c r="A20" s="96" t="n">
        <v>46141</v>
      </c>
      <c r="B20" t="inlineStr">
        <is>
          <t>Bonamoutongo-III</t>
        </is>
      </c>
      <c r="C20" t="inlineStr">
        <is>
          <t>LIT_718</t>
        </is>
      </c>
      <c r="D20" t="inlineStr"/>
      <c r="E20" t="inlineStr">
        <is>
          <t>CAMUSAT</t>
        </is>
      </c>
      <c r="F20" t="inlineStr">
        <is>
          <t>Good Grid no GE - 8h</t>
        </is>
      </c>
      <c r="G20" t="inlineStr">
        <is>
          <t>LITTORAL</t>
        </is>
      </c>
      <c r="H20" t="inlineStr">
        <is>
          <t>Douala</t>
        </is>
      </c>
      <c r="I20" t="inlineStr"/>
      <c r="J20" t="n">
        <v>7.135035110647499</v>
      </c>
      <c r="K20" t="n">
        <v>9.640120991734413</v>
      </c>
      <c r="L20" t="n">
        <v>30.77892471988566</v>
      </c>
      <c r="M20" t="n">
        <v>20.30603924287952</v>
      </c>
      <c r="N20" t="inlineStr">
        <is>
          <t>Operationnel</t>
        </is>
      </c>
      <c r="O20" t="inlineStr"/>
      <c r="P20" t="inlineStr">
        <is>
          <t>AKTIVCO GRID ONLY</t>
        </is>
      </c>
      <c r="Q20" t="inlineStr">
        <is>
          <t>POWER ISSUE</t>
        </is>
      </c>
      <c r="R20" t="inlineStr">
        <is>
          <t>AKTIVCO Coupure ENEO &amp; Baisse de tension</t>
        </is>
      </c>
      <c r="S20" t="inlineStr">
        <is>
          <t>PASSIVE</t>
        </is>
      </c>
      <c r="T20" t="inlineStr">
        <is>
          <t xml:space="preserve">(04/29/2026 ticket): INC-20260429-00016355  ;  Others Transmission equipement fault  || (04/29/2026 retour CAMUSAT): Défaut automatisme </t>
        </is>
      </c>
      <c r="U20" t="inlineStr">
        <is>
          <t>: ; || (04/29/2026 retour CAMUSAT) : Défaut automatisme</t>
        </is>
      </c>
    </row>
    <row r="21">
      <c r="A21" s="96" t="n">
        <v>46141</v>
      </c>
      <c r="B21" t="inlineStr">
        <is>
          <t>KUMBA-BONAKAMA</t>
        </is>
      </c>
      <c r="C21" t="inlineStr">
        <is>
          <t>SUO_218</t>
        </is>
      </c>
      <c r="D21" t="inlineStr"/>
      <c r="E21" t="inlineStr">
        <is>
          <t>IHS</t>
        </is>
      </c>
      <c r="F21" t="inlineStr">
        <is>
          <t>Grid-Gen</t>
        </is>
      </c>
      <c r="G21" t="inlineStr">
        <is>
          <t>SUD-OUEST</t>
        </is>
      </c>
      <c r="H21" t="inlineStr">
        <is>
          <t>Kumba</t>
        </is>
      </c>
      <c r="I21" t="inlineStr"/>
      <c r="J21" t="n">
        <v>15.28784436211327</v>
      </c>
      <c r="K21" t="n">
        <v>26.0163254689556</v>
      </c>
      <c r="L21" t="n">
        <v>17.88215306642852</v>
      </c>
      <c r="M21" t="n">
        <v>20.24242151852137</v>
      </c>
      <c r="N21" t="inlineStr">
        <is>
          <t>Operationnel</t>
        </is>
      </c>
      <c r="O21" t="inlineStr"/>
      <c r="P21" t="inlineStr">
        <is>
          <t>PDH</t>
        </is>
      </c>
      <c r="Q21" t="inlineStr">
        <is>
          <t>TX ISSUE</t>
        </is>
      </c>
      <c r="R21" t="inlineStr">
        <is>
          <t>ODU HS</t>
        </is>
      </c>
      <c r="S21" t="inlineStr">
        <is>
          <t>ACTIVE</t>
        </is>
      </c>
      <c r="T21" t="inlineStr">
        <is>
          <t>(04/29/2026 ocm ran 00h): 28.04.26: Besoin d'un FME sur site pour vérifier la chaine antennaire de l'ODU 3.1; FME Collins activé pour investigations, update ASAP</t>
        </is>
      </c>
      <c r="U21" t="inlineStr">
        <is>
          <t>: 28.04.26 : Besoin d'un FME sur site pour vérifier la chaine antennaire de l'ODU 3.1; FME Collins activé pour investigations, update ASAP</t>
        </is>
      </c>
    </row>
    <row r="22">
      <c r="A22" s="96" t="n">
        <v>46141</v>
      </c>
      <c r="B22" t="inlineStr">
        <is>
          <t>Pont-Emana-MTN</t>
        </is>
      </c>
      <c r="C22" t="inlineStr">
        <is>
          <t>CTR_799</t>
        </is>
      </c>
      <c r="D22" t="inlineStr"/>
      <c r="E22" t="inlineStr"/>
      <c r="F22" t="inlineStr"/>
      <c r="G22" t="inlineStr">
        <is>
          <t>CENTRE</t>
        </is>
      </c>
      <c r="H22" t="inlineStr">
        <is>
          <t>Yaounde</t>
        </is>
      </c>
      <c r="I22" t="inlineStr"/>
      <c r="J22" t="n">
        <v>16.39529353460507</v>
      </c>
      <c r="K22" t="n">
        <v>13.92012709487235</v>
      </c>
      <c r="L22" t="n">
        <v>22.43308774763772</v>
      </c>
      <c r="M22" t="n">
        <v>18.71299221249141</v>
      </c>
      <c r="N22" t="inlineStr">
        <is>
          <t>Operationnel</t>
        </is>
      </c>
      <c r="O22" t="inlineStr"/>
      <c r="P22" t="inlineStr">
        <is>
          <t>Fiber AOF</t>
        </is>
      </c>
      <c r="Q22" t="inlineStr">
        <is>
          <t>TX ISSUE</t>
        </is>
      </c>
      <c r="R22" t="inlineStr">
        <is>
          <t>fiber AOF</t>
        </is>
      </c>
      <c r="S22" t="inlineStr">
        <is>
          <t>ACTIVE</t>
        </is>
      </c>
      <c r="T22" t="inlineStr">
        <is>
          <t>(04/29/2026 ocm ran 00h): 28.04.26: Suite investigations avec le BO TX sur le site d'Okolo, CDS activé pour investiguer sur le lien AOF CTR_799_Z_Pont-Emana-MTN&lt;&gt;Okolo, update ASAP
28/042026 FME sur site travaux en cours avec le BO TX 
28.04.2026: FME Sur site intervention retardee par la pluie. Update sera partage ASAP
27.04.26: Besoin d'un FME sur CTR_213_Z_Okolo pour investigations conjointes avec le BO TX; CM-20260427-00004269; FME Totat activé pour investigations, update ASAP</t>
        </is>
      </c>
      <c r="U22" t="inlineStr">
        <is>
          <t>: 28.04.26 : Suite investigations avec le BO TX sur le site d'Okolo, CDS activé pour investiguer sur le lien AOF CTR_799_Z_Pont-Emana-MTN&lt;&gt;Okolo, update ASAP 28/042026 FME sur site travaux en cours avec le BO TX 28.04.2026 : FME Sur site intervention retardee par la pluie. Update sera partage ASAP 27.04.26 : Besoin d'un FME sur CTR_213_Z_Okolo pour investigations conjointes avec le BO TX; ; FME Totat activé pour investigations, update ASAP</t>
        </is>
      </c>
    </row>
    <row r="23">
      <c r="A23" s="96" t="n">
        <v>46141</v>
      </c>
      <c r="B23" t="inlineStr">
        <is>
          <t>Ndokoti-New</t>
        </is>
      </c>
      <c r="C23" t="inlineStr">
        <is>
          <t>LIT_217</t>
        </is>
      </c>
      <c r="D23" t="inlineStr"/>
      <c r="E23" t="inlineStr">
        <is>
          <t>IHS</t>
        </is>
      </c>
      <c r="F23" t="inlineStr">
        <is>
          <t>Grid-Gen</t>
        </is>
      </c>
      <c r="G23" t="inlineStr">
        <is>
          <t>LITTORAL</t>
        </is>
      </c>
      <c r="H23" t="inlineStr">
        <is>
          <t>Douala</t>
        </is>
      </c>
      <c r="I23" t="inlineStr"/>
      <c r="J23" t="n">
        <v>21.53562122065953</v>
      </c>
      <c r="K23" t="n">
        <v>16.35936347161446</v>
      </c>
      <c r="L23" t="n">
        <v>19.15974041679526</v>
      </c>
      <c r="M23" t="n">
        <v>18.5588971358291</v>
      </c>
      <c r="N23" t="inlineStr">
        <is>
          <t>Operationnel</t>
        </is>
      </c>
      <c r="O23" t="inlineStr"/>
      <c r="P23" t="inlineStr">
        <is>
          <t>IHS GRID ONLY</t>
        </is>
      </c>
      <c r="Q23" t="inlineStr">
        <is>
          <t>POWER ISSUE</t>
        </is>
      </c>
      <c r="R23" t="inlineStr">
        <is>
          <t>Coupure ENEO &amp; Baisse de tension</t>
        </is>
      </c>
      <c r="S23" t="inlineStr">
        <is>
          <t>PASSIVE</t>
        </is>
      </c>
      <c r="T23" t="inlineStr">
        <is>
          <t xml:space="preserve">(04/29/2026 retour IHS): Power issue NUR to be checked   ||   </t>
        </is>
      </c>
      <c r="U23" t="inlineStr">
        <is>
          <t>04/29/2026 retour IHS) : Power issue NUR to be checked ||</t>
        </is>
      </c>
    </row>
    <row r="24">
      <c r="A24" s="96" t="n">
        <v>46141</v>
      </c>
      <c r="B24" t="inlineStr">
        <is>
          <t>Dschang-St-Augustin</t>
        </is>
      </c>
      <c r="C24" t="inlineStr">
        <is>
          <t>OST_084</t>
        </is>
      </c>
      <c r="D24" t="inlineStr"/>
      <c r="E24" t="inlineStr">
        <is>
          <t>IHS</t>
        </is>
      </c>
      <c r="F24" t="inlineStr">
        <is>
          <t>Grid-Gen</t>
        </is>
      </c>
      <c r="G24" t="inlineStr">
        <is>
          <t>OUEST</t>
        </is>
      </c>
      <c r="H24" t="inlineStr">
        <is>
          <t>Dschang</t>
        </is>
      </c>
      <c r="I24" t="inlineStr"/>
      <c r="J24" t="n">
        <v>32.37293622531563</v>
      </c>
      <c r="K24" t="n">
        <v>41.31093362709997</v>
      </c>
      <c r="L24" t="n">
        <v>0</v>
      </c>
      <c r="M24" t="n">
        <v>18.49140919947608</v>
      </c>
      <c r="N24" t="inlineStr">
        <is>
          <t>Operationnel</t>
        </is>
      </c>
      <c r="O24" t="inlineStr"/>
      <c r="P24" t="inlineStr">
        <is>
          <t>IHS GRID ONLY</t>
        </is>
      </c>
      <c r="Q24" t="inlineStr">
        <is>
          <t>POWER ISSUE</t>
        </is>
      </c>
      <c r="R24" t="inlineStr">
        <is>
          <t>Coupure ENEO &amp; Baisse de tension</t>
        </is>
      </c>
      <c r="S24" t="inlineStr">
        <is>
          <t>PASSIVE</t>
        </is>
      </c>
      <c r="T24" t="inlineStr">
        <is>
          <t>(04/29/2026 retour IHS): Power issue NUR to be checked   ||   (04/29/2026 ocm ran 00h): 27.04.26: IHS : Gen and PWC Overload. - Escalated to L4
24.04.26: IHS : Gen and PWC Overload. - Escalated to L3
23/04/2026 IHS : grid outage gen overload..;..;(04/29/2026 com ran 17h): 29/04/2026 IHS : Gen and PWC Overload. - Escalated to L4
27.04.26: IHS : Gen and PWC Overload. - Escalated to L4
24.04.26: IHS : Gen and PWC Overload. - Escalated to L3
23/04/2026 IHS : grid outage gen overload..;..;(04/29/2026 com ran 18h): 29/04/2026 IHS : Gen and PWC Overload. - Escalated to L4
27.04.26: IHS : Gen and PWC Overload. - Escalated to L4
24.04.26: IHS : Gen and PWC Overload. - Escalated to L3
23/04/2026 IHS : grid outage gen overload</t>
        </is>
      </c>
      <c r="U24" t="inlineStr">
        <is>
          <t>04/29/2026 retour IHS) : Power issue NUR to be checked || : 27.04.26 : IHS : Gen and PWC Overload. Escalated to L4 24.04.26 : IHS : Gen and PWC Overload. Escalated to L3 23/04/2026 IHS : grid outage gen overload.;.;(04/29/2026 com ran 17h) : 29/04/2026 IHS : Gen and PWC Overload. Escalated to L4 27.04.26 : IHS : Gen and PWC Overload. Escalated to L4 24.04.26 : IHS : Gen and PWC Overload. Escalated to L3 23/04/2026 IHS : grid outage gen overload.;.;(04/29/2026 com ran 18h) : 29/04/2026 IHS : Gen and PWC Overload. Escalated to L4 27.04.26 : IHS : Gen and PWC Overload. Escalated to L4 24.04.26 : IHS : Gen and PWC Overload. Escalated to L3 23/04/2026 IHS : grid outage gen overload</t>
        </is>
      </c>
    </row>
    <row r="25">
      <c r="A25" s="96" t="n">
        <v>46141</v>
      </c>
      <c r="B25" t="inlineStr">
        <is>
          <t>Batchenga-Nachtigal-IHS</t>
        </is>
      </c>
      <c r="C25" t="inlineStr">
        <is>
          <t>CTR_699</t>
        </is>
      </c>
      <c r="D25" t="inlineStr"/>
      <c r="E25" t="inlineStr">
        <is>
          <t>IHS</t>
        </is>
      </c>
      <c r="F25" t="inlineStr">
        <is>
          <t>Grid-Gen</t>
        </is>
      </c>
      <c r="G25" t="inlineStr">
        <is>
          <t>CENTRE</t>
        </is>
      </c>
      <c r="H25" t="inlineStr">
        <is>
          <t>Batchenga</t>
        </is>
      </c>
      <c r="I25" t="inlineStr"/>
      <c r="J25" t="n">
        <v>0</v>
      </c>
      <c r="K25" t="n">
        <v>55.08124483613329</v>
      </c>
      <c r="L25" t="n">
        <v>0</v>
      </c>
      <c r="M25" t="n">
        <v>18.49140919947607</v>
      </c>
      <c r="N25" t="inlineStr">
        <is>
          <t>Operationnel</t>
        </is>
      </c>
      <c r="O25" t="inlineStr"/>
      <c r="P25" t="inlineStr">
        <is>
          <t>ENVTECH</t>
        </is>
      </c>
      <c r="Q25" t="inlineStr">
        <is>
          <t>ENVTECH</t>
        </is>
      </c>
      <c r="R25" t="inlineStr">
        <is>
          <t>Sites strategiques, MLL, Pylone, etc.</t>
        </is>
      </c>
      <c r="S25" t="inlineStr">
        <is>
          <t>PASSIVE</t>
        </is>
      </c>
      <c r="T25" t="inlineStr">
        <is>
          <t xml:space="preserve">(04/29/2026 ocm ran 00h): 28.04.26: Accès au Pylone Camtel donné ce jour et intervention prévue pour ce 29.04.26
27.04.26: En attente de validation de l'accès 
24.04.26: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..;..;(04/29/2026 com ran 17h): 29/04/2026 FME sur site travaux en cours
28.04.26: Accès au Pylone Camtel donné ce jour et intervention prévue pour ce 29.04.26
27.04.26: En attente de validation de l'accès 
24.04.26: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..;..;(04/29/2026 com ran 18h): 29/04/2026 FME chassis MSS8, Carte core evo 1G et deux Cartes MPT ACC
29/04/2026 FME sur site travaux en cours
28.04.26: Accès au Pylone Camtel donné ce jour et intervention prévue pour ce 29.04.26
27.04.26: En attente de validation de l'accès 
24.04.26: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t>
        </is>
      </c>
      <c r="U25" t="inlineStr">
        <is>
          <t>: 28.04.26 : Accès au Pylone Camtel donné ce jour et intervention prévue pour ce 29.04.26 27.04.26 : En attente de validation de l'accès 24.04.26 :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.;.;(04/29/2026 com ran 17h) : 29/04/2026 FME sur site travaux en cours 28.04.26 : Accès au Pylone Camtel donné ce jour et intervention prévue pour ce 29.04.26 27.04.26 : En attente de validation de l'accès 24.04.26 :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.;.;(04/29/2026 com ran 18h) : 29/04/2026 FME chassis MSS8, Carte core evo 1G et deux Cartes MPT ACC 29/04/2026 FME sur site travaux en cours 28.04.26 : Accès au Pylone Camtel donné ce jour et intervention prévue pour ce 29.04.26 27.04.26 : En attente de validation de l'accès 24.04.26 :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t>
        </is>
      </c>
    </row>
    <row r="26">
      <c r="A26" s="96" t="n">
        <v>46141</v>
      </c>
      <c r="B26" t="inlineStr">
        <is>
          <t>Reserve-Benoue</t>
        </is>
      </c>
      <c r="C26" t="inlineStr">
        <is>
          <t>NRD_168</t>
        </is>
      </c>
      <c r="D26" t="inlineStr"/>
      <c r="E26" t="inlineStr">
        <is>
          <t>CAMUSAT</t>
        </is>
      </c>
      <c r="F26" t="inlineStr">
        <is>
          <t>Hybrid Solar - S3</t>
        </is>
      </c>
      <c r="G26" t="inlineStr">
        <is>
          <t>NORD</t>
        </is>
      </c>
      <c r="H26" t="inlineStr">
        <is>
          <t>Reserve Benoue</t>
        </is>
      </c>
      <c r="I26" t="inlineStr"/>
      <c r="J26" t="n">
        <v>0</v>
      </c>
      <c r="K26" t="n">
        <v>55.08124483613329</v>
      </c>
      <c r="L26" t="n">
        <v>0</v>
      </c>
      <c r="M26" t="n">
        <v>18.49140919947607</v>
      </c>
      <c r="N26" t="inlineStr">
        <is>
          <t>Operationnel</t>
        </is>
      </c>
      <c r="O26" t="inlineStr"/>
      <c r="P26" t="inlineStr">
        <is>
          <t>SPARE-ISSUE</t>
        </is>
      </c>
      <c r="Q26" t="inlineStr">
        <is>
          <t>SPARE-ISSUE</t>
        </is>
      </c>
      <c r="R26" t="inlineStr">
        <is>
          <t>SPARE-ISSUE</t>
        </is>
      </c>
      <c r="S26" t="inlineStr">
        <is>
          <t>SPARE-ISSUE</t>
        </is>
      </c>
      <c r="T26" t="inlineStr">
        <is>
          <t>(04/29/2026 ocm ran 00h): 20.04.26; ODU MPT MC 8GHZ 3DB20773CB faulty and not available, order done to OCM
19.04.26; ODU 3DB20773CB faulty, commande en cours
19.04.26; Besoin d'un FME sur NRD_172_SAKDJE pour vérifier la chaine antennaire de l'ODU 4.3; FME Belo activé pour investigations, ETA=17H UTC..;..;(04/29/2026 com ran 17h): 20.04.26; ODU MPT MC 8GHZ 3DB20773CB faulty and not available, order done to OCM
19.04.26; ODU 3DB20773CB faulty, commande en cours
19.04.26; Besoin d'un FME sur NRD_172_SAKDJE pour vérifier la chaine antennaire de l'ODU 4.3; FME Belo activé pour investigations, ETA=17H UTC..;..;(04/29/2026 com ran 18h): 20.04.26; ODU MPT MC 8GHZ 3DB20773CB faulty and not available, order done to OCM
19.04.26; ODU 3DB20773CB faulty, commande en cours
19.04.26; Besoin d'un FME sur NRD_172_SAKDJE pour vérifier la chaine antennaire de l'ODU 4.3; FME Belo activé pour investigations, ETA=17H UTC</t>
        </is>
      </c>
      <c r="U26" t="inlineStr">
        <is>
          <t>: 20.04.26; ODU MPT MC 8GHZ 3DB20773CB faulty and not available, order done to OCM 19.04.26; ODU 3DB20773CB faulty, commande en cours 19.04.26; Besoin d'un FME sur NRD_172_SAKDJE pour vérifier la chaine antennaire de l'ODU 4.3; FME Belo activé pour investigations, ETA=17H UTC.;.;(04/29/2026 com ran 17h) : 20.04.26; ODU MPT MC 8GHZ 3DB20773CB faulty and not available, order done to OCM 19.04.26; ODU 3DB20773CB faulty, commande en cours 19.04.26; Besoin d'un FME sur NRD_172_SAKDJE pour vérifier la chaine antennaire de l'ODU 4.3; FME Belo activé pour investigations, ETA=17H UTC.;.;(04/29/2026 com ran 18h) : 20.04.26; ODU MPT MC 8GHZ 3DB20773CB faulty and not available, order done to OCM 19.04.26; ODU 3DB20773CB faulty, commande en cours 19.04.26; Besoin d'un FME sur NRD_172_SAKDJE pour vérifier la chaine antennaire de l'ODU 4.3; FME Belo activé pour investigations, ETA=17H UTC</t>
        </is>
      </c>
    </row>
    <row r="27">
      <c r="A27" s="96" t="n">
        <v>46141</v>
      </c>
      <c r="B27" t="inlineStr">
        <is>
          <t>Danfili-MTN-IHS</t>
        </is>
      </c>
      <c r="C27" t="inlineStr">
        <is>
          <t>ADM_122</t>
        </is>
      </c>
      <c r="D27" t="inlineStr"/>
      <c r="E27" t="inlineStr">
        <is>
          <t>IHS</t>
        </is>
      </c>
      <c r="F27" t="inlineStr">
        <is>
          <t>Gen-Solar AER</t>
        </is>
      </c>
      <c r="G27" t="inlineStr">
        <is>
          <t>ADAMAOUA</t>
        </is>
      </c>
      <c r="H27" t="inlineStr">
        <is>
          <t>Danfili</t>
        </is>
      </c>
      <c r="I27" t="inlineStr"/>
      <c r="J27" t="n">
        <v>32.3643184297927</v>
      </c>
      <c r="K27" t="n">
        <v>41.31093362709997</v>
      </c>
      <c r="L27" t="n">
        <v>0</v>
      </c>
      <c r="M27" t="n">
        <v>18.49017857907218</v>
      </c>
      <c r="N27" t="inlineStr">
        <is>
          <t>Operationnel</t>
        </is>
      </c>
      <c r="O27" t="inlineStr"/>
      <c r="P27" t="inlineStr">
        <is>
          <t>BSS</t>
        </is>
      </c>
      <c r="Q27" t="inlineStr">
        <is>
          <t>RAN ISSUE</t>
        </is>
      </c>
      <c r="R27" t="inlineStr">
        <is>
          <t>BSS Hardware issue</t>
        </is>
      </c>
      <c r="S27" t="inlineStr">
        <is>
          <t>ACTIVE</t>
        </is>
      </c>
      <c r="T27" t="inlineStr">
        <is>
          <t>(04/29/2026 ocm ran 00h): 28/08/2026 fme wily activé ETA=17H28 UTC 
Bo tx: activer le FME sur le site de Danfili-MTN-IHS-ADM_122 pour vérifier le statut du MPR et de la radio et des connectiques...;..;(04/29/2026 com ran 17h): 29/04/2026 FME activé pour intervention ETA 13h
28/08/2026 fme wily activé manage avec le level 0
Bo tx: activer le FME sur le site de Danfili-MTN-IHS-ADM_122 pour vérifier le statut du MPR et de la radio et des connectiques...;..;(04/29/2026 com ran 18h): 29/04/2026 Site foudroyé commande des équipement en cours 
29/04/2026 FME activé pour intervention ETA 13h
28/08/2026 fme wily activé manage avec le level 0
Bo tx: activer le FME sur le site de Danfili-MTN-IHS-ADM_122 pour vérifier le statut du MPR et de la radio et des connectiques.</t>
        </is>
      </c>
      <c r="U27" t="inlineStr">
        <is>
          <t>: 28/08/2026 fme wily activé ETA=17H28 UTC Bo tx : activer le FME sur le site de Danfili-MTN-IHS-ADM_122 pour vérifier le statut du MPR et de la radio et des connectiques.;.;(04/29/2026 com ran 17h) : 29/04/2026 FME activé pour intervention ETA 13h 28/08/2026 fme wily activé manage avec le level 0 Bo tx : activer le FME sur le site de Danfili-MTN-IHS-ADM_122 pour vérifier le statut du MPR et de la radio et des connectiques.;.;(04/29/2026 com ran 18h) : 29/04/2026 Site foudroyé commande des équipement en cours 29/04/2026 FME activé pour intervention ETA 13h 28/08/2026 fme wily activé manage avec le level 0 Bo tx : activer le FME sur le site de Danfili-MTN-IHS-ADM_122 pour vérifier le statut du MPR et de la radio et des connectiques.</t>
        </is>
      </c>
    </row>
    <row r="28">
      <c r="A28" s="96" t="n">
        <v>46141</v>
      </c>
      <c r="B28" t="inlineStr">
        <is>
          <t>Ngomedzap</t>
        </is>
      </c>
      <c r="C28" t="inlineStr">
        <is>
          <t>CTR_188</t>
        </is>
      </c>
      <c r="D28" t="inlineStr"/>
      <c r="E28" t="inlineStr">
        <is>
          <t>IHS</t>
        </is>
      </c>
      <c r="F28" t="inlineStr">
        <is>
          <t>Grid-Gen</t>
        </is>
      </c>
      <c r="G28" t="inlineStr">
        <is>
          <t>CENTRE</t>
        </is>
      </c>
      <c r="H28" t="inlineStr">
        <is>
          <t>Ngomedzap</t>
        </is>
      </c>
      <c r="I28" t="inlineStr"/>
      <c r="J28" t="n">
        <v>32.3643184297927</v>
      </c>
      <c r="K28" t="n">
        <v>41.31093362709997</v>
      </c>
      <c r="L28" t="n">
        <v>0</v>
      </c>
      <c r="M28" t="n">
        <v>18.49017857907218</v>
      </c>
      <c r="N28" t="inlineStr">
        <is>
          <t>Operationnel</t>
        </is>
      </c>
      <c r="O28" t="inlineStr"/>
      <c r="P28" t="inlineStr">
        <is>
          <t>ENVTECH</t>
        </is>
      </c>
      <c r="Q28" t="inlineStr">
        <is>
          <t>ENVTECH</t>
        </is>
      </c>
      <c r="R28" t="inlineStr">
        <is>
          <t>Sites strategiques, MLL, Pylone, etc.</t>
        </is>
      </c>
      <c r="S28" t="inlineStr">
        <is>
          <t>PASSIVE</t>
        </is>
      </c>
      <c r="T28" t="inlineStr">
        <is>
          <t xml:space="preserve">(04/29/2026 ocm ran 00h): 28/04/2026 Site urelay point transmis a OCM ..;..;(04/29/2026 com ran 17h): 28/04/2026 Site urelay point transmis a OCM ..;..;(04/29/2026 com ran 18h): 28/04/2026 Site urelay point transmis a OCM </t>
        </is>
      </c>
      <c r="U28" t="inlineStr">
        <is>
          <t>: 28/04/2026 Site urelay point transmis a OCM .;.;(04/29/2026 com ran 17h) : 28/04/2026 Site urelay point transmis a OCM .;.;(04/29/2026 com ran 18h) : 28/04/2026 Site urelay point transmis a OCM</t>
        </is>
      </c>
    </row>
    <row r="29">
      <c r="A29" s="96" t="n">
        <v>46141</v>
      </c>
      <c r="B29" t="inlineStr">
        <is>
          <t>Bekoko-MTN</t>
        </is>
      </c>
      <c r="C29" t="inlineStr">
        <is>
          <t>SUO_061</t>
        </is>
      </c>
      <c r="D29" t="inlineStr"/>
      <c r="E29" t="inlineStr">
        <is>
          <t>IHS</t>
        </is>
      </c>
      <c r="F29" t="inlineStr">
        <is>
          <t>Grid-Gen</t>
        </is>
      </c>
      <c r="G29" t="inlineStr">
        <is>
          <t>SUD-OUEST</t>
        </is>
      </c>
      <c r="H29" t="inlineStr">
        <is>
          <t>Bekoko</t>
        </is>
      </c>
      <c r="I29" t="inlineStr"/>
      <c r="J29" t="n">
        <v>15.37564595997746</v>
      </c>
      <c r="K29" t="n">
        <v>13.08179564858166</v>
      </c>
      <c r="L29" t="n">
        <v>20.99304885229181</v>
      </c>
      <c r="M29" t="n">
        <v>17.5349852896274</v>
      </c>
      <c r="N29" t="inlineStr">
        <is>
          <t>Operationnel</t>
        </is>
      </c>
      <c r="O29" t="inlineStr"/>
      <c r="P29" t="inlineStr">
        <is>
          <t>PDH</t>
        </is>
      </c>
      <c r="Q29" t="inlineStr">
        <is>
          <t>TX ISSUE</t>
        </is>
      </c>
      <c r="R29" t="inlineStr">
        <is>
          <t>ODU HS</t>
        </is>
      </c>
      <c r="S29" t="inlineStr">
        <is>
          <t>ACTIVE</t>
        </is>
      </c>
      <c r="T29" t="inlineStr">
        <is>
          <t>(04/29/2026 ocm ran 00h): 28.04.26: Besoin d'un FME sur site pour vérifier la chaine antennaire de l'ODU 3.1; FME Pascal activé pour investigations, update ASAP</t>
        </is>
      </c>
      <c r="U29" t="inlineStr">
        <is>
          <t>: 28.04.26 : Besoin d'un FME sur site pour vérifier la chaine antennaire de l'ODU 3.1; FME Pascal activé pour investigations, update ASAP</t>
        </is>
      </c>
    </row>
    <row r="30">
      <c r="A30" s="96" t="n">
        <v>46141</v>
      </c>
      <c r="B30" t="inlineStr">
        <is>
          <t>BATA-Mokolo</t>
        </is>
      </c>
      <c r="C30" t="inlineStr">
        <is>
          <t>CTR_409</t>
        </is>
      </c>
      <c r="D30" t="inlineStr"/>
      <c r="E30" t="inlineStr">
        <is>
          <t>IHS</t>
        </is>
      </c>
      <c r="F30" t="inlineStr">
        <is>
          <t>GridOnly</t>
        </is>
      </c>
      <c r="G30" t="inlineStr">
        <is>
          <t>CENTRE</t>
        </is>
      </c>
      <c r="H30" t="inlineStr">
        <is>
          <t>Yaounde</t>
        </is>
      </c>
      <c r="I30" t="inlineStr"/>
      <c r="J30" t="n">
        <v>5.42496472948615</v>
      </c>
      <c r="K30" t="n">
        <v>5.699644436964276</v>
      </c>
      <c r="L30" t="n">
        <v>28.4409904851959</v>
      </c>
      <c r="M30" t="n">
        <v>17.51977196782266</v>
      </c>
      <c r="N30" t="inlineStr">
        <is>
          <t>Operationnel</t>
        </is>
      </c>
      <c r="O30" t="inlineStr"/>
      <c r="P30" t="inlineStr">
        <is>
          <t>IHS GRID ONLY</t>
        </is>
      </c>
      <c r="Q30" t="inlineStr">
        <is>
          <t>POWER ISSUE</t>
        </is>
      </c>
      <c r="R30" t="inlineStr">
        <is>
          <t>Coupure ENEO &amp; Baisse de tension</t>
        </is>
      </c>
      <c r="S30" t="inlineStr">
        <is>
          <t>PASSIVE</t>
        </is>
      </c>
      <c r="T30" t="inlineStr">
        <is>
          <t xml:space="preserve">(04/29/2026 retour IHS): Power issue NUR to be checked   ||   </t>
        </is>
      </c>
      <c r="U30" t="inlineStr">
        <is>
          <t>04/29/2026 retour IHS) : Power issue NUR to be checked ||</t>
        </is>
      </c>
    </row>
    <row r="31">
      <c r="A31" s="96" t="n">
        <v>46141</v>
      </c>
      <c r="B31" t="inlineStr">
        <is>
          <t>H-Franco</t>
        </is>
      </c>
      <c r="C31" t="inlineStr">
        <is>
          <t>CTR_102</t>
        </is>
      </c>
      <c r="D31" t="inlineStr"/>
      <c r="E31" t="inlineStr">
        <is>
          <t>IHS</t>
        </is>
      </c>
      <c r="F31" t="inlineStr">
        <is>
          <t>Grid-Gen</t>
        </is>
      </c>
      <c r="G31" t="inlineStr">
        <is>
          <t>CENTRE</t>
        </is>
      </c>
      <c r="H31" t="inlineStr">
        <is>
          <t>Yaounde</t>
        </is>
      </c>
      <c r="I31" t="inlineStr"/>
      <c r="J31" t="n">
        <v>5.954272228417043</v>
      </c>
      <c r="K31" t="n">
        <v>5.257581321337862</v>
      </c>
      <c r="L31" t="n">
        <v>27.12024232435261</v>
      </c>
      <c r="M31" t="n">
        <v>16.75819628859155</v>
      </c>
      <c r="N31" t="inlineStr">
        <is>
          <t>Operationnel</t>
        </is>
      </c>
      <c r="O31" t="inlineStr"/>
      <c r="P31" t="inlineStr">
        <is>
          <t>BSS</t>
        </is>
      </c>
      <c r="Q31" t="inlineStr">
        <is>
          <t>RAN ISSUE</t>
        </is>
      </c>
      <c r="R31" t="inlineStr">
        <is>
          <t>BSS Hardware issue</t>
        </is>
      </c>
      <c r="S31" t="inlineStr">
        <is>
          <t>ACTIVE</t>
        </is>
      </c>
      <c r="T31" t="inlineStr">
        <is>
          <t>(04/29/2026 ticket): INC-20260429-00012843  ;  Others Transmission equipement fault || 04/29/2026: hardware issue,  site with GPS issue (alarm : TDD down 09Apr 02pm)</t>
        </is>
      </c>
      <c r="U31" t="inlineStr">
        <is>
          <t>: ; || 04/29/2026 : hardware issue, site with GPS issue (alarm : TDD down 09Apr 02pm)</t>
        </is>
      </c>
    </row>
    <row r="32">
      <c r="A32" s="96" t="n">
        <v>46141</v>
      </c>
      <c r="B32" t="inlineStr">
        <is>
          <t>Bambalang</t>
        </is>
      </c>
      <c r="C32" t="inlineStr">
        <is>
          <t>NRO_100</t>
        </is>
      </c>
      <c r="D32" t="inlineStr"/>
      <c r="E32" t="inlineStr">
        <is>
          <t>IHS</t>
        </is>
      </c>
      <c r="F32" t="inlineStr">
        <is>
          <t>Hybrid-Gen</t>
        </is>
      </c>
      <c r="G32" t="inlineStr">
        <is>
          <t>NORD-OUEST</t>
        </is>
      </c>
      <c r="H32" t="inlineStr">
        <is>
          <t>Bambalang</t>
        </is>
      </c>
      <c r="I32" t="inlineStr"/>
      <c r="J32" t="n">
        <v>0</v>
      </c>
      <c r="K32" t="n">
        <v>49.79800355988046</v>
      </c>
      <c r="L32" t="n">
        <v>0</v>
      </c>
      <c r="M32" t="n">
        <v>16.71776416604601</v>
      </c>
      <c r="N32" t="inlineStr">
        <is>
          <t>Insecurity</t>
        </is>
      </c>
      <c r="O32" t="inlineStr"/>
      <c r="P32" t="inlineStr">
        <is>
          <t>IHS</t>
        </is>
      </c>
      <c r="Q32" t="inlineStr">
        <is>
          <t>POWER ISSUE</t>
        </is>
      </c>
      <c r="R32" t="inlineStr">
        <is>
          <t>Defaut GE &amp; Power Cabinet</t>
        </is>
      </c>
      <c r="S32" t="inlineStr">
        <is>
          <t>PASSIVE</t>
        </is>
      </c>
      <c r="T32" t="inlineStr">
        <is>
          <t>(04/29/2026 hourly IHS): Team is on site to replaced Gen..;..;(04/29/2026 cell huawei): 29/04/2026 : Power instability || Mail sent to HIS..;..;(04/29/2026 cell huawei): 29/04/2026 : Power instability || Mail sent to HIS..;..;(04/29/2026 com ran 17h): Power status check ongoing..;..;(04/29/2026 com ran 18h): Power status check ongoing</t>
        </is>
      </c>
      <c r="U32" t="inlineStr">
        <is>
          <t>: Team is on site to replaced Gen.;.;(04/29/2026 cell huawei) : 29/04/2026 : Power instability || Mail sent to HIS.;.;(04/29/2026 cell huawei) : 29/04/2026 : Power instability || Mail sent to HIS.;.;(04/29/2026 com ran 17h) : ;(04/29/2026 com ran 18h) : Power status check ongoing</t>
        </is>
      </c>
    </row>
    <row r="33">
      <c r="A33" s="96" t="n">
        <v>46141</v>
      </c>
      <c r="B33" t="inlineStr">
        <is>
          <t>Mora4-IHS</t>
        </is>
      </c>
      <c r="C33" t="inlineStr">
        <is>
          <t>EXN_258</t>
        </is>
      </c>
      <c r="D33" t="inlineStr"/>
      <c r="E33" t="inlineStr">
        <is>
          <t>IHS</t>
        </is>
      </c>
      <c r="F33" t="inlineStr">
        <is>
          <t>Grid-Gen</t>
        </is>
      </c>
      <c r="G33" t="inlineStr">
        <is>
          <t>EXTREME-NORD</t>
        </is>
      </c>
      <c r="H33" t="inlineStr">
        <is>
          <t>Mora</t>
        </is>
      </c>
      <c r="I33" t="inlineStr"/>
      <c r="J33" t="n">
        <v>0.04995823491561056</v>
      </c>
      <c r="K33" t="n">
        <v>0.07395167130777154</v>
      </c>
      <c r="L33" t="n">
        <v>30.93248418029755</v>
      </c>
      <c r="M33" t="n">
        <v>16.1628970445135</v>
      </c>
      <c r="N33" t="inlineStr">
        <is>
          <t>Insecurity</t>
        </is>
      </c>
      <c r="O33" t="inlineStr"/>
      <c r="P33" t="inlineStr">
        <is>
          <t>BSS</t>
        </is>
      </c>
      <c r="Q33" t="inlineStr">
        <is>
          <t>RAN ISSUE</t>
        </is>
      </c>
      <c r="R33" t="inlineStr">
        <is>
          <t>BSS Hardware issue</t>
        </is>
      </c>
      <c r="S33" t="inlineStr">
        <is>
          <t>ACTIVE</t>
        </is>
      </c>
      <c r="T33" t="inlineStr">
        <is>
          <t>(04/29/2026 cell huawei): 28/04/2026 : Probleme de licence  || Point envoye a Huawei Projet
27/04/2026 : Besoin d'analyse BO RAN || No HW alarm observed, need a reset of BTS on site || HW Projet should renew License</t>
        </is>
      </c>
      <c r="U33" t="inlineStr">
        <is>
          <t>04/29/2026 cell huawei) : 28/04/2026 : Probleme de licence || Point envoye a Huawei Projet 27/04/2026 : Besoin d'analyse BO RAN || No HW alarm observed, need a reset of BTS on site || HW Projet should renew License</t>
        </is>
      </c>
    </row>
    <row r="34">
      <c r="A34" s="96" t="n">
        <v>46141</v>
      </c>
      <c r="B34" t="inlineStr">
        <is>
          <t>Mora-II</t>
        </is>
      </c>
      <c r="C34" t="inlineStr">
        <is>
          <t>EXN_032</t>
        </is>
      </c>
      <c r="D34" t="inlineStr"/>
      <c r="E34" t="inlineStr">
        <is>
          <t>IHS</t>
        </is>
      </c>
      <c r="F34" t="inlineStr">
        <is>
          <t>Grid-Gen</t>
        </is>
      </c>
      <c r="G34" t="inlineStr">
        <is>
          <t>EXTREME-NORD</t>
        </is>
      </c>
      <c r="H34" t="inlineStr">
        <is>
          <t>Mora</t>
        </is>
      </c>
      <c r="I34" t="inlineStr"/>
      <c r="J34" t="n">
        <v>0.05120719078850081</v>
      </c>
      <c r="K34" t="n">
        <v>0.07198600188364256</v>
      </c>
      <c r="L34" t="n">
        <v>30.93248418029755</v>
      </c>
      <c r="M34" t="n">
        <v>16.16241549739894</v>
      </c>
      <c r="N34" t="inlineStr">
        <is>
          <t>Insecurity</t>
        </is>
      </c>
      <c r="O34" t="inlineStr"/>
      <c r="P34" t="inlineStr">
        <is>
          <t>BSS</t>
        </is>
      </c>
      <c r="Q34" t="inlineStr">
        <is>
          <t>RAN ISSUE</t>
        </is>
      </c>
      <c r="R34" t="inlineStr">
        <is>
          <t>BSS Hardware issue</t>
        </is>
      </c>
      <c r="S34" t="inlineStr">
        <is>
          <t>ACTIVE</t>
        </is>
      </c>
      <c r="T34" t="inlineStr">
        <is>
          <t>(04/29/2026 cell huawei): 28/04/2026 : Probleme de licence  || Point envoye a Huawei Projet
27/04/2026 : Besoin d'analyse BO RAN || No HW alarm observed, need a reset of BTS on site || HW Projet should renew License</t>
        </is>
      </c>
      <c r="U34" t="inlineStr">
        <is>
          <t>04/29/2026 cell huawei) : 28/04/2026 : Probleme de licence || Point envoye a Huawei Projet 27/04/2026 : Besoin d'analyse BO RAN || No HW alarm observed, need a reset of BTS on site || HW Projet should renew License</t>
        </is>
      </c>
    </row>
    <row r="35">
      <c r="A35" s="96" t="n">
        <v>46141</v>
      </c>
      <c r="B35" t="inlineStr">
        <is>
          <t>Logpom-New</t>
        </is>
      </c>
      <c r="C35" t="inlineStr">
        <is>
          <t>LIT_737</t>
        </is>
      </c>
      <c r="D35" t="inlineStr"/>
      <c r="E35" t="inlineStr">
        <is>
          <t>CAMUSAT</t>
        </is>
      </c>
      <c r="F35" t="inlineStr">
        <is>
          <t>Good Grid no GE - 8h</t>
        </is>
      </c>
      <c r="G35" t="inlineStr">
        <is>
          <t>LITTORAL</t>
        </is>
      </c>
      <c r="H35" t="inlineStr">
        <is>
          <t>Douala</t>
        </is>
      </c>
      <c r="I35" t="inlineStr"/>
      <c r="J35" t="n">
        <v>7.215467868861632</v>
      </c>
      <c r="K35" t="n">
        <v>6.250722516328869</v>
      </c>
      <c r="L35" t="n">
        <v>24.37799184445364</v>
      </c>
      <c r="M35" t="n">
        <v>15.84165161386057</v>
      </c>
      <c r="N35" t="inlineStr">
        <is>
          <t>Operationnel</t>
        </is>
      </c>
      <c r="O35" t="inlineStr"/>
      <c r="P35" t="inlineStr">
        <is>
          <t>AKTIVCO GRID ONLY</t>
        </is>
      </c>
      <c r="Q35" t="inlineStr">
        <is>
          <t>POWER ISSUE</t>
        </is>
      </c>
      <c r="R35" t="inlineStr">
        <is>
          <t>AKTIVCO Coupure ENEO &amp; Baisse de tension</t>
        </is>
      </c>
      <c r="S35" t="inlineStr">
        <is>
          <t>PASSIVE</t>
        </is>
      </c>
      <c r="T35" t="inlineStr">
        <is>
          <t>(04/29/2026 ticket): INC-20260429-00011746  ;  Others Transmission equipement fault || (04/29/2026 retour CAMUSAT): Grid outage,  / grid return awaited</t>
        </is>
      </c>
      <c r="U35" t="inlineStr">
        <is>
          <t>: ; || (04/29/2026 retour CAMUSAT) : Grid outage, / grid return awaited</t>
        </is>
      </c>
    </row>
    <row r="36">
      <c r="A36" s="96" t="n">
        <v>46141</v>
      </c>
      <c r="B36" t="inlineStr">
        <is>
          <t>Eloumdem</t>
        </is>
      </c>
      <c r="C36" t="inlineStr">
        <is>
          <t>CTR_630</t>
        </is>
      </c>
      <c r="D36" t="inlineStr"/>
      <c r="E36" t="inlineStr">
        <is>
          <t>CAMUSAT</t>
        </is>
      </c>
      <c r="F36" t="inlineStr">
        <is>
          <t>HGB</t>
        </is>
      </c>
      <c r="G36" t="inlineStr">
        <is>
          <t>CENTRE</t>
        </is>
      </c>
      <c r="H36" t="inlineStr">
        <is>
          <t>Yaounde</t>
        </is>
      </c>
      <c r="I36" t="inlineStr"/>
      <c r="J36" t="n">
        <v>13.20970668521116</v>
      </c>
      <c r="K36" t="n">
        <v>11.44938688114351</v>
      </c>
      <c r="L36" t="n">
        <v>18.51800551363964</v>
      </c>
      <c r="M36" t="n">
        <v>15.38696412723688</v>
      </c>
      <c r="N36" t="inlineStr">
        <is>
          <t>Operationnel</t>
        </is>
      </c>
      <c r="O36" t="inlineStr"/>
      <c r="P36" t="inlineStr">
        <is>
          <t>AKTIVCO</t>
        </is>
      </c>
      <c r="Q36" t="inlineStr">
        <is>
          <t>POWER ISSUE</t>
        </is>
      </c>
      <c r="R36" t="inlineStr">
        <is>
          <t>AKTIVCO Defaut GE &amp; Power Cabinet</t>
        </is>
      </c>
      <c r="S36" t="inlineStr">
        <is>
          <t>PASSIVE</t>
        </is>
      </c>
      <c r="T36" t="inlineStr">
        <is>
          <t>(04/29/2026 cell zte): 29/04/2026 : Power issue || Mail sent to camusat..;..;(04/29/2026 ocm ran 00h): 28.04.26: Camusat: FME try to get level 0 - Escalated to L2..;..;(04/29/2026 ticket): INC-20260429-00003555  ;  2026-04-29 08:09:04  ;  No power issue on site ,site on Grid wiith Ubaie=54.1 V The TX FME Brice Tsague/ 690286359/ Huawei is informed  ;  fluctuations d'énergie.  ;  Others Transmission equipement fault  ;  user:OCM_NOC.IHS</t>
        </is>
      </c>
      <c r="U36" t="inlineStr">
        <is>
          <t>04/29/2026 cell zte) : 29/04/2026 : Power issue || Mail sent to camusat.;.; : 28.04.26 : Camusat : FME try to get level 0 - Escalated to L2.;.; : ; 2026-04-29 08 : 09 : 04 ; No power issue on site ,site on Grid wiith Ubaie=54.1 V The TX FME Brice Tsague/ 690286359/ Huawei is informed ; fluctuations d'énergie. ; user : OCM_NOC.IHS</t>
        </is>
      </c>
    </row>
    <row r="37">
      <c r="A37" s="96" t="n">
        <v>46141</v>
      </c>
      <c r="B37" t="inlineStr">
        <is>
          <t>Mimboman-Chapelle</t>
        </is>
      </c>
      <c r="C37" t="inlineStr">
        <is>
          <t>CTR_772</t>
        </is>
      </c>
      <c r="D37" t="inlineStr"/>
      <c r="E37" t="inlineStr">
        <is>
          <t>CAMUSAT</t>
        </is>
      </c>
      <c r="F37" t="inlineStr">
        <is>
          <t>Good Grid no GE - 8h</t>
        </is>
      </c>
      <c r="G37" t="inlineStr">
        <is>
          <t>CENTRE</t>
        </is>
      </c>
      <c r="H37" t="inlineStr">
        <is>
          <t>Yaounde</t>
        </is>
      </c>
      <c r="I37" t="inlineStr"/>
      <c r="J37" t="n">
        <v>18.25161664848187</v>
      </c>
      <c r="K37" t="n">
        <v>14.07488371737201</v>
      </c>
      <c r="L37" t="n">
        <v>15.14181780474405</v>
      </c>
      <c r="M37" t="n">
        <v>15.22771471294085</v>
      </c>
      <c r="N37" t="inlineStr">
        <is>
          <t>Operationnel</t>
        </is>
      </c>
      <c r="O37" t="inlineStr"/>
      <c r="P37" t="inlineStr">
        <is>
          <t>AKTIVCO GRID ONLY</t>
        </is>
      </c>
      <c r="Q37" t="inlineStr">
        <is>
          <t>POWER ISSUE</t>
        </is>
      </c>
      <c r="R37" t="inlineStr">
        <is>
          <t>AKTIVCO Coupure ENEO &amp; Baisse de tension</t>
        </is>
      </c>
      <c r="S37" t="inlineStr">
        <is>
          <t>PASSIVE</t>
        </is>
      </c>
      <c r="T37" t="inlineStr">
        <is>
          <t>(04/29/2026 cell zte): 29/04/2026 : Relance faite a camusat ce jour
28/04/2026 : Power issue || Mail sent to Camusat..;..;(04/29/2026 com ran 17h): 29/04/2026 CAMUSAT : Grid outage grid only site ..;..;(04/29/2026 com ran 18h): 29/04/2026 CAMUSAT : Grid outage grid only site ..;..;(04/29/2026 ticket): INC-20260429-00009168</t>
        </is>
      </c>
      <c r="U37" t="inlineStr">
        <is>
          <t>04/29/2026 cell zte) : 29/04/2026 : Relance faite a camusat ce jour 28/04/2026 : Power issue || Mail sent to Camusat.;.;(04/29/2026 com ran 17h) : 29/04/2026 CAMUSAT : Grid outage grid only site .;.;(04/29/2026 com ran 18h) : 29/04/2026 CAMUSAT : Grid outage grid only site .;.; :</t>
        </is>
      </c>
    </row>
    <row r="38">
      <c r="A38" s="96" t="n">
        <v>46141</v>
      </c>
      <c r="B38" t="inlineStr">
        <is>
          <t>Mabanda-CIMAF</t>
        </is>
      </c>
      <c r="C38" t="inlineStr">
        <is>
          <t>LIT_695</t>
        </is>
      </c>
      <c r="D38" t="inlineStr"/>
      <c r="E38" t="inlineStr">
        <is>
          <t>CAMUSAT</t>
        </is>
      </c>
      <c r="F38" t="inlineStr">
        <is>
          <t>Good Grid no GE - 8h</t>
        </is>
      </c>
      <c r="G38" t="inlineStr">
        <is>
          <t>LITTORAL</t>
        </is>
      </c>
      <c r="H38" t="inlineStr">
        <is>
          <t>Douala</t>
        </is>
      </c>
      <c r="I38" t="inlineStr"/>
      <c r="J38" t="n">
        <v>15.10537190908401</v>
      </c>
      <c r="K38" t="n">
        <v>12.85207795696183</v>
      </c>
      <c r="L38" t="n">
        <v>16.68907471977622</v>
      </c>
      <c r="M38" t="n">
        <v>15.17479803557314</v>
      </c>
      <c r="N38" t="inlineStr">
        <is>
          <t>Operationnel</t>
        </is>
      </c>
      <c r="O38" t="inlineStr"/>
      <c r="P38" t="inlineStr">
        <is>
          <t>AKTIVCO GRID ONLY</t>
        </is>
      </c>
      <c r="Q38" t="inlineStr">
        <is>
          <t>POWER ISSUE</t>
        </is>
      </c>
      <c r="R38" t="inlineStr">
        <is>
          <t>AKTIVCO Coupure ENEO &amp; Baisse de tension</t>
        </is>
      </c>
      <c r="S38" t="inlineStr">
        <is>
          <t>PASSIVE</t>
        </is>
      </c>
      <c r="T38" t="inlineStr">
        <is>
          <t>(04/29/2026 com ran 17h): 29/04/2026 Besoin d'un fme sur site pour verifier le status du MPR FME BORIS activé ..;..;(04/29/2026 com ran 18h): 29/04/2026 Besoin d'un fme sur site pour verifier le status du MPR FME BORIS activé escalade RM Honore ..;..;(04/29/2026 ticket): INC-20260429-00009537  ;  2026-04-29 15:33:05  ;  Grid outage grid only site awaiting grid return  ;  power Grid outage here the site is only on Grid   ;  Others Transmission equipement fault  ;  user:OCM_NOC.CAMUSAT</t>
        </is>
      </c>
      <c r="U38" t="inlineStr">
        <is>
          <t>04/29/2026 com ran 17h) : 29/04/2026 Besoin d'un fme sur site pour verifier le status du MPR FME BORIS activé .;.;(04/29/2026 com ran 18h) : 29/04/2026 Besoin d'un fme sur site pour verifier le status du MPR FME BORIS activé escalade RM Honore .;.; : ; 2026-04-29 15 : 33 : 05 ; Grid outage grid only site awaiting grid return ; power Grid outage here the site is only on Grid ; ; user : OCM_NOC.CAMUSAT</t>
        </is>
      </c>
    </row>
    <row r="39">
      <c r="A39" s="96" t="n">
        <v>46141</v>
      </c>
      <c r="B39" t="inlineStr">
        <is>
          <t>Mora-IHS</t>
        </is>
      </c>
      <c r="C39" t="inlineStr">
        <is>
          <t>EXN_106</t>
        </is>
      </c>
      <c r="D39" t="inlineStr"/>
      <c r="E39" t="inlineStr">
        <is>
          <t>IHS</t>
        </is>
      </c>
      <c r="F39" t="inlineStr">
        <is>
          <t>Grid-Gen</t>
        </is>
      </c>
      <c r="G39" t="inlineStr">
        <is>
          <t>EXTREME-NORD</t>
        </is>
      </c>
      <c r="H39" t="inlineStr">
        <is>
          <t>Mora</t>
        </is>
      </c>
      <c r="I39" t="inlineStr"/>
      <c r="J39" t="n">
        <v>0.03372180856803712</v>
      </c>
      <c r="K39" t="n">
        <v>0.07820176735994233</v>
      </c>
      <c r="L39" t="n">
        <v>28.89363178999578</v>
      </c>
      <c r="M39" t="n">
        <v>15.09876709670608</v>
      </c>
      <c r="N39" t="inlineStr">
        <is>
          <t>Insecurity</t>
        </is>
      </c>
      <c r="O39" t="inlineStr"/>
      <c r="P39" t="inlineStr">
        <is>
          <t>BSS</t>
        </is>
      </c>
      <c r="Q39" t="inlineStr">
        <is>
          <t>RAN ISSUE</t>
        </is>
      </c>
      <c r="R39" t="inlineStr">
        <is>
          <t>BSS Hardware issue</t>
        </is>
      </c>
      <c r="S39" t="inlineStr">
        <is>
          <t>ACTIVE</t>
        </is>
      </c>
      <c r="T39" t="inlineStr">
        <is>
          <t>(04/29/2026 cell huawei): 28/04/2026 : Probleme de licence  || Point envoye a Huawei Projet
27/04/2026 : Besoin d'analyse BO RAN || No HW alarm observed, need a reset of BTS on site || HW Projet should renew License</t>
        </is>
      </c>
      <c r="U39" t="inlineStr">
        <is>
          <t>04/29/2026 cell huawei) : 28/04/2026 : Probleme de licence || Point envoye a Huawei Projet 27/04/2026 : Besoin d'analyse BO RAN || No HW alarm observed, need a reset of BTS on site || HW Projet should renew License</t>
        </is>
      </c>
    </row>
    <row r="40">
      <c r="A40" s="96" t="n">
        <v>46141</v>
      </c>
      <c r="B40" t="inlineStr">
        <is>
          <t>Lomie</t>
        </is>
      </c>
      <c r="C40" t="inlineStr">
        <is>
          <t>EST_010</t>
        </is>
      </c>
      <c r="D40" t="inlineStr"/>
      <c r="E40" t="inlineStr">
        <is>
          <t>IHS</t>
        </is>
      </c>
      <c r="F40" t="inlineStr">
        <is>
          <t>Grid-Gen</t>
        </is>
      </c>
      <c r="G40" t="inlineStr">
        <is>
          <t>EST</t>
        </is>
      </c>
      <c r="H40" t="inlineStr">
        <is>
          <t>Lomie</t>
        </is>
      </c>
      <c r="I40" t="inlineStr"/>
      <c r="J40" t="n">
        <v>25.27799259818791</v>
      </c>
      <c r="K40" t="n">
        <v>32.80808521272581</v>
      </c>
      <c r="L40" t="n">
        <v>0</v>
      </c>
      <c r="M40" t="n">
        <v>14.62374762080056</v>
      </c>
      <c r="N40" t="inlineStr">
        <is>
          <t>Operationnel</t>
        </is>
      </c>
      <c r="O40" t="inlineStr"/>
      <c r="P40" t="inlineStr">
        <is>
          <t>BSS</t>
        </is>
      </c>
      <c r="Q40" t="inlineStr">
        <is>
          <t>RAN ISSUE</t>
        </is>
      </c>
      <c r="R40" t="inlineStr">
        <is>
          <t>BSS Hardware issue</t>
        </is>
      </c>
      <c r="S40" t="inlineStr">
        <is>
          <t>ACTIVE</t>
        </is>
      </c>
      <c r="T40" t="inlineStr">
        <is>
          <t>(04/29/2026 ocm ran 00h): 28.04.2026: Le IBUC semple faulty le FAN ne tourne pas intervention toujours en cours ETR 15H30 
27.04.26: Besoin d'un FME sur site pour vérifier le statut du BUC; CM-20260427-00005663; FME Essiane activé pour investigations, update ASAP..;..;(04/29/2026 com ran 17h): 29/04/2026 28.04.2026: Le IBUC semple faulty le FAN ne tourne pas intervention toujours en cours ETR 15H30 
27.04.26: Besoin d'un FME sur site pour vérifier le statut du BUC; CM-20260427-00005663; FME Essiane activé pour investigations, update ASAP	29.04.2026 IBUC faulty mais le BO recommande d'aller teste le IBUC sur un autre site pour avoir une confirmation, le FME en route pour Mindourou ETA 14H  28.04.2026: Le IBUC semple faulty le FAN ne tourne pas intervention toujours en cours ETR 15H30 
27.04.26: Besoin d'un FME sur site pour vérifier le statut du BUC; CM-20260427-00005663; FME Essiane activé pour investigations, update ASAP
28.04.2026: Le IBUC semple faulty le FAN ne tourne pas intervention toujours en cours ETR 15H30 
27.04.26: Besoin d'un FME sur site pour vérifier le statut du BUC; CM-20260427-00005663; FME Essiane activé pour investigations, update ASAP..;..;(04/29/2026 com ran 18h): 29/04/2026 28.04.2026: Le IBUC semple faulty le FAN ne tourne pas intervention toujours en cours ETR 15H30 
27.04.26: Besoin d'un FME sur site pour vérifier le statut du BUC; CM-20260427-00005663; FME Essiane activé pour investigations, update ASAP	29.04.2026 IBUC faulty mais le BO recommande d'aller teste le IBUC sur un autre site pour avoir une confirmation, le FME en route pour Mindourou ETA 14H  28.04.2026: Le IBUC semple faulty le FAN ne tourne pas intervention toujours en cours ETR 15H30 
27.04.26: Besoin d'un FME sur site pour vérifier le statut du BUC; CM-20260427-00005663; FME Essiane activé pour investigations, update ASAP
28.04.2026: Le IBUC semple faulty le FAN ne tourne pas intervention toujours en cours ETR 15H30 
27.04.26: Besoin d'un FME sur site pour vérifier le statut du BUC; CM-20260427-00005663; FME Essiane activé pour investigations, update ASAP</t>
        </is>
      </c>
      <c r="U40" t="inlineStr">
        <is>
          <t>: 28.04.2026 : Le IBUC semple faulty le FAN ne tourne pas intervention toujours en cours ETR 15H30 27.04.26 : Besoin d'un FME sur site pour vérifier le statut du BUC; ; FME Essiane activé pour investigations, update ASAP.;.;(04/29/2026 com ran 17h) : 29/04/2026 28.04.2026 : Le IBUC semple faulty le FAN ne tourne pas intervention toujours en cours ETR 15H30 27.04.26 : Besoin d'un FME sur site pour vérifier le statut du BUC; ; FME Essiane activé pour investigations, update ASAP 29.04.2026 IBUC faulty mais le BO recommande d'aller teste le IBUC sur un autre site pour avoir une confirmation, le FME en route pour Mindourou ETA 14H 28.04.2026 : Le IBUC semple faulty le FAN ne tourne pas intervention toujours en cours ETR 15H30 27.04.26 : Besoin d'un FME sur site pour vérifier le statut du BUC; ; FME Essiane activé pour investigations, update ASAP 28.04.2026 : Le IBUC semple faulty le FAN ne tourne pas intervention toujours en cours ETR 15H30 27.04.26 : Besoin d'un FME sur site pour vérifier le statut du BUC; ; FME Essiane activé pour investigations, update ASAP.;.;(04/29/2026 com ran 18h) : 29/04/2026 28.04.2026 : Le IBUC semple faulty le FAN ne tourne pas intervention toujours en cours ETR 15H30 27.04.26 : Besoin d'un FME sur site pour vérifier le statut du BUC; ; FME Essiane activé pour investigations, update ASAP 29.04.2026 IBUC faulty mais le BO recommande d'aller teste le IBUC sur un autre site pour avoir une confirmation, le FME en route pour Mindourou ETA 14H 28.04.2026 : Le IBUC semple faulty le FAN ne tourne pas intervention toujours en cours ETR 15H30 27.04.26 : Besoin d'un FME sur site pour vérifier le statut du BUC; ; FME Essiane activé pour investigations, update ASAP 28.04.2026 : Le IBUC semple faulty le FAN ne tourne pas intervention toujours en cours ETR 15H30 27.04.26 : Besoin d'un FME sur site pour vérifier le statut du BUC; ; FME Essiane activé pour investigations, update ASAP</t>
        </is>
      </c>
    </row>
    <row r="41">
      <c r="A41" s="96" t="n">
        <v>46141</v>
      </c>
      <c r="B41" t="inlineStr">
        <is>
          <t>Kumba-Lutherian-Church-MTN</t>
        </is>
      </c>
      <c r="C41" t="inlineStr">
        <is>
          <t>SUO_054</t>
        </is>
      </c>
      <c r="D41" t="inlineStr"/>
      <c r="E41" t="inlineStr">
        <is>
          <t>IHS</t>
        </is>
      </c>
      <c r="F41" t="inlineStr">
        <is>
          <t>Grid-Gen</t>
        </is>
      </c>
      <c r="G41" t="inlineStr">
        <is>
          <t>SUD-OUEST</t>
        </is>
      </c>
      <c r="H41" t="inlineStr">
        <is>
          <t>Kumba</t>
        </is>
      </c>
      <c r="I41" t="inlineStr"/>
      <c r="J41" t="n">
        <v>8.59094297167568</v>
      </c>
      <c r="K41" t="n">
        <v>14.70464169990242</v>
      </c>
      <c r="L41" t="n">
        <v>16.19453801653435</v>
      </c>
      <c r="M41" t="n">
        <v>14.60856996915245</v>
      </c>
      <c r="N41" t="inlineStr">
        <is>
          <t>EXCLU</t>
        </is>
      </c>
      <c r="O41" t="inlineStr">
        <is>
          <t>site vandalise</t>
        </is>
      </c>
      <c r="P41" t="inlineStr">
        <is>
          <t>Exclu</t>
        </is>
      </c>
      <c r="Q41" t="inlineStr">
        <is>
          <t>Exclu</t>
        </is>
      </c>
      <c r="R41" t="inlineStr">
        <is>
          <t>EXCLU</t>
        </is>
      </c>
      <c r="S41" t="inlineStr">
        <is>
          <t>Exclu</t>
        </is>
      </c>
      <c r="T41" t="inlineStr">
        <is>
          <t>(04/29/2026 com ran 17h): Power status check ongoing..;..;(04/29/2026 com ran 18h): Power status check ongoing</t>
        </is>
      </c>
      <c r="U41" t="inlineStr">
        <is>
          <t>04/29/2026 com ran 17h) : ;(04/29/2026 com ran 18h) : Power status check ongoing</t>
        </is>
      </c>
    </row>
    <row r="42">
      <c r="A42" s="96" t="n">
        <v>46141</v>
      </c>
      <c r="B42" t="inlineStr">
        <is>
          <t>Damas</t>
        </is>
      </c>
      <c r="C42" t="inlineStr">
        <is>
          <t>CTR_074</t>
        </is>
      </c>
      <c r="D42" t="inlineStr"/>
      <c r="E42" t="inlineStr">
        <is>
          <t>IHS</t>
        </is>
      </c>
      <c r="F42" t="inlineStr">
        <is>
          <t>Grid-Gen</t>
        </is>
      </c>
      <c r="G42" t="inlineStr">
        <is>
          <t>CENTRE</t>
        </is>
      </c>
      <c r="H42" t="inlineStr">
        <is>
          <t>Yaounde</t>
        </is>
      </c>
      <c r="I42" t="inlineStr"/>
      <c r="J42" t="n">
        <v>6.425128592496672</v>
      </c>
      <c r="K42" t="n">
        <v>5.477205034833788</v>
      </c>
      <c r="L42" t="n">
        <v>22.16181076768514</v>
      </c>
      <c r="M42" t="n">
        <v>14.31339942299955</v>
      </c>
      <c r="N42" t="inlineStr">
        <is>
          <t>Operationnel</t>
        </is>
      </c>
      <c r="O42" t="inlineStr"/>
      <c r="P42" t="inlineStr">
        <is>
          <t>Fiber AOF</t>
        </is>
      </c>
      <c r="Q42" t="inlineStr">
        <is>
          <t>TX ISSUE</t>
        </is>
      </c>
      <c r="R42" t="inlineStr">
        <is>
          <t>fiber AOF</t>
        </is>
      </c>
      <c r="S42" t="inlineStr">
        <is>
          <t>ACTIVE</t>
        </is>
      </c>
      <c r="T42" t="inlineStr">
        <is>
          <t>(04/29/2026 ticket): INC-20260429-00015091  ;  FIBER down at Damas</t>
        </is>
      </c>
      <c r="U42" t="inlineStr">
        <is>
          <t>: ; FIBER down at Damas</t>
        </is>
      </c>
    </row>
    <row r="43">
      <c r="A43" s="96" t="n">
        <v>46141</v>
      </c>
      <c r="B43" t="inlineStr">
        <is>
          <t>Batoua-Godole-IHS</t>
        </is>
      </c>
      <c r="C43" t="inlineStr">
        <is>
          <t>ADM_141</t>
        </is>
      </c>
      <c r="D43" t="inlineStr"/>
      <c r="E43" t="inlineStr">
        <is>
          <t>IHS</t>
        </is>
      </c>
      <c r="F43" t="inlineStr">
        <is>
          <t>Solar-Gen</t>
        </is>
      </c>
      <c r="G43" t="inlineStr">
        <is>
          <t>ADAMAOUA</t>
        </is>
      </c>
      <c r="H43" t="inlineStr">
        <is>
          <t>Batoua-Godole</t>
        </is>
      </c>
      <c r="I43" t="inlineStr"/>
      <c r="J43" t="n">
        <v>0.01161528961787945</v>
      </c>
      <c r="K43" t="n">
        <v>41.32235774359374</v>
      </c>
      <c r="L43" t="n">
        <v>0</v>
      </c>
      <c r="M43" t="n">
        <v>13.87405076956348</v>
      </c>
      <c r="N43" t="inlineStr">
        <is>
          <t>Operationnel</t>
        </is>
      </c>
      <c r="O43" t="inlineStr"/>
      <c r="P43" t="inlineStr">
        <is>
          <t>SPARE-ISSUE</t>
        </is>
      </c>
      <c r="Q43" t="inlineStr">
        <is>
          <t>SPARE-ISSUE</t>
        </is>
      </c>
      <c r="R43" t="inlineStr">
        <is>
          <t>SPARE-ISSUE</t>
        </is>
      </c>
      <c r="S43" t="inlineStr">
        <is>
          <t>SPARE-ISSUE</t>
        </is>
      </c>
      <c r="T43" t="inlineStr">
        <is>
          <t>(04/29/2026 cell nokia): 28/04/206 : Feedback PM : Because this site is too far, and we are using the canoe to reach the site at this period, we should move with spare but actually no spare available at Ngaoundere WH. Command made at Maroua WH and should move tomorrow (with Esico) ETA to reach Ngaoundere 03/05/2026, ETA to reach Meingaga 04/05/2026
27/04/2026 : Check breaker and  interconnection FRMF (sfp, optical fiber) between system and radio module, swap its if needed..;..;(04/29/2026 cell nokia): 28/04/206 : Feedback PM : Because this site is too far, and we are using the canoe to reach the site at this period, we should move with spare but actually no spare available at Ngaoundere WH. Command made at Maroua WH and should move tomorrow (with Esico) ETA to reach Ngaoundere 03/05/2026, ETA to reach Meingaga 04/05/2026
27/04/2026 : Check breaker and  interconnection FRMF (sfp, optical fiber) between system and radio module, swap its if needed..;..;(04/29/2026 cell nokia): 28/04/206 : Feedback PM : Because this site is too far, and we are using the canoe to reach the site at this period, we should move with spare but actually no spare available at Ngaoundere WH. Command made at Maroua WH and should move tomorrow (with Esico) ETA to reach Ngaoundere 03/05/2026, ETA to reach Meingaga 04/05/2026
27/04/2026 : Check breaker and  interconnection FRMF (sfp, optical fiber) between system and radio module, swap its if needed</t>
        </is>
      </c>
      <c r="U43" t="inlineStr">
        <is>
          <t>04/29/2026 cell nokia) : 28/04/206 : Feedback PM : Because this site is too far, and we are using the canoe to reach the site at this period, we should move with spare but actually no spare available at Ngaoundere WH. Command made at Maroua WH and should move tomorrow (with Esico) ETA to reach Ngaoundere 03/05/2026, ETA to reach Meingaga 04/05/2026 27/04/2026 : Check breaker and interconnection FRMF (sfp, optical fiber) between system and radio module, swap its if needed.;.;(04/29/2026 cell nokia) : 28/04/206 : Feedback PM : Because this site is too far, and we are using the canoe to reach the site at this period, we should move with spare but actually no spare available at Ngaoundere WH. Command made at Maroua WH and should move tomorrow (with Esico) ETA to reach Ngaoundere 03/05/2026, ETA to reach Meingaga 04/05/2026 27/04/2026 : Check breaker and interconnection FRMF (sfp, optical fiber) between system and radio module, swap its if needed.;.;(04/29/2026 cell nokia) : 28/04/206 : Feedback PM : Because this site is too far, and we are using the canoe to reach the site at this period, we should move with spare but actually no spare available at Ngaoundere WH. Command made at Maroua WH and should move tomorrow (with Esico) ETA to reach Ngaoundere 03/05/2026, ETA to reach Meingaga 04/05/2026 27/04/2026 : Check breaker and interconnection FRMF (sfp, optical fiber) between system and radio module, swap its if needed</t>
        </is>
      </c>
    </row>
    <row r="44">
      <c r="A44" s="96" t="n">
        <v>46141</v>
      </c>
      <c r="B44" t="inlineStr">
        <is>
          <t>Cite-Sic-II</t>
        </is>
      </c>
      <c r="C44" t="inlineStr">
        <is>
          <t>LIT_161</t>
        </is>
      </c>
      <c r="D44" t="inlineStr"/>
      <c r="E44" t="inlineStr">
        <is>
          <t>IHS</t>
        </is>
      </c>
      <c r="F44" t="inlineStr">
        <is>
          <t>GridOnly</t>
        </is>
      </c>
      <c r="G44" t="inlineStr">
        <is>
          <t>LITTORAL</t>
        </is>
      </c>
      <c r="H44" t="inlineStr">
        <is>
          <t>Douala</t>
        </is>
      </c>
      <c r="I44" t="inlineStr"/>
      <c r="J44" t="n">
        <v>32.37293622531563</v>
      </c>
      <c r="K44" t="n">
        <v>27.54062241806665</v>
      </c>
      <c r="L44" t="n">
        <v>0</v>
      </c>
      <c r="M44" t="n">
        <v>13.86855689960706</v>
      </c>
      <c r="N44" t="inlineStr">
        <is>
          <t>Operationnel</t>
        </is>
      </c>
      <c r="O44" t="inlineStr"/>
      <c r="P44" t="inlineStr">
        <is>
          <t>Fiber AOF</t>
        </is>
      </c>
      <c r="Q44" t="inlineStr">
        <is>
          <t>TX ISSUE</t>
        </is>
      </c>
      <c r="R44" t="inlineStr">
        <is>
          <t>fiber AOF</t>
        </is>
      </c>
      <c r="S44" t="inlineStr">
        <is>
          <t>ACTIVE</t>
        </is>
      </c>
      <c r="T44" t="inlineStr">
        <is>
          <t>(04/29/2026 ocm ran 00h): 28/04/2026 AOF_AngeRaphael_CiteSIC is down
Please to involve CDS for investigation..;..;(04/29/2026 com ran 17h): 29/04/2026 Après investigation nous avons constaté que le châssis MPR est faulty,le Fan et la carte core CSM
29/04/2026 FME en route ETA=14H UTC 
29/04/2026 CDS investigation en cours ETR=13H 
28/04/2026 AOF_AngeRaphael_CiteSIC is down
Please to involve CDS for investigation..;..;(04/29/2026 com ran 18h): 29/04/2026 Après investigation nous avons constaté que le châssis MPR est faulty,le Fan et la carte core CSM commande en cours 
29/04/2026 FME en route ETA=14H UTC 
29/04/2026 CDS investigation en cours ETR=13H 
28/04/2026 AOF_AngeRaphael_CiteSIC is down
Please to involve CDS for investigation</t>
        </is>
      </c>
      <c r="U44" t="inlineStr">
        <is>
          <t>: 28/04/2026 AOF_AngeRaphael_CiteSIC is down Please to involve CDS for investigation.;.;(04/29/2026 com ran 17h) : 29/04/2026 Après investigation nous avons constaté que le châssis MPR est faulty,le Fan et la carte core CSM 29/04/2026 FME en route ETA=14H UTC 29/04/2026 CDS investigation en cours ETR=13H 28/04/2026 AOF_AngeRaphael_CiteSIC is down Please to involve CDS for investigation.;.;(04/29/2026 com ran 18h) : 29/04/2026 Après investigation nous avons constaté que le châssis MPR est faulty,le Fan et la carte core CSM commande en cours 29/04/2026 FME en route ETA=14H UTC 29/04/2026 CDS investigation en cours ETR=13H 28/04/2026 AOF_AngeRaphael_CiteSIC is down Please to involve CDS for investigation</t>
        </is>
      </c>
    </row>
    <row r="45">
      <c r="A45" s="96" t="n">
        <v>46141</v>
      </c>
      <c r="B45" t="inlineStr">
        <is>
          <t>Nkolfon-Cimencam-IHS</t>
        </is>
      </c>
      <c r="C45" t="inlineStr">
        <is>
          <t>CTR_911</t>
        </is>
      </c>
      <c r="D45" t="inlineStr"/>
      <c r="E45" t="inlineStr">
        <is>
          <t>IHS</t>
        </is>
      </c>
      <c r="F45" t="inlineStr">
        <is>
          <t>Gen-Lithium</t>
        </is>
      </c>
      <c r="G45" t="inlineStr">
        <is>
          <t>CENTRE</t>
        </is>
      </c>
      <c r="H45" t="inlineStr">
        <is>
          <t>Mbankomo</t>
        </is>
      </c>
      <c r="I45" t="inlineStr"/>
      <c r="J45" t="n">
        <v>32.37293622531563</v>
      </c>
      <c r="K45" t="n">
        <v>27.54062241806665</v>
      </c>
      <c r="L45" t="n">
        <v>0</v>
      </c>
      <c r="M45" t="n">
        <v>13.86855689960706</v>
      </c>
      <c r="N45" t="inlineStr">
        <is>
          <t>Operationnel</t>
        </is>
      </c>
      <c r="O45" t="inlineStr"/>
      <c r="P45" t="inlineStr">
        <is>
          <t>SPARE-ISSUE</t>
        </is>
      </c>
      <c r="Q45" t="inlineStr">
        <is>
          <t>SPARE-ISSUE</t>
        </is>
      </c>
      <c r="R45" t="inlineStr">
        <is>
          <t>SPARE-ISSUE</t>
        </is>
      </c>
      <c r="S45" t="inlineStr">
        <is>
          <t>SPARE-ISSUE</t>
        </is>
      </c>
      <c r="T45" t="inlineStr">
        <is>
          <t xml:space="preserve">(04/29/2026 ocm ran 00h): 22.04.26: Carte core EVO 1G et pas disponible en stock, commande en cours vers OCM
22.04.26; FME Samba en route pour le site, ETA=11H UTC | FME sur site et investigations en cours, carte core EVO 1G probablement faulty
21/04/2026 Besoin d'un fme sur site pour verifier le status du MPR fme activé ..;..;(04/29/2026 com ran 17h): 22.04.26: Carte core EVO 1G et pas disponible en stock, commande en cours vers OCM
22.04.26; FME Samba en route pour le site, ETA=11H UTC | FME sur site et investigations en cours, carte core EVO 1G probablement faulty
21/04/2026 Besoin d'un fme sur site pour verifier le status du MPR fme activé ..;..;(04/29/2026 com ran 18h): 22.04.26: Carte core EVO 1G et pas disponible en stock, commande en cours vers OCM
22.04.26; FME Samba en route pour le site, ETA=11H UTC | FME sur site et investigations en cours, carte core EVO 1G probablement faulty
21/04/2026 Besoin d'un fme sur site pour verifier le status du MPR fme activé </t>
        </is>
      </c>
      <c r="U45" t="inlineStr">
        <is>
          <t>: 22.04.26 : Carte core EVO 1G et pas disponible en stock, commande en cours vers OCM 22.04.26; FME Samba en route pour le site, ETA=11H UTC | FME sur site et investigations en cours, carte core EVO 1G probablement faulty 21/04/2026 Besoin d'un fme sur site pour verifier le status du MPR fme activé .;.;(04/29/2026 com ran 17h) : 22.04.26 : Carte core EVO 1G et pas disponible en stock, commande en cours vers OCM 22.04.26; FME Samba en route pour le site, ETA=11H UTC | FME sur site et investigations en cours, carte core EVO 1G probablement faulty 21/04/2026 Besoin d'un fme sur site pour verifier le status du MPR fme activé .;.;(04/29/2026 com ran 18h) : 22.04.26 : Carte core EVO 1G et pas disponible en stock, commande en cours vers OCM 22.04.26; FME Samba en route pour le site, ETA=11H UTC | FME sur site et investigations en cours, carte core EVO 1G probablement faulty 21/04/2026 Besoin d'un fme sur site pour verifier le status du MPR fme activé</t>
        </is>
      </c>
    </row>
    <row r="46">
      <c r="A46" s="96" t="n">
        <v>46141</v>
      </c>
      <c r="B46" t="inlineStr">
        <is>
          <t>Oyomabang-marche</t>
        </is>
      </c>
      <c r="C46" t="inlineStr">
        <is>
          <t>CTR_718</t>
        </is>
      </c>
      <c r="D46" t="inlineStr"/>
      <c r="E46" t="inlineStr">
        <is>
          <t>CAMUSAT</t>
        </is>
      </c>
      <c r="F46" t="inlineStr">
        <is>
          <t>Good Grid no GE - 8h</t>
        </is>
      </c>
      <c r="G46" t="inlineStr">
        <is>
          <t>CENTRE</t>
        </is>
      </c>
      <c r="H46" t="inlineStr">
        <is>
          <t>Yaounde</t>
        </is>
      </c>
      <c r="I46" t="inlineStr"/>
      <c r="J46" t="n">
        <v>32.37293622531563</v>
      </c>
      <c r="K46" t="n">
        <v>27.54062241806665</v>
      </c>
      <c r="L46" t="n">
        <v>0</v>
      </c>
      <c r="M46" t="n">
        <v>13.86855689960706</v>
      </c>
      <c r="N46" t="inlineStr">
        <is>
          <t>Operationnel</t>
        </is>
      </c>
      <c r="O46" t="inlineStr"/>
      <c r="P46" t="inlineStr">
        <is>
          <t>PDH</t>
        </is>
      </c>
      <c r="Q46" t="inlineStr">
        <is>
          <t>TX ISSUE</t>
        </is>
      </c>
      <c r="R46" t="inlineStr">
        <is>
          <t>ODU HS</t>
        </is>
      </c>
      <c r="S46" t="inlineStr">
        <is>
          <t>ACTIVE</t>
        </is>
      </c>
      <c r="T46" t="inlineStr">
        <is>
          <t xml:space="preserve">(04/29/2026 ocm ran 00h): 28/04/2026 FME sur site pour remplacer L'ODU
27/04/2026 l'AOF est Down Oyomabang-Marche_Oyomabang et ODU UBT-T faulty commande passé ETD asap 
26/04/2026 l'AOF est Down  lODU est HS sur le FH commande mail en cours pas disponible à Yaoundé
25/04/2026 Besoin d'un fme sur site pour verifier le status du MPR fme mouhamadou activé ..;..;(04/29/2026 com ran 17h): 29.04.2026: Nouvelle intervention ce jour le BO a recommandé de passer une nouvelle commande d'ODU celle recu le 28;04.2026 ne serai pas bonne ETA 10H Apres la pluie 
28/04/2026 FME sur site pour remplacer L'ODU
27/04/2026 l'AOF est Down OYOMABANG-MARCHE&lt;&gt;MEYONG-MEYEME et ODU UBT-T faulty commande passé ETD asap 
26/04/2026 l'AOF est Down  lODU est HS sur le FH commande mail en cours pas disponible à Yaoundé
25/04/2026 Besoin d'un fme sur site pour verifier le status du MPR fme mouhamadou activé ..;..;(04/29/2026 com ran 18h): 29/04/2026 Apres intervention et remplacemnt de L ODU site dans L IPRAN Impossible de faire le routage point transmis a OCM en attente de retour sur le lien AOF OYOMABANG-MARCHE&lt;&gt;MEYONG-MEYEME
29.04.2026: Nouvelle intervention ce jour le BO a recommandé de passer une nouvelle commande d'ODU celle recu le 28;04.2026 ne serai pas bonne ETA 10H Apres la pluie 
28/04/2026 FME sur site pour remplacer L'ODU
27/04/2026 l'AOF est Down OYOMABANG-MARCHE&lt;&gt;MEYONG-MEYEME et ODU UBT-T faulty commande passé ETD asap 
26/04/2026 l'AOF est Down  lODU est HS sur le FH commande mail en cours pas disponible à Yaoundé
25/04/2026 Besoin d'un fme sur site pour verifier le status du MPR fme mouhamadou activé </t>
        </is>
      </c>
      <c r="U46" t="inlineStr">
        <is>
          <t>: 28/04/2026 FME sur site pour remplacer L'ODU 27/04/2026 l'AOF est Down Oyomabang-Marche_Oyomabang et ODU UBT-T faulty commande passé ETD asap 26/04/2026 l'AOF est Down lODU est HS sur le FH commande mail en cours pas disponible à Yaoundé 25/04/2026 Besoin d'un fme sur site pour verifier le status du MPR fme mouhamadou activé .;.;(04/29/2026 com ran 17h) : 29.04.2026 : Nouvelle intervention ce jour le BO a recommandé de passer une nouvelle commande d'ODU celle recu le 28;04.2026 ne serai pas bonne ETA 10H Apres la pluie 28/04/2026 FME sur site pour remplacer L'ODU 27/04/2026 l'AOF est Down OYOMABANG-MARCHE&lt;&gt;MEYONG-MEYEME et ODU UBT-T faulty commande passé ETD asap 26/04/2026 l'AOF est Down lODU est HS sur le FH commande mail en cours pas disponible à Yaoundé 25/04/2026 Besoin d'un fme sur site pour verifier le status du MPR fme mouhamadou activé .;.;(04/29/2026 com ran 18h) : 29/04/2026 Apres intervention et remplacemnt de L ODU site dans L IPRAN Impossible de faire le routage point transmis a OCM en attente de retour sur le lien AOF OYOMABANG-MARCHE&lt;&gt;MEYONG-MEYEME 29.04.2026 : Nouvelle intervention ce jour le BO a recommandé de passer une nouvelle commande d'ODU celle recu le 28;04.2026 ne serai pas bonne ETA 10H Apres la pluie 28/04/2026 FME sur site pour remplacer L'ODU 27/04/2026 l'AOF est Down OYOMABANG-MARCHE&lt;&gt;MEYONG-MEYEME et ODU UBT-T faulty commande passé ETD asap 26/04/2026 l'AOF est Down lODU est HS sur le FH commande mail en cours pas disponible à Yaoundé 25/04/2026 Besoin d'un fme sur site pour verifier le status du MPR fme mouhamadou activé</t>
        </is>
      </c>
    </row>
    <row r="47">
      <c r="A47" s="96" t="n">
        <v>46141</v>
      </c>
      <c r="B47" t="inlineStr">
        <is>
          <t>Bonamikengue</t>
        </is>
      </c>
      <c r="C47" t="inlineStr">
        <is>
          <t>LIT_336</t>
        </is>
      </c>
      <c r="D47" t="inlineStr"/>
      <c r="E47" t="inlineStr">
        <is>
          <t>IHS</t>
        </is>
      </c>
      <c r="F47" t="inlineStr">
        <is>
          <t>Grid-Gen</t>
        </is>
      </c>
      <c r="G47" t="inlineStr">
        <is>
          <t>LITTORAL</t>
        </is>
      </c>
      <c r="H47" t="inlineStr">
        <is>
          <t>Douala</t>
        </is>
      </c>
      <c r="I47" t="inlineStr"/>
      <c r="J47" t="n">
        <v>32.37293622531563</v>
      </c>
      <c r="K47" t="n">
        <v>27.54062241806665</v>
      </c>
      <c r="L47" t="n">
        <v>0</v>
      </c>
      <c r="M47" t="n">
        <v>13.86855689960706</v>
      </c>
      <c r="N47" t="inlineStr">
        <is>
          <t>Operationnel</t>
        </is>
      </c>
      <c r="O47" t="inlineStr"/>
      <c r="P47" t="inlineStr">
        <is>
          <t>SPARE-ISSUE</t>
        </is>
      </c>
      <c r="Q47" t="inlineStr">
        <is>
          <t>SPARE-ISSUE</t>
        </is>
      </c>
      <c r="R47" t="inlineStr">
        <is>
          <t>SPARE-ISSUE</t>
        </is>
      </c>
      <c r="S47" t="inlineStr">
        <is>
          <t>SPARE-ISSUE</t>
        </is>
      </c>
      <c r="T47" t="inlineStr">
        <is>
          <t>(04/29/2026 ocm ran 00h): 28/04/2026 En attente de l'envoi du rapport à OCM
26/04/2026 Carte core Evo faulty /not available in the system, SPM informed through an email
26/04/2026 The FME should replace the Core-ENH board at Bonaminkengue / FME activated ETA 12H UTC..;..;(04/29/2026 com ran 17h): 28/04/2026 En attente de l'envoi du rapport à OCM
26/04/2026 Carte core Evo faulty /not available in the system, SPM informed through an email
26/04/2026 The FME should replace the Core-ENH board at Bonaminkengue / FME activated ETA 12H UTC..;..;(04/29/2026 com ran 18h): 28/04/2026 En attente de l'envoi du rapport à OCM
26/04/2026 Carte core Evo faulty /not available in the system, SPM informed through an email
26/04/2026 The FME should replace the Core-ENH board at Bonaminkengue / FME activated ETA 12H UTC</t>
        </is>
      </c>
      <c r="U47" t="inlineStr">
        <is>
          <t>: 28/04/2026 En attente de l'envoi du rapport à OCM 26/04/2026 Carte core Evo faulty /not available in the system, SPM informed through an email 26/04/2026 The FME should replace the Core-ENH board at Bonaminkengue / FME activated ETA 12H UTC.;.;(04/29/2026 com ran 17h) : 28/04/2026 En attente de l'envoi du rapport à OCM 26/04/2026 Carte core Evo faulty /not available in the system, SPM informed through an email 26/04/2026 The FME should replace the Core-ENH board at Bonaminkengue / FME activated ETA 12H UTC.;.;(04/29/2026 com ran 18h) : 28/04/2026 En attente de l'envoi du rapport à OCM 26/04/2026 Carte core Evo faulty /not available in the system, SPM informed through an email 26/04/2026 The FME should replace the Core-ENH board at Bonaminkengue / FME activated ETA 12H UTC</t>
        </is>
      </c>
    </row>
    <row r="48">
      <c r="A48" s="96" t="n">
        <v>46141</v>
      </c>
      <c r="B48" t="inlineStr">
        <is>
          <t>Mile4-Q10-IHS</t>
        </is>
      </c>
      <c r="C48" t="inlineStr">
        <is>
          <t>SUO_214</t>
        </is>
      </c>
      <c r="D48" t="inlineStr"/>
      <c r="E48" t="inlineStr">
        <is>
          <t>IHS</t>
        </is>
      </c>
      <c r="F48" t="inlineStr">
        <is>
          <t>Grid-Gen</t>
        </is>
      </c>
      <c r="G48" t="inlineStr">
        <is>
          <t>SUD-OUEST</t>
        </is>
      </c>
      <c r="H48" t="inlineStr">
        <is>
          <t>Limbe</t>
        </is>
      </c>
      <c r="I48" t="inlineStr"/>
      <c r="J48" t="n">
        <v>32.37293622531563</v>
      </c>
      <c r="K48" t="n">
        <v>27.54062241806665</v>
      </c>
      <c r="L48" t="n">
        <v>0</v>
      </c>
      <c r="M48" t="n">
        <v>13.86855689960706</v>
      </c>
      <c r="N48" t="inlineStr">
        <is>
          <t>Insecurity</t>
        </is>
      </c>
      <c r="O48" t="inlineStr"/>
      <c r="P48" t="inlineStr">
        <is>
          <t>SPARE-ISSUE</t>
        </is>
      </c>
      <c r="Q48" t="inlineStr">
        <is>
          <t>SPARE-ISSUE</t>
        </is>
      </c>
      <c r="R48" t="inlineStr">
        <is>
          <t>SPARE-ISSUE</t>
        </is>
      </c>
      <c r="S48" t="inlineStr">
        <is>
          <t>SPARE-ISSUE</t>
        </is>
      </c>
      <c r="T48" t="inlineStr">
        <is>
          <t xml:space="preserve">(04/29/2026 ocm ran 00h): 17/04/2026 Carte EAC (3DB19417AA )  faulty commandée passé pas disponible point transmis a OCM 
16/04/2026 Besoin d'un fme sur site pour verifier le status du MPR et la chaine antennaire de l ODU FME desmond activé ETA asap ..;..;(04/29/2026 com ran 17h): 17/04/2026 Carte EAC (3DB19417AA )  faulty commandée passé pas disponible point transmis a OCM 
16/04/2026 Besoin d'un fme sur site pour verifier le status du MPR et la chaine antennaire de l ODU FME desmond activé ETA asap ..;..;(04/29/2026 com ran 18h): 17/04/2026 Carte EAC (3DB19417AA )  faulty commandée passé pas disponible point transmis a OCM 
16/04/2026 Besoin d'un fme sur site pour verifier le status du MPR et la chaine antennaire de l ODU FME desmond activé ETA asap </t>
        </is>
      </c>
      <c r="U48" t="inlineStr">
        <is>
          <t>: 17/04/2026 Carte EAC (3DB19417AA ) faulty commandée passé pas disponible point transmis a OCM 16/04/2026 Besoin d'un fme sur site pour verifier le status du MPR et la chaine antennaire de l ODU FME desmond activé ETA asap .;.;(04/29/2026 com ran 17h) : 17/04/2026 Carte EAC (3DB19417AA ) faulty commandée passé pas disponible point transmis a OCM 16/04/2026 Besoin d'un fme sur site pour verifier le status du MPR et la chaine antennaire de l ODU FME desmond activé ETA asap .;.;(04/29/2026 com ran 18h) : 17/04/2026 Carte EAC (3DB19417AA ) faulty commandée passé pas disponible point transmis a OCM 16/04/2026 Besoin d'un fme sur site pour verifier le status du MPR et la chaine antennaire de l ODU FME desmond activé ETA asap</t>
        </is>
      </c>
    </row>
    <row r="49">
      <c r="A49" s="96" t="n">
        <v>46141</v>
      </c>
      <c r="B49" t="inlineStr">
        <is>
          <t>Maroua-Loperey</t>
        </is>
      </c>
      <c r="C49" t="inlineStr">
        <is>
          <t>EXN_082</t>
        </is>
      </c>
      <c r="D49" t="inlineStr"/>
      <c r="E49" t="inlineStr">
        <is>
          <t>IHS</t>
        </is>
      </c>
      <c r="F49" t="inlineStr">
        <is>
          <t>Grid-Lithium</t>
        </is>
      </c>
      <c r="G49" t="inlineStr">
        <is>
          <t>EXTREME-NORD</t>
        </is>
      </c>
      <c r="H49" t="inlineStr">
        <is>
          <t>Maroua</t>
        </is>
      </c>
      <c r="I49" t="inlineStr"/>
      <c r="J49" t="n">
        <v>32.3710627915063</v>
      </c>
      <c r="K49" t="n">
        <v>27.54062241806665</v>
      </c>
      <c r="L49" t="n">
        <v>0</v>
      </c>
      <c r="M49" t="n">
        <v>13.8682893734323</v>
      </c>
      <c r="N49" t="inlineStr">
        <is>
          <t>Operationnel</t>
        </is>
      </c>
      <c r="O49" t="inlineStr"/>
      <c r="P49" t="inlineStr">
        <is>
          <t>IHS</t>
        </is>
      </c>
      <c r="Q49" t="inlineStr">
        <is>
          <t>POWER ISSUE</t>
        </is>
      </c>
      <c r="R49" t="inlineStr">
        <is>
          <t>Defaut GE &amp; Power Cabinet</t>
        </is>
      </c>
      <c r="S49" t="inlineStr">
        <is>
          <t>PASSIVE</t>
        </is>
      </c>
      <c r="T49" t="inlineStr">
        <is>
          <t>(04/29/2026 ocm ran 00h): 28.04.26: IHS: Grid outage, No space to deploy MDG // awaiting grid return Francklin - Escalated to L2
27.04.26: IHS: Grid outage, No space to deploy MDG // awaiting grid return Francklin..;..;(04/29/2026 com ran 17h): 28.04.26: IHS: Grid outage, No space to deploy MDG // awaiting grid return Francklin - Escalated to L2
27.04.26: IHS: Grid outage, No space to deploy MDG // awaiting grid return Francklin..;..;(04/29/2026 com ran 18h): 28.04.26: IHS: Grid outage, No space to deploy MDG // awaiting grid return Francklin - Escalated to L2
27.04.26: IHS: Grid outage, No space to deploy MDG // awaiting grid return Francklin</t>
        </is>
      </c>
      <c r="U49" t="inlineStr">
        <is>
          <t>: 28.04.26 : IHS : Grid outage, No space to deploy MDG // awaiting grid return Francklin - Escalated to L2 27.04.26 : IHS : Grid outage, No space to deploy MDG // awaiting grid return Francklin.;.;(04/29/2026 com ran 17h) : 28.04.26 : IHS : Grid outage, No space to deploy MDG // awaiting grid return Francklin - Escalated to L2 27.04.26 : IHS : Grid outage, No space to deploy MDG // awaiting grid return Francklin.;.;(04/29/2026 com ran 18h) : 28.04.26 : IHS : Grid outage, No space to deploy MDG // awaiting grid return Francklin - Escalated to L2 27.04.26 : IHS : Grid outage, No space to deploy MDG // awaiting grid return Francklin</t>
        </is>
      </c>
    </row>
    <row r="50">
      <c r="A50" s="96" t="n">
        <v>46141</v>
      </c>
      <c r="B50" t="inlineStr">
        <is>
          <t>Oku-Marche</t>
        </is>
      </c>
      <c r="C50" t="inlineStr">
        <is>
          <t>NRO_110</t>
        </is>
      </c>
      <c r="D50" t="inlineStr"/>
      <c r="E50" t="inlineStr">
        <is>
          <t>IHS</t>
        </is>
      </c>
      <c r="F50" t="inlineStr">
        <is>
          <t>Grid-Gen</t>
        </is>
      </c>
      <c r="G50" t="inlineStr">
        <is>
          <t>NORD-OUEST</t>
        </is>
      </c>
      <c r="H50" t="inlineStr">
        <is>
          <t>Oku</t>
        </is>
      </c>
      <c r="I50" t="inlineStr"/>
      <c r="J50" t="n">
        <v>64.72863685958539</v>
      </c>
      <c r="K50" t="n">
        <v>13.77031120903332</v>
      </c>
      <c r="L50" t="n">
        <v>0</v>
      </c>
      <c r="M50" t="n">
        <v>13.86609565879926</v>
      </c>
      <c r="N50" t="inlineStr">
        <is>
          <t>Insecurity</t>
        </is>
      </c>
      <c r="O50" t="inlineStr"/>
      <c r="P50" t="inlineStr">
        <is>
          <t>ACCESS-ISSUE</t>
        </is>
      </c>
      <c r="Q50" t="inlineStr">
        <is>
          <t>ACCESS-ISSUE</t>
        </is>
      </c>
      <c r="R50" t="inlineStr">
        <is>
          <t>ACCESS-ISSUE</t>
        </is>
      </c>
      <c r="S50" t="inlineStr">
        <is>
          <t>ACCESS-ISSUE</t>
        </is>
      </c>
      <c r="T50" t="inlineStr">
        <is>
          <t>(04/29/2026 ocm ran 00h): 28.04.2026: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town..;..;(04/29/2026 com ran 17h): 29/04/2026 |Access not granted for this site for now
28.04.2026: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town..;..;(04/29/2026 com ran 18h): 29/04/2026 |Access not granted for this site for now
28.04.2026: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t>
        </is>
      </c>
      <c r="U50" t="inlineStr">
        <is>
          <t>: 28.04.2026 :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town.;.;(04/29/2026 com ran 17h) : 29/04/2026 |Access not granted for this site for now 28.04.2026 :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town.;.;(04/29/2026 com ran 18h) : 29/04/2026 |Access not granted for this site for now 28.04.2026 :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t>
        </is>
      </c>
    </row>
    <row r="51">
      <c r="A51" s="96" t="n">
        <v>46141</v>
      </c>
      <c r="B51" t="inlineStr">
        <is>
          <t>CTR_920_Z_MENDONG-ELOUMDEM</t>
        </is>
      </c>
      <c r="C51" t="inlineStr">
        <is>
          <t>CTR_920</t>
        </is>
      </c>
      <c r="D51" t="inlineStr"/>
      <c r="E51" t="inlineStr">
        <is>
          <t>ESCO</t>
        </is>
      </c>
      <c r="F51" t="inlineStr">
        <is>
          <t>Good Grid + Solar + GE</t>
        </is>
      </c>
      <c r="G51" t="inlineStr">
        <is>
          <t>CENTRE</t>
        </is>
      </c>
      <c r="H51" t="inlineStr">
        <is>
          <t>Yaounde</t>
        </is>
      </c>
      <c r="I51" t="inlineStr"/>
      <c r="J51" t="n">
        <v>7.245817496572865</v>
      </c>
      <c r="K51" t="n">
        <v>6.341993329049238</v>
      </c>
      <c r="L51" t="n">
        <v>20.01570615737185</v>
      </c>
      <c r="M51" t="n">
        <v>13.60174412797882</v>
      </c>
      <c r="N51" t="inlineStr">
        <is>
          <t>Operationnel</t>
        </is>
      </c>
      <c r="O51" t="inlineStr"/>
      <c r="P51" t="inlineStr">
        <is>
          <t>AKTIVCO</t>
        </is>
      </c>
      <c r="Q51" t="inlineStr">
        <is>
          <t>POWER ISSUE</t>
        </is>
      </c>
      <c r="R51" t="inlineStr">
        <is>
          <t>AKTIVCO Defaut GE &amp; Power Cabinet</t>
        </is>
      </c>
      <c r="S51" t="inlineStr">
        <is>
          <t>PASSIVE</t>
        </is>
      </c>
      <c r="T51" t="inlineStr">
        <is>
          <t>(04/29/2026 com ran 17h): Power status check ongoing..;..;(04/29/2026 com ran 18h): Power status check ongoing..;..;(04/29/2026 ticket): INC-20260429-00013418 || (04/29/2026 retour CAMUSAT): Echec démarrage GE</t>
        </is>
      </c>
      <c r="U51" t="inlineStr">
        <is>
          <t>04/29/2026 com ran 17h) : ;(04/29/2026 com ran 18h) : ; : || (04/29/2026 retour CAMUSAT) : Echec démarrage GE</t>
        </is>
      </c>
    </row>
    <row r="52">
      <c r="A52" s="96" t="n">
        <v>46141</v>
      </c>
      <c r="B52" t="inlineStr">
        <is>
          <t>Okolo</t>
        </is>
      </c>
      <c r="C52" t="inlineStr">
        <is>
          <t>CTR_213</t>
        </is>
      </c>
      <c r="D52" t="inlineStr"/>
      <c r="E52" t="inlineStr">
        <is>
          <t>IHS</t>
        </is>
      </c>
      <c r="F52" t="inlineStr">
        <is>
          <t>Grid-Gen</t>
        </is>
      </c>
      <c r="G52" t="inlineStr">
        <is>
          <t>CENTRE</t>
        </is>
      </c>
      <c r="H52" t="inlineStr">
        <is>
          <t>Yaounde</t>
        </is>
      </c>
      <c r="I52" t="inlineStr"/>
      <c r="J52" t="n">
        <v>12.24226546607037</v>
      </c>
      <c r="K52" t="n">
        <v>11.12526393096484</v>
      </c>
      <c r="L52" t="n">
        <v>15.38990696417119</v>
      </c>
      <c r="M52" t="n">
        <v>13.5087341945536</v>
      </c>
      <c r="N52" t="inlineStr">
        <is>
          <t>Operationnel</t>
        </is>
      </c>
      <c r="O52" t="inlineStr"/>
      <c r="P52" t="inlineStr">
        <is>
          <t>IHS</t>
        </is>
      </c>
      <c r="Q52" t="inlineStr">
        <is>
          <t>POWER ISSUE</t>
        </is>
      </c>
      <c r="R52" t="inlineStr">
        <is>
          <t>Defaut GE &amp; Power Cabinet</t>
        </is>
      </c>
      <c r="S52" t="inlineStr">
        <is>
          <t>PASSIVE</t>
        </is>
      </c>
      <c r="T52" t="inlineStr">
        <is>
          <t>(04/29/2026 cell zte): 29/04/2026 : Besoin d'analyse BO RAN..;..;(04/29/2026 ticket): INC-20260429-00018494  ;  Rectifiers hanging due to MPR faulty. // Rectifiers reset.  ;  Rectifiers hanging due to MPR faulty. // Rectifiers reset.  ;  GE Fault</t>
        </is>
      </c>
      <c r="U52" t="inlineStr">
        <is>
          <t>04/29/2026 cell zte) : 29/04/2026 : Besoin d'analyse BO RAN.;.; : ; Rectifiers hanging due to MPR faulty. Rectifiers reset. Rectifiers hanging due to MPR faulty. Rectifiers reset. GE Fault</t>
        </is>
      </c>
    </row>
    <row r="53">
      <c r="A53" s="96" t="n">
        <v>46141</v>
      </c>
      <c r="B53" t="inlineStr">
        <is>
          <t>Bitotol-Ecole-Publique</t>
        </is>
      </c>
      <c r="C53" t="inlineStr">
        <is>
          <t>CTR_794</t>
        </is>
      </c>
      <c r="D53" t="inlineStr"/>
      <c r="E53" t="inlineStr">
        <is>
          <t xml:space="preserve">ESCO </t>
        </is>
      </c>
      <c r="F53" t="inlineStr">
        <is>
          <t>Good Grid no GE 8H</t>
        </is>
      </c>
      <c r="G53" t="inlineStr">
        <is>
          <t>CENTRE</t>
        </is>
      </c>
      <c r="H53" t="inlineStr">
        <is>
          <t>Yaounde</t>
        </is>
      </c>
      <c r="I53" t="inlineStr"/>
      <c r="J53" t="n">
        <v>0</v>
      </c>
      <c r="K53" t="n">
        <v>0</v>
      </c>
      <c r="L53" t="n">
        <v>23.63926481886413</v>
      </c>
      <c r="M53" t="n">
        <v>12.32760613298405</v>
      </c>
      <c r="N53" t="inlineStr">
        <is>
          <t>Operationnel</t>
        </is>
      </c>
      <c r="O53" t="inlineStr"/>
      <c r="P53" t="inlineStr">
        <is>
          <t>AKTIVCO</t>
        </is>
      </c>
      <c r="Q53" t="inlineStr">
        <is>
          <t>POWER ISSUE</t>
        </is>
      </c>
      <c r="R53" t="inlineStr">
        <is>
          <t>AKTIVCO Defaut GE &amp; Power Cabinet</t>
        </is>
      </c>
      <c r="S53" t="inlineStr">
        <is>
          <t>PASSIVE</t>
        </is>
      </c>
      <c r="T53" t="inlineStr">
        <is>
          <t>(04/29/2026 BO TX ) power issue</t>
        </is>
      </c>
      <c r="U53" t="inlineStr">
        <is>
          <t>04/29/2026 BO TX ) power issue</t>
        </is>
      </c>
    </row>
    <row r="54">
      <c r="A54" s="96" t="n">
        <v>46141</v>
      </c>
      <c r="B54" t="inlineStr">
        <is>
          <t>Balissa-MTN-IHS</t>
        </is>
      </c>
      <c r="C54" t="inlineStr">
        <is>
          <t>CTR_170</t>
        </is>
      </c>
      <c r="D54" t="inlineStr"/>
      <c r="E54" t="inlineStr">
        <is>
          <t>IHS</t>
        </is>
      </c>
      <c r="F54" t="inlineStr">
        <is>
          <t>Solar-Gen</t>
        </is>
      </c>
      <c r="G54" t="inlineStr">
        <is>
          <t>CENTRE</t>
        </is>
      </c>
      <c r="H54" t="inlineStr">
        <is>
          <t>Balissa</t>
        </is>
      </c>
      <c r="I54" t="inlineStr"/>
      <c r="J54" t="n">
        <v>21.57621228652846</v>
      </c>
      <c r="K54" t="n">
        <v>27.54062241806665</v>
      </c>
      <c r="L54" t="n">
        <v>0</v>
      </c>
      <c r="M54" t="n">
        <v>12.32678571938145</v>
      </c>
      <c r="N54" t="inlineStr">
        <is>
          <t>Operationnel</t>
        </is>
      </c>
      <c r="O54" t="inlineStr"/>
      <c r="P54" t="inlineStr">
        <is>
          <t>SPARE-ISSUE</t>
        </is>
      </c>
      <c r="Q54" t="inlineStr">
        <is>
          <t>SPARE-ISSUE</t>
        </is>
      </c>
      <c r="R54" t="inlineStr">
        <is>
          <t>SPARE-ISSUE</t>
        </is>
      </c>
      <c r="S54" t="inlineStr">
        <is>
          <t>SPARE-ISSUE</t>
        </is>
      </c>
      <c r="T54" t="inlineStr">
        <is>
          <t>(04/29/2026 ocm ran 00h): 
02.04.2026: ODU3DB20859AC (MPT-7-8Ghz) Recu faulty nouvelle commande en cours chez OCM car spare pas dispo chez Huawei
02.04.2026: FME en route ETA=30 MIN
01/04/2026 FME  a la Gare pour la recuperation du Materiel ETA=15H UTC 
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0..;..;(04/29/2026 com ran 17h): 
02.04.2026: ODU3DB20859AC (MPT-7-8Ghz) Recu faulty nouvelle commande en cours chez OCM car spare pas dispo chez Huawei
02.04.2026: FME en route ETA=30 MIN
01/04/2026 FME  a la Gare pour la recuperation du Materiel ETA=15H UTC 
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0..;..;(04/29/2026 com ran 18h): 
02.04.2026: ODU3DB20859AC (MPT-7-8Ghz) Recu faulty nouvelle commande en cours chez OCM car spare pas dispo chez Huawei
02.04.2026: FME en route ETA=30 MIN
01/04/2026 FME  a la Gare pour la recuperation du Materiel ETA=15H UTC 
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c r="U54" t="inlineStr">
        <is>
          <t>: 02.04.2026 : ODU3DB20859AC (MPT-7-8Ghz) Recu faulty nouvelle commande en cours chez OCM car spare pas dispo chez Huawei 02.04.2026 : FME en route ETA=30 MIN 01/04/2026 FME a la Gare pour la recuperation du Materiel ETA=15H UTC 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0.;.;(04/29/2026 com ran 17h) : 02.04.2026 : ODU3DB20859AC (MPT-7-8Ghz) Recu faulty nouvelle commande en cours chez OCM car spare pas dispo chez Huawei 02.04.2026 : FME en route ETA=30 MIN 01/04/2026 FME a la Gare pour la recuperation du Materiel ETA=15H UTC 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0.;.;(04/29/2026 com ran 18h) : 02.04.2026 : ODU3DB20859AC (MPT-7-8Ghz) Recu faulty nouvelle commande en cours chez OCM car spare pas dispo chez Huawei 02.04.2026 : FME en route ETA=30 MIN 01/04/2026 FME a la Gare pour la recuperation du Materiel ETA=15H UTC 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row>
    <row r="55">
      <c r="A55" s="96" t="n">
        <v>46141</v>
      </c>
      <c r="B55" t="inlineStr">
        <is>
          <t>Yassa-Village-Camtel</t>
        </is>
      </c>
      <c r="C55" t="inlineStr">
        <is>
          <t>LIT_766</t>
        </is>
      </c>
      <c r="D55" t="inlineStr"/>
      <c r="E55" t="inlineStr">
        <is>
          <t>CAMUSAT</t>
        </is>
      </c>
      <c r="F55" t="inlineStr">
        <is>
          <t>Good Grid no GE - 8h</t>
        </is>
      </c>
      <c r="G55" t="inlineStr">
        <is>
          <t>LITTORAL</t>
        </is>
      </c>
      <c r="H55" t="inlineStr">
        <is>
          <t>Douala</t>
        </is>
      </c>
      <c r="I55" t="inlineStr"/>
      <c r="J55" t="n">
        <v>10.52382708056065</v>
      </c>
      <c r="K55" t="n">
        <v>9.111355916643715</v>
      </c>
      <c r="L55" t="n">
        <v>14.77454051179008</v>
      </c>
      <c r="M55" t="n">
        <v>12.2663426389638</v>
      </c>
      <c r="N55" t="inlineStr">
        <is>
          <t>Operationnel</t>
        </is>
      </c>
      <c r="O55" t="inlineStr"/>
      <c r="P55" t="inlineStr">
        <is>
          <t>AKTIVCO GRID ONLY</t>
        </is>
      </c>
      <c r="Q55" t="inlineStr">
        <is>
          <t>POWER ISSUE</t>
        </is>
      </c>
      <c r="R55" t="inlineStr">
        <is>
          <t>AKTIVCO Coupure ENEO &amp; Baisse de tension</t>
        </is>
      </c>
      <c r="S55" t="inlineStr">
        <is>
          <t>PASSIVE</t>
        </is>
      </c>
      <c r="T55" t="inlineStr">
        <is>
          <t>(04/29/2026 com ran 17h): Power status check ongoing..;..;(04/29/2026 com ran 18h): Power status check ongoing..;..;(04/29/2026 ticket): INC-20260429-00012531 || (04/29/2026 retour CAMUSAT): Grid outage,  / grid return awaited</t>
        </is>
      </c>
      <c r="U55" t="inlineStr">
        <is>
          <t>04/29/2026 com ran 17h) : ;(04/29/2026 com ran 18h) : ; : || (04/29/2026 retour CAMUSAT) : Grid outage, / grid return awaited</t>
        </is>
      </c>
    </row>
    <row r="56">
      <c r="A56" s="96" t="n">
        <v>46141</v>
      </c>
      <c r="B56" t="inlineStr">
        <is>
          <t>Carrefour-Diderot</t>
        </is>
      </c>
      <c r="C56" t="inlineStr">
        <is>
          <t>CTR_841</t>
        </is>
      </c>
      <c r="D56" t="inlineStr"/>
      <c r="E56" t="inlineStr">
        <is>
          <t>CAMUSAT</t>
        </is>
      </c>
      <c r="F56" t="inlineStr">
        <is>
          <t>Good Grid no GE - 8h</t>
        </is>
      </c>
      <c r="G56" t="inlineStr">
        <is>
          <t>CENTRE</t>
        </is>
      </c>
      <c r="H56" t="inlineStr">
        <is>
          <t>Yaounde</t>
        </is>
      </c>
      <c r="I56" t="inlineStr"/>
      <c r="J56" t="n">
        <v>20.07384326702876</v>
      </c>
      <c r="K56" t="n">
        <v>27.23695305513904</v>
      </c>
      <c r="L56" t="n">
        <v>0</v>
      </c>
      <c r="M56" t="n">
        <v>12.01030225463926</v>
      </c>
      <c r="N56" t="inlineStr">
        <is>
          <t>Operationnel</t>
        </is>
      </c>
      <c r="O56" t="inlineStr"/>
      <c r="P56" t="inlineStr">
        <is>
          <t>AKTIVCO GRID ONLY</t>
        </is>
      </c>
      <c r="Q56" t="inlineStr">
        <is>
          <t>POWER ISSUE</t>
        </is>
      </c>
      <c r="R56" t="inlineStr">
        <is>
          <t>AKTIVCO Coupure ENEO &amp; Baisse de tension</t>
        </is>
      </c>
      <c r="S56" t="inlineStr">
        <is>
          <t>PASSIVE</t>
        </is>
      </c>
      <c r="T56" t="inlineStr">
        <is>
          <t>(04/29/2026 retour CAMUSAT): Grid outage,  / grid return awaited</t>
        </is>
      </c>
      <c r="U56" t="inlineStr">
        <is>
          <t>04/29/2026 retour CAMUSAT) : Grid outage, / grid return awaited</t>
        </is>
      </c>
    </row>
    <row r="57">
      <c r="A57" s="96" t="n">
        <v>46141</v>
      </c>
      <c r="B57" t="inlineStr">
        <is>
          <t>Dumbu</t>
        </is>
      </c>
      <c r="C57" t="inlineStr">
        <is>
          <t>NRO_046</t>
        </is>
      </c>
      <c r="D57" t="inlineStr"/>
      <c r="E57" t="inlineStr">
        <is>
          <t>IHS</t>
        </is>
      </c>
      <c r="F57" t="inlineStr">
        <is>
          <t>Hybrid-Gen</t>
        </is>
      </c>
      <c r="G57" t="inlineStr">
        <is>
          <t>NORD-OUEST</t>
        </is>
      </c>
      <c r="H57" t="inlineStr">
        <is>
          <t>Dumbu</t>
        </is>
      </c>
      <c r="I57" t="inlineStr"/>
      <c r="J57" t="n">
        <v>51.52117829494543</v>
      </c>
      <c r="K57" t="n">
        <v>12.85335298577748</v>
      </c>
      <c r="L57" t="n">
        <v>0</v>
      </c>
      <c r="M57" t="n">
        <v>11.67223834513302</v>
      </c>
      <c r="N57" t="inlineStr">
        <is>
          <t>Insecurity</t>
        </is>
      </c>
      <c r="O57" t="inlineStr"/>
      <c r="P57" t="inlineStr">
        <is>
          <t>IHS</t>
        </is>
      </c>
      <c r="Q57" t="inlineStr">
        <is>
          <t>POWER ISSUE</t>
        </is>
      </c>
      <c r="R57" t="inlineStr">
        <is>
          <t>Defaut GE &amp; Power Cabinet</t>
        </is>
      </c>
      <c r="S57" t="inlineStr">
        <is>
          <t>PASSIVE</t>
        </is>
      </c>
      <c r="T57" t="inlineStr">
        <is>
          <t>(04/29/2026 hourly IHS): FME is informed and managing..;..;(04/29/2026 com ran 17h): 29/04/2026 FME sur site travaux en cours realignement ..;..;(04/29/2026 com ran 18h): 29/04/2026 FME sur site travaux en cours realignement ..;..;(04/29/2026 ticket): INC-20260429-00009881  ;  Others Transmission equipement fault</t>
        </is>
      </c>
      <c r="U57" t="inlineStr">
        <is>
          <t>: FME is informed and managing.;.;(04/29/2026 com ran 17h) : 29/04/2026 FME sur site travaux en cours realignement .;.;(04/29/2026 com ran 18h) : 29/04/2026 FME sur site travaux en cours realignement .;.; : ;</t>
        </is>
      </c>
    </row>
    <row r="58">
      <c r="A58" s="96" t="n">
        <v>46141</v>
      </c>
      <c r="B58" t="inlineStr">
        <is>
          <t>Limbe-Mile_1</t>
        </is>
      </c>
      <c r="C58" t="inlineStr">
        <is>
          <t>SUO_234</t>
        </is>
      </c>
      <c r="D58" t="inlineStr"/>
      <c r="E58" t="inlineStr">
        <is>
          <t>ESCO</t>
        </is>
      </c>
      <c r="F58" t="inlineStr">
        <is>
          <t>medium Grid + GE</t>
        </is>
      </c>
      <c r="G58" t="inlineStr">
        <is>
          <t>SUD-OUEST</t>
        </is>
      </c>
      <c r="H58" t="inlineStr">
        <is>
          <t>Limbe</t>
        </is>
      </c>
      <c r="I58" t="inlineStr"/>
      <c r="J58" t="n">
        <v>26.63897981287644</v>
      </c>
      <c r="K58" t="n">
        <v>22.66331844099676</v>
      </c>
      <c r="L58" t="n">
        <v>0.1727116425568054</v>
      </c>
      <c r="M58" t="n">
        <v>11.50244839955141</v>
      </c>
      <c r="N58" t="inlineStr">
        <is>
          <t>Operationnel</t>
        </is>
      </c>
      <c r="O58" t="inlineStr"/>
      <c r="P58" t="inlineStr">
        <is>
          <t>AKTIVCO</t>
        </is>
      </c>
      <c r="Q58" t="inlineStr">
        <is>
          <t>POWER ISSUE</t>
        </is>
      </c>
      <c r="R58" t="inlineStr">
        <is>
          <t>AKTIVCO Defaut GE &amp; Power Cabinet</t>
        </is>
      </c>
      <c r="S58" t="inlineStr">
        <is>
          <t>PASSIVE</t>
        </is>
      </c>
      <c r="T58" t="inlineStr">
        <is>
          <t>(04/29/2026 ocm ran 00h): 28.04.26: Camusat: Our technician is managing with the level 0 - Escalated to L2..;..;(04/29/2026 com ran 17h): Power status check ongoing..;..;(04/29/2026 com ran 18h): Power status check ongoing</t>
        </is>
      </c>
      <c r="U58" t="inlineStr">
        <is>
          <t>: 28.04.26 : Camusat : Our technician is managing with the level 0 - Escalated to L2.;.;(04/29/2026 com ran 17h) : ;(04/29/2026 com ran 18h) : Power status check ongoing</t>
        </is>
      </c>
    </row>
    <row r="59">
      <c r="A59" s="96" t="n">
        <v>46141</v>
      </c>
      <c r="B59" t="inlineStr">
        <is>
          <t>PK9</t>
        </is>
      </c>
      <c r="C59" t="inlineStr">
        <is>
          <t>LIT_370</t>
        </is>
      </c>
      <c r="D59" t="inlineStr"/>
      <c r="E59" t="inlineStr">
        <is>
          <t>IHS</t>
        </is>
      </c>
      <c r="F59" t="inlineStr">
        <is>
          <t>Grid-Gen</t>
        </is>
      </c>
      <c r="G59" t="inlineStr">
        <is>
          <t>LITTORAL</t>
        </is>
      </c>
      <c r="H59" t="inlineStr">
        <is>
          <t>Douala</t>
        </is>
      </c>
      <c r="I59" t="inlineStr"/>
      <c r="J59" t="n">
        <v>0</v>
      </c>
      <c r="K59" t="n">
        <v>3.55254903760825</v>
      </c>
      <c r="L59" t="n">
        <v>18.31294036338803</v>
      </c>
      <c r="M59" t="n">
        <v>10.74262055799539</v>
      </c>
      <c r="N59" t="inlineStr">
        <is>
          <t>Operationnel</t>
        </is>
      </c>
      <c r="O59" t="inlineStr"/>
      <c r="P59" t="inlineStr">
        <is>
          <t>BSS</t>
        </is>
      </c>
      <c r="Q59" t="inlineStr">
        <is>
          <t>RAN ISSUE</t>
        </is>
      </c>
      <c r="R59" t="inlineStr">
        <is>
          <t>BSS Hardware issue</t>
        </is>
      </c>
      <c r="S59" t="inlineStr">
        <is>
          <t>ACTIVE</t>
        </is>
      </c>
      <c r="T59" t="inlineStr">
        <is>
          <t>(04/29/2026 cell zte): 29/04/2026 : Fme should check power cable on RRU 73 || Fme active..;..;(04/29/2026 cell zte): 29/04/2026 : Fme should check power cable on RRU 73 || Fme active ETA 17h..;..;(04/29/2026 cell zte): 29/04/2026 : Fme should check power cable on RRU 73 || Fme active ETA 17h || Fme sur site en attente d'acces</t>
        </is>
      </c>
      <c r="U59" t="inlineStr">
        <is>
          <t>04/29/2026 cell zte) : 29/04/2026 : Fme should check power cable on RRU 73 || Fme active.;.;(04/29/2026 cell zte) : 29/04/2026 : Fme should check power cable on RRU 73 || Fme active ETA 17h.;.;(04/29/2026 cell zte) : 29/04/2026 : Fme should check power cable on RRU 73 || Fme active ETA 17h || Fme sur site en attente d'acces</t>
        </is>
      </c>
    </row>
    <row r="60">
      <c r="A60" s="96" t="n">
        <v>46141</v>
      </c>
      <c r="B60" t="inlineStr">
        <is>
          <t>Mankon-II</t>
        </is>
      </c>
      <c r="C60" t="inlineStr">
        <is>
          <t>NRO_141</t>
        </is>
      </c>
      <c r="D60" t="inlineStr"/>
      <c r="E60" t="inlineStr">
        <is>
          <t>CAMUSAT</t>
        </is>
      </c>
      <c r="F60" t="inlineStr">
        <is>
          <t>HGB</t>
        </is>
      </c>
      <c r="G60" t="inlineStr">
        <is>
          <t>NORD-OUEST</t>
        </is>
      </c>
      <c r="H60" t="inlineStr">
        <is>
          <t>Bamenda</t>
        </is>
      </c>
      <c r="I60" t="inlineStr"/>
      <c r="J60" t="n">
        <v>0</v>
      </c>
      <c r="K60" t="n">
        <v>30.9863877923641</v>
      </c>
      <c r="L60" t="n">
        <v>0</v>
      </c>
      <c r="M60" t="n">
        <v>10.40248777940434</v>
      </c>
      <c r="N60" t="inlineStr">
        <is>
          <t>Operationnel</t>
        </is>
      </c>
      <c r="O60" t="inlineStr"/>
      <c r="P60" t="inlineStr">
        <is>
          <t>AKTIVCO</t>
        </is>
      </c>
      <c r="Q60" t="inlineStr">
        <is>
          <t>POWER ISSUE</t>
        </is>
      </c>
      <c r="R60" t="inlineStr">
        <is>
          <t>AKTIVCO Defaut GE &amp; Power Cabinet</t>
        </is>
      </c>
      <c r="S60" t="inlineStr">
        <is>
          <t>PASSIVE</t>
        </is>
      </c>
      <c r="T60" t="inlineStr">
        <is>
          <t>(04/29/2026 ocm ran 00h): 28.04.26: Camusat: unknown / Our FME is managing with the level 0 - Escalated to L2</t>
        </is>
      </c>
      <c r="U60" t="inlineStr">
        <is>
          <t>: 28.04.26 : Camusat : unknown / Our FME is managing with the level 0 - Escalated to L2</t>
        </is>
      </c>
    </row>
    <row r="61">
      <c r="A61" s="96" t="n">
        <v>46141</v>
      </c>
      <c r="B61" t="inlineStr">
        <is>
          <t>Nsimalen</t>
        </is>
      </c>
      <c r="C61" t="inlineStr">
        <is>
          <t>CTR_010</t>
        </is>
      </c>
      <c r="D61" t="inlineStr"/>
      <c r="E61" t="inlineStr">
        <is>
          <t>IHS</t>
        </is>
      </c>
      <c r="F61" t="inlineStr">
        <is>
          <t>Grid-Gen</t>
        </is>
      </c>
      <c r="G61" t="inlineStr">
        <is>
          <t>CENTRE</t>
        </is>
      </c>
      <c r="H61" t="inlineStr">
        <is>
          <t>Yaounde</t>
        </is>
      </c>
      <c r="I61" t="inlineStr"/>
      <c r="J61" t="n">
        <v>9.569499898085201</v>
      </c>
      <c r="K61" t="n">
        <v>8.135640115466611</v>
      </c>
      <c r="L61" t="n">
        <v>11.39315435345516</v>
      </c>
      <c r="M61" t="n">
        <v>10.03915156392235</v>
      </c>
      <c r="N61" t="inlineStr">
        <is>
          <t>Operationnel</t>
        </is>
      </c>
      <c r="O61" t="inlineStr"/>
      <c r="P61" t="inlineStr">
        <is>
          <t>BSS</t>
        </is>
      </c>
      <c r="Q61" t="inlineStr">
        <is>
          <t>RAN ISSUE</t>
        </is>
      </c>
      <c r="R61" t="inlineStr">
        <is>
          <t>BSS Hardware issue</t>
        </is>
      </c>
      <c r="S61" t="inlineStr">
        <is>
          <t>ACTIVE</t>
        </is>
      </c>
      <c r="T61" t="inlineStr">
        <is>
          <t>(04/29/2026 hourly IHS): Tx fme kryslain is on site..;..;(04/29/2026 ticket): INC-20260429-00013132  ;  2026-04-29 23:22:13  ;  29.04.26: Besoin d'un FME sur site pour vérifier le statut de la BBU; FME Totat activé pour investigations, update ASAP  ;  user:ndzie mbene lionnel</t>
        </is>
      </c>
      <c r="U61" t="inlineStr">
        <is>
          <t>: Tx fme kryslain is on site.;.; : ; 2026-04-29 23 : 22 : 13 ; 29.04.26 : Besoin d'un FME sur site pour vérifier le statut de la BBU; FME Totat activé pour investigations, update ASAP ; user : ndzie mbene lionnel</t>
        </is>
      </c>
    </row>
    <row r="62">
      <c r="A62" s="96" t="n">
        <v>46141</v>
      </c>
      <c r="B62" t="inlineStr">
        <is>
          <t>laboratorie-T.Bella</t>
        </is>
      </c>
      <c r="C62" t="inlineStr">
        <is>
          <t>CTR_937</t>
        </is>
      </c>
      <c r="D62" t="inlineStr"/>
      <c r="E62" t="inlineStr">
        <is>
          <t>ESCO</t>
        </is>
      </c>
      <c r="F62" t="inlineStr"/>
      <c r="G62" t="inlineStr">
        <is>
          <t>CENTRE</t>
        </is>
      </c>
      <c r="H62" t="inlineStr">
        <is>
          <t>Yaounde</t>
        </is>
      </c>
      <c r="I62" t="inlineStr"/>
      <c r="J62" t="n">
        <v>5.478669832020431</v>
      </c>
      <c r="K62" t="n">
        <v>4.662992883639172</v>
      </c>
      <c r="L62" t="n">
        <v>13.5412083823082</v>
      </c>
      <c r="M62" t="n">
        <v>9.409359278378462</v>
      </c>
      <c r="N62" t="inlineStr">
        <is>
          <t>Operationnel</t>
        </is>
      </c>
      <c r="O62" t="inlineStr"/>
      <c r="P62" t="inlineStr">
        <is>
          <t>BSS</t>
        </is>
      </c>
      <c r="Q62" t="inlineStr">
        <is>
          <t>RAN ISSUE</t>
        </is>
      </c>
      <c r="R62" t="inlineStr">
        <is>
          <t>BSS Hardware issue</t>
        </is>
      </c>
      <c r="S62" t="inlineStr">
        <is>
          <t>ACTIVE</t>
        </is>
      </c>
      <c r="T62" t="inlineStr">
        <is>
          <t>04/29/2026: hardware issue,  site with GPS issue (alarm : TDD down 09Apr 02pm)</t>
        </is>
      </c>
      <c r="U62" t="inlineStr">
        <is>
          <t>04/29/2026 : hardware issue, site with GPS issue (alarm : TDD down 09Apr 02pm)</t>
        </is>
      </c>
    </row>
    <row r="63">
      <c r="A63" s="96" t="n">
        <v>46141</v>
      </c>
      <c r="B63" t="inlineStr">
        <is>
          <t>Bertoua-Hopital-IHS</t>
        </is>
      </c>
      <c r="C63" t="inlineStr">
        <is>
          <t>EST_152</t>
        </is>
      </c>
      <c r="D63" t="inlineStr"/>
      <c r="E63" t="inlineStr">
        <is>
          <t>IHS</t>
        </is>
      </c>
      <c r="F63" t="inlineStr">
        <is>
          <t>Grid + Gen</t>
        </is>
      </c>
      <c r="G63" t="inlineStr">
        <is>
          <t>EST</t>
        </is>
      </c>
      <c r="H63" t="inlineStr">
        <is>
          <t>Bertoua</t>
        </is>
      </c>
      <c r="I63" t="inlineStr"/>
      <c r="J63" t="n">
        <v>5.657894999780184</v>
      </c>
      <c r="K63" t="n">
        <v>9.847419426679043</v>
      </c>
      <c r="L63" t="n">
        <v>10.15257175501842</v>
      </c>
      <c r="M63" t="n">
        <v>9.408289173679419</v>
      </c>
      <c r="N63" t="inlineStr">
        <is>
          <t>Operationnel</t>
        </is>
      </c>
      <c r="O63" t="inlineStr"/>
      <c r="P63" t="inlineStr">
        <is>
          <t>IHS GRID ONLY</t>
        </is>
      </c>
      <c r="Q63" t="inlineStr">
        <is>
          <t>POWER ISSUE</t>
        </is>
      </c>
      <c r="R63" t="inlineStr">
        <is>
          <t>Coupure ENEO &amp; Baisse de tension</t>
        </is>
      </c>
      <c r="S63" t="inlineStr">
        <is>
          <t>PASSIVE</t>
        </is>
      </c>
      <c r="T63" t="inlineStr">
        <is>
          <t>(04/29/2026 retour IHS): Power issue NUR to be checked   ||   (04/29/2026 ticket): INC-20260429-00005786  ;  Others Transmission equipement fault</t>
        </is>
      </c>
      <c r="U63" t="inlineStr">
        <is>
          <t>04/29/2026 retour IHS) : Power issue NUR to be checked || : ;</t>
        </is>
      </c>
    </row>
    <row r="64">
      <c r="A64" s="96" t="n">
        <v>46141</v>
      </c>
      <c r="B64" t="inlineStr">
        <is>
          <t>Kribi-Bwambe-II</t>
        </is>
      </c>
      <c r="C64" t="inlineStr">
        <is>
          <t>SUD_093</t>
        </is>
      </c>
      <c r="D64" t="inlineStr"/>
      <c r="E64" t="inlineStr">
        <is>
          <t>CAMUSAT</t>
        </is>
      </c>
      <c r="F64" t="inlineStr">
        <is>
          <t>Good Grid + GE</t>
        </is>
      </c>
      <c r="G64" t="inlineStr">
        <is>
          <t>SUD</t>
        </is>
      </c>
      <c r="H64" t="inlineStr">
        <is>
          <t>Kribi</t>
        </is>
      </c>
      <c r="I64" t="inlineStr"/>
      <c r="J64" t="n">
        <v>5.574589643058403</v>
      </c>
      <c r="K64" t="n">
        <v>9.889814134799444</v>
      </c>
      <c r="L64" t="n">
        <v>10.07722843847334</v>
      </c>
      <c r="M64" t="n">
        <v>9.371334891405775</v>
      </c>
      <c r="N64" t="inlineStr">
        <is>
          <t>Operationnel</t>
        </is>
      </c>
      <c r="O64" t="inlineStr"/>
      <c r="P64" t="inlineStr">
        <is>
          <t>AKTIVCO</t>
        </is>
      </c>
      <c r="Q64" t="inlineStr">
        <is>
          <t>POWER ISSUE</t>
        </is>
      </c>
      <c r="R64" t="inlineStr">
        <is>
          <t>AKTIVCO Defaut GE &amp; Power Cabinet</t>
        </is>
      </c>
      <c r="S64" t="inlineStr">
        <is>
          <t>PASSIVE</t>
        </is>
      </c>
      <c r="T64" t="inlineStr">
        <is>
          <t>(04/29/2026 ticket): INC-20260429-00017647  ;  2026-04-29 22:15:26  ;  investigation ongoing / Our FME is informed and he is trying to reach the level 0  ;  user:OCM_NOC.CAMUSAT</t>
        </is>
      </c>
      <c r="U64" t="inlineStr">
        <is>
          <t>: ; 2026-04-29 22 : 15 : 26 ; investigation ongoing / Our FME is informed and he is trying to reach the level 0 ; user : OCM_NOC.CAMUSAT</t>
        </is>
      </c>
    </row>
    <row r="65">
      <c r="A65" s="96" t="n">
        <v>46141</v>
      </c>
      <c r="B65" t="inlineStr">
        <is>
          <t>Messassi-MTN-IHS</t>
        </is>
      </c>
      <c r="C65" t="inlineStr">
        <is>
          <t>CTR_468</t>
        </is>
      </c>
      <c r="D65" t="inlineStr"/>
      <c r="E65" t="inlineStr">
        <is>
          <t>IHS</t>
        </is>
      </c>
      <c r="F65" t="inlineStr">
        <is>
          <t>Grid-Gen</t>
        </is>
      </c>
      <c r="G65" t="inlineStr">
        <is>
          <t>CENTRE</t>
        </is>
      </c>
      <c r="H65" t="inlineStr">
        <is>
          <t>Yaounde</t>
        </is>
      </c>
      <c r="I65" t="inlineStr"/>
      <c r="J65" t="n">
        <v>6.791572245602676</v>
      </c>
      <c r="K65" t="n">
        <v>6.037155189707288</v>
      </c>
      <c r="L65" t="n">
        <v>12.01354825364931</v>
      </c>
      <c r="M65" t="n">
        <v>9.261506479127252</v>
      </c>
      <c r="N65" t="inlineStr">
        <is>
          <t>Operationnel</t>
        </is>
      </c>
      <c r="O65" t="inlineStr"/>
      <c r="P65" t="inlineStr">
        <is>
          <t>IHS GRID ONLY</t>
        </is>
      </c>
      <c r="Q65" t="inlineStr">
        <is>
          <t>POWER ISSUE</t>
        </is>
      </c>
      <c r="R65" t="inlineStr">
        <is>
          <t>Coupure ENEO &amp; Baisse de tension</t>
        </is>
      </c>
      <c r="S65" t="inlineStr">
        <is>
          <t>PASSIVE</t>
        </is>
      </c>
      <c r="T65" t="inlineStr">
        <is>
          <t>(04/29/2026 retour IHS): Power issue NUR to be checked   ||   (04/29/2026 hourly IHS): FME AHanda is informed ETA 08:25 PM..;..;(04/29/2026 ticket): INC-20260429-00019552</t>
        </is>
      </c>
      <c r="U65" t="inlineStr">
        <is>
          <t>04/29/2026 retour IHS) : Power issue NUR to be checked || : FME AHanda is informed ETA 08 : 25 PM.;.; :</t>
        </is>
      </c>
    </row>
    <row r="66">
      <c r="A66" s="96" t="n">
        <v>46141</v>
      </c>
      <c r="B66" t="inlineStr">
        <is>
          <t>SongLoulou-IHS</t>
        </is>
      </c>
      <c r="C66" t="inlineStr">
        <is>
          <t>LIT_200</t>
        </is>
      </c>
      <c r="D66" t="inlineStr"/>
      <c r="E66" t="inlineStr">
        <is>
          <t>IHS</t>
        </is>
      </c>
      <c r="F66" t="inlineStr">
        <is>
          <t>Grid-Gen</t>
        </is>
      </c>
      <c r="G66" t="inlineStr">
        <is>
          <t>LITTORAL</t>
        </is>
      </c>
      <c r="H66" t="inlineStr">
        <is>
          <t>Songloulou</t>
        </is>
      </c>
      <c r="I66" t="inlineStr"/>
      <c r="J66" t="n">
        <v>32.36956404445883</v>
      </c>
      <c r="K66" t="n">
        <v>13.77031120903332</v>
      </c>
      <c r="L66" t="n">
        <v>0</v>
      </c>
      <c r="M66" t="n">
        <v>9.245223052623469</v>
      </c>
      <c r="N66" t="inlineStr">
        <is>
          <t>Operationnel</t>
        </is>
      </c>
      <c r="O66" t="inlineStr"/>
      <c r="P66" t="inlineStr">
        <is>
          <t>SPARE-ISSUE</t>
        </is>
      </c>
      <c r="Q66" t="inlineStr">
        <is>
          <t>SPARE-ISSUE</t>
        </is>
      </c>
      <c r="R66" t="inlineStr">
        <is>
          <t>SPARE-ISSUE</t>
        </is>
      </c>
      <c r="S66" t="inlineStr">
        <is>
          <t>SPARE-ISSUE</t>
        </is>
      </c>
      <c r="T66" t="inlineStr">
        <is>
          <t>(04/29/2026 ocm ran 00h): 28.04.2026: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ODU MPT 7-8 G pas disponible et commande en cours vers OCM. Cable Eth, carte MPT et chassis en cours d'expédition de Douala pour Edea, ETD=24.04.26, ETR=25.04.26
23.04.26: ODU MPT 7-8G 3DB20858AC faulty, cable Eth faulty, carte MPT faulty, commande passée et vérifications du SPM en cours
23.04.26: FME sur site et investigations en cours, update ASAP
22.04.26: Check en cours avec le level 0 qui est sur site actuellement et si NOK, suite des investigations en hauteur ce 23.04.26
22.04.26; Besoin d'un FME sur site pour vérifier la chaine antennaire de l'ODU 3.1; FME Charly activé pour investigations, ETA=14H UTC..;..;(04/29/2026 com ran 17h): 29/04/2026 FME Charly route pour le site ETA=13H UTC 
28.04.2026: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ODU MPT 7-8 G pas disponible et commande en cours vers OCM. Cable Eth, carte MPT et chassis en cours d'expédition de Douala pour Edea, ETD=24.04.26, ETR=25.04.26
23.04.26: ODU MPT 7-8G 3DB20858AC faulty, cable Eth faulty, carte MPT faulty, commande passée et vérifications du SPM en cours
23.04.26: FME sur site et investigations en cours, update ASAP
22.04.26: Check en cours avec le level 0 qui est sur site actuellement et si NOK, suite des investigations en hauteur ce 23.04.26
22.04.26; Besoin d'un FME sur site pour vérifier la chaine antennaire de l'ODU 3.1; FME Charly activé pour investigations, ETA=14H UTC..;..;(04/29/2026 com ran 18h): 29/04/2026 Apres remplacement ODU et analyse BO TX lien depointer realignement prevu demain 30/04/2026 
29/04/2026 FME Charly route pour le site ETA=13H UTC 
28.04.2026: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ODU MPT 7-8 G pas disponible et commande en cours vers OCM. Cable Eth, carte MPT et chassis en cours d'expédition de Douala pour Edea, ETD=24.04.26, ETR=25.04.26
23.04.26: ODU MPT 7-8G 3DB20858AC faulty, cable Eth faulty, carte MPT faulty, commande passée et vérifications du SPM en cours
23.04.26: FME sur site et investigations en cours, update ASAP
22.04.26: Check en cours avec le level 0 qui est sur site actuellement et si NOK, suite des investigations en hauteur ce 23.04.26
22.04.26; Besoin d'un FME sur site pour vérifier la chaine antennaire de l'ODU 3.1; FME Charly activé pour investigations, ETA=14H UTC</t>
        </is>
      </c>
      <c r="U66" t="inlineStr">
        <is>
          <t>: 28.04.2026 :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 ODU MPT 7-8 G pas disponible et commande en cours vers OCM. Cable Eth, carte MPT et chassis en cours d'expédition de Douala pour Edea, ETD=24.04.26, ETR=25.04.26 23.04.26 : ODU MPT 7-8G 3DB20858AC faulty, cable Eth faulty, carte MPT faulty, commande passée et vérifications du SPM en cours 23.04.26 : FME sur site et investigations en cours, update ASAP 22.04.26 : Check en cours avec le level 0 qui est sur site actuellement et si NOK, suite des investigations en hauteur ce 23.04.26 22.04.26; Besoin d'un FME sur site pour vérifier la chaine antennaire de l'ODU 3.1; FME Charly activé pour investigations, ETA=14H UTC.;.;(04/29/2026 com ran 17h) : 29/04/2026 FME Charly route pour le site ETA=13H UTC 28.04.2026 :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 ODU MPT 7-8 G pas disponible et commande en cours vers OCM. Cable Eth, carte MPT et chassis en cours d'expédition de Douala pour Edea, ETD=24.04.26, ETR=25.04.26 23.04.26 : ODU MPT 7-8G 3DB20858AC faulty, cable Eth faulty, carte MPT faulty, commande passée et vérifications du SPM en cours 23.04.26 : FME sur site et investigations en cours, update ASAP 22.04.26 : Check en cours avec le level 0 qui est sur site actuellement et si NOK, suite des investigations en hauteur ce 23.04.26 22.04.26; Besoin d'un FME sur site pour vérifier la chaine antennaire de l'ODU 3.1; FME Charly activé pour investigations, ETA=14H UTC.;.;(04/29/2026 com ran 18h) : 29/04/2026 Apres remplacement ODU et analyse BO TX lien depointer realignement prevu demain 30/04/2026 29/04/2026 FME Charly route pour le site ETA=13H UTC 28.04.2026 :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 ODU MPT 7-8 G pas disponible et commande en cours vers OCM. Cable Eth, carte MPT et chassis en cours d'expédition de Douala pour Edea, ETD=24.04.26, ETR=25.04.26 23.04.26 : ODU MPT 7-8G 3DB20858AC faulty, cable Eth faulty, carte MPT faulty, commande passée et vérifications du SPM en cours 23.04.26 : FME sur site et investigations en cours, update ASAP 22.04.26 : Check en cours avec le level 0 qui est sur site actuellement et si NOK, suite des investigations en hauteur ce 23.04.26 22.04.26; Besoin d'un FME sur site pour vérifier la chaine antennaire de l'ODU 3.1; FME Charly activé pour investigations, ETA=14H UTC</t>
        </is>
      </c>
    </row>
    <row r="67">
      <c r="A67" s="96" t="n">
        <v>46141</v>
      </c>
      <c r="B67" t="inlineStr">
        <is>
          <t>TCHEVI-IHS</t>
        </is>
      </c>
      <c r="C67" t="inlineStr">
        <is>
          <t>EXN_227</t>
        </is>
      </c>
      <c r="D67" t="inlineStr"/>
      <c r="E67" t="inlineStr">
        <is>
          <t>IHS</t>
        </is>
      </c>
      <c r="F67" t="inlineStr">
        <is>
          <t>Grid-Gen</t>
        </is>
      </c>
      <c r="G67" t="inlineStr">
        <is>
          <t>EXTREME-NORD</t>
        </is>
      </c>
      <c r="H67" t="inlineStr">
        <is>
          <t>Tchevi</t>
        </is>
      </c>
      <c r="I67" t="inlineStr"/>
      <c r="J67" t="n">
        <v>32.36731592388763</v>
      </c>
      <c r="K67" t="n">
        <v>13.77031120903332</v>
      </c>
      <c r="L67" t="n">
        <v>0</v>
      </c>
      <c r="M67" t="n">
        <v>9.244902021213758</v>
      </c>
      <c r="N67" t="inlineStr">
        <is>
          <t>EXCLU</t>
        </is>
      </c>
      <c r="O67" t="inlineStr">
        <is>
          <t>site vandalise</t>
        </is>
      </c>
      <c r="P67" t="inlineStr">
        <is>
          <t>Exclu</t>
        </is>
      </c>
      <c r="Q67" t="inlineStr">
        <is>
          <t>Exclu</t>
        </is>
      </c>
      <c r="R67" t="inlineStr">
        <is>
          <t>EXCLU</t>
        </is>
      </c>
      <c r="S67" t="inlineStr">
        <is>
          <t>Exclu</t>
        </is>
      </c>
      <c r="T67" t="inlineStr">
        <is>
          <t>(04/29/2026 cell nokia): 23/04/2026 : Relance faite hier 
22/04/2026 : Cable d'alimentation SPM vandaliser
21/04/2026 : Check breaker and  interconnection FXED, FXDB, FRMF (sfp, optical fiber) between system and radio module, swap its if needed || FME Tsafack ervis activer..;..;(04/29/2026 cell nokia): 23/04/2026 : Relance faite hier 
22/04/2026 : Cable d'alimentation SPM vandaliser
21/04/2026 : Check breaker and  interconnection FXED, FXDB, FRMF (sfp, optical fiber) between system and radio module, swap its if needed || FME Tsafack ervis activer..;..;(04/29/2026 cell nokia): 23/04/2026 : Relance faite hier 
22/04/2026 : Cable d'alimentation SPM vandaliser
21/04/2026 : Check breaker and  interconnection FXED, FXDB, FRMF (sfp, optical fiber) between system and radio module, swap its if needed || FME Tsafack ervis activer</t>
        </is>
      </c>
      <c r="U67" t="inlineStr">
        <is>
          <t>04/29/2026 cell nokia) : 23/04/2026 : Relance faite hier 22/04/2026 : Cable d'alimentation SPM vandaliser 21/04/2026 : Check breaker and interconnection FXED, FXDB, FRMF (sfp, optical fiber) between system and radio module, swap its if needed || FME Tsafack ervis activer.;.;(04/29/2026 cell nokia) : 23/04/2026 : Relance faite hier 22/04/2026 : Cable d'alimentation SPM vandaliser 21/04/2026 : Check breaker and interconnection FXED, FXDB, FRMF (sfp, optical fiber) between system and radio module, swap its if needed || FME Tsafack ervis activer.;.;(04/29/2026 cell nokia) : 23/04/2026 : Relance faite hier 22/04/2026 : Cable d'alimentation SPM vandaliser 21/04/2026 : Check breaker and interconnection FXED, FXDB, FRMF (sfp, optical fiber) between system and radio module, swap its if needed || FME Tsafack ervis activer</t>
        </is>
      </c>
    </row>
    <row r="68">
      <c r="A68" s="96" t="n">
        <v>46141</v>
      </c>
      <c r="B68" t="inlineStr">
        <is>
          <t>Alou-IHS</t>
        </is>
      </c>
      <c r="C68" t="inlineStr">
        <is>
          <t>SUO_133</t>
        </is>
      </c>
      <c r="D68" t="inlineStr"/>
      <c r="E68" t="inlineStr">
        <is>
          <t>IHS</t>
        </is>
      </c>
      <c r="F68" t="inlineStr">
        <is>
          <t>Grid-Gen</t>
        </is>
      </c>
      <c r="G68" t="inlineStr">
        <is>
          <t>SUD-OUEST</t>
        </is>
      </c>
      <c r="H68" t="inlineStr">
        <is>
          <t>Alou</t>
        </is>
      </c>
      <c r="I68" t="inlineStr"/>
      <c r="J68" t="n">
        <v>32.3643184297927</v>
      </c>
      <c r="K68" t="n">
        <v>13.77031120903332</v>
      </c>
      <c r="L68" t="n">
        <v>0</v>
      </c>
      <c r="M68" t="n">
        <v>9.24447397933414</v>
      </c>
      <c r="N68" t="inlineStr">
        <is>
          <t>Insecurity</t>
        </is>
      </c>
      <c r="O68" t="inlineStr"/>
      <c r="P68" t="inlineStr">
        <is>
          <t>ACCESS-ISSUE</t>
        </is>
      </c>
      <c r="Q68" t="inlineStr">
        <is>
          <t>ACCESS-ISSUE</t>
        </is>
      </c>
      <c r="R68" t="inlineStr">
        <is>
          <t>ACCESS-ISSUE</t>
        </is>
      </c>
      <c r="S68" t="inlineStr">
        <is>
          <t>ACCESS-ISSUE</t>
        </is>
      </c>
      <c r="T68" t="inlineStr">
        <is>
          <t>(04/29/2026 ocm ran 00h): 28.04.2026: Site to be visited 30/04/2026 if access possible 
27/06/2026 Access banned by Separatists
24.04.26; Access banned by Separatist
23.04.26: FME en route pour le site, ETA=13H UTC // Red zone 
22.04.26; Besoin d'un FME sur site pour vérifier l'état du FAN du MPR et le remplacer au besoin, PN: 3DB18134BBAD01 FME activé eta asap "..;..;(04/29/2026 com ran 17h): 29/04/2026 |plan for 30/04/2026 if access possible
28.04.2026: Site to be visited 30/04/2026 if access possible 
27/06/2026 Access banned by Separatists
24.04.26; Access banned by Separatist
23.04.26: FME en route pour le site, ETA=13H UTC // Red zone 
22.04.26; Besoin d'un FME sur site pour vérifier l'état du FAN du MPR et le remplacer au besoin, PN: 3DB18134BBAD01 FME activé eta asap "..;..;(04/29/2026 com ran 18h): 29/04/2026 |plan for 30/04/2026 if access possible
28.04.2026: Site to be visited 30/04/2026 if access possible 
27/06/2026 Access banned by Separatists
24.04.26; Access banned by Separatist
23.04.26: FME en route pour le site, ETA=13H UTC // Red zone 
22.04.26; Besoin d'un FME sur site pour vérifier l'état du FAN du MPR et le remplacer au besoin, PN: 3DB18134BBAD01 FME activé eta asap "</t>
        </is>
      </c>
      <c r="U68" t="inlineStr">
        <is>
          <t>: 28.04.2026 : Site to be visited 30/04/2026 if access possible 27/06/2026 Access banned by Separatists 24.04.26; Access banned by Separatist 23.04.26 : FME en route pour le site, ETA=13H UTC // Red zone 22.04.26; Besoin d'un FME sur site pour vérifier l'état du FAN du MPR et le remplacer au besoin, PN : 3DB18134BBAD01 FME activé eta asap ".;.;(04/29/2026 com ran 17h) : 29/04/2026 |plan for 30/04/2026 if access possible 28.04.2026 : Site to be visited 30/04/2026 if access possible 27/06/2026 Access banned by Separatists 24.04.26; Access banned by Separatist 23.04.26 : FME en route pour le site, ETA=13H UTC // Red zone 22.04.26; Besoin d'un FME sur site pour vérifier l'état du FAN du MPR et le remplacer au besoin, PN : 3DB18134BBAD01 FME activé eta asap ".;.;(04/29/2026 com ran 18h) : 29/04/2026 |plan for 30/04/2026 if access possible 28.04.2026 : Site to be visited 30/04/2026 if access possible 27/06/2026 Access banned by Separatists 24.04.26; Access banned by Separatist 23.04.26 : FME en route pour le site, ETA=13H UTC // Red zone 22.04.26; Besoin d'un FME sur site pour vérifier l'état du FAN du MPR et le remplacer au besoin, PN : 3DB18134BBAD01 FME activé eta asap "</t>
        </is>
      </c>
    </row>
    <row r="69">
      <c r="A69" s="96" t="n">
        <v>46141</v>
      </c>
      <c r="B69" t="inlineStr">
        <is>
          <t>Baba-Babungo-IHS</t>
        </is>
      </c>
      <c r="C69" t="inlineStr">
        <is>
          <t>NRO_085</t>
        </is>
      </c>
      <c r="D69" t="inlineStr"/>
      <c r="E69" t="inlineStr">
        <is>
          <t>IHS</t>
        </is>
      </c>
      <c r="F69" t="inlineStr">
        <is>
          <t>Grid-Hybrid-Gen</t>
        </is>
      </c>
      <c r="G69" t="inlineStr">
        <is>
          <t>NORD-OUEST</t>
        </is>
      </c>
      <c r="H69" t="inlineStr">
        <is>
          <t>Baba-Babungo</t>
        </is>
      </c>
      <c r="I69" t="inlineStr"/>
      <c r="J69" t="n">
        <v>32.3643184297927</v>
      </c>
      <c r="K69" t="n">
        <v>13.77031120903332</v>
      </c>
      <c r="L69" t="n">
        <v>0</v>
      </c>
      <c r="M69" t="n">
        <v>9.24447397933414</v>
      </c>
      <c r="N69" t="inlineStr">
        <is>
          <t>Insecurity</t>
        </is>
      </c>
      <c r="O69" t="inlineStr"/>
      <c r="P69" t="inlineStr">
        <is>
          <t>ACCESS-ISSUE</t>
        </is>
      </c>
      <c r="Q69" t="inlineStr">
        <is>
          <t>ACCESS-ISSUE</t>
        </is>
      </c>
      <c r="R69" t="inlineStr">
        <is>
          <t>ACCESS-ISSUE</t>
        </is>
      </c>
      <c r="S69" t="inlineStr">
        <is>
          <t>ACCESS-ISSUE</t>
        </is>
      </c>
      <c r="T69" t="inlineStr">
        <is>
          <t>(04/29/2026 ocm ran 00h): 28.04.2026: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Feedback MTN, Restoration team faces access issue due to insecurity, escalated to L5
10.04.26: Feedback MTN, Restoration team faces access issue due to insecurity, escalated to L5..;..;(04/29/2026 com ran 17h): 29/04/2026 |access not granted for this site for mow 
28.04.2026: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Feedback MTN, Restoration team faces access issue due to insecurity, escalated to L5
10.04.26: Feedback MTN, Restoration team faces access issue due to insecurity, escalated to L5..;..;(04/29/2026 com ran 18h): 29/04/2026 |access not granted for this site for mow 
28.04.2026: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Feedback MTN, Restoration team faces access issue due to insecurity, escalated to L5
10.04.26: Feedback MTN, Restoration team faces access issue due to insecurity, escalated to L5</t>
        </is>
      </c>
      <c r="U69" t="inlineStr">
        <is>
          <t>: 28.04.2026 :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 Feedback MTN, Restoration team faces access issue due to insecurity, escalated to L5 10.04.26 : Feedback MTN, Restoration team faces access issue due to insecurity, escalated to L5.;.;(04/29/2026 com ran 17h) : 29/04/2026 |access not granted for this site for mow 28.04.2026 :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 Feedback MTN, Restoration team faces access issue due to insecurity, escalated to L5 10.04.26 : Feedback MTN, Restoration team faces access issue due to insecurity, escalated to L5.;.;(04/29/2026 com ran 18h) : 29/04/2026 |access not granted for this site for mow 28.04.2026 :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 Feedback MTN, Restoration team faces access issue due to insecurity, escalated to L5 10.04.26 : Feedback MTN, Restoration team faces access issue due to insecurity, escalated to L5</t>
        </is>
      </c>
    </row>
    <row r="70">
      <c r="A70" s="96" t="n">
        <v>46141</v>
      </c>
      <c r="B70" t="inlineStr">
        <is>
          <t>Sodibanga</t>
        </is>
      </c>
      <c r="C70" t="inlineStr">
        <is>
          <t>LIT_515</t>
        </is>
      </c>
      <c r="D70" t="inlineStr"/>
      <c r="E70" t="inlineStr">
        <is>
          <t>IHS</t>
        </is>
      </c>
      <c r="F70" t="inlineStr">
        <is>
          <t>Hybrid-Gen</t>
        </is>
      </c>
      <c r="G70" t="inlineStr">
        <is>
          <t>LITTORAL</t>
        </is>
      </c>
      <c r="H70" t="inlineStr">
        <is>
          <t>Sodibanga</t>
        </is>
      </c>
      <c r="I70" t="inlineStr"/>
      <c r="J70" t="n">
        <v>32.3643184297927</v>
      </c>
      <c r="K70" t="n">
        <v>13.77031120903332</v>
      </c>
      <c r="L70" t="n">
        <v>0</v>
      </c>
      <c r="M70" t="n">
        <v>9.24447397933414</v>
      </c>
      <c r="N70" t="inlineStr">
        <is>
          <t>Operationnel</t>
        </is>
      </c>
      <c r="O70" t="inlineStr"/>
      <c r="P70" t="inlineStr">
        <is>
          <t>BSS</t>
        </is>
      </c>
      <c r="Q70" t="inlineStr">
        <is>
          <t>RAN ISSUE</t>
        </is>
      </c>
      <c r="R70" t="inlineStr">
        <is>
          <t>BSS Hardware issue</t>
        </is>
      </c>
      <c r="S70" t="inlineStr">
        <is>
          <t>ACTIVE</t>
        </is>
      </c>
      <c r="T70" t="inlineStr">
        <is>
          <t xml:space="preserve">(04/29/2026 cell nokia): 28/04/2026: || Forte pluie  dans la zone||Intervention pour demain 29/04/2026
27/04/2026 : Need BO RAN analysis || Check and clean jumper, port 2 of FRGU ..;..;(04/29/2026 cell nokia): 29/04/2026: FME est sur le site couper de songloulou. intervention demain 30/04/2026 || Yannick mba
28/04/2026: || Forte pluie  dans la zone||Intervention pour demain 29/04/2026
27/04/2026 : Need BO RAN analysis || Check and clean jumper, port 2 of FRGU ..;..;(04/29/2026 cell nokia): 29/04/2026: FME est sur le site couper de songloulou. intervention demain 30/04/2026 || Yannick mba
28/04/2026: || Forte pluie  dans la zone||Intervention pour demain 29/04/2026
27/04/2026 : Need BO RAN analysis || Check and clean jumper, port 2 of FRGU </t>
        </is>
      </c>
      <c r="U70" t="inlineStr">
        <is>
          <t>04/29/2026 cell nokia) : 28/04/2026 : || Forte pluie dans la zone || Intervention pour demain 29/04/2026 27/04/2026 : Need BO RAN analysis || Check and clean jumper, port 2 of FRGU .;.;(04/29/2026 cell nokia) : 29/04/2026 : FME est sur le site couper de songloulou. intervention demain 30/04/2026 || Yannick mba 28/04/2026 : || Forte pluie dans la zone || Intervention pour demain 29/04/2026 27/04/2026 : Need BO RAN analysis || Check and clean jumper, port 2 of FRGU .;.;(04/29/2026 cell nokia) : 29/04/2026 : FME est sur le site couper de songloulou. intervention demain 30/04/2026 || Yannick mba 28/04/2026 : || Forte pluie dans la zone || Intervention pour demain 29/04/2026 27/04/2026 : Need BO RAN analysis || Check and clean jumper, port 2 of FRGU</t>
        </is>
      </c>
    </row>
    <row r="71">
      <c r="A71" s="96" t="n">
        <v>46141</v>
      </c>
      <c r="B71" t="inlineStr">
        <is>
          <t>Nkoabang-South-MTN</t>
        </is>
      </c>
      <c r="C71" t="inlineStr">
        <is>
          <t>CTR_698</t>
        </is>
      </c>
      <c r="D71" t="inlineStr"/>
      <c r="E71" t="inlineStr">
        <is>
          <t>MTN sharing</t>
        </is>
      </c>
      <c r="F71" t="inlineStr"/>
      <c r="G71" t="inlineStr">
        <is>
          <t>CENTRE</t>
        </is>
      </c>
      <c r="H71" t="inlineStr">
        <is>
          <t>Yaounde</t>
        </is>
      </c>
      <c r="I71" t="inlineStr"/>
      <c r="J71" t="n">
        <v>8.032160114144574</v>
      </c>
      <c r="K71" t="n">
        <v>6.843079653600171</v>
      </c>
      <c r="L71" t="n">
        <v>11.08090538384257</v>
      </c>
      <c r="M71" t="n">
        <v>9.222857864413456</v>
      </c>
      <c r="N71" t="inlineStr">
        <is>
          <t>Operationnel</t>
        </is>
      </c>
      <c r="O71" t="inlineStr"/>
      <c r="P71" t="inlineStr">
        <is>
          <t>PDH</t>
        </is>
      </c>
      <c r="Q71" t="inlineStr">
        <is>
          <t>TX ISSUE</t>
        </is>
      </c>
      <c r="R71" t="inlineStr">
        <is>
          <t>MPR ISSUE</t>
        </is>
      </c>
      <c r="S71" t="inlineStr">
        <is>
          <t>ACTIVE</t>
        </is>
      </c>
      <c r="T71" t="inlineStr">
        <is>
          <t>(04/29/2026 ticket): INC-20260429-00020048  || (04/29/2026 top offenders): 30.04.26 FME en route ETA 09H30 
29.04.26: Besoin d'un FME sur site pour vérifier le statut du MPR; CM-20260429-00007559; FME Henri activé pour investigations, update ASAP</t>
        </is>
      </c>
      <c r="U71" t="inlineStr">
        <is>
          <t>: || (04/29/2026 top offenders) : 30.04.26 FME en route ETA 09H30 29.04.26 : Besoin d'un FME sur site pour vérifier le statut du MPR; ; FME Henri activé pour investigations, update ASAP</t>
        </is>
      </c>
    </row>
    <row r="72">
      <c r="A72" s="96" t="n">
        <v>46141</v>
      </c>
      <c r="B72" t="inlineStr">
        <is>
          <t>LIT_841_Z_PK12-BASSA-SODIKOMBO</t>
        </is>
      </c>
      <c r="C72" t="inlineStr">
        <is>
          <t>LIT_841</t>
        </is>
      </c>
      <c r="D72" t="inlineStr"/>
      <c r="E72" t="inlineStr">
        <is>
          <t>ESCO</t>
        </is>
      </c>
      <c r="F72" t="inlineStr">
        <is>
          <t>Medium Grid + GE</t>
        </is>
      </c>
      <c r="G72" t="inlineStr">
        <is>
          <t>LIT</t>
        </is>
      </c>
      <c r="H72" t="inlineStr">
        <is>
          <t>Douala</t>
        </is>
      </c>
      <c r="I72" t="inlineStr"/>
      <c r="J72" t="n">
        <v>4.209605769576634</v>
      </c>
      <c r="K72" t="n">
        <v>3.792307581151334</v>
      </c>
      <c r="L72" t="n">
        <v>13.35009696476217</v>
      </c>
      <c r="M72" t="n">
        <v>8.836175531413993</v>
      </c>
      <c r="N72" t="inlineStr">
        <is>
          <t>Operationnel</t>
        </is>
      </c>
      <c r="O72" t="inlineStr"/>
      <c r="P72" t="inlineStr">
        <is>
          <t>AKTIVCO</t>
        </is>
      </c>
      <c r="Q72" t="inlineStr">
        <is>
          <t>POWER ISSUE</t>
        </is>
      </c>
      <c r="R72" t="inlineStr">
        <is>
          <t>AKTIVCO Defaut GE &amp; Power Cabinet</t>
        </is>
      </c>
      <c r="S72" t="inlineStr">
        <is>
          <t>PASSIVE</t>
        </is>
      </c>
      <c r="T72" t="inlineStr">
        <is>
          <t>(04/29/2026 ocm ran 00h): 28.04.26: Camusat: FME is managing - Escalated to L2..;..;(04/29/2026 com ran 17h): Power status check ongoing..;..;(04/29/2026 com ran 18h): Power status check ongoing</t>
        </is>
      </c>
      <c r="U72" t="inlineStr">
        <is>
          <t>: 28.04.26 : Camusat : FME is managing - Escalated to L2.;.;(04/29/2026 com ran 17h) : ;(04/29/2026 com ran 18h) : Power status check ongoing</t>
        </is>
      </c>
    </row>
    <row r="73">
      <c r="A73" s="96" t="n">
        <v>46141</v>
      </c>
      <c r="B73" t="inlineStr">
        <is>
          <t>Nkoambang</t>
        </is>
      </c>
      <c r="C73" t="inlineStr">
        <is>
          <t>CTR_891</t>
        </is>
      </c>
      <c r="D73" t="inlineStr"/>
      <c r="E73" t="inlineStr">
        <is>
          <t>ESCO</t>
        </is>
      </c>
      <c r="F73" t="inlineStr">
        <is>
          <t>HGB</t>
        </is>
      </c>
      <c r="G73" t="inlineStr">
        <is>
          <t>CENTRE</t>
        </is>
      </c>
      <c r="H73" t="inlineStr">
        <is>
          <t>Nkoambang</t>
        </is>
      </c>
      <c r="I73" t="inlineStr"/>
      <c r="J73" t="n">
        <v>20.17763150006595</v>
      </c>
      <c r="K73" t="n">
        <v>0</v>
      </c>
      <c r="L73" t="n">
        <v>11.04116460589187</v>
      </c>
      <c r="M73" t="n">
        <v>8.639204926476673</v>
      </c>
      <c r="N73" t="inlineStr">
        <is>
          <t>Operationnel</t>
        </is>
      </c>
      <c r="O73" t="inlineStr"/>
      <c r="P73" t="inlineStr">
        <is>
          <t>BSS</t>
        </is>
      </c>
      <c r="Q73" t="inlineStr">
        <is>
          <t>RAN ISSUE</t>
        </is>
      </c>
      <c r="R73" t="inlineStr">
        <is>
          <t>BSS Hardware issue</t>
        </is>
      </c>
      <c r="S73" t="inlineStr">
        <is>
          <t>ACTIVE</t>
        </is>
      </c>
      <c r="T73" t="inlineStr">
        <is>
          <t>(04/29/2026 cell nokia): 29/04/2026 : Check breaker and  interconnection AHPMDA(sfp, optical fiber) between system and radio module, swap its if needed || FME raoul activer ||FME activier il verifie l'etat du power avec son vis a vis..;..;(04/29/2026 cell nokia): 29/04/2026 : Check breaker and  interconnection AHPMDA(sfp, optical fiber) between system and radio module, swap its if needed || FME raoul activer ||FME activier il verifie l'etat du power avec son vis a vis</t>
        </is>
      </c>
      <c r="U73" t="inlineStr">
        <is>
          <t>04/29/2026 cell nokia) : 29/04/2026 : Check breaker and interconnection AHPMDA(sfp, optical fiber) between system and radio module, swap its if needed || FME activier il verifie l'etat du power avec son vis a vis.;.;(04/29/2026 cell nokia) : 29/04/2026 : Check breaker and interconnection AHPMDA(sfp, optical fiber) between system and radio module, swap its if needed || FME activier il verifie l'etat du power avec son vis a vis</t>
        </is>
      </c>
    </row>
    <row r="74">
      <c r="A74" s="96" t="n">
        <v>46141</v>
      </c>
      <c r="B74" t="inlineStr">
        <is>
          <t>Logbessou-OCM</t>
        </is>
      </c>
      <c r="C74" t="inlineStr">
        <is>
          <t>LIT_680</t>
        </is>
      </c>
      <c r="D74" t="inlineStr"/>
      <c r="E74" t="inlineStr">
        <is>
          <t>CAMUSAT</t>
        </is>
      </c>
      <c r="F74" t="inlineStr">
        <is>
          <t>Good Grid + GE</t>
        </is>
      </c>
      <c r="G74" t="inlineStr">
        <is>
          <t>LITTORAL</t>
        </is>
      </c>
      <c r="H74" t="inlineStr">
        <is>
          <t>Douala</t>
        </is>
      </c>
      <c r="I74" t="inlineStr"/>
      <c r="J74" t="n">
        <v>3.817058938727224</v>
      </c>
      <c r="K74" t="n">
        <v>3.249729693891081</v>
      </c>
      <c r="L74" t="n">
        <v>12.62754669302007</v>
      </c>
      <c r="M74" t="n">
        <v>8.22116852579523</v>
      </c>
      <c r="N74" t="inlineStr">
        <is>
          <t>Operationnel</t>
        </is>
      </c>
      <c r="O74" t="inlineStr"/>
      <c r="P74" t="inlineStr">
        <is>
          <t>AKTIVCO</t>
        </is>
      </c>
      <c r="Q74" t="inlineStr">
        <is>
          <t>POWER ISSUE</t>
        </is>
      </c>
      <c r="R74" t="inlineStr">
        <is>
          <t>AKTIVCO Defaut GE &amp; Power Cabinet</t>
        </is>
      </c>
      <c r="S74" t="inlineStr">
        <is>
          <t>PASSIVE</t>
        </is>
      </c>
      <c r="T74" t="inlineStr">
        <is>
          <t>(04/29/2026 ticket): INC-20260429-00005508  ;  2026-04-29 10:02:49  ;  FME is on the way ETA 11:15 AM  ;  user:OCM_NOC.CAMUSAT</t>
        </is>
      </c>
      <c r="U74" t="inlineStr">
        <is>
          <t>: ; 2026-04-29 10 : 02 : 49 ; FME is on the way ETA 11 : 15 AM ; user : OCM_NOC.CAMUSAT</t>
        </is>
      </c>
    </row>
    <row r="75">
      <c r="A75" s="96" t="n">
        <v>46141</v>
      </c>
      <c r="B75" t="inlineStr">
        <is>
          <t>CTR_951_Z_Odza-Entree-Plaque-LB</t>
        </is>
      </c>
      <c r="C75" t="inlineStr">
        <is>
          <t>CTR_951</t>
        </is>
      </c>
      <c r="D75" t="inlineStr"/>
      <c r="E75" t="inlineStr">
        <is>
          <t>ESCO</t>
        </is>
      </c>
      <c r="F75" t="inlineStr">
        <is>
          <t>Good Grid + Solar + GE</t>
        </is>
      </c>
      <c r="G75" t="inlineStr">
        <is>
          <t>CENTRE</t>
        </is>
      </c>
      <c r="H75" t="inlineStr">
        <is>
          <t>Yaoundé</t>
        </is>
      </c>
      <c r="I75" t="inlineStr"/>
      <c r="J75" t="n">
        <v>5.265098377756196</v>
      </c>
      <c r="K75" t="n">
        <v>4.488420188296255</v>
      </c>
      <c r="L75" t="n">
        <v>11.15689850656756</v>
      </c>
      <c r="M75" t="n">
        <v>8.076864907129179</v>
      </c>
      <c r="N75" t="inlineStr">
        <is>
          <t>Operationnel</t>
        </is>
      </c>
      <c r="O75" t="inlineStr"/>
      <c r="P75" t="inlineStr">
        <is>
          <t>PDH</t>
        </is>
      </c>
      <c r="Q75" t="inlineStr">
        <is>
          <t>TX ISSUE</t>
        </is>
      </c>
      <c r="R75" t="inlineStr">
        <is>
          <t>ODU HS</t>
        </is>
      </c>
      <c r="S75" t="inlineStr">
        <is>
          <t>ACTIVE</t>
        </is>
      </c>
      <c r="T75" t="inlineStr">
        <is>
          <t>(04/29/2026 top offenders): 30/04/2026 FME en route pour le site ETA=11H30 UTC  || (04/29/2026 top offenders): 30/04/2026 FME en route pour le site ETA=11H30 UTC 
29.04.26: There is ICP alarm between ODU and EASv2 board. Activate FME at NKOLDA-NEW check ODU 5/1 antenna line; FME Crislain activé pour investigations, update ASAP</t>
        </is>
      </c>
      <c r="U75" t="inlineStr">
        <is>
          <t>04/29/2026 top offenders) : 30/04/2026 FME en route pour le site ETA=11H30 UTC || (04/29/2026 top offenders) : 30/04/2026 FME en route pour le site ETA=11H30 UTC 29.04.26 : There is ICP alarm between ODU and EASv2 board. Activate FME at NKOLDA-NEW check ODU 5/1 antenna line; FME Crislain activé pour investigations, update ASAP</t>
        </is>
      </c>
    </row>
    <row r="76">
      <c r="A76" s="96" t="n">
        <v>46141</v>
      </c>
      <c r="B76" t="inlineStr">
        <is>
          <t>Nkolfoulou-CSD</t>
        </is>
      </c>
      <c r="C76" t="inlineStr">
        <is>
          <t>CTR_712</t>
        </is>
      </c>
      <c r="D76" t="inlineStr"/>
      <c r="E76" t="inlineStr">
        <is>
          <t>CAMUSAT</t>
        </is>
      </c>
      <c r="F76" t="inlineStr">
        <is>
          <t>Medium Grid + GE</t>
        </is>
      </c>
      <c r="G76" t="inlineStr">
        <is>
          <t>CENTRE</t>
        </is>
      </c>
      <c r="H76" t="inlineStr">
        <is>
          <t>Yaounde</t>
        </is>
      </c>
      <c r="I76" t="inlineStr"/>
      <c r="J76" t="n">
        <v>6.835285701153836</v>
      </c>
      <c r="K76" t="n">
        <v>5.837719432459172</v>
      </c>
      <c r="L76" t="n">
        <v>9.796204365822001</v>
      </c>
      <c r="M76" t="n">
        <v>8.044476404904788</v>
      </c>
      <c r="N76" t="inlineStr">
        <is>
          <t>Operationnel</t>
        </is>
      </c>
      <c r="O76" t="inlineStr"/>
      <c r="P76" t="inlineStr">
        <is>
          <t>AKTIVCO</t>
        </is>
      </c>
      <c r="Q76" t="inlineStr">
        <is>
          <t>POWER ISSUE</t>
        </is>
      </c>
      <c r="R76" t="inlineStr">
        <is>
          <t>AKTIVCO Defaut GE &amp; Power Cabinet</t>
        </is>
      </c>
      <c r="S76" t="inlineStr">
        <is>
          <t>PASSIVE</t>
        </is>
      </c>
      <c r="T76" t="inlineStr">
        <is>
          <t>29.04.26: There is ICP alarm between ODU and EASv2 board. Activate FME at NKOLDA-NEW check ODU 5/1 antenna line; FME Crislain activé pour investigations, update ASAP</t>
        </is>
      </c>
      <c r="U76" t="inlineStr">
        <is>
          <t>29.04.26 : There is ICP alarm between ODU and EASv2 board. Activate FME at NKOLDA-NEW check ODU 5/1 antenna line; FME Crislain activé pour investigations, update ASAP</t>
        </is>
      </c>
    </row>
    <row r="77">
      <c r="A77" s="96" t="n">
        <v>46141</v>
      </c>
      <c r="B77" t="inlineStr">
        <is>
          <t>Montee-Jouvence-II-IHS</t>
        </is>
      </c>
      <c r="C77" t="inlineStr">
        <is>
          <t>CTR_154</t>
        </is>
      </c>
      <c r="D77" t="inlineStr"/>
      <c r="E77" t="inlineStr">
        <is>
          <t>IHS</t>
        </is>
      </c>
      <c r="F77" t="inlineStr">
        <is>
          <t>Grid-Gen</t>
        </is>
      </c>
      <c r="G77" t="inlineStr">
        <is>
          <t>CENTRE</t>
        </is>
      </c>
      <c r="H77" t="inlineStr">
        <is>
          <t>Yaounde</t>
        </is>
      </c>
      <c r="I77" t="inlineStr"/>
      <c r="J77" t="n">
        <v>6.42550327925854</v>
      </c>
      <c r="K77" t="n">
        <v>5.477205034833788</v>
      </c>
      <c r="L77" t="n">
        <v>9.234087819868801</v>
      </c>
      <c r="M77" t="n">
        <v>7.571793324258845</v>
      </c>
      <c r="N77" t="inlineStr">
        <is>
          <t>Operationnel</t>
        </is>
      </c>
      <c r="O77" t="inlineStr"/>
      <c r="P77" t="inlineStr">
        <is>
          <t>IHS</t>
        </is>
      </c>
      <c r="Q77" t="inlineStr">
        <is>
          <t>POWER ISSUE</t>
        </is>
      </c>
      <c r="R77" t="inlineStr">
        <is>
          <t>Defaut GE &amp; Power Cabinet</t>
        </is>
      </c>
      <c r="S77" t="inlineStr">
        <is>
          <t>PASSIVE</t>
        </is>
      </c>
      <c r="T77" t="inlineStr">
        <is>
          <t>(04/29/2026 ticket): INC-20260429-00017745  ;  2026-04-29 22:46:31  ;  MTN alerté pour vérifier le power  ;  user:MAMBO JEAN VALDEZ</t>
        </is>
      </c>
      <c r="U77" t="inlineStr">
        <is>
          <t>: ; 2026-04-29 22 : 46 : 31 ; MTN alerté pour vérifier le power ; user : MAMBO JEAN VALDEZ</t>
        </is>
      </c>
    </row>
    <row r="78">
      <c r="A78" s="96" t="n">
        <v>46141</v>
      </c>
      <c r="B78" t="inlineStr">
        <is>
          <t>Ekekam-MTN-IHS</t>
        </is>
      </c>
      <c r="C78" t="inlineStr">
        <is>
          <t>CTR_694</t>
        </is>
      </c>
      <c r="D78" t="inlineStr"/>
      <c r="E78" t="inlineStr">
        <is>
          <t>IHS</t>
        </is>
      </c>
      <c r="F78" t="inlineStr">
        <is>
          <t>Gen-Lithium</t>
        </is>
      </c>
      <c r="G78" t="inlineStr">
        <is>
          <t>CENTRE</t>
        </is>
      </c>
      <c r="H78" t="inlineStr">
        <is>
          <t>Yaounde</t>
        </is>
      </c>
      <c r="I78" t="inlineStr"/>
      <c r="J78" t="n">
        <v>0</v>
      </c>
      <c r="K78" t="n">
        <v>21.20001037023437</v>
      </c>
      <c r="L78" t="n">
        <v>0.4839781300983358</v>
      </c>
      <c r="M78" t="n">
        <v>7.369477059938575</v>
      </c>
      <c r="N78" t="inlineStr">
        <is>
          <t>Operationnel</t>
        </is>
      </c>
      <c r="O78" t="inlineStr"/>
      <c r="P78" t="inlineStr">
        <is>
          <t>PDH</t>
        </is>
      </c>
      <c r="Q78" t="inlineStr">
        <is>
          <t>TX ISSUE</t>
        </is>
      </c>
      <c r="R78" t="inlineStr">
        <is>
          <t>ODU HS</t>
        </is>
      </c>
      <c r="S78" t="inlineStr">
        <is>
          <t>ACTIVE</t>
        </is>
      </c>
      <c r="T78" t="inlineStr">
        <is>
          <t>(04/29/2026 ocm ran 00h): 28.04.2026: FME Sur site intervention retardee par la pluie. Update ASAP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CM-20260421-00002876; FME Brice activé pour investigations, ETA=18H UTC..;..;(04/29/2026 ticket): INC-20260429-00006934  ;  Others Transmission equipement fault</t>
        </is>
      </c>
      <c r="U78" t="inlineStr">
        <is>
          <t>: 28.04.2026 : FME Sur site intervention retardee par la pluie. Update ASAP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 FME Brice activé pour investigations, ETA=18H UTC.;.; : ;</t>
        </is>
      </c>
    </row>
    <row r="79">
      <c r="A79" s="96" t="n">
        <v>46141</v>
      </c>
      <c r="B79" t="inlineStr">
        <is>
          <t>Bouba-Ndjida-Park</t>
        </is>
      </c>
      <c r="C79" t="inlineStr">
        <is>
          <t>NRD_167</t>
        </is>
      </c>
      <c r="D79" t="inlineStr"/>
      <c r="E79" t="inlineStr">
        <is>
          <t>CAMUSAT</t>
        </is>
      </c>
      <c r="F79" t="inlineStr">
        <is>
          <t>Hybrid Solar - S3</t>
        </is>
      </c>
      <c r="G79" t="inlineStr">
        <is>
          <t>NORD</t>
        </is>
      </c>
      <c r="H79" t="inlineStr">
        <is>
          <t>Bouba-Ndjida</t>
        </is>
      </c>
      <c r="I79" t="inlineStr"/>
      <c r="J79" t="n">
        <v>0</v>
      </c>
      <c r="K79" t="n">
        <v>21.9049950528882</v>
      </c>
      <c r="L79" t="n">
        <v>0</v>
      </c>
      <c r="M79" t="n">
        <v>7.353759491828681</v>
      </c>
      <c r="N79" t="inlineStr">
        <is>
          <t>EXCLU</t>
        </is>
      </c>
      <c r="O79" t="inlineStr"/>
      <c r="P79" t="inlineStr">
        <is>
          <t>Exclu</t>
        </is>
      </c>
      <c r="Q79" t="inlineStr">
        <is>
          <t>Exclu</t>
        </is>
      </c>
      <c r="R79" t="inlineStr">
        <is>
          <t>EXCLU</t>
        </is>
      </c>
      <c r="S79" t="inlineStr">
        <is>
          <t>Exclu</t>
        </is>
      </c>
      <c r="T79" t="inlineStr">
        <is>
          <t>(04/29/2026 ocm ran 00h): 28.04.26: Camusat Our technician is trying to reach the guard - Escalated to L2</t>
        </is>
      </c>
      <c r="U79" t="inlineStr">
        <is>
          <t>: 28.04.26 : Camusat Our technician is trying to reach the guard - Escalated to L2</t>
        </is>
      </c>
    </row>
    <row r="80">
      <c r="A80" s="96" t="n">
        <v>46141</v>
      </c>
      <c r="B80" t="inlineStr">
        <is>
          <t>Nkometou-II</t>
        </is>
      </c>
      <c r="C80" t="inlineStr">
        <is>
          <t>CTR_750</t>
        </is>
      </c>
      <c r="D80" t="inlineStr"/>
      <c r="E80" t="inlineStr">
        <is>
          <t>CAMUSAT</t>
        </is>
      </c>
      <c r="F80" t="inlineStr">
        <is>
          <t>Hybrid Solar - S1</t>
        </is>
      </c>
      <c r="G80" t="inlineStr">
        <is>
          <t>CENTRE</t>
        </is>
      </c>
      <c r="H80" t="inlineStr">
        <is>
          <t>Yaounde</t>
        </is>
      </c>
      <c r="I80" t="inlineStr"/>
      <c r="J80" t="n">
        <v>4.254193494238816</v>
      </c>
      <c r="K80" t="n">
        <v>3.726909228148556</v>
      </c>
      <c r="L80" t="n">
        <v>10.34217835825306</v>
      </c>
      <c r="M80" t="n">
        <v>7.251992534949618</v>
      </c>
      <c r="N80" t="inlineStr">
        <is>
          <t>Operationnel</t>
        </is>
      </c>
      <c r="O80" t="inlineStr"/>
      <c r="P80" t="inlineStr">
        <is>
          <t>AKTIVCO</t>
        </is>
      </c>
      <c r="Q80" t="inlineStr">
        <is>
          <t>POWER ISSUE</t>
        </is>
      </c>
      <c r="R80" t="inlineStr">
        <is>
          <t>AKTIVCO Defaut GE &amp; Power Cabinet</t>
        </is>
      </c>
      <c r="S80" t="inlineStr">
        <is>
          <t>PASSIVE</t>
        </is>
      </c>
      <c r="T80" t="inlineStr">
        <is>
          <t>(04/29/2026 ticket): INC-20260429-00014071  ;  Others Transmission equipement fault || (04/29/2026 retour CAMUSAT): GE en stop mode</t>
        </is>
      </c>
      <c r="U80" t="inlineStr">
        <is>
          <t>: ; || (04/29/2026 retour CAMUSAT) : GE en stop mode</t>
        </is>
      </c>
    </row>
    <row r="81">
      <c r="A81" s="96" t="n">
        <v>46141</v>
      </c>
      <c r="B81" t="inlineStr">
        <is>
          <t>Meyo-II</t>
        </is>
      </c>
      <c r="C81" t="inlineStr">
        <is>
          <t>CTR_850</t>
        </is>
      </c>
      <c r="D81" t="inlineStr"/>
      <c r="E81" t="inlineStr">
        <is>
          <t>CAMUSAT</t>
        </is>
      </c>
      <c r="F81" t="inlineStr">
        <is>
          <t>Good Grid no GE - 8h</t>
        </is>
      </c>
      <c r="G81" t="inlineStr">
        <is>
          <t>CENTRE</t>
        </is>
      </c>
      <c r="H81" t="inlineStr">
        <is>
          <t>Binguela</t>
        </is>
      </c>
      <c r="I81" t="inlineStr"/>
      <c r="J81" t="n">
        <v>6.167718787093989</v>
      </c>
      <c r="K81" t="n">
        <v>5.25758132133786</v>
      </c>
      <c r="L81" t="n">
        <v>8.772383428875361</v>
      </c>
      <c r="M81" t="n">
        <v>7.22047795156278</v>
      </c>
      <c r="N81" t="inlineStr">
        <is>
          <t>Operationnel</t>
        </is>
      </c>
      <c r="O81" t="inlineStr"/>
      <c r="P81" t="inlineStr">
        <is>
          <t>AKTIVCO GRID ONLY</t>
        </is>
      </c>
      <c r="Q81" t="inlineStr">
        <is>
          <t>POWER ISSUE</t>
        </is>
      </c>
      <c r="R81" t="inlineStr">
        <is>
          <t>AKTIVCO Coupure ENEO &amp; Baisse de tension</t>
        </is>
      </c>
      <c r="S81" t="inlineStr">
        <is>
          <t>PASSIVE</t>
        </is>
      </c>
      <c r="T81" t="inlineStr">
        <is>
          <t>(04/29/2026 ticket): INC-20260429-00003858  ;  2026-04-29 08:20:33  ;  No power issue, Ubaie = 54.7V site on GEN. TX FME Yaya 694806622 / HUAWEI is informed.  ;  Others Transmission equipement fault  ;  user:OCM_NOC.IHS || (04/29/2026 top offenders): 29.04.26: Camusat: grid outage and gen cannot be started due to noise disturbance /awaiting grid return</t>
        </is>
      </c>
      <c r="U81" t="inlineStr">
        <is>
          <t>: ; 2026-04-29 08 : 20 : 33 ; No power issue, Ubaie = 54.7V site on GEN. TX FME Yaya 694806622 / HUAWEI is informed. ; user : OCM_NOC.IHS || (04/29/2026 top offenders) : 29.04.26 : Camusat : grid outage and gen cannot be started due to noise disturbance /awaiting grid return</t>
        </is>
      </c>
    </row>
    <row r="82">
      <c r="A82" s="96" t="n">
        <v>46141</v>
      </c>
      <c r="B82" t="inlineStr">
        <is>
          <t>CTR_935_Z_BATA-Mokolo-II-HIS</t>
        </is>
      </c>
      <c r="C82" t="inlineStr">
        <is>
          <t>CTR_935</t>
        </is>
      </c>
      <c r="D82" t="inlineStr"/>
      <c r="E82" t="inlineStr">
        <is>
          <t>I_HS</t>
        </is>
      </c>
      <c r="F82" t="inlineStr">
        <is>
          <t>Grid Only</t>
        </is>
      </c>
      <c r="G82" t="inlineStr">
        <is>
          <t>CENTRE</t>
        </is>
      </c>
      <c r="H82" t="inlineStr">
        <is>
          <t>Yaoundé</t>
        </is>
      </c>
      <c r="I82" t="inlineStr"/>
      <c r="J82" t="n">
        <v>3.095162444196651</v>
      </c>
      <c r="K82" t="n">
        <v>2.676497988854548</v>
      </c>
      <c r="L82" t="n">
        <v>10.7760778848111</v>
      </c>
      <c r="M82" t="n">
        <v>6.960121478285429</v>
      </c>
      <c r="N82" t="inlineStr">
        <is>
          <t>Operationnel</t>
        </is>
      </c>
      <c r="O82" t="inlineStr"/>
      <c r="P82" t="inlineStr">
        <is>
          <t>IHS GRID ONLY</t>
        </is>
      </c>
      <c r="Q82" t="inlineStr">
        <is>
          <t>POWER ISSUE</t>
        </is>
      </c>
      <c r="R82" t="inlineStr">
        <is>
          <t>Coupure ENEO &amp; Baisse de tension</t>
        </is>
      </c>
      <c r="S82" t="inlineStr">
        <is>
          <t>PASSIVE</t>
        </is>
      </c>
      <c r="T82" t="inlineStr">
        <is>
          <t>(04/29/2026 retour IHS): Power issue NUR to be checked   ||   (04/29/2026 hourly IHS): Grid outage, MDG Deploiement ongoing..;..;(04/29/2026 ticket): INC-20260429-00002711  ;  Others Transmission equipement fault</t>
        </is>
      </c>
      <c r="U82" t="inlineStr">
        <is>
          <t>04/29/2026 retour IHS) : Power issue NUR to be checked || : Grid outage, MDG Deploiement ongoing.;.; : ;</t>
        </is>
      </c>
    </row>
    <row r="83">
      <c r="A83" s="96" t="n">
        <v>46141</v>
      </c>
      <c r="B83" t="inlineStr">
        <is>
          <t>Ngona-II</t>
        </is>
      </c>
      <c r="C83" t="inlineStr">
        <is>
          <t>CTR_709</t>
        </is>
      </c>
      <c r="D83" t="inlineStr"/>
      <c r="E83" t="inlineStr">
        <is>
          <t>CAMUSAT</t>
        </is>
      </c>
      <c r="F83" t="inlineStr">
        <is>
          <t>Good Grid + GE</t>
        </is>
      </c>
      <c r="G83" t="inlineStr">
        <is>
          <t>CENTRE</t>
        </is>
      </c>
      <c r="H83" t="inlineStr">
        <is>
          <t>Yaounde</t>
        </is>
      </c>
      <c r="I83" t="inlineStr"/>
      <c r="J83" t="n">
        <v>3.540165421707453</v>
      </c>
      <c r="K83" t="n">
        <v>3.103632642097712</v>
      </c>
      <c r="L83" t="n">
        <v>10.03440963124936</v>
      </c>
      <c r="M83" t="n">
        <v>6.780290383611134</v>
      </c>
      <c r="N83" t="inlineStr">
        <is>
          <t>Operationnel</t>
        </is>
      </c>
      <c r="O83" t="inlineStr"/>
      <c r="P83" t="inlineStr">
        <is>
          <t>AKTIVCO</t>
        </is>
      </c>
      <c r="Q83" t="inlineStr">
        <is>
          <t>POWER ISSUE</t>
        </is>
      </c>
      <c r="R83" t="inlineStr">
        <is>
          <t>AKTIVCO Defaut GE &amp; Power Cabinet</t>
        </is>
      </c>
      <c r="S83" t="inlineStr">
        <is>
          <t>PASSIVE</t>
        </is>
      </c>
      <c r="T83" t="inlineStr">
        <is>
          <t>(04/29/2026 ticket): INC-20260429-00009626  ;  Rectifiers hanging due to MPR faulty. // Rectifiers reset.  ;  Rectifiers hanging due to MPR faulty. // Rectifiers reset.  ;  GE Fault  ;  Rectifiers hanging due to MPR faulty. // Rectifiers reset.</t>
        </is>
      </c>
      <c r="U83" t="inlineStr">
        <is>
          <t>: ; Rectifiers hanging due to MPR faulty. Rectifiers reset. Rectifiers hanging due to MPR faulty. Rectifiers reset. GE Fault ; Rectifiers hanging due to MPR faulty. Rectifiers reset.</t>
        </is>
      </c>
    </row>
    <row r="84">
      <c r="A84" s="96" t="n">
        <v>46141</v>
      </c>
      <c r="B84" t="inlineStr">
        <is>
          <t>Emia</t>
        </is>
      </c>
      <c r="C84" t="inlineStr">
        <is>
          <t>CTR_323</t>
        </is>
      </c>
      <c r="D84" t="inlineStr"/>
      <c r="E84" t="inlineStr">
        <is>
          <t>IHS</t>
        </is>
      </c>
      <c r="F84" t="inlineStr">
        <is>
          <t>Grid-Lithium</t>
        </is>
      </c>
      <c r="G84" t="inlineStr">
        <is>
          <t>CENTRE</t>
        </is>
      </c>
      <c r="H84" t="inlineStr">
        <is>
          <t>Yaounde</t>
        </is>
      </c>
      <c r="I84" t="inlineStr"/>
      <c r="J84" t="n">
        <v>0</v>
      </c>
      <c r="K84" t="n">
        <v>0.1396156553138105</v>
      </c>
      <c r="L84" t="n">
        <v>12.48643615100237</v>
      </c>
      <c r="M84" t="n">
        <v>6.558404174264411</v>
      </c>
      <c r="N84" t="inlineStr">
        <is>
          <t>Operationnel</t>
        </is>
      </c>
      <c r="O84" t="inlineStr"/>
      <c r="P84" t="inlineStr">
        <is>
          <t>BSS</t>
        </is>
      </c>
      <c r="Q84" t="inlineStr">
        <is>
          <t>RAN ISSUE</t>
        </is>
      </c>
      <c r="R84" t="inlineStr">
        <is>
          <t>BSS Hardware issue</t>
        </is>
      </c>
      <c r="S84" t="inlineStr">
        <is>
          <t>ACTIVE</t>
        </is>
      </c>
      <c r="T84" t="inlineStr">
        <is>
          <t>04/29/2026: hardware issue,  site with GPS issue (alarm : TDD down 09Apr 02pm)</t>
        </is>
      </c>
      <c r="U84" t="inlineStr">
        <is>
          <t>04/29/2026 : hardware issue, site with GPS issue (alarm : TDD down 09Apr 02pm)</t>
        </is>
      </c>
    </row>
    <row r="85">
      <c r="A85" s="96" t="n">
        <v>46141</v>
      </c>
      <c r="B85" t="inlineStr">
        <is>
          <t>Mayo-Oulo</t>
        </is>
      </c>
      <c r="C85" t="inlineStr">
        <is>
          <t>NRD_010</t>
        </is>
      </c>
      <c r="D85" t="inlineStr"/>
      <c r="E85" t="inlineStr">
        <is>
          <t>IHS</t>
        </is>
      </c>
      <c r="F85" t="inlineStr">
        <is>
          <t>Grid-Gen</t>
        </is>
      </c>
      <c r="G85" t="inlineStr">
        <is>
          <t>NORD</t>
        </is>
      </c>
      <c r="H85" t="inlineStr">
        <is>
          <t>Mayo-Oulo</t>
        </is>
      </c>
      <c r="I85" t="inlineStr"/>
      <c r="J85" t="n">
        <v>0</v>
      </c>
      <c r="K85" t="n">
        <v>18.87998918775564</v>
      </c>
      <c r="L85" t="n">
        <v>0</v>
      </c>
      <c r="M85" t="n">
        <v>6.338230132436157</v>
      </c>
      <c r="N85" t="inlineStr">
        <is>
          <t>Operationnel</t>
        </is>
      </c>
      <c r="O85" t="inlineStr"/>
      <c r="P85" t="inlineStr">
        <is>
          <t>BSS</t>
        </is>
      </c>
      <c r="Q85" t="inlineStr">
        <is>
          <t>RAN ISSUE</t>
        </is>
      </c>
      <c r="R85" t="inlineStr">
        <is>
          <t>BSS Hardware issue</t>
        </is>
      </c>
      <c r="S85" t="inlineStr">
        <is>
          <t>ACTIVE</t>
        </is>
      </c>
      <c r="T85" t="inlineStr">
        <is>
          <t>(04/29/2026 ocm ran 00h): 28.04.26: Besoin d'un FME sur site pour vérifier le statut de la BBU et son interco avec le MPR S1P5; FME Ervice activé pour investigations, update ASAP</t>
        </is>
      </c>
      <c r="U85" t="inlineStr">
        <is>
          <t>: 28.04.26 : Besoin d'un FME sur site pour vérifier le statut de la BBU et son interco avec le MPR S1P5; FME Ervice activé pour investigations, update ASAP</t>
        </is>
      </c>
    </row>
    <row r="86">
      <c r="A86" s="96" t="n">
        <v>46141</v>
      </c>
      <c r="B86" t="inlineStr">
        <is>
          <t>Garoua-Kolbives</t>
        </is>
      </c>
      <c r="C86" t="inlineStr">
        <is>
          <t>NRD_049</t>
        </is>
      </c>
      <c r="D86" t="inlineStr"/>
      <c r="E86" t="inlineStr">
        <is>
          <t>IHS</t>
        </is>
      </c>
      <c r="F86" t="inlineStr">
        <is>
          <t>Grid-Gen</t>
        </is>
      </c>
      <c r="G86" t="inlineStr">
        <is>
          <t>NORD</t>
        </is>
      </c>
      <c r="H86" t="inlineStr">
        <is>
          <t>Garoua</t>
        </is>
      </c>
      <c r="I86" t="inlineStr"/>
      <c r="J86" t="n">
        <v>7.548064817812309</v>
      </c>
      <c r="K86" t="n">
        <v>9.674440517355693</v>
      </c>
      <c r="L86" t="n">
        <v>3.671233914903024</v>
      </c>
      <c r="M86" t="n">
        <v>6.240190706925432</v>
      </c>
      <c r="N86" t="inlineStr">
        <is>
          <t>Operationnel</t>
        </is>
      </c>
      <c r="O86" t="inlineStr"/>
      <c r="P86" t="inlineStr">
        <is>
          <t>IHS GRID ONLY</t>
        </is>
      </c>
      <c r="Q86" t="inlineStr">
        <is>
          <t>POWER ISSUE</t>
        </is>
      </c>
      <c r="R86" t="inlineStr">
        <is>
          <t>Coupure ENEO &amp; Baisse de tension</t>
        </is>
      </c>
      <c r="S86" t="inlineStr">
        <is>
          <t>PASSIVE</t>
        </is>
      </c>
      <c r="T86" t="inlineStr">
        <is>
          <t>(04/29/2026 retour IHS): Power issue NUR to be checked   ||   (04/29/2026 hourly IHS): Fme is on site (franklin is informed )</t>
        </is>
      </c>
      <c r="U86" t="inlineStr">
        <is>
          <t>04/29/2026 retour IHS) : Power issue NUR to be checked || : Fme is on site (franklin is informed )</t>
        </is>
      </c>
    </row>
    <row r="87">
      <c r="A87" s="96" t="n">
        <v>46141</v>
      </c>
      <c r="B87" t="inlineStr">
        <is>
          <t>Nkol-Mbanda</t>
        </is>
      </c>
      <c r="C87" t="inlineStr">
        <is>
          <t>CTR_262</t>
        </is>
      </c>
      <c r="D87" t="inlineStr"/>
      <c r="E87" t="inlineStr">
        <is>
          <t>IHS</t>
        </is>
      </c>
      <c r="F87" t="inlineStr">
        <is>
          <t>Grid-Gen</t>
        </is>
      </c>
      <c r="G87" t="inlineStr">
        <is>
          <t>CENTRE</t>
        </is>
      </c>
      <c r="H87" t="inlineStr">
        <is>
          <t>Yaounde</t>
        </is>
      </c>
      <c r="I87" t="inlineStr"/>
      <c r="J87" t="n">
        <v>0</v>
      </c>
      <c r="K87" t="n">
        <v>0</v>
      </c>
      <c r="L87" t="n">
        <v>11.81963240943207</v>
      </c>
      <c r="M87" t="n">
        <v>6.163803066492026</v>
      </c>
      <c r="N87" t="inlineStr">
        <is>
          <t>Operationnel</t>
        </is>
      </c>
      <c r="O87" t="inlineStr"/>
      <c r="P87" t="inlineStr">
        <is>
          <t>BSS</t>
        </is>
      </c>
      <c r="Q87" t="inlineStr">
        <is>
          <t>RAN ISSUE</t>
        </is>
      </c>
      <c r="R87" t="inlineStr">
        <is>
          <t>BSS Hardware issue</t>
        </is>
      </c>
      <c r="S87" t="inlineStr">
        <is>
          <t>ACTIVE</t>
        </is>
      </c>
      <c r="T87" t="inlineStr">
        <is>
          <t>04/29/2026: hardware issue,  site with GPS issue (alarm : TDD down 09Apr 02pm)</t>
        </is>
      </c>
      <c r="U87" t="inlineStr">
        <is>
          <t>04/29/2026 : hardware issue, site with GPS issue (alarm : TDD down 09Apr 02pm)</t>
        </is>
      </c>
    </row>
    <row r="88">
      <c r="A88" s="96" t="n">
        <v>46141</v>
      </c>
      <c r="B88" t="inlineStr">
        <is>
          <t>Sapeur-Mimboman-IHS</t>
        </is>
      </c>
      <c r="C88" t="inlineStr">
        <is>
          <t>CTR_133</t>
        </is>
      </c>
      <c r="D88" t="inlineStr"/>
      <c r="E88" t="inlineStr">
        <is>
          <t>IHS</t>
        </is>
      </c>
      <c r="F88" t="inlineStr">
        <is>
          <t>Grid-Gen</t>
        </is>
      </c>
      <c r="G88" t="inlineStr">
        <is>
          <t>CENTRE</t>
        </is>
      </c>
      <c r="H88" t="inlineStr">
        <is>
          <t>Yaounde</t>
        </is>
      </c>
      <c r="I88" t="inlineStr"/>
      <c r="J88" t="n">
        <v>1.626015650915835</v>
      </c>
      <c r="K88" t="n">
        <v>2.092853548490195</v>
      </c>
      <c r="L88" t="n">
        <v>9.532280455800048</v>
      </c>
      <c r="M88" t="n">
        <v>5.905765153395942</v>
      </c>
      <c r="N88" t="inlineStr">
        <is>
          <t>Operationnel</t>
        </is>
      </c>
      <c r="O88" t="inlineStr"/>
      <c r="P88" t="inlineStr">
        <is>
          <t>IHS GRID ONLY</t>
        </is>
      </c>
      <c r="Q88" t="inlineStr">
        <is>
          <t>POWER ISSUE</t>
        </is>
      </c>
      <c r="R88" t="inlineStr">
        <is>
          <t>Coupure ENEO &amp; Baisse de tension</t>
        </is>
      </c>
      <c r="S88" t="inlineStr">
        <is>
          <t>PASSIVE</t>
        </is>
      </c>
      <c r="T88" t="inlineStr">
        <is>
          <t xml:space="preserve">(04/29/2026 retour IHS): Power issue NUR to be checked   ||   </t>
        </is>
      </c>
      <c r="U88" t="inlineStr">
        <is>
          <t>04/29/2026 retour IHS) : Power issue NUR to be checked ||</t>
        </is>
      </c>
    </row>
    <row r="89">
      <c r="A89" s="96" t="n">
        <v>46141</v>
      </c>
      <c r="B89" t="inlineStr">
        <is>
          <t>Elig-Edzoa</t>
        </is>
      </c>
      <c r="C89" t="inlineStr">
        <is>
          <t>CTR_075</t>
        </is>
      </c>
      <c r="D89" t="inlineStr"/>
      <c r="E89" t="inlineStr">
        <is>
          <t>IHS</t>
        </is>
      </c>
      <c r="F89" t="inlineStr">
        <is>
          <t>GridOnly</t>
        </is>
      </c>
      <c r="G89" t="inlineStr">
        <is>
          <t>CENTRE</t>
        </is>
      </c>
      <c r="H89" t="inlineStr">
        <is>
          <t>Yaounde</t>
        </is>
      </c>
      <c r="I89" t="inlineStr"/>
      <c r="J89" t="n">
        <v>0</v>
      </c>
      <c r="K89" t="n">
        <v>0.1411031889320704</v>
      </c>
      <c r="L89" t="n">
        <v>11.1044352076206</v>
      </c>
      <c r="M89" t="n">
        <v>5.838205876729647</v>
      </c>
      <c r="N89" t="inlineStr">
        <is>
          <t>Operationnel</t>
        </is>
      </c>
      <c r="O89" t="inlineStr"/>
      <c r="P89" t="inlineStr">
        <is>
          <t>BSS</t>
        </is>
      </c>
      <c r="Q89" t="inlineStr">
        <is>
          <t>RAN ISSUE</t>
        </is>
      </c>
      <c r="R89" t="inlineStr">
        <is>
          <t>BSS Hardware issue</t>
        </is>
      </c>
      <c r="S89" t="inlineStr">
        <is>
          <t>ACTIVE</t>
        </is>
      </c>
      <c r="T89" t="inlineStr">
        <is>
          <t>04/29/2026: hardware issue,  site with GPS issue (alarm : TDD down 09Apr 02pm)</t>
        </is>
      </c>
      <c r="U89" t="inlineStr">
        <is>
          <t>04/29/2026 : hardware issue, site with GPS issue (alarm : TDD down 09Apr 02pm)</t>
        </is>
      </c>
    </row>
    <row r="90">
      <c r="A90" s="96" t="n">
        <v>46141</v>
      </c>
      <c r="B90" t="inlineStr">
        <is>
          <t>CNR</t>
        </is>
      </c>
      <c r="C90" t="inlineStr">
        <is>
          <t>CTR_002</t>
        </is>
      </c>
      <c r="D90" t="inlineStr"/>
      <c r="E90" t="inlineStr">
        <is>
          <t>IHS</t>
        </is>
      </c>
      <c r="F90" t="inlineStr">
        <is>
          <t>Grid-Gen</t>
        </is>
      </c>
      <c r="G90" t="inlineStr">
        <is>
          <t>CENTRE</t>
        </is>
      </c>
      <c r="H90" t="inlineStr">
        <is>
          <t>Yaounde</t>
        </is>
      </c>
      <c r="I90" t="inlineStr"/>
      <c r="J90" t="n">
        <v>0</v>
      </c>
      <c r="K90" t="n">
        <v>0.1396156553138105</v>
      </c>
      <c r="L90" t="n">
        <v>11.07468092464547</v>
      </c>
      <c r="M90" t="n">
        <v>5.822189976400626</v>
      </c>
      <c r="N90" t="inlineStr">
        <is>
          <t>Operationnel</t>
        </is>
      </c>
      <c r="O90" t="inlineStr"/>
      <c r="P90" t="inlineStr">
        <is>
          <t>BSS</t>
        </is>
      </c>
      <c r="Q90" t="inlineStr">
        <is>
          <t>RAN ISSUE</t>
        </is>
      </c>
      <c r="R90" t="inlineStr">
        <is>
          <t>BSS Hardware issue</t>
        </is>
      </c>
      <c r="S90" t="inlineStr">
        <is>
          <t>ACTIVE</t>
        </is>
      </c>
      <c r="T90" t="inlineStr">
        <is>
          <t>04/29/2026: hardware issue,  site with GPS issue (alarm : TDD down 09Apr 02pm)</t>
        </is>
      </c>
      <c r="U90" t="inlineStr">
        <is>
          <t>04/29/2026 : hardware issue, site with GPS issue (alarm : TDD down 09Apr 02pm)</t>
        </is>
      </c>
    </row>
    <row r="91">
      <c r="A91" s="96" t="n">
        <v>46141</v>
      </c>
      <c r="B91" t="inlineStr">
        <is>
          <t>Manguier</t>
        </is>
      </c>
      <c r="C91" t="inlineStr">
        <is>
          <t>CTR_049</t>
        </is>
      </c>
      <c r="D91" t="inlineStr"/>
      <c r="E91" t="inlineStr">
        <is>
          <t>IHS</t>
        </is>
      </c>
      <c r="F91" t="inlineStr">
        <is>
          <t>Grid-Gen</t>
        </is>
      </c>
      <c r="G91" t="inlineStr">
        <is>
          <t>CENTRE</t>
        </is>
      </c>
      <c r="H91" t="inlineStr">
        <is>
          <t>Yaounde</t>
        </is>
      </c>
      <c r="I91" t="inlineStr"/>
      <c r="J91" t="n">
        <v>0</v>
      </c>
      <c r="K91" t="n">
        <v>0.1375968596890279</v>
      </c>
      <c r="L91" t="n">
        <v>11.01955000032832</v>
      </c>
      <c r="M91" t="n">
        <v>5.792762097176921</v>
      </c>
      <c r="N91" t="inlineStr">
        <is>
          <t>Operationnel</t>
        </is>
      </c>
      <c r="O91" t="inlineStr"/>
      <c r="P91" t="inlineStr">
        <is>
          <t>BSS</t>
        </is>
      </c>
      <c r="Q91" t="inlineStr">
        <is>
          <t>RAN ISSUE</t>
        </is>
      </c>
      <c r="R91" t="inlineStr">
        <is>
          <t>BSS Hardware issue</t>
        </is>
      </c>
      <c r="S91" t="inlineStr">
        <is>
          <t>ACTIVE</t>
        </is>
      </c>
      <c r="T91" t="inlineStr">
        <is>
          <t>04/29/2026: hardware issue,  site with GPS issue (alarm : TDD down 09Apr 02pm)</t>
        </is>
      </c>
      <c r="U91" t="inlineStr">
        <is>
          <t>04/29/2026 : hardware issue, site with GPS issue (alarm : TDD down 09Apr 02pm)</t>
        </is>
      </c>
    </row>
    <row r="92">
      <c r="A92" s="96" t="n">
        <v>46141</v>
      </c>
      <c r="B92" t="inlineStr">
        <is>
          <t>Doualare-II</t>
        </is>
      </c>
      <c r="C92" t="inlineStr">
        <is>
          <t>EXN_197</t>
        </is>
      </c>
      <c r="D92" t="inlineStr"/>
      <c r="E92" t="inlineStr">
        <is>
          <t>CAMUSAT</t>
        </is>
      </c>
      <c r="F92" t="inlineStr">
        <is>
          <t>Medium Grid + GE</t>
        </is>
      </c>
      <c r="G92" t="inlineStr">
        <is>
          <t>EXTREME-NORD</t>
        </is>
      </c>
      <c r="H92" t="inlineStr">
        <is>
          <t>Maroua</t>
        </is>
      </c>
      <c r="I92" t="inlineStr"/>
      <c r="J92" t="n">
        <v>9.861755572341522</v>
      </c>
      <c r="K92" t="n">
        <v>12.58054994542876</v>
      </c>
      <c r="L92" t="n">
        <v>0.04856446186745814</v>
      </c>
      <c r="M92" t="n">
        <v>5.65701931610322</v>
      </c>
      <c r="N92" t="inlineStr">
        <is>
          <t>Operationnel</t>
        </is>
      </c>
      <c r="O92" t="inlineStr"/>
      <c r="P92" t="inlineStr">
        <is>
          <t>AKTIVCO</t>
        </is>
      </c>
      <c r="Q92" t="inlineStr">
        <is>
          <t>POWER ISSUE</t>
        </is>
      </c>
      <c r="R92" t="inlineStr">
        <is>
          <t>AKTIVCO Defaut GE &amp; Power Cabinet</t>
        </is>
      </c>
      <c r="S92" t="inlineStr">
        <is>
          <t>PASSIVE</t>
        </is>
      </c>
      <c r="T92" t="inlineStr">
        <is>
          <t>(04/29/2026 retour CAMUSAT): Génératrice faulty</t>
        </is>
      </c>
      <c r="U92" t="inlineStr">
        <is>
          <t>04/29/2026 retour CAMUSAT) : Génératrice faulty</t>
        </is>
      </c>
    </row>
    <row r="93">
      <c r="A93" s="96" t="n">
        <v>46141</v>
      </c>
      <c r="B93" t="inlineStr">
        <is>
          <t>Bastos-BAT</t>
        </is>
      </c>
      <c r="C93" t="inlineStr">
        <is>
          <t>CTR_200</t>
        </is>
      </c>
      <c r="D93" t="inlineStr"/>
      <c r="E93" t="inlineStr">
        <is>
          <t>IHS</t>
        </is>
      </c>
      <c r="F93" t="inlineStr">
        <is>
          <t>Grid-Gen</t>
        </is>
      </c>
      <c r="G93" t="inlineStr">
        <is>
          <t>CENTRE</t>
        </is>
      </c>
      <c r="H93" t="inlineStr">
        <is>
          <t>Yaounde</t>
        </is>
      </c>
      <c r="I93" t="inlineStr"/>
      <c r="J93" t="n">
        <v>0.08942524049894289</v>
      </c>
      <c r="K93" t="n">
        <v>0.1115650213694831</v>
      </c>
      <c r="L93" t="n">
        <v>10.53575219921772</v>
      </c>
      <c r="M93" t="n">
        <v>5.544497806998771</v>
      </c>
      <c r="N93" t="inlineStr">
        <is>
          <t>Operationnel</t>
        </is>
      </c>
      <c r="O93" t="inlineStr"/>
      <c r="P93" t="inlineStr">
        <is>
          <t>BSS</t>
        </is>
      </c>
      <c r="Q93" t="inlineStr">
        <is>
          <t>RAN ISSUE</t>
        </is>
      </c>
      <c r="R93" t="inlineStr">
        <is>
          <t>BSS Hardware issue</t>
        </is>
      </c>
      <c r="S93" t="inlineStr">
        <is>
          <t>ACTIVE</t>
        </is>
      </c>
      <c r="T93" t="inlineStr">
        <is>
          <t>04/29/2026: hardware issue,  site with GPS issue (alarm : TDD down 09Apr 02pm)</t>
        </is>
      </c>
      <c r="U93" t="inlineStr">
        <is>
          <t>04/29/2026 : hardware issue, site with GPS issue (alarm : TDD down 09Apr 02pm)</t>
        </is>
      </c>
    </row>
    <row r="94">
      <c r="A94" s="96" t="n">
        <v>46141</v>
      </c>
      <c r="B94" t="inlineStr">
        <is>
          <t>Betare-Oya</t>
        </is>
      </c>
      <c r="C94" t="inlineStr">
        <is>
          <t>EST_014</t>
        </is>
      </c>
      <c r="D94" t="inlineStr"/>
      <c r="E94" t="inlineStr">
        <is>
          <t>IHS</t>
        </is>
      </c>
      <c r="F94" t="inlineStr">
        <is>
          <t>Solar-Gen-Lithium</t>
        </is>
      </c>
      <c r="G94" t="inlineStr">
        <is>
          <t>EST</t>
        </is>
      </c>
      <c r="H94" t="inlineStr">
        <is>
          <t>Betare-oya</t>
        </is>
      </c>
      <c r="I94" t="inlineStr"/>
      <c r="J94" t="n">
        <v>0.0980430360218857</v>
      </c>
      <c r="K94" t="n">
        <v>15.93467262360129</v>
      </c>
      <c r="L94" t="n">
        <v>0.02653945240080832</v>
      </c>
      <c r="M94" t="n">
        <v>5.377293947773184</v>
      </c>
      <c r="N94" t="inlineStr">
        <is>
          <t>Operationnel</t>
        </is>
      </c>
      <c r="O94" t="inlineStr"/>
      <c r="P94" t="inlineStr">
        <is>
          <t>ENVTECH</t>
        </is>
      </c>
      <c r="Q94" t="inlineStr">
        <is>
          <t>ENVTECH</t>
        </is>
      </c>
      <c r="R94" t="inlineStr">
        <is>
          <t>Sites strategiques, MLL, Pylone, etc.</t>
        </is>
      </c>
      <c r="S94" t="inlineStr">
        <is>
          <t>PASSIVE</t>
        </is>
      </c>
      <c r="T94" t="inlineStr">
        <is>
          <t xml:space="preserve">(04/29/2026 cell nokia): 2902026 : FME en route pour le site || ETA : 13h
28/04/2026 : Forte pluie dans la zone de bertoua || Intervention a faire est sur le pylone ||ETA : 29/04/2026 
27/04/2026 : Check breaker and  interconnection FRGU (sfp, optical fiber) between system and radio module, swap its if needed ||FME Mezazem activer || Action non aboutti avec le vel 0 || FME ira sur site demain 28/04/2026 ..;..;(04/29/2026 cell nokia): 2902026 : FME en route pour le site || ETA : 13h ||UP apres le remplacement des jumpeurs
28/04/2026 : Forte pluie dans la zone de bertoua || Intervention a faire est sur le pylone ||ETA : 29/04/2026 
27/04/2026 : Check breaker and  interconnection FRGU (sfp, optical fiber) between system and radio module, swap its if needed ||FME Mezazem activer || Action non aboutti avec le vel 0 || FME ira sur site demain 28/04/2026 </t>
        </is>
      </c>
      <c r="U94" t="inlineStr">
        <is>
          <t>04/29/2026 cell nokia) : 2902026 : FME en route pour le site || ETA : 13h 28/04/2026 : Forte pluie dans la zone de bertoua || Intervention a faire est sur le pylone || ETA : 29/04/2026 27/04/2026 : Check breaker and interconnection FRGU (sfp, optical fiber) between system and radio module, swap its if needed || Action non aboutti avec le vel 0 || FME ira sur site demain 28/04/2026 .;.;(04/29/2026 cell nokia) : 2902026 : FME en route pour le site || ETA : 13h || UP apres le remplacement des jumpeurs 28/04/2026 : Forte pluie dans la zone de bertoua || Intervention a faire est sur le pylone || ETA : 29/04/2026 27/04/2026 : Check breaker and interconnection FRGU (sfp, optical fiber) between system and radio module, swap its if needed || Action non aboutti avec le vel 0 || FME ira sur site demain 28/04/2026</t>
        </is>
      </c>
    </row>
    <row r="95">
      <c r="A95" s="96" t="n">
        <v>46141</v>
      </c>
      <c r="B95" t="inlineStr">
        <is>
          <t>Tourou</t>
        </is>
      </c>
      <c r="C95" t="inlineStr">
        <is>
          <t>EXN_231</t>
        </is>
      </c>
      <c r="D95" t="inlineStr"/>
      <c r="E95" t="inlineStr">
        <is>
          <t>CAMUSAT</t>
        </is>
      </c>
      <c r="F95" t="inlineStr">
        <is>
          <t>Hybrid Solar - S3</t>
        </is>
      </c>
      <c r="G95" t="inlineStr">
        <is>
          <t>EXTREME-NORD</t>
        </is>
      </c>
      <c r="H95" t="inlineStr">
        <is>
          <t>Tourou</t>
        </is>
      </c>
      <c r="I95" t="inlineStr"/>
      <c r="J95" t="n">
        <v>0</v>
      </c>
      <c r="K95" t="n">
        <v>15.63105638687434</v>
      </c>
      <c r="L95" t="n">
        <v>0</v>
      </c>
      <c r="M95" t="n">
        <v>5.24752591793581</v>
      </c>
      <c r="N95" t="inlineStr">
        <is>
          <t>Insecurity</t>
        </is>
      </c>
      <c r="O95" t="inlineStr"/>
      <c r="P95" t="inlineStr">
        <is>
          <t>AKTIVCO</t>
        </is>
      </c>
      <c r="Q95" t="inlineStr">
        <is>
          <t>POWER ISSUE</t>
        </is>
      </c>
      <c r="R95" t="inlineStr">
        <is>
          <t>AKTIVCO Defaut GE &amp; Power Cabinet</t>
        </is>
      </c>
      <c r="S95" t="inlineStr">
        <is>
          <t>PASSIVE</t>
        </is>
      </c>
      <c r="T95" t="inlineStr">
        <is>
          <t>(04/29/2026 ocm ran 00h): 28.04.26: Camusat: Zone insécurisée dans la nuit et pour y intervenir , il faut l'escorte - Escalated to L2</t>
        </is>
      </c>
      <c r="U95" t="inlineStr">
        <is>
          <t>: 28.04.26 : Camusat : Zone insécurisée dans la nuit et pour y intervenir , il faut l'escorte - Escalated to L2</t>
        </is>
      </c>
    </row>
    <row r="96">
      <c r="A96" s="96" t="n">
        <v>46141</v>
      </c>
      <c r="B96" t="inlineStr">
        <is>
          <t>Nkomekui</t>
        </is>
      </c>
      <c r="C96" t="inlineStr">
        <is>
          <t>SUD_016</t>
        </is>
      </c>
      <c r="D96" t="inlineStr"/>
      <c r="E96" t="inlineStr">
        <is>
          <t>IHS</t>
        </is>
      </c>
      <c r="F96" t="inlineStr">
        <is>
          <t>Grid-Gen</t>
        </is>
      </c>
      <c r="G96" t="inlineStr">
        <is>
          <t>SUD</t>
        </is>
      </c>
      <c r="H96" t="inlineStr">
        <is>
          <t>Nkomekui</t>
        </is>
      </c>
      <c r="I96" t="inlineStr"/>
      <c r="J96" t="n">
        <v>32.3643184297927</v>
      </c>
      <c r="K96" t="n">
        <v>1.437594989646767</v>
      </c>
      <c r="L96" t="n">
        <v>0</v>
      </c>
      <c r="M96" t="n">
        <v>5.104238898733852</v>
      </c>
      <c r="N96" t="inlineStr">
        <is>
          <t>EXCLU</t>
        </is>
      </c>
      <c r="O96" t="inlineStr"/>
      <c r="P96" t="inlineStr">
        <is>
          <t>Exclu</t>
        </is>
      </c>
      <c r="Q96" t="inlineStr">
        <is>
          <t>Exclu</t>
        </is>
      </c>
      <c r="R96" t="inlineStr">
        <is>
          <t>EXCLU</t>
        </is>
      </c>
      <c r="S96" t="inlineStr">
        <is>
          <t>Exclu</t>
        </is>
      </c>
      <c r="T96" t="inlineStr">
        <is>
          <t>(04/29/2026 hourly IHS): Fme is on the way ETA = 11:30 Am (Pascaline ; Alphonse)..;..;(04/29/2026 ticket): INC-20260429-00005587  ;  Others Transmission equipement fault</t>
        </is>
      </c>
      <c r="U96" t="inlineStr">
        <is>
          <t>: Fme is on the way ETA = 11 : 30 Am (Pascaline ; Alphonse).;.; : ;</t>
        </is>
      </c>
    </row>
    <row r="97">
      <c r="A97" s="96" t="n">
        <v>46141</v>
      </c>
      <c r="B97" t="inlineStr">
        <is>
          <t>Buca-Voyage</t>
        </is>
      </c>
      <c r="C97" t="inlineStr">
        <is>
          <t>LIT_616</t>
        </is>
      </c>
      <c r="D97" t="inlineStr"/>
      <c r="E97" t="inlineStr">
        <is>
          <t>CAMUSAT</t>
        </is>
      </c>
      <c r="F97" t="inlineStr">
        <is>
          <t>Good Grid no GE - 8h</t>
        </is>
      </c>
      <c r="G97" t="inlineStr">
        <is>
          <t>LITTORAL</t>
        </is>
      </c>
      <c r="H97" t="inlineStr">
        <is>
          <t>Douala</t>
        </is>
      </c>
      <c r="I97" t="inlineStr"/>
      <c r="J97" t="n">
        <v>1.888795966571946</v>
      </c>
      <c r="K97" t="n">
        <v>1.752952116717838</v>
      </c>
      <c r="L97" t="n">
        <v>8.012486401950676</v>
      </c>
      <c r="M97" t="n">
        <v>5.036626116832603</v>
      </c>
      <c r="N97" t="inlineStr">
        <is>
          <t>Operationnel</t>
        </is>
      </c>
      <c r="O97" t="inlineStr"/>
      <c r="P97" t="inlineStr">
        <is>
          <t>AKTIVCO GRID ONLY</t>
        </is>
      </c>
      <c r="Q97" t="inlineStr">
        <is>
          <t>POWER ISSUE</t>
        </is>
      </c>
      <c r="R97" t="inlineStr">
        <is>
          <t>AKTIVCO Coupure ENEO &amp; Baisse de tension</t>
        </is>
      </c>
      <c r="S97" t="inlineStr">
        <is>
          <t>PASSIVE</t>
        </is>
      </c>
      <c r="T97" t="inlineStr">
        <is>
          <t>(04/29/2026 ticket): INC-20260429-00018539  ;  2026-04-29 23:47:01  ;  Feedback IHS: FME will managed early morning  because Level 0 is unreachable.  ;  user:NIAMBA WILFRIED PRUDENCE OSCAR n84276435</t>
        </is>
      </c>
      <c r="U97" t="inlineStr">
        <is>
          <t>: ; 2026-04-29 23 : 47 : 01 ; Feedback IHS : FME will managed early morning because Level 0 is unreachable. user : NIAMBA WILFRIED PRUDENCE OSCAR n84276435</t>
        </is>
      </c>
    </row>
    <row r="98">
      <c r="A98" s="96" t="n">
        <v>46141</v>
      </c>
      <c r="B98" t="inlineStr">
        <is>
          <t>EXN_350_H_Maroua-Ziling</t>
        </is>
      </c>
      <c r="C98" t="inlineStr">
        <is>
          <t>EXN_350</t>
        </is>
      </c>
      <c r="D98" t="inlineStr"/>
      <c r="E98" t="inlineStr">
        <is>
          <t>ESCO</t>
        </is>
      </c>
      <c r="F98" t="inlineStr">
        <is>
          <t>Hybrid Solar - S1</t>
        </is>
      </c>
      <c r="G98" t="inlineStr">
        <is>
          <t>EXN</t>
        </is>
      </c>
      <c r="H98" t="inlineStr">
        <is>
          <t>Maroua</t>
        </is>
      </c>
      <c r="I98" t="inlineStr"/>
      <c r="J98" t="n">
        <v>8.570959677709435</v>
      </c>
      <c r="K98" t="n">
        <v>10.93815345226802</v>
      </c>
      <c r="L98" t="n">
        <v>0.1569794929377696</v>
      </c>
      <c r="M98" t="n">
        <v>4.977859533776786</v>
      </c>
      <c r="N98" t="inlineStr">
        <is>
          <t>EXCLU</t>
        </is>
      </c>
      <c r="O98" t="inlineStr"/>
      <c r="P98" t="inlineStr">
        <is>
          <t>Exclu</t>
        </is>
      </c>
      <c r="Q98" t="inlineStr">
        <is>
          <t>Exclu</t>
        </is>
      </c>
      <c r="R98" t="inlineStr">
        <is>
          <t>EXCLU</t>
        </is>
      </c>
      <c r="S98" t="inlineStr">
        <is>
          <t>Exclu</t>
        </is>
      </c>
      <c r="T98" t="inlineStr">
        <is>
          <t>(04/29/2026 ocm ran 00h): 28.04.26: Camusat: FME is managing - Escalated to L2</t>
        </is>
      </c>
      <c r="U98" t="inlineStr">
        <is>
          <t>: 28.04.26 : Camusat : FME is managing - Escalated to L2</t>
        </is>
      </c>
    </row>
    <row r="99">
      <c r="A99" s="96" t="n">
        <v>46141</v>
      </c>
      <c r="B99" t="inlineStr">
        <is>
          <t>Logbessou-Sunshine-City</t>
        </is>
      </c>
      <c r="C99" t="inlineStr">
        <is>
          <t>LIT_638</t>
        </is>
      </c>
      <c r="D99" t="inlineStr"/>
      <c r="E99" t="inlineStr">
        <is>
          <t>CAMUSAT</t>
        </is>
      </c>
      <c r="F99" t="inlineStr">
        <is>
          <t>Good Grid + GE</t>
        </is>
      </c>
      <c r="G99" t="inlineStr">
        <is>
          <t>LITTORAL</t>
        </is>
      </c>
      <c r="H99" t="inlineStr">
        <is>
          <t>Douala</t>
        </is>
      </c>
      <c r="I99" t="inlineStr"/>
      <c r="J99" t="n">
        <v>3.934460790778909</v>
      </c>
      <c r="K99" t="n">
        <v>3.549998979976948</v>
      </c>
      <c r="L99" t="n">
        <v>6.060605438781964</v>
      </c>
      <c r="M99" t="n">
        <v>4.914152634027046</v>
      </c>
      <c r="N99" t="inlineStr">
        <is>
          <t>Operationnel</t>
        </is>
      </c>
      <c r="O99" t="inlineStr"/>
      <c r="P99" t="inlineStr">
        <is>
          <t>AKTIVCO</t>
        </is>
      </c>
      <c r="Q99" t="inlineStr">
        <is>
          <t>POWER ISSUE</t>
        </is>
      </c>
      <c r="R99" t="inlineStr">
        <is>
          <t>AKTIVCO Defaut GE &amp; Power Cabinet</t>
        </is>
      </c>
      <c r="S99" t="inlineStr">
        <is>
          <t>PASSIVE</t>
        </is>
      </c>
      <c r="T99" t="inlineStr">
        <is>
          <t>(04/29/2026 retour CAMUSAT): souci avec l'ATS</t>
        </is>
      </c>
      <c r="U99" t="inlineStr">
        <is>
          <t>04/29/2026 retour CAMUSAT) : souci avec l'ATS</t>
        </is>
      </c>
    </row>
    <row r="100">
      <c r="A100" s="96" t="n">
        <v>46141</v>
      </c>
      <c r="B100" t="inlineStr">
        <is>
          <t>PDC</t>
        </is>
      </c>
      <c r="C100" t="inlineStr">
        <is>
          <t>CTR_011</t>
        </is>
      </c>
      <c r="D100" t="inlineStr"/>
      <c r="E100" t="inlineStr">
        <is>
          <t>IHS</t>
        </is>
      </c>
      <c r="F100" t="inlineStr">
        <is>
          <t>Grid-Gen</t>
        </is>
      </c>
      <c r="G100" t="inlineStr">
        <is>
          <t>CENTRE</t>
        </is>
      </c>
      <c r="H100" t="inlineStr">
        <is>
          <t>Yaounde</t>
        </is>
      </c>
      <c r="I100" t="inlineStr"/>
      <c r="J100" t="n">
        <v>0.1694833119512088</v>
      </c>
      <c r="K100" t="n">
        <v>0.2341802924746102</v>
      </c>
      <c r="L100" t="n">
        <v>9.186344165807554</v>
      </c>
      <c r="M100" t="n">
        <v>4.893392602865598</v>
      </c>
      <c r="N100" t="inlineStr">
        <is>
          <t>Operationnel</t>
        </is>
      </c>
      <c r="O100" t="inlineStr"/>
      <c r="P100" t="inlineStr">
        <is>
          <t>BSS</t>
        </is>
      </c>
      <c r="Q100" t="inlineStr">
        <is>
          <t>RAN ISSUE</t>
        </is>
      </c>
      <c r="R100" t="inlineStr">
        <is>
          <t>BSS Hardware issue</t>
        </is>
      </c>
      <c r="S100" t="inlineStr">
        <is>
          <t>ACTIVE</t>
        </is>
      </c>
      <c r="T100" t="inlineStr">
        <is>
          <t>04/29/2026: hardware issue,  site with GPS issue (alarm : TDD down 09Apr 02pm)</t>
        </is>
      </c>
      <c r="U100" t="inlineStr">
        <is>
          <t>04/29/2026 : hardware issue, site with GPS issue (alarm : TDD down 09Apr 02pm)</t>
        </is>
      </c>
    </row>
    <row r="101">
      <c r="A101" s="96" t="n">
        <v>46141</v>
      </c>
      <c r="B101" t="inlineStr">
        <is>
          <t>Lagdo-Ville</t>
        </is>
      </c>
      <c r="C101" t="inlineStr">
        <is>
          <t>NRD_131</t>
        </is>
      </c>
      <c r="D101" t="inlineStr"/>
      <c r="E101" t="inlineStr">
        <is>
          <t>CAMUSAT</t>
        </is>
      </c>
      <c r="F101" t="inlineStr">
        <is>
          <t>Good Grid + GE</t>
        </is>
      </c>
      <c r="G101" t="inlineStr">
        <is>
          <t>NORD</t>
        </is>
      </c>
      <c r="H101" t="inlineStr">
        <is>
          <t>Lagdo</t>
        </is>
      </c>
      <c r="I101" t="inlineStr"/>
      <c r="J101" t="n">
        <v>0</v>
      </c>
      <c r="K101" t="n">
        <v>14.4378419202274</v>
      </c>
      <c r="L101" t="n">
        <v>0</v>
      </c>
      <c r="M101" t="n">
        <v>4.846950058927099</v>
      </c>
      <c r="N101" t="inlineStr">
        <is>
          <t>Operationnel</t>
        </is>
      </c>
      <c r="O101" t="inlineStr"/>
      <c r="P101" t="inlineStr">
        <is>
          <t>AKTIVCO</t>
        </is>
      </c>
      <c r="Q101" t="inlineStr">
        <is>
          <t>POWER ISSUE</t>
        </is>
      </c>
      <c r="R101" t="inlineStr">
        <is>
          <t>AKTIVCO Defaut GE &amp; Power Cabinet</t>
        </is>
      </c>
      <c r="S101" t="inlineStr">
        <is>
          <t>PASSIVE</t>
        </is>
      </c>
      <c r="T101" t="inlineStr">
        <is>
          <t>(04/29/2026 retour CAMUSAT): Plantage du controleur</t>
        </is>
      </c>
      <c r="U101" t="inlineStr">
        <is>
          <t>04/29/2026 retour CAMUSAT) : Plantage du controleur</t>
        </is>
      </c>
    </row>
    <row r="102">
      <c r="A102" s="96" t="n">
        <v>46141</v>
      </c>
      <c r="B102" t="inlineStr">
        <is>
          <t>Etoa-Meki-II</t>
        </is>
      </c>
      <c r="C102" t="inlineStr">
        <is>
          <t>CTR_682</t>
        </is>
      </c>
      <c r="D102" t="inlineStr"/>
      <c r="E102" t="inlineStr">
        <is>
          <t>CAMUSAT</t>
        </is>
      </c>
      <c r="F102" t="inlineStr">
        <is>
          <t>Good Grid no GE - 8h</t>
        </is>
      </c>
      <c r="G102" t="inlineStr">
        <is>
          <t>CENTRE</t>
        </is>
      </c>
      <c r="H102" t="inlineStr">
        <is>
          <t>Yaounde</t>
        </is>
      </c>
      <c r="I102" t="inlineStr"/>
      <c r="J102" t="n">
        <v>0.1772268383631284</v>
      </c>
      <c r="K102" t="n">
        <v>0.2341271662739567</v>
      </c>
      <c r="L102" t="n">
        <v>9.012264510240399</v>
      </c>
      <c r="M102" t="n">
        <v>4.803699994007414</v>
      </c>
      <c r="N102" t="inlineStr">
        <is>
          <t>Operationnel</t>
        </is>
      </c>
      <c r="O102" t="inlineStr"/>
      <c r="P102" t="inlineStr">
        <is>
          <t>AKTIVCO GRID ONLY</t>
        </is>
      </c>
      <c r="Q102" t="inlineStr">
        <is>
          <t>POWER ISSUE</t>
        </is>
      </c>
      <c r="R102" t="inlineStr">
        <is>
          <t>AKTIVCO Coupure ENEO &amp; Baisse de tension</t>
        </is>
      </c>
      <c r="S102" t="inlineStr">
        <is>
          <t>PASSIVE</t>
        </is>
      </c>
      <c r="T102" t="inlineStr">
        <is>
          <t>(04/29/2026 retour CAMUSAT): Grid outage,  / grid return awaited</t>
        </is>
      </c>
      <c r="U102" t="inlineStr">
        <is>
          <t>04/29/2026 retour CAMUSAT) : Grid outage, / grid return awaited</t>
        </is>
      </c>
    </row>
    <row r="103">
      <c r="A103" s="96" t="n">
        <v>46141</v>
      </c>
      <c r="B103" t="inlineStr">
        <is>
          <t>Etoudi</t>
        </is>
      </c>
      <c r="C103" t="inlineStr">
        <is>
          <t>CTR_086</t>
        </is>
      </c>
      <c r="D103" t="inlineStr"/>
      <c r="E103" t="inlineStr">
        <is>
          <t>IHS</t>
        </is>
      </c>
      <c r="F103" t="inlineStr">
        <is>
          <t>Grid-Gen</t>
        </is>
      </c>
      <c r="G103" t="inlineStr">
        <is>
          <t>CENTRE</t>
        </is>
      </c>
      <c r="H103" t="inlineStr">
        <is>
          <t>Yaounde</t>
        </is>
      </c>
      <c r="I103" t="inlineStr"/>
      <c r="J103" t="n">
        <v>0</v>
      </c>
      <c r="K103" t="n">
        <v>0.140784431728157</v>
      </c>
      <c r="L103" t="n">
        <v>9.024439826032522</v>
      </c>
      <c r="M103" t="n">
        <v>4.753405073152357</v>
      </c>
      <c r="N103" t="inlineStr">
        <is>
          <t>Operationnel</t>
        </is>
      </c>
      <c r="O103" t="inlineStr"/>
      <c r="P103" t="inlineStr">
        <is>
          <t>BSS</t>
        </is>
      </c>
      <c r="Q103" t="inlineStr">
        <is>
          <t>RAN ISSUE</t>
        </is>
      </c>
      <c r="R103" t="inlineStr">
        <is>
          <t>BSS Hardware issue</t>
        </is>
      </c>
      <c r="S103" t="inlineStr">
        <is>
          <t>ACTIVE</t>
        </is>
      </c>
      <c r="T103" t="inlineStr">
        <is>
          <t>04/29/2026: hardware issue,  site with GPS issue (alarm : TDD down 09Apr 02pm)</t>
        </is>
      </c>
      <c r="U103" t="inlineStr">
        <is>
          <t>04/29/2026 : hardware issue, site with GPS issue (alarm : TDD down 09Apr 02pm)</t>
        </is>
      </c>
    </row>
    <row r="104">
      <c r="A104" s="96" t="n">
        <v>46141</v>
      </c>
      <c r="B104" t="inlineStr">
        <is>
          <t>PK10-Genie-Militaire</t>
        </is>
      </c>
      <c r="C104" t="inlineStr">
        <is>
          <t>LIT_447</t>
        </is>
      </c>
      <c r="D104" t="inlineStr"/>
      <c r="E104" t="inlineStr">
        <is>
          <t>IHS</t>
        </is>
      </c>
      <c r="F104" t="inlineStr">
        <is>
          <t>Grid-Gen</t>
        </is>
      </c>
      <c r="G104" t="inlineStr">
        <is>
          <t>LITTORAL</t>
        </is>
      </c>
      <c r="H104" t="inlineStr">
        <is>
          <t>Douala</t>
        </is>
      </c>
      <c r="I104" t="inlineStr"/>
      <c r="J104" t="n">
        <v>2.123849461849893</v>
      </c>
      <c r="K104" t="n">
        <v>2.626984369846758</v>
      </c>
      <c r="L104" t="n">
        <v>6.821323273512861</v>
      </c>
      <c r="M104" t="n">
        <v>4.742436499987159</v>
      </c>
      <c r="N104" t="inlineStr">
        <is>
          <t>Operationnel</t>
        </is>
      </c>
      <c r="O104" t="inlineStr"/>
      <c r="P104" t="inlineStr">
        <is>
          <t>IHS GRID ONLY</t>
        </is>
      </c>
      <c r="Q104" t="inlineStr">
        <is>
          <t>POWER ISSUE</t>
        </is>
      </c>
      <c r="R104" t="inlineStr">
        <is>
          <t>Coupure ENEO &amp; Baisse de tension</t>
        </is>
      </c>
      <c r="S104" t="inlineStr">
        <is>
          <t>PASSIVE</t>
        </is>
      </c>
      <c r="T104" t="inlineStr">
        <is>
          <t xml:space="preserve">(04/29/2026 retour IHS): Power issue NUR to be checked   ||   </t>
        </is>
      </c>
      <c r="U104" t="inlineStr">
        <is>
          <t>04/29/2026 retour IHS) : Power issue NUR to be checked ||</t>
        </is>
      </c>
    </row>
    <row r="105">
      <c r="A105" s="96" t="n">
        <v>46141</v>
      </c>
      <c r="B105" t="inlineStr">
        <is>
          <t>Nyalla</t>
        </is>
      </c>
      <c r="C105" t="inlineStr">
        <is>
          <t>LIT_059</t>
        </is>
      </c>
      <c r="D105" t="inlineStr"/>
      <c r="E105" t="inlineStr">
        <is>
          <t>IHS</t>
        </is>
      </c>
      <c r="F105" t="inlineStr">
        <is>
          <t>Grid-Gen</t>
        </is>
      </c>
      <c r="G105" t="inlineStr">
        <is>
          <t>LITTORAL</t>
        </is>
      </c>
      <c r="H105" t="inlineStr">
        <is>
          <t>Douala</t>
        </is>
      </c>
      <c r="I105" t="inlineStr"/>
      <c r="J105" t="n">
        <v>2.1192283251202</v>
      </c>
      <c r="K105" t="n">
        <v>1.922052813393583</v>
      </c>
      <c r="L105" t="n">
        <v>7.206282134625621</v>
      </c>
      <c r="M105" t="n">
        <v>4.705874589436501</v>
      </c>
      <c r="N105" t="inlineStr">
        <is>
          <t>Operationnel</t>
        </is>
      </c>
      <c r="O105" t="inlineStr"/>
      <c r="P105" t="inlineStr">
        <is>
          <t>IHS GRID ONLY</t>
        </is>
      </c>
      <c r="Q105" t="inlineStr">
        <is>
          <t>POWER ISSUE</t>
        </is>
      </c>
      <c r="R105" t="inlineStr">
        <is>
          <t>Coupure ENEO &amp; Baisse de tension</t>
        </is>
      </c>
      <c r="S105" t="inlineStr">
        <is>
          <t>PASSIVE</t>
        </is>
      </c>
      <c r="T105" t="inlineStr">
        <is>
          <t>(04/29/2026 retour IHS): Power issue NUR to be checked   ||   (04/29/2026 hourly IHS): Fme is on site..;..;(04/29/2026 ticket): INC-20260429-00016757  ;  grid outage power issue on site   ;  Others Transmission equipement fault</t>
        </is>
      </c>
      <c r="U105" t="inlineStr">
        <is>
          <t>04/29/2026 retour IHS) : Power issue NUR to be checked || : Fme is on site.;.; : ; grid outage power issue on site ;</t>
        </is>
      </c>
    </row>
    <row r="106">
      <c r="A106" s="96" t="n">
        <v>46141</v>
      </c>
      <c r="B106" t="inlineStr">
        <is>
          <t>Zone-Papass</t>
        </is>
      </c>
      <c r="C106" t="inlineStr">
        <is>
          <t>LIT_270</t>
        </is>
      </c>
      <c r="D106" t="inlineStr"/>
      <c r="E106" t="inlineStr">
        <is>
          <t>IHS</t>
        </is>
      </c>
      <c r="F106" t="inlineStr">
        <is>
          <t>Grid-Gen</t>
        </is>
      </c>
      <c r="G106" t="inlineStr">
        <is>
          <t>LITTORAL</t>
        </is>
      </c>
      <c r="H106" t="inlineStr">
        <is>
          <t>Douala</t>
        </is>
      </c>
      <c r="I106" t="inlineStr"/>
      <c r="J106" t="n">
        <v>1.371728235195377</v>
      </c>
      <c r="K106" t="n">
        <v>1.304354478411211</v>
      </c>
      <c r="L106" t="n">
        <v>7.756633768689789</v>
      </c>
      <c r="M106" t="n">
        <v>4.678765270394052</v>
      </c>
      <c r="N106" t="inlineStr">
        <is>
          <t>Operationnel</t>
        </is>
      </c>
      <c r="O106" t="inlineStr"/>
      <c r="P106" t="inlineStr">
        <is>
          <t>IHS GRID ONLY</t>
        </is>
      </c>
      <c r="Q106" t="inlineStr">
        <is>
          <t>POWER ISSUE</t>
        </is>
      </c>
      <c r="R106" t="inlineStr">
        <is>
          <t>Coupure ENEO &amp; Baisse de tension</t>
        </is>
      </c>
      <c r="S106" t="inlineStr">
        <is>
          <t>PASSIVE</t>
        </is>
      </c>
      <c r="T106" t="inlineStr">
        <is>
          <t>(04/29/2026 retour IHS): Power issue NUR to be checked   ||   (04/29/2026 hourly IHS): Dieunedor is on the way ETA: 09: 35 PM..;..;(04/29/2026 ticket): INC-20260429-00016336  ;  Others Transmission equipement fault</t>
        </is>
      </c>
      <c r="U106" t="inlineStr">
        <is>
          <t>04/29/2026 retour IHS) : Power issue NUR to be checked || : Dieunedor is on the way ETA : 09 : 35 PM.;.; : ;</t>
        </is>
      </c>
    </row>
    <row r="107">
      <c r="A107" s="96" t="n">
        <v>46141</v>
      </c>
      <c r="B107" t="inlineStr">
        <is>
          <t>H-Paradis</t>
        </is>
      </c>
      <c r="C107" t="inlineStr">
        <is>
          <t>CTR_093</t>
        </is>
      </c>
      <c r="D107" t="inlineStr"/>
      <c r="E107" t="inlineStr">
        <is>
          <t>IHS</t>
        </is>
      </c>
      <c r="F107" t="inlineStr">
        <is>
          <t>GridOnly</t>
        </is>
      </c>
      <c r="G107" t="inlineStr">
        <is>
          <t>CENTRE</t>
        </is>
      </c>
      <c r="H107" t="inlineStr">
        <is>
          <t>Yaounde</t>
        </is>
      </c>
      <c r="I107" t="inlineStr"/>
      <c r="J107" t="n">
        <v>0</v>
      </c>
      <c r="K107" t="n">
        <v>0</v>
      </c>
      <c r="L107" t="n">
        <v>8.94560807631105</v>
      </c>
      <c r="M107" t="n">
        <v>4.665032260089661</v>
      </c>
      <c r="N107" t="inlineStr">
        <is>
          <t>Operationnel</t>
        </is>
      </c>
      <c r="O107" t="inlineStr"/>
      <c r="P107" t="inlineStr">
        <is>
          <t>BSS</t>
        </is>
      </c>
      <c r="Q107" t="inlineStr">
        <is>
          <t>RAN ISSUE</t>
        </is>
      </c>
      <c r="R107" t="inlineStr">
        <is>
          <t>BSS Hardware issue</t>
        </is>
      </c>
      <c r="S107" t="inlineStr">
        <is>
          <t>ACTIVE</t>
        </is>
      </c>
      <c r="T107" t="inlineStr">
        <is>
          <t>04/29/2026: hardware issue,  site with GPS issue (alarm : TDD down 09Apr 02pm)</t>
        </is>
      </c>
      <c r="U107" t="inlineStr">
        <is>
          <t>04/29/2026 : hardware issue, site with GPS issue (alarm : TDD down 09Apr 02pm)</t>
        </is>
      </c>
    </row>
    <row r="108">
      <c r="A108" s="96" t="n">
        <v>46141</v>
      </c>
      <c r="B108" t="inlineStr">
        <is>
          <t>Mbam</t>
        </is>
      </c>
      <c r="C108" t="inlineStr">
        <is>
          <t>CTR_303</t>
        </is>
      </c>
      <c r="D108" t="inlineStr"/>
      <c r="E108" t="inlineStr">
        <is>
          <t>IHS</t>
        </is>
      </c>
      <c r="F108" t="inlineStr">
        <is>
          <t>Hybrid-Gen</t>
        </is>
      </c>
      <c r="G108" t="inlineStr">
        <is>
          <t>CENTRE</t>
        </is>
      </c>
      <c r="H108" t="inlineStr">
        <is>
          <t>Mbam</t>
        </is>
      </c>
      <c r="I108" t="inlineStr"/>
      <c r="J108" t="n">
        <v>0</v>
      </c>
      <c r="K108" t="n">
        <v>13.77031120903332</v>
      </c>
      <c r="L108" t="n">
        <v>0</v>
      </c>
      <c r="M108" t="n">
        <v>4.622852299869019</v>
      </c>
      <c r="N108" t="inlineStr">
        <is>
          <t>Operationnel</t>
        </is>
      </c>
      <c r="O108" t="inlineStr"/>
      <c r="P108" t="inlineStr">
        <is>
          <t>SPARE-ISSUE</t>
        </is>
      </c>
      <c r="Q108" t="inlineStr">
        <is>
          <t>SPARE-ISSUE</t>
        </is>
      </c>
      <c r="R108" t="inlineStr">
        <is>
          <t>Warehouse HUAWEI</t>
        </is>
      </c>
      <c r="S108" t="inlineStr">
        <is>
          <t>SPARE-ISSUE</t>
        </is>
      </c>
      <c r="T108" t="inlineStr">
        <is>
          <t xml:space="preserve">(04/29/2026 ocm ran 00h): 28.04.2026: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..;..;(04/29/2026 com ran 17h): 29/04/2026 Spare FSMF Faulty Commande passe au WH de Garoua et Expediee a Ngaoundere Nouvelle ETD communiques par le SPM 29.04.2026 ESCALADE FM THEOPHILE
28.04.2026: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..;..;(04/29/2026 com ran 18h): 29/04/2026 Spare FSMF Faulty Commande passe au WH de Garoua et Expediee a Ngaoundere Nouvelle ETD communiques par le SPM 29.04.2026 ESCALADE FM THEOPHILE
28.04.2026: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t>
        </is>
      </c>
      <c r="U108" t="inlineStr">
        <is>
          <t>: 28.04.2026 :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.;.;(04/29/2026 com ran 17h) : 29/04/2026 Spare FSMF Faulty Commande passe au WH de Garoua et Expediee a Ngaoundere Nouvelle ETD communiques par le SPM 29.04.2026 ESCALADE FM THEOPHILE 28.04.2026 :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.;.;(04/29/2026 com ran 18h) : 29/04/2026 Spare FSMF Faulty Commande passe au WH de Garoua et Expediee a Ngaoundere Nouvelle ETD communiques par le SPM 29.04.2026 ESCALADE FM THEOPHILE 28.04.2026 :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t>
        </is>
      </c>
    </row>
    <row r="109">
      <c r="A109" s="96" t="n">
        <v>46141</v>
      </c>
      <c r="B109" t="inlineStr">
        <is>
          <t>Nwa</t>
        </is>
      </c>
      <c r="C109" t="inlineStr">
        <is>
          <t>NRO_012</t>
        </is>
      </c>
      <c r="D109" t="inlineStr"/>
      <c r="E109" t="inlineStr">
        <is>
          <t>IHS</t>
        </is>
      </c>
      <c r="F109" t="inlineStr">
        <is>
          <t>Solar-Gen</t>
        </is>
      </c>
      <c r="G109" t="inlineStr">
        <is>
          <t>NORD-OUEST</t>
        </is>
      </c>
      <c r="H109" t="inlineStr">
        <is>
          <t>Mwa</t>
        </is>
      </c>
      <c r="I109" t="inlineStr"/>
      <c r="J109" t="n">
        <v>0</v>
      </c>
      <c r="K109" t="n">
        <v>13.77031120903332</v>
      </c>
      <c r="L109" t="n">
        <v>0</v>
      </c>
      <c r="M109" t="n">
        <v>4.622852299869019</v>
      </c>
      <c r="N109" t="inlineStr">
        <is>
          <t>Insecurity</t>
        </is>
      </c>
      <c r="O109" t="inlineStr"/>
      <c r="P109" t="inlineStr">
        <is>
          <t>ACCESS-ISSUE</t>
        </is>
      </c>
      <c r="Q109" t="inlineStr">
        <is>
          <t>ACCESS-ISSUE</t>
        </is>
      </c>
      <c r="R109" t="inlineStr">
        <is>
          <t>ACCESS-ISSUE</t>
        </is>
      </c>
      <c r="S109" t="inlineStr">
        <is>
          <t>ACCESS-ISSUE</t>
        </is>
      </c>
      <c r="T109" t="inlineStr">
        <is>
          <t>(04/29/2026 ocm ran 00h): 28.04.2026: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Team is on site to swap DG - Escalated to L4
20.04.26; IHS: Team is on site to swap DG - Escalated to L4
19.04.26; IHS; Team is on site to swap DG - Escalated to L4
18.04.26; IHS; Team is on site to swap DG - Escalated to L3
17.04.26; IHS; Team is on site to swap DG..;..;(04/29/2026 com ran 17h): 29/04/2026 |will check today will level zero ETA10AM
28.04.2026: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Team is on site to swap DG - Escalated to L4
20.04.26; IHS: Team is on site to swap DG - Escalated to L4
19.04.26; IHS; Team is on site to swap DG - Escalated to L4
18.04.26; IHS; Team is on site to swap DG - Escalated to L3
17.04.26; IHS; Team is on site to swap DG..;..;(04/29/2026 com ran 18h): 29/04/2026 |will check today will level zero ETA10AM
28.04.2026: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Team is on site to swap DG - Escalated to L4
20.04.26; IHS: Team is on site to swap DG - Escalated to L4
19.04.26; IHS; Team is on site to swap DG - Escalated to L4
18.04.26; IHS; Team is on site to swap DG - Escalated to L3
17.04.26; IHS; Team is on site to swap DG</t>
        </is>
      </c>
      <c r="U109" t="inlineStr">
        <is>
          <t>: 28.04.2026 :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 Team is on site to swap DG - Escalated to L4 20.04.26; IHS : Team is on site to swap DG - Escalated to L4 19.04.26; IHS; Team is on site to swap DG - Escalated to L4 18.04.26; IHS; Team is on site to swap DG - Escalated to L3 17.04.26; IHS; Team is on site to swap DG.;.;(04/29/2026 com ran 17h) : 29/04/2026 |will check today will level zero ETA10AM 28.04.2026 :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 Team is on site to swap DG - Escalated to L4 20.04.26; IHS : Team is on site to swap DG - Escalated to L4 19.04.26; IHS; Team is on site to swap DG - Escalated to L4 18.04.26; IHS; Team is on site to swap DG - Escalated to L3 17.04.26; IHS; Team is on site to swap DG.;.;(04/29/2026 com ran 18h) : 29/04/2026 |will check today will level zero ETA10AM 28.04.2026 :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 Team is on site to swap DG - Escalated to L4 20.04.26; IHS : Team is on site to swap DG - Escalated to L4 19.04.26; IHS; Team is on site to swap DG - Escalated to L4 18.04.26; IHS; Team is on site to swap DG - Escalated to L3 17.04.26; IHS; Team is on site to swap DG</t>
        </is>
      </c>
    </row>
    <row r="110">
      <c r="A110" s="96" t="n">
        <v>46141</v>
      </c>
      <c r="B110" t="inlineStr">
        <is>
          <t>Mvam-Yetom</t>
        </is>
      </c>
      <c r="C110" t="inlineStr">
        <is>
          <t>CTR_860</t>
        </is>
      </c>
      <c r="D110" t="inlineStr"/>
      <c r="E110" t="inlineStr">
        <is>
          <t>ESCO</t>
        </is>
      </c>
      <c r="F110" t="inlineStr">
        <is>
          <t>Hybrid Solar - S2</t>
        </is>
      </c>
      <c r="G110" t="inlineStr">
        <is>
          <t>CTR</t>
        </is>
      </c>
      <c r="H110" t="inlineStr">
        <is>
          <t>Mvam-Yetom</t>
        </is>
      </c>
      <c r="I110" t="inlineStr"/>
      <c r="J110" t="n">
        <v>32.3643184297927</v>
      </c>
      <c r="K110" t="n">
        <v>0</v>
      </c>
      <c r="L110" t="n">
        <v>0</v>
      </c>
      <c r="M110" t="n">
        <v>4.62162167946512</v>
      </c>
      <c r="N110" t="inlineStr">
        <is>
          <t>Operationnel</t>
        </is>
      </c>
      <c r="O110" t="inlineStr"/>
      <c r="P110" t="inlineStr">
        <is>
          <t>SPARE-ISSUE</t>
        </is>
      </c>
      <c r="Q110" t="inlineStr">
        <is>
          <t>SPARE-ISSUE</t>
        </is>
      </c>
      <c r="R110" t="inlineStr">
        <is>
          <t>Warehouse HUAWEI</t>
        </is>
      </c>
      <c r="S110" t="inlineStr">
        <is>
          <t>SPARE-ISSUE</t>
        </is>
      </c>
      <c r="T110" t="inlineStr">
        <is>
          <t xml:space="preserve">(04/29/2026 ocm ran 00h): 28.04.2026: Spare pas disponible dans les WH Afro Commande effectuee au SPM. Update dans 20 minutes
27/04/2026 ODU UBT-T 3DB29211ACAA02 faulty commande en cours 
24/04/2026 Besoin d'un fme sur biba pour verifier le status de L ODU 5/1 ..;..;(04/29/2026 com ran 17h): 29/04/2026 ODU UBT-T 3DB29211ACAA02 pas disponible au WH Huawei point transmis a OCM 
28.04.2026: Spare pas disponible dans les WH Afro Commande effectuee au SPM. Update dans 20 minutes
27/04/2026 ODU UBT-T 3DB29211ACAA02 faulty commande en cours 
24/04/2026 Besoin d'un fme sur biba pour verifier le status de L ODU 5/1 ..;..;(04/29/2026 com ran 18h): 29/04/2026 ODU UBT-T 3DB29211ACAA02 pas disponible au WH Huawei point transmis a OCM 
28.04.2026: Spare pas disponible dans les WH Afro Commande effectuee au SPM. Update dans 20 minutes
27/04/2026 ODU UBT-T 3DB29211ACAA02 faulty commande en cours 
24/04/2026 Besoin d'un fme sur biba pour verifier le status de L ODU 5/1 </t>
        </is>
      </c>
      <c r="U110" t="inlineStr">
        <is>
          <t>: 28.04.2026 : Spare pas disponible dans les WH Afro Commande effectuee au SPM. Update dans 20 minutes 27/04/2026 ODU UBT-T 3DB29211ACAA02 faulty commande en cours 24/04/2026 Besoin d'un fme sur biba pour verifier le status de L ODU 5/1 .;.;(04/29/2026 com ran 17h) : 29/04/2026 ODU UBT-T 3DB29211ACAA02 pas disponible au WH Huawei point transmis a OCM 28.04.2026 : Spare pas disponible dans les WH Afro Commande effectuee au SPM. Update dans 20 minutes 27/04/2026 ODU UBT-T 3DB29211ACAA02 faulty commande en cours 24/04/2026 Besoin d'un fme sur biba pour verifier le status de L ODU 5/1 .;.;(04/29/2026 com ran 18h) : 29/04/2026 ODU UBT-T 3DB29211ACAA02 pas disponible au WH Huawei point transmis a OCM 28.04.2026 : Spare pas disponible dans les WH Afro Commande effectuee au SPM. Update dans 20 minutes 27/04/2026 ODU UBT-T 3DB29211ACAA02 faulty commande en cours 24/04/2026 Besoin d'un fme sur biba pour verifier le status de L ODU 5/1</t>
        </is>
      </c>
    </row>
    <row r="111">
      <c r="A111" s="96" t="n">
        <v>46141</v>
      </c>
      <c r="B111" t="inlineStr">
        <is>
          <t>Ngaouyanga-IHS</t>
        </is>
      </c>
      <c r="C111" t="inlineStr">
        <is>
          <t>ADM_081</t>
        </is>
      </c>
      <c r="D111" t="inlineStr"/>
      <c r="E111" t="inlineStr">
        <is>
          <t>IHS</t>
        </is>
      </c>
      <c r="F111" t="inlineStr">
        <is>
          <t>Hybrid-Gen</t>
        </is>
      </c>
      <c r="G111" t="inlineStr">
        <is>
          <t>ADAMAOUA</t>
        </is>
      </c>
      <c r="H111" t="inlineStr">
        <is>
          <t>Ngaouyanga</t>
        </is>
      </c>
      <c r="I111" t="inlineStr"/>
      <c r="J111" t="n">
        <v>32.3643184297927</v>
      </c>
      <c r="K111" t="n">
        <v>0</v>
      </c>
      <c r="L111" t="n">
        <v>0</v>
      </c>
      <c r="M111" t="n">
        <v>4.62162167946512</v>
      </c>
      <c r="N111" t="inlineStr">
        <is>
          <t>Operationnel</t>
        </is>
      </c>
      <c r="O111" t="inlineStr"/>
      <c r="P111" t="inlineStr">
        <is>
          <t>IHS GRID ONLY</t>
        </is>
      </c>
      <c r="Q111" t="inlineStr">
        <is>
          <t>POWER ISSUE</t>
        </is>
      </c>
      <c r="R111" t="inlineStr">
        <is>
          <t>Coupure ENEO &amp; Baisse de tension</t>
        </is>
      </c>
      <c r="S111" t="inlineStr">
        <is>
          <t>PASSIVE</t>
        </is>
      </c>
      <c r="T111" t="inlineStr">
        <is>
          <t xml:space="preserve">(04/29/2026 retour IHS): Power issue NUR to be checked   ||   (04/29/2026 cell nokia): 29/04/2026: Need BO RAN analysis ..;..;(04/29/2026 cell nokia): 29/04/2026: Need BO RAN analysis ||Check and solve SFP / Optical fiber on FXED..;..;(04/29/2026 cell nokia): 29/04/2026: Need BO RAN analysis ||Check and solve SFP / Optical fiber on FXED || Escalade faite au RM : en attente de son feedback </t>
        </is>
      </c>
      <c r="U111" t="inlineStr">
        <is>
          <t>04/29/2026 retour IHS) : Power issue NUR to be checked || (04/29/2026 cell nokia) : 29/04/2026 : Need BO RAN analysis .;.;(04/29/2026 cell nokia) : 29/04/2026 : Need BO RAN analysis || Check and solve SFP / Optical fiber on FXED.;.;(04/29/2026 cell nokia) : 29/04/2026 : Need BO RAN analysis || Check and solve SFP / Optical fiber on FXED || Escalade faite au RM : en attente de son feedback</t>
        </is>
      </c>
    </row>
    <row r="112">
      <c r="A112" s="96" t="n">
        <v>46141</v>
      </c>
      <c r="B112" t="inlineStr">
        <is>
          <t>Mballa-II</t>
        </is>
      </c>
      <c r="C112" t="inlineStr">
        <is>
          <t>CTR_824</t>
        </is>
      </c>
      <c r="D112" t="inlineStr"/>
      <c r="E112" t="inlineStr">
        <is>
          <t>CAMUSAT</t>
        </is>
      </c>
      <c r="F112" t="inlineStr">
        <is>
          <t>Good Grid no GE - 8h</t>
        </is>
      </c>
      <c r="G112" t="inlineStr">
        <is>
          <t>CENTRE</t>
        </is>
      </c>
      <c r="H112" t="inlineStr">
        <is>
          <t>Yaounde</t>
        </is>
      </c>
      <c r="I112" t="inlineStr"/>
      <c r="J112" t="n">
        <v>0</v>
      </c>
      <c r="K112" t="n">
        <v>0</v>
      </c>
      <c r="L112" t="n">
        <v>8.821016291393338</v>
      </c>
      <c r="M112" t="n">
        <v>4.600059069779387</v>
      </c>
      <c r="N112" t="inlineStr">
        <is>
          <t>Operationnel</t>
        </is>
      </c>
      <c r="O112" t="inlineStr"/>
      <c r="P112" t="inlineStr">
        <is>
          <t>BSS</t>
        </is>
      </c>
      <c r="Q112" t="inlineStr">
        <is>
          <t>RAN ISSUE</t>
        </is>
      </c>
      <c r="R112" t="inlineStr">
        <is>
          <t>BSS Hardware issue</t>
        </is>
      </c>
      <c r="S112" t="inlineStr">
        <is>
          <t>ACTIVE</t>
        </is>
      </c>
      <c r="T112" t="inlineStr">
        <is>
          <t>04/29/2026: hardware issue,  site with GPS issue (alarm : TDD down 09Apr 02pm)</t>
        </is>
      </c>
      <c r="U112" t="inlineStr">
        <is>
          <t>04/29/2026 : hardware issue, site with GPS issue (alarm : TDD down 09Apr 02pm)</t>
        </is>
      </c>
    </row>
    <row r="113">
      <c r="A113" s="96" t="n">
        <v>46141</v>
      </c>
      <c r="B113" t="inlineStr">
        <is>
          <t>NR-Omnisport-Qtier-Yambassa</t>
        </is>
      </c>
      <c r="C113" t="inlineStr">
        <is>
          <t>CTR_566</t>
        </is>
      </c>
      <c r="D113" t="inlineStr"/>
      <c r="E113" t="inlineStr">
        <is>
          <t>CAMUSAT</t>
        </is>
      </c>
      <c r="F113" t="inlineStr">
        <is>
          <t>Good Grid no GE - 8h</t>
        </is>
      </c>
      <c r="G113" t="inlineStr">
        <is>
          <t>CENTRE</t>
        </is>
      </c>
      <c r="H113" t="inlineStr">
        <is>
          <t>Yaounde</t>
        </is>
      </c>
      <c r="I113" t="inlineStr"/>
      <c r="J113" t="n">
        <v>0</v>
      </c>
      <c r="K113" t="n">
        <v>0.279231310627621</v>
      </c>
      <c r="L113" t="n">
        <v>8.572311526111539</v>
      </c>
      <c r="M113" t="n">
        <v>4.564103551891518</v>
      </c>
      <c r="N113" t="inlineStr">
        <is>
          <t>Operationnel</t>
        </is>
      </c>
      <c r="O113" t="inlineStr"/>
      <c r="P113" t="inlineStr">
        <is>
          <t>AKTIVCO GRID ONLY</t>
        </is>
      </c>
      <c r="Q113" t="inlineStr">
        <is>
          <t>POWER ISSUE</t>
        </is>
      </c>
      <c r="R113" t="inlineStr">
        <is>
          <t>AKTIVCO Coupure ENEO &amp; Baisse de tension</t>
        </is>
      </c>
      <c r="S113" t="inlineStr">
        <is>
          <t>PASSIVE</t>
        </is>
      </c>
      <c r="T113" t="inlineStr">
        <is>
          <t>(04/29/2026 retour CAMUSAT): Grid outage,  / grid return awaited</t>
        </is>
      </c>
      <c r="U113" t="inlineStr">
        <is>
          <t>04/29/2026 retour CAMUSAT) : Grid outage, / grid return awaited</t>
        </is>
      </c>
    </row>
    <row r="114">
      <c r="A114" s="96" t="n">
        <v>46141</v>
      </c>
      <c r="B114" t="inlineStr">
        <is>
          <t>CTR_064_Z_Etoa-Meki</t>
        </is>
      </c>
      <c r="C114" t="inlineStr">
        <is>
          <t>CTR_064</t>
        </is>
      </c>
      <c r="D114" t="inlineStr"/>
      <c r="E114" t="inlineStr"/>
      <c r="F114" t="inlineStr"/>
      <c r="G114" t="inlineStr">
        <is>
          <t>CENTRE</t>
        </is>
      </c>
      <c r="H114" t="inlineStr">
        <is>
          <t>Yaounde</t>
        </is>
      </c>
      <c r="I114" t="inlineStr"/>
      <c r="J114" t="n">
        <v>0.07930869792853175</v>
      </c>
      <c r="K114" t="n">
        <v>0.1133181859910028</v>
      </c>
      <c r="L114" t="n">
        <v>8.620670786027445</v>
      </c>
      <c r="M114" t="n">
        <v>4.544948677778635</v>
      </c>
      <c r="N114" t="inlineStr">
        <is>
          <t>Operationnel</t>
        </is>
      </c>
      <c r="O114" t="inlineStr"/>
      <c r="P114" t="inlineStr">
        <is>
          <t>BSS</t>
        </is>
      </c>
      <c r="Q114" t="inlineStr">
        <is>
          <t>RAN ISSUE</t>
        </is>
      </c>
      <c r="R114" t="inlineStr">
        <is>
          <t>BSS Hardware issue</t>
        </is>
      </c>
      <c r="S114" t="inlineStr">
        <is>
          <t>ACTIVE</t>
        </is>
      </c>
      <c r="T114" t="inlineStr">
        <is>
          <t>04/29/2026: hardware issue,  site with GPS issue (alarm : TDD down 09Apr 02pm)</t>
        </is>
      </c>
      <c r="U114" t="inlineStr">
        <is>
          <t>04/29/2026 : hardware issue, site with GPS issue (alarm : TDD down 09Apr 02pm)</t>
        </is>
      </c>
    </row>
    <row r="115">
      <c r="A115" s="96" t="n">
        <v>46141</v>
      </c>
      <c r="B115" t="inlineStr">
        <is>
          <t>Sakdje</t>
        </is>
      </c>
      <c r="C115" t="inlineStr">
        <is>
          <t>NRD_172</t>
        </is>
      </c>
      <c r="D115" t="inlineStr"/>
      <c r="E115" t="inlineStr">
        <is>
          <t>CAMUSAT</t>
        </is>
      </c>
      <c r="F115" t="inlineStr">
        <is>
          <t>Hybrid Solar - S3</t>
        </is>
      </c>
      <c r="G115" t="inlineStr">
        <is>
          <t>NORD</t>
        </is>
      </c>
      <c r="H115" t="inlineStr">
        <is>
          <t>Sakdje</t>
        </is>
      </c>
      <c r="I115" t="inlineStr"/>
      <c r="J115" t="n">
        <v>0</v>
      </c>
      <c r="K115" t="n">
        <v>13.48874234557701</v>
      </c>
      <c r="L115" t="n">
        <v>0</v>
      </c>
      <c r="M115" t="n">
        <v>4.528326384786821</v>
      </c>
      <c r="N115" t="inlineStr">
        <is>
          <t>Operationnel</t>
        </is>
      </c>
      <c r="O115" t="inlineStr"/>
      <c r="P115" t="inlineStr">
        <is>
          <t>AKTIVCO</t>
        </is>
      </c>
      <c r="Q115" t="inlineStr">
        <is>
          <t>POWER ISSUE</t>
        </is>
      </c>
      <c r="R115" t="inlineStr">
        <is>
          <t>AKTIVCO Defaut GE &amp; Power Cabinet</t>
        </is>
      </c>
      <c r="S115" t="inlineStr">
        <is>
          <t>PASSIVE</t>
        </is>
      </c>
      <c r="T115" t="inlineStr">
        <is>
          <t>(04/29/2026 retour CAMUSAT): GE en stop mode</t>
        </is>
      </c>
      <c r="U115" t="inlineStr">
        <is>
          <t>04/29/2026 retour CAMUSAT) : GE en stop mode</t>
        </is>
      </c>
    </row>
    <row r="116">
      <c r="A116" s="96" t="n">
        <v>46141</v>
      </c>
      <c r="B116" t="inlineStr">
        <is>
          <t>ETOUDI-NEW</t>
        </is>
      </c>
      <c r="C116" t="inlineStr">
        <is>
          <t>CTR_917</t>
        </is>
      </c>
      <c r="D116" t="inlineStr"/>
      <c r="E116" t="inlineStr">
        <is>
          <t>CAMUSAT</t>
        </is>
      </c>
      <c r="F116" t="inlineStr">
        <is>
          <t>Good Grid no GE - 8h</t>
        </is>
      </c>
      <c r="G116" t="inlineStr">
        <is>
          <t>CENTRE</t>
        </is>
      </c>
      <c r="H116" t="inlineStr">
        <is>
          <t>Yaounde</t>
        </is>
      </c>
      <c r="I116" t="inlineStr"/>
      <c r="J116" t="n">
        <v>0.08880076256249775</v>
      </c>
      <c r="K116" t="n">
        <v>0.1163463794281754</v>
      </c>
      <c r="L116" t="n">
        <v>8.518411813503711</v>
      </c>
      <c r="M116" t="n">
        <v>4.493993859025833</v>
      </c>
      <c r="N116" t="inlineStr">
        <is>
          <t>Operationnel</t>
        </is>
      </c>
      <c r="O116" t="inlineStr"/>
      <c r="P116" t="inlineStr">
        <is>
          <t>BSS</t>
        </is>
      </c>
      <c r="Q116" t="inlineStr">
        <is>
          <t>RAN ISSUE</t>
        </is>
      </c>
      <c r="R116" t="inlineStr">
        <is>
          <t>BSS Hardware issue</t>
        </is>
      </c>
      <c r="S116" t="inlineStr">
        <is>
          <t>ACTIVE</t>
        </is>
      </c>
      <c r="T116" t="inlineStr">
        <is>
          <t>04/29/2026: hardware issue,  site with GPS issue (alarm : TDD down 09Apr 02pm)</t>
        </is>
      </c>
      <c r="U116" t="inlineStr">
        <is>
          <t>04/29/2026 : hardware issue, site with GPS issue (alarm : TDD down 09Apr 02pm)</t>
        </is>
      </c>
    </row>
    <row r="117">
      <c r="A117" s="96" t="n">
        <v>46141</v>
      </c>
      <c r="B117" t="inlineStr">
        <is>
          <t>Messondo</t>
        </is>
      </c>
      <c r="C117" t="inlineStr">
        <is>
          <t>LIT_134</t>
        </is>
      </c>
      <c r="D117" t="inlineStr"/>
      <c r="E117" t="inlineStr">
        <is>
          <t>CAMUSAT</t>
        </is>
      </c>
      <c r="F117" t="inlineStr">
        <is>
          <t>HGB</t>
        </is>
      </c>
      <c r="G117" t="inlineStr">
        <is>
          <t>LITTORAL</t>
        </is>
      </c>
      <c r="H117" t="inlineStr">
        <is>
          <t>Messondo</t>
        </is>
      </c>
      <c r="I117" t="inlineStr"/>
      <c r="J117" t="n">
        <v>15.57947555843315</v>
      </c>
      <c r="K117" t="n">
        <v>6.665478764820085</v>
      </c>
      <c r="L117" t="n">
        <v>0</v>
      </c>
      <c r="M117" t="n">
        <v>4.462425770404042</v>
      </c>
      <c r="N117" t="inlineStr">
        <is>
          <t>Operationnel</t>
        </is>
      </c>
      <c r="O117" t="inlineStr"/>
      <c r="P117" t="inlineStr">
        <is>
          <t>BSS</t>
        </is>
      </c>
      <c r="Q117" t="inlineStr">
        <is>
          <t>RAN ISSUE</t>
        </is>
      </c>
      <c r="R117" t="inlineStr">
        <is>
          <t>BSS Hardware issue</t>
        </is>
      </c>
      <c r="S117" t="inlineStr">
        <is>
          <t>ACTIVE</t>
        </is>
      </c>
      <c r="T117" t="inlineStr">
        <is>
          <t>(04/29/2026 cell nokia): 27/04/2026 : Intervention plan for 29/04/2026 
24/04/2026 : Check and clean FRGU ant 5  || FME charlie activer ||Attende du Work Permis ..;..;(04/29/2026 cell nokia): 2902026 : A cause du outage de Mbongo FME se rendra demain sur messondo ||ETA : 30/04/2026 
27/04/2026 : Intervention plan for 29/04/2026 
24/04/2026 : Check and clean FRGU ant 5  || FME charlie activer ||Attende du Work Permis ..;..;(04/29/2026 cell nokia): 2902026 : A cause du outage de Mbongo FME se rendra demain sur messondo ||ETA : 30/04/2026 
27/04/2026 : Intervention plan for 29/04/2026 
24/04/2026 : Check and clean FRGU ant 5  || FME charlie activer ||Attende du Work Permis ..;..;(04/29/2026 ticket): INC-20260429-00016051  ;  2026-04-29 23:43:48  ;  29.04.26: There is ICP alarm between ODU and EASv2 board. Activate FME at NKOLDA-NEW check ODU 5/1 antenna line; FME Crislain activé pour investigations, update ASAP  ;  user:ndzie mbene lionnel</t>
        </is>
      </c>
      <c r="U117" t="inlineStr">
        <is>
          <t>04/29/2026 cell nokia) : 27/04/2026 : Intervention plan for 29/04/2026 24/04/2026 : Check and clean FRGU ant 5 || Attende du Work Permis .;.;(04/29/2026 cell nokia) : 2902026 : A cause du outage de Mbongo FME se rendra demain sur messondo || ETA : 30/04/2026 27/04/2026 : Intervention plan for 29/04/2026 24/04/2026 : Check and clean FRGU ant 5 || Attende du Work Permis .;.;(04/29/2026 cell nokia) : 2902026 : A cause du outage de Mbongo FME se rendra demain sur messondo || ETA : 30/04/2026 27/04/2026 : Intervention plan for 29/04/2026 24/04/2026 : Check and clean FRGU ant 5 || Attende du Work Permis .;.; : ; 2026-04-29 23 : 43 : 48 ; 29.04.26 : There is ICP alarm between ODU and EASv2 board. Activate FME at NKOLDA-NEW check ODU 5/1 antenna line; FME Crislain activé pour investigations, update ASAP ; user : ndzie mbene lionnel</t>
        </is>
      </c>
    </row>
    <row r="118">
      <c r="A118" s="96" t="n">
        <v>46141</v>
      </c>
      <c r="B118" t="inlineStr">
        <is>
          <t>Etoudi-II-IHS</t>
        </is>
      </c>
      <c r="C118" t="inlineStr">
        <is>
          <t>CTR_633</t>
        </is>
      </c>
      <c r="D118" t="inlineStr"/>
      <c r="E118" t="inlineStr">
        <is>
          <t>IHS</t>
        </is>
      </c>
      <c r="F118" t="inlineStr">
        <is>
          <t>Grid-Gen</t>
        </is>
      </c>
      <c r="G118" t="inlineStr">
        <is>
          <t>CENTRE</t>
        </is>
      </c>
      <c r="H118" t="inlineStr">
        <is>
          <t>Yaounde</t>
        </is>
      </c>
      <c r="I118" t="inlineStr"/>
      <c r="J118" t="n">
        <v>0.175103613379215</v>
      </c>
      <c r="K118" t="n">
        <v>0.2242456929526611</v>
      </c>
      <c r="L118" t="n">
        <v>8.358354291292653</v>
      </c>
      <c r="M118" t="n">
        <v>4.459072775680373</v>
      </c>
      <c r="N118" t="inlineStr">
        <is>
          <t>Operationnel</t>
        </is>
      </c>
      <c r="O118" t="inlineStr"/>
      <c r="P118" t="inlineStr">
        <is>
          <t>BSS</t>
        </is>
      </c>
      <c r="Q118" t="inlineStr">
        <is>
          <t>RAN ISSUE</t>
        </is>
      </c>
      <c r="R118" t="inlineStr">
        <is>
          <t>BSS Hardware issue</t>
        </is>
      </c>
      <c r="S118" t="inlineStr">
        <is>
          <t>ACTIVE</t>
        </is>
      </c>
      <c r="T118" t="inlineStr">
        <is>
          <t>(04/29/2026 cell zte): 29/04/2026 : Besoin d'analyse BO RAN || 04/29/2026: hardware issue,  site with GPS issue (alarm : TDD down 09Apr 02pm)</t>
        </is>
      </c>
      <c r="U118" t="inlineStr">
        <is>
          <t>04/29/2026 cell zte) : 29/04/2026 : Besoin d'analyse BO RAN || 04/29/2026 : hardware issue, site with GPS issue (alarm : TDD down 09Apr 02pm)</t>
        </is>
      </c>
    </row>
    <row r="119">
      <c r="A119" s="96" t="n">
        <v>46141</v>
      </c>
      <c r="B119" t="inlineStr">
        <is>
          <t>Institute-Samba-New</t>
        </is>
      </c>
      <c r="C119" t="inlineStr">
        <is>
          <t>CTR_868</t>
        </is>
      </c>
      <c r="D119" t="inlineStr"/>
      <c r="E119" t="inlineStr">
        <is>
          <t>CAMUSAT</t>
        </is>
      </c>
      <c r="F119" t="inlineStr">
        <is>
          <t>Good Grid no GE - 8h</t>
        </is>
      </c>
      <c r="G119" t="inlineStr">
        <is>
          <t>CENTRE</t>
        </is>
      </c>
      <c r="H119" t="inlineStr">
        <is>
          <t>Yaounde</t>
        </is>
      </c>
      <c r="I119" t="inlineStr"/>
      <c r="J119" t="n">
        <v>0.1729803883953015</v>
      </c>
      <c r="K119" t="n">
        <v>0.2492681334598165</v>
      </c>
      <c r="L119" t="n">
        <v>8.250041861198117</v>
      </c>
      <c r="M119" t="n">
        <v>4.410686208205278</v>
      </c>
      <c r="N119" t="inlineStr">
        <is>
          <t>Operationnel</t>
        </is>
      </c>
      <c r="O119" t="inlineStr"/>
      <c r="P119" t="inlineStr">
        <is>
          <t>AKTIVCO GRID ONLY</t>
        </is>
      </c>
      <c r="Q119" t="inlineStr">
        <is>
          <t>POWER ISSUE</t>
        </is>
      </c>
      <c r="R119" t="inlineStr">
        <is>
          <t>AKTIVCO Coupure ENEO &amp; Baisse de tension</t>
        </is>
      </c>
      <c r="S119" t="inlineStr">
        <is>
          <t>PASSIVE</t>
        </is>
      </c>
      <c r="T119" t="inlineStr">
        <is>
          <t>(04/29/2026 cell zte): 
29/04/2026 : Fme active pour checker les tensions au borne des modules || Fme active ETA attendu</t>
        </is>
      </c>
      <c r="U119" t="inlineStr">
        <is>
          <t>04/29/2026 cell zte) : 29/04/2026 : Fme active pour checker les tensions au borne des modules || Fme active ETA attendu</t>
        </is>
      </c>
    </row>
    <row r="120">
      <c r="A120" s="96" t="n">
        <v>46141</v>
      </c>
      <c r="B120" t="inlineStr">
        <is>
          <t>SIC-Cacao</t>
        </is>
      </c>
      <c r="C120" t="inlineStr">
        <is>
          <t>LIT_654</t>
        </is>
      </c>
      <c r="D120" t="inlineStr"/>
      <c r="E120" t="inlineStr">
        <is>
          <t>CAMUSAT</t>
        </is>
      </c>
      <c r="F120" t="inlineStr">
        <is>
          <t>Good Grid no GE - 12h</t>
        </is>
      </c>
      <c r="G120" t="inlineStr">
        <is>
          <t>LITTORAL</t>
        </is>
      </c>
      <c r="H120" t="inlineStr">
        <is>
          <t>Douala</t>
        </is>
      </c>
      <c r="I120" t="inlineStr"/>
      <c r="J120" t="n">
        <v>0.6796817860268816</v>
      </c>
      <c r="K120" t="n">
        <v>1.155069854578714</v>
      </c>
      <c r="L120" t="n">
        <v>7.489153024840927</v>
      </c>
      <c r="M120" t="n">
        <v>4.390336383845129</v>
      </c>
      <c r="N120" t="inlineStr">
        <is>
          <t>Operationnel</t>
        </is>
      </c>
      <c r="O120" t="inlineStr"/>
      <c r="P120" t="inlineStr">
        <is>
          <t>AKTIVCO GRID ONLY</t>
        </is>
      </c>
      <c r="Q120" t="inlineStr">
        <is>
          <t>POWER ISSUE</t>
        </is>
      </c>
      <c r="R120" t="inlineStr">
        <is>
          <t>AKTIVCO Coupure ENEO &amp; Baisse de tension</t>
        </is>
      </c>
      <c r="S120" t="inlineStr">
        <is>
          <t>PASSIVE</t>
        </is>
      </c>
      <c r="T120" t="inlineStr">
        <is>
          <t>(04/29/2026 retour CAMUSAT): Grid outage,  / grid return awaited</t>
        </is>
      </c>
      <c r="U120" t="inlineStr">
        <is>
          <t>04/29/2026 retour CAMUSAT) : Grid outage, / grid return awaited</t>
        </is>
      </c>
    </row>
    <row r="121">
      <c r="A121" s="96" t="n">
        <v>46141</v>
      </c>
      <c r="B121" t="inlineStr">
        <is>
          <t>Vallee-Omnisport</t>
        </is>
      </c>
      <c r="C121" t="inlineStr">
        <is>
          <t>CTR_758</t>
        </is>
      </c>
      <c r="D121" t="inlineStr"/>
      <c r="E121" t="inlineStr">
        <is>
          <t>CAMUSAT</t>
        </is>
      </c>
      <c r="F121" t="inlineStr">
        <is>
          <t>Good Grid no GE - 8h</t>
        </is>
      </c>
      <c r="G121" t="inlineStr">
        <is>
          <t>CENTRE</t>
        </is>
      </c>
      <c r="H121" t="inlineStr">
        <is>
          <t>Yaounde</t>
        </is>
      </c>
      <c r="I121" t="inlineStr"/>
      <c r="J121" t="n">
        <v>0</v>
      </c>
      <c r="K121" t="n">
        <v>0</v>
      </c>
      <c r="L121" t="n">
        <v>8.366391367728465</v>
      </c>
      <c r="M121" t="n">
        <v>4.362977373706244</v>
      </c>
      <c r="N121" t="inlineStr">
        <is>
          <t>Operationnel</t>
        </is>
      </c>
      <c r="O121" t="inlineStr"/>
      <c r="P121" t="inlineStr">
        <is>
          <t>AKTIVCO GRID ONLY</t>
        </is>
      </c>
      <c r="Q121" t="inlineStr">
        <is>
          <t>POWER ISSUE</t>
        </is>
      </c>
      <c r="R121" t="inlineStr">
        <is>
          <t>AKTIVCO Coupure ENEO &amp; Baisse de tension</t>
        </is>
      </c>
      <c r="S121" t="inlineStr">
        <is>
          <t>PASSIVE</t>
        </is>
      </c>
      <c r="T121" t="inlineStr">
        <is>
          <t>(04/29/2026 retour CAMUSAT): Grid outage,  / grid return awaited</t>
        </is>
      </c>
      <c r="U121" t="inlineStr">
        <is>
          <t>04/29/2026 retour CAMUSAT) : Grid outage, / grid return awaited</t>
        </is>
      </c>
    </row>
    <row r="122">
      <c r="A122" s="96" t="n">
        <v>46141</v>
      </c>
      <c r="B122" t="inlineStr">
        <is>
          <t>ARMP</t>
        </is>
      </c>
      <c r="C122" t="inlineStr">
        <is>
          <t>CTR_124</t>
        </is>
      </c>
      <c r="D122" t="inlineStr"/>
      <c r="E122" t="inlineStr">
        <is>
          <t>IHS</t>
        </is>
      </c>
      <c r="F122" t="inlineStr">
        <is>
          <t>GridOnly</t>
        </is>
      </c>
      <c r="G122" t="inlineStr">
        <is>
          <t>CENTRE</t>
        </is>
      </c>
      <c r="H122" t="inlineStr">
        <is>
          <t>Yaounde</t>
        </is>
      </c>
      <c r="I122" t="inlineStr"/>
      <c r="J122" t="n">
        <v>0</v>
      </c>
      <c r="K122" t="n">
        <v>0</v>
      </c>
      <c r="L122" t="n">
        <v>8.226272635143271</v>
      </c>
      <c r="M122" t="n">
        <v>4.289907057839874</v>
      </c>
      <c r="N122" t="inlineStr">
        <is>
          <t>Operationnel</t>
        </is>
      </c>
      <c r="O122" t="inlineStr"/>
      <c r="P122" t="inlineStr">
        <is>
          <t>BSS</t>
        </is>
      </c>
      <c r="Q122" t="inlineStr">
        <is>
          <t>RAN ISSUE</t>
        </is>
      </c>
      <c r="R122" t="inlineStr">
        <is>
          <t>BSS Hardware issue</t>
        </is>
      </c>
      <c r="S122" t="inlineStr">
        <is>
          <t>ACTIVE</t>
        </is>
      </c>
      <c r="T122" t="inlineStr">
        <is>
          <t>04/29/2026: hardware issue,  site with GPS issue (alarm : TDD down 09Apr 02pm)</t>
        </is>
      </c>
      <c r="U122" t="inlineStr">
        <is>
          <t>04/29/2026 : hardware issue, site with GPS issue (alarm : TDD down 09Apr 02pm)</t>
        </is>
      </c>
    </row>
    <row r="123">
      <c r="A123" s="96" t="n">
        <v>46141</v>
      </c>
      <c r="B123" t="inlineStr">
        <is>
          <t>Fonfuka</t>
        </is>
      </c>
      <c r="C123" t="inlineStr">
        <is>
          <t>NRO_043</t>
        </is>
      </c>
      <c r="D123" t="inlineStr"/>
      <c r="E123" t="inlineStr">
        <is>
          <t>IHS</t>
        </is>
      </c>
      <c r="F123" t="inlineStr">
        <is>
          <t>Hybrid-Gen</t>
        </is>
      </c>
      <c r="G123" t="inlineStr">
        <is>
          <t>NORD-OUEST</t>
        </is>
      </c>
      <c r="H123" t="inlineStr">
        <is>
          <t>Fonfuka</t>
        </is>
      </c>
      <c r="I123" t="inlineStr"/>
      <c r="J123" t="n">
        <v>15.90283023392444</v>
      </c>
      <c r="K123" t="n">
        <v>5.5198122477568</v>
      </c>
      <c r="L123" t="n">
        <v>0</v>
      </c>
      <c r="M123" t="n">
        <v>4.123987324253139</v>
      </c>
      <c r="N123" t="inlineStr">
        <is>
          <t>Insecurity</t>
        </is>
      </c>
      <c r="O123" t="inlineStr"/>
      <c r="P123" t="inlineStr">
        <is>
          <t>BSS</t>
        </is>
      </c>
      <c r="Q123" t="inlineStr">
        <is>
          <t>RAN ISSUE</t>
        </is>
      </c>
      <c r="R123" t="inlineStr">
        <is>
          <t>BSS Hardware issue</t>
        </is>
      </c>
      <c r="S123" t="inlineStr">
        <is>
          <t>ACTIVE</t>
        </is>
      </c>
      <c r="T123" t="inlineStr">
        <is>
          <t xml:space="preserve">(04/29/2026 cell nokia): 20/04/2026 :  Un reset a ete effectuer || Site en observation..;..;(04/29/2026 cell nokia): 29/04/2026 :  Un reset a ete effectuer || Site en observation||Check and solve VSWR on site||VSWR on ARGA, ANT2..;..;(04/29/2026 cell nokia): 29/04/2026 :  Un reset a ete effectuer || Site en observation||Check and solve VSWR on site||VSWR on ARGA, ANT2 || Escalade faite au RM : en attente de son feedback </t>
        </is>
      </c>
      <c r="U123" t="inlineStr">
        <is>
          <t>04/29/2026 cell nokia) : 20/04/2026 : Un reset a ete effectuer || Site en observation.;.;(04/29/2026 cell nokia) : 29/04/2026 : Un reset a ete effectuer || Site en observation || Check and solve VSWR on site || VSWR on ARGA, ANT2.;.;(04/29/2026 cell nokia) : 29/04/2026 : Un reset a ete effectuer || Site en observation || Check and solve VSWR on site || VSWR on ARGA, ANT2 || Escalade faite au RM : en attente de son feedback</t>
        </is>
      </c>
    </row>
    <row r="124">
      <c r="A124" s="96" t="n">
        <v>46141</v>
      </c>
      <c r="B124" t="inlineStr">
        <is>
          <t>Afanoya-II</t>
        </is>
      </c>
      <c r="C124" t="inlineStr">
        <is>
          <t>CTR_838</t>
        </is>
      </c>
      <c r="D124" t="inlineStr"/>
      <c r="E124" t="inlineStr">
        <is>
          <t>CAMUSAT</t>
        </is>
      </c>
      <c r="F124" t="inlineStr">
        <is>
          <t>Medium Grid + GE</t>
        </is>
      </c>
      <c r="G124" t="inlineStr">
        <is>
          <t>CENTRE</t>
        </is>
      </c>
      <c r="H124" t="inlineStr">
        <is>
          <t>Yaounde</t>
        </is>
      </c>
      <c r="I124" t="inlineStr"/>
      <c r="J124" t="n">
        <v>3.196078078726185</v>
      </c>
      <c r="K124" t="n">
        <v>2.849636276779855</v>
      </c>
      <c r="L124" t="n">
        <v>5.091881225827212</v>
      </c>
      <c r="M124" t="n">
        <v>4.068413220216133</v>
      </c>
      <c r="N124" t="inlineStr">
        <is>
          <t>Operationnel</t>
        </is>
      </c>
      <c r="O124" t="inlineStr"/>
      <c r="P124" t="inlineStr">
        <is>
          <t>AKTIVCO</t>
        </is>
      </c>
      <c r="Q124" t="inlineStr">
        <is>
          <t>POWER ISSUE</t>
        </is>
      </c>
      <c r="R124" t="inlineStr">
        <is>
          <t>AKTIVCO Defaut GE &amp; Power Cabinet</t>
        </is>
      </c>
      <c r="S124" t="inlineStr">
        <is>
          <t>PASSIVE</t>
        </is>
      </c>
      <c r="T124" t="inlineStr">
        <is>
          <t>(04/29/2026 ticket): INC-20260429-00016055  ;  Others Transmission equipement fault || (04/29/2026 retour CAMUSAT): ATS faulty</t>
        </is>
      </c>
      <c r="U124" t="inlineStr">
        <is>
          <t>: ; || (04/29/2026 retour CAMUSAT) : ATS faulty</t>
        </is>
      </c>
    </row>
    <row r="125">
      <c r="A125" s="96" t="n">
        <v>46141</v>
      </c>
      <c r="B125" t="inlineStr">
        <is>
          <t>Douggoy-Lopere-II</t>
        </is>
      </c>
      <c r="C125" t="inlineStr">
        <is>
          <t>EXN_217</t>
        </is>
      </c>
      <c r="D125" t="inlineStr"/>
      <c r="E125" t="inlineStr">
        <is>
          <t>CAMUSAT</t>
        </is>
      </c>
      <c r="F125" t="inlineStr">
        <is>
          <t>Medium Grid + GE</t>
        </is>
      </c>
      <c r="G125" t="inlineStr">
        <is>
          <t>EXTREME-NORD</t>
        </is>
      </c>
      <c r="H125" t="inlineStr">
        <is>
          <t>Maroua</t>
        </is>
      </c>
      <c r="I125" t="inlineStr"/>
      <c r="J125" t="n">
        <v>4.606773737155738</v>
      </c>
      <c r="K125" t="n">
        <v>5.974360020536463</v>
      </c>
      <c r="L125" t="n">
        <v>2.491835698354226</v>
      </c>
      <c r="M125" t="n">
        <v>3.962972237203688</v>
      </c>
      <c r="N125" t="inlineStr">
        <is>
          <t>Operationnel</t>
        </is>
      </c>
      <c r="O125" t="inlineStr"/>
      <c r="P125" t="inlineStr">
        <is>
          <t>AKTIVCO</t>
        </is>
      </c>
      <c r="Q125" t="inlineStr">
        <is>
          <t>POWER ISSUE</t>
        </is>
      </c>
      <c r="R125" t="inlineStr">
        <is>
          <t>AKTIVCO Defaut GE &amp; Power Cabinet</t>
        </is>
      </c>
      <c r="S125" t="inlineStr">
        <is>
          <t>PASSIVE</t>
        </is>
      </c>
      <c r="T125" t="inlineStr">
        <is>
          <t>(04/29/2026 retour CAMUSAT): Mauvaises phases ENEO</t>
        </is>
      </c>
      <c r="U125" t="inlineStr">
        <is>
          <t>04/29/2026 retour CAMUSAT) : Mauvaises phases ENEO</t>
        </is>
      </c>
    </row>
    <row r="126">
      <c r="A126" s="96" t="n">
        <v>46141</v>
      </c>
      <c r="B126" t="inlineStr">
        <is>
          <t>Ouro-Kessoun</t>
        </is>
      </c>
      <c r="C126" t="inlineStr">
        <is>
          <t>NRD_040</t>
        </is>
      </c>
      <c r="D126" t="inlineStr"/>
      <c r="E126" t="inlineStr">
        <is>
          <t>IHS</t>
        </is>
      </c>
      <c r="F126" t="inlineStr">
        <is>
          <t>Grid-Gen</t>
        </is>
      </c>
      <c r="G126" t="inlineStr">
        <is>
          <t>NORD</t>
        </is>
      </c>
      <c r="H126" t="inlineStr">
        <is>
          <t>Garoua</t>
        </is>
      </c>
      <c r="I126" t="inlineStr"/>
      <c r="J126" t="n">
        <v>4.630503898740653</v>
      </c>
      <c r="K126" t="n">
        <v>5.894670719558262</v>
      </c>
      <c r="L126" t="n">
        <v>2.505002823578853</v>
      </c>
      <c r="M126" t="n">
        <v>3.946474789760096</v>
      </c>
      <c r="N126" t="inlineStr">
        <is>
          <t>Operationnel</t>
        </is>
      </c>
      <c r="O126" t="inlineStr"/>
      <c r="P126" t="inlineStr">
        <is>
          <t>IHS GRID ONLY</t>
        </is>
      </c>
      <c r="Q126" t="inlineStr">
        <is>
          <t>POWER ISSUE</t>
        </is>
      </c>
      <c r="R126" t="inlineStr">
        <is>
          <t>Coupure ENEO &amp; Baisse de tension</t>
        </is>
      </c>
      <c r="S126" t="inlineStr">
        <is>
          <t>PASSIVE</t>
        </is>
      </c>
      <c r="T126" t="inlineStr">
        <is>
          <t>(04/29/2026 retour IHS): Power issue NUR to be checked   ||   (04/29/2026 hourly IHS): Joseph is on the way 10:20 PM (franklin is informed )</t>
        </is>
      </c>
      <c r="U126" t="inlineStr">
        <is>
          <t>04/29/2026 retour IHS) : Power issue NUR to be checked || : Joseph is on the way 10 : 20 PM (franklin is informed )</t>
        </is>
      </c>
    </row>
    <row r="127">
      <c r="A127" s="96" t="n">
        <v>46141</v>
      </c>
      <c r="B127" t="inlineStr">
        <is>
          <t>CRH-Etoug-Ebe</t>
        </is>
      </c>
      <c r="C127" t="inlineStr">
        <is>
          <t>CTR_265</t>
        </is>
      </c>
      <c r="D127" t="inlineStr"/>
      <c r="E127" t="inlineStr">
        <is>
          <t>IHS</t>
        </is>
      </c>
      <c r="F127" t="inlineStr">
        <is>
          <t>Grid-Gen</t>
        </is>
      </c>
      <c r="G127" t="inlineStr">
        <is>
          <t>CENTRE</t>
        </is>
      </c>
      <c r="H127" t="inlineStr">
        <is>
          <t>Yaounde</t>
        </is>
      </c>
      <c r="I127" t="inlineStr"/>
      <c r="J127" t="n">
        <v>2.71048403534645</v>
      </c>
      <c r="K127" t="n">
        <v>2.572264383175058</v>
      </c>
      <c r="L127" t="n">
        <v>5.078748300927844</v>
      </c>
      <c r="M127" t="n">
        <v>3.899104821749095</v>
      </c>
      <c r="N127" t="inlineStr">
        <is>
          <t>Operationnel</t>
        </is>
      </c>
      <c r="O127" t="inlineStr"/>
      <c r="P127" t="inlineStr">
        <is>
          <t>IHS GRID ONLY</t>
        </is>
      </c>
      <c r="Q127" t="inlineStr">
        <is>
          <t>POWER ISSUE</t>
        </is>
      </c>
      <c r="R127" t="inlineStr">
        <is>
          <t>Coupure ENEO &amp; Baisse de tension</t>
        </is>
      </c>
      <c r="S127" t="inlineStr">
        <is>
          <t>PASSIVE</t>
        </is>
      </c>
      <c r="T127" t="inlineStr">
        <is>
          <t>(04/29/2026 retour IHS): Power issue NUR to be checked   ||   (04/29/2026 hourly IHS): Fme Armand is on site awaiting AFS, Francois is informed ,Alphonse not pick the phone..;..;(04/29/2026 ticket): INC-20260429-00005690</t>
        </is>
      </c>
      <c r="U127" t="inlineStr">
        <is>
          <t>04/29/2026 retour IHS) : Power issue NUR to be checked || : Fme Armand is on site awaiting AFS, Francois is informed ,Alphonse not pick the phone.;.; :</t>
        </is>
      </c>
    </row>
    <row r="128">
      <c r="A128" s="96" t="n">
        <v>46141</v>
      </c>
      <c r="B128" t="inlineStr">
        <is>
          <t>Tsinga-Village2</t>
        </is>
      </c>
      <c r="C128" t="inlineStr">
        <is>
          <t>CTR_675</t>
        </is>
      </c>
      <c r="D128" t="inlineStr"/>
      <c r="E128" t="inlineStr">
        <is>
          <t>IHS</t>
        </is>
      </c>
      <c r="F128" t="inlineStr">
        <is>
          <t>Hybrid-Gen-Lithium</t>
        </is>
      </c>
      <c r="G128" t="inlineStr">
        <is>
          <t>CENTRE</t>
        </is>
      </c>
      <c r="H128" t="inlineStr">
        <is>
          <t>Yaounde</t>
        </is>
      </c>
      <c r="I128" t="inlineStr"/>
      <c r="J128" t="n">
        <v>1.806614670135766</v>
      </c>
      <c r="K128" t="n">
        <v>1.534815936840173</v>
      </c>
      <c r="L128" t="n">
        <v>5.968811765787419</v>
      </c>
      <c r="M128" t="n">
        <v>3.885906863794221</v>
      </c>
      <c r="N128" t="inlineStr">
        <is>
          <t>Operationnel</t>
        </is>
      </c>
      <c r="O128" t="inlineStr"/>
      <c r="P128" t="inlineStr">
        <is>
          <t>IHS GRID ONLY</t>
        </is>
      </c>
      <c r="Q128" t="inlineStr">
        <is>
          <t>POWER ISSUE</t>
        </is>
      </c>
      <c r="R128" t="inlineStr">
        <is>
          <t>Coupure ENEO &amp; Baisse de tension</t>
        </is>
      </c>
      <c r="S128" t="inlineStr">
        <is>
          <t>PASSIVE</t>
        </is>
      </c>
      <c r="T128" t="inlineStr">
        <is>
          <t>(04/29/2026 retour IHS): Power issue NUR to be checked   ||   04/29/2026: hardware issue,  site with GPS issue (alarm : TDD down 09Apr 02pm)</t>
        </is>
      </c>
      <c r="U128" t="inlineStr">
        <is>
          <t>04/29/2026 retour IHS) : Power issue NUR to be checked || 04/29/2026 : hardware issue, site with GPS issue (alarm : TDD down 09Apr 02pm)</t>
        </is>
      </c>
    </row>
    <row r="129">
      <c r="A129" s="96" t="n">
        <v>46141</v>
      </c>
      <c r="B129" t="inlineStr">
        <is>
          <t>Tchollire-Centre</t>
        </is>
      </c>
      <c r="C129" t="inlineStr">
        <is>
          <t>NRD_180</t>
        </is>
      </c>
      <c r="D129" t="inlineStr"/>
      <c r="E129" t="inlineStr">
        <is>
          <t>CAMUSAT</t>
        </is>
      </c>
      <c r="F129" t="inlineStr">
        <is>
          <t>HGB</t>
        </is>
      </c>
      <c r="G129" t="inlineStr">
        <is>
          <t>NORD</t>
        </is>
      </c>
      <c r="H129" t="inlineStr">
        <is>
          <t>Tchollire</t>
        </is>
      </c>
      <c r="I129" t="inlineStr"/>
      <c r="J129" t="n">
        <v>0</v>
      </c>
      <c r="K129" t="n">
        <v>11.55574553484909</v>
      </c>
      <c r="L129" t="n">
        <v>0</v>
      </c>
      <c r="M129" t="n">
        <v>3.87939706020837</v>
      </c>
      <c r="N129" t="inlineStr">
        <is>
          <t>Operationnel</t>
        </is>
      </c>
      <c r="O129" t="inlineStr"/>
      <c r="P129" t="inlineStr">
        <is>
          <t>AKTIVCO</t>
        </is>
      </c>
      <c r="Q129" t="inlineStr">
        <is>
          <t>POWER ISSUE</t>
        </is>
      </c>
      <c r="R129" t="inlineStr">
        <is>
          <t>AKTIVCO Defaut GE &amp; Power Cabinet</t>
        </is>
      </c>
      <c r="S129" t="inlineStr">
        <is>
          <t>PASSIVE</t>
        </is>
      </c>
      <c r="T129" t="inlineStr">
        <is>
          <t>(04/29/2026 retour CAMUSAT): Plantage du controleur</t>
        </is>
      </c>
      <c r="U129" t="inlineStr">
        <is>
          <t>04/29/2026 retour CAMUSAT) : Plantage du controleur</t>
        </is>
      </c>
    </row>
    <row r="130">
      <c r="A130" s="96" t="n">
        <v>46141</v>
      </c>
      <c r="B130" t="inlineStr">
        <is>
          <t>Sonara</t>
        </is>
      </c>
      <c r="C130" t="inlineStr">
        <is>
          <t>SUO_171</t>
        </is>
      </c>
      <c r="D130" t="inlineStr"/>
      <c r="E130" t="inlineStr">
        <is>
          <t>CAMUSAT</t>
        </is>
      </c>
      <c r="F130" t="inlineStr">
        <is>
          <t>Medium Grid + GE</t>
        </is>
      </c>
      <c r="G130" t="inlineStr">
        <is>
          <t>SUD-OUEST</t>
        </is>
      </c>
      <c r="H130" t="inlineStr">
        <is>
          <t>Limbe</t>
        </is>
      </c>
      <c r="I130" t="inlineStr"/>
      <c r="J130" t="n">
        <v>8.926912101483161</v>
      </c>
      <c r="K130" t="n">
        <v>7.599171741281354</v>
      </c>
      <c r="L130" t="n">
        <v>0</v>
      </c>
      <c r="M130" t="n">
        <v>3.825891825256183</v>
      </c>
      <c r="N130" t="inlineStr">
        <is>
          <t>Operationnel</t>
        </is>
      </c>
      <c r="O130" t="inlineStr"/>
      <c r="P130" t="inlineStr">
        <is>
          <t>AKTIVCO</t>
        </is>
      </c>
      <c r="Q130" t="inlineStr">
        <is>
          <t>POWER ISSUE</t>
        </is>
      </c>
      <c r="R130" t="inlineStr">
        <is>
          <t>AKTIVCO Defaut GE &amp; Power Cabinet</t>
        </is>
      </c>
      <c r="S130" t="inlineStr">
        <is>
          <t>PASSIVE</t>
        </is>
      </c>
      <c r="T130" t="inlineStr">
        <is>
          <t>(04/29/2026 com ran 17h): Power status check ongoing..;..;(04/29/2026 com ran 18h): Power status check ongoing  || (04/29/2026 retour CAMUSAT): Souci avec le GE</t>
        </is>
      </c>
      <c r="U130" t="inlineStr">
        <is>
          <t>04/29/2026 com ran 17h) : ;(04/29/2026 com ran 18h) : Power status check ongoing || (04/29/2026 retour CAMUSAT) : Souci avec le GE</t>
        </is>
      </c>
    </row>
    <row r="131">
      <c r="A131" s="96" t="n">
        <v>46141</v>
      </c>
      <c r="B131" t="inlineStr">
        <is>
          <t>Kribi-Ndjibo</t>
        </is>
      </c>
      <c r="C131" t="inlineStr">
        <is>
          <t>SUD_081</t>
        </is>
      </c>
      <c r="D131" t="inlineStr"/>
      <c r="E131" t="inlineStr">
        <is>
          <t>CAMUSAT</t>
        </is>
      </c>
      <c r="F131" t="inlineStr">
        <is>
          <t>Good Grid + Solar + GE</t>
        </is>
      </c>
      <c r="G131" t="inlineStr">
        <is>
          <t>SUD</t>
        </is>
      </c>
      <c r="H131" t="inlineStr">
        <is>
          <t>Kribi</t>
        </is>
      </c>
      <c r="I131" t="inlineStr"/>
      <c r="J131" t="n">
        <v>2.537378751363859</v>
      </c>
      <c r="K131" t="n">
        <v>4.481460656010825</v>
      </c>
      <c r="L131" t="n">
        <v>3.719114370265307</v>
      </c>
      <c r="M131" t="n">
        <v>3.806291074185365</v>
      </c>
      <c r="N131" t="inlineStr">
        <is>
          <t>Operationnel</t>
        </is>
      </c>
      <c r="O131" t="inlineStr"/>
      <c r="P131" t="inlineStr">
        <is>
          <t>AKTIVCO</t>
        </is>
      </c>
      <c r="Q131" t="inlineStr">
        <is>
          <t>POWER ISSUE</t>
        </is>
      </c>
      <c r="R131" t="inlineStr">
        <is>
          <t>AKTIVCO Defaut GE &amp; Power Cabinet</t>
        </is>
      </c>
      <c r="S131" t="inlineStr">
        <is>
          <t>PASSIVE</t>
        </is>
      </c>
      <c r="T131" t="inlineStr">
        <is>
          <t>(04/29/2026 ticket): INC-20260429-00012942  ;  2026-04-29 21:02:49  ;  '@Joel Zeutong TT gele pour invertion en hauteur pas possible la nuit, notre fme sera des l''aube sur site.  ;  
  Site not under IHS Responsability  ;  Others  ;  
  Site not under IHS Responsability  ;  user:OCM_NOC.IHS</t>
        </is>
      </c>
      <c r="U131" t="inlineStr">
        <is>
          <t>: ; 2026-04-29 21 : 02 : 49 ; '@Joel Zeutong TT gele pour invertion en hauteur pas possible la nuit, notre fme sera des l''aube sur site. Site not under IHS Responsability ; Others ; Site not under IHS Responsability ; user : OCM_NOC.IHS</t>
        </is>
      </c>
    </row>
    <row r="132">
      <c r="A132" s="96" t="n">
        <v>46141</v>
      </c>
      <c r="B132" t="inlineStr">
        <is>
          <t>CTR_228_N_Evodoula</t>
        </is>
      </c>
      <c r="C132" t="inlineStr">
        <is>
          <t>CTR_228</t>
        </is>
      </c>
      <c r="D132" t="inlineStr"/>
      <c r="E132" t="inlineStr">
        <is>
          <t>IHS</t>
        </is>
      </c>
      <c r="F132" t="inlineStr">
        <is>
          <t>Grid-Gen</t>
        </is>
      </c>
      <c r="G132" t="inlineStr">
        <is>
          <t>CENTRE</t>
        </is>
      </c>
      <c r="H132" t="inlineStr">
        <is>
          <t>Evodoula</t>
        </is>
      </c>
      <c r="I132" t="inlineStr"/>
      <c r="J132" t="n">
        <v>5.377879093078187</v>
      </c>
      <c r="K132" t="n">
        <v>7.786654103382737</v>
      </c>
      <c r="L132" t="n">
        <v>0.7063991668671582</v>
      </c>
      <c r="M132" t="n">
        <v>3.750409314384317</v>
      </c>
      <c r="N132" t="inlineStr">
        <is>
          <t>Operationnel</t>
        </is>
      </c>
      <c r="O132" t="inlineStr"/>
      <c r="P132" t="inlineStr">
        <is>
          <t>BSS</t>
        </is>
      </c>
      <c r="Q132" t="inlineStr">
        <is>
          <t>RAN ISSUE</t>
        </is>
      </c>
      <c r="R132" t="inlineStr">
        <is>
          <t>BSS Hardware issue</t>
        </is>
      </c>
      <c r="S132" t="inlineStr">
        <is>
          <t>ACTIVE</t>
        </is>
      </c>
      <c r="T132" t="inlineStr">
        <is>
          <t>(04/29/2026 cell nokia): 29/04/2026 : Check breaker and  interconnection FRMF, ARGA, FXDB(sfp, optical fiber) between system and radio module, swap its if needed || power issues mail send to HIS|| Feeback IHS :  Investigations ongoing.
We will keep you updated...;..;(04/29/2026 ticket): INC-20260429-00003931  ;  Power issue   ;  Others Transmission equipement fault</t>
        </is>
      </c>
      <c r="U132" t="inlineStr">
        <is>
          <t>04/29/2026 cell nokia) : 29/04/2026 : Check breaker and interconnection FRMF, ARGA, FXDB(sfp, optical fiber) between system and radio module, swap its if needed || power issues mail send to HIS || Feeback IHS : Investigations ongoing. We will keep you updated.;.; : ; Power issue ;</t>
        </is>
      </c>
    </row>
    <row r="133">
      <c r="A133" s="96" t="n">
        <v>46141</v>
      </c>
      <c r="B133" t="inlineStr">
        <is>
          <t>Sangmelima-Ville</t>
        </is>
      </c>
      <c r="C133" t="inlineStr">
        <is>
          <t>SUD_228</t>
        </is>
      </c>
      <c r="D133" t="inlineStr"/>
      <c r="E133" t="inlineStr">
        <is>
          <t>IHS</t>
        </is>
      </c>
      <c r="F133" t="inlineStr">
        <is>
          <t>Grid-Gen</t>
        </is>
      </c>
      <c r="G133" t="inlineStr">
        <is>
          <t>SUD</t>
        </is>
      </c>
      <c r="H133" t="inlineStr">
        <is>
          <t>Sangmelima</t>
        </is>
      </c>
      <c r="I133" t="inlineStr"/>
      <c r="J133" t="n">
        <v>2.045539928619674</v>
      </c>
      <c r="K133" t="n">
        <v>3.939679661760355</v>
      </c>
      <c r="L133" t="n">
        <v>3.779101740769195</v>
      </c>
      <c r="M133" t="n">
        <v>3.585457134459368</v>
      </c>
      <c r="N133" t="inlineStr">
        <is>
          <t>Operationnel</t>
        </is>
      </c>
      <c r="O133" t="inlineStr"/>
      <c r="P133" t="inlineStr">
        <is>
          <t>IHS GRID ONLY</t>
        </is>
      </c>
      <c r="Q133" t="inlineStr">
        <is>
          <t>POWER ISSUE</t>
        </is>
      </c>
      <c r="R133" t="inlineStr">
        <is>
          <t>Coupure ENEO &amp; Baisse de tension</t>
        </is>
      </c>
      <c r="S133" t="inlineStr">
        <is>
          <t>PASSIVE</t>
        </is>
      </c>
      <c r="T133" t="inlineStr">
        <is>
          <t>(04/29/2026 retour IHS): Power issue NUR to be checked   ||   (04/29/2026 hourly IHS): IHS SS Serges is on site..;..;(04/29/2026 ticket): INC-20260429-00013057</t>
        </is>
      </c>
      <c r="U133" t="inlineStr">
        <is>
          <t>04/29/2026 retour IHS) : Power issue NUR to be checked || : IHS SS Serges is on site.;.; :</t>
        </is>
      </c>
    </row>
    <row r="134">
      <c r="A134" s="96" t="n">
        <v>46141</v>
      </c>
      <c r="B134" t="inlineStr">
        <is>
          <t>Baligam</t>
        </is>
      </c>
      <c r="C134" t="inlineStr">
        <is>
          <t>OST_283</t>
        </is>
      </c>
      <c r="D134" t="inlineStr"/>
      <c r="E134" t="inlineStr">
        <is>
          <t>ESCO</t>
        </is>
      </c>
      <c r="F134" t="inlineStr">
        <is>
          <t>Hybrid solar - S3</t>
        </is>
      </c>
      <c r="G134" t="inlineStr">
        <is>
          <t>OUEST</t>
        </is>
      </c>
      <c r="H134" t="inlineStr">
        <is>
          <t>Galim</t>
        </is>
      </c>
      <c r="I134" t="inlineStr"/>
      <c r="J134" t="n">
        <v>0</v>
      </c>
      <c r="K134" t="n">
        <v>10.32778653297564</v>
      </c>
      <c r="L134" t="n">
        <v>0</v>
      </c>
      <c r="M134" t="n">
        <v>3.467157059980082</v>
      </c>
      <c r="N134" t="inlineStr">
        <is>
          <t>Insecurity</t>
        </is>
      </c>
      <c r="O134" t="inlineStr"/>
      <c r="P134" t="inlineStr">
        <is>
          <t>AKTIVCO</t>
        </is>
      </c>
      <c r="Q134" t="inlineStr">
        <is>
          <t>POWER ISSUE</t>
        </is>
      </c>
      <c r="R134" t="inlineStr">
        <is>
          <t>AKTIVCO Defaut GE &amp; Power Cabinet</t>
        </is>
      </c>
      <c r="S134" t="inlineStr">
        <is>
          <t>PASSIVE</t>
        </is>
      </c>
      <c r="T134" t="inlineStr">
        <is>
          <t>(04/29/2026 cell huawei): 29/04/2026 : Power instability || Mail sent to Camusat</t>
        </is>
      </c>
      <c r="U134" t="inlineStr">
        <is>
          <t>04/29/2026 cell huawei) : 29/04/2026 : Power instability || Mail sent to Camusat</t>
        </is>
      </c>
    </row>
    <row r="135">
      <c r="A135" s="96" t="n">
        <v>46141</v>
      </c>
      <c r="B135" t="inlineStr">
        <is>
          <t>Kaladi-MTN-IHS</t>
        </is>
      </c>
      <c r="C135" t="inlineStr">
        <is>
          <t>ADM_100</t>
        </is>
      </c>
      <c r="D135" t="inlineStr"/>
      <c r="E135" t="inlineStr">
        <is>
          <t>IHS</t>
        </is>
      </c>
      <c r="F135" t="inlineStr">
        <is>
          <t>Solar-Gen</t>
        </is>
      </c>
      <c r="G135" t="inlineStr">
        <is>
          <t>ADAMAOUA</t>
        </is>
      </c>
      <c r="H135" t="inlineStr">
        <is>
          <t>Kaladi</t>
        </is>
      </c>
      <c r="I135" t="inlineStr"/>
      <c r="J135" t="n">
        <v>11.85771195280745</v>
      </c>
      <c r="K135" t="n">
        <v>2.567238085564412</v>
      </c>
      <c r="L135" t="n">
        <v>1.658715775050507</v>
      </c>
      <c r="M135" t="n">
        <v>3.420132904815967</v>
      </c>
      <c r="N135" t="inlineStr">
        <is>
          <t>Operationnel</t>
        </is>
      </c>
      <c r="O135" t="inlineStr"/>
      <c r="P135" t="inlineStr">
        <is>
          <t>PDH</t>
        </is>
      </c>
      <c r="Q135" t="inlineStr">
        <is>
          <t>TX ISSUE</t>
        </is>
      </c>
      <c r="R135" t="inlineStr">
        <is>
          <t>ODU HS</t>
        </is>
      </c>
      <c r="S135" t="inlineStr">
        <is>
          <t>ACTIVE</t>
        </is>
      </c>
      <c r="T135" t="inlineStr">
        <is>
          <t>(04/29/2026 com ran 17h): Power status check ongoing..;..;(04/29/2026 com ran 18h): Power status check ongoing..;..;(04/29/2026 ticket): INC-20260429-00018211  ;  Others Transmission equipement fault || (04/29/2026 top offenders): 29.04.26: Besoin d'un FME sur ADM_028_Gale pour vérifier la chaine antenaire de l'ODU 5.2 sur le MPR_GALE; FME Hippolite activé pour investigations, update ASAP</t>
        </is>
      </c>
      <c r="U135" t="inlineStr">
        <is>
          <t>04/29/2026 com ran 17h) : ;(04/29/2026 com ran 18h) : ; : ; || (04/29/2026 top offenders) : 29.04.26 : Besoin d'un FME sur ADM_028_Gale pour vérifier la chaine antenaire de l'ODU 5.2 sur le MPR_GALE; FME Hippolite activé pour investigations, update ASAP</t>
        </is>
      </c>
    </row>
    <row r="136">
      <c r="A136" s="96" t="n">
        <v>46141</v>
      </c>
      <c r="B136" t="inlineStr">
        <is>
          <t>Ngd-University-II-IHS</t>
        </is>
      </c>
      <c r="C136" t="inlineStr">
        <is>
          <t>ADM_127</t>
        </is>
      </c>
      <c r="D136" t="inlineStr"/>
      <c r="E136" t="inlineStr">
        <is>
          <t>IHS</t>
        </is>
      </c>
      <c r="F136" t="inlineStr">
        <is>
          <t>Grid-Gen</t>
        </is>
      </c>
      <c r="G136" t="inlineStr">
        <is>
          <t>ADAMAOUA</t>
        </is>
      </c>
      <c r="H136" t="inlineStr">
        <is>
          <t>Ngaoundere</t>
        </is>
      </c>
      <c r="I136" t="inlineStr"/>
      <c r="J136" t="n">
        <v>1.268939166856508</v>
      </c>
      <c r="K136" t="n">
        <v>3.34748190309101</v>
      </c>
      <c r="L136" t="n">
        <v>3.919357274655424</v>
      </c>
      <c r="M136" t="n">
        <v>3.348892655657429</v>
      </c>
      <c r="N136" t="inlineStr">
        <is>
          <t>Operationnel</t>
        </is>
      </c>
      <c r="O136" t="inlineStr"/>
      <c r="P136" t="inlineStr">
        <is>
          <t>IHS</t>
        </is>
      </c>
      <c r="Q136" t="inlineStr">
        <is>
          <t>POWER ISSUE</t>
        </is>
      </c>
      <c r="R136" t="inlineStr">
        <is>
          <t>Defaut GE &amp; Power Cabinet</t>
        </is>
      </c>
      <c r="S136" t="inlineStr">
        <is>
          <t>PASSIVE</t>
        </is>
      </c>
      <c r="T136" t="inlineStr">
        <is>
          <t>(04/29/2026 hourly IHS): back tracking fme yannick is managing with the level zero..;..;(04/29/2026 cell huawei): 29/04/2026 : Power instability || Mail sent to HIS..;..;(04/29/2026 cell huawei): 29/04/2026 : Power instability || Mail sent to HIS</t>
        </is>
      </c>
      <c r="U136" t="inlineStr">
        <is>
          <t>: back tracking fme yannick is managing with the level zero.;.;(04/29/2026 cell huawei) : 29/04/2026 : Power instability || Mail sent to HIS.;.;(04/29/2026 cell huawei) : 29/04/2026 : Power instability || Mail sent to HIS</t>
        </is>
      </c>
    </row>
    <row r="137">
      <c r="A137" s="96" t="n">
        <v>46141</v>
      </c>
      <c r="B137" t="inlineStr">
        <is>
          <t>BAMENDA-MENTEH-IHS</t>
        </is>
      </c>
      <c r="C137" t="inlineStr">
        <is>
          <t>NRO_148</t>
        </is>
      </c>
      <c r="D137" t="inlineStr"/>
      <c r="E137" t="inlineStr"/>
      <c r="F137" t="inlineStr"/>
      <c r="G137" t="inlineStr">
        <is>
          <t>NORD-OUEST</t>
        </is>
      </c>
      <c r="H137" t="inlineStr">
        <is>
          <t>Bamenda</t>
        </is>
      </c>
      <c r="I137" t="inlineStr"/>
      <c r="J137" t="n">
        <v>4.167141269898365</v>
      </c>
      <c r="K137" t="n">
        <v>7.127676710493656</v>
      </c>
      <c r="L137" t="n">
        <v>0.5265140073588156</v>
      </c>
      <c r="M137" t="n">
        <v>3.262481701209647</v>
      </c>
      <c r="N137" t="inlineStr">
        <is>
          <t>Operationnel</t>
        </is>
      </c>
      <c r="O137" t="inlineStr"/>
      <c r="P137" t="inlineStr">
        <is>
          <t>IHS GRID ONLY</t>
        </is>
      </c>
      <c r="Q137" t="inlineStr">
        <is>
          <t>POWER ISSUE</t>
        </is>
      </c>
      <c r="R137" t="inlineStr">
        <is>
          <t>Coupure ENEO &amp; Baisse de tension</t>
        </is>
      </c>
      <c r="S137" t="inlineStr">
        <is>
          <t>PASSIVE</t>
        </is>
      </c>
      <c r="T137" t="inlineStr">
        <is>
          <t xml:space="preserve">(04/29/2026 retour IHS): Power issue NUR to be checked   ||   </t>
        </is>
      </c>
      <c r="U137" t="inlineStr">
        <is>
          <t>04/29/2026 retour IHS) : Power issue NUR to be checked ||</t>
        </is>
      </c>
    </row>
    <row r="138">
      <c r="A138" s="96" t="n">
        <v>46141</v>
      </c>
      <c r="B138" t="inlineStr">
        <is>
          <t>MELEN-MINTOM</t>
        </is>
      </c>
      <c r="C138" t="inlineStr">
        <is>
          <t>SUD_163</t>
        </is>
      </c>
      <c r="D138" t="inlineStr"/>
      <c r="E138" t="inlineStr">
        <is>
          <t>CAMUSAT</t>
        </is>
      </c>
      <c r="F138" t="inlineStr"/>
      <c r="G138" t="inlineStr">
        <is>
          <t>SUD</t>
        </is>
      </c>
      <c r="H138" t="inlineStr">
        <is>
          <t>Melen-Mintom</t>
        </is>
      </c>
      <c r="I138" t="inlineStr"/>
      <c r="J138" t="n">
        <v>0.4159023056724578</v>
      </c>
      <c r="K138" t="n">
        <v>0.221270625716141</v>
      </c>
      <c r="L138" t="n">
        <v>5.899156285649358</v>
      </c>
      <c r="M138" t="n">
        <v>3.210016419407721</v>
      </c>
      <c r="N138" t="inlineStr">
        <is>
          <t>EXCLU</t>
        </is>
      </c>
      <c r="O138" t="inlineStr"/>
      <c r="P138" t="inlineStr">
        <is>
          <t>Exclu</t>
        </is>
      </c>
      <c r="Q138" t="inlineStr">
        <is>
          <t>Exclu</t>
        </is>
      </c>
      <c r="R138" t="inlineStr">
        <is>
          <t>EXCLU</t>
        </is>
      </c>
      <c r="S138" t="inlineStr">
        <is>
          <t>Exclu</t>
        </is>
      </c>
      <c r="T138" t="inlineStr">
        <is>
          <t xml:space="preserve">(04/29/2026 cell nokia): 28/04/2026 : FME en route pour le site ETA: 13h || FME Toujours sur site || il travaille avec le BO RAN 
27/04/2026 : Need BO RAN analysis || Check and clean jumper, port 2 &amp; 3 of AHPMDA || FME dominique activer || ETA : 28/04/2026 ..;..;(04/29/2026 cell nokia): 29/04/2026 : FME sur site || Intervention en cours || Radio et jumpeurs faulty ||
28/04/2026 : FME en route pour le site ETA: 13h || FME Toujours sur site || il travaille avec le BO RAN 
27/04/2026 : Need BO RAN analysis || Check and clean jumper, port 2 &amp; 3 of AHPMDA || FME dominique activer || ETA : 28/04/2026 ..;..;(04/29/2026 cell nokia): 29/04/2026 : FME sur site || Intervention en cours || Radio et jumpeurs faulty ||
28/04/2026 : FME en route pour le site ETA: 13h || FME Toujours sur site || il travaille avec le BO RAN 
27/04/2026 : Need BO RAN analysis || Check and clean jumper, port 2 &amp; 3 of AHPMDA || FME dominique activer || ETA : 28/04/2026 </t>
        </is>
      </c>
      <c r="U138" t="inlineStr">
        <is>
          <t>04/29/2026 cell nokia) : 28/04/2026 : FME en route pour le site ETA : 13h || FME Toujours sur site || il travaille avec le BO RAN 27/04/2026 : Need BO RAN analysis || Check and clean jumper, port 2 &amp; 3 of AHPMDA || ETA : 28/04/2026 .;.;(04/29/2026 cell nokia) : 29/04/2026 : FME sur site || Intervention en cours || Radio et jumpeurs faulty || 28/04/2026 : FME en route pour le site ETA : 13h || FME Toujours sur site || il travaille avec le BO RAN 27/04/2026 : Need BO RAN analysis || Check and clean jumper, port 2 &amp; 3 of AHPMDA || ETA : 28/04/2026 .;.;(04/29/2026 cell nokia) : 29/04/2026 : FME sur site || Intervention en cours || Radio et jumpeurs faulty || 28/04/2026 : FME en route pour le site ETA : 13h || FME Toujours sur site || il travaille avec le BO RAN 27/04/2026 : Need BO RAN analysis || Check and clean jumper, port 2 &amp; 3 of AHPMDA || ETA : 28/04/2026</t>
        </is>
      </c>
    </row>
    <row r="139">
      <c r="A139" s="96" t="n">
        <v>46141</v>
      </c>
      <c r="B139" t="inlineStr">
        <is>
          <t>Awae-Yde</t>
        </is>
      </c>
      <c r="C139" t="inlineStr">
        <is>
          <t>CTR_236</t>
        </is>
      </c>
      <c r="D139" t="inlineStr"/>
      <c r="E139" t="inlineStr">
        <is>
          <t>IHS</t>
        </is>
      </c>
      <c r="F139" t="inlineStr">
        <is>
          <t>Grid-Gen</t>
        </is>
      </c>
      <c r="G139" t="inlineStr">
        <is>
          <t>CENTRE</t>
        </is>
      </c>
      <c r="H139" t="inlineStr">
        <is>
          <t>Yaounde</t>
        </is>
      </c>
      <c r="I139" t="inlineStr"/>
      <c r="J139" t="n">
        <v>1.570312218984928</v>
      </c>
      <c r="K139" t="n">
        <v>1.346111672123791</v>
      </c>
      <c r="L139" t="n">
        <v>4.617043909934404</v>
      </c>
      <c r="M139" t="n">
        <v>3.083881226939246</v>
      </c>
      <c r="N139" t="inlineStr">
        <is>
          <t>Operationnel</t>
        </is>
      </c>
      <c r="O139" t="inlineStr"/>
      <c r="P139" t="inlineStr">
        <is>
          <t>IHS</t>
        </is>
      </c>
      <c r="Q139" t="inlineStr">
        <is>
          <t>POWER ISSUE</t>
        </is>
      </c>
      <c r="R139" t="inlineStr">
        <is>
          <t>Defaut GE &amp; Power Cabinet</t>
        </is>
      </c>
      <c r="S139" t="inlineStr">
        <is>
          <t>PASSIVE</t>
        </is>
      </c>
      <c r="T139" t="inlineStr">
        <is>
          <t>(04/29/2026 hourly IHS): Fme Siewe is informed ETA 11:43 PM Pascaline informed..;..;(04/29/2026 ticket): INC-20260429-00019003  ;  Others Transmission equipement fault</t>
        </is>
      </c>
      <c r="U139" t="inlineStr">
        <is>
          <t>: Fme Siewe is informed ETA 11 : 43 PM Pascaline informed.;.; : ;</t>
        </is>
      </c>
    </row>
    <row r="140">
      <c r="A140" s="96" t="n">
        <v>46141</v>
      </c>
      <c r="B140" t="inlineStr">
        <is>
          <t>Ndoumbi</t>
        </is>
      </c>
      <c r="C140" t="inlineStr">
        <is>
          <t>EST_185</t>
        </is>
      </c>
      <c r="D140" t="inlineStr"/>
      <c r="E140" t="inlineStr">
        <is>
          <t>ESCO</t>
        </is>
      </c>
      <c r="F140" t="inlineStr">
        <is>
          <t>Hybrid Solar - S3</t>
        </is>
      </c>
      <c r="G140" t="inlineStr">
        <is>
          <t>EST</t>
        </is>
      </c>
      <c r="H140" t="inlineStr">
        <is>
          <t>Ndoumbi</t>
        </is>
      </c>
      <c r="I140" t="inlineStr"/>
      <c r="J140" t="n">
        <v>0</v>
      </c>
      <c r="K140" t="n">
        <v>0</v>
      </c>
      <c r="L140" t="n">
        <v>5.909816204716034</v>
      </c>
      <c r="M140" t="n">
        <v>3.081901533246013</v>
      </c>
      <c r="N140" t="inlineStr">
        <is>
          <t>Operationnel</t>
        </is>
      </c>
      <c r="O140" t="inlineStr"/>
      <c r="P140" t="inlineStr">
        <is>
          <t>BSS</t>
        </is>
      </c>
      <c r="Q140" t="inlineStr">
        <is>
          <t>RAN ISSUE</t>
        </is>
      </c>
      <c r="R140" t="inlineStr">
        <is>
          <t>BSS Hardware issue</t>
        </is>
      </c>
      <c r="S140" t="inlineStr">
        <is>
          <t>ACTIVE</t>
        </is>
      </c>
      <c r="T140" t="inlineStr">
        <is>
          <t>(04/29/2026 cell nokia):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,5,6..;..;(04/29/2026 cell nokia):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,5,6..;..;(04/29/2026 cell nokia):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t>
        </is>
      </c>
      <c r="U140" t="inlineStr">
        <is>
          <t>04/29/2026 cell nokia) :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,5,6.;.;(04/29/2026 cell nokia) :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,5,6.;.;(04/29/2026 cell nokia) :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t>
        </is>
      </c>
    </row>
    <row r="141">
      <c r="A141" s="96" t="n">
        <v>46141</v>
      </c>
      <c r="B141" t="inlineStr">
        <is>
          <t>NTENYING1</t>
        </is>
      </c>
      <c r="C141" t="inlineStr">
        <is>
          <t>SUD_161</t>
        </is>
      </c>
      <c r="D141" t="inlineStr"/>
      <c r="E141" t="inlineStr">
        <is>
          <t>ESCO</t>
        </is>
      </c>
      <c r="F141" t="inlineStr">
        <is>
          <t>Hybrid Solar - S3</t>
        </is>
      </c>
      <c r="G141" t="inlineStr">
        <is>
          <t>SUD</t>
        </is>
      </c>
      <c r="H141" t="inlineStr">
        <is>
          <t>Ntenying</t>
        </is>
      </c>
      <c r="I141" t="inlineStr"/>
      <c r="J141" t="n">
        <v>0</v>
      </c>
      <c r="K141" t="n">
        <v>9.180207472688883</v>
      </c>
      <c r="L141" t="n">
        <v>0</v>
      </c>
      <c r="M141" t="n">
        <v>3.081901533246013</v>
      </c>
      <c r="N141" t="inlineStr">
        <is>
          <t>Operationnel</t>
        </is>
      </c>
      <c r="O141" t="inlineStr"/>
      <c r="P141" t="inlineStr">
        <is>
          <t>SPARE-ISSUE</t>
        </is>
      </c>
      <c r="Q141" t="inlineStr">
        <is>
          <t>SPARE-ISSUE</t>
        </is>
      </c>
      <c r="R141" t="inlineStr">
        <is>
          <t>SPARE-ISSUE</t>
        </is>
      </c>
      <c r="S141" t="inlineStr">
        <is>
          <t>SPARE-ISSUE</t>
        </is>
      </c>
      <c r="T141" t="inlineStr">
        <is>
          <t>(04/29/2026 ocm ran 00h):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managing..;..;(04/29/2026 com ran 17h):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managing..;..;(04/29/2026 com ran 18h):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t>
        </is>
      </c>
      <c r="U141" t="inlineStr">
        <is>
          <t>: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managing.;.;(04/29/2026 com ran 17h) :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managing.;.;(04/29/2026 com ran 18h) :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t>
        </is>
      </c>
    </row>
    <row r="142">
      <c r="A142" s="96" t="n">
        <v>46141</v>
      </c>
      <c r="B142" t="inlineStr">
        <is>
          <t>Zouvoul-IHS</t>
        </is>
      </c>
      <c r="C142" t="inlineStr">
        <is>
          <t>EXN_172</t>
        </is>
      </c>
      <c r="D142" t="inlineStr"/>
      <c r="E142" t="inlineStr">
        <is>
          <t>IHS</t>
        </is>
      </c>
      <c r="F142" t="inlineStr">
        <is>
          <t>Hybrid-Gen</t>
        </is>
      </c>
      <c r="G142" t="inlineStr">
        <is>
          <t>EXTREME-NORD</t>
        </is>
      </c>
      <c r="H142" t="inlineStr">
        <is>
          <t>Zouvoul</t>
        </is>
      </c>
      <c r="I142" t="inlineStr"/>
      <c r="J142" t="n">
        <v>21.57821061592509</v>
      </c>
      <c r="K142" t="n">
        <v>0</v>
      </c>
      <c r="L142" t="n">
        <v>0</v>
      </c>
      <c r="M142" t="n">
        <v>3.081366480896491</v>
      </c>
      <c r="N142" t="inlineStr">
        <is>
          <t>Insecurity</t>
        </is>
      </c>
      <c r="O142" t="inlineStr"/>
      <c r="P142" t="inlineStr">
        <is>
          <t>ACCESS-ISSUE</t>
        </is>
      </c>
      <c r="Q142" t="inlineStr">
        <is>
          <t>ACCESS-ISSUE</t>
        </is>
      </c>
      <c r="R142" t="inlineStr">
        <is>
          <t>ACCESS-ISSUE</t>
        </is>
      </c>
      <c r="S142" t="inlineStr">
        <is>
          <t>ACCESS-ISSUE</t>
        </is>
      </c>
      <c r="T142" t="inlineStr">
        <is>
          <t>(04/29/2026 cell nokia):  
21/04/2026 : Relance faite 
15/04/2026 : Relance faite par Chief SEKA 
10/04/2026 : Relance faite ce jour a IHS
08/04/2026 : Access issue  ||Negociation en cours  
07/04/2026: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||Mail enviye a IHS 
04/04/2026 : Probleme d'access || Negociation en cours 
30/03/2026 : Feedback du P.M : FME not available intervention postponed to 01/04/2026
29/03/2026: spare disponible au niveau du FME, FME on another point
27/03/2026 : Cde en cours 
26/03/2026 : Spare pas recu 
25/03/2026 : Spare quitter Douala pour Maroua 
23/03/2026 : Fiber faulty || cde en cours
21/03/2026 : Check SFP, Optical fiber if issue persit
20/03/2026 : need BO RAN analysis..;..;(04/29/2026 cell nokia):  
21/04/2026 : Relance faite 
15/04/2026 : Relance faite par Chief SEKA 
10/04/2026 : Relance faite ce jour a IHS
08/04/2026 : Access issue  ||Negociation en cours  
07/04/2026: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||Mail enviye a IHS 
04/04/2026 : Probleme d'access || Negociation en cours 
30/03/2026 : Feedback du P.M : FME not available intervention postponed to 01/04/2026
29/03/2026: spare disponible au niveau du FME, FME on another point
27/03/2026 : Cde en cours 
26/03/2026 : Spare pas recu 
25/03/2026 : Spare quitter Douala pour Maroua 
23/03/2026 : Fiber faulty || cde en cours
21/03/2026 : Check SFP, Optical fiber if issue persit
20/03/2026 : need BO RAN analysis..;..;(04/29/2026 cell nokia):  
21/04/2026 : Relance faite 
15/04/2026 : Relance faite par Chief SEKA 
10/04/2026 : Relance faite ce jour a IHS
08/04/2026 : Access issue  ||Negociation en cours  
07/04/2026: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||Mail enviye a IHS 
04/04/2026 : Probleme d'access || Negociation en cours 
30/03/2026 : Feedback du P.M : FME not available intervention postponed to 01/04/2026
29/03/2026: spare disponible au niveau du FME, FME on another point
27/03/2026 : Cde en cours 
26/03/2026 : Spare pas recu 
25/03/2026 : Spare quitter Douala pour Maroua 
23/03/2026 : Fiber faulty || cde en cours
21/03/2026 : Check SFP, Optical fiber if issue persit
20/03/2026 : need BO RAN analysis</t>
        </is>
      </c>
      <c r="U142" t="inlineStr">
        <is>
          <t>04/29/2026 cell nokia) : 21/04/2026 : Relance faite 15/04/2026 : Relance faite par Chief SEKA 10/04/2026 : Relance faite ce jour a IHS 08/04/2026 : Access issue || Negociation en cours 07/04/2026 :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 Mail enviye a IHS 04/04/2026 : Probleme d'access || Negociation en cours 30/03/2026 : Feedback du P.M : FME not available intervention postponed to 01/04/2026 29/03/2026 : spare disponible au niveau du FME, FME on another point 27/03/2026 : Cde en cours 26/03/2026 : Spare pas recu 25/03/2026 : Spare quitter Douala pour Maroua 23/03/2026 : Fiber faulty || cde en cours 21/03/2026 : Check SFP, Optical fiber if issue persit 20/03/2026 : need BO RAN analysis.;.;(04/29/2026 cell nokia) : 21/04/2026 : Relance faite 15/04/2026 : Relance faite par Chief SEKA 10/04/2026 : Relance faite ce jour a IHS 08/04/2026 : Access issue || Negociation en cours 07/04/2026 :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 Mail enviye a IHS 04/04/2026 : Probleme d'access || Negociation en cours 30/03/2026 : Feedback du P.M : FME not available intervention postponed to 01/04/2026 29/03/2026 : spare disponible au niveau du FME, FME on another point 27/03/2026 : Cde en cours 26/03/2026 : Spare pas recu 25/03/2026 : Spare quitter Douala pour Maroua 23/03/2026 : Fiber faulty || cde en cours 21/03/2026 : Check SFP, Optical fiber if issue persit 20/03/2026 : need BO RAN analysis.;.;(04/29/2026 cell nokia) : 21/04/2026 : Relance faite 15/04/2026 : Relance faite par Chief SEKA 10/04/2026 : Relance faite ce jour a IHS 08/04/2026 : Access issue || Negociation en cours 07/04/2026 :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 Mail enviye a IHS 04/04/2026 : Probleme d'access || Negociation en cours 30/03/2026 : Feedback du P.M : FME not available intervention postponed to 01/04/2026 29/03/2026 : spare disponible au niveau du FME, FME on another point 27/03/2026 : Cde en cours 26/03/2026 : Spare pas recu 25/03/2026 : Spare quitter Douala pour Maroua 23/03/2026 : Fiber faulty || cde en cours 21/03/2026 : Check SFP, Optical fiber if issue persit 20/03/2026 : need BO RAN analysis</t>
        </is>
      </c>
    </row>
    <row r="143">
      <c r="A143" s="96" t="n">
        <v>46141</v>
      </c>
      <c r="B143" t="inlineStr">
        <is>
          <t>Gueme</t>
        </is>
      </c>
      <c r="C143" t="inlineStr">
        <is>
          <t>EXN_049</t>
        </is>
      </c>
      <c r="D143" t="inlineStr"/>
      <c r="E143" t="inlineStr">
        <is>
          <t>IHS</t>
        </is>
      </c>
      <c r="F143" t="inlineStr">
        <is>
          <t>Solar-Gen</t>
        </is>
      </c>
      <c r="G143" t="inlineStr">
        <is>
          <t>EXTREME-NORD</t>
        </is>
      </c>
      <c r="H143" t="inlineStr">
        <is>
          <t>Gueme</t>
        </is>
      </c>
      <c r="I143" t="inlineStr"/>
      <c r="J143" t="n">
        <v>10.22932328573313</v>
      </c>
      <c r="K143" t="n">
        <v>4.712595678659675</v>
      </c>
      <c r="L143" t="n">
        <v>0</v>
      </c>
      <c r="M143" t="n">
        <v>3.04281914391199</v>
      </c>
      <c r="N143" t="inlineStr">
        <is>
          <t>Insecurity</t>
        </is>
      </c>
      <c r="O143" t="inlineStr"/>
      <c r="P143" t="inlineStr">
        <is>
          <t>IHS</t>
        </is>
      </c>
      <c r="Q143" t="inlineStr">
        <is>
          <t>POWER ISSUE</t>
        </is>
      </c>
      <c r="R143" t="inlineStr">
        <is>
          <t>Defaut GE &amp; Power Cabinet</t>
        </is>
      </c>
      <c r="S143" t="inlineStr">
        <is>
          <t>PASSIVE</t>
        </is>
      </c>
      <c r="T143" t="inlineStr">
        <is>
          <t>(04/29/2026 hourly IHS): Grid outage, DG battery faulty// awaiting grid return( Franklin is informed )..;..;(04/29/2026 ticket): INC-20260429-00008637  ;  2026-04-29 12:16:41  ;  Gen faulty ; awaiting grid returned  ;  power issue(GE faulty)  ;  Others Transmission equipement fault  ;  user:OCM_NOC.IHS</t>
        </is>
      </c>
      <c r="U143" t="inlineStr">
        <is>
          <t>: Grid outage, DG battery faulty// awaiting grid return( Franklin is informed ).;.; : ; 2026-04-29 12 : 16 : 41 ; Gen faulty ; awaiting grid returned ; power issue(GE faulty) ; ; user : OCM_NOC.IHS</t>
        </is>
      </c>
    </row>
    <row r="144">
      <c r="A144" s="96" t="n">
        <v>46141</v>
      </c>
      <c r="B144" t="inlineStr">
        <is>
          <t>Ekoumdoum-II</t>
        </is>
      </c>
      <c r="C144" t="inlineStr">
        <is>
          <t>CTR_665</t>
        </is>
      </c>
      <c r="D144" t="inlineStr"/>
      <c r="E144" t="inlineStr">
        <is>
          <t>CAMUSAT</t>
        </is>
      </c>
      <c r="F144" t="inlineStr">
        <is>
          <t>HGB</t>
        </is>
      </c>
      <c r="G144" t="inlineStr">
        <is>
          <t>CENTRE</t>
        </is>
      </c>
      <c r="H144" t="inlineStr">
        <is>
          <t>Yaounde</t>
        </is>
      </c>
      <c r="I144" t="inlineStr"/>
      <c r="J144" t="n">
        <v>2.244123912409226</v>
      </c>
      <c r="K144" t="n">
        <v>1.977888450278976</v>
      </c>
      <c r="L144" t="n">
        <v>3.919152072703873</v>
      </c>
      <c r="M144" t="n">
        <v>3.028253617667286</v>
      </c>
      <c r="N144" t="inlineStr">
        <is>
          <t>Operationnel</t>
        </is>
      </c>
      <c r="O144" t="inlineStr"/>
      <c r="P144" t="inlineStr">
        <is>
          <t>AKTIVCO</t>
        </is>
      </c>
      <c r="Q144" t="inlineStr">
        <is>
          <t>POWER ISSUE</t>
        </is>
      </c>
      <c r="R144" t="inlineStr">
        <is>
          <t>AKTIVCO Defaut GE &amp; Power Cabinet</t>
        </is>
      </c>
      <c r="S144" t="inlineStr">
        <is>
          <t>PASSIVE</t>
        </is>
      </c>
      <c r="T144" t="inlineStr">
        <is>
          <t>(04/29/2026 ticket): INC-20260429-00020278  ;  Others Transmission equipement fault|| (04/29/2026 retour CAMUSAT): ATS faulty</t>
        </is>
      </c>
      <c r="U144" t="inlineStr">
        <is>
          <t>: ; || (04/29/2026 retour CAMUSAT) : ATS faulty</t>
        </is>
      </c>
    </row>
    <row r="145">
      <c r="A145" s="96" t="n">
        <v>46141</v>
      </c>
      <c r="B145" t="inlineStr">
        <is>
          <t>Mak-Universite-II-IHS</t>
        </is>
      </c>
      <c r="C145" t="inlineStr">
        <is>
          <t>LIT_576</t>
        </is>
      </c>
      <c r="D145" t="inlineStr"/>
      <c r="E145" t="inlineStr">
        <is>
          <t>IHS</t>
        </is>
      </c>
      <c r="F145" t="inlineStr">
        <is>
          <t>Grid-Gen</t>
        </is>
      </c>
      <c r="G145" t="inlineStr">
        <is>
          <t>LITTORAL</t>
        </is>
      </c>
      <c r="H145" t="inlineStr">
        <is>
          <t>Douala</t>
        </is>
      </c>
      <c r="I145" t="inlineStr"/>
      <c r="J145" t="n">
        <v>1.350121298594375</v>
      </c>
      <c r="K145" t="n">
        <v>1.236087310573218</v>
      </c>
      <c r="L145" t="n">
        <v>4.596250112177066</v>
      </c>
      <c r="M145" t="n">
        <v>3.00465780905337</v>
      </c>
      <c r="N145" t="inlineStr">
        <is>
          <t>Operationnel</t>
        </is>
      </c>
      <c r="O145" t="inlineStr"/>
      <c r="P145" t="inlineStr">
        <is>
          <t>IHS GRID ONLY</t>
        </is>
      </c>
      <c r="Q145" t="inlineStr">
        <is>
          <t>POWER ISSUE</t>
        </is>
      </c>
      <c r="R145" t="inlineStr">
        <is>
          <t>Coupure ENEO &amp; Baisse de tension</t>
        </is>
      </c>
      <c r="S145" t="inlineStr">
        <is>
          <t>PASSIVE</t>
        </is>
      </c>
      <c r="T145" t="inlineStr">
        <is>
          <t>(04/29/2026 retour IHS): Power issue NUR to be checked   ||   (04/29/2026 hourly IHS): FME is fornt on site waiting security guard..;..;(04/29/2026 ticket): INC-20260429-00015882  ;  GE Fault</t>
        </is>
      </c>
      <c r="U145" t="inlineStr">
        <is>
          <t>04/29/2026 retour IHS) : Power issue NUR to be checked || : FME is fornt on site waiting security guard.;.; : ; GE Fault</t>
        </is>
      </c>
    </row>
    <row r="146">
      <c r="A146" s="96" t="n">
        <v>46141</v>
      </c>
      <c r="B146" t="inlineStr">
        <is>
          <t>Bfsam-Baleng</t>
        </is>
      </c>
      <c r="C146" t="inlineStr">
        <is>
          <t>OST_063</t>
        </is>
      </c>
      <c r="D146" t="inlineStr"/>
      <c r="E146" t="inlineStr">
        <is>
          <t>IHS</t>
        </is>
      </c>
      <c r="F146" t="inlineStr">
        <is>
          <t>Grid-Gen</t>
        </is>
      </c>
      <c r="G146" t="inlineStr">
        <is>
          <t>OUEST</t>
        </is>
      </c>
      <c r="H146" t="inlineStr">
        <is>
          <t>Bafoussam</t>
        </is>
      </c>
      <c r="I146" t="inlineStr"/>
      <c r="J146" t="n">
        <v>0</v>
      </c>
      <c r="K146" t="n">
        <v>5.959962820159736</v>
      </c>
      <c r="L146" t="n">
        <v>1.279092164678123</v>
      </c>
      <c r="M146" t="n">
        <v>2.667860190107667</v>
      </c>
      <c r="N146" t="inlineStr">
        <is>
          <t>Operationnel</t>
        </is>
      </c>
      <c r="O146" t="inlineStr"/>
      <c r="P146" t="inlineStr">
        <is>
          <t>BSS</t>
        </is>
      </c>
      <c r="Q146" t="inlineStr">
        <is>
          <t>RAN ISSUE</t>
        </is>
      </c>
      <c r="R146" t="inlineStr">
        <is>
          <t>BSS Hardware issue</t>
        </is>
      </c>
      <c r="S146" t="inlineStr">
        <is>
          <t>ACTIVE</t>
        </is>
      </c>
      <c r="T146" t="inlineStr">
        <is>
          <t>(04/29/2026 cell huawei): 29/04/2026 : UP apres remplacement du connecteur d'alimentation
28/04/2026 : ETA 12H || Connecteur d'alimentation faulty || Pas dispo au WH. Cde passee au SPMS HW
27/04/2026 : Besoin d'analyse BO RAN || RRU 71 faulty : RF Unit DC Input Power Failure. Verifier l'alimentation de la RRU 71</t>
        </is>
      </c>
      <c r="U146" t="inlineStr">
        <is>
          <t>04/29/2026 cell huawei) : 29/04/2026 : UP apres remplacement du connecteur d'alimentation 28/04/2026 : ETA 12H || Connecteur d'alimentation faulty || Pas dispo au WH. Cde passee au SPMS HW 27/04/2026 : Besoin d'analyse BO RAN || RRU 71 faulty : RF Unit DC Input Power Failure. Verifier l'alimentation de la RRU 71</t>
        </is>
      </c>
    </row>
    <row r="147">
      <c r="A147" s="96" t="n">
        <v>46141</v>
      </c>
      <c r="B147" t="inlineStr">
        <is>
          <t>Balikumbat-Ville</t>
        </is>
      </c>
      <c r="C147" t="inlineStr">
        <is>
          <t>NRO_033</t>
        </is>
      </c>
      <c r="D147" t="inlineStr"/>
      <c r="E147" t="inlineStr">
        <is>
          <t>IHS</t>
        </is>
      </c>
      <c r="F147" t="inlineStr">
        <is>
          <t>Grid-Gen</t>
        </is>
      </c>
      <c r="G147" t="inlineStr">
        <is>
          <t>NORD-OUEST</t>
        </is>
      </c>
      <c r="H147" t="inlineStr">
        <is>
          <t>Balikumbat</t>
        </is>
      </c>
      <c r="I147" t="inlineStr"/>
      <c r="J147" t="n">
        <v>0.1235217358288471</v>
      </c>
      <c r="K147" t="n">
        <v>7.599171741281352</v>
      </c>
      <c r="L147" t="n">
        <v>0</v>
      </c>
      <c r="M147" t="n">
        <v>2.568768494976215</v>
      </c>
      <c r="N147" t="inlineStr">
        <is>
          <t>Insecurity</t>
        </is>
      </c>
      <c r="O147" t="inlineStr"/>
      <c r="P147" t="inlineStr">
        <is>
          <t>BSS</t>
        </is>
      </c>
      <c r="Q147" t="inlineStr">
        <is>
          <t>RAN ISSUE</t>
        </is>
      </c>
      <c r="R147" t="inlineStr">
        <is>
          <t>BSS Hardware issue</t>
        </is>
      </c>
      <c r="S147" t="inlineStr">
        <is>
          <t>ACTIVE</t>
        </is>
      </c>
      <c r="T147" t="inlineStr">
        <is>
          <t xml:space="preserve">(04/29/2026 cell nokia): 29|04|2026 : Check and renplace ABIA..;..;(04/29/2026 cell nokia): 29|04|2026 : Check and renplace ABIA  || 29/04/2026 : Escalade faite au RM : en attente de son feedback </t>
        </is>
      </c>
      <c r="U147" t="inlineStr">
        <is>
          <t>04/29/2026 cell nokia) : 29|04|2026 : Check and renplace ABIA.;.;(04/29/2026 cell nokia) : 29|04|2026 : Check and renplace ABIA || 29/04/2026 : Escalade faite au RM : en attente de son feedback</t>
        </is>
      </c>
    </row>
    <row r="148">
      <c r="A148" s="96" t="n">
        <v>46141</v>
      </c>
      <c r="B148" t="inlineStr">
        <is>
          <t>Dogba-Ngd-IHS</t>
        </is>
      </c>
      <c r="C148" t="inlineStr">
        <is>
          <t>ADM_128</t>
        </is>
      </c>
      <c r="D148" t="inlineStr"/>
      <c r="E148" t="inlineStr">
        <is>
          <t>IHS</t>
        </is>
      </c>
      <c r="F148" t="inlineStr">
        <is>
          <t>Hybrid-Gen</t>
        </is>
      </c>
      <c r="G148" t="inlineStr">
        <is>
          <t>ADAMAOUA</t>
        </is>
      </c>
      <c r="H148" t="inlineStr">
        <is>
          <t>Dogba</t>
        </is>
      </c>
      <c r="I148" t="inlineStr"/>
      <c r="J148" t="n">
        <v>16.46461058555048</v>
      </c>
      <c r="K148" t="n">
        <v>0</v>
      </c>
      <c r="L148" t="n">
        <v>0</v>
      </c>
      <c r="M148" t="n">
        <v>2.35114486934735</v>
      </c>
      <c r="N148" t="inlineStr">
        <is>
          <t>Operationnel</t>
        </is>
      </c>
      <c r="O148" t="inlineStr"/>
      <c r="P148" t="inlineStr">
        <is>
          <t>SPARE-ISSUE</t>
        </is>
      </c>
      <c r="Q148" t="inlineStr">
        <is>
          <t>SPARE-ISSUE</t>
        </is>
      </c>
      <c r="R148" t="inlineStr">
        <is>
          <t>Warehouse HUAWEI</t>
        </is>
      </c>
      <c r="S148" t="inlineStr">
        <is>
          <t>SPARE-ISSUE</t>
        </is>
      </c>
      <c r="T148" t="inlineStr">
        <is>
          <t>(04/29/2026 cell nokia): 
28/04/2026 : Feedback RM : because the site is too far, we should move with spare part, but actually No FXDB at Ngaoundere WH. Command made at Maroua WH and should move tomorrow (with Esico) ETA to reach Ngaoundere 03/05/2026, ETA to reach the site W19  (05/05/2026)
27/04/2026 : Need BO RAN analysis || Check and clean jumper, port 1 of FXDB || Access issue ..;..;(04/29/2026 cell nokia): 
28/04/2026 : Feedback RM : because the site is too far, we should move with spare part, but actually No FXDB at Ngaoundere WH. Command made at Maroua WH and should move tomorrow (with Esico) ETA to reach Ngaoundere 03/05/2026, ETA to reach the site W19  (05/05/2026)
27/04/2026 : Need BO RAN analysis || Check and clean jumper, port 1 of FXDB || Access issue ..;..;(04/29/2026 ticket): INC-20260429-00006406  ;  2026-04-29 10:13:04  ;  
FME Willy activer ETA=45 Minute(12H UTC +1)  ;  
En Attente RCA IHS  ;  Other  ;  
Souci Energie  ;  user:ABANDA	Jean Roland</t>
        </is>
      </c>
      <c r="U148" t="inlineStr">
        <is>
          <t>04/29/2026 cell nokia) : 28/04/2026 : Feedback RM : because the site is too far, we should move with spare part, but actually No FXDB at Ngaoundere WH. Command made at Maroua WH and should move tomorrow (with Esico) ETA to reach Ngaoundere 03/05/2026, ETA to reach the site W19 (05/05/2026) 27/04/2026 : Need BO RAN analysis || Check and clean jumper, port 1 of FXDB || Access issue .;.;(04/29/2026 cell nokia) : 28/04/2026 : Feedback RM : because the site is too far, we should move with spare part, but actually No FXDB at Ngaoundere WH. Command made at Maroua WH and should move tomorrow (with Esico) ETA to reach Ngaoundere 03/05/2026, ETA to reach the site W19 (05/05/2026) 27/04/2026 : Need BO RAN analysis || Check and clean jumper, port 1 of FXDB || Access issue .;.; : ; 2026-04-29 10 : 13 : 04 ; ETA=45 Minute(12H UTC +1) ; En Attente RCA IHS ; Other ; Souci Energie ; user : ABANDA Jean Roland</t>
        </is>
      </c>
    </row>
    <row r="149">
      <c r="A149" s="96" t="n">
        <v>46141</v>
      </c>
      <c r="B149" t="inlineStr">
        <is>
          <t>Mutengene-Maternity-IHS</t>
        </is>
      </c>
      <c r="C149" t="inlineStr">
        <is>
          <t>SUO_210</t>
        </is>
      </c>
      <c r="D149" t="inlineStr"/>
      <c r="E149" t="inlineStr">
        <is>
          <t>IHS</t>
        </is>
      </c>
      <c r="F149" t="inlineStr">
        <is>
          <t>Grid-Gen</t>
        </is>
      </c>
      <c r="G149" t="inlineStr">
        <is>
          <t>SUD-OUEST</t>
        </is>
      </c>
      <c r="H149" t="inlineStr">
        <is>
          <t>Mutengene</t>
        </is>
      </c>
      <c r="I149" t="inlineStr"/>
      <c r="J149" t="n">
        <v>3.647575626776015</v>
      </c>
      <c r="K149" t="n">
        <v>3.190493980163951</v>
      </c>
      <c r="L149" t="n">
        <v>1.194617361288953</v>
      </c>
      <c r="M149" t="n">
        <v>2.214938376237397</v>
      </c>
      <c r="N149" t="inlineStr">
        <is>
          <t>Insecurity</t>
        </is>
      </c>
      <c r="O149" t="inlineStr"/>
      <c r="P149" t="inlineStr">
        <is>
          <t>IHS</t>
        </is>
      </c>
      <c r="Q149" t="inlineStr">
        <is>
          <t>POWER ISSUE</t>
        </is>
      </c>
      <c r="R149" t="inlineStr">
        <is>
          <t>Defaut GE &amp; Power Cabinet</t>
        </is>
      </c>
      <c r="S149" t="inlineStr">
        <is>
          <t>PASSIVE</t>
        </is>
      </c>
      <c r="T149" t="inlineStr">
        <is>
          <t>(04/29/2026 hourly IHS): Jeff is informed and managing</t>
        </is>
      </c>
      <c r="U149" t="inlineStr">
        <is>
          <t>: Jeff is informed and managing</t>
        </is>
      </c>
    </row>
    <row r="150">
      <c r="A150" s="96" t="n">
        <v>46141</v>
      </c>
      <c r="B150" t="inlineStr">
        <is>
          <t>Kotto-Denver</t>
        </is>
      </c>
      <c r="C150" t="inlineStr">
        <is>
          <t>LIT_657</t>
        </is>
      </c>
      <c r="D150" t="inlineStr"/>
      <c r="E150" t="inlineStr">
        <is>
          <t>CAMUSAT</t>
        </is>
      </c>
      <c r="F150" t="inlineStr">
        <is>
          <t>Good Grid no GE - 12h</t>
        </is>
      </c>
      <c r="G150" t="inlineStr">
        <is>
          <t>LITTORAL</t>
        </is>
      </c>
      <c r="H150" t="inlineStr">
        <is>
          <t>Douala</t>
        </is>
      </c>
      <c r="I150" t="inlineStr"/>
      <c r="J150" t="n">
        <v>1.305408678344904</v>
      </c>
      <c r="K150" t="n">
        <v>1.218927547762579</v>
      </c>
      <c r="L150" t="n">
        <v>2.308521954967202</v>
      </c>
      <c r="M150" t="n">
        <v>1.799488061911978</v>
      </c>
      <c r="N150" t="inlineStr">
        <is>
          <t>Operationnel</t>
        </is>
      </c>
      <c r="O150" t="inlineStr"/>
      <c r="P150" t="inlineStr">
        <is>
          <t>AKTIVCO GRID ONLY</t>
        </is>
      </c>
      <c r="Q150" t="inlineStr">
        <is>
          <t>POWER ISSUE</t>
        </is>
      </c>
      <c r="R150" t="inlineStr">
        <is>
          <t>AKTIVCO Coupure ENEO &amp; Baisse de tension</t>
        </is>
      </c>
      <c r="S150" t="inlineStr">
        <is>
          <t>PASSIVE</t>
        </is>
      </c>
      <c r="T150" t="inlineStr">
        <is>
          <t>(04/29/2026 cell zte): 29/04/2026 : Power issue || Mail sent to camusat ..;..;(04/29/2026 ticket): INC-20260429-00011206  ;  Others Transmission equipement fault</t>
        </is>
      </c>
      <c r="U150" t="inlineStr">
        <is>
          <t>04/29/2026 cell zte) : 29/04/2026 : Power issue || Mail sent to camusat .;.; : ;</t>
        </is>
      </c>
    </row>
    <row r="151">
      <c r="A151" s="96" t="n">
        <v>46141</v>
      </c>
      <c r="B151" t="inlineStr">
        <is>
          <t>CDC-Delmonte-IHS</t>
        </is>
      </c>
      <c r="C151" t="inlineStr">
        <is>
          <t>LIT_173</t>
        </is>
      </c>
      <c r="D151" t="inlineStr"/>
      <c r="E151" t="inlineStr">
        <is>
          <t>IHS</t>
        </is>
      </c>
      <c r="F151" t="inlineStr">
        <is>
          <t>Grid-Gen</t>
        </is>
      </c>
      <c r="G151" t="inlineStr">
        <is>
          <t>LITTORAL</t>
        </is>
      </c>
      <c r="H151" t="inlineStr">
        <is>
          <t>CDC-Delmonte</t>
        </is>
      </c>
      <c r="I151" t="inlineStr"/>
      <c r="J151" t="n">
        <v>0</v>
      </c>
      <c r="K151" t="n">
        <v>4.671121192338948</v>
      </c>
      <c r="L151" t="n">
        <v>0</v>
      </c>
      <c r="M151" t="n">
        <v>1.568149261057036</v>
      </c>
      <c r="N151" t="inlineStr">
        <is>
          <t>Operationnel</t>
        </is>
      </c>
      <c r="O151" t="inlineStr"/>
      <c r="P151" t="inlineStr">
        <is>
          <t>SPARE-ISSUE</t>
        </is>
      </c>
      <c r="Q151" t="inlineStr">
        <is>
          <t>SPARE-ISSUE</t>
        </is>
      </c>
      <c r="R151" t="inlineStr">
        <is>
          <t>Warehouse HUAWEI</t>
        </is>
      </c>
      <c r="S151" t="inlineStr">
        <is>
          <t>SPARE-ISSUE</t>
        </is>
      </c>
      <c r="T151" t="inlineStr">
        <is>
          <t>(04/29/2026 cell huawei): 29/04/2026 : SPARE recuperee au WH et expedition en cours || ETD le 29042026 soir || ETA 30042026
28/04/2028 : Check Connectivite entre BBU &amp; RRU/Check FO ou SFP || ETA 13H || FO faulty || Cde en cours..;..;(04/29/2026 cell huawei): 29/04/2026 : SPARE recuperee au WH et expedition en cours || ETD le 29042026 soir || ETA 30042026
28/04/2028 : Check Connectivite entre BBU &amp; RRU/Check FO ou SFP || ETA 13H || FO faulty || Cde en cours..;..;(04/29/2026 cell huawei): 29/04/2026 : SPARE recuperee au WH et expedition en cours || ETD le 29042026 soir || ETA 30042026
28/04/2028 : Check Connectivite entre BBU &amp; RRU/Check FO ou SFP || ETA 13H || FO faulty || Cde en cours</t>
        </is>
      </c>
      <c r="U151" t="inlineStr">
        <is>
          <t>04/29/2026 cell huawei) : 29/04/2026 : SPARE recuperee au WH et expedition en cours || ETD le 29042026 soir || ETA 30042026 28/04/2028 : Check Connectivite entre BBU &amp; RRU/Check FO ou SFP || ETA 13H || FO faulty || Cde en cours.;.;(04/29/2026 cell huawei) : 29/04/2026 : SPARE recuperee au WH et expedition en cours || ETD le 29042026 soir || ETA 30042026 28/04/2028 : Check Connectivite entre BBU &amp; RRU/Check FO ou SFP || ETA 13H || FO faulty || Cde en cours.;.;(04/29/2026 cell huawei) : 29/04/2026 : SPARE recuperee au WH et expedition en cours || ETD le 29042026 soir || ETA 30042026 28/04/2028 : Check Connectivite entre BBU &amp; RRU/Check FO ou SFP || ETA 13H || FO faulty || Cde en cours</t>
        </is>
      </c>
    </row>
    <row r="152">
      <c r="A152" s="96" t="n">
        <v>46141</v>
      </c>
      <c r="B152" t="inlineStr">
        <is>
          <t>Hopital-de-La-Cass</t>
        </is>
      </c>
      <c r="C152" t="inlineStr">
        <is>
          <t>CTR_652</t>
        </is>
      </c>
      <c r="D152" t="inlineStr"/>
      <c r="E152" t="inlineStr">
        <is>
          <t>CAMUSAT</t>
        </is>
      </c>
      <c r="F152" t="inlineStr">
        <is>
          <t>Good Grid no GE - 8h</t>
        </is>
      </c>
      <c r="G152" t="inlineStr">
        <is>
          <t>CENTRE</t>
        </is>
      </c>
      <c r="H152" t="inlineStr">
        <is>
          <t>Yaounde</t>
        </is>
      </c>
      <c r="I152" t="inlineStr"/>
      <c r="J152" t="n">
        <v>0.1397581621764205</v>
      </c>
      <c r="K152" t="n">
        <v>0.1128400501851335</v>
      </c>
      <c r="L152" t="n">
        <v>2.822484442956047</v>
      </c>
      <c r="M152" t="n">
        <v>1.529732502361365</v>
      </c>
      <c r="N152" t="inlineStr">
        <is>
          <t>Operationnel</t>
        </is>
      </c>
      <c r="O152" t="inlineStr"/>
      <c r="P152" t="inlineStr">
        <is>
          <t>BSS</t>
        </is>
      </c>
      <c r="Q152" t="inlineStr">
        <is>
          <t>RAN ISSUE</t>
        </is>
      </c>
      <c r="R152" t="inlineStr">
        <is>
          <t>BSS Hardware issue</t>
        </is>
      </c>
      <c r="S152" t="inlineStr">
        <is>
          <t>ACTIVE</t>
        </is>
      </c>
      <c r="T152" t="inlineStr">
        <is>
          <t>04/29/2026: hardware issue,  site with GPS issue (alarm : TDD down 09Apr 02pm)</t>
        </is>
      </c>
      <c r="U152" t="inlineStr">
        <is>
          <t>04/29/2026 : hardware issue, site with GPS issue (alarm : TDD down 09Apr 02pm)</t>
        </is>
      </c>
    </row>
    <row r="153">
      <c r="A153" s="96" t="n">
        <v>46141</v>
      </c>
      <c r="B153" t="inlineStr">
        <is>
          <t>Donga-MTN-IHS</t>
        </is>
      </c>
      <c r="C153" t="inlineStr">
        <is>
          <t>CTR_166</t>
        </is>
      </c>
      <c r="D153" t="inlineStr"/>
      <c r="E153" t="inlineStr">
        <is>
          <t>IHS</t>
        </is>
      </c>
      <c r="F153" t="inlineStr">
        <is>
          <t>Hybrid-Gen</t>
        </is>
      </c>
      <c r="G153" t="inlineStr">
        <is>
          <t>CENTRE</t>
        </is>
      </c>
      <c r="H153" t="inlineStr">
        <is>
          <t>Donga</t>
        </is>
      </c>
      <c r="I153" t="inlineStr"/>
      <c r="J153" t="n">
        <v>5.324173990543905</v>
      </c>
      <c r="K153" t="n">
        <v>2.267957505839632</v>
      </c>
      <c r="L153" t="n">
        <v>0</v>
      </c>
      <c r="M153" t="n">
        <v>1.521671046961901</v>
      </c>
      <c r="N153" t="inlineStr">
        <is>
          <t>Operationnel</t>
        </is>
      </c>
      <c r="O153" t="inlineStr"/>
      <c r="P153" t="inlineStr">
        <is>
          <t>PDH</t>
        </is>
      </c>
      <c r="Q153" t="inlineStr">
        <is>
          <t>TX ISSUE</t>
        </is>
      </c>
      <c r="R153" t="inlineStr">
        <is>
          <t>MPR ISSUE</t>
        </is>
      </c>
      <c r="S153" t="inlineStr">
        <is>
          <t>ACTIVE</t>
        </is>
      </c>
      <c r="T153" t="inlineStr">
        <is>
          <t>(04/29/2026 ticket): INC-20260429-00013780  ;  2026-04-29 23:28:32  ;  29.04.26: Besoin d'un FME sur ADM_028_Gale pour vérifier la chaine antenaire de l'ODU 5.2 sur le MPR_GALE; FME Hippolite activé pour investigations, update ASAP  ;  user:ndzie mbene lionnel</t>
        </is>
      </c>
      <c r="U153" t="inlineStr">
        <is>
          <t>: ; 2026-04-29 23 : 28 : 32 ; 29.04.26 : Besoin d'un FME sur ADM_028_Gale pour vérifier la chaine antenaire de l'ODU 5.2 sur le MPR_GALE; FME Hippolite activé pour investigations, update ASAP ; user : ndzie mbene lionnel</t>
        </is>
      </c>
    </row>
    <row r="154">
      <c r="A154" s="96" t="n">
        <v>46141</v>
      </c>
      <c r="B154" t="inlineStr">
        <is>
          <t>Bachuo-Ntai</t>
        </is>
      </c>
      <c r="C154" t="inlineStr">
        <is>
          <t>SUO_030</t>
        </is>
      </c>
      <c r="D154" t="inlineStr"/>
      <c r="E154" t="inlineStr">
        <is>
          <t>IHS</t>
        </is>
      </c>
      <c r="F154" t="inlineStr">
        <is>
          <t>Grid-Gen</t>
        </is>
      </c>
      <c r="G154" t="inlineStr">
        <is>
          <t>SUD-OUEST</t>
        </is>
      </c>
      <c r="H154" t="inlineStr">
        <is>
          <t>Bashuo-Ntai</t>
        </is>
      </c>
      <c r="I154" t="inlineStr"/>
      <c r="J154" t="n">
        <v>4.050738582544993</v>
      </c>
      <c r="K154" t="n">
        <v>2.688717015004539</v>
      </c>
      <c r="L154" t="n">
        <v>0</v>
      </c>
      <c r="M154" t="n">
        <v>1.481078408711508</v>
      </c>
      <c r="N154" t="inlineStr">
        <is>
          <t>Insecurity</t>
        </is>
      </c>
      <c r="O154" t="inlineStr"/>
      <c r="P154" t="inlineStr">
        <is>
          <t>IHS</t>
        </is>
      </c>
      <c r="Q154" t="inlineStr">
        <is>
          <t>POWER ISSUE</t>
        </is>
      </c>
      <c r="R154" t="inlineStr">
        <is>
          <t>Defaut GE &amp; Power Cabinet</t>
        </is>
      </c>
      <c r="S154" t="inlineStr">
        <is>
          <t>PASSIVE</t>
        </is>
      </c>
      <c r="T154" t="inlineStr">
        <is>
          <t>(04/29/2026 hourly IHS): FME is informed and managing..;..;(04/29/2026 ticket): INC-20260429-00007572  ;  Others Transmission equipement fault</t>
        </is>
      </c>
      <c r="U154" t="inlineStr">
        <is>
          <t>: FME is informed and managing.;.; : ;</t>
        </is>
      </c>
    </row>
    <row r="155">
      <c r="A155" s="96" t="n">
        <v>46141</v>
      </c>
      <c r="B155" t="inlineStr">
        <is>
          <t>Maroua-Marche-Abattoir</t>
        </is>
      </c>
      <c r="C155" t="inlineStr">
        <is>
          <t>EXN_085</t>
        </is>
      </c>
      <c r="D155" t="inlineStr"/>
      <c r="E155" t="inlineStr">
        <is>
          <t>IHS</t>
        </is>
      </c>
      <c r="F155" t="inlineStr">
        <is>
          <t>Grid-Gen</t>
        </is>
      </c>
      <c r="G155" t="inlineStr">
        <is>
          <t>EXTREME-NORD</t>
        </is>
      </c>
      <c r="H155" t="inlineStr">
        <is>
          <t>Maroua</t>
        </is>
      </c>
      <c r="I155" t="inlineStr"/>
      <c r="J155" t="n">
        <v>0.05058271285205568</v>
      </c>
      <c r="K155" t="n">
        <v>1.380112440541156</v>
      </c>
      <c r="L155" t="n">
        <v>1.838096481032773</v>
      </c>
      <c r="M155" t="n">
        <v>1.429089155416299</v>
      </c>
      <c r="N155" t="inlineStr">
        <is>
          <t>Operationnel</t>
        </is>
      </c>
      <c r="O155" t="inlineStr"/>
      <c r="P155" t="inlineStr">
        <is>
          <t>IHS</t>
        </is>
      </c>
      <c r="Q155" t="inlineStr">
        <is>
          <t>POWER ISSUE</t>
        </is>
      </c>
      <c r="R155" t="inlineStr">
        <is>
          <t>Defaut GE &amp; Power Cabinet</t>
        </is>
      </c>
      <c r="S155" t="inlineStr">
        <is>
          <t>PASSIVE</t>
        </is>
      </c>
      <c r="T155" t="inlineStr">
        <is>
          <t>(04/29/2026 cell huawei): 29/04/2026 : Power instabiliity || Mail sent to IHS..;..;(04/29/2026 ticket): INC-20260429-00019225  ;  2026-04-30 00:42:33  ;  Due to high insecurity in the area, FME will took the road early morning,  ;  user:OCM_NOC.IHS</t>
        </is>
      </c>
      <c r="U155" t="inlineStr">
        <is>
          <t>04/29/2026 cell huawei) : 29/04/2026 : Power instabiliity || Mail sent to IHS.;.; : ; 2026-04-30 00 : 42 : 33 ; Due to high insecurity in the area, FME will took the road early morning, ; user : OCM_NOC.IHS</t>
        </is>
      </c>
    </row>
    <row r="156">
      <c r="A156" s="96" t="n">
        <v>46141</v>
      </c>
      <c r="B156" t="inlineStr">
        <is>
          <t>Bengbis-MTN-IHS</t>
        </is>
      </c>
      <c r="C156" t="inlineStr">
        <is>
          <t>SUD_052</t>
        </is>
      </c>
      <c r="D156" t="inlineStr"/>
      <c r="E156" t="inlineStr">
        <is>
          <t>IHS</t>
        </is>
      </c>
      <c r="F156" t="inlineStr">
        <is>
          <t>Grid-Gen</t>
        </is>
      </c>
      <c r="G156" t="inlineStr">
        <is>
          <t>SUD</t>
        </is>
      </c>
      <c r="H156" t="inlineStr">
        <is>
          <t>Bengbis</t>
        </is>
      </c>
      <c r="I156" t="inlineStr"/>
      <c r="J156" t="n">
        <v>4.481378567517556</v>
      </c>
      <c r="K156" t="n">
        <v>2.084512734987811</v>
      </c>
      <c r="L156" t="n">
        <v>0</v>
      </c>
      <c r="M156" t="n">
        <v>1.339735413046146</v>
      </c>
      <c r="N156" t="inlineStr">
        <is>
          <t>Operationnel</t>
        </is>
      </c>
      <c r="O156" t="inlineStr"/>
      <c r="P156" t="inlineStr">
        <is>
          <t>BSS</t>
        </is>
      </c>
      <c r="Q156" t="inlineStr">
        <is>
          <t>RAN ISSUE</t>
        </is>
      </c>
      <c r="R156" t="inlineStr">
        <is>
          <t>BSS Hardware issue</t>
        </is>
      </c>
      <c r="S156" t="inlineStr">
        <is>
          <t>ACTIVE</t>
        </is>
      </c>
      <c r="T156" t="inlineStr">
        <is>
          <t>(04/29/2026 cell nokia): 29/04/2026: Need BO RAN analysis ||FXDB to be replaced..;..;(04/29/2026 ticket): INC-20260429-00009032</t>
        </is>
      </c>
      <c r="U156" t="inlineStr">
        <is>
          <t>04/29/2026 cell nokia) : 29/04/2026 : Need BO RAN analysis || FXDB to be replaced.;.; :</t>
        </is>
      </c>
    </row>
    <row r="157">
      <c r="A157" s="96" t="n">
        <v>46141</v>
      </c>
      <c r="B157" t="inlineStr">
        <is>
          <t>Gamba-MTN</t>
        </is>
      </c>
      <c r="C157" t="inlineStr">
        <is>
          <t>NRD_059</t>
        </is>
      </c>
      <c r="D157" t="inlineStr"/>
      <c r="E157" t="inlineStr">
        <is>
          <t>IHS</t>
        </is>
      </c>
      <c r="F157" t="inlineStr">
        <is>
          <t>Solar-Gen</t>
        </is>
      </c>
      <c r="G157" t="inlineStr">
        <is>
          <t>NORD</t>
        </is>
      </c>
      <c r="H157" t="inlineStr">
        <is>
          <t>Gamba</t>
        </is>
      </c>
      <c r="I157" t="inlineStr"/>
      <c r="J157" t="n">
        <v>4.045867654640721</v>
      </c>
      <c r="K157" t="n">
        <v>2.152130256003616</v>
      </c>
      <c r="L157" t="n">
        <v>0.02875758439895027</v>
      </c>
      <c r="M157" t="n">
        <v>1.315241227892436</v>
      </c>
      <c r="N157" t="inlineStr">
        <is>
          <t>Operationnel</t>
        </is>
      </c>
      <c r="O157" t="inlineStr"/>
      <c r="P157" t="inlineStr">
        <is>
          <t>IHS</t>
        </is>
      </c>
      <c r="Q157" t="inlineStr">
        <is>
          <t>POWER ISSUE</t>
        </is>
      </c>
      <c r="R157" t="inlineStr">
        <is>
          <t>Defaut GE &amp; Power Cabinet</t>
        </is>
      </c>
      <c r="S157" t="inlineStr">
        <is>
          <t>PASSIVE</t>
        </is>
      </c>
      <c r="T157" t="inlineStr">
        <is>
          <t>(04/29/2026 hourly IHS): Fme is informed and managing with L0..;..;(04/29/2026 ticket): INC-20260429-00009899  ;  2026-04-29 13:34:46  ;  No power issue U=49V load=30A awaiting fields evidences  ;  user:OCM_NOC.CAMUSAT</t>
        </is>
      </c>
      <c r="U157" t="inlineStr">
        <is>
          <t>: Fme is informed and managing with L0.;.; : ; 2026-04-29 13 : 34 : 46 ; No power issue U=49V load=30A awaiting fields evidences ; user : OCM_NOC.CAMUSAT</t>
        </is>
      </c>
    </row>
    <row r="158">
      <c r="A158" s="96" t="n">
        <v>46141</v>
      </c>
      <c r="B158" t="inlineStr">
        <is>
          <t>NEW-Bonako</t>
        </is>
      </c>
      <c r="C158" t="inlineStr">
        <is>
          <t>SUO_157</t>
        </is>
      </c>
      <c r="D158" t="inlineStr"/>
      <c r="E158" t="inlineStr">
        <is>
          <t>IHS</t>
        </is>
      </c>
      <c r="F158" t="inlineStr">
        <is>
          <t>Grid-Gen</t>
        </is>
      </c>
      <c r="G158" t="inlineStr">
        <is>
          <t>SUD-OUEST</t>
        </is>
      </c>
      <c r="H158" t="inlineStr">
        <is>
          <t>Tiko</t>
        </is>
      </c>
      <c r="I158" t="inlineStr"/>
      <c r="J158" t="n">
        <v>0</v>
      </c>
      <c r="K158" t="n">
        <v>3.718940298050737</v>
      </c>
      <c r="L158" t="n">
        <v>0</v>
      </c>
      <c r="M158" t="n">
        <v>1.248491152374349</v>
      </c>
      <c r="N158" t="inlineStr">
        <is>
          <t>Insecurity</t>
        </is>
      </c>
      <c r="O158" t="inlineStr"/>
      <c r="P158" t="inlineStr">
        <is>
          <t>IHS</t>
        </is>
      </c>
      <c r="Q158" t="inlineStr">
        <is>
          <t>POWER ISSUE</t>
        </is>
      </c>
      <c r="R158" t="inlineStr">
        <is>
          <t>Defaut GE &amp; Power Cabinet</t>
        </is>
      </c>
      <c r="S158" t="inlineStr">
        <is>
          <t>PASSIVE</t>
        </is>
      </c>
      <c r="T158" t="inlineStr">
        <is>
          <t>(04/29/2026 hourly IHS): fme christiand will be on site at 06:10PM</t>
        </is>
      </c>
      <c r="U158" t="inlineStr">
        <is>
          <t>: fme christiand will be on site at 06 : 10PM</t>
        </is>
      </c>
    </row>
    <row r="159">
      <c r="A159" s="96" t="n">
        <v>46141</v>
      </c>
      <c r="B159" t="inlineStr">
        <is>
          <t>Massangam</t>
        </is>
      </c>
      <c r="C159" t="inlineStr">
        <is>
          <t>OST_057</t>
        </is>
      </c>
      <c r="D159" t="inlineStr"/>
      <c r="E159" t="inlineStr">
        <is>
          <t>IHS</t>
        </is>
      </c>
      <c r="F159" t="inlineStr">
        <is>
          <t>Solar-Grid-Gen</t>
        </is>
      </c>
      <c r="G159" t="inlineStr">
        <is>
          <t>OUEST</t>
        </is>
      </c>
      <c r="H159" t="inlineStr">
        <is>
          <t>Massangam</t>
        </is>
      </c>
      <c r="I159" t="inlineStr"/>
      <c r="J159" t="n">
        <v>0</v>
      </c>
      <c r="K159" t="n">
        <v>3.666770369010339</v>
      </c>
      <c r="L159" t="n">
        <v>0</v>
      </c>
      <c r="M159" t="n">
        <v>1.230977105466665</v>
      </c>
      <c r="N159" t="inlineStr">
        <is>
          <t>Operationnel</t>
        </is>
      </c>
      <c r="O159" t="inlineStr"/>
      <c r="P159" t="inlineStr">
        <is>
          <t>IHS</t>
        </is>
      </c>
      <c r="Q159" t="inlineStr">
        <is>
          <t>POWER ISSUE</t>
        </is>
      </c>
      <c r="R159" t="inlineStr">
        <is>
          <t>Defaut GE &amp; Power Cabinet</t>
        </is>
      </c>
      <c r="S159" t="inlineStr">
        <is>
          <t>PASSIVE</t>
        </is>
      </c>
      <c r="T159" t="inlineStr">
        <is>
          <t>(04/29/2026 hourly IHS): Eric is managing with level 0, ETA asap</t>
        </is>
      </c>
      <c r="U159" t="inlineStr">
        <is>
          <t>: Eric is managing with level 0, ETA asap</t>
        </is>
      </c>
    </row>
    <row r="160">
      <c r="A160" s="96" t="n">
        <v>46141</v>
      </c>
      <c r="B160" t="inlineStr">
        <is>
          <t>Nkoumadjap-IHS</t>
        </is>
      </c>
      <c r="C160" t="inlineStr">
        <is>
          <t>SUD_050</t>
        </is>
      </c>
      <c r="D160" t="inlineStr"/>
      <c r="E160" t="inlineStr">
        <is>
          <t>IHS</t>
        </is>
      </c>
      <c r="F160" t="inlineStr">
        <is>
          <t>Gird-Hybrid-Gen</t>
        </is>
      </c>
      <c r="G160" t="inlineStr">
        <is>
          <t>SUD</t>
        </is>
      </c>
      <c r="H160" t="inlineStr">
        <is>
          <t>Nkoumadjap</t>
        </is>
      </c>
      <c r="I160" t="inlineStr"/>
      <c r="J160" t="n">
        <v>4.282419896966136</v>
      </c>
      <c r="K160" t="n">
        <v>1.832853922498649</v>
      </c>
      <c r="L160" t="n">
        <v>0</v>
      </c>
      <c r="M160" t="n">
        <v>1.22683936729703</v>
      </c>
      <c r="N160" t="inlineStr">
        <is>
          <t>Operationnel</t>
        </is>
      </c>
      <c r="O160" t="inlineStr"/>
      <c r="P160" t="inlineStr">
        <is>
          <t>IHS</t>
        </is>
      </c>
      <c r="Q160" t="inlineStr">
        <is>
          <t>POWER ISSUE</t>
        </is>
      </c>
      <c r="R160" t="inlineStr">
        <is>
          <t>Defaut GE &amp; Power Cabinet</t>
        </is>
      </c>
      <c r="S160" t="inlineStr">
        <is>
          <t>PASSIVE</t>
        </is>
      </c>
      <c r="T160" t="inlineStr">
        <is>
          <t>(04/29/2026 hourly IHS): Sylvain manage with level 0 ETA 19:35 ( Serges is informed..;..;(04/29/2026 com ran 17h): Power status check ongoing..;..;(04/29/2026 com ran 18h): Power status check ongoing..;..;(04/29/2026 ticket): INC-20260429-00013243</t>
        </is>
      </c>
      <c r="U160" t="inlineStr">
        <is>
          <t>: Sylvain manage with level 0 ETA 19 : 35 ( Serges is informed.;.;(04/29/2026 com ran 17h) : ;(04/29/2026 com ran 18h) : ; :</t>
        </is>
      </c>
    </row>
    <row r="161">
      <c r="A161" s="96" t="n">
        <v>46141</v>
      </c>
      <c r="B161" t="inlineStr">
        <is>
          <t>Douggoy</t>
        </is>
      </c>
      <c r="C161" t="inlineStr">
        <is>
          <t>EXN_002</t>
        </is>
      </c>
      <c r="D161" t="inlineStr"/>
      <c r="E161" t="inlineStr">
        <is>
          <t>IHS</t>
        </is>
      </c>
      <c r="F161" t="inlineStr">
        <is>
          <t>Grid-Gen</t>
        </is>
      </c>
      <c r="G161" t="inlineStr">
        <is>
          <t>EXTREME-NORD</t>
        </is>
      </c>
      <c r="H161" t="inlineStr">
        <is>
          <t>Maroua</t>
        </is>
      </c>
      <c r="I161" t="inlineStr"/>
      <c r="J161" t="n">
        <v>1.772268383631284</v>
      </c>
      <c r="K161" t="n">
        <v>2.266098088816807</v>
      </c>
      <c r="L161" t="n">
        <v>0.1041399904129648</v>
      </c>
      <c r="M161" t="n">
        <v>1.068142840428841</v>
      </c>
      <c r="N161" t="inlineStr">
        <is>
          <t>Operationnel</t>
        </is>
      </c>
      <c r="O161" t="inlineStr"/>
      <c r="P161" t="inlineStr">
        <is>
          <t>IHS</t>
        </is>
      </c>
      <c r="Q161" t="inlineStr">
        <is>
          <t>POWER ISSUE</t>
        </is>
      </c>
      <c r="R161" t="inlineStr">
        <is>
          <t>Defaut GE &amp; Power Cabinet</t>
        </is>
      </c>
      <c r="S161" t="inlineStr">
        <is>
          <t>PASSIVE</t>
        </is>
      </c>
      <c r="T161" t="inlineStr">
        <is>
          <t>(04/29/2026 ticket): INC-20260429-00010695  ;  	high temp in gen // add water and manual star gen  ;  	high temp in gen // add water and manual star gen  ;  GE Fault  ;  	high temp in gen // add water and manual star gen</t>
        </is>
      </c>
      <c r="U161" t="inlineStr">
        <is>
          <t>: ; high temp in gen // add water and manual star gen ; high temp in gen // add water and manual star gen ; GE Fault ; high temp in gen // add water and manual star gen</t>
        </is>
      </c>
    </row>
    <row r="162">
      <c r="A162" s="96" t="n">
        <v>46141</v>
      </c>
      <c r="B162" t="inlineStr">
        <is>
          <t>Gor-IHS</t>
        </is>
      </c>
      <c r="C162" t="inlineStr">
        <is>
          <t>NRD_091</t>
        </is>
      </c>
      <c r="D162" t="inlineStr"/>
      <c r="E162" t="inlineStr">
        <is>
          <t>IHS</t>
        </is>
      </c>
      <c r="F162" t="inlineStr">
        <is>
          <t>Hybrid-Gen</t>
        </is>
      </c>
      <c r="G162" t="inlineStr">
        <is>
          <t>NORD</t>
        </is>
      </c>
      <c r="H162" t="inlineStr">
        <is>
          <t>Gor</t>
        </is>
      </c>
      <c r="I162" t="inlineStr"/>
      <c r="J162" t="n">
        <v>3.505194657266525</v>
      </c>
      <c r="K162" t="n">
        <v>1.501167672555266</v>
      </c>
      <c r="L162" t="n">
        <v>0</v>
      </c>
      <c r="M162" t="n">
        <v>1.004500775147206</v>
      </c>
      <c r="N162" t="inlineStr">
        <is>
          <t>Operationnel</t>
        </is>
      </c>
      <c r="O162" t="inlineStr"/>
      <c r="P162" t="inlineStr">
        <is>
          <t>IHS</t>
        </is>
      </c>
      <c r="Q162" t="inlineStr">
        <is>
          <t>POWER ISSUE</t>
        </is>
      </c>
      <c r="R162" t="inlineStr">
        <is>
          <t>Defaut GE &amp; Power Cabinet</t>
        </is>
      </c>
      <c r="S162" t="inlineStr">
        <is>
          <t>PASSIVE</t>
        </is>
      </c>
      <c r="T162" t="inlineStr">
        <is>
          <t>(04/29/2026 hourly IHS): FME Romaric will leave the road around 06:00 AM ,Idrissou not pick the phone , Rostand is informed..;..;(04/29/2026 ticket): INC-20260429-00020558</t>
        </is>
      </c>
      <c r="U162" t="inlineStr">
        <is>
          <t>: FME Romaric will leave the road around 06 : 00 AM ,Idrissou not pick the phone , Rostand is informed.;.; :</t>
        </is>
      </c>
    </row>
    <row r="163">
      <c r="A163" s="96" t="n">
        <v>46141</v>
      </c>
      <c r="B163" t="inlineStr">
        <is>
          <t>Foumban-Manka-IHS</t>
        </is>
      </c>
      <c r="C163" t="inlineStr">
        <is>
          <t>OST_042</t>
        </is>
      </c>
      <c r="D163" t="inlineStr"/>
      <c r="E163" t="inlineStr">
        <is>
          <t>IHS</t>
        </is>
      </c>
      <c r="F163" t="inlineStr">
        <is>
          <t>Grid-Gen</t>
        </is>
      </c>
      <c r="G163" t="inlineStr">
        <is>
          <t>OUEST</t>
        </is>
      </c>
      <c r="H163" t="inlineStr">
        <is>
          <t>Foumban</t>
        </is>
      </c>
      <c r="I163" t="inlineStr"/>
      <c r="J163" t="n">
        <v>1.686090428401856</v>
      </c>
      <c r="K163" t="n">
        <v>1.43918877566633</v>
      </c>
      <c r="L163" t="n">
        <v>0.4579423552149749</v>
      </c>
      <c r="M163" t="n">
        <v>0.962737527573031</v>
      </c>
      <c r="N163" t="inlineStr">
        <is>
          <t>Operationnel</t>
        </is>
      </c>
      <c r="O163" t="inlineStr"/>
      <c r="P163" t="inlineStr">
        <is>
          <t>IHS</t>
        </is>
      </c>
      <c r="Q163" t="inlineStr">
        <is>
          <t>POWER ISSUE</t>
        </is>
      </c>
      <c r="R163" t="inlineStr">
        <is>
          <t>Defaut GE &amp; Power Cabinet</t>
        </is>
      </c>
      <c r="S163" t="inlineStr">
        <is>
          <t>PASSIVE</t>
        </is>
      </c>
      <c r="T163" t="inlineStr">
        <is>
          <t>(04/29/2026 hourly IHS): Martial is on the way , 10:20 PM (Thibault is informed )</t>
        </is>
      </c>
      <c r="U163" t="inlineStr">
        <is>
          <t>: Martial is on the way , 10 : 20 PM (Thibault is informed )</t>
        </is>
      </c>
    </row>
    <row r="164">
      <c r="A164" s="96" t="n">
        <v>46141</v>
      </c>
      <c r="B164" t="inlineStr">
        <is>
          <t>Bagodo</t>
        </is>
      </c>
      <c r="C164" t="inlineStr">
        <is>
          <t>ADM_052</t>
        </is>
      </c>
      <c r="D164" t="inlineStr"/>
      <c r="E164" t="inlineStr">
        <is>
          <t>IHS</t>
        </is>
      </c>
      <c r="F164" t="inlineStr">
        <is>
          <t>Gen-Solar AER</t>
        </is>
      </c>
      <c r="G164" t="inlineStr">
        <is>
          <t>ADAMAOUA</t>
        </is>
      </c>
      <c r="H164" t="inlineStr">
        <is>
          <t>Bagodo</t>
        </is>
      </c>
      <c r="I164" t="inlineStr"/>
      <c r="J164" t="n">
        <v>0.1275183946220959</v>
      </c>
      <c r="K164" t="n">
        <v>2.600713403662426</v>
      </c>
      <c r="L164" t="n">
        <v>0.02329042150122468</v>
      </c>
      <c r="M164" t="n">
        <v>0.9034447895769633</v>
      </c>
      <c r="N164" t="inlineStr">
        <is>
          <t>Operationnel</t>
        </is>
      </c>
      <c r="O164" t="inlineStr"/>
      <c r="P164" t="inlineStr">
        <is>
          <t>BSS</t>
        </is>
      </c>
      <c r="Q164" t="inlineStr">
        <is>
          <t>RAN ISSUE</t>
        </is>
      </c>
      <c r="R164" t="inlineStr">
        <is>
          <t>BSS Hardware issue</t>
        </is>
      </c>
      <c r="S164" t="inlineStr">
        <is>
          <t>ACTIVE</t>
        </is>
      </c>
      <c r="T164" t="inlineStr">
        <is>
          <t xml:space="preserve">(04/29/2026 cell nokia): 
29/042026 : FME sur site || Intervention en cours 
28/04/2026: FME currently on another point for the other operator, intervention planned tomorrow ETA 10H
28/04206 : FME bernard activer ||Ticket creer pour la commande du jumper
27/04/2026 : Need BO RAN analysis || Check and clean jumper, port 1 of FRGU || ETA : 28/04/2026 </t>
        </is>
      </c>
      <c r="U164" t="inlineStr">
        <is>
          <t>04/29/2026 cell nokia) : 29/042026 : FME sur site || Intervention en cours 28/04/2026 : FME currently on another point for the other operator, intervention planned tomorrow ETA 10H 28/04206 : || Ticket creer pour la commande du jumper 27/04/2026 : Need BO RAN analysis || Check and clean jumper, port 1 of FRGU || ETA : 28/04/2026</t>
        </is>
      </c>
    </row>
    <row r="165">
      <c r="A165" s="96" t="n">
        <v>46141</v>
      </c>
      <c r="B165" t="inlineStr">
        <is>
          <t>PK12-Marche</t>
        </is>
      </c>
      <c r="C165" t="inlineStr">
        <is>
          <t>LIT_249</t>
        </is>
      </c>
      <c r="D165" t="inlineStr"/>
      <c r="E165" t="inlineStr">
        <is>
          <t>IHS</t>
        </is>
      </c>
      <c r="F165" t="inlineStr">
        <is>
          <t>Grid-Gen</t>
        </is>
      </c>
      <c r="G165" t="inlineStr">
        <is>
          <t>LITTORAL</t>
        </is>
      </c>
      <c r="H165" t="inlineStr">
        <is>
          <t>Douala</t>
        </is>
      </c>
      <c r="I165" t="inlineStr"/>
      <c r="J165" t="n">
        <v>0.3937957867223001</v>
      </c>
      <c r="K165" t="n">
        <v>0.3276824056223673</v>
      </c>
      <c r="L165" t="n">
        <v>1.394347260800189</v>
      </c>
      <c r="M165" t="n">
        <v>0.8933769079966783</v>
      </c>
      <c r="N165" t="inlineStr">
        <is>
          <t>Operationnel</t>
        </is>
      </c>
      <c r="O165" t="inlineStr"/>
      <c r="P165" t="inlineStr">
        <is>
          <t>IHS</t>
        </is>
      </c>
      <c r="Q165" t="inlineStr">
        <is>
          <t>POWER ISSUE</t>
        </is>
      </c>
      <c r="R165" t="inlineStr">
        <is>
          <t>Defaut GE &amp; Power Cabinet</t>
        </is>
      </c>
      <c r="S165" t="inlineStr">
        <is>
          <t>PASSIVE</t>
        </is>
      </c>
      <c r="T165" t="inlineStr">
        <is>
          <t>(04/29/2026 ticket): INC-20260429-00005723  ;  2026-04-29 11:02:46  ;  FME is managing with level 0  ;  user:OCM_NOC.CAMUSAT</t>
        </is>
      </c>
      <c r="U165" t="inlineStr">
        <is>
          <t>: ; 2026-04-29 11 : 02 : 46 ; FME is managing with level 0 ; user : OCM_NOC.CAMUSAT</t>
        </is>
      </c>
    </row>
    <row r="166">
      <c r="A166" s="96" t="n">
        <v>46141</v>
      </c>
      <c r="B166" t="inlineStr">
        <is>
          <t>Maroua-Djoudandou</t>
        </is>
      </c>
      <c r="C166" t="inlineStr">
        <is>
          <t>EXN_090</t>
        </is>
      </c>
      <c r="D166" t="inlineStr"/>
      <c r="E166" t="inlineStr">
        <is>
          <t>IHS</t>
        </is>
      </c>
      <c r="F166" t="inlineStr">
        <is>
          <t>Grid-Gen</t>
        </is>
      </c>
      <c r="G166" t="inlineStr">
        <is>
          <t>EXTREME-NORD</t>
        </is>
      </c>
      <c r="H166" t="inlineStr">
        <is>
          <t>Maroua</t>
        </is>
      </c>
      <c r="I166" t="inlineStr"/>
      <c r="J166" t="n">
        <v>1.813483927436663</v>
      </c>
      <c r="K166" t="n">
        <v>1.54246610973408</v>
      </c>
      <c r="L166" t="n">
        <v>0.2057149564315217</v>
      </c>
      <c r="M166" t="n">
        <v>0.8840669971149977</v>
      </c>
      <c r="N166" t="inlineStr">
        <is>
          <t>Operationnel</t>
        </is>
      </c>
      <c r="O166" t="inlineStr"/>
      <c r="P166" t="inlineStr">
        <is>
          <t>IHS</t>
        </is>
      </c>
      <c r="Q166" t="inlineStr">
        <is>
          <t>POWER ISSUE</t>
        </is>
      </c>
      <c r="R166" t="inlineStr">
        <is>
          <t>Defaut GE &amp; Power Cabinet</t>
        </is>
      </c>
      <c r="S166" t="inlineStr">
        <is>
          <t>PASSIVE</t>
        </is>
      </c>
      <c r="T166" t="inlineStr">
        <is>
          <t>(04/29/2026 hourly IHS): Fme is on site waiting the guard..;..;(04/29/2026 ticket): INC-20260429-00013504  ;  Others Transmission equipement fault</t>
        </is>
      </c>
      <c r="U166" t="inlineStr">
        <is>
          <t>: Fme is on site waiting the guard.;.; : ;</t>
        </is>
      </c>
    </row>
    <row r="167">
      <c r="A167" s="96" t="n">
        <v>46141</v>
      </c>
      <c r="B167" t="inlineStr">
        <is>
          <t>Nkolbisson-Ayene-Bar</t>
        </is>
      </c>
      <c r="C167" t="inlineStr">
        <is>
          <t>CTR_657</t>
        </is>
      </c>
      <c r="D167" t="inlineStr"/>
      <c r="E167" t="inlineStr">
        <is>
          <t>CAMUSAT</t>
        </is>
      </c>
      <c r="F167" t="inlineStr">
        <is>
          <t>Good Grid + GE</t>
        </is>
      </c>
      <c r="G167" t="inlineStr">
        <is>
          <t>CENTRE</t>
        </is>
      </c>
      <c r="H167" t="inlineStr">
        <is>
          <t>Yaounde</t>
        </is>
      </c>
      <c r="I167" t="inlineStr"/>
      <c r="J167" t="n">
        <v>0</v>
      </c>
      <c r="K167" t="n">
        <v>0</v>
      </c>
      <c r="L167" t="n">
        <v>1.684639621596657</v>
      </c>
      <c r="M167" t="n">
        <v>0.8785202877582876</v>
      </c>
      <c r="N167" t="inlineStr">
        <is>
          <t>Operationnel</t>
        </is>
      </c>
      <c r="O167" t="inlineStr"/>
      <c r="P167" t="inlineStr">
        <is>
          <t>AKTIVCO</t>
        </is>
      </c>
      <c r="Q167" t="inlineStr">
        <is>
          <t>POWER ISSUE</t>
        </is>
      </c>
      <c r="R167" t="inlineStr">
        <is>
          <t>AKTIVCO Defaut GE &amp; Power Cabinet</t>
        </is>
      </c>
      <c r="S167" t="inlineStr">
        <is>
          <t>PASSIVE</t>
        </is>
      </c>
      <c r="T167" t="inlineStr">
        <is>
          <t>(04/29/2026 cell zte): 29/04/2026 : Besoin d'analyse BO RAN
28/04/2026 : Power issue || Mail sent to Camusat</t>
        </is>
      </c>
      <c r="U167" t="inlineStr">
        <is>
          <t>04/29/2026 cell zte) : 29/04/2026 : Besoin d'analyse BO RAN 28/04/2026 : Power issue || Mail sent to Camusat</t>
        </is>
      </c>
    </row>
    <row r="168">
      <c r="A168" s="96" t="n">
        <v>46141</v>
      </c>
      <c r="B168" t="inlineStr">
        <is>
          <t>Mokolo3-IHS</t>
        </is>
      </c>
      <c r="C168" t="inlineStr">
        <is>
          <t>EXN_156</t>
        </is>
      </c>
      <c r="D168" t="inlineStr"/>
      <c r="E168" t="inlineStr">
        <is>
          <t>IHS</t>
        </is>
      </c>
      <c r="F168" t="inlineStr">
        <is>
          <t>Grid-Gen</t>
        </is>
      </c>
      <c r="G168" t="inlineStr">
        <is>
          <t>EXTREME-NORD</t>
        </is>
      </c>
      <c r="H168" t="inlineStr">
        <is>
          <t>Maroua</t>
        </is>
      </c>
      <c r="I168" t="inlineStr"/>
      <c r="J168" t="n">
        <v>3.09528733978394</v>
      </c>
      <c r="K168" t="n">
        <v>1.268727093279764</v>
      </c>
      <c r="L168" t="n">
        <v>0</v>
      </c>
      <c r="M168" t="n">
        <v>0.8679330646732525</v>
      </c>
      <c r="N168" t="inlineStr">
        <is>
          <t>Operationnel</t>
        </is>
      </c>
      <c r="O168" t="inlineStr"/>
      <c r="P168" t="inlineStr">
        <is>
          <t>IHS</t>
        </is>
      </c>
      <c r="Q168" t="inlineStr">
        <is>
          <t>POWER ISSUE</t>
        </is>
      </c>
      <c r="R168" t="inlineStr">
        <is>
          <t>Defaut GE &amp; Power Cabinet</t>
        </is>
      </c>
      <c r="S168" t="inlineStr">
        <is>
          <t>PASSIVE</t>
        </is>
      </c>
      <c r="T168" t="inlineStr">
        <is>
          <t>(04/29/2026 hourly IHS): FME is informed and is managing with level 0..;..;(04/29/2026 ticket): INC-20260429-00010861  ;  2026-04-29 15:12:22  ;  user:OCM_NOC.CAMUSAT</t>
        </is>
      </c>
      <c r="U168" t="inlineStr">
        <is>
          <t>: FME is informed and is managing with level 0.;.; : ; 2026-04-29 15 : 12 : 22 ; user : OCM_NOC.CAMUSAT</t>
        </is>
      </c>
    </row>
    <row r="169">
      <c r="A169" s="96" t="n">
        <v>46141</v>
      </c>
      <c r="B169" t="inlineStr">
        <is>
          <t>Mokolo</t>
        </is>
      </c>
      <c r="C169" t="inlineStr">
        <is>
          <t>EXN_012</t>
        </is>
      </c>
      <c r="D169" t="inlineStr"/>
      <c r="E169" t="inlineStr">
        <is>
          <t>CAMUSAT</t>
        </is>
      </c>
      <c r="F169" t="inlineStr">
        <is>
          <t>Medium Grid + GE</t>
        </is>
      </c>
      <c r="G169" t="inlineStr">
        <is>
          <t>EXTREME-NORD</t>
        </is>
      </c>
      <c r="H169" t="inlineStr">
        <is>
          <t>Mokolo</t>
        </is>
      </c>
      <c r="I169" t="inlineStr"/>
      <c r="J169" t="n">
        <v>2.029178606684812</v>
      </c>
      <c r="K169" t="n">
        <v>0.9449717374235387</v>
      </c>
      <c r="L169" t="n">
        <v>0.4133793314027934</v>
      </c>
      <c r="M169" t="n">
        <v>0.822577020617778</v>
      </c>
      <c r="N169" t="inlineStr">
        <is>
          <t>Insecurity</t>
        </is>
      </c>
      <c r="O169" t="inlineStr"/>
      <c r="P169" t="inlineStr">
        <is>
          <t>AKTIVCO</t>
        </is>
      </c>
      <c r="Q169" t="inlineStr">
        <is>
          <t>POWER ISSUE</t>
        </is>
      </c>
      <c r="R169" t="inlineStr">
        <is>
          <t>AKTIVCO Defaut GE &amp; Power Cabinet</t>
        </is>
      </c>
      <c r="S169" t="inlineStr">
        <is>
          <t>PASSIVE</t>
        </is>
      </c>
      <c r="T169" t="inlineStr">
        <is>
          <t>(04/29/2026 ticket): INC-20260429-00006097  ;  2026-04-29 09:43:09  ;  Possible power issue as AOF &amp; MW link went down at the same time
Check power with power team. Otherwise, mobilize FME locally for tshoot  ;  power Grid outage here the site is only on Grid   ;  Others Transmission equipement fault  ;  user:ABANDA	Jean Roland</t>
        </is>
      </c>
      <c r="U169" t="inlineStr">
        <is>
          <t>: ; 2026-04-29 09 : 43 : 09 ; Possible power issue as AOF &amp; MW link went down at the same time Check power with power team. Otherwise, mobilize FME locally for tshoot ; power Grid outage here the site is only on Grid ; ; user : ABANDA Jean Roland</t>
        </is>
      </c>
    </row>
    <row r="170">
      <c r="A170" s="96" t="n">
        <v>46141</v>
      </c>
      <c r="B170" t="inlineStr">
        <is>
          <t>Bertoua-ENIA-MTN</t>
        </is>
      </c>
      <c r="C170" t="inlineStr">
        <is>
          <t>EST_069</t>
        </is>
      </c>
      <c r="D170" t="inlineStr"/>
      <c r="E170" t="inlineStr">
        <is>
          <t>IHS</t>
        </is>
      </c>
      <c r="F170" t="inlineStr">
        <is>
          <t>Grid-Gen</t>
        </is>
      </c>
      <c r="G170" t="inlineStr">
        <is>
          <t>EST</t>
        </is>
      </c>
      <c r="H170" t="inlineStr">
        <is>
          <t>Bertoua</t>
        </is>
      </c>
      <c r="I170" t="inlineStr"/>
      <c r="J170" t="n">
        <v>0.7417548929095277</v>
      </c>
      <c r="K170" t="n">
        <v>0.3484016238766995</v>
      </c>
      <c r="L170" t="n">
        <v>1.040168692420333</v>
      </c>
      <c r="M170" t="n">
        <v>0.7653210456777759</v>
      </c>
      <c r="N170" t="inlineStr">
        <is>
          <t>Operationnel</t>
        </is>
      </c>
      <c r="O170" t="inlineStr"/>
      <c r="P170" t="inlineStr">
        <is>
          <t>IHS</t>
        </is>
      </c>
      <c r="Q170" t="inlineStr">
        <is>
          <t>POWER ISSUE</t>
        </is>
      </c>
      <c r="R170" t="inlineStr">
        <is>
          <t>Defaut GE &amp; Power Cabinet</t>
        </is>
      </c>
      <c r="S170" t="inlineStr">
        <is>
          <t>PASSIVE</t>
        </is>
      </c>
      <c r="T170" t="inlineStr">
        <is>
          <t>(04/29/2026 hourly IHS): Teams is working on site Plan Work..;..;(04/29/2026 ticket): INC-20260429-00006759  ;  Others Transmission equipement fault</t>
        </is>
      </c>
      <c r="U170" t="inlineStr">
        <is>
          <t>: Teams is working on site Plan Work.;.; : ;</t>
        </is>
      </c>
    </row>
    <row r="171">
      <c r="A171" s="96" t="n">
        <v>46141</v>
      </c>
      <c r="B171" t="inlineStr">
        <is>
          <t>Limbe-New-Town-IHS</t>
        </is>
      </c>
      <c r="C171" t="inlineStr">
        <is>
          <t>SUO_187</t>
        </is>
      </c>
      <c r="D171" t="inlineStr"/>
      <c r="E171" t="inlineStr">
        <is>
          <t>IHS</t>
        </is>
      </c>
      <c r="F171" t="inlineStr">
        <is>
          <t>Grid-Gen</t>
        </is>
      </c>
      <c r="G171" t="inlineStr">
        <is>
          <t>SUD-OUEST</t>
        </is>
      </c>
      <c r="H171" t="inlineStr">
        <is>
          <t>Limbe</t>
        </is>
      </c>
      <c r="I171" t="inlineStr"/>
      <c r="J171" t="n">
        <v>1.057241146401608</v>
      </c>
      <c r="K171" t="n">
        <v>0.9011797416621615</v>
      </c>
      <c r="L171" t="n">
        <v>0.4514442934158081</v>
      </c>
      <c r="M171" t="n">
        <v>0.6889334052443691</v>
      </c>
      <c r="N171" t="inlineStr">
        <is>
          <t>Operationnel</t>
        </is>
      </c>
      <c r="O171" t="inlineStr"/>
      <c r="P171" t="inlineStr">
        <is>
          <t>IHS</t>
        </is>
      </c>
      <c r="Q171" t="inlineStr">
        <is>
          <t>POWER ISSUE</t>
        </is>
      </c>
      <c r="R171" t="inlineStr">
        <is>
          <t>Defaut GE &amp; Power Cabinet</t>
        </is>
      </c>
      <c r="S171" t="inlineStr">
        <is>
          <t>PASSIVE</t>
        </is>
      </c>
      <c r="T171" t="inlineStr">
        <is>
          <t>(04/29/2026 hourly IHS): FME ULRICH IS MANAGING WITH THE LEVEL ZERO</t>
        </is>
      </c>
      <c r="U171" t="inlineStr">
        <is>
          <t>: FME ULRICH IS MANAGING WITH THE LEVEL ZERO</t>
        </is>
      </c>
    </row>
    <row r="172">
      <c r="A172" s="96" t="n">
        <v>46141</v>
      </c>
      <c r="B172" t="inlineStr">
        <is>
          <t>Kaele-MTN-IHS</t>
        </is>
      </c>
      <c r="C172" t="inlineStr">
        <is>
          <t>EXN_160</t>
        </is>
      </c>
      <c r="D172" t="inlineStr"/>
      <c r="E172" t="inlineStr">
        <is>
          <t>IHS</t>
        </is>
      </c>
      <c r="F172" t="inlineStr">
        <is>
          <t>Grid-Gen</t>
        </is>
      </c>
      <c r="G172" t="inlineStr">
        <is>
          <t>EXTREME-NORD</t>
        </is>
      </c>
      <c r="H172" t="inlineStr">
        <is>
          <t>Kaele</t>
        </is>
      </c>
      <c r="I172" t="inlineStr"/>
      <c r="J172" t="n">
        <v>0.999414489486789</v>
      </c>
      <c r="K172" t="n">
        <v>1.58128159881233</v>
      </c>
      <c r="L172" t="n">
        <v>0</v>
      </c>
      <c r="M172" t="n">
        <v>0.6735707679451345</v>
      </c>
      <c r="N172" t="inlineStr">
        <is>
          <t>Insecurity</t>
        </is>
      </c>
      <c r="O172" t="inlineStr"/>
      <c r="P172" t="inlineStr">
        <is>
          <t>BSS</t>
        </is>
      </c>
      <c r="Q172" t="inlineStr">
        <is>
          <t>RAN ISSUE</t>
        </is>
      </c>
      <c r="R172" t="inlineStr">
        <is>
          <t>BSS Hardware issue</t>
        </is>
      </c>
      <c r="S172" t="inlineStr">
        <is>
          <t>ACTIVE</t>
        </is>
      </c>
      <c r="T172" t="inlineStr">
        <is>
          <t xml:space="preserve">(04/29/2026 cell nokia): 29/04/2026 : Check breaker and  interconnection FRGU (sfp, optical fiber) between system and radio module, swap its if needed || Escalade faite au RM : en attente de son feedback </t>
        </is>
      </c>
      <c r="U172" t="inlineStr">
        <is>
          <t>04/29/2026 cell nokia) : 29/04/2026 : Check breaker and interconnection FRGU (sfp, optical fiber) between system and radio module, swap its if needed || Escalade faite au RM : en attente de son feedback</t>
        </is>
      </c>
    </row>
    <row r="173">
      <c r="A173" s="96" t="n">
        <v>46141</v>
      </c>
      <c r="B173" t="inlineStr">
        <is>
          <t>GOUZOUGOUI-IHS</t>
        </is>
      </c>
      <c r="C173" t="inlineStr">
        <is>
          <t>EXN_100</t>
        </is>
      </c>
      <c r="D173" t="inlineStr"/>
      <c r="E173" t="inlineStr">
        <is>
          <t>IHS</t>
        </is>
      </c>
      <c r="F173" t="inlineStr">
        <is>
          <t>Grid-Gen</t>
        </is>
      </c>
      <c r="G173" t="inlineStr">
        <is>
          <t>EXTREME-NORD</t>
        </is>
      </c>
      <c r="H173" t="inlineStr">
        <is>
          <t>Kaele</t>
        </is>
      </c>
      <c r="I173" t="inlineStr"/>
      <c r="J173" t="n">
        <v>1.357490138244428</v>
      </c>
      <c r="K173" t="n">
        <v>0</v>
      </c>
      <c r="L173" t="n">
        <v>0.748952922841878</v>
      </c>
      <c r="M173" t="n">
        <v>0.5844198463044293</v>
      </c>
      <c r="N173" t="inlineStr">
        <is>
          <t>Insecurity</t>
        </is>
      </c>
      <c r="O173" t="inlineStr"/>
      <c r="P173" t="inlineStr">
        <is>
          <t>IHS</t>
        </is>
      </c>
      <c r="Q173" t="inlineStr">
        <is>
          <t>POWER ISSUE</t>
        </is>
      </c>
      <c r="R173" t="inlineStr">
        <is>
          <t>Defaut GE &amp; Power Cabinet</t>
        </is>
      </c>
      <c r="S173" t="inlineStr">
        <is>
          <t>PASSIVE</t>
        </is>
      </c>
      <c r="T173" t="inlineStr">
        <is>
          <t>(04/29/2026 hourly IHS): fme david is managing with the level zero..;..;(04/29/2026 ticket): INC-20260429-00015655  ;  Others Transmission equipement fault</t>
        </is>
      </c>
      <c r="U173" t="inlineStr">
        <is>
          <t>: fme david is managing with the level zero.;.; : ;</t>
        </is>
      </c>
    </row>
    <row r="174">
      <c r="A174" s="96" t="n">
        <v>46141</v>
      </c>
      <c r="B174" t="inlineStr">
        <is>
          <t>Zigague</t>
        </is>
      </c>
      <c r="C174" t="inlineStr">
        <is>
          <t>EXN_034</t>
        </is>
      </c>
      <c r="D174" t="inlineStr"/>
      <c r="E174" t="inlineStr">
        <is>
          <t>IHS</t>
        </is>
      </c>
      <c r="F174" t="inlineStr">
        <is>
          <t>Solar-Grid-Gen</t>
        </is>
      </c>
      <c r="G174" t="inlineStr">
        <is>
          <t>EXTREME-NORD</t>
        </is>
      </c>
      <c r="H174" t="inlineStr">
        <is>
          <t>Zigague</t>
        </is>
      </c>
      <c r="I174" t="inlineStr"/>
      <c r="J174" t="n">
        <v>1.638879896406604</v>
      </c>
      <c r="K174" t="n">
        <v>0.7722190887116801</v>
      </c>
      <c r="L174" t="n">
        <v>0</v>
      </c>
      <c r="M174" t="n">
        <v>0.4932747525490818</v>
      </c>
      <c r="N174" t="inlineStr">
        <is>
          <t>Insecurity</t>
        </is>
      </c>
      <c r="O174" t="inlineStr"/>
      <c r="P174" t="inlineStr">
        <is>
          <t>IHS</t>
        </is>
      </c>
      <c r="Q174" t="inlineStr">
        <is>
          <t>POWER ISSUE</t>
        </is>
      </c>
      <c r="R174" t="inlineStr">
        <is>
          <t>Defaut GE &amp; Power Cabinet</t>
        </is>
      </c>
      <c r="S174" t="inlineStr">
        <is>
          <t>PASSIVE</t>
        </is>
      </c>
      <c r="T174" t="inlineStr">
        <is>
          <t>(04/29/2026 ticket): INC-20260429-00012852  ;  problème de power sur le back one Magba. site UP après résolution par Camusat   ;  Others Transmission equipement fault</t>
        </is>
      </c>
      <c r="U174" t="inlineStr">
        <is>
          <t>: ; problème de power sur le back one Magba. site UP après résolution par Camusat ;</t>
        </is>
      </c>
    </row>
    <row r="175">
      <c r="A175" s="96" t="n">
        <v>46141</v>
      </c>
      <c r="B175" t="inlineStr">
        <is>
          <t>Bangambi-IHS</t>
        </is>
      </c>
      <c r="C175" t="inlineStr">
        <is>
          <t>OST_205</t>
        </is>
      </c>
      <c r="D175" t="inlineStr"/>
      <c r="E175" t="inlineStr">
        <is>
          <t>IHS</t>
        </is>
      </c>
      <c r="F175" t="inlineStr">
        <is>
          <t>Grid-Gen</t>
        </is>
      </c>
      <c r="G175" t="inlineStr">
        <is>
          <t>OUEST</t>
        </is>
      </c>
      <c r="H175" t="inlineStr">
        <is>
          <t>Bangambi</t>
        </is>
      </c>
      <c r="I175" t="inlineStr"/>
      <c r="J175" t="n">
        <v>1.026391936341219</v>
      </c>
      <c r="K175" t="n">
        <v>0.9892098561427487</v>
      </c>
      <c r="L175" t="n">
        <v>0</v>
      </c>
      <c r="M175" t="n">
        <v>0.4786578318822713</v>
      </c>
      <c r="N175" t="inlineStr">
        <is>
          <t>Operationnel</t>
        </is>
      </c>
      <c r="O175" t="inlineStr"/>
      <c r="P175" t="inlineStr">
        <is>
          <t>IHS</t>
        </is>
      </c>
      <c r="Q175" t="inlineStr">
        <is>
          <t>POWER ISSUE</t>
        </is>
      </c>
      <c r="R175" t="inlineStr">
        <is>
          <t>Defaut GE &amp; Power Cabinet</t>
        </is>
      </c>
      <c r="S175" t="inlineStr">
        <is>
          <t>PASSIVE</t>
        </is>
      </c>
      <c r="T175" t="inlineStr">
        <is>
          <t>(04/29/2026 hourly IHS): fme eric is informed..;..;(04/29/2026 ticket): INC-20260429-00010830  ;  2026-04-29 19:05:29  ;  grid outage grid only site/awaiting grid return  ;  grid outage grid only site/awaiting grid return  ;  Coupure Secteur  ;  grid outage grid only site/awaiting grid return  ;  user:OCM_NOC.CAMUSAT</t>
        </is>
      </c>
      <c r="U175" t="inlineStr">
        <is>
          <t>: fme eric is informed.;.; : ; 2026-04-29 19 : 05 : 29 ; grid outage grid only site/awaiting grid return ; grid outage grid only site/awaiting grid return ; Coupure Secteur ; grid outage grid only site/awaiting grid return ; user : OCM_NOC.CAMUSAT</t>
        </is>
      </c>
    </row>
    <row r="176">
      <c r="A176" s="96" t="n">
        <v>46141</v>
      </c>
      <c r="B176" t="inlineStr">
        <is>
          <t>Mokola-MTN</t>
        </is>
      </c>
      <c r="C176" t="inlineStr">
        <is>
          <t>EXN_142</t>
        </is>
      </c>
      <c r="D176" t="inlineStr"/>
      <c r="E176" t="inlineStr">
        <is>
          <t>IHS</t>
        </is>
      </c>
      <c r="F176" t="inlineStr">
        <is>
          <t>Grid-Gen</t>
        </is>
      </c>
      <c r="G176" t="inlineStr">
        <is>
          <t>EXTREME-NORD</t>
        </is>
      </c>
      <c r="H176" t="inlineStr">
        <is>
          <t>Mokola</t>
        </is>
      </c>
      <c r="I176" t="inlineStr"/>
      <c r="J176" t="n">
        <v>2.155572941021306</v>
      </c>
      <c r="K176" t="n">
        <v>0.4340661788984789</v>
      </c>
      <c r="L176" t="n">
        <v>0</v>
      </c>
      <c r="M176" t="n">
        <v>0.4535366394626197</v>
      </c>
      <c r="N176" t="inlineStr">
        <is>
          <t>Insecurity</t>
        </is>
      </c>
      <c r="O176" t="inlineStr"/>
      <c r="P176" t="inlineStr">
        <is>
          <t>IHS</t>
        </is>
      </c>
      <c r="Q176" t="inlineStr">
        <is>
          <t>POWER ISSUE</t>
        </is>
      </c>
      <c r="R176" t="inlineStr">
        <is>
          <t>Defaut GE &amp; Power Cabinet</t>
        </is>
      </c>
      <c r="S176" t="inlineStr">
        <is>
          <t>PASSIVE</t>
        </is>
      </c>
      <c r="T176" t="inlineStr">
        <is>
          <t>(04/29/2026 ticket): INC-20260429-00012389  ;  2026-04-29 23:52:03  ;  Our FME will be manage the point early this morning around 07:30am because the area is insecure at night  ;  user:OCM_NOC.CAMUSAT</t>
        </is>
      </c>
      <c r="U176" t="inlineStr">
        <is>
          <t>: ; 2026-04-29 23 : 52 : 03 ; Our FME will be manage the point early this morning around 07 : 30am because the area is insecure at night ; user : OCM_NOC.CAMUSAT</t>
        </is>
      </c>
    </row>
    <row r="177">
      <c r="A177" s="96" t="n">
        <v>46141</v>
      </c>
      <c r="B177" t="inlineStr">
        <is>
          <t>Foyemtcha</t>
        </is>
      </c>
      <c r="C177" t="inlineStr">
        <is>
          <t>OST_156</t>
        </is>
      </c>
      <c r="D177" t="inlineStr"/>
      <c r="E177" t="inlineStr">
        <is>
          <t>IHS</t>
        </is>
      </c>
      <c r="F177" t="inlineStr">
        <is>
          <t>Grid-Gen</t>
        </is>
      </c>
      <c r="G177" t="inlineStr">
        <is>
          <t>OUEST</t>
        </is>
      </c>
      <c r="H177" t="inlineStr">
        <is>
          <t>Foyemtcha</t>
        </is>
      </c>
      <c r="I177" t="inlineStr"/>
      <c r="J177" t="n">
        <v>0.2389252584839075</v>
      </c>
      <c r="K177" t="n">
        <v>1.172495248392613</v>
      </c>
      <c r="L177" t="n">
        <v>0</v>
      </c>
      <c r="M177" t="n">
        <v>0.4277386832861059</v>
      </c>
      <c r="N177" t="inlineStr">
        <is>
          <t>Operationnel</t>
        </is>
      </c>
      <c r="O177" t="inlineStr"/>
      <c r="P177" t="inlineStr">
        <is>
          <t>BSS</t>
        </is>
      </c>
      <c r="Q177" t="inlineStr">
        <is>
          <t>RAN ISSUE</t>
        </is>
      </c>
      <c r="R177" t="inlineStr">
        <is>
          <t>BSS Hardware issue</t>
        </is>
      </c>
      <c r="S177" t="inlineStr">
        <is>
          <t>ACTIVE</t>
        </is>
      </c>
      <c r="T177" t="inlineStr">
        <is>
          <t>(04/29/2026 cell nokia): 29/04//2026 : FME sur site || Intervention en cours || UP after remplacement de la FBBC
27/04/2026 : Commande de la FBBC passe || ETA: 29/04/2026 
24/05/2026 : FBBC faulty spare request Ongoing. Planned to be replace on 25.04.2026
23/04/2026 : Access issue 
22/04/2026 : Need BO RAN analysis || Check and replace FBBC if needed..;..;(04/29/2026 cell nokia): 29/04//2026 : FME sur site || Intervention en cours || UP after remplacement de la FBBC
27/04/2026 : Commande de la FBBC passe || ETA: 29/04/2026 
24/05/2026 : FBBC faulty spare request Ongoing. Planned to be replace on 25.04.2026
23/04/2026 : Access issue 
22/04/2026 : Need BO RAN analysis || Check and replace FBBC if needed</t>
        </is>
      </c>
      <c r="U177" t="inlineStr">
        <is>
          <t>04/29/2026 cell nokia) : 29/04//2026 : FME sur site || Intervention en cours || UP after remplacement de la FBBC 27/04/2026 : Commande de la FBBC passe || ETA : 29/04/2026 24/05/2026 : FBBC faulty spare request Ongoing. Planned to be replace on 25.04.2026 23/04/2026 : Access issue 22/04/2026 : Need BO RAN analysis || Check and replace FBBC if needed.;.;(04/29/2026 cell nokia) : 29/04//2026 : FME sur site || Intervention en cours || UP after remplacement de la FBBC 27/04/2026 : Commande de la FBBC passe || ETA : 29/04/2026 24/05/2026 : FBBC faulty spare request Ongoing. Planned to be replace on 25.04.2026 23/04/2026 : Access issue 22/04/2026 : Need BO RAN analysis || Check and replace FBBC if needed</t>
        </is>
      </c>
    </row>
    <row r="178">
      <c r="A178" s="96" t="n">
        <v>46141</v>
      </c>
      <c r="B178" t="inlineStr">
        <is>
          <t>Kaele-Guiedame</t>
        </is>
      </c>
      <c r="C178" t="inlineStr">
        <is>
          <t>EXN_095</t>
        </is>
      </c>
      <c r="D178" t="inlineStr"/>
      <c r="E178" t="inlineStr">
        <is>
          <t>IHS</t>
        </is>
      </c>
      <c r="F178" t="inlineStr">
        <is>
          <t>Grid-Gen</t>
        </is>
      </c>
      <c r="G178" t="inlineStr">
        <is>
          <t>EXTREME-NORD</t>
        </is>
      </c>
      <c r="H178" t="inlineStr">
        <is>
          <t>Kaele</t>
        </is>
      </c>
      <c r="I178" t="inlineStr"/>
      <c r="J178" t="n">
        <v>0</v>
      </c>
      <c r="K178" t="n">
        <v>1.119928214914957</v>
      </c>
      <c r="L178" t="n">
        <v>6.840065051727517e-05</v>
      </c>
      <c r="M178" t="n">
        <v>0.376008489174082</v>
      </c>
      <c r="N178" t="inlineStr">
        <is>
          <t>Insecurity</t>
        </is>
      </c>
      <c r="O178" t="inlineStr"/>
      <c r="P178" t="inlineStr">
        <is>
          <t>BSS</t>
        </is>
      </c>
      <c r="Q178" t="inlineStr">
        <is>
          <t>RAN ISSUE</t>
        </is>
      </c>
      <c r="R178" t="inlineStr">
        <is>
          <t>BSS Hardware issue</t>
        </is>
      </c>
      <c r="S178" t="inlineStr">
        <is>
          <t>ACTIVE</t>
        </is>
      </c>
      <c r="T178" t="inlineStr">
        <is>
          <t xml:space="preserve">(04/29/2026 cell nokia): 29/04/2026 : Check breaker and  interconnection AQHC  (sfp, optical fiber) between system and radio module, swap its if needed ||power issue ||Email to send IHS  </t>
        </is>
      </c>
      <c r="U178" t="inlineStr">
        <is>
          <t>04/29/2026 cell nokia) : 29/04/2026 : Check breaker and interconnection AQHC (sfp, optical fiber) between system and radio module, swap its if needed || power issue || Email to send IHS</t>
        </is>
      </c>
    </row>
    <row r="179">
      <c r="A179" s="96" t="n">
        <v>46141</v>
      </c>
      <c r="B179" t="inlineStr">
        <is>
          <t>Mbile-IHS</t>
        </is>
      </c>
      <c r="C179" t="inlineStr">
        <is>
          <t>SUD_069</t>
        </is>
      </c>
      <c r="D179" t="inlineStr"/>
      <c r="E179" t="inlineStr">
        <is>
          <t>IHS</t>
        </is>
      </c>
      <c r="F179" t="inlineStr">
        <is>
          <t>Gen Only</t>
        </is>
      </c>
      <c r="G179" t="inlineStr">
        <is>
          <t>SUD</t>
        </is>
      </c>
      <c r="H179" t="inlineStr">
        <is>
          <t>Mbile</t>
        </is>
      </c>
      <c r="I179" t="inlineStr"/>
      <c r="J179" t="n">
        <v>0.9568250942212311</v>
      </c>
      <c r="K179" t="n">
        <v>0.4106655310410012</v>
      </c>
      <c r="L179" t="n">
        <v>0.1621258151892925</v>
      </c>
      <c r="M179" t="n">
        <v>0.3590464480321048</v>
      </c>
      <c r="N179" t="inlineStr">
        <is>
          <t>Operationnel</t>
        </is>
      </c>
      <c r="O179" t="inlineStr"/>
      <c r="P179" t="inlineStr">
        <is>
          <t>BSS</t>
        </is>
      </c>
      <c r="Q179" t="inlineStr">
        <is>
          <t>RAN ISSUE</t>
        </is>
      </c>
      <c r="R179" t="inlineStr">
        <is>
          <t>BSS Hardware issue</t>
        </is>
      </c>
      <c r="S179" t="inlineStr">
        <is>
          <t>ACTIVE</t>
        </is>
      </c>
      <c r="T179" t="inlineStr">
        <is>
          <t>(04/29/2026 hourly IHS): Sylvain is manage ETA 17:15 (Serges is informed )..;..;(04/29/2026 cell nokia): 29/04/2026 : Check breaker and  interconnection FXED (sfp, optical fiber) between system and radio module, swap its if needed..;..;(04/29/2026 com ran 17h): Power status check ongoing..;..;(04/29/2026 com ran 18h): Power status check ongoing..;..;(04/29/2026 ticket): INC-20260429-00012319  ;  Others Transmission equipement fault</t>
        </is>
      </c>
      <c r="U179" t="inlineStr">
        <is>
          <t>: Sylvain is manage ETA 17 : 15 (Serges is informed ).;.;(04/29/2026 cell nokia) : 29/04/2026 : Check breaker and interconnection FXED (sfp, optical fiber) between system and radio module, swap its if needed.;.;(04/29/2026 com ran 17h) : ;(04/29/2026 com ran 18h) : ; : ;</t>
        </is>
      </c>
    </row>
    <row r="180">
      <c r="A180" s="96" t="n">
        <v>46141</v>
      </c>
      <c r="B180" t="inlineStr">
        <is>
          <t>Bonjongo</t>
        </is>
      </c>
      <c r="C180" t="inlineStr">
        <is>
          <t>SUO_131</t>
        </is>
      </c>
      <c r="D180" t="inlineStr"/>
      <c r="E180" t="inlineStr">
        <is>
          <t>IHS</t>
        </is>
      </c>
      <c r="F180" t="inlineStr">
        <is>
          <t>Grid-Gen</t>
        </is>
      </c>
      <c r="G180" t="inlineStr">
        <is>
          <t>SUD-OUEST</t>
        </is>
      </c>
      <c r="H180" t="inlineStr">
        <is>
          <t>Bonjongo</t>
        </is>
      </c>
      <c r="I180" t="inlineStr"/>
      <c r="J180" t="n">
        <v>1.167523949977818</v>
      </c>
      <c r="K180" t="n">
        <v>0.5054957992050623</v>
      </c>
      <c r="L180" t="n">
        <v>0</v>
      </c>
      <c r="M180" t="n">
        <v>0.3364230823010391</v>
      </c>
      <c r="N180" t="inlineStr">
        <is>
          <t>Insecurity</t>
        </is>
      </c>
      <c r="O180" t="inlineStr"/>
      <c r="P180" t="inlineStr">
        <is>
          <t>IHS</t>
        </is>
      </c>
      <c r="Q180" t="inlineStr">
        <is>
          <t>POWER ISSUE</t>
        </is>
      </c>
      <c r="R180" t="inlineStr">
        <is>
          <t>Defaut GE &amp; Power Cabinet</t>
        </is>
      </c>
      <c r="S180" t="inlineStr">
        <is>
          <t>PASSIVE</t>
        </is>
      </c>
      <c r="T180" t="inlineStr">
        <is>
          <t>(04/29/2026 cell nokia): 
29/04/2026: FME activer|| ETA 17h
28/04/2026 : Power issue || Mail sent to ihs || Feedback HIS :|| Team on the Way ||Please Track the Site From 12AM 
RCA : rectifier faulty // Rectifier replaced..;..;(04/29/2026 cell nokia): 
29/04/2026: FME activer|| ETA 17h
28/04/2026 : Power issue || Mail sent to ihs || Feedback HIS :|| Team on the Way ||Please Track the Site From 12AM 
RCA : rectifier faulty // Rectifier replaced..;..;(04/29/2026 cell nokia): 
29/04/2026: FME activer|| ETA 17h
28/04/2026 : Power issue || Mail sent to ihs || Feedback HIS :|| Team on the Way ||Please Track the Site From 12AM 
RCA : rectifier faulty // Rectifier replaced..;..;(04/29/2026 ticket): INC-20260429-00012993</t>
        </is>
      </c>
      <c r="U180" t="inlineStr">
        <is>
          <t>04/29/2026 cell nokia) : 29/04/2026 : FME activer || ETA 17h 28/04/2026 : Power issue || Mail sent to ihs || Feedback HIS : || Team on the Way || Please Track the Site From 12AM RCA : rectifier faulty // Rectifier replaced.;.;(04/29/2026 cell nokia) : 29/04/2026 : FME activer || ETA 17h 28/04/2026 : Power issue || Mail sent to ihs || Feedback HIS : || Team on the Way || Please Track the Site From 12AM RCA : rectifier faulty // Rectifier replaced.;.;(04/29/2026 cell nokia) : 29/04/2026 : FME activer || ETA 17h 28/04/2026 : Power issue || Mail sent to ihs || Feedback HIS : || Team on the Way || Please Track the Site From 12AM RCA : rectifier faulty // Rectifier replaced.;.; :</t>
        </is>
      </c>
    </row>
    <row r="181">
      <c r="A181" s="96" t="n">
        <v>46141</v>
      </c>
      <c r="B181" t="inlineStr">
        <is>
          <t>Andek</t>
        </is>
      </c>
      <c r="C181" t="inlineStr">
        <is>
          <t>NRO_218</t>
        </is>
      </c>
      <c r="D181" t="inlineStr"/>
      <c r="E181" t="inlineStr">
        <is>
          <t>IHS</t>
        </is>
      </c>
      <c r="F181" t="inlineStr">
        <is>
          <t>solar + Gen</t>
        </is>
      </c>
      <c r="G181" t="inlineStr">
        <is>
          <t>NORD-OUEST</t>
        </is>
      </c>
      <c r="H181" t="inlineStr">
        <is>
          <t>Andek</t>
        </is>
      </c>
      <c r="I181" t="inlineStr"/>
      <c r="J181" t="n">
        <v>0</v>
      </c>
      <c r="K181" t="n">
        <v>0.8837543478482615</v>
      </c>
      <c r="L181" t="n">
        <v>0</v>
      </c>
      <c r="M181" t="n">
        <v>0.2966865278098809</v>
      </c>
      <c r="N181" t="inlineStr">
        <is>
          <t>Insecurity</t>
        </is>
      </c>
      <c r="O181" t="inlineStr"/>
      <c r="P181" t="inlineStr">
        <is>
          <t>BSS</t>
        </is>
      </c>
      <c r="Q181" t="inlineStr">
        <is>
          <t>RAN ISSUE</t>
        </is>
      </c>
      <c r="R181" t="inlineStr">
        <is>
          <t>BSS Hardware issue</t>
        </is>
      </c>
      <c r="S181" t="inlineStr">
        <is>
          <t>ACTIVE</t>
        </is>
      </c>
      <c r="T181" t="inlineStr">
        <is>
          <t>(04/29/2026 cell nokia): 28/04/2026 : Check breaker and  interconnection AREA(sfp, optical fiber) between system and radio module, swap its if needed || Feedback RM : Plan on 30.04.2028..;..;(04/29/2026 cell nokia): 28/04/2026 : Check breaker and  interconnection AREA(sfp, optical fiber) between system and radio module, swap its if needed || Feedback RM : Plan on 30.04.2028..;..;(04/29/2026 cell nokia): 28/04/2026 : Check breaker and  interconnection AREA(sfp, optical fiber) between system and radio module, swap its if needed || Feedback RM : Plan on 30.04.2028..;..;(04/29/2026 ticket): INC-20260429-00010147  ;  No access to site due to road blockage. Intervention is plan as soon as the roads are open   ;  Others Transmission equipement fault</t>
        </is>
      </c>
      <c r="U181" t="inlineStr">
        <is>
          <t>04/29/2026 cell nokia) : 28/04/2026 : Check breaker and interconnection AREA(sfp, optical fiber) between system and radio module, swap its if needed || Feedback RM : Plan on 30.04.2028.;.;(04/29/2026 cell nokia) : 28/04/2026 : Check breaker and interconnection AREA(sfp, optical fiber) between system and radio module, swap its if needed || Feedback RM : Plan on 30.04.2028.;.;(04/29/2026 cell nokia) : 28/04/2026 : Check breaker and interconnection AREA(sfp, optical fiber) between system and radio module, swap its if needed || Feedback RM : Plan on 30.04.2028.;.; : ; No access to site due to road blockage. Intervention is plan as soon as the roads are open ;</t>
        </is>
      </c>
    </row>
    <row r="182">
      <c r="A182" s="96" t="n">
        <v>46141</v>
      </c>
      <c r="B182" t="inlineStr">
        <is>
          <t>LIT_827_Z_Bwang-Bakoko</t>
        </is>
      </c>
      <c r="C182" t="inlineStr">
        <is>
          <t>LIT_827</t>
        </is>
      </c>
      <c r="D182" t="inlineStr"/>
      <c r="E182" t="inlineStr">
        <is>
          <t>ESCO</t>
        </is>
      </c>
      <c r="F182" t="inlineStr">
        <is>
          <t>Good Grid + Solar + GE</t>
        </is>
      </c>
      <c r="G182" t="inlineStr">
        <is>
          <t>LITTORAL</t>
        </is>
      </c>
      <c r="H182" t="inlineStr">
        <is>
          <t>Douala</t>
        </is>
      </c>
      <c r="I182" t="inlineStr"/>
      <c r="J182" t="n">
        <v>0.08792649345147457</v>
      </c>
      <c r="K182" t="n">
        <v>0.08606444505645949</v>
      </c>
      <c r="L182" t="n">
        <v>0.4527781061009009</v>
      </c>
      <c r="M182" t="n">
        <v>0.2775673238536333</v>
      </c>
      <c r="N182" t="inlineStr">
        <is>
          <t>Operationnel</t>
        </is>
      </c>
      <c r="O182" t="inlineStr"/>
      <c r="P182" t="inlineStr">
        <is>
          <t>AKTIVCO</t>
        </is>
      </c>
      <c r="Q182" t="inlineStr">
        <is>
          <t>POWER ISSUE</t>
        </is>
      </c>
      <c r="R182" t="inlineStr">
        <is>
          <t>AKTIVCO Defaut GE &amp; Power Cabinet</t>
        </is>
      </c>
      <c r="S182" t="inlineStr">
        <is>
          <t>PASSIVE</t>
        </is>
      </c>
      <c r="T182" t="inlineStr">
        <is>
          <t>(04/29/2026 ticket): INC-20260429-00014853  ;  2026-04-30 01:28:14  ;  No power issue on site U=53.46V and load=54.16A.
Please find the evidence attached  ;  Grid outage, generator failure   ;  user:OCM_NOC.CAMUSAT</t>
        </is>
      </c>
      <c r="U182" t="inlineStr">
        <is>
          <t>: ; 2026-04-30 01 : 28 : 14 ; No power issue on site U=53.46V and load=54.16A. Please find the evidence attached ; Grid outage, generator failure ; user : OCM_NOC.CAMUSAT</t>
        </is>
      </c>
    </row>
    <row r="183">
      <c r="A183" s="96" t="n">
        <v>46141</v>
      </c>
      <c r="B183" t="inlineStr">
        <is>
          <t>Laising</t>
        </is>
      </c>
      <c r="C183" t="inlineStr">
        <is>
          <t>NRO_044</t>
        </is>
      </c>
      <c r="D183" t="inlineStr"/>
      <c r="E183" t="inlineStr">
        <is>
          <t>IHS</t>
        </is>
      </c>
      <c r="F183" t="inlineStr">
        <is>
          <t>Gen Only</t>
        </is>
      </c>
      <c r="G183" t="inlineStr">
        <is>
          <t>NORD-OUEST</t>
        </is>
      </c>
      <c r="H183" t="inlineStr">
        <is>
          <t>Laising</t>
        </is>
      </c>
      <c r="I183" t="inlineStr"/>
      <c r="J183" t="n">
        <v>0.8886321035614226</v>
      </c>
      <c r="K183" t="n">
        <v>0.4130562100703481</v>
      </c>
      <c r="L183" t="n">
        <v>0</v>
      </c>
      <c r="M183" t="n">
        <v>0.2655643161460252</v>
      </c>
      <c r="N183" t="inlineStr">
        <is>
          <t>Insecurity</t>
        </is>
      </c>
      <c r="O183" t="inlineStr"/>
      <c r="P183" t="inlineStr">
        <is>
          <t>IHS</t>
        </is>
      </c>
      <c r="Q183" t="inlineStr">
        <is>
          <t>POWER ISSUE</t>
        </is>
      </c>
      <c r="R183" t="inlineStr">
        <is>
          <t>Defaut GE &amp; Power Cabinet</t>
        </is>
      </c>
      <c r="S183" t="inlineStr">
        <is>
          <t>PASSIVE</t>
        </is>
      </c>
      <c r="T183" t="inlineStr">
        <is>
          <t>(04/29/2026 ticket): INC-20260429-00012510  ;  GE Fault</t>
        </is>
      </c>
      <c r="U183" t="inlineStr">
        <is>
          <t>: ; GE Fault</t>
        </is>
      </c>
    </row>
    <row r="184">
      <c r="A184" s="96" t="n">
        <v>46141</v>
      </c>
      <c r="B184" t="inlineStr">
        <is>
          <t>Bekondo-IHS</t>
        </is>
      </c>
      <c r="C184" t="inlineStr">
        <is>
          <t>SUO_096</t>
        </is>
      </c>
      <c r="D184" t="inlineStr"/>
      <c r="E184" t="inlineStr">
        <is>
          <t>IHS</t>
        </is>
      </c>
      <c r="F184" t="inlineStr">
        <is>
          <t>Hybrid-Gen</t>
        </is>
      </c>
      <c r="G184" t="inlineStr">
        <is>
          <t>SUD-OUEST</t>
        </is>
      </c>
      <c r="H184" t="inlineStr">
        <is>
          <t>Bekondo</t>
        </is>
      </c>
      <c r="I184" t="inlineStr"/>
      <c r="J184" t="n">
        <v>0.6490823671410701</v>
      </c>
      <c r="K184" t="n">
        <v>0.3131789528443338</v>
      </c>
      <c r="L184" t="n">
        <v>0</v>
      </c>
      <c r="M184" t="n">
        <v>0.1978266886965553</v>
      </c>
      <c r="N184" t="inlineStr">
        <is>
          <t>Insecurity</t>
        </is>
      </c>
      <c r="O184" t="inlineStr"/>
      <c r="P184" t="inlineStr">
        <is>
          <t>BSS</t>
        </is>
      </c>
      <c r="Q184" t="inlineStr">
        <is>
          <t>RAN ISSUE</t>
        </is>
      </c>
      <c r="R184" t="inlineStr">
        <is>
          <t>BSS Hardware issue</t>
        </is>
      </c>
      <c r="S184" t="inlineStr">
        <is>
          <t>ACTIVE</t>
        </is>
      </c>
      <c r="T184" t="inlineStr">
        <is>
          <t>(04/29/2026 hourly IHS): FME is informed and managing..;..;(04/29/2026 cell nokia): 27/04/2026 : Intervention plan for 29/04/2026 || La FXED quitte ce jour pour KOUMA 
24/04/2026 : Cde la FXED en cours 
23/04/2026 : Need BO RAN analysis ||Closed after reset but check and replace FXED ||FME  Andre activer ..;..;(04/29/2026 cell nokia): 29/04/2026 : FME sur un site coupe || Intervention demain sur Bekondo || ETA : 30/04/2026
27/04/2026 : Intervention plan for 29/04/2026 || La FXED quitte ce jour pour KOUMA 
24/04/2026 : Cde la FXED en cours 
23/04/2026 : Need BO RAN analysis ||Closed after reset but check and replace FXED ||FME  Andre activer ..;..;(04/29/2026 cell nokia): 29/04/2026 : FME sur un site coupe || Intervention demain sur Bekondo || ETA : 30/04/2026
27/04/2026 : Intervention plan for 29/04/2026 || La FXED quitte ce jour pour KOUMA 
24/04/2026 : Cde la FXED en cours 
23/04/2026 : Need BO RAN analysis ||Closed after reset but check and replace FXED ||FME  Andre activer ..;..;(04/29/2026 ticket): INC-20260429-00007776  ;  Others Transmission equipement fault</t>
        </is>
      </c>
      <c r="U184" t="inlineStr">
        <is>
          <t>: FME is informed and managing.;.;(04/29/2026 cell nokia) : 27/04/2026 : Intervention plan for 29/04/2026 || La FXED quitte ce jour pour KOUMA 24/04/2026 : Cde la FXED en cours 23/04/2026 : Need BO RAN analysis || Closed after reset but check and replace FXED || .;.;(04/29/2026 cell nokia) : 29/04/2026 : FME sur un site coupe || Intervention demain sur Bekondo || ETA : 30/04/2026 27/04/2026 : Intervention plan for 29/04/2026 || La FXED quitte ce jour pour KOUMA 24/04/2026 : Cde la FXED en cours 23/04/2026 : Need BO RAN analysis || Closed after reset but check and replace FXED || .;.;(04/29/2026 cell nokia) : 29/04/2026 : FME sur un site coupe || Intervention demain sur Bekondo || ETA : 30/04/2026 27/04/2026 : Intervention plan for 29/04/2026 || La FXED quitte ce jour pour KOUMA 24/04/2026 : Cde la FXED en cours 23/04/2026 : Need BO RAN analysis || Closed after reset but check and replace FXED || .;.; : ;</t>
        </is>
      </c>
    </row>
    <row r="185">
      <c r="A185" s="96" t="n">
        <v>46141</v>
      </c>
      <c r="B185" t="inlineStr">
        <is>
          <t>Akongo-IHS</t>
        </is>
      </c>
      <c r="C185" t="inlineStr">
        <is>
          <t>CTR_436</t>
        </is>
      </c>
      <c r="D185" t="inlineStr"/>
      <c r="E185" t="inlineStr">
        <is>
          <t>IHS</t>
        </is>
      </c>
      <c r="F185" t="inlineStr">
        <is>
          <t>Gen Only</t>
        </is>
      </c>
      <c r="G185" t="inlineStr">
        <is>
          <t>CENTRE</t>
        </is>
      </c>
      <c r="H185" t="inlineStr">
        <is>
          <t>Akongo</t>
        </is>
      </c>
      <c r="I185" t="inlineStr"/>
      <c r="J185" t="n">
        <v>0.2345539129287915</v>
      </c>
      <c r="K185" t="n">
        <v>0.4388224173866325</v>
      </c>
      <c r="L185" t="n">
        <v>0</v>
      </c>
      <c r="M185" t="n">
        <v>0.1808120239817596</v>
      </c>
      <c r="N185" t="inlineStr">
        <is>
          <t>EXCLU</t>
        </is>
      </c>
      <c r="O185" t="inlineStr"/>
      <c r="P185" t="inlineStr">
        <is>
          <t>Exclu</t>
        </is>
      </c>
      <c r="Q185" t="inlineStr">
        <is>
          <t>Exclu</t>
        </is>
      </c>
      <c r="R185" t="inlineStr">
        <is>
          <t>EXCLU</t>
        </is>
      </c>
      <c r="S185" t="inlineStr">
        <is>
          <t>Exclu</t>
        </is>
      </c>
      <c r="T185" t="inlineStr">
        <is>
          <t>(04/29/2026 ticket): INC-20260429-00015419</t>
        </is>
      </c>
      <c r="U185" t="inlineStr"/>
    </row>
    <row r="186">
      <c r="A186" s="96" t="n">
        <v>46141</v>
      </c>
      <c r="B186" t="inlineStr">
        <is>
          <t>Kontcha</t>
        </is>
      </c>
      <c r="C186" t="inlineStr">
        <is>
          <t>ADM_130</t>
        </is>
      </c>
      <c r="D186" t="inlineStr"/>
      <c r="E186" t="inlineStr">
        <is>
          <t>CAMUSAT</t>
        </is>
      </c>
      <c r="F186" t="inlineStr">
        <is>
          <t>Hybrid Solar - S3</t>
        </is>
      </c>
      <c r="G186" t="inlineStr">
        <is>
          <t>ADAMAOUA</t>
        </is>
      </c>
      <c r="H186" t="inlineStr">
        <is>
          <t>Kontcha</t>
        </is>
      </c>
      <c r="I186" t="inlineStr"/>
      <c r="J186" t="n">
        <v>1.104326782809571</v>
      </c>
      <c r="K186" t="n">
        <v>0</v>
      </c>
      <c r="L186" t="n">
        <v>0</v>
      </c>
      <c r="M186" t="n">
        <v>0.1576977624824146</v>
      </c>
      <c r="N186" t="inlineStr">
        <is>
          <t>Operationnel</t>
        </is>
      </c>
      <c r="O186" t="inlineStr"/>
      <c r="P186" t="inlineStr">
        <is>
          <t>AKTIVCO</t>
        </is>
      </c>
      <c r="Q186" t="inlineStr">
        <is>
          <t>POWER ISSUE</t>
        </is>
      </c>
      <c r="R186" t="inlineStr">
        <is>
          <t>AKTIVCO Defaut GE &amp; Power Cabinet</t>
        </is>
      </c>
      <c r="S186" t="inlineStr">
        <is>
          <t>PASSIVE</t>
        </is>
      </c>
      <c r="T186" t="inlineStr">
        <is>
          <t>(04/29/2026 ticket): INC-20260429-00009078  ;  	low oil pressure // oil added and GEN manually started  ;  	low oil pressure // oil added and GEN manually started  ;  GE Fault  ;  	low oil pressure // oil added and GEN manually started</t>
        </is>
      </c>
      <c r="U186" t="inlineStr">
        <is>
          <t>: ; low oil pressure // oil added and GEN manually started ; low oil pressure // oil added and GEN manually started ; GE Fault ; low oil pressure // oil added and GEN manually started</t>
        </is>
      </c>
    </row>
    <row r="187">
      <c r="A187" s="96" t="n">
        <v>46141</v>
      </c>
      <c r="B187" t="inlineStr">
        <is>
          <t>Santa-Barbara-Yde-IHS</t>
        </is>
      </c>
      <c r="C187" t="inlineStr">
        <is>
          <t>CTR_163</t>
        </is>
      </c>
      <c r="D187" t="inlineStr"/>
      <c r="E187" t="inlineStr">
        <is>
          <t>IHS</t>
        </is>
      </c>
      <c r="F187" t="inlineStr">
        <is>
          <t>Grid-Gen</t>
        </is>
      </c>
      <c r="G187" t="inlineStr">
        <is>
          <t>CENTRE</t>
        </is>
      </c>
      <c r="H187" t="inlineStr">
        <is>
          <t>Yaounde</t>
        </is>
      </c>
      <c r="I187" t="inlineStr"/>
      <c r="J187" t="n">
        <v>0.06407143627927053</v>
      </c>
      <c r="K187" t="n">
        <v>0.0540824722638738</v>
      </c>
      <c r="L187" t="n">
        <v>0.2084167821269647</v>
      </c>
      <c r="M187" t="n">
        <v>0.135992472170144</v>
      </c>
      <c r="N187" t="inlineStr">
        <is>
          <t>Operationnel</t>
        </is>
      </c>
      <c r="O187" t="inlineStr"/>
      <c r="P187" t="inlineStr">
        <is>
          <t>BSS</t>
        </is>
      </c>
      <c r="Q187" t="inlineStr">
        <is>
          <t>RAN ISSUE</t>
        </is>
      </c>
      <c r="R187" t="inlineStr">
        <is>
          <t>BSS Hardware issue</t>
        </is>
      </c>
      <c r="S187" t="inlineStr">
        <is>
          <t>ACTIVE</t>
        </is>
      </c>
      <c r="T187" t="inlineStr">
        <is>
          <t>04/29/2026: hardware issue,  site with GPS issue (alarm : TDD down 09Apr 02pm)</t>
        </is>
      </c>
      <c r="U187" t="inlineStr">
        <is>
          <t>04/29/2026 : hardware issue, site with GPS issue (alarm : TDD down 09Apr 02pm)</t>
        </is>
      </c>
    </row>
    <row r="188">
      <c r="A188" s="96" t="n">
        <v>46141</v>
      </c>
      <c r="B188" t="inlineStr">
        <is>
          <t>Mbonso</t>
        </is>
      </c>
      <c r="C188" t="inlineStr">
        <is>
          <t>NRO_057</t>
        </is>
      </c>
      <c r="D188" t="inlineStr"/>
      <c r="E188" t="inlineStr">
        <is>
          <t>IHS</t>
        </is>
      </c>
      <c r="F188" t="inlineStr">
        <is>
          <t>Gen Only</t>
        </is>
      </c>
      <c r="G188" t="inlineStr">
        <is>
          <t>NORD-OUEST</t>
        </is>
      </c>
      <c r="H188" t="inlineStr">
        <is>
          <t>Mbonso</t>
        </is>
      </c>
      <c r="I188" t="inlineStr"/>
      <c r="J188" t="n">
        <v>0.3901738146909184</v>
      </c>
      <c r="K188" t="n">
        <v>0.2005514074618087</v>
      </c>
      <c r="L188" t="n">
        <v>0</v>
      </c>
      <c r="M188" t="n">
        <v>0.1230442053117144</v>
      </c>
      <c r="N188" t="inlineStr">
        <is>
          <t>Insecurity</t>
        </is>
      </c>
      <c r="O188" t="inlineStr"/>
      <c r="P188" t="inlineStr">
        <is>
          <t>Fiber AOF</t>
        </is>
      </c>
      <c r="Q188" t="inlineStr">
        <is>
          <t>TX ISSUE</t>
        </is>
      </c>
      <c r="R188" t="inlineStr">
        <is>
          <t>fiber AOF</t>
        </is>
      </c>
      <c r="S188" t="inlineStr">
        <is>
          <t>ACTIVE</t>
        </is>
      </c>
      <c r="T188" t="inlineStr">
        <is>
          <t>(04/29/2026 cell nokia): 
28/04/2026 : Escalade faite au RM || FME donald || Plan for 30//04/2026 
27/04/2026 : Need BO RAN analysis || Closed after reset but check and replace SFP..;..;(04/29/2026 cell nokia): 
28/04/2026 : Escalade faite au RM || FME donald || Plan for 30//04/2026 
27/04/2026 : Need BO RAN analysis || Closed after reset but check and replace SFP..;..;(04/29/2026 ticket): INC-20260429-00009766  ;  Others Transmission equipement fault</t>
        </is>
      </c>
      <c r="U188" t="inlineStr">
        <is>
          <t>04/29/2026 cell nokia) : 28/04/2026 : Escalade faite au RM || FME donald || Plan for 30//04/2026 27/04/2026 : Need BO RAN analysis || Closed after reset but check and replace SFP.;.;(04/29/2026 cell nokia) : 28/04/2026 : Escalade faite au RM || FME donald || Plan for 30//04/2026 27/04/2026 : Need BO RAN analysis || Closed after reset but check and replace SFP.;.; : ;</t>
        </is>
      </c>
    </row>
    <row r="189">
      <c r="A189" s="96" t="n">
        <v>46141</v>
      </c>
      <c r="B189" t="inlineStr">
        <is>
          <t>Hikoa-Malep-Camrail</t>
        </is>
      </c>
      <c r="C189" t="inlineStr">
        <is>
          <t>LIT_402</t>
        </is>
      </c>
      <c r="D189" t="inlineStr"/>
      <c r="E189" t="inlineStr">
        <is>
          <t>CAMUSAT</t>
        </is>
      </c>
      <c r="F189" t="inlineStr">
        <is>
          <t>Hybrid Solar - S3</t>
        </is>
      </c>
      <c r="G189" t="inlineStr">
        <is>
          <t>LITTORAL</t>
        </is>
      </c>
      <c r="H189" t="inlineStr">
        <is>
          <t>Messondo</t>
        </is>
      </c>
      <c r="I189" t="inlineStr"/>
      <c r="J189" t="n">
        <v>0.3739373883433449</v>
      </c>
      <c r="K189" t="n">
        <v>0.1997545144520266</v>
      </c>
      <c r="L189" t="n">
        <v>0</v>
      </c>
      <c r="M189" t="n">
        <v>0.120458118955692</v>
      </c>
      <c r="N189" t="inlineStr">
        <is>
          <t>Operationnel</t>
        </is>
      </c>
      <c r="O189" t="inlineStr"/>
      <c r="P189" t="inlineStr">
        <is>
          <t>AKTIVCO</t>
        </is>
      </c>
      <c r="Q189" t="inlineStr">
        <is>
          <t>POWER ISSUE</t>
        </is>
      </c>
      <c r="R189" t="inlineStr">
        <is>
          <t>AKTIVCO Defaut GE &amp; Power Cabinet</t>
        </is>
      </c>
      <c r="S189" t="inlineStr">
        <is>
          <t>PASSIVE</t>
        </is>
      </c>
      <c r="T189" t="inlineStr">
        <is>
          <t>(04/29/2026 ticket): INC-20260429-00011175  ;  power issue here the power guy are taken point   ;  Others Transmission equipement fault</t>
        </is>
      </c>
      <c r="U189" t="inlineStr">
        <is>
          <t>: ; power issue here the power guy are taken point ;</t>
        </is>
      </c>
    </row>
    <row r="190">
      <c r="A190" s="96" t="n">
        <v>46141</v>
      </c>
      <c r="B190" t="inlineStr">
        <is>
          <t>Mini_SS_AFD</t>
        </is>
      </c>
      <c r="C190" t="inlineStr">
        <is>
          <t>CTR_737</t>
        </is>
      </c>
      <c r="D190" t="inlineStr"/>
      <c r="E190" t="inlineStr">
        <is>
          <t>CAMUSAT</t>
        </is>
      </c>
      <c r="F190" t="inlineStr">
        <is>
          <t>Good Grid no GE - 8h</t>
        </is>
      </c>
      <c r="G190" t="inlineStr">
        <is>
          <t>CENTRE</t>
        </is>
      </c>
      <c r="H190" t="inlineStr">
        <is>
          <t>Yaounde</t>
        </is>
      </c>
      <c r="I190" t="inlineStr"/>
      <c r="J190" t="n">
        <v>0</v>
      </c>
      <c r="K190" t="n">
        <v>0.1120962833760043</v>
      </c>
      <c r="L190" t="n">
        <v>0.1001727526829472</v>
      </c>
      <c r="M190" t="n">
        <v>0.08987095964135805</v>
      </c>
      <c r="N190" t="inlineStr">
        <is>
          <t>Operationnel</t>
        </is>
      </c>
      <c r="O190" t="inlineStr"/>
      <c r="P190" t="inlineStr">
        <is>
          <t>AKTIVCO GRID ONLY</t>
        </is>
      </c>
      <c r="Q190" t="inlineStr">
        <is>
          <t>POWER ISSUE</t>
        </is>
      </c>
      <c r="R190" t="inlineStr">
        <is>
          <t>AKTIVCO Coupure ENEO &amp; Baisse de tension</t>
        </is>
      </c>
      <c r="S190" t="inlineStr">
        <is>
          <t>PASSIVE</t>
        </is>
      </c>
      <c r="T190" t="inlineStr">
        <is>
          <t>(04/29/2026 ticket): INC-20260429-00011174  ;  2026-04-29 21:29:46  ;  Camusat: grid outage grid only site/ awaiting grid return  ;  grid outage grid only site/ awaiting grid return  ;  Coupure Secteur  ;  grid outage grid only site/ awaiting grid return  ;  user:OCM_NOC.CAMUSAT</t>
        </is>
      </c>
      <c r="U190" t="inlineStr">
        <is>
          <t>: ; 2026-04-29 21 : 29 : 46 ; Camusat : grid outage grid only site/ awaiting grid return ; grid outage grid only site/ awaiting grid return ; Coupure Secteur ; grid outage grid only site/ awaiting grid return ; user : OCM_NOC.CAMUSAT</t>
        </is>
      </c>
    </row>
    <row r="191">
      <c r="A191" s="96" t="n">
        <v>46141</v>
      </c>
      <c r="B191" t="inlineStr">
        <is>
          <t>Bastos-Bir-IHS</t>
        </is>
      </c>
      <c r="C191" t="inlineStr">
        <is>
          <t>CTR_640</t>
        </is>
      </c>
      <c r="D191" t="inlineStr"/>
      <c r="E191" t="inlineStr">
        <is>
          <t>IHS</t>
        </is>
      </c>
      <c r="F191" t="inlineStr">
        <is>
          <t>Grid-Gen</t>
        </is>
      </c>
      <c r="G191" t="inlineStr">
        <is>
          <t>CENTRE</t>
        </is>
      </c>
      <c r="H191" t="inlineStr">
        <is>
          <t>Yaounde</t>
        </is>
      </c>
      <c r="I191" t="inlineStr"/>
      <c r="J191" t="n">
        <v>0</v>
      </c>
      <c r="K191" t="n">
        <v>0.1402531697216342</v>
      </c>
      <c r="L191" t="n">
        <v>0</v>
      </c>
      <c r="M191" t="n">
        <v>0.04708460675792468</v>
      </c>
      <c r="N191" t="inlineStr">
        <is>
          <t>Operationnel</t>
        </is>
      </c>
      <c r="O191" t="inlineStr"/>
      <c r="P191" t="inlineStr">
        <is>
          <t>BSS</t>
        </is>
      </c>
      <c r="Q191" t="inlineStr">
        <is>
          <t>RAN ISSUE</t>
        </is>
      </c>
      <c r="R191" t="inlineStr">
        <is>
          <t>BSS Hardware issue</t>
        </is>
      </c>
      <c r="S191" t="inlineStr">
        <is>
          <t>ACTIVE</t>
        </is>
      </c>
      <c r="T191" t="inlineStr">
        <is>
          <t>04/29/2026: hardware issue,  site with GPS issue (alarm : TDD down 09Apr 02pm)</t>
        </is>
      </c>
      <c r="U191" t="inlineStr">
        <is>
          <t>04/29/2026 : hardware issue, site with GPS issue (alarm : TDD down 09Apr 02pm)</t>
        </is>
      </c>
    </row>
    <row r="192">
      <c r="A192" s="96" t="n">
        <v>46141</v>
      </c>
      <c r="B192" t="inlineStr">
        <is>
          <t>Gamoko-Hill-IHS</t>
        </is>
      </c>
      <c r="C192" t="inlineStr">
        <is>
          <t>SUO_097</t>
        </is>
      </c>
      <c r="D192" t="inlineStr"/>
      <c r="E192" t="inlineStr">
        <is>
          <t>IHS</t>
        </is>
      </c>
      <c r="F192" t="inlineStr">
        <is>
          <t>Gen Only</t>
        </is>
      </c>
      <c r="G192" t="inlineStr">
        <is>
          <t>SUD-OUEST</t>
        </is>
      </c>
      <c r="H192" t="inlineStr">
        <is>
          <t>Gamoko</t>
        </is>
      </c>
      <c r="I192" t="inlineStr"/>
      <c r="J192" t="n">
        <v>0.07094069358016698</v>
      </c>
      <c r="K192" t="n">
        <v>0.06428270278908273</v>
      </c>
      <c r="L192" t="n">
        <v>0</v>
      </c>
      <c r="M192" t="n">
        <v>0.03171076924832982</v>
      </c>
      <c r="N192" t="inlineStr">
        <is>
          <t>Insecurity</t>
        </is>
      </c>
      <c r="O192" t="inlineStr"/>
      <c r="P192" t="inlineStr">
        <is>
          <t>BSS</t>
        </is>
      </c>
      <c r="Q192" t="inlineStr">
        <is>
          <t>RAN ISSUE</t>
        </is>
      </c>
      <c r="R192" t="inlineStr">
        <is>
          <t>BSS Hardware issue</t>
        </is>
      </c>
      <c r="S192" t="inlineStr">
        <is>
          <t>ACTIVE</t>
        </is>
      </c>
      <c r="T192" t="inlineStr">
        <is>
          <t xml:space="preserve">(04/29/2026 cell nokia):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..;..;(04/29/2026 cell nokia):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..;..;(04/29/2026 cell nokia):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t>
        </is>
      </c>
      <c r="U192" t="inlineStr">
        <is>
          <t>04/29/2026 cell nokia) :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.;.;(04/29/2026 cell nokia) :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.;.;(04/29/2026 cell nokia) :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t>
        </is>
      </c>
    </row>
    <row r="193">
      <c r="A193" s="96" t="n">
        <v>46141</v>
      </c>
      <c r="B193" t="inlineStr">
        <is>
          <t>Baikwa-Bere</t>
        </is>
      </c>
      <c r="C193" t="inlineStr">
        <is>
          <t>NRD_056</t>
        </is>
      </c>
      <c r="D193" t="inlineStr"/>
      <c r="E193" t="inlineStr">
        <is>
          <t>IHS</t>
        </is>
      </c>
      <c r="F193" t="inlineStr">
        <is>
          <t>Solar-Gen</t>
        </is>
      </c>
      <c r="G193" t="inlineStr">
        <is>
          <t>NORD</t>
        </is>
      </c>
      <c r="H193" t="inlineStr">
        <is>
          <t>Baikwa-Bere</t>
        </is>
      </c>
      <c r="I193" t="inlineStr"/>
      <c r="J193" t="n">
        <v>0.1353868166213046</v>
      </c>
      <c r="K193" t="n">
        <v>0</v>
      </c>
      <c r="L193" t="n">
        <v>0</v>
      </c>
      <c r="M193" t="n">
        <v>0.01933322489605716</v>
      </c>
      <c r="N193" t="inlineStr">
        <is>
          <t>Operationnel</t>
        </is>
      </c>
      <c r="O193" t="inlineStr"/>
      <c r="P193" t="inlineStr">
        <is>
          <t>PDH</t>
        </is>
      </c>
      <c r="Q193" t="inlineStr">
        <is>
          <t>TX ISSUE</t>
        </is>
      </c>
      <c r="R193" t="inlineStr">
        <is>
          <t>MPR ISSUE</t>
        </is>
      </c>
      <c r="S193" t="inlineStr">
        <is>
          <t>ACTIVE</t>
        </is>
      </c>
      <c r="T193" t="inlineStr">
        <is>
          <t xml:space="preserve">(04/29/2026 ocm ran 00h): 28.04.2026: FME Seydou is currently at Basheo will be on the site at 16H
27/04/2026 Besoin d'un fme sur site pour verifier l'interco entre le MPR et la BTS S1P1 FME seydou bachirou activé manage avec le levle 0 ..;..;(04/29/2026 com ran 17h): 29/04/2026 FME activé pour intervention ETA 16h
28.04.2026: FME Seydou is currently at Basheo will be on the site at 16H
27/04/2026 Besoin d'un fme sur site pour verifier l'interco entre le MPR et la BTS S1P1 FME seydou bachirou activé manage avec le levle 0 ..;..;(04/29/2026 com ran 18h): 29/04/2026 FME sur site intervention en cours 
29/04/2026 FME activé pour intervention ETA 16h
28.04.2026: FME Seydou is currently at Basheo will be on the site at 16H
27/04/2026 Besoin d'un fme sur site pour verifier l'interco entre le MPR et la BTS S1P1 FME seydou bachirou activé manage avec le levle 0 </t>
        </is>
      </c>
      <c r="U193" t="inlineStr">
        <is>
          <t>: 28.04.2026 : FME Seydou is currently at Basheo will be on the site at 16H 27/04/2026 Besoin d'un fme sur site pour verifier l'interco entre le MPR et la BTS S1P1 FME seydou bachirou activé manage avec le levle 0 .;.;(04/29/2026 com ran 17h) : 29/04/2026 FME activé pour intervention ETA 16h 28.04.2026 : FME Seydou is currently at Basheo will be on the site at 16H 27/04/2026 Besoin d'un fme sur site pour verifier l'interco entre le MPR et la BTS S1P1 FME seydou bachirou activé manage avec le levle 0 .;.;(04/29/2026 com ran 18h) : 29/04/2026 FME sur site intervention en cours 29/04/2026 FME activé pour intervention ETA 16h 28.04.2026 : FME Seydou is currently at Basheo will be on the site at 16H 27/04/2026 Besoin d'un fme sur site pour verifier l'interco entre le MPR et la BTS S1P1 FME seydou bachirou activé manage avec le levle 0</t>
        </is>
      </c>
    </row>
    <row r="194">
      <c r="A194" s="96" t="n">
        <v>46141</v>
      </c>
      <c r="B194" t="inlineStr">
        <is>
          <t>Djottin</t>
        </is>
      </c>
      <c r="C194" t="inlineStr">
        <is>
          <t>NRO_098</t>
        </is>
      </c>
      <c r="D194" t="inlineStr"/>
      <c r="E194" t="inlineStr">
        <is>
          <t>IHS</t>
        </is>
      </c>
      <c r="F194" t="inlineStr">
        <is>
          <t>Gen Only</t>
        </is>
      </c>
      <c r="G194" t="inlineStr">
        <is>
          <t>NORD-OUEST</t>
        </is>
      </c>
      <c r="H194" t="inlineStr">
        <is>
          <t>Djottin</t>
        </is>
      </c>
      <c r="I194" t="inlineStr"/>
      <c r="J194" t="n">
        <v>0</v>
      </c>
      <c r="K194" t="n">
        <v>0.004515727055431989</v>
      </c>
      <c r="L194" t="n">
        <v>0</v>
      </c>
      <c r="M194" t="n">
        <v>0.001515981656978832</v>
      </c>
      <c r="N194" t="inlineStr">
        <is>
          <t>Insecurity</t>
        </is>
      </c>
      <c r="O194" t="inlineStr"/>
      <c r="P194" t="inlineStr">
        <is>
          <t>ACCESS-ISSUE</t>
        </is>
      </c>
      <c r="Q194" t="inlineStr">
        <is>
          <t>ACCESS-ISSUE</t>
        </is>
      </c>
      <c r="R194" t="inlineStr">
        <is>
          <t>ACCESS-ISSUE</t>
        </is>
      </c>
      <c r="S194" t="inlineStr">
        <is>
          <t>ACCESS-ISSUE</t>
        </is>
      </c>
      <c r="T194" t="inlineStr">
        <is>
          <t>(04/29/2026 cell nokia): 28/04/2026 : Escalade faite au RM || Plan for 30/04/2026  || FME donald || Feedback RM : Road blocked No traffic if we can Go as planned on 30.04.2027
23/04/2026 : Check breaker and  interconnection AREA(sfp, optical fiber) between system and radio module, swap its if needed|| ETA : 24/04/2026 || UP After remote reset..;..;(04/29/2026 cell nokia): 28/04/2026 : Escalade faite au RM || Plan for 30/04/2026  || FME donald || Feedback RM : Road blocked No traffic if we can Go as planned on 30.04.2027
23/04/2026 : Check breaker and  interconnection AREA(sfp, optical fiber) between system and radio module, swap its if needed|| ETA : 24/04/2026 || UP After remote reset..;..;(04/29/2026 cell nokia): 28/04/2026 : Escalade faite au RM || Plan for 30/04/2026  || FME donald || Feedback RM : Road blocked No traffic if we can Go as planned on 30.04.2027
23/04/2026 : Check breaker and  interconnection AREA(sfp, optical fiber) between system and radio module, swap its if needed|| ETA : 24/04/2026 || UP After remote reset</t>
        </is>
      </c>
      <c r="U194" t="inlineStr">
        <is>
          <t>04/29/2026 cell nokia) : 28/04/2026 : Escalade faite au RM || Plan for 30/04/2026 || FME donald || Feedback RM : Road blocked No traffic if we can Go as planned on 30.04.2027 23/04/2026 : Check breaker and interconnection AREA(sfp, optical fiber) between system and radio module, swap its if needed || ETA : 24/04/2026 || UP After remote reset.;.;(04/29/2026 cell nokia) : 28/04/2026 : Escalade faite au RM || Plan for 30/04/2026 || FME donald || Feedback RM : Road blocked No traffic if we can Go as planned on 30.04.2027 23/04/2026 : Check breaker and interconnection AREA(sfp, optical fiber) between system and radio module, swap its if needed || ETA : 24/04/2026 || UP After remote reset.;.;(04/29/2026 cell nokia) : 28/04/2026 : Escalade faite au RM || Plan for 30/04/2026 || FME donald || Feedback RM : Road blocked No traffic if we can Go as planned on 30.04.2027 23/04/2026 : Check breaker and interconnection AREA(sfp, optical fiber) between system and radio module, swap its if needed || ETA : 24/04/2026 || UP After remote reset</t>
        </is>
      </c>
    </row>
    <row r="195">
      <c r="A195" s="96" t="n">
        <v>46141</v>
      </c>
      <c r="B195" t="inlineStr">
        <is>
          <t>Sop-MTN</t>
        </is>
      </c>
      <c r="C195" t="inlineStr">
        <is>
          <t>NRO_258</t>
        </is>
      </c>
      <c r="D195" t="inlineStr"/>
      <c r="E195" t="inlineStr">
        <is>
          <t>IHS</t>
        </is>
      </c>
      <c r="F195" t="inlineStr">
        <is>
          <t>Grid-Gen</t>
        </is>
      </c>
      <c r="G195" t="inlineStr">
        <is>
          <t>NORD-OUEST</t>
        </is>
      </c>
      <c r="H195" t="inlineStr">
        <is>
          <t>Sop</t>
        </is>
      </c>
      <c r="I195" t="inlineStr"/>
      <c r="J195" t="n">
        <v>0</v>
      </c>
      <c r="K195" t="n">
        <v>0.003187572039128582</v>
      </c>
      <c r="L195" t="n">
        <v>0</v>
      </c>
      <c r="M195" t="n">
        <v>0.001070104699043922</v>
      </c>
      <c r="N195" t="inlineStr">
        <is>
          <t>Insecurity</t>
        </is>
      </c>
      <c r="O195" t="inlineStr"/>
      <c r="P195" t="inlineStr">
        <is>
          <t>BSS</t>
        </is>
      </c>
      <c r="Q195" t="inlineStr">
        <is>
          <t>RAN ISSUE</t>
        </is>
      </c>
      <c r="R195" t="inlineStr">
        <is>
          <t>BSS Hardware issue</t>
        </is>
      </c>
      <c r="S195" t="inlineStr">
        <is>
          <t>ACTIVE</t>
        </is>
      </c>
      <c r="T195" t="inlineStr">
        <is>
          <t>(04/29/2026 cell nokia): 29/04/2026 : Intervention ce jour 
28/04/2026 : Escalade faite au RM|| FME Donald 
27/04/2026 : Need BO RAN analysis || Check and clean jumper, port 4 of ARGA..;..;(04/29/2026 cell nokia): 29/04/2026 : Intervention ce jour 
28/04/2026 : Escalade faite au RM|| FME Donald 
27/04/2026 : Need BO RAN analysis || Check and clean jumper, port 4 of ARGA..;..;(04/29/2026 cell nokia): 29/04/2026 : Escalade faite au RM : en attente de son feedback 
28/04/2026 : Escalade faite au RM|| FME Donald 
27/04/2026 : Need BO RAN analysis || Check and clean jumper, port 4 of ARGA</t>
        </is>
      </c>
      <c r="U195" t="inlineStr">
        <is>
          <t>04/29/2026 cell nokia) : 29/04/2026 : Intervention ce jour 28/04/2026 : Escalade faite au RM || FME Donald 27/04/2026 : Need BO RAN analysis || Check and clean jumper, port 4 of ARGA.;.;(04/29/2026 cell nokia) : 29/04/2026 : Intervention ce jour 28/04/2026 : Escalade faite au RM || FME Donald 27/04/2026 : Need BO RAN analysis || Check and clean jumper, port 4 of ARGA.;.;(04/29/2026 cell nokia) : 29/04/2026 : Escalade faite au RM : en attente de son feedback 28/04/2026 : Escalade faite au RM || FME Donald 27/04/2026 : Need BO RAN analysis || Check and clean jumper, port 4 of ARGA</t>
        </is>
      </c>
    </row>
    <row r="196">
      <c r="A196" s="96" t="n">
        <v>46141</v>
      </c>
      <c r="B196" t="inlineStr">
        <is>
          <t>Mobil-Kondengui</t>
        </is>
      </c>
      <c r="C196" t="inlineStr">
        <is>
          <t>CTR_125</t>
        </is>
      </c>
      <c r="D196" t="inlineStr"/>
      <c r="E196" t="inlineStr">
        <is>
          <t>IHS</t>
        </is>
      </c>
      <c r="F196" t="inlineStr">
        <is>
          <t>GridOnly</t>
        </is>
      </c>
      <c r="G196" t="inlineStr">
        <is>
          <t>CENTRE</t>
        </is>
      </c>
      <c r="H196" t="inlineStr">
        <is>
          <t>Yaounde</t>
        </is>
      </c>
      <c r="I196" t="inlineStr"/>
      <c r="J196" t="n">
        <v>0</v>
      </c>
      <c r="K196" t="n">
        <v>0</v>
      </c>
      <c r="L196" t="n">
        <v>0</v>
      </c>
      <c r="M196" t="n">
        <v>0</v>
      </c>
      <c r="N196" t="inlineStr">
        <is>
          <t>Operationnel</t>
        </is>
      </c>
      <c r="O196" t="inlineStr"/>
      <c r="P196" t="inlineStr">
        <is>
          <t>BSS</t>
        </is>
      </c>
      <c r="Q196" t="inlineStr">
        <is>
          <t>RAN ISSUE</t>
        </is>
      </c>
      <c r="R196" t="inlineStr">
        <is>
          <t>BSS Hardware issue</t>
        </is>
      </c>
      <c r="S196" t="inlineStr">
        <is>
          <t>ACTIVE</t>
        </is>
      </c>
      <c r="T196" t="inlineStr">
        <is>
          <t>04/29/2026: hardware issue,  site with GPS issue (alarm : TDD down 09Apr 02pm)</t>
        </is>
      </c>
      <c r="U196" t="inlineStr">
        <is>
          <t>04/29/2026 : hardware issue, site with GPS issue (alarm : TDD down 09Apr 02pm)</t>
        </is>
      </c>
    </row>
    <row r="197">
      <c r="A197" s="96" t="n">
        <v>46141</v>
      </c>
      <c r="B197" t="inlineStr">
        <is>
          <t>Omeng</t>
        </is>
      </c>
      <c r="C197" t="inlineStr">
        <is>
          <t>LIT_136</t>
        </is>
      </c>
      <c r="D197" t="inlineStr"/>
      <c r="E197" t="inlineStr">
        <is>
          <t>IHS</t>
        </is>
      </c>
      <c r="F197" t="inlineStr">
        <is>
          <t>Grid-Gen</t>
        </is>
      </c>
      <c r="G197" t="inlineStr">
        <is>
          <t>LITTORAL</t>
        </is>
      </c>
      <c r="H197" t="inlineStr">
        <is>
          <t>Omeng</t>
        </is>
      </c>
      <c r="I197" t="inlineStr"/>
      <c r="J197" t="n">
        <v>0</v>
      </c>
      <c r="K197" t="n">
        <v>0</v>
      </c>
      <c r="L197" t="n">
        <v>0</v>
      </c>
      <c r="M197" t="n">
        <v>0</v>
      </c>
      <c r="N197" t="inlineStr">
        <is>
          <t>Operationnel</t>
        </is>
      </c>
      <c r="O197" t="inlineStr"/>
      <c r="P197" t="inlineStr">
        <is>
          <t>BSS</t>
        </is>
      </c>
      <c r="Q197" t="inlineStr">
        <is>
          <t>RAN ISSUE</t>
        </is>
      </c>
      <c r="R197" t="inlineStr">
        <is>
          <t>BSS Hardware issue</t>
        </is>
      </c>
      <c r="S197" t="inlineStr">
        <is>
          <t>ACTIVE</t>
        </is>
      </c>
      <c r="T197" t="inlineStr">
        <is>
          <t xml:space="preserve">(04/29/2026 cell nokia): 2902026 :Feedback FME :  La FPFC calibrage petit on va remplacer par la FPFH || Cde passer 
28/04/2026 : Check breaker and  interconnection FRGU(sfp, optical fiber) between system and radio module, swap its if needed || ..;..;(04/29/2026 cell nokia): 2902026 :Feedback FME :  La FPFC calibrage petit on va remplacer par la FPFH || Cde passer 
28/04/2026 : Check breaker and  interconnection FRGU(sfp, optical fiber) between system and radio module, swap its if needed || ..;..;(04/29/2026 cell nokia): 2902026 :Feedback FME :  La FPFC calibrage petit on va remplacer par la FPFH || Cde passer 
28/04/2026 : Check breaker and  interconnection FRGU(sfp, optical fiber) between system and radio module, swap its if needed || </t>
        </is>
      </c>
      <c r="U197" t="inlineStr">
        <is>
          <t>04/29/2026 cell nokia) : 2902026 : Feedback FME : La FPFC calibrage petit on va remplacer par la FPFH || Cde passer 28/04/2026 : Check breaker and interconnection FRGU(sfp, optical fiber) between system and radio module, swap its if needed || .;.;(04/29/2026 cell nokia) : 2902026 : Feedback FME : La FPFC calibrage petit on va remplacer par la FPFH || Cde passer 28/04/2026 : Check breaker and interconnection FRGU(sfp, optical fiber) between system and radio module, swap its if needed || .;.;(04/29/2026 cell nokia) : 2902026 : Feedback FME : La FPFC calibrage petit on va remplacer par la FPFH || Cde passer 28/04/2026 : Check breaker and interconnection FRGU(sfp, optical fiber) between system and radio module, swap its if needed ||</t>
        </is>
      </c>
    </row>
    <row r="198">
      <c r="A198" s="96" t="n">
        <v>46141</v>
      </c>
      <c r="B198" t="inlineStr">
        <is>
          <t>LAF-CAMTEL</t>
        </is>
      </c>
      <c r="C198" t="inlineStr">
        <is>
          <t>EXN_107</t>
        </is>
      </c>
      <c r="D198" t="inlineStr"/>
      <c r="E198" t="inlineStr">
        <is>
          <t>CAMUSAT</t>
        </is>
      </c>
      <c r="F198" t="inlineStr">
        <is>
          <t>Bad Grid + Solar + GE</t>
        </is>
      </c>
      <c r="G198" t="inlineStr">
        <is>
          <t>EXTREME-NORD</t>
        </is>
      </c>
      <c r="H198" t="inlineStr">
        <is>
          <t>Laf</t>
        </is>
      </c>
      <c r="I198" t="inlineStr"/>
      <c r="J198" t="n">
        <v>0</v>
      </c>
      <c r="K198" t="n">
        <v>0</v>
      </c>
      <c r="L198" t="n">
        <v>0</v>
      </c>
      <c r="M198" t="n">
        <v>0</v>
      </c>
      <c r="N198" t="inlineStr">
        <is>
          <t>Insecurity</t>
        </is>
      </c>
      <c r="O198" t="inlineStr"/>
      <c r="P198" t="inlineStr">
        <is>
          <t>ACCESS-ISSUE</t>
        </is>
      </c>
      <c r="Q198" t="inlineStr">
        <is>
          <t>ACCESS-ISSUE</t>
        </is>
      </c>
      <c r="R198" t="inlineStr">
        <is>
          <t>ACCESS-ISSUE</t>
        </is>
      </c>
      <c r="S198" t="inlineStr">
        <is>
          <t>ACCESS-ISSUE</t>
        </is>
      </c>
      <c r="T198" t="inlineStr">
        <is>
          <t xml:space="preserve">(04/29/2026 cell nokia): 29/04/2026 : Negociation d'access en cours 
28/04/2026 : Access issue 
27/04/2026 : Access issue || Negociation en cours 
23/04/2026 : Intervention ce jour || Acees issue || Negociation en cours 
22/04/2026 :  Fibre pas recue || ETD: Ce soir || Intervention demain 23/04/2026 
21/04/2026 : Expedition F.O Ce jour de Garoua 
20/04/2026 : Check and clean FRGU ant 1 || FME Eli ACTIVER pour investigation || Investigation en cours avec le level 0 || Investigation non aboutti FME ira sur site demain || ETA: 21042026 ..;..;(04/29/2026 cell nokia): 29/04/2026 : Negociation d'access en cours 
28/04/2026 : Access issue 
27/04/2026 : Access issue || Negociation en cours 
23/04/2026 : Intervention ce jour || Acees issue || Negociation en cours 
22/04/2026 :  Fibre pas recue || ETD: Ce soir || Intervention demain 23/04/2026 
21/04/2026 : Expedition F.O Ce jour de Garoua 
20/04/2026 : Check and clean FRGU ant 1 || FME Eli ACTIVER pour investigation || Investigation en cours avec le level 0 || Investigation non aboutti FME ira sur site demain || ETA: 21042026 ..;..;(04/29/2026 cell nokia): 29/04/2026 : Negociation d'access en cours 
28/04/2026 : Access issue 
27/04/2026 : Access issue || Negociation en cours 
23/04/2026 : Intervention ce jour || Acees issue || Negociation en cours 
22/04/2026 :  Fibre pas recue || ETD: Ce soir || Intervention demain 23/04/2026 
21/04/2026 : Expedition F.O Ce jour de Garoua 
20/04/2026 : Check and clean FRGU ant 1 || FME Eli ACTIVER pour investigation || Investigation en cours avec le level 0 || Investigation non aboutti FME ira sur site demain || ETA: 21042026 </t>
        </is>
      </c>
      <c r="U198" t="inlineStr">
        <is>
          <t>04/29/2026 cell nokia) : 29/04/2026 : Negociation d'access en cours 28/04/2026 : Access issue 27/04/2026 : Access issue || Negociation en cours 23/04/2026 : Intervention ce jour || Acees issue || Negociation en cours 22/04/2026 : Fibre pas recue || ETD : Ce soir || Intervention demain 23/04/2026 21/04/2026 : Expedition F.O Ce jour de Garoua 20/04/2026 : Check and clean FRGU ant 1 || pour investigation || Investigation en cours avec le level 0 || Investigation non aboutti FME ira sur site demain || ETA : 21042026 .;.;(04/29/2026 cell nokia) : 29/04/2026 : Negociation d'access en cours 28/04/2026 : Access issue 27/04/2026 : Access issue || Negociation en cours 23/04/2026 : Intervention ce jour || Acees issue || Negociation en cours 22/04/2026 : Fibre pas recue || ETD : Ce soir || Intervention demain 23/04/2026 21/04/2026 : Expedition F.O Ce jour de Garoua 20/04/2026 : Check and clean FRGU ant 1 || pour investigation || Investigation en cours avec le level 0 || Investigation non aboutti FME ira sur site demain || ETA : 21042026 .;.;(04/29/2026 cell nokia) : 29/04/2026 : Negociation d'access en cours 28/04/2026 : Access issue 27/04/2026 : Access issue || Negociation en cours 23/04/2026 : Intervention ce jour || Acees issue || Negociation en cours 22/04/2026 : Fibre pas recue || ETD : Ce soir || Intervention demain 23/04/2026 21/04/2026 : Expedition F.O Ce jour de Garoua 20/04/2026 : Check and clean FRGU ant 1 || pour investigation || Investigation en cours avec le level 0 || Investigation non aboutti FME ira sur site demain || ETA : 21042026</t>
        </is>
      </c>
    </row>
    <row r="199">
      <c r="A199" s="96" t="n">
        <v>46141</v>
      </c>
      <c r="B199" t="inlineStr">
        <is>
          <t>Mbakong-MTN</t>
        </is>
      </c>
      <c r="C199" t="inlineStr">
        <is>
          <t>NRO_255</t>
        </is>
      </c>
      <c r="D199" t="inlineStr"/>
      <c r="E199" t="inlineStr">
        <is>
          <t>IHS</t>
        </is>
      </c>
      <c r="F199" t="inlineStr">
        <is>
          <t>Hybrid-Gen</t>
        </is>
      </c>
      <c r="G199" t="inlineStr">
        <is>
          <t>NORD-OUEST</t>
        </is>
      </c>
      <c r="H199" t="inlineStr">
        <is>
          <t>Mbakong</t>
        </is>
      </c>
      <c r="I199" t="inlineStr"/>
      <c r="J199" t="n">
        <v>0</v>
      </c>
      <c r="K199" t="n">
        <v>0</v>
      </c>
      <c r="L199" t="n">
        <v>0</v>
      </c>
      <c r="M199" t="n">
        <v>0</v>
      </c>
      <c r="N199" t="inlineStr">
        <is>
          <t>Insecurity</t>
        </is>
      </c>
      <c r="O199" t="inlineStr"/>
      <c r="P199" t="inlineStr">
        <is>
          <t>BSS</t>
        </is>
      </c>
      <c r="Q199" t="inlineStr">
        <is>
          <t>RAN ISSUE</t>
        </is>
      </c>
      <c r="R199" t="inlineStr">
        <is>
          <t>BSS Hardware issue</t>
        </is>
      </c>
      <c r="S199" t="inlineStr">
        <is>
          <t>ACTIVE</t>
        </is>
      </c>
      <c r="T199" t="inlineStr">
        <is>
          <t>(04/29/2026 cell nokia): 28/04/2026 : En attente d'analyse BO RAN || FME should check and replace FRGU if needed 
27/04/2027 : Need BO RAN analysis..;..;(04/29/2026 cell nokia): 28/04/2026 : En attente d'analyse BO RAN || FME should check and replace FRGU if needed 
27/04/2027 : Need BO RAN analysis..;..;(04/29/2026 cell nokia): 29/04/2026 : Escalade faite au RM : en attente de son feedback 
28/04/2026 : En attente d'analyse BO RAN || FME should check and replace FRGU if needed 
27/04/2027 : Need BO RAN analysis</t>
        </is>
      </c>
      <c r="U199" t="inlineStr">
        <is>
          <t>04/29/2026 cell nokia) : 28/04/2026 : En attente d'analyse BO RAN || FME should check and replace FRGU if needed 27/04/2027 : Need BO RAN analysis.;.;(04/29/2026 cell nokia) : 28/04/2026 : En attente d'analyse BO RAN || FME should check and replace FRGU if needed 27/04/2027 : Need BO RAN analysis.;.;(04/29/2026 cell nokia) : 29/04/2026 : Escalade faite au RM : en attente de son feedback 28/04/2026 : En attente d'analyse BO RAN || FME should check and replace FRGU if needed 27/04/2027 : Need BO RAN analysis</t>
        </is>
      </c>
    </row>
    <row r="200">
      <c r="A200" s="96" t="n">
        <v>46141</v>
      </c>
      <c r="B200" t="inlineStr">
        <is>
          <t>Masque</t>
        </is>
      </c>
      <c r="C200" t="inlineStr">
        <is>
          <t>CTR_020</t>
        </is>
      </c>
      <c r="D200" t="inlineStr"/>
      <c r="E200" t="inlineStr">
        <is>
          <t>IHS</t>
        </is>
      </c>
      <c r="F200" t="inlineStr">
        <is>
          <t>Grid-Gen</t>
        </is>
      </c>
      <c r="G200" t="inlineStr">
        <is>
          <t>CENTRE</t>
        </is>
      </c>
      <c r="H200" t="inlineStr">
        <is>
          <t>Yaounde</t>
        </is>
      </c>
      <c r="I200" t="inlineStr"/>
      <c r="J200" t="n">
        <v>0</v>
      </c>
      <c r="K200" t="n">
        <v>0</v>
      </c>
      <c r="L200" t="n">
        <v>0</v>
      </c>
      <c r="M200" t="n">
        <v>0</v>
      </c>
      <c r="N200" t="inlineStr">
        <is>
          <t>Operationnel</t>
        </is>
      </c>
      <c r="O200" t="inlineStr"/>
      <c r="P200" t="inlineStr">
        <is>
          <t>BSS</t>
        </is>
      </c>
      <c r="Q200" t="inlineStr">
        <is>
          <t>RAN ISSUE</t>
        </is>
      </c>
      <c r="R200" t="inlineStr">
        <is>
          <t>BSS Hardware issue</t>
        </is>
      </c>
      <c r="S200" t="inlineStr">
        <is>
          <t>ACTIVE</t>
        </is>
      </c>
      <c r="T200" t="inlineStr">
        <is>
          <t>04/29/2026: hardware issue,  site with GPS issue (alarm : TDD down 09Apr 02pm)</t>
        </is>
      </c>
      <c r="U200" t="inlineStr">
        <is>
          <t>04/29/2026 : hardware issue, site with GPS issue (alarm : TDD down 09Apr 02pm)</t>
        </is>
      </c>
    </row>
    <row r="201">
      <c r="A201" s="96" t="n">
        <v>46141</v>
      </c>
      <c r="B201" t="inlineStr">
        <is>
          <t>Logbong</t>
        </is>
      </c>
      <c r="C201" t="inlineStr">
        <is>
          <t>LIT_508</t>
        </is>
      </c>
      <c r="D201" t="inlineStr"/>
      <c r="E201" t="inlineStr">
        <is>
          <t>IHS</t>
        </is>
      </c>
      <c r="F201" t="inlineStr">
        <is>
          <t>Grid-Gen</t>
        </is>
      </c>
      <c r="G201" t="inlineStr">
        <is>
          <t>LITTORAL</t>
        </is>
      </c>
      <c r="H201" t="inlineStr">
        <is>
          <t>Logbong</t>
        </is>
      </c>
      <c r="I201" t="inlineStr"/>
      <c r="J201" t="n">
        <v>0</v>
      </c>
      <c r="K201" t="n">
        <v>0</v>
      </c>
      <c r="L201" t="n">
        <v>0</v>
      </c>
      <c r="M201" t="n">
        <v>0</v>
      </c>
      <c r="N201" t="inlineStr">
        <is>
          <t>Operationnel</t>
        </is>
      </c>
      <c r="O201" t="inlineStr"/>
      <c r="P201" t="inlineStr">
        <is>
          <t>BSS</t>
        </is>
      </c>
      <c r="Q201" t="inlineStr">
        <is>
          <t>RAN ISSUE</t>
        </is>
      </c>
      <c r="R201" t="inlineStr">
        <is>
          <t>BSS Hardware issue</t>
        </is>
      </c>
      <c r="S201" t="inlineStr">
        <is>
          <t>ACTIVE</t>
        </is>
      </c>
      <c r="T201" t="inlineStr">
        <is>
          <t xml:space="preserve">(04/29/2026 cell nokia): 
29/04/2026: FME est sur le site couper de songloulou. intervention demain 30/04/2026
28/04/2026 : FME en route pour le site || ETA : 12h||FME sur sokelle||Forte pluie dans la zone|| Intervention renvoyer pour demain 29/04/2026
27/04/2026 : Check and replace FRGU || ETA : 28/04/2026 ..;..;(04/29/2026 cell nokia): 
29/04/2026: FME est sur le site couper de songloulou. intervention demain 30/04/2026
28/04/2026 : FME en route pour le site || ETA : 12h||FME sur sokelle||Forte pluie dans la zone|| Intervention renvoyer pour demain 29/04/2026
27/04/2026 : Check and replace FRGU || ETA : 28/04/2026 ..;..;(04/29/2026 cell nokia): 
29/04/2026: FME est sur le site couper de songloulou. intervention demain 30/04/2026
28/04/2026 : FME en route pour le site || ETA : 12h||FME sur sokelle||Forte pluie dans la zone|| Intervention renvoyer pour demain 29/04/2026
27/04/2026 : Check and replace FRGU || ETA : 28/04/2026 </t>
        </is>
      </c>
      <c r="U201" t="inlineStr">
        <is>
          <t>04/29/2026 cell nokia) : 29/04/2026 : FME est sur le site couper de songloulou. intervention demain 30/04/2026 28/04/2026 : FME en route pour le site || ETA : 12h || FME sur sokelle || Forte pluie dans la zone || Intervention renvoyer pour demain 29/04/2026 27/04/2026 : Check and replace FRGU || ETA : 28/04/2026 .;.;(04/29/2026 cell nokia) : 29/04/2026 : FME est sur le site couper de songloulou. intervention demain 30/04/2026 28/04/2026 : FME en route pour le site || ETA : 12h || FME sur sokelle || Forte pluie dans la zone || Intervention renvoyer pour demain 29/04/2026 27/04/2026 : Check and replace FRGU || ETA : 28/04/2026 .;.;(04/29/2026 cell nokia) : 29/04/2026 : FME est sur le site couper de songloulou. intervention demain 30/04/2026 28/04/2026 : FME en route pour le site || ETA : 12h || FME sur sokelle || Forte pluie dans la zone || Intervention renvoyer pour demain 29/04/2026 27/04/2026 : Check and replace FRGU || ETA : 28/04/2026</t>
        </is>
      </c>
    </row>
    <row r="202">
      <c r="A202" s="96" t="n">
        <v>46141</v>
      </c>
      <c r="B202" t="inlineStr">
        <is>
          <t>Meidougou-MTN</t>
        </is>
      </c>
      <c r="C202" t="inlineStr">
        <is>
          <t>ADM_062</t>
        </is>
      </c>
      <c r="D202" t="inlineStr"/>
      <c r="E202" t="inlineStr">
        <is>
          <t>IHS</t>
        </is>
      </c>
      <c r="F202" t="inlineStr">
        <is>
          <t>Grid-Gen</t>
        </is>
      </c>
      <c r="G202" t="inlineStr">
        <is>
          <t>ADAMAOUA</t>
        </is>
      </c>
      <c r="H202" t="inlineStr">
        <is>
          <t>Meidougou</t>
        </is>
      </c>
      <c r="I202" t="inlineStr"/>
      <c r="J202" t="n">
        <v>0</v>
      </c>
      <c r="K202" t="n">
        <v>0</v>
      </c>
      <c r="L202" t="n">
        <v>0</v>
      </c>
      <c r="M202" t="n">
        <v>0</v>
      </c>
      <c r="N202" t="inlineStr">
        <is>
          <t>Operationnel</t>
        </is>
      </c>
      <c r="O202" t="inlineStr"/>
      <c r="P202" t="inlineStr">
        <is>
          <t>SPARE-ISSUE</t>
        </is>
      </c>
      <c r="Q202" t="inlineStr">
        <is>
          <t>SPARE-ISSUE</t>
        </is>
      </c>
      <c r="R202" t="inlineStr">
        <is>
          <t>Warehouse HUAWEI</t>
        </is>
      </c>
      <c r="S202" t="inlineStr">
        <is>
          <t>SPARE-ISSUE</t>
        </is>
      </c>
      <c r="T202" t="inlineStr">
        <is>
          <t>(04/29/2026 ocm ran 00h): 28.04.2026: Spare FSMF Faulty Commande passee au WH de Garoua et Expediee a Ngaoundere Nouvelle ETD communiques par le SPM 28.04.2026
26/04/2026 FSMF expedié de GAROUA ETD=27.04.2025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Site foudroyé les deux FSMF en défaut ils redémarre en continu nécessaire en remplacement.Commande en cours. Update ASAP
20.04.2026: FME activé, ETA 12H
19.04.26; Besoin d'un FME sur site pour vérifier le statut des 2 BTS, leur alimentation et leur interco avec le MPR S1P1&amp;2; FME Hippolite activé pour investigations, update ASAP..;..;(04/29/2026 com ran 17h): 29/04/2026 Spare FSMF Faulty Commande passe au WH de Garoua et Expediee a Ngaoundere Nouvelle ETD communiques par le SPM 29.04.2026 ESCALADE FM THEOPHILE
28.04.2026: Spare FSMF Faulty Commande passee au WH de Garoua et Expediee a Ngaoundere Nouvelle ETD communiques par le SPM 28.04.2026
26/04/2026 FSMF expedié de GAROUA ETD=27.04.2025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Site foudroyé les deux FSMF en défaut ils redémarre en continu nécessaire en remplacement.Commande en cours. Update ASAP
20.04.2026: FME activé, ETA 12H
19.04.26; Besoin d'un FME sur site pour vérifier le statut des 2 BTS, leur alimentation et leur interco avec le MPR S1P1&amp;2; FME Hippolite activé pour investigations, update ASAP..;..;(04/29/2026 com ran 18h): 29/04/2026 Spare FSMF Faulty Commande passe au WH de Garoua et Expediee a Ngaoundere Nouvelle ETD communiques par le SPM 29.04.2026 ESCALADE FM THEOPHILE
28.04.2026: Spare FSMF Faulty Commande passee au WH de Garoua et Expediee a Ngaoundere Nouvelle ETD communiques par le SPM 28.04.2026
26/04/2026 FSMF expedié de GAROUA ETD=27.04.2025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Site foudroyé les deux FSMF en défaut ils redémarre en continu nécessaire en remplacement.Commande en cours. Update ASAP
20.04.2026: FME activé, ETA 12H
19.04.26; Besoin d'un FME sur site pour vérifier le statut des 2 BTS, leur alimentation et leur interco avec le MPR S1P1&amp;2; FME Hippolite activé pour investigations, update ASAP</t>
        </is>
      </c>
      <c r="U202" t="inlineStr">
        <is>
          <t>: 28.04.2026 : Spare FSMF Faulty Commande passee au WH de Garoua et Expediee a Ngaoundere Nouvelle ETD communiques par le SPM 28.04.2026 26/04/2026 FSMF expedié de GAROUA ETD=27.04.2025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 Site foudroyé les deux FSMF en défaut ils redémarre en continu nécessaire en remplacement.Commande en cours. Update ASAP 20.04.2026 : FME activé, ETA 12H 19.04.26; Besoin d'un FME sur site pour vérifier le statut des 2 BTS, leur alimentation et leur interco avec le MPR S1P1&amp;2; FME Hippolite activé pour investigations, update ASAP.;.;(04/29/2026 com ran 17h) : 29/04/2026 Spare FSMF Faulty Commande passe au WH de Garoua et Expediee a Ngaoundere Nouvelle ETD communiques par le SPM 29.04.2026 ESCALADE FM THEOPHILE 28.04.2026 : Spare FSMF Faulty Commande passee au WH de Garoua et Expediee a Ngaoundere Nouvelle ETD communiques par le SPM 28.04.2026 26/04/2026 FSMF expedié de GAROUA ETD=27.04.2025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 Site foudroyé les deux FSMF en défaut ils redémarre en continu nécessaire en remplacement.Commande en cours. Update ASAP 20.04.2026 : FME activé, ETA 12H 19.04.26; Besoin d'un FME sur site pour vérifier le statut des 2 BTS, leur alimentation et leur interco avec le MPR S1P1&amp;2; FME Hippolite activé pour investigations, update ASAP.;.;(04/29/2026 com ran 18h) : 29/04/2026 Spare FSMF Faulty Commande passe au WH de Garoua et Expediee a Ngaoundere Nouvelle ETD communiques par le SPM 29.04.2026 ESCALADE FM THEOPHILE 28.04.2026 : Spare FSMF Faulty Commande passee au WH de Garoua et Expediee a Ngaoundere Nouvelle ETD communiques par le SPM 28.04.2026 26/04/2026 FSMF expedié de GAROUA ETD=27.04.2025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 Site foudroyé les deux FSMF en défaut ils redémarre en continu nécessaire en remplacement.Commande en cours. Update ASAP 20.04.2026 : FME activé, ETA 12H 19.04.26; Besoin d'un FME sur site pour vérifier le statut des 2 BTS, leur alimentation et leur interco avec le MPR S1P1&amp;2; FME Hippolite activé pour investigations, update ASAP</t>
        </is>
      </c>
    </row>
    <row r="203">
      <c r="A203" s="96" t="n">
        <v>46141</v>
      </c>
      <c r="B203" t="inlineStr">
        <is>
          <t>Anguissa-IHS</t>
        </is>
      </c>
      <c r="C203" t="inlineStr">
        <is>
          <t>CTR_478</t>
        </is>
      </c>
      <c r="D203" t="inlineStr"/>
      <c r="E203" t="inlineStr">
        <is>
          <t>IHS</t>
        </is>
      </c>
      <c r="F203" t="inlineStr">
        <is>
          <t>Grid-Gen</t>
        </is>
      </c>
      <c r="G203" t="inlineStr">
        <is>
          <t>CENTRE</t>
        </is>
      </c>
      <c r="H203" t="inlineStr">
        <is>
          <t>Yaounde</t>
        </is>
      </c>
      <c r="I203" t="inlineStr"/>
      <c r="J203" t="n">
        <v>0</v>
      </c>
      <c r="K203" t="n">
        <v>0</v>
      </c>
      <c r="L203" t="n">
        <v>0</v>
      </c>
      <c r="M203" t="n">
        <v>0</v>
      </c>
      <c r="N203" t="inlineStr">
        <is>
          <t>Operationnel</t>
        </is>
      </c>
      <c r="O203" t="inlineStr"/>
      <c r="P203" t="inlineStr">
        <is>
          <t>BSS</t>
        </is>
      </c>
      <c r="Q203" t="inlineStr">
        <is>
          <t>RAN ISSUE</t>
        </is>
      </c>
      <c r="R203" t="inlineStr">
        <is>
          <t>BSS Hardware issue</t>
        </is>
      </c>
      <c r="S203" t="inlineStr">
        <is>
          <t>ACTIVE</t>
        </is>
      </c>
      <c r="T203" t="inlineStr">
        <is>
          <t>04/29/2026: hardware issue,  site with GPS issue (alarm : TDD down 09Apr 02pm)</t>
        </is>
      </c>
      <c r="U203" t="inlineStr">
        <is>
          <t>04/29/2026 : hardware issue, site with GPS issue (alarm : TDD down 09Apr 02pm)</t>
        </is>
      </c>
    </row>
    <row r="204">
      <c r="A204" s="96" t="n">
        <v>46141</v>
      </c>
      <c r="B204" t="inlineStr">
        <is>
          <t>Mvog-Atangana-Mballa</t>
        </is>
      </c>
      <c r="C204" t="inlineStr">
        <is>
          <t>CTR_728</t>
        </is>
      </c>
      <c r="D204" t="inlineStr"/>
      <c r="E204" t="inlineStr">
        <is>
          <t>CAMUSAT</t>
        </is>
      </c>
      <c r="F204" t="inlineStr">
        <is>
          <t>Good Grid no GE - 8h</t>
        </is>
      </c>
      <c r="G204" t="inlineStr">
        <is>
          <t>CENTRE</t>
        </is>
      </c>
      <c r="H204" t="inlineStr">
        <is>
          <t>Yaounde</t>
        </is>
      </c>
      <c r="I204" t="inlineStr"/>
      <c r="J204" t="n">
        <v>0</v>
      </c>
      <c r="K204" t="n">
        <v>0</v>
      </c>
      <c r="L204" t="n">
        <v>0</v>
      </c>
      <c r="M204" t="n">
        <v>0</v>
      </c>
      <c r="N204" t="inlineStr">
        <is>
          <t>Operationnel</t>
        </is>
      </c>
      <c r="O204" t="inlineStr"/>
      <c r="P204" t="inlineStr">
        <is>
          <t>BSS</t>
        </is>
      </c>
      <c r="Q204" t="inlineStr">
        <is>
          <t>RAN ISSUE</t>
        </is>
      </c>
      <c r="R204" t="inlineStr">
        <is>
          <t>BSS Hardware issue</t>
        </is>
      </c>
      <c r="S204" t="inlineStr">
        <is>
          <t>ACTIVE</t>
        </is>
      </c>
      <c r="T204" t="inlineStr">
        <is>
          <t>04/29/2026: hardware issue,  site with GPS issue (alarm : TDD down 09Apr 02pm)</t>
        </is>
      </c>
      <c r="U204" t="inlineStr">
        <is>
          <t>04/29/2026 : hardware issue, site with GPS issue (alarm : TDD down 09Apr 02pm)</t>
        </is>
      </c>
    </row>
    <row r="205">
      <c r="A205" s="96" t="n">
        <v>46141</v>
      </c>
      <c r="B205" t="inlineStr">
        <is>
          <t>Madjap</t>
        </is>
      </c>
      <c r="C205" t="inlineStr">
        <is>
          <t>LIT_519</t>
        </is>
      </c>
      <c r="D205" t="inlineStr"/>
      <c r="E205" t="inlineStr">
        <is>
          <t>IHS</t>
        </is>
      </c>
      <c r="F205" t="inlineStr">
        <is>
          <t>Hybrid-Gen</t>
        </is>
      </c>
      <c r="G205" t="inlineStr">
        <is>
          <t>LITTORAL</t>
        </is>
      </c>
      <c r="H205" t="inlineStr">
        <is>
          <t>Mandjap</t>
        </is>
      </c>
      <c r="I205" t="inlineStr"/>
      <c r="J205" t="n">
        <v>0</v>
      </c>
      <c r="K205" t="n">
        <v>0</v>
      </c>
      <c r="L205" t="n">
        <v>0</v>
      </c>
      <c r="M205" t="n">
        <v>0</v>
      </c>
      <c r="N205" t="inlineStr">
        <is>
          <t>Operationnel</t>
        </is>
      </c>
      <c r="O205" t="inlineStr"/>
      <c r="P205" t="inlineStr">
        <is>
          <t>BSS</t>
        </is>
      </c>
      <c r="Q205" t="inlineStr">
        <is>
          <t>RAN ISSUE</t>
        </is>
      </c>
      <c r="R205" t="inlineStr">
        <is>
          <t>BSS Hardware issue</t>
        </is>
      </c>
      <c r="S205" t="inlineStr">
        <is>
          <t>ACTIVE</t>
        </is>
      </c>
      <c r="T205" t="inlineStr">
        <is>
          <t xml:space="preserve">(04/29/2026 cell nokia): 28/04/2026 : Check breaker and  interconnection FRMF (sfp, optical fiber) between system and radio module, swap its if needed || FME yannick  presentement en route pour le site de logbong|| Forte pluie  dans la zone||Intervention pour demain 29/04/2026 ..;..;(04/29/2026 cell nokia): 2902026 : FME presntement a mbongo || ETA: 30042026
28/04/2026 : Check breaker and  interconnection FRMF (sfp, optical fiber) between system and radio module, swap its if needed || FME yannick  presentement en route pour le site de logbong|| Forte pluie  dans la zone||Intervention pour demain 29/04/2026 ..;..;(04/29/2026 cell nokia): 2902026 : FME presntement a mbongo || ETA: 30042026
28/04/2026 : Check breaker and  interconnection FRMF (sfp, optical fiber) between system and radio module, swap its if needed || FME yannick  presentement en route pour le site de logbong|| Forte pluie  dans la zone||Intervention pour demain 29/04/2026 </t>
        </is>
      </c>
      <c r="U205" t="inlineStr">
        <is>
          <t>04/29/2026 cell nokia) : 28/04/2026 : Check breaker and interconnection FRMF (sfp, optical fiber) between system and radio module, swap its if needed || FME yannick presentement en route pour le site de logbong || Forte pluie dans la zone || Intervention pour demain 29/04/2026 .;.;(04/29/2026 cell nokia) : 2902026 : FME presntement a mbongo || ETA : 30042026 28/04/2026 : Check breaker and interconnection FRMF (sfp, optical fiber) between system and radio module, swap its if needed || FME yannick presentement en route pour le site de logbong || Forte pluie dans la zone || Intervention pour demain 29/04/2026 .;.;(04/29/2026 cell nokia) : 2902026 : FME presntement a mbongo || ETA : 30042026 28/04/2026 : Check breaker and interconnection FRMF (sfp, optical fiber) between system and radio module, swap its if needed || FME yannick presentement en route pour le site de logbong || Forte pluie dans la zone || Intervention pour demain 29/04/2026</t>
        </is>
      </c>
    </row>
    <row r="206">
      <c r="A206" s="96" t="n">
        <v>46141</v>
      </c>
      <c r="B206" t="inlineStr">
        <is>
          <t>Nkolmeyang-IHS</t>
        </is>
      </c>
      <c r="C206" t="inlineStr">
        <is>
          <t>CTR_442</t>
        </is>
      </c>
      <c r="D206" t="inlineStr"/>
      <c r="E206" t="inlineStr">
        <is>
          <t>IHS</t>
        </is>
      </c>
      <c r="F206" t="inlineStr">
        <is>
          <t>Grid-Gen</t>
        </is>
      </c>
      <c r="G206" t="inlineStr">
        <is>
          <t>CENTRE</t>
        </is>
      </c>
      <c r="H206" t="inlineStr">
        <is>
          <t>Nkolmeyang</t>
        </is>
      </c>
      <c r="I206" t="inlineStr"/>
      <c r="J206" t="n">
        <v>0</v>
      </c>
      <c r="K206" t="n">
        <v>0</v>
      </c>
      <c r="L206" t="n">
        <v>0</v>
      </c>
      <c r="M206" t="n">
        <v>0</v>
      </c>
      <c r="N206" t="inlineStr">
        <is>
          <t>Operationnel</t>
        </is>
      </c>
      <c r="O206" t="inlineStr"/>
      <c r="P206" t="inlineStr">
        <is>
          <t>ENVTECH</t>
        </is>
      </c>
      <c r="Q206" t="inlineStr">
        <is>
          <t>ENVTECH</t>
        </is>
      </c>
      <c r="R206" t="inlineStr">
        <is>
          <t>Sites strategiques, MLL, Pylone, etc.</t>
        </is>
      </c>
      <c r="S206" t="inlineStr">
        <is>
          <t>PASSIVE</t>
        </is>
      </c>
      <c r="T206" t="inlineStr">
        <is>
          <t>(04/29/2026 ocm ran 00h): 13/04/2026 ETR mi-juin
07/04/2026 Ce site prendra aussi sa transmission sur Tiga. Finalisation du site de Tiga  ETR:09/04/2026
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reconnection)..;..;(04/29/2026 com ran 17h): 13/04/2026 ETR mi-juin
07/04/2026 Ce site prendra aussi sa transmission sur Tiga. Finalisation du site de Tiga  ETR:09/04/2026
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reconnection)..;..;(04/29/2026 com ran 18h): 13/04/2026 ETR mi-juin
07/04/2026 Ce site prendra aussi sa transmission sur Tiga. Finalisation du site de Tiga  ETR:09/04/2026
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t>
        </is>
      </c>
      <c r="U206" t="inlineStr">
        <is>
          <t>: 13/04/2026 ETR mi-juin 07/04/2026 Ce site prendra aussi sa transmission sur Tiga. Finalisation du site de Tiga ETR : 09/04/2026 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reconnection).;.;(04/29/2026 com ran 17h) : 13/04/2026 ETR mi-juin 07/04/2026 Ce site prendra aussi sa transmission sur Tiga. Finalisation du site de Tiga ETR : 09/04/2026 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reconnection).;.;(04/29/2026 com ran 18h) : 13/04/2026 ETR mi-juin 07/04/2026 Ce site prendra aussi sa transmission sur Tiga. Finalisation du site de Tiga ETR : 09/04/2026 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t>
        </is>
      </c>
    </row>
    <row r="207">
      <c r="A207" s="96" t="n">
        <v>46141</v>
      </c>
      <c r="B207" t="inlineStr">
        <is>
          <t>Ouro-Dara</t>
        </is>
      </c>
      <c r="C207" t="inlineStr">
        <is>
          <t>ADM_148</t>
        </is>
      </c>
      <c r="D207" t="inlineStr"/>
      <c r="E207" t="inlineStr">
        <is>
          <t>CAMUSAT</t>
        </is>
      </c>
      <c r="F207" t="inlineStr">
        <is>
          <t>Hybrid Solar - S3</t>
        </is>
      </c>
      <c r="G207" t="inlineStr">
        <is>
          <t>ADAMAOUA</t>
        </is>
      </c>
      <c r="H207" t="inlineStr">
        <is>
          <t>Oura-Dara</t>
        </is>
      </c>
      <c r="I207" t="inlineStr"/>
      <c r="J207" t="n">
        <v>0</v>
      </c>
      <c r="K207" t="n">
        <v>0</v>
      </c>
      <c r="L207" t="n">
        <v>0</v>
      </c>
      <c r="M207" t="n">
        <v>0</v>
      </c>
      <c r="N207" t="inlineStr">
        <is>
          <t>Operationnel</t>
        </is>
      </c>
      <c r="O207" t="inlineStr"/>
      <c r="P207" t="inlineStr">
        <is>
          <t>SPARE-ISSUE</t>
        </is>
      </c>
      <c r="Q207" t="inlineStr">
        <is>
          <t>SPARE-ISSUE</t>
        </is>
      </c>
      <c r="R207" t="inlineStr">
        <is>
          <t>SPARE-ISSUE</t>
        </is>
      </c>
      <c r="S207" t="inlineStr">
        <is>
          <t>SPARE-ISSUE</t>
        </is>
      </c>
      <c r="T207" t="inlineStr">
        <is>
          <t>(04/29/2026 ocm ran 00h):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status..;..;(04/29/2026 com ran 17h): 29/04/2026 FME en route pour le site ETA=12H UTC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status..;..;(04/29/2026 com ran 18h): 29/04/2026 Apres interve tion sur site Moedem faulty nouvelle commande en cours 
29/04/2026 FME en route pour le site ETA=12H UTC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t>
        </is>
      </c>
      <c r="U207" t="inlineStr">
        <is>
          <t>: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status.;.;(04/29/2026 com ran 17h) : 29/04/2026 FME en route pour le site ETA=12H UTC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status.;.;(04/29/2026 com ran 18h) : 29/04/2026 Apres interve tion sur site Moedem faulty nouvelle commande en cours 29/04/2026 FME en route pour le site ETA=12H UTC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t>
        </is>
      </c>
    </row>
    <row r="208">
      <c r="A208" s="96" t="n">
        <v>46141</v>
      </c>
      <c r="B208" t="inlineStr">
        <is>
          <t>Mvog-Ebanda</t>
        </is>
      </c>
      <c r="C208" t="inlineStr">
        <is>
          <t>CTR_341</t>
        </is>
      </c>
      <c r="D208" t="inlineStr"/>
      <c r="E208" t="inlineStr">
        <is>
          <t>IHS</t>
        </is>
      </c>
      <c r="F208" t="inlineStr">
        <is>
          <t>Grid-Gen</t>
        </is>
      </c>
      <c r="G208" t="inlineStr">
        <is>
          <t>CENTRE</t>
        </is>
      </c>
      <c r="H208" t="inlineStr">
        <is>
          <t>Yaounde</t>
        </is>
      </c>
      <c r="I208" t="inlineStr"/>
      <c r="J208" t="n">
        <v>0</v>
      </c>
      <c r="K208" t="n">
        <v>0</v>
      </c>
      <c r="L208" t="n">
        <v>0</v>
      </c>
      <c r="M208" t="n">
        <v>0</v>
      </c>
      <c r="N208" t="inlineStr">
        <is>
          <t>Operationnel</t>
        </is>
      </c>
      <c r="O208" t="inlineStr"/>
      <c r="P208" t="inlineStr">
        <is>
          <t>BSS</t>
        </is>
      </c>
      <c r="Q208" t="inlineStr">
        <is>
          <t>RAN ISSUE</t>
        </is>
      </c>
      <c r="R208" t="inlineStr">
        <is>
          <t>BSS Hardware issue</t>
        </is>
      </c>
      <c r="S208" t="inlineStr">
        <is>
          <t>ACTIVE</t>
        </is>
      </c>
      <c r="T208" t="inlineStr">
        <is>
          <t>04/29/2026: hardware issue,  site with GPS issue (alarm : TDD down 09Apr 02pm)</t>
        </is>
      </c>
      <c r="U208" t="inlineStr">
        <is>
          <t>04/29/2026 : hardware issue, site with GPS issue (alarm : TDD down 09Apr 02pm)</t>
        </is>
      </c>
    </row>
    <row r="209">
      <c r="A209" s="96" t="n">
        <v>46141</v>
      </c>
      <c r="B209" t="inlineStr">
        <is>
          <t>Mvog-Ebanda-II</t>
        </is>
      </c>
      <c r="C209" t="inlineStr">
        <is>
          <t>CTR_668</t>
        </is>
      </c>
      <c r="D209" t="inlineStr"/>
      <c r="E209" t="inlineStr">
        <is>
          <t>CAMUSAT</t>
        </is>
      </c>
      <c r="F209" t="inlineStr">
        <is>
          <t>Medium Grid + Solar + GE</t>
        </is>
      </c>
      <c r="G209" t="inlineStr">
        <is>
          <t>CENTRE</t>
        </is>
      </c>
      <c r="H209" t="inlineStr">
        <is>
          <t>Yaounde</t>
        </is>
      </c>
      <c r="I209" t="inlineStr"/>
      <c r="J209" t="n">
        <v>0</v>
      </c>
      <c r="K209" t="n">
        <v>0</v>
      </c>
      <c r="L209" t="n">
        <v>0</v>
      </c>
      <c r="M209" t="n">
        <v>0</v>
      </c>
      <c r="N209" t="inlineStr">
        <is>
          <t>Operationnel</t>
        </is>
      </c>
      <c r="O209" t="inlineStr"/>
      <c r="P209" t="inlineStr">
        <is>
          <t>BSS</t>
        </is>
      </c>
      <c r="Q209" t="inlineStr">
        <is>
          <t>RAN ISSUE</t>
        </is>
      </c>
      <c r="R209" t="inlineStr">
        <is>
          <t>BSS Hardware issue</t>
        </is>
      </c>
      <c r="S209" t="inlineStr">
        <is>
          <t>ACTIVE</t>
        </is>
      </c>
      <c r="T209" t="inlineStr">
        <is>
          <t>04/29/2026: hardware issue,  site with GPS issue (alarm : TDD down 09Apr 02pm)</t>
        </is>
      </c>
      <c r="U209" t="inlineStr">
        <is>
          <t>04/29/2026 : hardware issue, site with GPS issue (alarm : TDD down 09Apr 02pm)</t>
        </is>
      </c>
    </row>
    <row r="210">
      <c r="A210" s="96" t="n">
        <v>46141</v>
      </c>
      <c r="B210" t="inlineStr">
        <is>
          <t>Soa-Town-IHS</t>
        </is>
      </c>
      <c r="C210" t="inlineStr">
        <is>
          <t>CTR_649</t>
        </is>
      </c>
      <c r="D210" t="inlineStr"/>
      <c r="E210" t="inlineStr">
        <is>
          <t>IHS</t>
        </is>
      </c>
      <c r="F210" t="inlineStr">
        <is>
          <t>Grid-Gen</t>
        </is>
      </c>
      <c r="G210" t="inlineStr">
        <is>
          <t>CENTRE</t>
        </is>
      </c>
      <c r="H210" t="inlineStr">
        <is>
          <t>Yaounde</t>
        </is>
      </c>
      <c r="I210" t="inlineStr"/>
      <c r="J210" t="n">
        <v>0</v>
      </c>
      <c r="K210" t="n">
        <v>0</v>
      </c>
      <c r="L210" t="n">
        <v>0</v>
      </c>
      <c r="M210" t="n">
        <v>0</v>
      </c>
      <c r="N210" t="inlineStr">
        <is>
          <t>Operationnel</t>
        </is>
      </c>
      <c r="O210" t="inlineStr"/>
      <c r="P210" t="inlineStr">
        <is>
          <t>SPARE-ISSUE</t>
        </is>
      </c>
      <c r="Q210" t="inlineStr">
        <is>
          <t>SPARE-ISSUE</t>
        </is>
      </c>
      <c r="R210" t="inlineStr">
        <is>
          <t>Warehouse HUAWEI</t>
        </is>
      </c>
      <c r="S210" t="inlineStr">
        <is>
          <t>SPARE-ISSUE</t>
        </is>
      </c>
      <c r="T210" t="inlineStr">
        <is>
          <t>(04/29/2026 cell zte):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10042026..;..;(04/29/2026 cell zte): 29/04/2026 : Up apres remplacement des jumpers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t>
        </is>
      </c>
      <c r="U210" t="inlineStr">
        <is>
          <t>04/29/2026 cell zte) :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10042026.;.;(04/29/2026 cell zte) : 29/04/2026 : Up apres remplacement des jumpers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t>
        </is>
      </c>
    </row>
    <row r="211">
      <c r="A211" s="96" t="n">
        <v>46141</v>
      </c>
      <c r="B211" t="inlineStr">
        <is>
          <t>Kembong</t>
        </is>
      </c>
      <c r="C211" t="inlineStr">
        <is>
          <t>NRO_026</t>
        </is>
      </c>
      <c r="D211" t="inlineStr"/>
      <c r="E211" t="inlineStr">
        <is>
          <t>IHS</t>
        </is>
      </c>
      <c r="F211" t="inlineStr">
        <is>
          <t>Grid-Gen</t>
        </is>
      </c>
      <c r="G211" t="inlineStr">
        <is>
          <t>NORD-OUEST</t>
        </is>
      </c>
      <c r="H211" t="inlineStr">
        <is>
          <t>Kembong</t>
        </is>
      </c>
      <c r="I211" t="inlineStr"/>
      <c r="J211" t="n">
        <v>0</v>
      </c>
      <c r="K211" t="n">
        <v>0</v>
      </c>
      <c r="L211" t="n">
        <v>0</v>
      </c>
      <c r="M211" t="n">
        <v>0</v>
      </c>
      <c r="N211" t="inlineStr">
        <is>
          <t>Insecurity</t>
        </is>
      </c>
      <c r="O211" t="inlineStr"/>
      <c r="P211" t="inlineStr">
        <is>
          <t>BSS</t>
        </is>
      </c>
      <c r="Q211" t="inlineStr">
        <is>
          <t>RAN ISSUE</t>
        </is>
      </c>
      <c r="R211" t="inlineStr">
        <is>
          <t>BSS Hardware issue</t>
        </is>
      </c>
      <c r="S211" t="inlineStr">
        <is>
          <t>ACTIVE</t>
        </is>
      </c>
      <c r="T211" t="inlineStr">
        <is>
          <t>(04/29/2026 cell nokia): 28/04/2026 : En attente d'analyse BO RAN ..;..;(04/29/2026 cell nokia): 28/04/2026 : En attente d'analyse BO RAN ||VSWR on FRGU, ANT1..;..;(04/29/2026 cell nokia): 29/04/2026 : En attente d'analyse BO RAN ||VSWR on FRGU, ANT1 || Escalade faite au RM : en attente de son feedback ..;..;(04/29/2026 ticket): INC-20260429-00003514  ;  2026-04-29 08:18:04  ;  	No power issue on site Ubaie 52.7V Site on Battery. Peguy (675990129/Huawei) is informed. Site up wihout intervention  ;  Power issue on site MTN also down  ;  Others Transmission equipement fault  ;  user:OCM_NOC.IHS</t>
        </is>
      </c>
      <c r="U211" t="inlineStr">
        <is>
          <t>04/29/2026 cell nokia) : 28/04/2026 : En attente d'analyse BO RAN .;.;(04/29/2026 cell nokia) : 28/04/2026 : En attente d'analyse BO RAN || VSWR on FRGU, ANT1.;.;(04/29/2026 cell nokia) : 29/04/2026 : En attente d'analyse BO RAN || VSWR on FRGU, ANT1 || Escalade faite au RM : en attente de son feedback .;.; : ; 2026-04-29 08 : 18 : 04 ; No power issue on site Ubaie 52.7V Site on Battery. Peguy (675990129/Huawei) is informed. Site up wihout intervention ; Power issue on site MTN also down ; ; user : OCM_NOC.IHS</t>
        </is>
      </c>
    </row>
    <row r="212">
      <c r="A212" s="96" t="n">
        <v>46141</v>
      </c>
      <c r="B212" t="inlineStr">
        <is>
          <t>Madingring</t>
        </is>
      </c>
      <c r="C212" t="inlineStr">
        <is>
          <t>NRD_036</t>
        </is>
      </c>
      <c r="D212" t="inlineStr"/>
      <c r="E212" t="inlineStr">
        <is>
          <t>IHS</t>
        </is>
      </c>
      <c r="F212" t="inlineStr">
        <is>
          <t>Solar-Gen</t>
        </is>
      </c>
      <c r="G212" t="inlineStr">
        <is>
          <t>NORD</t>
        </is>
      </c>
      <c r="H212" t="inlineStr">
        <is>
          <t>Madingring</t>
        </is>
      </c>
      <c r="I212" t="inlineStr"/>
      <c r="J212" t="n">
        <v>0</v>
      </c>
      <c r="K212" t="n">
        <v>0</v>
      </c>
      <c r="L212" t="n">
        <v>0</v>
      </c>
      <c r="M212" t="n">
        <v>0</v>
      </c>
      <c r="N212" t="inlineStr">
        <is>
          <t>Operationnel</t>
        </is>
      </c>
      <c r="O212" t="inlineStr"/>
      <c r="P212" t="inlineStr">
        <is>
          <t>TRAVAUX OCM</t>
        </is>
      </c>
      <c r="Q212" t="inlineStr">
        <is>
          <t>TRAVAUX OCM</t>
        </is>
      </c>
      <c r="R212" t="inlineStr">
        <is>
          <t>Projet OCM (ZTE, NOKIA, autres projets)</t>
        </is>
      </c>
      <c r="S212" t="inlineStr">
        <is>
          <t>PLANNED WORKS</t>
        </is>
      </c>
      <c r="T212" t="inlineStr">
        <is>
          <t>(04/29/2026 ocm ran 00h): New BTS installed and not yet accepted..;..;(04/29/2026 com ran 17h): New BTS installed and not yet accepted..;..;(04/29/2026 com ran 18h): New BTS installed and not yet accepted</t>
        </is>
      </c>
      <c r="U212" t="inlineStr">
        <is>
          <t>: New BTS installed and not yet accepted.;.;(04/29/2026 com ran 17h) : New BTS installed and not yet accepted.;.;(04/29/2026 com ran 18h) : New BTS installed and not yet accepted</t>
        </is>
      </c>
    </row>
    <row r="213">
      <c r="A213" s="96" t="n">
        <v>46141</v>
      </c>
      <c r="B213" t="inlineStr">
        <is>
          <t>Boko-Plage-IHS</t>
        </is>
      </c>
      <c r="C213" t="inlineStr">
        <is>
          <t>LIT_363</t>
        </is>
      </c>
      <c r="D213" t="inlineStr"/>
      <c r="E213" t="inlineStr">
        <is>
          <t>CAMUSAT</t>
        </is>
      </c>
      <c r="F213" t="inlineStr">
        <is>
          <t>Good Grid + GE</t>
        </is>
      </c>
      <c r="G213" t="inlineStr">
        <is>
          <t>LITTORAL</t>
        </is>
      </c>
      <c r="H213" t="inlineStr">
        <is>
          <t>Douala</t>
        </is>
      </c>
      <c r="I213" t="inlineStr"/>
      <c r="J213" t="n">
        <v>0</v>
      </c>
      <c r="K213" t="n">
        <v>0</v>
      </c>
      <c r="L213" t="n">
        <v>0</v>
      </c>
      <c r="M213" t="n">
        <v>0</v>
      </c>
      <c r="N213" t="inlineStr">
        <is>
          <t>Operationnel</t>
        </is>
      </c>
      <c r="O213" t="inlineStr"/>
      <c r="P213" t="inlineStr">
        <is>
          <t>BSS</t>
        </is>
      </c>
      <c r="Q213" t="inlineStr">
        <is>
          <t>RAN ISSUE</t>
        </is>
      </c>
      <c r="R213" t="inlineStr">
        <is>
          <t>BSS Hardware issue</t>
        </is>
      </c>
      <c r="S213" t="inlineStr">
        <is>
          <t>ACTIVE</t>
        </is>
      </c>
      <c r="T213" t="inlineStr">
        <is>
          <t>(04/29/2026 cell zte): 29/04/2026 : Besoin d'analyse BO RAN..;..;(04/29/2026 cell zte): 29/04/2026 : Besoin d'analyse BO RAN || RRU 51 VSWR Alarm :  The antenna feeder cables are squeezed, bent, or damaged  || Fme active ETA attendu || Demande de Work-permit en cours..;..;(04/29/2026 cell zte): 29/04/2026 : Besoin d'analyse BO RAN || RRU 51 VSWR Alarm :  The antenna feeder cables are squeezed, bent, or damaged  || Fme active ETA attendu || Demande de Work-permit en cours</t>
        </is>
      </c>
      <c r="U213" t="inlineStr">
        <is>
          <t>04/29/2026 cell zte) : 29/04/2026 : Besoin d'analyse BO RAN.;.;(04/29/2026 cell zte) : 29/04/2026 : Besoin d'analyse BO RAN || RRU 51 VSWR Alarm : The antenna feeder cables are squeezed, bent, or damaged || Fme active ETA attendu || Demande de Work-permit en cours.;.;(04/29/2026 cell zte) : 29/04/2026 : Besoin d'analyse BO RAN || RRU 51 VSWR Alarm : The antenna feeder cables are squeezed, bent, or damaged || Fme active ETA attendu || Demande de Work-permit en cours</t>
        </is>
      </c>
    </row>
    <row r="214">
      <c r="A214" s="96" t="n">
        <v>46141</v>
      </c>
      <c r="B214" t="inlineStr">
        <is>
          <t>BTS-Mobile-Tagidor-Hotel</t>
        </is>
      </c>
      <c r="C214" t="inlineStr">
        <is>
          <t>OST_306</t>
        </is>
      </c>
      <c r="D214" t="inlineStr"/>
      <c r="E214" t="inlineStr">
        <is>
          <t>CAMUSAT</t>
        </is>
      </c>
      <c r="F214" t="inlineStr">
        <is>
          <t>Medium Grid + GE</t>
        </is>
      </c>
      <c r="G214" t="inlineStr">
        <is>
          <t>OUEST</t>
        </is>
      </c>
      <c r="H214" t="inlineStr">
        <is>
          <t>Bafoussam</t>
        </is>
      </c>
      <c r="I214" t="inlineStr"/>
      <c r="J214" t="n">
        <v>0</v>
      </c>
      <c r="K214" t="n">
        <v>0</v>
      </c>
      <c r="L214" t="n">
        <v>0</v>
      </c>
      <c r="M214" t="n">
        <v>0</v>
      </c>
      <c r="N214" t="inlineStr">
        <is>
          <t>Operationnel</t>
        </is>
      </c>
      <c r="O214" t="inlineStr"/>
      <c r="P214" t="inlineStr">
        <is>
          <t>TRAVAUX-HUAWEI</t>
        </is>
      </c>
      <c r="Q214" t="inlineStr">
        <is>
          <t>TRAVAUX-HUAWEI</t>
        </is>
      </c>
      <c r="R214" t="inlineStr">
        <is>
          <t>Projet OCM (HUAWEI)</t>
        </is>
      </c>
      <c r="S214" t="inlineStr">
        <is>
          <t>PLANNED WORKS</t>
        </is>
      </c>
      <c r="T214" t="inlineStr">
        <is>
          <t>(04/29/2026 ocm ran 00h): Site en cours de démentelement..;..;(04/29/2026 com ran 17h): Site en cours de démentelement..;..;(04/29/2026 com ran 18h): Site en cours de démentelement</t>
        </is>
      </c>
      <c r="U214" t="inlineStr">
        <is>
          <t>: Site en cours de démentelement.;.;(04/29/2026 com ran 17h) : Site en cours de démentelement.;.;(04/29/2026 com ran 18h) : Site en cours de démentelement</t>
        </is>
      </c>
    </row>
    <row r="215">
      <c r="A215" s="96" t="n">
        <v>46141</v>
      </c>
      <c r="B215" t="inlineStr">
        <is>
          <t>Minisite-Tradex-Village</t>
        </is>
      </c>
      <c r="C215" t="inlineStr">
        <is>
          <t>LIT_663</t>
        </is>
      </c>
      <c r="D215" t="inlineStr"/>
      <c r="E215" t="inlineStr">
        <is>
          <t>CAMUSAT</t>
        </is>
      </c>
      <c r="F215" t="inlineStr">
        <is>
          <t>Good Grid no GE - 8h</t>
        </is>
      </c>
      <c r="G215" t="inlineStr">
        <is>
          <t>LITTORAL</t>
        </is>
      </c>
      <c r="H215" t="inlineStr">
        <is>
          <t>Douala</t>
        </is>
      </c>
      <c r="I215" t="inlineStr"/>
      <c r="J215" t="n">
        <v>0</v>
      </c>
      <c r="K215" t="n">
        <v>0</v>
      </c>
      <c r="L215" t="n">
        <v>0</v>
      </c>
      <c r="M215" t="n">
        <v>0</v>
      </c>
      <c r="N215" t="inlineStr">
        <is>
          <t>Operationnel</t>
        </is>
      </c>
      <c r="O215" t="inlineStr"/>
      <c r="P215" t="inlineStr">
        <is>
          <t>AKTIVCO GRID ONLY</t>
        </is>
      </c>
      <c r="Q215" t="inlineStr">
        <is>
          <t>POWER ISSUE</t>
        </is>
      </c>
      <c r="R215" t="inlineStr">
        <is>
          <t>AKTIVCO Coupure ENEO &amp; Baisse de tension</t>
        </is>
      </c>
      <c r="S215" t="inlineStr">
        <is>
          <t>PASSIVE</t>
        </is>
      </c>
      <c r="T215" t="inlineStr">
        <is>
          <t>(04/29/2026 ocm ran 00h): 28/04/2026 Camusat: Grid outage grid only site / grid return awaited - Escalated to L2..;..;(04/29/2026 com ran 17h): Power status check ongoing..;..;(04/29/2026 com ran 18h): Power status check ongoing..;..;(04/29/2026 ticket): INC-20260429-00019076  ;  Others Transmission equipement fault</t>
        </is>
      </c>
      <c r="U215" t="inlineStr">
        <is>
          <t>: 28/04/2026 Camusat : Grid outage grid only site / grid return awaited - Escalated to L2.;.;(04/29/2026 com ran 17h) : ;(04/29/2026 com ran 18h) : ; : ;</t>
        </is>
      </c>
    </row>
    <row r="216">
      <c r="A216" s="96" t="n">
        <v>46141</v>
      </c>
      <c r="B216" t="inlineStr">
        <is>
          <t>Menloh-Maloume-Camrail</t>
        </is>
      </c>
      <c r="C216" t="inlineStr">
        <is>
          <t>CTR_451</t>
        </is>
      </c>
      <c r="D216" t="inlineStr"/>
      <c r="E216" t="inlineStr">
        <is>
          <t>CAMUSAT</t>
        </is>
      </c>
      <c r="F216" t="inlineStr">
        <is>
          <t>Hybrid Solar - S3</t>
        </is>
      </c>
      <c r="G216" t="inlineStr">
        <is>
          <t>CENTRE</t>
        </is>
      </c>
      <c r="H216" t="inlineStr">
        <is>
          <t>Eseka</t>
        </is>
      </c>
      <c r="I216" t="inlineStr"/>
      <c r="J216" t="n">
        <v>0</v>
      </c>
      <c r="K216" t="n">
        <v>0</v>
      </c>
      <c r="L216" t="n">
        <v>0</v>
      </c>
      <c r="M216" t="n">
        <v>0</v>
      </c>
      <c r="N216" t="inlineStr">
        <is>
          <t>Operationnel</t>
        </is>
      </c>
      <c r="O216" t="inlineStr"/>
      <c r="P216" t="inlineStr">
        <is>
          <t>PDH</t>
        </is>
      </c>
      <c r="Q216" t="inlineStr">
        <is>
          <t>TX ISSUE</t>
        </is>
      </c>
      <c r="R216" t="inlineStr">
        <is>
          <t>MPR ISSUE</t>
        </is>
      </c>
      <c r="S216" t="inlineStr">
        <is>
          <t>ACTIVE</t>
        </is>
      </c>
      <c r="T216" t="inlineStr">
        <is>
          <t>(04/29/2026 ocm ran 00h): Power status check ongoing..;..;(04/29/2026 com ran 17h): 29/04/2026 FME etienne activé manage avec le level 0 
Bo tx: Site is down Mobilize locally for tshoot..;..;(04/29/2026 com ran 18h): 29/04/2026 FME etienne activé manage avec le level 0 
Bo tx: Site is down Mobilize locally for tshoot</t>
        </is>
      </c>
      <c r="U216" t="inlineStr">
        <is>
          <t>: ;(04/29/2026 com ran 17h) : 29/04/2026 FME etienne activé manage avec le level 0 Bo tx : Site is down Mobilize locally for tshoot.;.;(04/29/2026 com ran 18h) : 29/04/2026 FME etienne activé manage avec le level 0 Bo tx : Site is down Mobilize locally for tshoot</t>
        </is>
      </c>
    </row>
    <row r="217">
      <c r="A217" s="96" t="n">
        <v>46141</v>
      </c>
      <c r="B217" t="inlineStr">
        <is>
          <t>Sokelle-IHS</t>
        </is>
      </c>
      <c r="C217" t="inlineStr">
        <is>
          <t>LIT_506</t>
        </is>
      </c>
      <c r="D217" t="inlineStr"/>
      <c r="E217" t="inlineStr">
        <is>
          <t>IHS</t>
        </is>
      </c>
      <c r="F217" t="inlineStr">
        <is>
          <t>Gen Only</t>
        </is>
      </c>
      <c r="G217" t="inlineStr">
        <is>
          <t>LITTORAL</t>
        </is>
      </c>
      <c r="H217" t="inlineStr">
        <is>
          <t>Sokelle</t>
        </is>
      </c>
      <c r="I217" t="inlineStr"/>
      <c r="J217" t="n">
        <v>0</v>
      </c>
      <c r="K217" t="n">
        <v>0</v>
      </c>
      <c r="L217" t="n">
        <v>0</v>
      </c>
      <c r="M217" t="n">
        <v>0</v>
      </c>
      <c r="N217" t="inlineStr">
        <is>
          <t>Operationnel</t>
        </is>
      </c>
      <c r="O217" t="inlineStr"/>
      <c r="P217" t="inlineStr">
        <is>
          <t>BSS</t>
        </is>
      </c>
      <c r="Q217" t="inlineStr">
        <is>
          <t>RAN ISSUE</t>
        </is>
      </c>
      <c r="R217" t="inlineStr">
        <is>
          <t>BSS Hardware issue</t>
        </is>
      </c>
      <c r="S217" t="inlineStr">
        <is>
          <t>ACTIVE</t>
        </is>
      </c>
      <c r="T217" t="inlineStr">
        <is>
          <t xml:space="preserve">(04/29/2026 cell nokia): 
29/04/2026: FME est sur le site couper de songloulou. intervention demain 30/04/2026
28/04/2026 : FME en route pour le site || ETA : 12h||FME sur sokelle||Forte pluie dans la zone|| Intervention renvoyer pour demain 29/04/2026
27/04/2026 : Check and replace FRGU || ETA : 28/04/2026 ..;..;(04/29/2026 cell nokia): 
29/04/2026: FME est sur le site couper de songloulou. intervention demain 30/04/2026
28/04/2026 : FME en route pour le site || ETA : 12h||FME sur sokelle||Forte pluie dans la zone|| Intervention renvoyer pour demain 29/04/2026
27/04/2026 : Check and replace FRGU || ETA : 28/04/2026 ..;..;(04/29/2026 cell nokia): 
29/04/2026: FME est sur le site couper de songloulou. intervention demain 30/04/2026
28/04/2026 : FME en route pour le site || ETA : 12h||FME sur sokelle||Forte pluie dans la zone|| Intervention renvoyer pour demain 29/04/2026
27/04/2026 : Check and replace FRGU || ETA : 28/04/2026 </t>
        </is>
      </c>
      <c r="U217" t="inlineStr">
        <is>
          <t>04/29/2026 cell nokia) : 29/04/2026 : FME est sur le site couper de songloulou. intervention demain 30/04/2026 28/04/2026 : FME en route pour le site || ETA : 12h || FME sur sokelle || Forte pluie dans la zone || Intervention renvoyer pour demain 29/04/2026 27/04/2026 : Check and replace FRGU || ETA : 28/04/2026 .;.;(04/29/2026 cell nokia) : 29/04/2026 : FME est sur le site couper de songloulou. intervention demain 30/04/2026 28/04/2026 : FME en route pour le site || ETA : 12h || FME sur sokelle || Forte pluie dans la zone || Intervention renvoyer pour demain 29/04/2026 27/04/2026 : Check and replace FRGU || ETA : 28/04/2026 .;.;(04/29/2026 cell nokia) : 29/04/2026 : FME est sur le site couper de songloulou. intervention demain 30/04/2026 28/04/2026 : FME en route pour le site || ETA : 12h || FME sur sokelle || Forte pluie dans la zone || Intervention renvoyer pour demain 29/04/2026 27/04/2026 : Check and replace FRGU || ETA : 28/04/2026</t>
        </is>
      </c>
    </row>
    <row r="218">
      <c r="A218" s="96" t="n">
        <v>46141</v>
      </c>
      <c r="B218" t="inlineStr">
        <is>
          <t>NR-PK5</t>
        </is>
      </c>
      <c r="C218" t="inlineStr">
        <is>
          <t>LIT_096</t>
        </is>
      </c>
      <c r="D218" t="inlineStr"/>
      <c r="E218" t="inlineStr">
        <is>
          <t>IHS</t>
        </is>
      </c>
      <c r="F218" t="inlineStr">
        <is>
          <t>Grid-Gen</t>
        </is>
      </c>
      <c r="G218" t="inlineStr">
        <is>
          <t>LITTORAL</t>
        </is>
      </c>
      <c r="H218" t="inlineStr">
        <is>
          <t>Douala</t>
        </is>
      </c>
      <c r="I218" t="inlineStr"/>
      <c r="J218" t="n">
        <v>0</v>
      </c>
      <c r="K218" t="n">
        <v>0</v>
      </c>
      <c r="L218" t="n">
        <v>0</v>
      </c>
      <c r="M218" t="n">
        <v>0</v>
      </c>
      <c r="N218" t="inlineStr">
        <is>
          <t>Operationnel</t>
        </is>
      </c>
      <c r="O218" t="inlineStr"/>
      <c r="P218" t="inlineStr">
        <is>
          <t>Partners</t>
        </is>
      </c>
      <c r="Q218" t="inlineStr">
        <is>
          <t>POWER ISSUE</t>
        </is>
      </c>
      <c r="R218" t="inlineStr">
        <is>
          <t>sharing</t>
        </is>
      </c>
      <c r="S218" t="inlineStr">
        <is>
          <t>PASSIVE</t>
        </is>
      </c>
      <c r="T218" t="inlineStr">
        <is>
          <t xml:space="preserve">(04/29/2026 ticket): INC-20260429-00001911  ;  2026-04-29 03:34:15  ;  MTN Verifie l'etat de l'energie sur le site  ;  user:YINUSA ALANI RAMADAN ADELESIN </t>
        </is>
      </c>
      <c r="U218" t="inlineStr">
        <is>
          <t>: ; 2026-04-29 03 : 34 : 15 ; MTN Verifie l'etat de l'energie sur le site ; user : YINUSA ALANI RAMADAN ADELESIN</t>
        </is>
      </c>
    </row>
    <row r="219">
      <c r="A219" s="96" t="n">
        <v>46141</v>
      </c>
      <c r="B219" t="inlineStr">
        <is>
          <t>Dizangue</t>
        </is>
      </c>
      <c r="C219" t="inlineStr">
        <is>
          <t>LIT_113</t>
        </is>
      </c>
      <c r="D219" t="inlineStr"/>
      <c r="E219" t="inlineStr">
        <is>
          <t>IHS</t>
        </is>
      </c>
      <c r="F219" t="inlineStr">
        <is>
          <t>Grid-Gen</t>
        </is>
      </c>
      <c r="G219" t="inlineStr">
        <is>
          <t>LITTORAL</t>
        </is>
      </c>
      <c r="H219" t="inlineStr">
        <is>
          <t>Dizangue</t>
        </is>
      </c>
      <c r="I219" t="inlineStr"/>
      <c r="J219" t="n">
        <v>0</v>
      </c>
      <c r="K219" t="n">
        <v>0</v>
      </c>
      <c r="L219" t="n">
        <v>0</v>
      </c>
      <c r="M219" t="n">
        <v>0</v>
      </c>
      <c r="N219" t="inlineStr">
        <is>
          <t>Operationnel</t>
        </is>
      </c>
      <c r="O219" t="inlineStr"/>
      <c r="P219" t="inlineStr">
        <is>
          <t>BSS</t>
        </is>
      </c>
      <c r="Q219" t="inlineStr">
        <is>
          <t>RAN ISSUE</t>
        </is>
      </c>
      <c r="R219" t="inlineStr">
        <is>
          <t>BSS Hardware issue</t>
        </is>
      </c>
      <c r="S219" t="inlineStr">
        <is>
          <t>ACTIVE</t>
        </is>
      </c>
      <c r="T219" t="inlineStr">
        <is>
          <t>(04/29/2026 cell zte): 29/04/2026 : FME should check and clean jumper and port 2 of RRU 61 || Fme active et actuellement sur sites coupes et se ira sur site apres intervention
28/04/2026 : Besoin d'analyse BO RAN</t>
        </is>
      </c>
      <c r="U219" t="inlineStr">
        <is>
          <t>04/29/2026 cell zte) : 29/04/2026 : FME should check and clean jumper and port 2 of RRU 61 || Fme active et actuellement sur sites coupes et se ira sur site apres intervention 28/04/2026 : Besoin d'analyse BO RAN</t>
        </is>
      </c>
    </row>
    <row r="220">
      <c r="A220" s="96" t="n">
        <v>46141</v>
      </c>
      <c r="B220" t="inlineStr">
        <is>
          <t>Nsimalene-Yemwak</t>
        </is>
      </c>
      <c r="C220" t="inlineStr">
        <is>
          <t>SUD_122</t>
        </is>
      </c>
      <c r="D220" t="inlineStr"/>
      <c r="E220" t="inlineStr">
        <is>
          <t>CAMUSAT</t>
        </is>
      </c>
      <c r="F220" t="inlineStr">
        <is>
          <t>Hybrid Solar - S3</t>
        </is>
      </c>
      <c r="G220" t="inlineStr">
        <is>
          <t>SUD</t>
        </is>
      </c>
      <c r="H220" t="inlineStr">
        <is>
          <t>Nsimalene-Yemwak</t>
        </is>
      </c>
      <c r="I220" t="inlineStr"/>
      <c r="J220" t="n">
        <v>0</v>
      </c>
      <c r="K220" t="n">
        <v>0</v>
      </c>
      <c r="L220" t="n">
        <v>0</v>
      </c>
      <c r="M220" t="n">
        <v>0</v>
      </c>
      <c r="N220" t="inlineStr">
        <is>
          <t>Operationnel</t>
        </is>
      </c>
      <c r="O220" t="inlineStr"/>
      <c r="P220" t="inlineStr">
        <is>
          <t>ENVTECH</t>
        </is>
      </c>
      <c r="Q220" t="inlineStr">
        <is>
          <t>ENVTECH</t>
        </is>
      </c>
      <c r="R220" t="inlineStr">
        <is>
          <t>Sites strategiques, MLL, Pylone, etc.</t>
        </is>
      </c>
      <c r="S220" t="inlineStr">
        <is>
          <t>PASSIVE</t>
        </is>
      </c>
      <c r="T220" t="inlineStr">
        <is>
          <t>(04/29/2026 cell zte): 28/04/2026 : Relance faite a camusat ce jour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down..;..;(04/29/2026 cell zte): 28/04/2026 : Relance faite a camusat ce jour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down..;..;(04/29/2026 cell zte): 28/04/2026 : Relance faite a camusat ce jour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t>
        </is>
      </c>
      <c r="U220" t="inlineStr">
        <is>
          <t>04/29/2026 cell zte) : 28/04/2026 : Relance faite a camusat ce jour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down.;.;(04/29/2026 cell zte) : 28/04/2026 : Relance faite a camusat ce jour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down.;.;(04/29/2026 cell zte) : 28/04/2026 : Relance faite a camusat ce jour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t>
        </is>
      </c>
    </row>
    <row r="221">
      <c r="A221" s="96" t="n">
        <v>46141</v>
      </c>
      <c r="B221" t="inlineStr">
        <is>
          <t>Olama-IHS</t>
        </is>
      </c>
      <c r="C221" t="inlineStr">
        <is>
          <t>CTR_441</t>
        </is>
      </c>
      <c r="D221" t="inlineStr"/>
      <c r="E221" t="inlineStr">
        <is>
          <t>IHS</t>
        </is>
      </c>
      <c r="F221" t="inlineStr">
        <is>
          <t>Grid-Gen</t>
        </is>
      </c>
      <c r="G221" t="inlineStr">
        <is>
          <t>CENTRE</t>
        </is>
      </c>
      <c r="H221" t="inlineStr">
        <is>
          <t>Olama</t>
        </is>
      </c>
      <c r="I221" t="inlineStr"/>
      <c r="J221" t="n">
        <v>0</v>
      </c>
      <c r="K221" t="n">
        <v>0</v>
      </c>
      <c r="L221" t="n">
        <v>0</v>
      </c>
      <c r="M221" t="n">
        <v>0</v>
      </c>
      <c r="N221" t="inlineStr">
        <is>
          <t>Operationnel</t>
        </is>
      </c>
      <c r="O221" t="inlineStr"/>
      <c r="P221" t="inlineStr">
        <is>
          <t>IHS</t>
        </is>
      </c>
      <c r="Q221" t="inlineStr">
        <is>
          <t>POWER ISSUE</t>
        </is>
      </c>
      <c r="R221" t="inlineStr">
        <is>
          <t>Defaut GE &amp; Power Cabinet</t>
        </is>
      </c>
      <c r="S221" t="inlineStr">
        <is>
          <t>PASSIVE</t>
        </is>
      </c>
      <c r="T221" t="inlineStr">
        <is>
          <t>(04/29/2026 cell zte): 29/04/2026 : Power issue || Mail sent to HIS || Feedback HIS : Our FME is already informed, the issue is handled in our side.
We will keep you updated</t>
        </is>
      </c>
      <c r="U221" t="inlineStr">
        <is>
          <t>04/29/2026 cell zte) : 29/04/2026 : Power issue || Mail sent to HIS || Feedback HIS : Our FME is already informed, the issue is handled in our side. We will keep you updated</t>
        </is>
      </c>
    </row>
    <row r="222">
      <c r="A222" s="96" t="n">
        <v>46141</v>
      </c>
      <c r="B222" t="inlineStr">
        <is>
          <t>Bonalea</t>
        </is>
      </c>
      <c r="C222" t="inlineStr">
        <is>
          <t>LIT_296</t>
        </is>
      </c>
      <c r="D222" t="inlineStr"/>
      <c r="E222" t="inlineStr">
        <is>
          <t>IHS</t>
        </is>
      </c>
      <c r="F222" t="inlineStr">
        <is>
          <t>Grid-Gen</t>
        </is>
      </c>
      <c r="G222" t="inlineStr">
        <is>
          <t>LITTORAL</t>
        </is>
      </c>
      <c r="H222" t="inlineStr">
        <is>
          <t>Bonalea</t>
        </is>
      </c>
      <c r="I222" t="inlineStr"/>
      <c r="J222" t="n">
        <v>0</v>
      </c>
      <c r="K222" t="n">
        <v>0</v>
      </c>
      <c r="L222" t="n">
        <v>0</v>
      </c>
      <c r="M222" t="n">
        <v>0</v>
      </c>
      <c r="N222" t="inlineStr">
        <is>
          <t>Operationnel</t>
        </is>
      </c>
      <c r="O222" t="inlineStr"/>
      <c r="P222" t="inlineStr">
        <is>
          <t>IHS</t>
        </is>
      </c>
      <c r="Q222" t="inlineStr">
        <is>
          <t>POWER ISSUE</t>
        </is>
      </c>
      <c r="R222" t="inlineStr">
        <is>
          <t>Defaut GE &amp; Power Cabinet</t>
        </is>
      </c>
      <c r="S222" t="inlineStr">
        <is>
          <t>PASSIVE</t>
        </is>
      </c>
      <c r="T222" t="inlineStr">
        <is>
          <t>(04/29/2026 hourly IHS): Fme is on Site</t>
        </is>
      </c>
      <c r="U222" t="inlineStr">
        <is>
          <t>: Fme is on Site</t>
        </is>
      </c>
    </row>
    <row r="223">
      <c r="A223" s="96" t="n">
        <v>46141</v>
      </c>
      <c r="B223" t="inlineStr">
        <is>
          <t>Bare</t>
        </is>
      </c>
      <c r="C223" t="inlineStr">
        <is>
          <t>LIT_112</t>
        </is>
      </c>
      <c r="D223" t="inlineStr"/>
      <c r="E223" t="inlineStr">
        <is>
          <t>IHS</t>
        </is>
      </c>
      <c r="F223" t="inlineStr">
        <is>
          <t>Grid-Gen</t>
        </is>
      </c>
      <c r="G223" t="inlineStr">
        <is>
          <t>LITTORAL</t>
        </is>
      </c>
      <c r="H223" t="inlineStr">
        <is>
          <t>Bare</t>
        </is>
      </c>
      <c r="I223" t="inlineStr"/>
      <c r="J223" t="n">
        <v>0</v>
      </c>
      <c r="K223" t="n">
        <v>0</v>
      </c>
      <c r="L223" t="n">
        <v>0</v>
      </c>
      <c r="M223" t="n">
        <v>0</v>
      </c>
      <c r="N223" t="inlineStr">
        <is>
          <t>Operationnel</t>
        </is>
      </c>
      <c r="O223" t="inlineStr"/>
      <c r="P223" t="inlineStr">
        <is>
          <t>BSS</t>
        </is>
      </c>
      <c r="Q223" t="inlineStr">
        <is>
          <t>RAN ISSUE</t>
        </is>
      </c>
      <c r="R223" t="inlineStr">
        <is>
          <t>BSS Hardware issue</t>
        </is>
      </c>
      <c r="S223" t="inlineStr">
        <is>
          <t>ACTIVE</t>
        </is>
      </c>
      <c r="T223" t="inlineStr">
        <is>
          <t>(04/29/2026 cell zte): 29/04/2026 : Intervention prevu pour demain 
28/04/2026 : Fme active ETA attendu || Intervention prevu pour demain
27/04/2026 : Besoin d'analyse BO RAN || Check and clean jumper, port 2 of RRU 61..;..;(04/29/2026 cell zte): 29/04/2026 : Intervention reporter a demain
28/04/2026 : Fme active ETA attendu || Intervention prevu pour demain
27/04/2026 : Besoin d'analyse BO RAN || Check and clean jumper, port 2 of RRU 61..;..;(04/29/2026 cell zte): 29/04/2026 : Intervention prevu pour demain 30042026
28/04/2026 : Fme active ETA attendu || Intervention prevu pour demain
27/04/2026 : Besoin d'analyse BO RAN || Check and clean jumper, port 2 of RRU 61</t>
        </is>
      </c>
      <c r="U223" t="inlineStr">
        <is>
          <t>04/29/2026 cell zte) : 29/04/2026 : Intervention prevu pour demain 28/04/2026 : Fme active ETA attendu || Intervention prevu pour demain 27/04/2026 : Besoin d'analyse BO RAN || Check and clean jumper, port 2 of RRU 61.;.;(04/29/2026 cell zte) : 29/04/2026 : Intervention reporter a demain 28/04/2026 : Fme active ETA attendu || Intervention prevu pour demain 27/04/2026 : Besoin d'analyse BO RAN || Check and clean jumper, port 2 of RRU 61.;.;(04/29/2026 cell zte) : 29/04/2026 : Intervention prevu pour demain 30042026 28/04/2026 : Fme active ETA attendu || Intervention prevu pour demain 27/04/2026 : Besoin d'analyse BO RAN || Check and clean jumper, port 2 of RRU 61</t>
        </is>
      </c>
    </row>
    <row r="224">
      <c r="A224" s="96" t="n">
        <v>46141</v>
      </c>
      <c r="B224" t="inlineStr">
        <is>
          <t>Apouh</t>
        </is>
      </c>
      <c r="C224" t="inlineStr">
        <is>
          <t>LIT_512</t>
        </is>
      </c>
      <c r="D224" t="inlineStr"/>
      <c r="E224" t="inlineStr">
        <is>
          <t>IHS</t>
        </is>
      </c>
      <c r="F224" t="inlineStr">
        <is>
          <t>Grid-Gen</t>
        </is>
      </c>
      <c r="G224" t="inlineStr">
        <is>
          <t>LITTORAL</t>
        </is>
      </c>
      <c r="H224" t="inlineStr">
        <is>
          <t>Apouh</t>
        </is>
      </c>
      <c r="I224" t="inlineStr"/>
      <c r="J224" t="n">
        <v>0</v>
      </c>
      <c r="K224" t="n">
        <v>0</v>
      </c>
      <c r="L224" t="n">
        <v>0</v>
      </c>
      <c r="M224" t="n">
        <v>0</v>
      </c>
      <c r="N224" t="inlineStr">
        <is>
          <t>Operationnel</t>
        </is>
      </c>
      <c r="O224" t="inlineStr"/>
      <c r="P224" t="inlineStr">
        <is>
          <t>SPARE-ISSUE</t>
        </is>
      </c>
      <c r="Q224" t="inlineStr">
        <is>
          <t>SPARE-ISSUE</t>
        </is>
      </c>
      <c r="R224" t="inlineStr">
        <is>
          <t>SPARE-ISSUE</t>
        </is>
      </c>
      <c r="S224" t="inlineStr">
        <is>
          <t>SPARE-ISSUE</t>
        </is>
      </c>
      <c r="T224" t="inlineStr">
        <is>
          <t xml:space="preserve">(04/29/2026 ocm ran 00h): 28/04/2026 Odu fautlty pas disponible au WH  commande passé a OCM ..;..;(04/29/2026 com ran 17h): 28/04/2026 Odu fautlty pas disponible au WH  commande passé a OCM ..;..;(04/29/2026 com ran 18h): 28/04/2026 Odu fautlty pas disponible au WH  commande passé a OCM </t>
        </is>
      </c>
      <c r="U224" t="inlineStr">
        <is>
          <t>: 28/04/2026 Odu fautlty pas disponible au WH commande passé a OCM .;.;(04/29/2026 com ran 17h) : 28/04/2026 Odu fautlty pas disponible au WH commande passé a OCM .;.;(04/29/2026 com ran 18h) : 28/04/2026 Odu fautlty pas disponible au WH commande passé a OCM</t>
        </is>
      </c>
    </row>
    <row r="225">
      <c r="A225" s="96" t="n">
        <v>46141</v>
      </c>
      <c r="B225" t="inlineStr">
        <is>
          <t>Bafmeng</t>
        </is>
      </c>
      <c r="C225" t="inlineStr">
        <is>
          <t>NRO_047</t>
        </is>
      </c>
      <c r="D225" t="inlineStr"/>
      <c r="E225" t="inlineStr">
        <is>
          <t>IHS</t>
        </is>
      </c>
      <c r="F225" t="inlineStr">
        <is>
          <t>Hybrid-Gen</t>
        </is>
      </c>
      <c r="G225" t="inlineStr">
        <is>
          <t>NORD-OUEST</t>
        </is>
      </c>
      <c r="H225" t="inlineStr">
        <is>
          <t>Bafmeng</t>
        </is>
      </c>
      <c r="I225" t="inlineStr"/>
      <c r="J225" t="n">
        <v>0</v>
      </c>
      <c r="K225" t="n">
        <v>0</v>
      </c>
      <c r="L225" t="n">
        <v>0</v>
      </c>
      <c r="M225" t="n">
        <v>0</v>
      </c>
      <c r="N225" t="inlineStr">
        <is>
          <t>Insecurity</t>
        </is>
      </c>
      <c r="O225" t="inlineStr"/>
      <c r="P225" t="inlineStr">
        <is>
          <t>ACCESS-ISSUE</t>
        </is>
      </c>
      <c r="Q225" t="inlineStr">
        <is>
          <t>ACCESS-ISSUE</t>
        </is>
      </c>
      <c r="R225" t="inlineStr">
        <is>
          <t>ACCESS-ISSUE</t>
        </is>
      </c>
      <c r="S225" t="inlineStr">
        <is>
          <t>ACCESS-ISSUE</t>
        </is>
      </c>
      <c r="T225" t="inlineStr">
        <is>
          <t>(04/29/2026 ocm ran 00h):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site..;..;(04/29/2026 com ran 17h): 29/04/2026 |plan for this weekend if access possible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site..;..;(04/29/2026 com ran 18h): 29/04/2026 |plan for this weekend if access possible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t>
        </is>
      </c>
      <c r="U225" t="inlineStr">
        <is>
          <t>: 28.04.2026 :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site.;.;(04/29/2026 com ran 17h) : 29/04/2026 |plan for this weekend if access possible 28.04.2026 :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site.;.;(04/29/2026 com ran 18h) : 29/04/2026 |plan for this weekend if access possible 28.04.2026 :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t>
        </is>
      </c>
    </row>
    <row r="226">
      <c r="A226" s="96" t="n">
        <v>46141</v>
      </c>
      <c r="B226" t="inlineStr">
        <is>
          <t>Ngoro</t>
        </is>
      </c>
      <c r="C226" t="inlineStr">
        <is>
          <t>CTR_278</t>
        </is>
      </c>
      <c r="D226" t="inlineStr"/>
      <c r="E226" t="inlineStr">
        <is>
          <t>IHS</t>
        </is>
      </c>
      <c r="F226" t="inlineStr">
        <is>
          <t>SolarAER-Gen-Lithium</t>
        </is>
      </c>
      <c r="G226" t="inlineStr">
        <is>
          <t>CENTRE</t>
        </is>
      </c>
      <c r="H226" t="inlineStr">
        <is>
          <t>Ngoro</t>
        </is>
      </c>
      <c r="I226" t="inlineStr"/>
      <c r="J226" t="n">
        <v>0</v>
      </c>
      <c r="K226" t="n">
        <v>0</v>
      </c>
      <c r="L226" t="n">
        <v>0</v>
      </c>
      <c r="M226" t="n">
        <v>0</v>
      </c>
      <c r="N226" t="inlineStr">
        <is>
          <t>Operationnel</t>
        </is>
      </c>
      <c r="O226" t="inlineStr"/>
      <c r="P226" t="inlineStr">
        <is>
          <t>IHS</t>
        </is>
      </c>
      <c r="Q226" t="inlineStr">
        <is>
          <t>POWER ISSUE</t>
        </is>
      </c>
      <c r="R226" t="inlineStr">
        <is>
          <t>Defaut GE &amp; Power Cabinet</t>
        </is>
      </c>
      <c r="S226" t="inlineStr">
        <is>
          <t>PASSIVE</t>
        </is>
      </c>
      <c r="T226" t="inlineStr">
        <is>
          <t>(04/29/2026 hourly IHS): Francis is informed and managing (Cedric is informed )</t>
        </is>
      </c>
      <c r="U226" t="inlineStr">
        <is>
          <t>: Francis is informed and managing (Cedric is informed )</t>
        </is>
      </c>
    </row>
    <row r="227">
      <c r="A227" s="96" t="n">
        <v>46141</v>
      </c>
      <c r="B227" t="inlineStr">
        <is>
          <t>Obala-Carrefour-MTN-IHS</t>
        </is>
      </c>
      <c r="C227" t="inlineStr">
        <is>
          <t>CTR_174</t>
        </is>
      </c>
      <c r="D227" t="inlineStr"/>
      <c r="E227" t="inlineStr">
        <is>
          <t>IHS</t>
        </is>
      </c>
      <c r="F227" t="inlineStr">
        <is>
          <t>Hybrid-Gen</t>
        </is>
      </c>
      <c r="G227" t="inlineStr">
        <is>
          <t>CENTRE</t>
        </is>
      </c>
      <c r="H227" t="inlineStr">
        <is>
          <t>Obala</t>
        </is>
      </c>
      <c r="I227" t="inlineStr"/>
      <c r="J227" t="n">
        <v>0</v>
      </c>
      <c r="K227" t="n">
        <v>0</v>
      </c>
      <c r="L227" t="n">
        <v>0</v>
      </c>
      <c r="M227" t="n">
        <v>0</v>
      </c>
      <c r="N227" t="inlineStr">
        <is>
          <t>Operationnel</t>
        </is>
      </c>
      <c r="O227" t="inlineStr"/>
      <c r="P227" t="inlineStr">
        <is>
          <t>IHS</t>
        </is>
      </c>
      <c r="Q227" t="inlineStr">
        <is>
          <t>POWER ISSUE</t>
        </is>
      </c>
      <c r="R227" t="inlineStr">
        <is>
          <t>Defaut GE &amp; Power Cabinet</t>
        </is>
      </c>
      <c r="S227" t="inlineStr">
        <is>
          <t>PASSIVE</t>
        </is>
      </c>
      <c r="T227" t="inlineStr">
        <is>
          <t>(04/29/2026 hourly IHS): Rostand is managing with level 0</t>
        </is>
      </c>
      <c r="U227" t="inlineStr">
        <is>
          <t>: Rostand is managing with level 0</t>
        </is>
      </c>
    </row>
    <row r="228">
      <c r="A228" s="96" t="n">
        <v>46141</v>
      </c>
      <c r="B228" t="inlineStr">
        <is>
          <t>Ekabita-Essele</t>
        </is>
      </c>
      <c r="C228" t="inlineStr">
        <is>
          <t>CTR_437</t>
        </is>
      </c>
      <c r="D228" t="inlineStr"/>
      <c r="E228" t="inlineStr">
        <is>
          <t>IHS</t>
        </is>
      </c>
      <c r="F228" t="inlineStr">
        <is>
          <t>Grid-Gen</t>
        </is>
      </c>
      <c r="G228" t="inlineStr">
        <is>
          <t>CENTRE</t>
        </is>
      </c>
      <c r="H228" t="inlineStr">
        <is>
          <t>Ekabita-Essele</t>
        </is>
      </c>
      <c r="I228" t="inlineStr"/>
      <c r="J228" t="n">
        <v>0</v>
      </c>
      <c r="K228" t="n">
        <v>0</v>
      </c>
      <c r="L228" t="n">
        <v>0</v>
      </c>
      <c r="M228" t="n">
        <v>0</v>
      </c>
      <c r="N228" t="inlineStr">
        <is>
          <t>Operationnel</t>
        </is>
      </c>
      <c r="O228" t="inlineStr"/>
      <c r="P228" t="inlineStr">
        <is>
          <t>IHS</t>
        </is>
      </c>
      <c r="Q228" t="inlineStr">
        <is>
          <t>POWER ISSUE</t>
        </is>
      </c>
      <c r="R228" t="inlineStr">
        <is>
          <t>Defaut GE &amp; Power Cabinet</t>
        </is>
      </c>
      <c r="S228" t="inlineStr">
        <is>
          <t>PASSIVE</t>
        </is>
      </c>
      <c r="T228" t="inlineStr">
        <is>
          <t>(04/29/2026 cell zte): 29/04/2026 : Power issue || Mail sent to HIS || Feedback HIS : Investigations ongoing.
We will keep you updated</t>
        </is>
      </c>
      <c r="U228" t="inlineStr">
        <is>
          <t>04/29/2026 cell zte) : 29/04/2026 : Power issue || Mail sent to HIS || Feedback HIS : Investigations ongoing. We will keep you updated</t>
        </is>
      </c>
    </row>
    <row r="229">
      <c r="A229" s="96" t="n">
        <v>46141</v>
      </c>
      <c r="B229" t="inlineStr">
        <is>
          <t>Penja-PHP</t>
        </is>
      </c>
      <c r="C229" t="inlineStr">
        <is>
          <t>LIT_594</t>
        </is>
      </c>
      <c r="D229" t="inlineStr"/>
      <c r="E229" t="inlineStr">
        <is>
          <t>CAMUSAT</t>
        </is>
      </c>
      <c r="F229" t="inlineStr">
        <is>
          <t>Good Grid + GE</t>
        </is>
      </c>
      <c r="G229" t="inlineStr">
        <is>
          <t>LITTORAL</t>
        </is>
      </c>
      <c r="H229" t="inlineStr">
        <is>
          <t>Penja</t>
        </is>
      </c>
      <c r="I229" t="inlineStr"/>
      <c r="J229" t="n">
        <v>0</v>
      </c>
      <c r="K229" t="n">
        <v>0</v>
      </c>
      <c r="L229" t="n">
        <v>0</v>
      </c>
      <c r="M229" t="n">
        <v>0</v>
      </c>
      <c r="N229" t="inlineStr">
        <is>
          <t>Operationnel</t>
        </is>
      </c>
      <c r="O229" t="inlineStr"/>
      <c r="P229" t="inlineStr">
        <is>
          <t>AKTIVCO</t>
        </is>
      </c>
      <c r="Q229" t="inlineStr">
        <is>
          <t>POWER ISSUE</t>
        </is>
      </c>
      <c r="R229" t="inlineStr">
        <is>
          <t>AKTIVCO Defaut GE &amp; Power Cabinet</t>
        </is>
      </c>
      <c r="S229" t="inlineStr">
        <is>
          <t>PASSIVE</t>
        </is>
      </c>
      <c r="T229" t="inlineStr">
        <is>
          <t>(04/29/2026 ocm ran 00h): 28.04.26: Camusat: insecured area at late nights / FME will manage in the morning - Escalated to L2</t>
        </is>
      </c>
      <c r="U229" t="inlineStr">
        <is>
          <t>: 28.04.26 : Camusat : insecured area at late nights / FME will manage in the morning - Escalated to L2</t>
        </is>
      </c>
    </row>
    <row r="230">
      <c r="A230" s="96" t="n">
        <v>46141</v>
      </c>
      <c r="B230" t="inlineStr">
        <is>
          <t>Mengue-Bibey-Camrail</t>
        </is>
      </c>
      <c r="C230" t="inlineStr">
        <is>
          <t>CTR_455</t>
        </is>
      </c>
      <c r="D230" t="inlineStr"/>
      <c r="E230" t="inlineStr">
        <is>
          <t>CAMUSAT</t>
        </is>
      </c>
      <c r="F230" t="inlineStr"/>
      <c r="G230" t="inlineStr">
        <is>
          <t>CENTRE</t>
        </is>
      </c>
      <c r="H230" t="inlineStr">
        <is>
          <t>Mengue-Bibey</t>
        </is>
      </c>
      <c r="I230" t="inlineStr"/>
      <c r="J230" t="n">
        <v>0</v>
      </c>
      <c r="K230" t="n">
        <v>0</v>
      </c>
      <c r="L230" t="n">
        <v>0</v>
      </c>
      <c r="M230" t="n">
        <v>0</v>
      </c>
      <c r="N230" t="inlineStr">
        <is>
          <t>Operationnel</t>
        </is>
      </c>
      <c r="O230" t="inlineStr"/>
      <c r="P230" t="inlineStr">
        <is>
          <t>ACCESS-ISSUE</t>
        </is>
      </c>
      <c r="Q230" t="inlineStr">
        <is>
          <t>ACCESS-ISSUE</t>
        </is>
      </c>
      <c r="R230" t="inlineStr">
        <is>
          <t>ACCESS-ISSUE</t>
        </is>
      </c>
      <c r="S230" t="inlineStr">
        <is>
          <t>ACCESS-ISSUE</t>
        </is>
      </c>
      <c r="T230" t="inlineStr">
        <is>
          <t>(04/29/2026 cell zte): 
29/04/2026 : Feedback camrail attendu
28/04/2026 : Demande de Work_permit par OCM a Camrail || Feedback camrail attendu attendu
27/04/2026 : Besoin d'analyse BO RAN || FME should check Antenna Fider status..;..;(04/29/2026 cell zte): 
29/04/2026 : Feedback camrail attendu
28/04/2026 : Demande de Work_permit par OCM a Camrail || Feedback camrail attendu attendu
27/04/2026 : Besoin d'analyse BO RAN || FME should check Antenna Fider status..;..;(04/29/2026 cell zte): 
29/04/2026 : Feedback camrail attendu
28/04/2026 : Demande de Work_permit par OCM a Camrail || Feedback camrail attendu attendu
27/04/2026 : Besoin d'analyse BO RAN || FME should check Antenna Fider status</t>
        </is>
      </c>
      <c r="U230" t="inlineStr">
        <is>
          <t>04/29/2026 cell zte) : 29/04/2026 : Feedback camrail attendu 28/04/2026 : Demande de Work_permit par OCM a Camrail || Feedback camrail attendu attendu 27/04/2026 : Besoin d'analyse BO RAN || FME should check Antenna Fider status.;.;(04/29/2026 cell zte) : 29/04/2026 : Feedback camrail attendu 28/04/2026 : Demande de Work_permit par OCM a Camrail || Feedback camrail attendu attendu 27/04/2026 : Besoin d'analyse BO RAN || FME should check Antenna Fider status.;.;(04/29/2026 cell zte) : 29/04/2026 : Feedback camrail attendu 28/04/2026 : Demande de Work_permit par OCM a Camrail || Feedback camrail attendu attendu 27/04/2026 : Besoin d'analyse BO RAN || FME should check Antenna Fider status</t>
        </is>
      </c>
    </row>
    <row r="231">
      <c r="A231" s="96" t="n">
        <v>46141</v>
      </c>
      <c r="B231" t="inlineStr">
        <is>
          <t>Batibo</t>
        </is>
      </c>
      <c r="C231" t="inlineStr">
        <is>
          <t>NRO_010</t>
        </is>
      </c>
      <c r="D231" t="inlineStr"/>
      <c r="E231" t="inlineStr">
        <is>
          <t>IHS</t>
        </is>
      </c>
      <c r="F231" t="inlineStr">
        <is>
          <t>Grid-Gen</t>
        </is>
      </c>
      <c r="G231" t="inlineStr">
        <is>
          <t>NORD-OUEST</t>
        </is>
      </c>
      <c r="H231" t="inlineStr">
        <is>
          <t>Batibo</t>
        </is>
      </c>
      <c r="I231" t="inlineStr"/>
      <c r="J231" t="n">
        <v>0</v>
      </c>
      <c r="K231" t="n">
        <v>0</v>
      </c>
      <c r="L231" t="n">
        <v>0</v>
      </c>
      <c r="M231" t="n">
        <v>0</v>
      </c>
      <c r="N231" t="inlineStr">
        <is>
          <t>Insecurity</t>
        </is>
      </c>
      <c r="O231" t="inlineStr"/>
      <c r="P231" t="inlineStr">
        <is>
          <t>ACCESS-ISSUE</t>
        </is>
      </c>
      <c r="Q231" t="inlineStr">
        <is>
          <t>ACCESS-ISSUE</t>
        </is>
      </c>
      <c r="R231" t="inlineStr">
        <is>
          <t>ACCESS-ISSUE</t>
        </is>
      </c>
      <c r="S231" t="inlineStr">
        <is>
          <t>ACCESS-ISSUE</t>
        </is>
      </c>
      <c r="T231" t="inlineStr">
        <is>
          <t xml:space="preserve">(04/29/2026 cell nokia): 29/04/2026 : FME activer 
28/04/2026 : Escalade faite au RM || FME 
27/04/2026 : Need BO RAN analysis ||FME seydou should reload software || Ghost town ..;..;(04/29/2026 cell nokia): 29/04/2026 : FME activer 
28/04/2026 : Escalade faite au RM || FME 
27/04/2026 : Need BO RAN analysis ||FME seydou should reload software || Ghost town ..;..;(04/29/2026 cell nokia): 29/04/2026 : Escalade faite au RM : en attente de son feedback 
28/04/2026 : Escalade faite au RM || FME 
27/04/2026 : Need BO RAN analysis ||FME seydou should reload software || Ghost town </t>
        </is>
      </c>
      <c r="U231" t="inlineStr">
        <is>
          <t>04/29/2026 cell nokia) : 29/04/2026 : FME activer 28/04/2026 : Escalade faite au RM || FME 27/04/2026 : Need BO RAN analysis || FME seydou should reload software || Ghost town .;.;(04/29/2026 cell nokia) : 29/04/2026 : FME activer 28/04/2026 : Escalade faite au RM || FME 27/04/2026 : Need BO RAN analysis || FME seydou should reload software || Ghost town .;.;(04/29/2026 cell nokia) : 29/04/2026 : Escalade faite au RM : en attente de son feedback 28/04/2026 : Escalade faite au RM || FME 27/04/2026 : Need BO RAN analysis || FME seydou should reload software || Ghost town</t>
        </is>
      </c>
    </row>
    <row r="232">
      <c r="A232" s="96" t="n">
        <v>46141</v>
      </c>
      <c r="B232" t="inlineStr">
        <is>
          <t>Lounghe-Camrail</t>
        </is>
      </c>
      <c r="C232" t="inlineStr">
        <is>
          <t>LIT_389</t>
        </is>
      </c>
      <c r="D232" t="inlineStr"/>
      <c r="E232" t="inlineStr">
        <is>
          <t>CAMUSAT</t>
        </is>
      </c>
      <c r="F232" t="inlineStr">
        <is>
          <t>Pure Solar</t>
        </is>
      </c>
      <c r="G232" t="inlineStr">
        <is>
          <t>LITTORAL</t>
        </is>
      </c>
      <c r="H232" t="inlineStr">
        <is>
          <t>Dibamba</t>
        </is>
      </c>
      <c r="I232" t="inlineStr"/>
      <c r="J232" t="n">
        <v>0</v>
      </c>
      <c r="K232" t="n">
        <v>0</v>
      </c>
      <c r="L232" t="n">
        <v>0</v>
      </c>
      <c r="M232" t="n">
        <v>0</v>
      </c>
      <c r="N232" t="inlineStr">
        <is>
          <t>Operationnel</t>
        </is>
      </c>
      <c r="O232" t="inlineStr"/>
      <c r="P232" t="inlineStr">
        <is>
          <t>AKTIVCO</t>
        </is>
      </c>
      <c r="Q232" t="inlineStr">
        <is>
          <t>POWER ISSUE</t>
        </is>
      </c>
      <c r="R232" t="inlineStr">
        <is>
          <t>AKTIVCO Defaut GE &amp; Power Cabinet</t>
        </is>
      </c>
      <c r="S232" t="inlineStr">
        <is>
          <t>PASSIVE</t>
        </is>
      </c>
      <c r="T232" t="inlineStr">
        <is>
          <t>(04/29/2026 ocm ran 00h): 28.04.26: Camusat: Solar outage / awaiting solar intensity return - Escalated to L2..;..;(04/29/2026 com ran 17h): 29/04/2026 FME activé en route pour le P2 de MBONGO  
besoin d'un fme sur site pour pour verifier le status du MPR et la chaine antennaire de l ODU 
28.04.26: Camusat: Solar outage / awaiting solar intensity return - Escalated to L2..;..;(04/29/2026 com ran 18h): 29/04/2026 FME activé en route pour le P2 de MBONGO  
besoin d'un fme sur site pour pour verifier le status du MPR et la chaine antennaire de l ODU 
28.04.26: Camusat: Solar outage / awaiting solar intensity return - Escalated to L2</t>
        </is>
      </c>
      <c r="U232" t="inlineStr">
        <is>
          <t>: 28.04.26 : Camusat : Solar outage / awaiting solar intensity return - Escalated to L2.;.;(04/29/2026 com ran 17h) : 29/04/2026 FME activé en route pour le P2 de MBONGO besoin d'un fme sur site pour pour verifier le status du MPR et la chaine antennaire de l ODU 28.04.26 : Camusat : Solar outage / awaiting solar intensity return - Escalated to L2.;.;(04/29/2026 com ran 18h) : 29/04/2026 FME activé en route pour le P2 de MBONGO besoin d'un fme sur site pour pour verifier le status du MPR et la chaine antennaire de l ODU 28.04.26 : Camusat : Solar outage / awaiting solar intensity return - Escalated to L2</t>
        </is>
      </c>
    </row>
    <row r="233">
      <c r="A233" s="96" t="n">
        <v>46141</v>
      </c>
      <c r="B233" t="inlineStr">
        <is>
          <t>Zamakoe-MTN</t>
        </is>
      </c>
      <c r="C233" t="inlineStr">
        <is>
          <t>CTR_366</t>
        </is>
      </c>
      <c r="D233" t="inlineStr"/>
      <c r="E233" t="inlineStr">
        <is>
          <t>IHS</t>
        </is>
      </c>
      <c r="F233" t="inlineStr">
        <is>
          <t>Grid-Gen</t>
        </is>
      </c>
      <c r="G233" t="inlineStr">
        <is>
          <t>CENTRE</t>
        </is>
      </c>
      <c r="H233" t="inlineStr">
        <is>
          <t>Zamakoe</t>
        </is>
      </c>
      <c r="I233" t="inlineStr"/>
      <c r="J233" t="n">
        <v>0</v>
      </c>
      <c r="K233" t="n">
        <v>0</v>
      </c>
      <c r="L233" t="n">
        <v>0</v>
      </c>
      <c r="M233" t="n">
        <v>0</v>
      </c>
      <c r="N233" t="inlineStr">
        <is>
          <t>Operationnel</t>
        </is>
      </c>
      <c r="O233" t="inlineStr"/>
      <c r="P233" t="inlineStr">
        <is>
          <t>SPARE-ISSUE</t>
        </is>
      </c>
      <c r="Q233" t="inlineStr">
        <is>
          <t>SPARE-ISSUE</t>
        </is>
      </c>
      <c r="R233" t="inlineStr">
        <is>
          <t>SPARE-ISSUE</t>
        </is>
      </c>
      <c r="S233" t="inlineStr">
        <is>
          <t>SPARE-ISSUE</t>
        </is>
      </c>
      <c r="T233" t="inlineStr">
        <is>
          <t>(04/29/2026 ocm ran 00h):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CM-20260408-00002730; FME Rodrigue activé pour investigations, update ASAP..;..;(04/29/2026 com ran 17h):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CM-20260408-00002730; FME Rodrigue activé pour investigations, update ASAP..;..;(04/29/2026 com ran 18h):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CM-20260408-00002730; FME Rodrigue activé pour investigations, update ASAP</t>
        </is>
      </c>
      <c r="U233" t="inlineStr">
        <is>
          <t>: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 FME Rodrigue activé pour investigations, update ASAP.;.;(04/29/2026 com ran 17h) :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 FME Rodrigue activé pour investigations, update ASAP.;.;(04/29/2026 com ran 18h) :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 FME Rodrigue activé pour investigations, update ASAP</t>
        </is>
      </c>
    </row>
    <row r="234">
      <c r="A234" s="96" t="n">
        <v>46141</v>
      </c>
      <c r="B234" t="inlineStr">
        <is>
          <t>Bamoko</t>
        </is>
      </c>
      <c r="C234" t="inlineStr">
        <is>
          <t>CTR_091</t>
        </is>
      </c>
      <c r="D234" t="inlineStr"/>
      <c r="E234" t="inlineStr">
        <is>
          <t>IHS</t>
        </is>
      </c>
      <c r="F234" t="inlineStr">
        <is>
          <t>Solar-Gen</t>
        </is>
      </c>
      <c r="G234" t="inlineStr">
        <is>
          <t>CENTRE</t>
        </is>
      </c>
      <c r="H234" t="inlineStr">
        <is>
          <t>Bamoko</t>
        </is>
      </c>
      <c r="I234" t="inlineStr"/>
      <c r="J234" t="n">
        <v>0</v>
      </c>
      <c r="K234" t="n">
        <v>0</v>
      </c>
      <c r="L234" t="n">
        <v>0</v>
      </c>
      <c r="M234" t="n">
        <v>0</v>
      </c>
      <c r="N234" t="inlineStr">
        <is>
          <t>Operationnel</t>
        </is>
      </c>
      <c r="O234" t="inlineStr"/>
      <c r="P234" t="inlineStr">
        <is>
          <t>IHS</t>
        </is>
      </c>
      <c r="Q234" t="inlineStr">
        <is>
          <t>POWER ISSUE</t>
        </is>
      </c>
      <c r="R234" t="inlineStr">
        <is>
          <t>Defaut GE &amp; Power Cabinet</t>
        </is>
      </c>
      <c r="S234" t="inlineStr">
        <is>
          <t>PASSIVE</t>
        </is>
      </c>
      <c r="T234" t="inlineStr">
        <is>
          <t>(04/29/2026 hourly IHS): Francis is on the way to site CEDRIC is informed</t>
        </is>
      </c>
      <c r="U234" t="inlineStr">
        <is>
          <t>: Francis is on the way to site CEDRIC is informed</t>
        </is>
      </c>
    </row>
    <row r="235">
      <c r="A235" s="96" t="n">
        <v>46141</v>
      </c>
      <c r="B235" t="inlineStr">
        <is>
          <t>Ntui-Ecole-Publique</t>
        </is>
      </c>
      <c r="C235" t="inlineStr">
        <is>
          <t>CTR_826</t>
        </is>
      </c>
      <c r="D235" t="inlineStr"/>
      <c r="E235" t="inlineStr">
        <is>
          <t>CAMUSAT</t>
        </is>
      </c>
      <c r="F235" t="inlineStr">
        <is>
          <t>HGB</t>
        </is>
      </c>
      <c r="G235" t="inlineStr">
        <is>
          <t>CENTRE</t>
        </is>
      </c>
      <c r="H235" t="inlineStr">
        <is>
          <t>Ntui</t>
        </is>
      </c>
      <c r="I235" t="inlineStr"/>
      <c r="J235" t="n">
        <v>0</v>
      </c>
      <c r="K235" t="n">
        <v>0</v>
      </c>
      <c r="L235" t="n">
        <v>0</v>
      </c>
      <c r="M235" t="n">
        <v>0</v>
      </c>
      <c r="N235" t="inlineStr">
        <is>
          <t>Operationnel</t>
        </is>
      </c>
      <c r="O235" t="inlineStr"/>
      <c r="P235" t="inlineStr">
        <is>
          <t>SPARE-ISSUE</t>
        </is>
      </c>
      <c r="Q235" t="inlineStr">
        <is>
          <t>SPARE-ISSUE</t>
        </is>
      </c>
      <c r="R235" t="inlineStr">
        <is>
          <t>SPARE-ISSUE</t>
        </is>
      </c>
      <c r="S235" t="inlineStr">
        <is>
          <t>SPARE-ISSUE</t>
        </is>
      </c>
      <c r="T235" t="inlineStr">
        <is>
          <t>(04/29/2026 ocm ran 00h):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UTC..;..;(04/29/2026 com ran 17h):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UTC..;..;(04/29/2026 com ran 18h):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t>
        </is>
      </c>
      <c r="U235" t="inlineStr">
        <is>
          <t>: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UTC.;.;(04/29/2026 com ran 17h) : 22.04.26 :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UTC.;.;(04/29/2026 com ran 18h) : 22.04.26 :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t>
        </is>
      </c>
    </row>
    <row r="236">
      <c r="A236" s="96" t="n">
        <v>46141</v>
      </c>
      <c r="B236" t="inlineStr">
        <is>
          <t>Mamb</t>
        </is>
      </c>
      <c r="C236" t="inlineStr">
        <is>
          <t>CTR_356</t>
        </is>
      </c>
      <c r="D236" t="inlineStr"/>
      <c r="E236" t="inlineStr">
        <is>
          <t>IHS</t>
        </is>
      </c>
      <c r="F236" t="inlineStr">
        <is>
          <t>Grid-Gen</t>
        </is>
      </c>
      <c r="G236" t="inlineStr">
        <is>
          <t>CENTRE</t>
        </is>
      </c>
      <c r="H236" t="inlineStr">
        <is>
          <t>Mamb</t>
        </is>
      </c>
      <c r="I236" t="inlineStr"/>
      <c r="J236" t="n">
        <v>0</v>
      </c>
      <c r="K236" t="n">
        <v>0</v>
      </c>
      <c r="L236" t="n">
        <v>0</v>
      </c>
      <c r="M236" t="n">
        <v>0</v>
      </c>
      <c r="N236" t="inlineStr">
        <is>
          <t>Operationnel</t>
        </is>
      </c>
      <c r="O236" t="inlineStr"/>
      <c r="P236" t="inlineStr">
        <is>
          <t>PDH</t>
        </is>
      </c>
      <c r="Q236" t="inlineStr">
        <is>
          <t>TX ISSUE</t>
        </is>
      </c>
      <c r="R236" t="inlineStr">
        <is>
          <t>MPR ISSUE</t>
        </is>
      </c>
      <c r="S236" t="inlineStr">
        <is>
          <t>ACTIVE</t>
        </is>
      </c>
      <c r="T236" t="inlineStr">
        <is>
          <t xml:space="preserve">(04/29/2026 ocm ran 00h): 28.04.26: Chassis MSS8 faulty, commande en cours, update ASAP
28/04/2026 Besoin d'un fme sur site pour verifier le status du MPR fme etiente activé ETA=ASAP ..;..;(04/29/2026 com ran 17h): 29.04.26 Cammande du chassis passée ETD= 29.04.26 
28.04.26: Chassis MSS8 faulty, commande en cours, update ASAP
28/04/2026 Besoin d'un fme sur site pour verifier le status du MPR fme etiente activé ETA=ASAP ..;..;(04/29/2026 com ran 18h): 29.04.26 Cammande du chassis passée ETD= 29.04.26 ETR=30/04/2026 
28.04.26: Chassis MSS8 faulty, commande en cours, update ASAP
28/04/2026 Besoin d'un fme sur site pour verifier le status du MPR fme etiente activé ETA=ASAP </t>
        </is>
      </c>
      <c r="U236" t="inlineStr">
        <is>
          <t>: 28.04.26 : Chassis MSS8 faulty, commande en cours, update ASAP 28/04/2026 Besoin d'un fme sur site pour verifier le status du MPR fme etiente activé ETA=ASAP .;.;(04/29/2026 com ran 17h) : 29.04.26 Cammande du chassis passée ETD= 29.04.26 28.04.26 : Chassis MSS8 faulty, commande en cours, update ASAP 28/04/2026 Besoin d'un fme sur site pour verifier le status du MPR fme etiente activé ETA=ASAP .;.;(04/29/2026 com ran 18h) : 29.04.26 Cammande du chassis passée ETD= 29.04.26 ETR=30/04/2026 28.04.26 : Chassis MSS8 faulty, commande en cours, update ASAP 28/04/2026 Besoin d'un fme sur site pour verifier le status du MPR fme etiente activé ETA=ASAP</t>
        </is>
      </c>
    </row>
    <row r="237">
      <c r="A237" s="96" t="n">
        <v>46141</v>
      </c>
      <c r="B237" t="inlineStr">
        <is>
          <t>Fifinda-MTN</t>
        </is>
      </c>
      <c r="C237" t="inlineStr">
        <is>
          <t>SUD_215</t>
        </is>
      </c>
      <c r="D237" t="inlineStr"/>
      <c r="E237" t="inlineStr">
        <is>
          <t>IHS</t>
        </is>
      </c>
      <c r="F237" t="inlineStr">
        <is>
          <t>Grid-Gen</t>
        </is>
      </c>
      <c r="G237" t="inlineStr">
        <is>
          <t>SUD</t>
        </is>
      </c>
      <c r="H237" t="inlineStr">
        <is>
          <t>Fifinda</t>
        </is>
      </c>
      <c r="I237" t="inlineStr"/>
      <c r="J237" t="n">
        <v>0</v>
      </c>
      <c r="K237" t="n">
        <v>0</v>
      </c>
      <c r="L237" t="n">
        <v>0</v>
      </c>
      <c r="M237" t="n">
        <v>0</v>
      </c>
      <c r="N237" t="inlineStr">
        <is>
          <t>Operationnel</t>
        </is>
      </c>
      <c r="O237" t="inlineStr"/>
      <c r="P237" t="inlineStr">
        <is>
          <t>SPARE-ISSUE</t>
        </is>
      </c>
      <c r="Q237" t="inlineStr">
        <is>
          <t>SPARE-ISSUE</t>
        </is>
      </c>
      <c r="R237" t="inlineStr">
        <is>
          <t>SPARE-ISSUE</t>
        </is>
      </c>
      <c r="S237" t="inlineStr">
        <is>
          <t>SPARE-ISSUE</t>
        </is>
      </c>
      <c r="T237" t="inlineStr">
        <is>
          <t>(04/29/2026 ocm ran 00h):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ASAP..;..;(04/29/2026 com ran 17h):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ASAP..;..;(04/29/2026 com ran 18h):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t>
        </is>
      </c>
      <c r="U237" t="inlineStr">
        <is>
          <t>: 22.04.26 :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ASAP.;.;(04/29/2026 com ran 17h) : 22.04.26 :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ASAP.;.;(04/29/2026 com ran 18h) : 22.04.26 :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t>
        </is>
      </c>
    </row>
    <row r="238">
      <c r="A238" s="96" t="n">
        <v>46141</v>
      </c>
      <c r="B238" t="inlineStr">
        <is>
          <t>Loum-Nkombi-II-IHS</t>
        </is>
      </c>
      <c r="C238" t="inlineStr">
        <is>
          <t>LIT_520</t>
        </is>
      </c>
      <c r="D238" t="inlineStr"/>
      <c r="E238" t="inlineStr">
        <is>
          <t>IHS</t>
        </is>
      </c>
      <c r="F238" t="inlineStr">
        <is>
          <t>Grid-Gen</t>
        </is>
      </c>
      <c r="G238" t="inlineStr">
        <is>
          <t>LITTORAL</t>
        </is>
      </c>
      <c r="H238" t="inlineStr">
        <is>
          <t>Loum</t>
        </is>
      </c>
      <c r="I238" t="inlineStr"/>
      <c r="J238" t="n">
        <v>0</v>
      </c>
      <c r="K238" t="n">
        <v>0</v>
      </c>
      <c r="L238" t="n">
        <v>0</v>
      </c>
      <c r="M238" t="n">
        <v>0</v>
      </c>
      <c r="N238" t="inlineStr">
        <is>
          <t>Operationnel</t>
        </is>
      </c>
      <c r="O238" t="inlineStr"/>
      <c r="P238" t="inlineStr">
        <is>
          <t>PDH</t>
        </is>
      </c>
      <c r="Q238" t="inlineStr">
        <is>
          <t>TX ISSUE</t>
        </is>
      </c>
      <c r="R238" t="inlineStr">
        <is>
          <t>ODU HS</t>
        </is>
      </c>
      <c r="S238" t="inlineStr">
        <is>
          <t>ACTIVE</t>
        </is>
      </c>
      <c r="T238" t="inlineStr">
        <is>
          <t>(04/29/2026 ocm ran 00h): 28/04/2026 Activate FME at Loum-Camtel to check ODU 5/2; FME Eric activé pour investigations, update ASAP</t>
        </is>
      </c>
      <c r="U238" t="inlineStr">
        <is>
          <t>: 28/04/2026 Activate FME at Loum-Camtel to check ODU 5/2; FME Eric activé pour investigations, update ASAP</t>
        </is>
      </c>
    </row>
    <row r="239">
      <c r="A239" s="96" t="n">
        <v>46139</v>
      </c>
      <c r="B239" t="inlineStr">
        <is>
          <t>Bonewonda-III</t>
        </is>
      </c>
      <c r="C239" t="inlineStr">
        <is>
          <t>LIT_615</t>
        </is>
      </c>
      <c r="D239" t="inlineStr"/>
      <c r="E239" t="inlineStr">
        <is>
          <t>CAMUSAT</t>
        </is>
      </c>
      <c r="F239" t="inlineStr">
        <is>
          <t>Good Grid no GE - 8h</t>
        </is>
      </c>
      <c r="G239" t="inlineStr">
        <is>
          <t>LITTORAL</t>
        </is>
      </c>
      <c r="H239" t="inlineStr">
        <is>
          <t>Douala</t>
        </is>
      </c>
      <c r="I239" t="inlineStr"/>
      <c r="J239" t="inlineStr"/>
      <c r="K239" t="inlineStr"/>
      <c r="L239" t="inlineStr"/>
      <c r="M239" t="inlineStr"/>
      <c r="N239" t="inlineStr">
        <is>
          <t>Operationnel</t>
        </is>
      </c>
      <c r="O239" t="inlineStr"/>
      <c r="P239" t="inlineStr">
        <is>
          <t>AKTIVCO GRID ONLY</t>
        </is>
      </c>
      <c r="Q239" t="inlineStr">
        <is>
          <t>POWER ISSUE</t>
        </is>
      </c>
      <c r="R239" t="inlineStr">
        <is>
          <t>AKTIVCO Coupure ENEO &amp; Baisse de tension</t>
        </is>
      </c>
      <c r="S239" t="inlineStr">
        <is>
          <t>PASSIVE</t>
        </is>
      </c>
      <c r="T239" t="inlineStr">
        <is>
          <t xml:space="preserve">(04/27/2026 cell zte):-22/04/2026 : Site down..;..;(04/27/2026 ocm ran 17h):-27/04/2026 Grid Grid and GEN faulty / Grid return awaited ESCALADE L3 CAMUSAT ..;..;(04/27/2026 ocm ran 11h):-27/04/2026 Grid Grid and GEN faulty / Grid return awaited ESCALADE L3 CAMUSAT </t>
        </is>
      </c>
      <c r="U239" t="inlineStr">
        <is>
          <t>04/27/2026 cell zte) : -22/04/2026 : Site down.;.; : -27/04/2026 Grid Grid and GEN faulty / Grid return awaited ESCALADE L3 CAMUSAT .;.; : -27/04/2026 Grid Grid and GEN faulty / Grid return awaited ESCALADE L3 CAMUSAT</t>
        </is>
      </c>
    </row>
    <row r="240">
      <c r="A240" s="96" t="n">
        <v>46139</v>
      </c>
      <c r="B240" t="inlineStr">
        <is>
          <t>Ancien-Troisieme</t>
        </is>
      </c>
      <c r="C240" t="inlineStr">
        <is>
          <t>LIT_653</t>
        </is>
      </c>
      <c r="D240" t="inlineStr"/>
      <c r="E240" t="inlineStr">
        <is>
          <t>CAMUSAT</t>
        </is>
      </c>
      <c r="F240" t="inlineStr">
        <is>
          <t>Good Grid no GE - 8h</t>
        </is>
      </c>
      <c r="G240" t="inlineStr">
        <is>
          <t>LITTORAL</t>
        </is>
      </c>
      <c r="H240" t="inlineStr">
        <is>
          <t>Douala</t>
        </is>
      </c>
      <c r="I240" t="inlineStr"/>
      <c r="J240" t="inlineStr"/>
      <c r="K240" t="inlineStr"/>
      <c r="L240" t="inlineStr"/>
      <c r="M240" t="inlineStr"/>
      <c r="N240" t="inlineStr">
        <is>
          <t>Operationnel</t>
        </is>
      </c>
      <c r="O240" t="inlineStr"/>
      <c r="P240" t="inlineStr">
        <is>
          <t>AKTIVCO GRID ONLY</t>
        </is>
      </c>
      <c r="Q240" t="inlineStr">
        <is>
          <t>POWER ISSUE</t>
        </is>
      </c>
      <c r="R240" t="inlineStr">
        <is>
          <t>AKTIVCO Coupure ENEO &amp; Baisse de tension</t>
        </is>
      </c>
      <c r="S240" t="inlineStr">
        <is>
          <t>PASSIVE</t>
        </is>
      </c>
      <c r="T240" t="inlineStr">
        <is>
          <t>(04/27/2026 cell zte):-27/04/2026 : Besoin d'analyse BO RAN..;..;(04/27/2026 cell zte):-27/04/2026 : Besoin d'analyse BO RAN || Power issue || Mail sent to camusat..;..;(04/27/2026 ticket):-INC-20260427-00017150</t>
        </is>
      </c>
      <c r="U240" t="inlineStr">
        <is>
          <t>04/27/2026 cell zte) : -27/04/2026 : Besoin d'analyse BO RAN.;.;(04/27/2026 cell zte) : -27/04/2026 : Besoin d'analyse BO RAN || Power issue || Mail sent to camusat.;.; : -</t>
        </is>
      </c>
    </row>
    <row r="241">
      <c r="A241" s="96" t="n">
        <v>46139</v>
      </c>
      <c r="B241" t="inlineStr">
        <is>
          <t>Institute-Samba-New</t>
        </is>
      </c>
      <c r="C241" t="inlineStr">
        <is>
          <t>CTR_868</t>
        </is>
      </c>
      <c r="D241" t="inlineStr"/>
      <c r="E241" t="inlineStr">
        <is>
          <t>CAMUSAT</t>
        </is>
      </c>
      <c r="F241" t="inlineStr">
        <is>
          <t>Good Grid no GE - 8h</t>
        </is>
      </c>
      <c r="G241" t="inlineStr">
        <is>
          <t>CENTRE</t>
        </is>
      </c>
      <c r="H241" t="inlineStr">
        <is>
          <t>Yaounde</t>
        </is>
      </c>
      <c r="I241" t="inlineStr"/>
      <c r="J241" t="inlineStr"/>
      <c r="K241" t="inlineStr"/>
      <c r="L241" t="inlineStr"/>
      <c r="M241" t="inlineStr"/>
      <c r="N241" t="inlineStr">
        <is>
          <t>Operationnel</t>
        </is>
      </c>
      <c r="O241" t="inlineStr"/>
      <c r="P241" t="inlineStr">
        <is>
          <t>AKTIVCO GRID ONLY</t>
        </is>
      </c>
      <c r="Q241" t="inlineStr">
        <is>
          <t>POWER ISSUE</t>
        </is>
      </c>
      <c r="R241" t="inlineStr">
        <is>
          <t>AKTIVCO Coupure ENEO &amp; Baisse de tension</t>
        </is>
      </c>
      <c r="S241" t="inlineStr">
        <is>
          <t>PASSIVE</t>
        </is>
      </c>
      <c r="T241" t="inlineStr">
        <is>
          <t>(04/27/2026 cell zte):-0..;..;(04/27/2026 ocm ran 17h):-power status check ongoing..;..;(04/27/2026 ticket):-INC-20260427-00011306…2026-04-27 19:58:38…Grid outage and Grid only site / Grid return awaited</t>
        </is>
      </c>
      <c r="U241" t="inlineStr">
        <is>
          <t>04/27/2026 cell zte) : -0.;.; : -; : -…2026-04-27 19 : 58 : 38…Grid outage and Grid only site / Grid return awaited</t>
        </is>
      </c>
    </row>
    <row r="242">
      <c r="A242" s="96" t="n">
        <v>46139</v>
      </c>
      <c r="B242" t="inlineStr">
        <is>
          <t>Nkolmintag</t>
        </is>
      </c>
      <c r="C242" t="inlineStr">
        <is>
          <t>LIT_539</t>
        </is>
      </c>
      <c r="D242" t="inlineStr"/>
      <c r="E242" t="inlineStr">
        <is>
          <t>CAMUSAT</t>
        </is>
      </c>
      <c r="F242" t="inlineStr">
        <is>
          <t>Good Grid no GE - 12h</t>
        </is>
      </c>
      <c r="G242" t="inlineStr">
        <is>
          <t>LITTORAL</t>
        </is>
      </c>
      <c r="H242" t="inlineStr">
        <is>
          <t>Douala</t>
        </is>
      </c>
      <c r="I242" t="inlineStr"/>
      <c r="J242" t="inlineStr"/>
      <c r="K242" t="inlineStr"/>
      <c r="L242" t="inlineStr"/>
      <c r="M242" t="inlineStr"/>
      <c r="N242" t="inlineStr">
        <is>
          <t>Operationnel</t>
        </is>
      </c>
      <c r="O242" t="inlineStr"/>
      <c r="P242" t="inlineStr">
        <is>
          <t>AKTIVCO GRID ONLY</t>
        </is>
      </c>
      <c r="Q242" t="inlineStr">
        <is>
          <t>POWER ISSUE</t>
        </is>
      </c>
      <c r="R242" t="inlineStr">
        <is>
          <t>AKTIVCO Coupure ENEO &amp; Baisse de tension</t>
        </is>
      </c>
      <c r="S242" t="inlineStr">
        <is>
          <t>PASSIVE</t>
        </is>
      </c>
      <c r="T242" t="inlineStr">
        <is>
          <t>(04/27/2026 cell zte):-27/04/2026 : Besoin d'analyse BO RAN..;..;(04/27/2026 cell zte):-27/04/2026 : Besoin d'analyse BO RAN || Site down..;..;(04/27/2026 ocm ran 17h):-27/04/2026 Grid outage grid only site /Grid return awaited..;..;(04/27/2026 ticket):-INC-20260427-00007626…2026-04-27 19:54:29…Grid outage and Grid only site / Grid return awaited</t>
        </is>
      </c>
      <c r="U242" t="inlineStr">
        <is>
          <t>04/27/2026 cell zte) : -27/04/2026 : Besoin d'analyse BO RAN.;.;(04/27/2026 cell zte) : -27/04/2026 : Besoin d'analyse BO RAN || Site down.;.; : -27/04/2026 Grid outage grid only site /Grid return awaited.;.; : -…2026-04-27 19 : 54 : 29…Grid outage and Grid only site / Grid return awaited</t>
        </is>
      </c>
    </row>
    <row r="243">
      <c r="A243" s="96" t="n">
        <v>46139</v>
      </c>
      <c r="B243" t="inlineStr">
        <is>
          <t>Bonas-Yde-MTN-IHS</t>
        </is>
      </c>
      <c r="C243" t="inlineStr">
        <is>
          <t>CTR_524</t>
        </is>
      </c>
      <c r="D243" t="inlineStr"/>
      <c r="E243" t="inlineStr">
        <is>
          <t>IHS</t>
        </is>
      </c>
      <c r="F243" t="inlineStr">
        <is>
          <t>Grid-Gen</t>
        </is>
      </c>
      <c r="G243" t="inlineStr">
        <is>
          <t>CENTRE</t>
        </is>
      </c>
      <c r="H243" t="inlineStr">
        <is>
          <t>Yaounde</t>
        </is>
      </c>
      <c r="I243" t="inlineStr"/>
      <c r="J243" t="inlineStr"/>
      <c r="K243" t="inlineStr"/>
      <c r="L243" t="inlineStr"/>
      <c r="M243" t="inlineStr"/>
      <c r="N243" t="inlineStr">
        <is>
          <t>Operationnel</t>
        </is>
      </c>
      <c r="O243" t="inlineStr"/>
      <c r="P243" t="inlineStr">
        <is>
          <t>Fiber AOF</t>
        </is>
      </c>
      <c r="Q243" t="inlineStr">
        <is>
          <t>TX ISSUE</t>
        </is>
      </c>
      <c r="R243" t="inlineStr">
        <is>
          <t>fiber AOF</t>
        </is>
      </c>
      <c r="S243" t="inlineStr">
        <is>
          <t>ACTIVE</t>
        </is>
      </c>
      <c r="T243" t="inlineStr">
        <is>
          <t xml:space="preserve">(04/27/2026 ocm ran 17h):-27/04/2026 FME mbah hosiah activé ETA=14H UTC 
27/04/2026 Power issue evidence transmis a IHS en attente de retour 
26/04/2026 OCM_AOF_CTR_242_CTR_524_E-Poste_BONAS-YDE down CDS activated ETA ASAP ..;..;(04/27/2026 ocm ran 11h):-27/04/2026 Power issue evidence transmis a IHS en attente de retour 
26/04/2026 OCM_AOF_CTR_242_CTR_524_E-Poste_BONAS-YDE down CDS activated ETA ASAP </t>
        </is>
      </c>
      <c r="U243" t="inlineStr">
        <is>
          <t>: -27/04/2026 FME mbah hosiah activé ETA=14H UTC 27/04/2026 Power issue evidence transmis a IHS en attente de retour 26/04/2026 OCM_AOF_CTR_242_CTR_524_E-Poste_BONAS-YDE down CDS activated ETA ASAP .;.; : -27/04/2026 Power issue evidence transmis a IHS en attente de retour 26/04/2026 OCM_AOF_CTR_242_CTR_524_E-Poste_BONAS-YDE down CDS activated ETA ASAP</t>
        </is>
      </c>
    </row>
    <row r="244">
      <c r="A244" s="96" t="n">
        <v>46139</v>
      </c>
      <c r="B244" t="inlineStr">
        <is>
          <t>Marche-Central-Bonawon-New</t>
        </is>
      </c>
      <c r="C244" t="inlineStr">
        <is>
          <t>LIT_740</t>
        </is>
      </c>
      <c r="D244" t="inlineStr"/>
      <c r="E244" t="inlineStr">
        <is>
          <t>CAMUSAT</t>
        </is>
      </c>
      <c r="F244" t="inlineStr">
        <is>
          <t>Good Grid no GE - 8h</t>
        </is>
      </c>
      <c r="G244" t="inlineStr">
        <is>
          <t>LITTORAL</t>
        </is>
      </c>
      <c r="H244" t="inlineStr">
        <is>
          <t>Douala</t>
        </is>
      </c>
      <c r="I244" t="inlineStr"/>
      <c r="J244" t="inlineStr"/>
      <c r="K244" t="inlineStr"/>
      <c r="L244" t="inlineStr"/>
      <c r="M244" t="inlineStr"/>
      <c r="N244" t="inlineStr">
        <is>
          <t>Operationnel</t>
        </is>
      </c>
      <c r="O244" t="inlineStr"/>
      <c r="P244" t="inlineStr">
        <is>
          <t>AKTIVCO GRID ONLY</t>
        </is>
      </c>
      <c r="Q244" t="inlineStr">
        <is>
          <t>POWER ISSUE</t>
        </is>
      </c>
      <c r="R244" t="inlineStr">
        <is>
          <t>AKTIVCO Coupure ENEO &amp; Baisse de tension</t>
        </is>
      </c>
      <c r="S244" t="inlineStr">
        <is>
          <t>PASSIVE</t>
        </is>
      </c>
      <c r="T244" t="inlineStr">
        <is>
          <t>(04/27/2026 cell zte):-27/04/2026 : Besoin d'analyse BO RAN..;..;(04/27/2026 ticket):-INC-20260427-00010265…2026-04-27 15:44:11…Grid outage and grid only site / Grid return awaited</t>
        </is>
      </c>
      <c r="U244" t="inlineStr">
        <is>
          <t>04/27/2026 cell zte) : -27/04/2026 : Besoin d'analyse BO RAN.;.; : -…2026-04-27 15 : 44 : 11…Grid outage and grid only site / Grid return awaited</t>
        </is>
      </c>
    </row>
    <row r="245">
      <c r="A245" s="96" t="n">
        <v>46139</v>
      </c>
      <c r="B245" t="inlineStr">
        <is>
          <t>PK5-Auberge</t>
        </is>
      </c>
      <c r="C245" t="inlineStr">
        <is>
          <t>LIT_647</t>
        </is>
      </c>
      <c r="D245" t="inlineStr"/>
      <c r="E245" t="inlineStr">
        <is>
          <t>CAMUSAT</t>
        </is>
      </c>
      <c r="F245" t="inlineStr">
        <is>
          <t>Good Grid no GE - 12h</t>
        </is>
      </c>
      <c r="G245" t="inlineStr">
        <is>
          <t>LITTORAL</t>
        </is>
      </c>
      <c r="H245" t="inlineStr">
        <is>
          <t>Douala</t>
        </is>
      </c>
      <c r="I245" t="inlineStr"/>
      <c r="J245" t="inlineStr"/>
      <c r="K245" t="inlineStr"/>
      <c r="L245" t="inlineStr"/>
      <c r="M245" t="inlineStr"/>
      <c r="N245" t="inlineStr">
        <is>
          <t>Operationnel</t>
        </is>
      </c>
      <c r="O245" t="inlineStr"/>
      <c r="P245" t="inlineStr">
        <is>
          <t>AKTIVCO GRID ONLY</t>
        </is>
      </c>
      <c r="Q245" t="inlineStr">
        <is>
          <t>POWER ISSUE</t>
        </is>
      </c>
      <c r="R245" t="inlineStr">
        <is>
          <t>AKTIVCO Coupure ENEO &amp; Baisse de tension</t>
        </is>
      </c>
      <c r="S245" t="inlineStr">
        <is>
          <t>PASSIVE</t>
        </is>
      </c>
      <c r="T245" t="inlineStr">
        <is>
          <t>(04/27/2026 ticket):-INC-20260427-00010172…2026-04-27 15:42:09…Grid outage and grid only site / Grid return awaited</t>
        </is>
      </c>
      <c r="U245" t="inlineStr">
        <is>
          <t>: -…2026-04-27 15 : 42 : 09…Grid outage and grid only site / Grid return awaited</t>
        </is>
      </c>
    </row>
    <row r="246">
      <c r="A246" s="96" t="n">
        <v>46139</v>
      </c>
      <c r="B246" t="inlineStr">
        <is>
          <t>SCDP-New</t>
        </is>
      </c>
      <c r="C246" t="inlineStr">
        <is>
          <t>LIT_739</t>
        </is>
      </c>
      <c r="D246" t="inlineStr"/>
      <c r="E246" t="inlineStr">
        <is>
          <t>CAMUSAT</t>
        </is>
      </c>
      <c r="F246" t="inlineStr">
        <is>
          <t>Good Grid no GE - 8h</t>
        </is>
      </c>
      <c r="G246" t="inlineStr">
        <is>
          <t>LITTORAL</t>
        </is>
      </c>
      <c r="H246" t="inlineStr">
        <is>
          <t>Douala</t>
        </is>
      </c>
      <c r="I246" t="inlineStr"/>
      <c r="J246" t="inlineStr"/>
      <c r="K246" t="inlineStr"/>
      <c r="L246" t="inlineStr"/>
      <c r="M246" t="inlineStr"/>
      <c r="N246" t="inlineStr">
        <is>
          <t>Operationnel</t>
        </is>
      </c>
      <c r="O246" t="inlineStr"/>
      <c r="P246" t="inlineStr">
        <is>
          <t>AKTIVCO GRID ONLY</t>
        </is>
      </c>
      <c r="Q246" t="inlineStr">
        <is>
          <t>POWER ISSUE</t>
        </is>
      </c>
      <c r="R246" t="inlineStr">
        <is>
          <t>AKTIVCO Coupure ENEO &amp; Baisse de tension</t>
        </is>
      </c>
      <c r="S246" t="inlineStr">
        <is>
          <t>PASSIVE</t>
        </is>
      </c>
      <c r="T246" t="inlineStr">
        <is>
          <t>(04/27/2026 ocm ran 11h):-27/04/2026 FME activé ETA=12H UTC 
26/04/2026 Pas d'accès au site / situé dans un batiment commercial / Intervention prevue pour demain
25/04/2026 Camusat: Grid outage grid only site / awaiting grid return</t>
        </is>
      </c>
      <c r="U246" t="inlineStr">
        <is>
          <t>: -27/04/2026 FME activé ETA=12H UTC 26/04/2026 Pas d'accès au site / situé dans un batiment commercial / Intervention prevue pour demain 25/04/2026 Camusat : Grid outage grid only site / awaiting grid return</t>
        </is>
      </c>
    </row>
    <row r="247">
      <c r="A247" s="96" t="n">
        <v>46139</v>
      </c>
      <c r="B247" t="inlineStr">
        <is>
          <t>Bepanda</t>
        </is>
      </c>
      <c r="C247" t="inlineStr">
        <is>
          <t>LIT_050</t>
        </is>
      </c>
      <c r="D247" t="inlineStr"/>
      <c r="E247" t="inlineStr">
        <is>
          <t>IHS</t>
        </is>
      </c>
      <c r="F247" t="inlineStr">
        <is>
          <t>GridOnly</t>
        </is>
      </c>
      <c r="G247" t="inlineStr">
        <is>
          <t>LITTORAL</t>
        </is>
      </c>
      <c r="H247" t="inlineStr">
        <is>
          <t>Douala</t>
        </is>
      </c>
      <c r="I247" t="inlineStr"/>
      <c r="J247" t="inlineStr"/>
      <c r="K247" t="inlineStr"/>
      <c r="L247" t="inlineStr"/>
      <c r="M247" t="inlineStr"/>
      <c r="N247" t="inlineStr">
        <is>
          <t>Operationnel</t>
        </is>
      </c>
      <c r="O247" t="inlineStr"/>
      <c r="P247" t="inlineStr">
        <is>
          <t>IHS GRID ONLY</t>
        </is>
      </c>
      <c r="Q247" t="inlineStr">
        <is>
          <t>POWER ISSUE</t>
        </is>
      </c>
      <c r="R247" t="inlineStr">
        <is>
          <t>Coupure ENEO &amp; Baisse de tension</t>
        </is>
      </c>
      <c r="S247" t="inlineStr">
        <is>
          <t>PASSIVE</t>
        </is>
      </c>
      <c r="T247" t="inlineStr">
        <is>
          <t>(04/27/2026 cell zte):-27/04/2026 : Besoin d'analyse BO RAN..;..;(04/27/2026 cell zte):-27/04/2026 : Besoin d'analyse BO RAN || Site down..;..;(04/27/2026 ocm ran 17h):-27/04/2026 Grid outage // awaiting grid returned..;..;(04/27/2026 ocm ran 11h):-27/04/2026 Grid outage // awaiting grid returned..;..;(04/27/2026 ticket):-INC-20260427-00002349…2026-04-27 05:45:55…Grid outage // awaiting grid returned</t>
        </is>
      </c>
      <c r="U247" t="inlineStr">
        <is>
          <t>04/27/2026 cell zte) : -27/04/2026 : Besoin d'analyse BO RAN.;.;(04/27/2026 cell zte) : -27/04/2026 : Besoin d'analyse BO RAN || Site down.;.; : -27/04/2026 Grid outage // awaiting grid returned.;.; : -27/04/2026 Grid outage // awaiting grid returned.;.; : -…2026-04-27 05 : 45 : 55…Grid outage // awaiting grid returned</t>
        </is>
      </c>
    </row>
    <row r="248">
      <c r="A248" s="96" t="n">
        <v>46139</v>
      </c>
      <c r="B248" t="inlineStr">
        <is>
          <t>Buca-Voyage</t>
        </is>
      </c>
      <c r="C248" t="inlineStr">
        <is>
          <t>LIT_616</t>
        </is>
      </c>
      <c r="D248" t="inlineStr"/>
      <c r="E248" t="inlineStr">
        <is>
          <t>CAMUSAT</t>
        </is>
      </c>
      <c r="F248" t="inlineStr">
        <is>
          <t>Good Grid no GE - 8h</t>
        </is>
      </c>
      <c r="G248" t="inlineStr">
        <is>
          <t>LITTORAL</t>
        </is>
      </c>
      <c r="H248" t="inlineStr">
        <is>
          <t>Douala</t>
        </is>
      </c>
      <c r="I248" t="inlineStr"/>
      <c r="J248" t="inlineStr"/>
      <c r="K248" t="inlineStr"/>
      <c r="L248" t="inlineStr"/>
      <c r="M248" t="inlineStr"/>
      <c r="N248" t="inlineStr">
        <is>
          <t>Operationnel</t>
        </is>
      </c>
      <c r="O248" t="inlineStr"/>
      <c r="P248" t="inlineStr">
        <is>
          <t>AKTIVCO GRID ONLY</t>
        </is>
      </c>
      <c r="Q248" t="inlineStr">
        <is>
          <t>POWER ISSUE</t>
        </is>
      </c>
      <c r="R248" t="inlineStr">
        <is>
          <t>AKTIVCO Coupure ENEO &amp; Baisse de tension</t>
        </is>
      </c>
      <c r="S248" t="inlineStr">
        <is>
          <t>PASSIVE</t>
        </is>
      </c>
      <c r="T248" t="inlineStr">
        <is>
          <t>(04/27/2026 cell zte):-27/04/2026 : Besoin d'analyse BO RAN..;..;(04/27/2026 ocm ran 17h):-27/04/2026  Grid outage and grid only site / Grid return awaited..;..;(04/27/2026 ticket):-INC-20260427-00009868…2026-04-27 15:35:03… Grid outage and grid only site / Grid return awaited</t>
        </is>
      </c>
      <c r="U248" t="inlineStr">
        <is>
          <t>04/27/2026 cell zte) : -27/04/2026 : Besoin d'analyse BO RAN.;.; : -27/04/2026 Grid outage and grid only site / Grid return awaited.;.; : -…2026-04-27 15 : 35 : 03… Grid outage and grid only site / Grid return awaited</t>
        </is>
      </c>
    </row>
    <row r="249">
      <c r="A249" s="96" t="n">
        <v>46139</v>
      </c>
      <c r="B249" t="inlineStr">
        <is>
          <t>Marche-Congo</t>
        </is>
      </c>
      <c r="C249" t="inlineStr">
        <is>
          <t>LIT_547</t>
        </is>
      </c>
      <c r="D249" t="inlineStr"/>
      <c r="E249" t="inlineStr">
        <is>
          <t>CAMUSAT</t>
        </is>
      </c>
      <c r="F249" t="inlineStr">
        <is>
          <t>Good Grid no GE - 8h</t>
        </is>
      </c>
      <c r="G249" t="inlineStr">
        <is>
          <t>LITTORAL</t>
        </is>
      </c>
      <c r="H249" t="inlineStr">
        <is>
          <t>Douala</t>
        </is>
      </c>
      <c r="I249" t="inlineStr"/>
      <c r="J249" t="inlineStr"/>
      <c r="K249" t="inlineStr"/>
      <c r="L249" t="inlineStr"/>
      <c r="M249" t="inlineStr"/>
      <c r="N249" t="inlineStr">
        <is>
          <t>Operationnel</t>
        </is>
      </c>
      <c r="O249" t="inlineStr"/>
      <c r="P249" t="inlineStr">
        <is>
          <t>AKTIVCO GRID ONLY</t>
        </is>
      </c>
      <c r="Q249" t="inlineStr">
        <is>
          <t>POWER ISSUE</t>
        </is>
      </c>
      <c r="R249" t="inlineStr">
        <is>
          <t>AKTIVCO Coupure ENEO &amp; Baisse de tension</t>
        </is>
      </c>
      <c r="S249" t="inlineStr">
        <is>
          <t>PASSIVE</t>
        </is>
      </c>
      <c r="T249" t="inlineStr">
        <is>
          <t>(04/27/2026 retour CAMSUSAT): Grid outage,  / grid return awaited</t>
        </is>
      </c>
      <c r="U249" t="inlineStr">
        <is>
          <t>04/27/2026 retour CAMSUSAT) : Grid outage, / grid return awaited</t>
        </is>
      </c>
    </row>
    <row r="250">
      <c r="A250" s="96" t="n">
        <v>46139</v>
      </c>
      <c r="B250" t="inlineStr">
        <is>
          <t>Emana-Bilick-IHS</t>
        </is>
      </c>
      <c r="C250" t="inlineStr">
        <is>
          <t>CTR_160</t>
        </is>
      </c>
      <c r="D250" t="inlineStr"/>
      <c r="E250" t="inlineStr">
        <is>
          <t>IHS</t>
        </is>
      </c>
      <c r="F250" t="inlineStr">
        <is>
          <t>Grid-Gen</t>
        </is>
      </c>
      <c r="G250" t="inlineStr">
        <is>
          <t>CENTRE</t>
        </is>
      </c>
      <c r="H250" t="inlineStr">
        <is>
          <t>Yaounde</t>
        </is>
      </c>
      <c r="I250" t="inlineStr"/>
      <c r="J250" t="inlineStr"/>
      <c r="K250" t="inlineStr"/>
      <c r="L250" t="inlineStr"/>
      <c r="M250" t="inlineStr"/>
      <c r="N250" t="inlineStr">
        <is>
          <t>Operationnel</t>
        </is>
      </c>
      <c r="O250" t="inlineStr"/>
      <c r="P250" t="inlineStr">
        <is>
          <t>IHS</t>
        </is>
      </c>
      <c r="Q250" t="inlineStr">
        <is>
          <t>POWER ISSUE</t>
        </is>
      </c>
      <c r="R250" t="inlineStr">
        <is>
          <t>Defaut GE &amp; Power Cabinet</t>
        </is>
      </c>
      <c r="S250" t="inlineStr">
        <is>
          <t>PASSIVE</t>
        </is>
      </c>
      <c r="T250" t="inlineStr">
        <is>
          <t>(04/27/2026 cell zte):-27/04/2026 : Besoin d'analyse BO RAN..;..;(04/27/2026 ocm ran 11h):-27/04/2026 Besoin d'un fme sur site pour verifier le status du MPR ETA=12H UTC ..;..;(04/27/2026 ticket):-INC-20260427-00016445…2026-04-27 23:07:07…Access issue ,Grid outage, site down because site behaves as Grid only site (Gen Noise</t>
        </is>
      </c>
      <c r="U250" t="inlineStr">
        <is>
          <t>04/27/2026 cell zte) : -27/04/2026 : Besoin d'analyse BO RAN.;.; : -27/04/2026 Besoin d'un fme sur site pour verifier le status du MPR ETA=12H UTC .;.; : -…2026-04-27 23 : 07 : 07…Access issue ,Grid outage, site down because site behaves as Grid only site (Gen Noise</t>
        </is>
      </c>
    </row>
    <row r="251">
      <c r="A251" s="96" t="n">
        <v>46139</v>
      </c>
      <c r="B251" t="inlineStr">
        <is>
          <t>Bois-Des-Singes-II-MTN</t>
        </is>
      </c>
      <c r="C251" t="inlineStr">
        <is>
          <t>LIT_753</t>
        </is>
      </c>
      <c r="D251" t="inlineStr"/>
      <c r="E251" t="inlineStr">
        <is>
          <t>MTN</t>
        </is>
      </c>
      <c r="F251" t="inlineStr"/>
      <c r="G251" t="inlineStr">
        <is>
          <t>LITTORAL</t>
        </is>
      </c>
      <c r="H251" t="inlineStr">
        <is>
          <t>Douala</t>
        </is>
      </c>
      <c r="I251" t="inlineStr"/>
      <c r="J251" t="inlineStr"/>
      <c r="K251" t="inlineStr"/>
      <c r="L251" t="inlineStr"/>
      <c r="M251" t="inlineStr"/>
      <c r="N251" t="inlineStr">
        <is>
          <t>Operationnel</t>
        </is>
      </c>
      <c r="O251" t="inlineStr"/>
      <c r="P251" t="inlineStr">
        <is>
          <t>Partners</t>
        </is>
      </c>
      <c r="Q251" t="inlineStr">
        <is>
          <t>POWER ISSUE</t>
        </is>
      </c>
      <c r="R251" t="inlineStr">
        <is>
          <t>Sharing</t>
        </is>
      </c>
      <c r="S251" t="inlineStr">
        <is>
          <t>PASSIVE</t>
        </is>
      </c>
      <c r="T251" t="inlineStr">
        <is>
          <t>(04/27/2026 cell zte):-27/04/2026 : Besoin d'analyse BO RAN..;..;(04/27/2026 cell zte):-27/04/2026 : Besoin d'analyse BO RAN..;..;(04/27/2026 ocm ran 11h):-27/04/2026 MTN Power issue escalate to L3 MTN 
23/04/2026 MTN Power issue escalate to L2 MTN ..;..;(04/27/2026 ticket):-INC-20260427-00015651…2026-04-27 23:44:23…27.04.26: Power alarms; MTN is activated to check, escalated to L2</t>
        </is>
      </c>
      <c r="U251" t="inlineStr">
        <is>
          <t>04/27/2026 cell zte) : -27/04/2026 : Besoin d'analyse BO RAN.;.;(04/27/2026 cell zte) : -27/04/2026 : Besoin d'analyse BO RAN.;.; : -27/04/2026 MTN Power issue escalate to L3 MTN 23/04/2026 MTN Power issue escalate to L2 MTN .;.; : -…2026-04-27 23 : 44 : 23…27.04.26 : Power alarms; MTN is activated to check, escalated to L2</t>
        </is>
      </c>
    </row>
    <row r="252">
      <c r="A252" s="96" t="n">
        <v>46139</v>
      </c>
      <c r="B252" t="inlineStr">
        <is>
          <t>Nyalla-III</t>
        </is>
      </c>
      <c r="C252" t="inlineStr">
        <is>
          <t>LIT_751</t>
        </is>
      </c>
      <c r="D252" t="inlineStr"/>
      <c r="E252" t="inlineStr">
        <is>
          <t>CAMUSAT</t>
        </is>
      </c>
      <c r="F252" t="inlineStr">
        <is>
          <t>Good Grid no GE - 8h</t>
        </is>
      </c>
      <c r="G252" t="inlineStr">
        <is>
          <t>LITTORAL</t>
        </is>
      </c>
      <c r="H252" t="inlineStr">
        <is>
          <t>Douala</t>
        </is>
      </c>
      <c r="I252" t="inlineStr"/>
      <c r="J252" t="inlineStr"/>
      <c r="K252" t="inlineStr"/>
      <c r="L252" t="inlineStr"/>
      <c r="M252" t="inlineStr"/>
      <c r="N252" t="inlineStr">
        <is>
          <t>Operationnel</t>
        </is>
      </c>
      <c r="O252" t="inlineStr"/>
      <c r="P252" t="inlineStr">
        <is>
          <t>AKTIVCO GRID ONLY</t>
        </is>
      </c>
      <c r="Q252" t="inlineStr">
        <is>
          <t>POWER ISSUE</t>
        </is>
      </c>
      <c r="R252" t="inlineStr">
        <is>
          <t>AKTIVCO Coupure ENEO &amp; Baisse de tension</t>
        </is>
      </c>
      <c r="S252" t="inlineStr">
        <is>
          <t>PASSIVE</t>
        </is>
      </c>
      <c r="T252" t="inlineStr">
        <is>
          <t>(04/27/2026 cell zte):-27/04/2026 : Besoin d'analyse BO RAN..;..;(04/27/2026 cell zte):-27/04/2026 : Besoin d'analyse BO RAN || Site down..;..;(04/27/2026 ocm ran 17h):-power status check ongoing..;..;(04/27/2026 ticket):-INC-20260427-00009173…2026-04-27 19:55:54…Grid outage and Grid only site / Grid return awaited</t>
        </is>
      </c>
      <c r="U252" t="inlineStr">
        <is>
          <t>04/27/2026 cell zte) : -27/04/2026 : Besoin d'analyse BO RAN.;.;(04/27/2026 cell zte) : -27/04/2026 : Besoin d'analyse BO RAN || Site down.;.; : -; : -…2026-04-27 19 : 55 : 54…Grid outage and Grid only site / Grid return awaited</t>
        </is>
      </c>
    </row>
    <row r="253">
      <c r="A253" s="96" t="n">
        <v>46139</v>
      </c>
      <c r="B253" t="inlineStr">
        <is>
          <t>NR-Bastos</t>
        </is>
      </c>
      <c r="C253" t="inlineStr">
        <is>
          <t>CTR_038</t>
        </is>
      </c>
      <c r="D253" t="inlineStr"/>
      <c r="E253" t="inlineStr">
        <is>
          <t>IHS</t>
        </is>
      </c>
      <c r="F253" t="inlineStr">
        <is>
          <t>GridOnly</t>
        </is>
      </c>
      <c r="G253" t="inlineStr">
        <is>
          <t>CENTRE</t>
        </is>
      </c>
      <c r="H253" t="inlineStr">
        <is>
          <t>Yaounde</t>
        </is>
      </c>
      <c r="I253" t="inlineStr"/>
      <c r="J253" t="inlineStr"/>
      <c r="K253" t="inlineStr"/>
      <c r="L253" t="inlineStr"/>
      <c r="M253" t="inlineStr"/>
      <c r="N253" t="inlineStr">
        <is>
          <t>Operationnel</t>
        </is>
      </c>
      <c r="O253" t="inlineStr"/>
      <c r="P253" t="inlineStr">
        <is>
          <t>IHS GRID ONLY</t>
        </is>
      </c>
      <c r="Q253" t="inlineStr">
        <is>
          <t>POWER ISSUE</t>
        </is>
      </c>
      <c r="R253" t="inlineStr">
        <is>
          <t>Coupure ENEO &amp; Baisse de tension</t>
        </is>
      </c>
      <c r="S253" t="inlineStr">
        <is>
          <t>PASSIVE</t>
        </is>
      </c>
      <c r="T253" t="inlineStr">
        <is>
          <t>(04/27/2026 cell zte):-27/04/2026 : Site down..;..;(04/27/2026 ocm ran 17h):-power status check ongoing..;..;(04/27/2026 ticket):-INC-20260427-00010726…2026-04-27 20:26:51…Grid outage, No space to deploy MDG // awaiting grid return</t>
        </is>
      </c>
      <c r="U253" t="inlineStr">
        <is>
          <t>04/27/2026 cell zte) : -27/04/2026 : Site down.;.; : -; : -…2026-04-27 20 : 26 : 51…Grid outage, No space to deploy MDG // awaiting grid return</t>
        </is>
      </c>
    </row>
    <row r="254">
      <c r="A254" s="96" t="n">
        <v>46139</v>
      </c>
      <c r="B254" t="inlineStr">
        <is>
          <t>Mora-IHS</t>
        </is>
      </c>
      <c r="C254" t="inlineStr">
        <is>
          <t>EXN_106</t>
        </is>
      </c>
      <c r="D254" t="inlineStr"/>
      <c r="E254" t="inlineStr">
        <is>
          <t>IHS</t>
        </is>
      </c>
      <c r="F254" t="inlineStr">
        <is>
          <t>Grid-Gen</t>
        </is>
      </c>
      <c r="G254" t="inlineStr">
        <is>
          <t>EXTREME-NORD</t>
        </is>
      </c>
      <c r="H254" t="inlineStr">
        <is>
          <t>Mora</t>
        </is>
      </c>
      <c r="I254" t="inlineStr"/>
      <c r="J254" t="inlineStr"/>
      <c r="K254" t="inlineStr"/>
      <c r="L254" t="inlineStr"/>
      <c r="M254" t="inlineStr"/>
      <c r="N254" t="inlineStr">
        <is>
          <t>Insecurity</t>
        </is>
      </c>
      <c r="O254" t="inlineStr"/>
      <c r="P254" t="inlineStr">
        <is>
          <t>BSS</t>
        </is>
      </c>
      <c r="Q254" t="inlineStr">
        <is>
          <t>RAN ISSUE</t>
        </is>
      </c>
      <c r="R254" t="inlineStr">
        <is>
          <t>BSS Hardware issue</t>
        </is>
      </c>
      <c r="S254" t="inlineStr">
        <is>
          <t>ACTIVE</t>
        </is>
      </c>
      <c r="T254" t="inlineStr">
        <is>
          <t>(04/27/2026 cell huawei):-27/04/2026 : Besoin d'analyse BO RAN || No HW alarm observed, need a reset of BTS on site..;..;(04/27/2026 cell huawei):-27/04/2026 : Besoin d'analyse BO RAN || No HW alarm observed, need a reset of BTS on site || HW Projet should renew License</t>
        </is>
      </c>
      <c r="U254" t="inlineStr">
        <is>
          <t>04/27/2026 cell huawei) : -27/04/2026 : Besoin d'analyse BO RAN || No HW alarm observed, need a reset of BTS on site.;.;(04/27/2026 cell huawei) : -27/04/2026 : Besoin d'analyse BO RAN || No HW alarm observed, need a reset of BTS on site || HW Projet should renew License</t>
        </is>
      </c>
    </row>
    <row r="255">
      <c r="A255" s="96" t="n">
        <v>46139</v>
      </c>
      <c r="B255" t="inlineStr">
        <is>
          <t>Mora4-IHS</t>
        </is>
      </c>
      <c r="C255" t="inlineStr">
        <is>
          <t>EXN_258</t>
        </is>
      </c>
      <c r="D255" t="inlineStr"/>
      <c r="E255" t="inlineStr">
        <is>
          <t>IHS</t>
        </is>
      </c>
      <c r="F255" t="inlineStr">
        <is>
          <t>Grid-Gen</t>
        </is>
      </c>
      <c r="G255" t="inlineStr">
        <is>
          <t>EXTREME-NORD</t>
        </is>
      </c>
      <c r="H255" t="inlineStr">
        <is>
          <t>Mora</t>
        </is>
      </c>
      <c r="I255" t="inlineStr"/>
      <c r="J255" t="inlineStr"/>
      <c r="K255" t="inlineStr"/>
      <c r="L255" t="inlineStr"/>
      <c r="M255" t="inlineStr"/>
      <c r="N255" t="inlineStr">
        <is>
          <t>Insecurity</t>
        </is>
      </c>
      <c r="O255" t="inlineStr"/>
      <c r="P255" t="inlineStr">
        <is>
          <t>BSS</t>
        </is>
      </c>
      <c r="Q255" t="inlineStr">
        <is>
          <t>RAN ISSUE</t>
        </is>
      </c>
      <c r="R255" t="inlineStr">
        <is>
          <t>BSS Hardware issue</t>
        </is>
      </c>
      <c r="S255" t="inlineStr">
        <is>
          <t>ACTIVE</t>
        </is>
      </c>
      <c r="T255" t="inlineStr">
        <is>
          <t>(04/27/2026 cell huawei):-27/04/2026 : Besoin d'analyse BO RAN || No HW alarm observed, need a reset of BTS on site..;..;(04/27/2026 cell huawei):-27/04/2026 : Besoin d'analyse BO RAN || No HW alarm observed, need a reset of BTS on site || HW Projet should renew License</t>
        </is>
      </c>
      <c r="U255" t="inlineStr">
        <is>
          <t>04/27/2026 cell huawei) : -27/04/2026 : Besoin d'analyse BO RAN || No HW alarm observed, need a reset of BTS on site.;.;(04/27/2026 cell huawei) : -27/04/2026 : Besoin d'analyse BO RAN || No HW alarm observed, need a reset of BTS on site || HW Projet should renew License</t>
        </is>
      </c>
    </row>
    <row r="256">
      <c r="A256" s="96" t="n">
        <v>46139</v>
      </c>
      <c r="B256" t="inlineStr">
        <is>
          <t>Mora-II</t>
        </is>
      </c>
      <c r="C256" t="inlineStr">
        <is>
          <t>EXN_032</t>
        </is>
      </c>
      <c r="D256" t="inlineStr"/>
      <c r="E256" t="inlineStr">
        <is>
          <t>IHS</t>
        </is>
      </c>
      <c r="F256" t="inlineStr">
        <is>
          <t>Grid-Gen</t>
        </is>
      </c>
      <c r="G256" t="inlineStr">
        <is>
          <t>EXTREME-NORD</t>
        </is>
      </c>
      <c r="H256" t="inlineStr">
        <is>
          <t>Mora</t>
        </is>
      </c>
      <c r="I256" t="inlineStr"/>
      <c r="J256" t="inlineStr"/>
      <c r="K256" t="inlineStr"/>
      <c r="L256" t="inlineStr"/>
      <c r="M256" t="inlineStr"/>
      <c r="N256" t="inlineStr">
        <is>
          <t>Insecurity</t>
        </is>
      </c>
      <c r="O256" t="inlineStr"/>
      <c r="P256" t="inlineStr">
        <is>
          <t>BSS</t>
        </is>
      </c>
      <c r="Q256" t="inlineStr">
        <is>
          <t>RAN ISSUE</t>
        </is>
      </c>
      <c r="R256" t="inlineStr">
        <is>
          <t>BSS Hardware issue</t>
        </is>
      </c>
      <c r="S256" t="inlineStr">
        <is>
          <t>ACTIVE</t>
        </is>
      </c>
      <c r="T256" t="inlineStr">
        <is>
          <t>(04/27/2026 cell huawei):-27/04/2026 : Besoin d'analyse BO RAN || No HW alarm observed, need a reset of BTS on site..;..;(04/27/2026 cell huawei):-27/04/2026 : Besoin d'analyse BO RAN || No HW alarm observed, need a reset of BTS on site || HW Projet should renew License</t>
        </is>
      </c>
      <c r="U256" t="inlineStr">
        <is>
          <t>04/27/2026 cell huawei) : -27/04/2026 : Besoin d'analyse BO RAN || No HW alarm observed, need a reset of BTS on site.;.;(04/27/2026 cell huawei) : -27/04/2026 : Besoin d'analyse BO RAN || No HW alarm observed, need a reset of BTS on site || HW Projet should renew License</t>
        </is>
      </c>
    </row>
    <row r="257">
      <c r="A257" s="96" t="n">
        <v>46139</v>
      </c>
      <c r="B257" t="inlineStr">
        <is>
          <t>CTR_947_Z_Nkoabang-Tradex</t>
        </is>
      </c>
      <c r="C257" t="inlineStr">
        <is>
          <t>CTR_947</t>
        </is>
      </c>
      <c r="D257" t="inlineStr"/>
      <c r="E257" t="inlineStr">
        <is>
          <t>ESCO</t>
        </is>
      </c>
      <c r="F257" t="inlineStr">
        <is>
          <t>meduim grid + GE</t>
        </is>
      </c>
      <c r="G257" t="inlineStr">
        <is>
          <t>CENTRE</t>
        </is>
      </c>
      <c r="H257" t="inlineStr">
        <is>
          <t>Yaoundé</t>
        </is>
      </c>
      <c r="I257" t="inlineStr"/>
      <c r="J257" t="inlineStr"/>
      <c r="K257" t="inlineStr"/>
      <c r="L257" t="inlineStr"/>
      <c r="M257" t="inlineStr"/>
      <c r="N257" t="inlineStr">
        <is>
          <t>Operationnel</t>
        </is>
      </c>
      <c r="O257" t="inlineStr"/>
      <c r="P257" t="inlineStr">
        <is>
          <t>AKTIVCO</t>
        </is>
      </c>
      <c r="Q257" t="inlineStr">
        <is>
          <t>POWER ISSUE</t>
        </is>
      </c>
      <c r="R257" t="inlineStr">
        <is>
          <t>AKTIVCO Defaut GE &amp; Power Cabinet</t>
        </is>
      </c>
      <c r="S257" t="inlineStr">
        <is>
          <t>PASSIVE</t>
        </is>
      </c>
      <c r="T257" t="inlineStr">
        <is>
          <t>(04/27/2026 retour CAMSUSAT): Nuisance sonore malgré que le GE soit insonorisé</t>
        </is>
      </c>
      <c r="U257" t="inlineStr">
        <is>
          <t>04/27/2026 retour CAMSUSAT) : Nuisance sonore malgré que le GE soit insonorisé</t>
        </is>
      </c>
    </row>
    <row r="258">
      <c r="A258" s="96" t="n">
        <v>46139</v>
      </c>
      <c r="B258" t="inlineStr">
        <is>
          <t>Mora-Kourgui</t>
        </is>
      </c>
      <c r="C258" t="inlineStr">
        <is>
          <t>EXN_238</t>
        </is>
      </c>
      <c r="D258" t="inlineStr"/>
      <c r="E258" t="inlineStr">
        <is>
          <t>CAMUSAT</t>
        </is>
      </c>
      <c r="F258" t="inlineStr">
        <is>
          <t>Bad Grid + Solar + GE</t>
        </is>
      </c>
      <c r="G258" t="inlineStr">
        <is>
          <t>EXTREME-NORD</t>
        </is>
      </c>
      <c r="H258" t="inlineStr">
        <is>
          <t>Mora</t>
        </is>
      </c>
      <c r="I258" t="inlineStr"/>
      <c r="J258" t="inlineStr"/>
      <c r="K258" t="inlineStr"/>
      <c r="L258" t="inlineStr"/>
      <c r="M258" t="inlineStr"/>
      <c r="N258" t="inlineStr">
        <is>
          <t>Insecurity</t>
        </is>
      </c>
      <c r="O258" t="inlineStr"/>
      <c r="P258" t="inlineStr">
        <is>
          <t>BSS</t>
        </is>
      </c>
      <c r="Q258" t="inlineStr">
        <is>
          <t>RAN ISSUE</t>
        </is>
      </c>
      <c r="R258" t="inlineStr">
        <is>
          <t>BSS Hardware issue</t>
        </is>
      </c>
      <c r="S258" t="inlineStr">
        <is>
          <t>ACTIVE</t>
        </is>
      </c>
      <c r="T258" t="inlineStr">
        <is>
          <t>(04/27/2026 cell huawei):-27/04/2026 : Besoin d'analyse BO RAN || No HW alarm observed, need a reset of BTS on site..;..;(04/27/2026 cell huawei):-27/04/2026 : Besoin d'analyse BO RAN || No HW alarm observed, need a reset of BTS on site || HW Projet should renew License..;..;(04/27/2026 ocm ran 17h):-power status check ongoing</t>
        </is>
      </c>
      <c r="U258" t="inlineStr">
        <is>
          <t>04/27/2026 cell huawei) : -27/04/2026 : Besoin d'analyse BO RAN || No HW alarm observed, need a reset of BTS on site.;.;(04/27/2026 cell huawei) : -27/04/2026 : Besoin d'analyse BO RAN || No HW alarm observed, need a reset of BTS on site || HW Projet should renew License.;.; : -power status check ongoing</t>
        </is>
      </c>
    </row>
    <row r="259">
      <c r="A259" s="96" t="n">
        <v>46139</v>
      </c>
      <c r="B259" t="inlineStr">
        <is>
          <t>KUMBA-BONAKAMA</t>
        </is>
      </c>
      <c r="C259" t="inlineStr">
        <is>
          <t>SUO_218</t>
        </is>
      </c>
      <c r="D259" t="inlineStr"/>
      <c r="E259" t="inlineStr">
        <is>
          <t>IHS</t>
        </is>
      </c>
      <c r="F259" t="inlineStr">
        <is>
          <t>Grid-Gen</t>
        </is>
      </c>
      <c r="G259" t="inlineStr">
        <is>
          <t>SUD-OUEST</t>
        </is>
      </c>
      <c r="H259" t="inlineStr">
        <is>
          <t>Kumba</t>
        </is>
      </c>
      <c r="I259" t="inlineStr"/>
      <c r="J259" t="inlineStr"/>
      <c r="K259" t="inlineStr"/>
      <c r="L259" t="inlineStr"/>
      <c r="M259" t="inlineStr"/>
      <c r="N259" t="inlineStr">
        <is>
          <t>Operationnel</t>
        </is>
      </c>
      <c r="O259" t="inlineStr"/>
      <c r="P259" t="inlineStr">
        <is>
          <t>PDH</t>
        </is>
      </c>
      <c r="Q259" t="inlineStr">
        <is>
          <t>TX ISSUE</t>
        </is>
      </c>
      <c r="R259" t="inlineStr">
        <is>
          <t>MPR ISSUE</t>
        </is>
      </c>
      <c r="S259" t="inlineStr">
        <is>
          <t>ACTIVE</t>
        </is>
      </c>
      <c r="T259" t="inlineStr">
        <is>
          <t xml:space="preserve">(04/27/2026 ocm ran 17h):-25/04/2026 FME activé GHOST TOWN to day
Besoin d'un fme sur site pour verifier le status du MPR ..;..;(04/27/2026 ocm ran 11h):-25/04/2026 FME activé ETA=30 MIN 
Besoin d'un fme sur site pour verifier le status du MPR </t>
        </is>
      </c>
      <c r="U259" t="inlineStr">
        <is>
          <t>: -25/04/2026 FME activé GHOST TOWN to day Besoin d'un fme sur site pour verifier le status du MPR .;.; : -25/04/2026 FME activé ETA=30 MIN Besoin d'un fme sur site pour verifier le status du MPR</t>
        </is>
      </c>
    </row>
    <row r="260">
      <c r="A260" s="96" t="n">
        <v>46139</v>
      </c>
      <c r="B260" t="inlineStr">
        <is>
          <t>Yao+C649unde</t>
        </is>
      </c>
      <c r="C260" t="inlineStr">
        <is>
          <t>CTR_375</t>
        </is>
      </c>
      <c r="D260" t="inlineStr"/>
      <c r="E260" t="inlineStr">
        <is>
          <t>IHS</t>
        </is>
      </c>
      <c r="F260" t="inlineStr">
        <is>
          <t>grid only</t>
        </is>
      </c>
      <c r="G260" t="inlineStr">
        <is>
          <t>CENTRE</t>
        </is>
      </c>
      <c r="H260" t="inlineStr">
        <is>
          <t>Yaounde</t>
        </is>
      </c>
      <c r="I260" t="inlineStr"/>
      <c r="J260" t="inlineStr"/>
      <c r="K260" t="inlineStr"/>
      <c r="L260" t="inlineStr"/>
      <c r="M260" t="inlineStr"/>
      <c r="N260" t="inlineStr">
        <is>
          <t>Operationnel</t>
        </is>
      </c>
      <c r="O260" t="inlineStr"/>
      <c r="P260" t="inlineStr">
        <is>
          <t>IHS GRID ONLY</t>
        </is>
      </c>
      <c r="Q260" t="inlineStr">
        <is>
          <t>POWER ISSUE</t>
        </is>
      </c>
      <c r="R260" t="inlineStr">
        <is>
          <t>Coupure ENEO &amp; Baisse de tension</t>
        </is>
      </c>
      <c r="S260" t="inlineStr">
        <is>
          <t>PASSIVE</t>
        </is>
      </c>
      <c r="T260" t="inlineStr">
        <is>
          <t>(04/27/2026 ticket):-INC-20260427-00000058…2026-04-27 07:29:31…Grid outage, No space to deploy MDG // awaiting grid return</t>
        </is>
      </c>
      <c r="U260" t="inlineStr">
        <is>
          <t>: -…2026-04-27 07 : 29 : 31…Grid outage, No space to deploy MDG // awaiting grid return</t>
        </is>
      </c>
    </row>
    <row r="261">
      <c r="A261" s="96" t="n">
        <v>46139</v>
      </c>
      <c r="B261" t="inlineStr">
        <is>
          <t>Wonya-Mavio-IHS</t>
        </is>
      </c>
      <c r="C261" t="inlineStr">
        <is>
          <t>SUO_195</t>
        </is>
      </c>
      <c r="D261" t="inlineStr"/>
      <c r="E261" t="inlineStr">
        <is>
          <t>IHS</t>
        </is>
      </c>
      <c r="F261" t="inlineStr">
        <is>
          <t>Grid-Gen</t>
        </is>
      </c>
      <c r="G261" t="inlineStr">
        <is>
          <t>SUD-OUEST</t>
        </is>
      </c>
      <c r="H261" t="inlineStr">
        <is>
          <t>Buea</t>
        </is>
      </c>
      <c r="I261" t="inlineStr"/>
      <c r="J261" t="inlineStr"/>
      <c r="K261" t="inlineStr"/>
      <c r="L261" t="inlineStr"/>
      <c r="M261" t="inlineStr"/>
      <c r="N261" t="inlineStr">
        <is>
          <t>Operationnel</t>
        </is>
      </c>
      <c r="O261" t="inlineStr"/>
      <c r="P261" t="inlineStr">
        <is>
          <t>SPARE-ISSUE</t>
        </is>
      </c>
      <c r="Q261" t="inlineStr">
        <is>
          <t>SPARE-ISSUE</t>
        </is>
      </c>
      <c r="R261" t="inlineStr">
        <is>
          <t>Warehouse HUAWEI</t>
        </is>
      </c>
      <c r="S261" t="inlineStr">
        <is>
          <t>SPARE-ISSUE</t>
        </is>
      </c>
      <c r="T261" t="inlineStr">
        <is>
          <t>(04/27/2026 ocm ran 17h):-20.04.26; Carte EAC 3DB19417AA faulty, commande passée vers OCM
19.04.26; Besoin d'un FME sur SUO_077_H_Buea-David-Square pour vérifier la chaine antennaire de l'ODU 3.2; FME Fabien activé pour investigations, update ASAP
19.04.26; Reste down après l'incident P2 sur Buea-David..;..;(04/27/2026 ocm ran 11h):-20.04.26; Carte EAC 3DB19417AA faulty, commande passée vers OCM
19.04.26; Besoin d'un FME sur SUO_077_H_Buea-David-Square pour vérifier la chaine antennaire de l'ODU 3.2; FME Fabien activé pour investigations, update ASAP
19.04.26; Reste down après l'incident P2 sur Buea-David</t>
        </is>
      </c>
      <c r="U261" t="inlineStr">
        <is>
          <t>: -20.04.26; Carte EAC 3DB19417AA faulty, commande passée vers OCM 19.04.26; Besoin d'un FME sur SUO_077_H_Buea-David-Square pour vérifier la chaine antennaire de l'ODU 3.2; FME Fabien activé pour investigations, update ASAP 19.04.26; Reste down après l'incident P2 sur Buea-David.;.; : -20.04.26; Carte EAC 3DB19417AA faulty, commande passée vers OCM 19.04.26; Besoin d'un FME sur SUO_077_H_Buea-David-Square pour vérifier la chaine antennaire de l'ODU 3.2; FME Fabien activé pour investigations, update ASAP 19.04.26; Reste down après l'incident P2 sur Buea-David</t>
        </is>
      </c>
    </row>
    <row r="262">
      <c r="A262" s="96" t="n">
        <v>46139</v>
      </c>
      <c r="B262" t="inlineStr">
        <is>
          <t>Bda-Mankon-Palace-IHS</t>
        </is>
      </c>
      <c r="C262" t="inlineStr">
        <is>
          <t>NRO_059</t>
        </is>
      </c>
      <c r="D262" t="inlineStr"/>
      <c r="E262" t="inlineStr">
        <is>
          <t>IHS</t>
        </is>
      </c>
      <c r="F262" t="inlineStr">
        <is>
          <t>Grid-Gen</t>
        </is>
      </c>
      <c r="G262" t="inlineStr">
        <is>
          <t>NORD-OUEST</t>
        </is>
      </c>
      <c r="H262" t="inlineStr">
        <is>
          <t>Bamenda</t>
        </is>
      </c>
      <c r="I262" t="inlineStr"/>
      <c r="J262" t="inlineStr"/>
      <c r="K262" t="inlineStr"/>
      <c r="L262" t="inlineStr"/>
      <c r="M262" t="inlineStr"/>
      <c r="N262" t="inlineStr">
        <is>
          <t>Operationnel</t>
        </is>
      </c>
      <c r="O262" t="inlineStr"/>
      <c r="P262" t="inlineStr">
        <is>
          <t>IHS</t>
        </is>
      </c>
      <c r="Q262" t="inlineStr">
        <is>
          <t>POWER ISSUE</t>
        </is>
      </c>
      <c r="R262" t="inlineStr">
        <is>
          <t>Defaut GE &amp; Power Cabinet</t>
        </is>
      </c>
      <c r="S262" t="inlineStr">
        <is>
          <t>PASSIVE</t>
        </is>
      </c>
      <c r="T262" t="inlineStr">
        <is>
          <t xml:space="preserve">(04/27/2026 ocm ran 17h):-27/04/2026 power issue sur site escalade L4 IHS 
25/04/2026 FME sur site power issue evidence transmis a IHS 
25/04/2026 Besoin d'un fme sur site pour verifier le status du MPR et la chaine antennaire de l ODU 3/1 FME uche activé ETA=13H UTC 
24/04/2026 Rectifiers hanging. // Rectifiers reset. Escalade L2 IHS ..;..;(04/27/2026 ocm ran 11h):-27/04/2026 power issue sur site escalade L4 IHS 
25/04/2026 FME sur site power issue evidence transmis a IHS 
25/04/2026 Besoin d'un fme sur site pour verifier le status du MPR et la chaine antennaire de l ODU 3/1 FME uche activé ETA=13H UTC 
24/04/2026 Rectifiers hanging. // Rectifiers reset. Escalade L2 IHS </t>
        </is>
      </c>
      <c r="U262" t="inlineStr">
        <is>
          <t>: -27/04/2026 power issue sur site escalade L4 IHS 25/04/2026 FME sur site power issue evidence transmis a IHS 25/04/2026 Besoin d'un fme sur site pour verifier le status du MPR et la chaine antennaire de l ODU 3/1 FME uche activé ETA=13H UTC 24/04/2026 Rectifiers hanging. Rectifiers reset. Escalade L2 IHS .;.; : -27/04/2026 power issue sur site escalade L4 IHS 25/04/2026 FME sur site power issue evidence transmis a IHS 25/04/2026 Besoin d'un fme sur site pour verifier le status du MPR et la chaine antennaire de l ODU 3/1 FME uche activé ETA=13H UTC 24/04/2026 Rectifiers hanging. Rectifiers reset. Escalade L2 IHS</t>
        </is>
      </c>
    </row>
    <row r="263">
      <c r="A263" s="96" t="n">
        <v>46139</v>
      </c>
      <c r="B263" t="inlineStr">
        <is>
          <t>Zileng-IHS</t>
        </is>
      </c>
      <c r="C263" t="inlineStr">
        <is>
          <t>EXN_174</t>
        </is>
      </c>
      <c r="D263" t="inlineStr"/>
      <c r="E263" t="inlineStr">
        <is>
          <t>IHS</t>
        </is>
      </c>
      <c r="F263" t="inlineStr">
        <is>
          <t>Grid-Gen</t>
        </is>
      </c>
      <c r="G263" t="inlineStr">
        <is>
          <t>EXTREME-NORD</t>
        </is>
      </c>
      <c r="H263" t="inlineStr">
        <is>
          <t>Zileng</t>
        </is>
      </c>
      <c r="I263" t="inlineStr"/>
      <c r="J263" t="inlineStr"/>
      <c r="K263" t="inlineStr"/>
      <c r="L263" t="inlineStr"/>
      <c r="M263" t="inlineStr"/>
      <c r="N263" t="inlineStr">
        <is>
          <t>Insecurity</t>
        </is>
      </c>
      <c r="O263" t="inlineStr"/>
      <c r="P263" t="inlineStr">
        <is>
          <t>IHS</t>
        </is>
      </c>
      <c r="Q263" t="inlineStr">
        <is>
          <t>POWER ISSUE</t>
        </is>
      </c>
      <c r="R263" t="inlineStr">
        <is>
          <t>Defaut GE &amp; Power Cabinet</t>
        </is>
      </c>
      <c r="S263" t="inlineStr">
        <is>
          <t>PASSIVE</t>
        </is>
      </c>
      <c r="T263" t="inlineStr">
        <is>
          <t>(04/27/2026 cell nokia):-27/04/2026 : Powwer issue || Relance faite par le Level 3 || Feedback IHS : Issue on generator solved yesterday and under monitoring,
23/04/2026 : Power issue 
22/04/2026 : Power issue || Intervention du powerco ce jour 
21/04/2026 :Check breaker and  interconnection FRMF, and FXED(sfp, optical fiber) between system and radio module, swap its if needed || FME YAYA activer 
18/04/2026 : Power issue : 
17/04/2026 : Need BO RAN ongoing || Closed after reset but FME should check power needed because of radio module was down due to low voltage</t>
        </is>
      </c>
      <c r="U263" t="inlineStr">
        <is>
          <t>04/27/2026 cell nokia) : -27/04/2026 : Powwer issue || Relance faite par le Level 3 || Feedback IHS : Issue on generator solved yesterday and under monitoring, 23/04/2026 : Power issue 22/04/2026 : Power issue || Intervention du powerco ce jour 21/04/2026 : Check breaker and interconnection FRMF, and FXED(sfp, optical fiber) between system and radio module, swap its if needed || 18/04/2026 : Power issue : 17/04/2026 : Need BO RAN ongoing || Closed after reset but FME should check power needed because of radio module was down due to low voltage</t>
        </is>
      </c>
    </row>
    <row r="264">
      <c r="A264" s="96" t="n">
        <v>46139</v>
      </c>
      <c r="B264" t="inlineStr">
        <is>
          <t>Makepe-Bloc-E</t>
        </is>
      </c>
      <c r="C264" t="inlineStr">
        <is>
          <t>LIT_613</t>
        </is>
      </c>
      <c r="D264" t="inlineStr"/>
      <c r="E264" t="inlineStr">
        <is>
          <t>CAMUSAT</t>
        </is>
      </c>
      <c r="F264" t="inlineStr">
        <is>
          <t>Good Grid no GE - 8h</t>
        </is>
      </c>
      <c r="G264" t="inlineStr">
        <is>
          <t>LITTORAL</t>
        </is>
      </c>
      <c r="H264" t="inlineStr">
        <is>
          <t>Douala</t>
        </is>
      </c>
      <c r="I264" t="inlineStr"/>
      <c r="J264" t="inlineStr"/>
      <c r="K264" t="inlineStr"/>
      <c r="L264" t="inlineStr"/>
      <c r="M264" t="inlineStr"/>
      <c r="N264" t="inlineStr">
        <is>
          <t>Operationnel</t>
        </is>
      </c>
      <c r="O264" t="inlineStr"/>
      <c r="P264" t="inlineStr">
        <is>
          <t>AKTIVCO GRID ONLY</t>
        </is>
      </c>
      <c r="Q264" t="inlineStr">
        <is>
          <t>POWER ISSUE</t>
        </is>
      </c>
      <c r="R264" t="inlineStr">
        <is>
          <t>AKTIVCO Coupure ENEO &amp; Baisse de tension</t>
        </is>
      </c>
      <c r="S264" t="inlineStr">
        <is>
          <t>PASSIVE</t>
        </is>
      </c>
      <c r="T264" t="inlineStr">
        <is>
          <t>(04/27/2026 cell zte):-22/04/2026 : Site down</t>
        </is>
      </c>
      <c r="U264" t="inlineStr">
        <is>
          <t>04/27/2026 cell zte) : -22/04/2026 : Site down</t>
        </is>
      </c>
    </row>
    <row r="265">
      <c r="A265" s="96" t="n">
        <v>46139</v>
      </c>
      <c r="B265" t="inlineStr">
        <is>
          <t>Garoua-Djamboutou-Village</t>
        </is>
      </c>
      <c r="C265" t="inlineStr">
        <is>
          <t>NRD_060</t>
        </is>
      </c>
      <c r="D265" t="inlineStr"/>
      <c r="E265" t="inlineStr">
        <is>
          <t>IHS</t>
        </is>
      </c>
      <c r="F265" t="inlineStr">
        <is>
          <t>Grid-Gen</t>
        </is>
      </c>
      <c r="G265" t="inlineStr">
        <is>
          <t>NORD</t>
        </is>
      </c>
      <c r="H265" t="inlineStr">
        <is>
          <t>Garoua</t>
        </is>
      </c>
      <c r="I265" t="inlineStr"/>
      <c r="J265" t="inlineStr"/>
      <c r="K265" t="inlineStr"/>
      <c r="L265" t="inlineStr"/>
      <c r="M265" t="inlineStr"/>
      <c r="N265" t="inlineStr">
        <is>
          <t>Operationnel</t>
        </is>
      </c>
      <c r="O265" t="inlineStr"/>
      <c r="P265" t="inlineStr">
        <is>
          <t>IHS</t>
        </is>
      </c>
      <c r="Q265" t="inlineStr">
        <is>
          <t>POWER ISSUE</t>
        </is>
      </c>
      <c r="R265" t="inlineStr">
        <is>
          <t>Defaut GE &amp; Power Cabinet</t>
        </is>
      </c>
      <c r="S265" t="inlineStr">
        <is>
          <t>PASSIVE</t>
        </is>
      </c>
      <c r="T265" t="inlineStr">
        <is>
          <t>(04/27/2026 cell huawei):- 27/04/2026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HIS..;..;(04/27/2026 cell huawei):- 27/04/2026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HIS..;..;(04/27/2026 ocm ran 11h):-power status check ongoing</t>
        </is>
      </c>
      <c r="U265" t="inlineStr">
        <is>
          <t>04/27/2026 cell huawei) : - 27/04/2026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HIS.;.;(04/27/2026 cell huawei) : - 27/04/2026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 : -power status check ongoing</t>
        </is>
      </c>
    </row>
    <row r="266">
      <c r="A266" s="96" t="n">
        <v>46139</v>
      </c>
      <c r="B266" t="inlineStr">
        <is>
          <t>Bonadibong</t>
        </is>
      </c>
      <c r="C266" t="inlineStr">
        <is>
          <t>LIT_126</t>
        </is>
      </c>
      <c r="D266" t="inlineStr"/>
      <c r="E266" t="inlineStr">
        <is>
          <t>IHS</t>
        </is>
      </c>
      <c r="F266" t="inlineStr">
        <is>
          <t>Grid-Gen</t>
        </is>
      </c>
      <c r="G266" t="inlineStr">
        <is>
          <t>LITTORAL</t>
        </is>
      </c>
      <c r="H266" t="inlineStr">
        <is>
          <t>Douala</t>
        </is>
      </c>
      <c r="I266" t="inlineStr"/>
      <c r="J266" t="inlineStr"/>
      <c r="K266" t="inlineStr"/>
      <c r="L266" t="inlineStr"/>
      <c r="M266" t="inlineStr"/>
      <c r="N266" t="inlineStr">
        <is>
          <t>Operationnel</t>
        </is>
      </c>
      <c r="O266" t="inlineStr"/>
      <c r="P266" t="inlineStr">
        <is>
          <t>PDH</t>
        </is>
      </c>
      <c r="Q266" t="inlineStr">
        <is>
          <t>TX ISSUE</t>
        </is>
      </c>
      <c r="R266" t="inlineStr">
        <is>
          <t>MPR ISSUE</t>
        </is>
      </c>
      <c r="S266" t="inlineStr">
        <is>
          <t>ACTIVE</t>
        </is>
      </c>
      <c r="T266" t="inlineStr">
        <is>
          <t xml:space="preserve">(04/27/2026 top offenders):-27/04/2026 FME en route ETA=11H UTC </t>
        </is>
      </c>
      <c r="U266" t="inlineStr">
        <is>
          <t>04/27/2026 top offenders) : -27/04/2026 FME en route ETA=11H UTC</t>
        </is>
      </c>
    </row>
    <row r="267">
      <c r="A267" s="96" t="n">
        <v>46139</v>
      </c>
      <c r="B267" t="inlineStr">
        <is>
          <t>Camp-Yabassi</t>
        </is>
      </c>
      <c r="C267" t="inlineStr">
        <is>
          <t>LIT_162</t>
        </is>
      </c>
      <c r="D267" t="inlineStr"/>
      <c r="E267" t="inlineStr">
        <is>
          <t>IHS</t>
        </is>
      </c>
      <c r="F267" t="inlineStr">
        <is>
          <t>Grid-Gen-Lithium</t>
        </is>
      </c>
      <c r="G267" t="inlineStr">
        <is>
          <t>LITTORAL</t>
        </is>
      </c>
      <c r="H267" t="inlineStr">
        <is>
          <t>Douala</t>
        </is>
      </c>
      <c r="I267" t="inlineStr"/>
      <c r="J267" t="inlineStr"/>
      <c r="K267" t="inlineStr"/>
      <c r="L267" t="inlineStr"/>
      <c r="M267" t="inlineStr"/>
      <c r="N267" t="inlineStr">
        <is>
          <t>Operationnel</t>
        </is>
      </c>
      <c r="O267" t="inlineStr"/>
      <c r="P267" t="inlineStr">
        <is>
          <t>PDH</t>
        </is>
      </c>
      <c r="Q267" t="inlineStr">
        <is>
          <t>TX ISSUE</t>
        </is>
      </c>
      <c r="R267" t="inlineStr">
        <is>
          <t>MPR ISSUE</t>
        </is>
      </c>
      <c r="S267" t="inlineStr">
        <is>
          <t>ACTIVE</t>
        </is>
      </c>
      <c r="T267" t="inlineStr">
        <is>
          <t>26/04/2026 Need FME on site to check MPR status / fme Njoya Mohamed activated ETA ASAP / Bureau pas ouvert les dimanches intervention pour lundi matin</t>
        </is>
      </c>
      <c r="U267" t="inlineStr">
        <is>
          <t>26/04/2026 Need FME on site to check MPR status / fme Njoya Mohamed activated ETA ASAP / Bureau pas ouvert les dimanches intervention pour lundi matin</t>
        </is>
      </c>
    </row>
    <row r="268">
      <c r="A268" s="96" t="n">
        <v>46139</v>
      </c>
      <c r="B268" t="inlineStr">
        <is>
          <t>CTR_936_Z_Nsimalen-TOUTOULI</t>
        </is>
      </c>
      <c r="C268" t="inlineStr">
        <is>
          <t>CTR_936</t>
        </is>
      </c>
      <c r="D268" t="inlineStr"/>
      <c r="E268" t="inlineStr">
        <is>
          <t>ESCO</t>
        </is>
      </c>
      <c r="F268" t="inlineStr">
        <is>
          <t>Good Grid + GE</t>
        </is>
      </c>
      <c r="G268" t="inlineStr">
        <is>
          <t>CENTRE</t>
        </is>
      </c>
      <c r="H268" t="inlineStr">
        <is>
          <t>Yaoundé</t>
        </is>
      </c>
      <c r="I268" t="inlineStr"/>
      <c r="J268" t="inlineStr"/>
      <c r="K268" t="inlineStr"/>
      <c r="L268" t="inlineStr"/>
      <c r="M268" t="inlineStr"/>
      <c r="N268" t="inlineStr">
        <is>
          <t>Operationnel</t>
        </is>
      </c>
      <c r="O268" t="inlineStr"/>
      <c r="P268" t="inlineStr">
        <is>
          <t>AKTIVCO</t>
        </is>
      </c>
      <c r="Q268" t="inlineStr">
        <is>
          <t>POWER ISSUE</t>
        </is>
      </c>
      <c r="R268" t="inlineStr">
        <is>
          <t>AKTIVCO Defaut GE &amp; Power Cabinet</t>
        </is>
      </c>
      <c r="S268" t="inlineStr">
        <is>
          <t>PASSIVE</t>
        </is>
      </c>
      <c r="T268" t="inlineStr">
        <is>
          <t>(04/27/2026 cell zte):-27/04/2026 : Besoin d'analyse BO RAN..;..;(04/27/2026 ocm ran 11h):-27/04/2026 FME Crislain activated and manging ETA =09H
26/04/2026 CAMUSAT FME is managing</t>
        </is>
      </c>
      <c r="U268" t="inlineStr">
        <is>
          <t>04/27/2026 cell zte) : -27/04/2026 : Besoin d'analyse BO RAN.;.; : -27/04/2026 FME Crislain activated and manging ETA =09H 26/04/2026 CAMUSAT FME is managing</t>
        </is>
      </c>
    </row>
    <row r="269">
      <c r="A269" s="96" t="n">
        <v>46139</v>
      </c>
      <c r="B269" t="inlineStr">
        <is>
          <t>LIT_825_Z_Camp-Bertaud</t>
        </is>
      </c>
      <c r="C269" t="inlineStr">
        <is>
          <t>LIT_825</t>
        </is>
      </c>
      <c r="D269" t="inlineStr"/>
      <c r="E269" t="inlineStr">
        <is>
          <t>ESCO</t>
        </is>
      </c>
      <c r="F269" t="inlineStr">
        <is>
          <t>Good Grid no GE - 8h</t>
        </is>
      </c>
      <c r="G269" t="inlineStr">
        <is>
          <t>LIT</t>
        </is>
      </c>
      <c r="H269" t="inlineStr">
        <is>
          <t>Douala</t>
        </is>
      </c>
      <c r="I269" t="inlineStr"/>
      <c r="J269" t="inlineStr"/>
      <c r="K269" t="inlineStr"/>
      <c r="L269" t="inlineStr"/>
      <c r="M269" t="inlineStr"/>
      <c r="N269" t="inlineStr">
        <is>
          <t>Operationnel</t>
        </is>
      </c>
      <c r="O269" t="inlineStr"/>
      <c r="P269" t="inlineStr">
        <is>
          <t>AKTIVCO GRID ONLY</t>
        </is>
      </c>
      <c r="Q269" t="inlineStr">
        <is>
          <t>POWER ISSUE</t>
        </is>
      </c>
      <c r="R269" t="inlineStr">
        <is>
          <t>AKTIVCO Coupure ENEO &amp; Baisse de tension</t>
        </is>
      </c>
      <c r="S269" t="inlineStr">
        <is>
          <t>PASSIVE</t>
        </is>
      </c>
      <c r="T269" t="inlineStr">
        <is>
          <t>(04/27/2026 cell zte):-27/04/2026 : Site down</t>
        </is>
      </c>
      <c r="U269" t="inlineStr">
        <is>
          <t>04/27/2026 cell zte) : -27/04/2026 : Site down</t>
        </is>
      </c>
    </row>
    <row r="270">
      <c r="A270" s="96" t="n">
        <v>46139</v>
      </c>
      <c r="B270" t="inlineStr">
        <is>
          <t>Cogefar-II</t>
        </is>
      </c>
      <c r="C270" t="inlineStr">
        <is>
          <t>LIT_339</t>
        </is>
      </c>
      <c r="D270" t="inlineStr"/>
      <c r="E270" t="inlineStr">
        <is>
          <t>IHS</t>
        </is>
      </c>
      <c r="F270" t="inlineStr">
        <is>
          <t>Grid-Gen</t>
        </is>
      </c>
      <c r="G270" t="inlineStr">
        <is>
          <t>LITTORAL</t>
        </is>
      </c>
      <c r="H270" t="inlineStr">
        <is>
          <t>Douala</t>
        </is>
      </c>
      <c r="I270" t="inlineStr"/>
      <c r="J270" t="inlineStr"/>
      <c r="K270" t="inlineStr"/>
      <c r="L270" t="inlineStr"/>
      <c r="M270" t="inlineStr"/>
      <c r="N270" t="inlineStr">
        <is>
          <t>Operationnel</t>
        </is>
      </c>
      <c r="O270" t="inlineStr"/>
      <c r="P270" t="inlineStr">
        <is>
          <t>Fiber AOF</t>
        </is>
      </c>
      <c r="Q270" t="inlineStr">
        <is>
          <t>TX ISSUE</t>
        </is>
      </c>
      <c r="R270" t="inlineStr">
        <is>
          <t>fiber AOF</t>
        </is>
      </c>
      <c r="S270" t="inlineStr">
        <is>
          <t>ACTIVE</t>
        </is>
      </c>
      <c r="T270" t="inlineStr">
        <is>
          <t>(04/27/2026 ticket):-INC-20260427-00002277…2026-04-27 05:58:11…Active // No power issue, site is on Grid with Ubaie=53.3V. The Tx FME Marius (691311142) from Huawei is informed…Grid outage, generator failure …Others Transmission equipement fault</t>
        </is>
      </c>
      <c r="U270" t="inlineStr">
        <is>
          <t>: -…2026-04-27 05 : 58 : 11…Active // No power issue, site is on Grid with Ubaie=53.3V. The Tx FME Marius (691311142) from Huawei is informed…Grid outage, generator failure …</t>
        </is>
      </c>
    </row>
    <row r="271">
      <c r="A271" s="96" t="n">
        <v>46139</v>
      </c>
      <c r="B271" t="inlineStr">
        <is>
          <t>Crf-Nsam-IHS</t>
        </is>
      </c>
      <c r="C271" t="inlineStr">
        <is>
          <t>CTR_159</t>
        </is>
      </c>
      <c r="D271" t="inlineStr"/>
      <c r="E271" t="inlineStr">
        <is>
          <t>IHS</t>
        </is>
      </c>
      <c r="F271" t="inlineStr">
        <is>
          <t>Grid-Gen</t>
        </is>
      </c>
      <c r="G271" t="inlineStr">
        <is>
          <t>CENTRE</t>
        </is>
      </c>
      <c r="H271" t="inlineStr">
        <is>
          <t>Yaounde</t>
        </is>
      </c>
      <c r="I271" t="inlineStr"/>
      <c r="J271" t="inlineStr"/>
      <c r="K271" t="inlineStr"/>
      <c r="L271" t="inlineStr"/>
      <c r="M271" t="inlineStr"/>
      <c r="N271" t="inlineStr">
        <is>
          <t>Operationnel</t>
        </is>
      </c>
      <c r="O271" t="inlineStr"/>
      <c r="P271" t="inlineStr">
        <is>
          <t>Fiber AOF</t>
        </is>
      </c>
      <c r="Q271" t="inlineStr">
        <is>
          <t>TX ISSUE</t>
        </is>
      </c>
      <c r="R271" t="inlineStr">
        <is>
          <t>fiber AOF</t>
        </is>
      </c>
      <c r="S271" t="inlineStr">
        <is>
          <t>ACTIVE</t>
        </is>
      </c>
      <c r="T271" t="inlineStr">
        <is>
          <t>(04/27/2026 cell zte):-27/04/2026 : Besoin d'analyse BO RAN..;..;(04/27/2026 ocm ran 11h):-27/04/2026 Survey en cours ETR=13H UTC 
26/04/2026  AOF Crf-Nsam-IHS == ahala  down CDS activated 
26/04/2026 fme sur site 
25/04/2026 fme henri activé 
Besoin d'un FME sur site pour reset du MPR</t>
        </is>
      </c>
      <c r="U271" t="inlineStr">
        <is>
          <t>04/27/2026 cell zte) : -27/04/2026 : Besoin d'analyse BO RAN.;.; : -27/04/2026 Survey en cours ETR=13H UTC 26/04/2026 AOF Crf-Nsam-IHS == ahala down CDS activated 26/04/2026 fme sur site 25/04/2026 fme henri activé Besoin d'un FME sur site pour reset du MPR</t>
        </is>
      </c>
    </row>
    <row r="272">
      <c r="A272" s="96" t="n">
        <v>46139</v>
      </c>
      <c r="B272" t="inlineStr">
        <is>
          <t>Doualare-II</t>
        </is>
      </c>
      <c r="C272" t="inlineStr">
        <is>
          <t>EXN_197</t>
        </is>
      </c>
      <c r="D272" t="inlineStr"/>
      <c r="E272" t="inlineStr">
        <is>
          <t>CAMUSAT</t>
        </is>
      </c>
      <c r="F272" t="inlineStr">
        <is>
          <t>Medium Grid + GE</t>
        </is>
      </c>
      <c r="G272" t="inlineStr">
        <is>
          <t>EXTREME-NORD</t>
        </is>
      </c>
      <c r="H272" t="inlineStr">
        <is>
          <t>Maroua</t>
        </is>
      </c>
      <c r="I272" t="inlineStr"/>
      <c r="J272" t="inlineStr"/>
      <c r="K272" t="inlineStr"/>
      <c r="L272" t="inlineStr"/>
      <c r="M272" t="inlineStr"/>
      <c r="N272" t="inlineStr">
        <is>
          <t>Operationnel</t>
        </is>
      </c>
      <c r="O272" t="inlineStr"/>
      <c r="P272" t="inlineStr">
        <is>
          <t>AKTIVCO</t>
        </is>
      </c>
      <c r="Q272" t="inlineStr">
        <is>
          <t>POWER ISSUE</t>
        </is>
      </c>
      <c r="R272" t="inlineStr">
        <is>
          <t>AKTIVCO Defaut GE &amp; Power Cabinet</t>
        </is>
      </c>
      <c r="S272" t="inlineStr">
        <is>
          <t>PASSIVE</t>
        </is>
      </c>
      <c r="T272" t="inlineStr">
        <is>
          <t>(04/27/2026 ocm ran 11h):-26/04/2026 GE en cours de reparation / pas de GEM disponible dans la zone / finalisation des travaux prevu dans 28/04/2026 (Rebobinage de la generatrice)
24.04.26: Grid outage and gen faulty // Grid restoration awaited Gen under maintenance W19 escalade L2 
23/04/2026 Grid outage and gen faulty // Grid restoration awaited Gen under maintenance W19 escalade L2 
23.04.26; Power alarms; Camusat feedback awaiting - Escalated to L2</t>
        </is>
      </c>
      <c r="U272" t="inlineStr">
        <is>
          <t>: -26/04/2026 GE en cours de reparation / pas de GEM disponible dans la zone / finalisation des travaux prevu dans 28/04/2026 (Rebobinage de la generatrice) 24.04.26 : Grid outage and gen faulty // Grid restoration awaited Gen under maintenance W19 escalade L2 23/04/2026 Grid outage and gen faulty // Grid restoration awaited Gen under maintenance W19 escalade L2 23.04.26; Power alarms; Camusat feedback awaiting - Escalated to L2</t>
        </is>
      </c>
    </row>
    <row r="273">
      <c r="A273" s="96" t="n">
        <v>46139</v>
      </c>
      <c r="B273" t="inlineStr">
        <is>
          <t>Nkololoun</t>
        </is>
      </c>
      <c r="C273" t="inlineStr">
        <is>
          <t>LIT_183</t>
        </is>
      </c>
      <c r="D273" t="inlineStr"/>
      <c r="E273" t="inlineStr">
        <is>
          <t>IHS</t>
        </is>
      </c>
      <c r="F273" t="inlineStr">
        <is>
          <t>GridOnly</t>
        </is>
      </c>
      <c r="G273" t="inlineStr">
        <is>
          <t>LITTORAL</t>
        </is>
      </c>
      <c r="H273" t="inlineStr">
        <is>
          <t>Douala</t>
        </is>
      </c>
      <c r="I273" t="inlineStr"/>
      <c r="J273" t="inlineStr"/>
      <c r="K273" t="inlineStr"/>
      <c r="L273" t="inlineStr"/>
      <c r="M273" t="inlineStr"/>
      <c r="N273" t="inlineStr">
        <is>
          <t>Operationnel</t>
        </is>
      </c>
      <c r="O273" t="inlineStr"/>
      <c r="P273" t="inlineStr">
        <is>
          <t>IHS GRID ONLY</t>
        </is>
      </c>
      <c r="Q273" t="inlineStr">
        <is>
          <t>POWER ISSUE</t>
        </is>
      </c>
      <c r="R273" t="inlineStr">
        <is>
          <t>Coupure ENEO &amp; Baisse de tension</t>
        </is>
      </c>
      <c r="S273" t="inlineStr">
        <is>
          <t>PASSIVE</t>
        </is>
      </c>
      <c r="T273" t="inlineStr">
        <is>
          <t>(04/27/2026 cell zte):-27/04/2026 : Site down..;..;(04/27/2026 ocm ran 17h):-27/04/2026 Grid outage // awaiting grid returned Escalation done until Armel B..;..;(04/27/2026 ticket):-INC-20260427-00009408…2026-04-27 20:23:41…Grid outage // awaiting grid returned</t>
        </is>
      </c>
      <c r="U273" t="inlineStr">
        <is>
          <t>04/27/2026 cell zte) : -27/04/2026 : Site down.;.; : -27/04/2026 Grid outage // awaiting grid returned Escalation done until Armel B.;.; : -…2026-04-27 20 : 23 : 41…Grid outage // awaiting grid returned</t>
        </is>
      </c>
    </row>
    <row r="274">
      <c r="A274" s="96" t="n">
        <v>46139</v>
      </c>
      <c r="B274" t="inlineStr">
        <is>
          <t>Buea-Bwitingui-Road</t>
        </is>
      </c>
      <c r="C274" t="inlineStr">
        <is>
          <t>SUO_232</t>
        </is>
      </c>
      <c r="D274" t="inlineStr"/>
      <c r="E274" t="inlineStr">
        <is>
          <t>CAMUSAT</t>
        </is>
      </c>
      <c r="F274" t="inlineStr">
        <is>
          <t>Medium Grid + GE</t>
        </is>
      </c>
      <c r="G274" t="inlineStr">
        <is>
          <t>SUD-OUEST</t>
        </is>
      </c>
      <c r="H274" t="inlineStr">
        <is>
          <t>Buea</t>
        </is>
      </c>
      <c r="I274" t="inlineStr"/>
      <c r="J274" t="inlineStr"/>
      <c r="K274" t="inlineStr"/>
      <c r="L274" t="inlineStr"/>
      <c r="M274" t="inlineStr"/>
      <c r="N274" t="inlineStr">
        <is>
          <t>Operationnel</t>
        </is>
      </c>
      <c r="O274" t="inlineStr"/>
      <c r="P274" t="inlineStr">
        <is>
          <t>Exclu</t>
        </is>
      </c>
      <c r="Q274" t="inlineStr">
        <is>
          <t>Exclu</t>
        </is>
      </c>
      <c r="R274" t="inlineStr">
        <is>
          <t>EXCLU</t>
        </is>
      </c>
      <c r="S274" t="inlineStr">
        <is>
          <t>Exclu</t>
        </is>
      </c>
      <c r="T274" t="inlineStr">
        <is>
          <t>(04/27/2026 ocm ran 17h):-27/04/2026 Remplacemet du cable prevue pour Mardi / NB: Lundi ghost Townn
26/04/2026 Remplacemet du cable prevue pour Mardi / NB: Lundi ghost Townn
25/04/2026 C'est le Générateur qui a été vandalisé. Pas de câble sectionné de notre côté.Camusat doit être interpellé point transmis a camusat 
24.04.26: Site vendalisé et FME sera sur le site après l'intervention sur Ekata, ETA=18H UTC
23/04/2026 Site vandalisé inventaire demain 24/04/2026 
23.04.26; Camusat; investigations ongoing/Technician is trying to manage with level0..;..;(04/27/2026 ocm ran 11h):-27/04/2026 Remplacemet du cable prevue pour Mardi / NB: Lundi ghost Townn
26/04/2026 Remplacemet du cable prevue pour Mardi / NB: Lundi ghost Townn
25/04/2026 C'est le Générateur qui a été vandalisé. Pas de câble sectionné de notre côté.Camusat doit être interpellé point transmis a camusat 
24.04.26: Site vendalisé et FME sera sur le site après l'intervention sur Ekata, ETA=18H UTC
23/04/2026 Site vandalisé inventaire demain 24/04/2026 
23.04.26; Camusat; investigations ongoing/Technician is trying to manage with level0</t>
        </is>
      </c>
      <c r="U274" t="inlineStr">
        <is>
          <t>: -27/04/2026 Remplacemet du cable prevue pour Mardi / NB : Lundi ghost Townn 26/04/2026 Remplacemet du cable prevue pour Mardi / NB : Lundi ghost Townn 25/04/2026 C'est le Générateur qui a été vandalisé. Pas de câble sectionné de notre côté.Camusat doit être interpellé point transmis a camusat 24.04.26 : Site vendalisé et FME sera sur le site après l'intervention sur Ekata, ETA=18H UTC 23/04/2026 Site vandalisé inventaire demain 24/04/2026 23.04.26; Camusat; investigations ongoing/Technician is trying to manage with level0.;.; : -27/04/2026 Remplacemet du cable prevue pour Mardi / NB : Lundi ghost Townn 26/04/2026 Remplacemet du cable prevue pour Mardi / NB : Lundi ghost Townn 25/04/2026 C'est le Générateur qui a été vandalisé. Pas de câble sectionné de notre côté.Camusat doit être interpellé point transmis a camusat 24.04.26 : Site vendalisé et FME sera sur le site après l'intervention sur Ekata, ETA=18H UTC 23/04/2026 Site vandalisé inventaire demain 24/04/2026 23.04.26; Camusat; investigations ongoing/Technician is trying to manage with level0</t>
        </is>
      </c>
    </row>
    <row r="275">
      <c r="A275" s="96" t="n">
        <v>46139</v>
      </c>
      <c r="B275" t="inlineStr">
        <is>
          <t>Batchenga-Nachtigal-IHS</t>
        </is>
      </c>
      <c r="C275" t="inlineStr">
        <is>
          <t>CTR_699</t>
        </is>
      </c>
      <c r="D275" t="inlineStr"/>
      <c r="E275" t="inlineStr">
        <is>
          <t>IHS</t>
        </is>
      </c>
      <c r="F275" t="inlineStr">
        <is>
          <t>Grid-Gen</t>
        </is>
      </c>
      <c r="G275" t="inlineStr">
        <is>
          <t>CENTRE</t>
        </is>
      </c>
      <c r="H275" t="inlineStr">
        <is>
          <t>Batchenga</t>
        </is>
      </c>
      <c r="I275" t="inlineStr"/>
      <c r="J275" t="inlineStr"/>
      <c r="K275" t="inlineStr"/>
      <c r="L275" t="inlineStr"/>
      <c r="M275" t="inlineStr"/>
      <c r="N275" t="inlineStr">
        <is>
          <t>Operationnel</t>
        </is>
      </c>
      <c r="O275" t="inlineStr"/>
      <c r="P275" t="inlineStr">
        <is>
          <t>ACCESS-ISSUE</t>
        </is>
      </c>
      <c r="Q275" t="inlineStr">
        <is>
          <t>ACCESS-ISSUE</t>
        </is>
      </c>
      <c r="R275" t="inlineStr">
        <is>
          <t>ACCESS-ISSUE</t>
        </is>
      </c>
      <c r="S275" t="inlineStr">
        <is>
          <t>ACCESS-ISSUE</t>
        </is>
      </c>
      <c r="T275" t="inlineStr">
        <is>
          <t xml:space="preserve">(04/27/2026 ocm ran 17h):-27.04.26: En attente de validation de l'accès 
24.04.26: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..;..;(04/27/2026 ocm ran 11h):-27.04.26: En attente de validation de l'accès 
24.04.26: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t>
        </is>
      </c>
      <c r="U275" t="inlineStr">
        <is>
          <t>: -27.04.26 : En attente de validation de l'accès 24.04.26 :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 : -27.04.26 : En attente de validation de l'accès 24.04.26 :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t>
        </is>
      </c>
    </row>
    <row r="276">
      <c r="A276" s="96" t="n">
        <v>46139</v>
      </c>
      <c r="B276" t="inlineStr">
        <is>
          <t>Reserve-Benoue</t>
        </is>
      </c>
      <c r="C276" t="inlineStr">
        <is>
          <t>NRD_168</t>
        </is>
      </c>
      <c r="D276" t="inlineStr"/>
      <c r="E276" t="inlineStr">
        <is>
          <t>CAMUSAT</t>
        </is>
      </c>
      <c r="F276" t="inlineStr">
        <is>
          <t>Hybrid Solar - S3</t>
        </is>
      </c>
      <c r="G276" t="inlineStr">
        <is>
          <t>NORD</t>
        </is>
      </c>
      <c r="H276" t="inlineStr">
        <is>
          <t>Reserve Benoue</t>
        </is>
      </c>
      <c r="I276" t="inlineStr"/>
      <c r="J276" t="inlineStr"/>
      <c r="K276" t="inlineStr"/>
      <c r="L276" t="inlineStr"/>
      <c r="M276" t="inlineStr"/>
      <c r="N276" t="inlineStr">
        <is>
          <t>Operationnel</t>
        </is>
      </c>
      <c r="O276" t="inlineStr"/>
      <c r="P276" t="inlineStr">
        <is>
          <t>SPARE-ISSUE</t>
        </is>
      </c>
      <c r="Q276" t="inlineStr">
        <is>
          <t>SPARE-ISSUE</t>
        </is>
      </c>
      <c r="R276" t="inlineStr">
        <is>
          <t>Warehouse HUAWEI</t>
        </is>
      </c>
      <c r="S276" t="inlineStr">
        <is>
          <t>SPARE-ISSUE</t>
        </is>
      </c>
      <c r="T276" t="inlineStr">
        <is>
          <t>(04/27/2026 ocm ran 17h):-20.04.26; ODU MPT MC 8GHZ 3DB20773CB faulty and not available, order done to OCM
19.04.26; ODU 3DB20773CB faulty, commande en cours
19.04.26; Besoin d'un FME sur NRD_172_SAKDJE pour vérifier la chaine antennaire de l'ODU 4.3; FME Belo activé pour investigations, ETA=17H UTC..;..;(04/27/2026 ocm ran 11h):-20.04.26; ODU MPT MC 8GHZ 3DB20773CB faulty and not available, order done to OCM
19.04.26; ODU 3DB20773CB faulty, commande en cours
19.04.26; Besoin d'un FME sur NRD_172_SAKDJE pour vérifier la chaine antennaire de l'ODU 4.3; FME Belo activé pour investigations, ETA=17H UTC</t>
        </is>
      </c>
      <c r="U276" t="inlineStr">
        <is>
          <t>: -20.04.26; ODU MPT MC 8GHZ 3DB20773CB faulty and not available, order done to OCM 19.04.26; ODU 3DB20773CB faulty, commande en cours 19.04.26; Besoin d'un FME sur NRD_172_SAKDJE pour vérifier la chaine antennaire de l'ODU 4.3; FME Belo activé pour investigations, ETA=17H UTC.;.; : -20.04.26; ODU MPT MC 8GHZ 3DB20773CB faulty and not available, order done to OCM 19.04.26; ODU 3DB20773CB faulty, commande en cours 19.04.26; Besoin d'un FME sur NRD_172_SAKDJE pour vérifier la chaine antennaire de l'ODU 4.3; FME Belo activé pour investigations, ETA=17H UTC</t>
        </is>
      </c>
    </row>
    <row r="277">
      <c r="A277" s="96" t="n">
        <v>46139</v>
      </c>
      <c r="B277" t="inlineStr">
        <is>
          <t>Pette</t>
        </is>
      </c>
      <c r="C277" t="inlineStr">
        <is>
          <t>EXN_039</t>
        </is>
      </c>
      <c r="D277" t="inlineStr"/>
      <c r="E277" t="inlineStr">
        <is>
          <t>CAMUSAT</t>
        </is>
      </c>
      <c r="F277" t="inlineStr">
        <is>
          <t>Hybrid Solar - S3</t>
        </is>
      </c>
      <c r="G277" t="inlineStr">
        <is>
          <t>EXTREME-NORD</t>
        </is>
      </c>
      <c r="H277" t="inlineStr">
        <is>
          <t>Pette</t>
        </is>
      </c>
      <c r="I277" t="inlineStr"/>
      <c r="J277" t="inlineStr"/>
      <c r="K277" t="inlineStr"/>
      <c r="L277" t="inlineStr"/>
      <c r="M277" t="inlineStr"/>
      <c r="N277" t="inlineStr">
        <is>
          <t>Insecurity</t>
        </is>
      </c>
      <c r="O277" t="inlineStr"/>
      <c r="P277" t="inlineStr">
        <is>
          <t>PDH</t>
        </is>
      </c>
      <c r="Q277" t="inlineStr">
        <is>
          <t>TX ISSUE</t>
        </is>
      </c>
      <c r="R277" t="inlineStr">
        <is>
          <t>ODU HS</t>
        </is>
      </c>
      <c r="S277" t="inlineStr">
        <is>
          <t>ACTIVE</t>
        </is>
      </c>
      <c r="T277" t="inlineStr">
        <is>
          <t>(04/27/2026 ocm ran 17h):-27/04/2026 FME sur site travaux en cours ETR=14H30 // FME SUR SITE TRAVAUX TOUJOURS EN COURS 
27/04/2026 Le FME est en route pour le site ETA 10h15
26/04/2026 ODU expedié de douala ETD= 25/04/2026
20.04.26; ODU available in Douala and will be shipped today, ETD= 25/04/2026
19.04.26; FME sur site et le BO recommande également le remplacement de l'ODU, commande en cours
18.04.26; MPR FAN is faulty, replacement planned for this 19.04.26..;..;(04/27/2026 ocm ran 11h):-27/04/2026 Le FME est en route pour le site ETA 10h15
26/04/2026 ODU expedié de douala ETD= 25/04/2026
20.04.26; ODU available in Douala and will be shipped today, ETD= 25/04/2026
19.04.26; FME sur site et le BO recommande également le remplacement de l'ODU, commande en cours
18.04.26; MPR FAN is faulty, replacement planned for this 19.04.26</t>
        </is>
      </c>
      <c r="U277" t="inlineStr">
        <is>
          <t>: -27/04/2026 FME sur site travaux en cours ETR=14H30 // FME SUR SITE TRAVAUX TOUJOURS EN COURS 27/04/2026 Le FME est en route pour le site ETA 10h15 26/04/2026 ODU expedié de douala ETD= 25/04/2026 20.04.26; ODU available in Douala and will be shipped today, ETD= 25/04/2026 19.04.26; FME sur site et le BO recommande également le remplacement de l'ODU, commande en cours 18.04.26; MPR FAN is faulty, replacement planned for this 19.04.26.;.; : -27/04/2026 Le FME est en route pour le site ETA 10h15 26/04/2026 ODU expedié de douala ETD= 25/04/2026 20.04.26; ODU available in Douala and will be shipped today, ETD= 25/04/2026 19.04.26; FME sur site et le BO recommande également le remplacement de l'ODU, commande en cours 18.04.26; MPR FAN is faulty, replacement planned for this 19.04.26</t>
        </is>
      </c>
    </row>
    <row r="278">
      <c r="A278" s="96" t="n">
        <v>46139</v>
      </c>
      <c r="B278" t="inlineStr">
        <is>
          <t>Dschang-St-Augustin</t>
        </is>
      </c>
      <c r="C278" t="inlineStr">
        <is>
          <t>OST_084</t>
        </is>
      </c>
      <c r="D278" t="inlineStr"/>
      <c r="E278" t="inlineStr">
        <is>
          <t>IHS</t>
        </is>
      </c>
      <c r="F278" t="inlineStr">
        <is>
          <t>Grid-Gen</t>
        </is>
      </c>
      <c r="G278" t="inlineStr">
        <is>
          <t>OUEST</t>
        </is>
      </c>
      <c r="H278" t="inlineStr">
        <is>
          <t>Dschang</t>
        </is>
      </c>
      <c r="I278" t="inlineStr"/>
      <c r="J278" t="inlineStr"/>
      <c r="K278" t="inlineStr"/>
      <c r="L278" t="inlineStr"/>
      <c r="M278" t="inlineStr"/>
      <c r="N278" t="inlineStr">
        <is>
          <t>Operationnel</t>
        </is>
      </c>
      <c r="O278" t="inlineStr"/>
      <c r="P278" t="inlineStr">
        <is>
          <t>IHS</t>
        </is>
      </c>
      <c r="Q278" t="inlineStr">
        <is>
          <t>POWER ISSUE</t>
        </is>
      </c>
      <c r="R278" t="inlineStr">
        <is>
          <t>Defaut GE &amp; Power Cabinet</t>
        </is>
      </c>
      <c r="S278" t="inlineStr">
        <is>
          <t>PASSIVE</t>
        </is>
      </c>
      <c r="T278" t="inlineStr">
        <is>
          <t>(04/27/2026 ocm ran 17h):-27.04.26: IHS : Gen and PWC Overload. - Escalated to L4
24.04.26: IHS : Gen and PWC Overload. - Escalated to L3
23/04/2026 IHS : grid outage gen overload..;..;(04/27/2026 ocm ran 11h):-27.04.26: IHS : Gen and PWC Overload. - Escalated to L4
24.04.26: IHS : Gen and PWC Overload. - Escalated to L3
23/04/2026 IHS : grid outage gen overload</t>
        </is>
      </c>
      <c r="U278" t="inlineStr">
        <is>
          <t>: -27.04.26 : IHS : Gen and PWC Overload. Escalated to L4 24.04.26 : IHS : Gen and PWC Overload. Escalated to L3 23/04/2026 IHS : grid outage gen overload.;.; : -27.04.26 : IHS : Gen and PWC Overload. Escalated to L4 24.04.26 : IHS : Gen and PWC Overload. Escalated to L3 23/04/2026 IHS : grid outage gen overload</t>
        </is>
      </c>
    </row>
    <row r="279">
      <c r="A279" s="96" t="n">
        <v>46139</v>
      </c>
      <c r="B279" t="inlineStr">
        <is>
          <t>Emana-Pont-IHS</t>
        </is>
      </c>
      <c r="C279" t="inlineStr">
        <is>
          <t>CTR_599</t>
        </is>
      </c>
      <c r="D279" t="inlineStr"/>
      <c r="E279" t="inlineStr">
        <is>
          <t>IHS</t>
        </is>
      </c>
      <c r="F279" t="inlineStr">
        <is>
          <t>Grid-Gen</t>
        </is>
      </c>
      <c r="G279" t="inlineStr">
        <is>
          <t>CENTRE</t>
        </is>
      </c>
      <c r="H279" t="inlineStr">
        <is>
          <t>Yaounde</t>
        </is>
      </c>
      <c r="I279" t="inlineStr"/>
      <c r="J279" t="inlineStr"/>
      <c r="K279" t="inlineStr"/>
      <c r="L279" t="inlineStr"/>
      <c r="M279" t="inlineStr"/>
      <c r="N279" t="inlineStr">
        <is>
          <t>Operationnel</t>
        </is>
      </c>
      <c r="O279" t="inlineStr"/>
      <c r="P279" t="inlineStr">
        <is>
          <t>IHS</t>
        </is>
      </c>
      <c r="Q279" t="inlineStr">
        <is>
          <t>POWER ISSUE</t>
        </is>
      </c>
      <c r="R279" t="inlineStr">
        <is>
          <t>Defaut GE &amp; Power Cabinet</t>
        </is>
      </c>
      <c r="S279" t="inlineStr">
        <is>
          <t>PASSIVE</t>
        </is>
      </c>
      <c r="T279" t="inlineStr">
        <is>
          <t>(04/27/2026 Hourly IHS): DJANKO WANDJ BIGANSTILE (650631358) from Dowen service is working on site(corrections to the DC box installation),Felix ,Alphonse T are informed ||(04/27/2026 ocm ran 17h):-power status check ongoing..;..;(04/27/2026 ticket):-INC-20260427-00015427…AOF en défaut …Others Transmission equipement fault</t>
        </is>
      </c>
      <c r="U279" t="inlineStr">
        <is>
          <t>: DJANKO WANDJ BIGANSTILE (650631358) from Dowen service is working on site(corrections to the DC box installation),Felix ,Alphonse T are informed || : -; : -…AOF en défaut …</t>
        </is>
      </c>
    </row>
    <row r="280">
      <c r="A280" s="96" t="n">
        <v>46139</v>
      </c>
      <c r="B280" t="inlineStr">
        <is>
          <t>Newb-Ancien-Etage-New</t>
        </is>
      </c>
      <c r="C280" t="inlineStr">
        <is>
          <t>LIT_528</t>
        </is>
      </c>
      <c r="D280" t="inlineStr"/>
      <c r="E280" t="inlineStr">
        <is>
          <t>IHS</t>
        </is>
      </c>
      <c r="F280" t="inlineStr">
        <is>
          <t>GridOnly</t>
        </is>
      </c>
      <c r="G280" t="inlineStr">
        <is>
          <t>LITTORAL</t>
        </is>
      </c>
      <c r="H280" t="inlineStr">
        <is>
          <t>Douala</t>
        </is>
      </c>
      <c r="I280" t="inlineStr"/>
      <c r="J280" t="inlineStr"/>
      <c r="K280" t="inlineStr"/>
      <c r="L280" t="inlineStr"/>
      <c r="M280" t="inlineStr"/>
      <c r="N280" t="inlineStr">
        <is>
          <t>Operationnel</t>
        </is>
      </c>
      <c r="O280" t="inlineStr"/>
      <c r="P280" t="inlineStr">
        <is>
          <t>IHS GRID ONLY</t>
        </is>
      </c>
      <c r="Q280" t="inlineStr">
        <is>
          <t>POWER ISSUE</t>
        </is>
      </c>
      <c r="R280" t="inlineStr">
        <is>
          <t>Coupure ENEO &amp; Baisse de tension</t>
        </is>
      </c>
      <c r="S280" t="inlineStr">
        <is>
          <t>PASSIVE</t>
        </is>
      </c>
      <c r="T280" t="inlineStr">
        <is>
          <t>(04/27/2026 cell zte):-27/04/2026 : Besoin d'analyse BO RAN..;..;(04/27/2026 cell zte):-27/04/2026 : Besoin d'analyse BO RAN || Site down..;..;(04/27/2026 ocm ran 17h):-27/04/2026 Grid outage // awaiting grid returned Escalation done until Armel B..;..;(04/27/2026 ticket):-INC-20260427-00010657…2026-04-27 23:11:32…Site et traffic OK. BV recouper avec le BoRAN.</t>
        </is>
      </c>
      <c r="U280" t="inlineStr">
        <is>
          <t>04/27/2026 cell zte) : -27/04/2026 : Besoin d'analyse BO RAN.;.;(04/27/2026 cell zte) : -27/04/2026 : Besoin d'analyse BO RAN || Site down.;.; : -27/04/2026 Grid outage // awaiting grid returned Escalation done until Armel B.;.; : -…2026-04-27 23 : 11 : 32…Site et traffic OK. BV recouper avec le BoRAN.</t>
        </is>
      </c>
    </row>
    <row r="281">
      <c r="A281" s="96" t="n">
        <v>46139</v>
      </c>
      <c r="B281" t="inlineStr">
        <is>
          <t>ETOUDI-NEW</t>
        </is>
      </c>
      <c r="C281" t="inlineStr">
        <is>
          <t>CTR_917</t>
        </is>
      </c>
      <c r="D281" t="inlineStr"/>
      <c r="E281" t="inlineStr">
        <is>
          <t>CAMUSAT</t>
        </is>
      </c>
      <c r="F281" t="inlineStr">
        <is>
          <t>Good Grid no GE - 8h</t>
        </is>
      </c>
      <c r="G281" t="inlineStr">
        <is>
          <t>CENTRE</t>
        </is>
      </c>
      <c r="H281" t="inlineStr">
        <is>
          <t>Yaounde</t>
        </is>
      </c>
      <c r="I281" t="inlineStr"/>
      <c r="J281" t="inlineStr"/>
      <c r="K281" t="inlineStr"/>
      <c r="L281" t="inlineStr"/>
      <c r="M281" t="inlineStr"/>
      <c r="N281" t="inlineStr">
        <is>
          <t>Operationnel</t>
        </is>
      </c>
      <c r="O281" t="inlineStr"/>
      <c r="P281" t="inlineStr">
        <is>
          <t>BSS</t>
        </is>
      </c>
      <c r="Q281" t="inlineStr">
        <is>
          <t>RAN ISSUE</t>
        </is>
      </c>
      <c r="R281" t="inlineStr">
        <is>
          <t>BSS Hardware issue</t>
        </is>
      </c>
      <c r="S281" t="inlineStr">
        <is>
          <t>ACTIVE</t>
        </is>
      </c>
      <c r="T281" t="inlineStr">
        <is>
          <t>04/27/2026: hardware issue,  site with GPS issue (alarm : TDD down 09Apr 02pm)</t>
        </is>
      </c>
      <c r="U281" t="inlineStr">
        <is>
          <t>04/27/2026 : hardware issue, site with GPS issue (alarm : TDD down 09Apr 02pm)</t>
        </is>
      </c>
    </row>
    <row r="282">
      <c r="A282" s="96" t="n">
        <v>46139</v>
      </c>
      <c r="B282" t="inlineStr">
        <is>
          <t>H-Sawa</t>
        </is>
      </c>
      <c r="C282" t="inlineStr">
        <is>
          <t>LIT_099</t>
        </is>
      </c>
      <c r="D282" t="inlineStr"/>
      <c r="E282" t="inlineStr">
        <is>
          <t>IHS</t>
        </is>
      </c>
      <c r="F282" t="inlineStr">
        <is>
          <t>Grid-Gen (LL)</t>
        </is>
      </c>
      <c r="G282" t="inlineStr">
        <is>
          <t>LITTORAL</t>
        </is>
      </c>
      <c r="H282" t="inlineStr">
        <is>
          <t>Douala</t>
        </is>
      </c>
      <c r="I282" t="inlineStr"/>
      <c r="J282" t="inlineStr"/>
      <c r="K282" t="inlineStr"/>
      <c r="L282" t="inlineStr"/>
      <c r="M282" t="inlineStr"/>
      <c r="N282" t="inlineStr">
        <is>
          <t>Operationnel</t>
        </is>
      </c>
      <c r="O282" t="inlineStr"/>
      <c r="P282" t="inlineStr">
        <is>
          <t>ACCESS-ISSUE</t>
        </is>
      </c>
      <c r="Q282" t="inlineStr">
        <is>
          <t>ACCESS-ISSUE</t>
        </is>
      </c>
      <c r="R282" t="inlineStr">
        <is>
          <t>ACCESS-ISSUE</t>
        </is>
      </c>
      <c r="S282" t="inlineStr">
        <is>
          <t>ACCESS-ISSUE</t>
        </is>
      </c>
      <c r="T282" t="inlineStr">
        <is>
          <t>(04/27/2026 ticket):-INC-20260427-00000515…2026-04-27 07:35:19…No power issue ubaie = 53.4 v site on grid…intervention en cour en attente l accès …Others Transmission equipement fault</t>
        </is>
      </c>
      <c r="U282" t="inlineStr">
        <is>
          <t>: -…2026-04-27 07 : 35 : 19…No power issue ubaie = 53.4 v site on grid…intervention en cour en attente l accès …</t>
        </is>
      </c>
    </row>
    <row r="283">
      <c r="A283" s="96" t="n">
        <v>46139</v>
      </c>
      <c r="B283" t="inlineStr">
        <is>
          <t>Pont-Emana-MTN</t>
        </is>
      </c>
      <c r="C283" t="inlineStr">
        <is>
          <t>CTR_799</t>
        </is>
      </c>
      <c r="D283" t="inlineStr"/>
      <c r="E283" t="inlineStr"/>
      <c r="F283" t="inlineStr"/>
      <c r="G283" t="inlineStr">
        <is>
          <t>CENTRE</t>
        </is>
      </c>
      <c r="H283" t="inlineStr">
        <is>
          <t>Yaounde</t>
        </is>
      </c>
      <c r="I283" t="inlineStr"/>
      <c r="J283" t="inlineStr"/>
      <c r="K283" t="inlineStr"/>
      <c r="L283" t="inlineStr"/>
      <c r="M283" t="inlineStr"/>
      <c r="N283" t="inlineStr">
        <is>
          <t>Operationnel</t>
        </is>
      </c>
      <c r="O283" t="inlineStr"/>
      <c r="P283" t="inlineStr">
        <is>
          <t>PDH</t>
        </is>
      </c>
      <c r="Q283" t="inlineStr">
        <is>
          <t>TX ISSUE</t>
        </is>
      </c>
      <c r="R283" t="inlineStr">
        <is>
          <t>MPR ISSUE</t>
        </is>
      </c>
      <c r="S283" t="inlineStr">
        <is>
          <t>ACTIVE</t>
        </is>
      </c>
      <c r="T283" t="inlineStr">
        <is>
          <t xml:space="preserve">(04/27/2026 ocm ran 17h):-power status check ongoing..;..;(04/27/2026 ticket):-INC-20260427-00012882…2026-04-27 22:57:58…Besoin d'un FME sur CTR_213_Z_Okolo pour investigations conjointes avec le BO TX; CM-20260427-00004269; FME Totat activé pour investigations, update ASAP…Reset physique sur le MPR. impossible de contacter le BO pour confirmer le statut. Tout le réseau semble perturbé …PLANTAGE…Reset physique sur le MPR. impossible de contacter le BO pour confirmer le statut. Tout le réseau semble perturbé </t>
        </is>
      </c>
      <c r="U283" t="inlineStr">
        <is>
          <t>: -; : -…2026-04-27 22 : 57 : 58…Besoin d'un FME sur CTR_213_Z_Okolo pour investigations conjointes avec le BO TX; ; FME Totat activé pour investigations, update ASAP…Reset physique sur le MPR. impossible de contacter le BO pour confirmer le statut. Tout le réseau semble perturbé …PLANTAGE…Reset physique sur le MPR. impossible de contacter le BO pour confirmer le statut. Tout le réseau semble perturbé</t>
        </is>
      </c>
    </row>
    <row r="284">
      <c r="A284" s="96" t="n">
        <v>46139</v>
      </c>
      <c r="B284" t="inlineStr">
        <is>
          <t>Ngousso-Maetur</t>
        </is>
      </c>
      <c r="C284" t="inlineStr">
        <is>
          <t>CTR_567</t>
        </is>
      </c>
      <c r="D284" t="inlineStr"/>
      <c r="E284" t="inlineStr">
        <is>
          <t>CAMUSAT</t>
        </is>
      </c>
      <c r="F284" t="inlineStr">
        <is>
          <t>Good Grid no GE - 8h</t>
        </is>
      </c>
      <c r="G284" t="inlineStr">
        <is>
          <t>CENTRE</t>
        </is>
      </c>
      <c r="H284" t="inlineStr">
        <is>
          <t>Yaounde</t>
        </is>
      </c>
      <c r="I284" t="inlineStr"/>
      <c r="J284" t="inlineStr"/>
      <c r="K284" t="inlineStr"/>
      <c r="L284" t="inlineStr"/>
      <c r="M284" t="inlineStr"/>
      <c r="N284" t="inlineStr">
        <is>
          <t>Operationnel</t>
        </is>
      </c>
      <c r="O284" t="inlineStr"/>
      <c r="P284" t="inlineStr">
        <is>
          <t>AKTIVCO GRID ONLY</t>
        </is>
      </c>
      <c r="Q284" t="inlineStr">
        <is>
          <t>POWER ISSUE</t>
        </is>
      </c>
      <c r="R284" t="inlineStr">
        <is>
          <t>AKTIVCO Coupure ENEO &amp; Baisse de tension</t>
        </is>
      </c>
      <c r="S284" t="inlineStr">
        <is>
          <t>PASSIVE</t>
        </is>
      </c>
      <c r="T284" t="inlineStr">
        <is>
          <t>(04/27/2026 cell zte):-23/04/2026 : Site down..;..;(04/27/2026 ocm ran 17h):-27/04/2026 Grid outage, Grid only site / Grid return awaited - Escalade L4
26/04/2026 Continuté du delestage confirmé / prochaine visite 18H - Escalade L4
24.04.26: Grid outage, Grid only site / Grid return awaited - Escalade L4
23.04.26: Grid outage, Grid only site / Grid return awaited - Escalade L3..;..;(04/27/2026 ocm ran 11h):-27/04/2026 Grid outage, Grid only site / Grid return awaited - Escalade L4
26/04/2026 Continuté du delestage confirmé / prochaine visite 18H - Escalade L4
24.04.26: Grid outage, Grid only site / Grid return awaited - Escalade L4
23.04.26: Grid outage, Grid only site / Grid return awaited - Escalade L3</t>
        </is>
      </c>
      <c r="U284" t="inlineStr">
        <is>
          <t>04/27/2026 cell zte) : -23/04/2026 : Site down.;.; : -27/04/2026 Grid outage, Grid only site / Grid return awaited - Escalade L4 26/04/2026 Continuté du delestage confirmé / prochaine visite 18H - Escalade L4 24.04.26 : Grid outage, Grid only site / Grid return awaited - Escalade L4 23.04.26 : Grid outage, Grid only site / Grid return awaited - Escalade L3.;.; : -27/04/2026 Grid outage, Grid only site / Grid return awaited - Escalade L4 26/04/2026 Continuté du delestage confirmé / prochaine visite 18H - Escalade L4 24.04.26 : Grid outage, Grid only site / Grid return awaited - Escalade L4 23.04.26 : Grid outage, Grid only site / Grid return awaited - Escalade L3</t>
        </is>
      </c>
    </row>
    <row r="285">
      <c r="A285" s="96" t="n">
        <v>46139</v>
      </c>
      <c r="B285" t="inlineStr">
        <is>
          <t>Nkolmesseng-H-Pyramides</t>
        </is>
      </c>
      <c r="C285" t="inlineStr">
        <is>
          <t>CTR_771</t>
        </is>
      </c>
      <c r="D285" t="inlineStr"/>
      <c r="E285" t="inlineStr">
        <is>
          <t>CAMUSAT</t>
        </is>
      </c>
      <c r="F285" t="inlineStr">
        <is>
          <t>Good Grid no GE - 8h</t>
        </is>
      </c>
      <c r="G285" t="inlineStr">
        <is>
          <t>CENTRE</t>
        </is>
      </c>
      <c r="H285" t="inlineStr">
        <is>
          <t>Yaounde</t>
        </is>
      </c>
      <c r="I285" t="inlineStr"/>
      <c r="J285" t="inlineStr"/>
      <c r="K285" t="inlineStr"/>
      <c r="L285" t="inlineStr"/>
      <c r="M285" t="inlineStr"/>
      <c r="N285" t="inlineStr">
        <is>
          <t>Operationnel</t>
        </is>
      </c>
      <c r="O285" t="inlineStr"/>
      <c r="P285" t="inlineStr">
        <is>
          <t>AKTIVCO GRID ONLY</t>
        </is>
      </c>
      <c r="Q285" t="inlineStr">
        <is>
          <t>POWER ISSUE</t>
        </is>
      </c>
      <c r="R285" t="inlineStr">
        <is>
          <t>AKTIVCO Coupure ENEO &amp; Baisse de tension</t>
        </is>
      </c>
      <c r="S285" t="inlineStr">
        <is>
          <t>PASSIVE</t>
        </is>
      </c>
      <c r="T285" t="inlineStr">
        <is>
          <t>(04/27/2026 cell zte):-23/04/2026 : Site down..;..;(04/27/2026 ocm ran 17h):-27/04/2026 26/04/2026 team en route pour Verifier la continuté du delsetage
26/04/2026 team en route pour Verifier la continuté du delsetage ETR 35min
24.04.26: Grid outage, Grid only site / Grid return awaited - Escalade L4
23.04.26: Grid outage, Grid only site / Grid return awaited - Escalade L3..;..;(04/27/2026 ocm ran 11h):-27/04/2026 26/04/2026 team en route pour Verifier la continuté du delsetage
26/04/2026 team en route pour Verifier la continuté du delsetage ETR 35min
24.04.26: Grid outage, Grid only site / Grid return awaited - Escalade L4
23.04.26: Grid outage, Grid only site / Grid return awaited - Escalade L3</t>
        </is>
      </c>
      <c r="U285" t="inlineStr">
        <is>
          <t>04/27/2026 cell zte) : -23/04/2026 : Site down.;.; : -27/04/2026 26/04/2026 team en route pour Verifier la continuté du delsetage 26/04/2026 team en route pour Verifier la continuté du delsetage ETR 35min 24.04.26 : Grid outage, Grid only site / Grid return awaited - Escalade L4 23.04.26 : Grid outage, Grid only site / Grid return awaited - Escalade L3.;.; : -27/04/2026 26/04/2026 team en route pour Verifier la continuté du delsetage 26/04/2026 team en route pour Verifier la continuté du delsetage ETR 35min 24.04.26 : Grid outage, Grid only site / Grid return awaited - Escalade L4 23.04.26 : Grid outage, Grid only site / Grid return awaited - Escalade L3</t>
        </is>
      </c>
    </row>
    <row r="286">
      <c r="A286" s="96" t="n">
        <v>46139</v>
      </c>
      <c r="B286" t="inlineStr">
        <is>
          <t>Nkolfon-Cimencam-IHS</t>
        </is>
      </c>
      <c r="C286" t="inlineStr">
        <is>
          <t>CTR_911</t>
        </is>
      </c>
      <c r="D286" t="inlineStr"/>
      <c r="E286" t="inlineStr">
        <is>
          <t>IHS</t>
        </is>
      </c>
      <c r="F286" t="inlineStr">
        <is>
          <t>Gen-Lithium</t>
        </is>
      </c>
      <c r="G286" t="inlineStr">
        <is>
          <t>CENTRE</t>
        </is>
      </c>
      <c r="H286" t="inlineStr">
        <is>
          <t>Mbankomo</t>
        </is>
      </c>
      <c r="I286" t="inlineStr"/>
      <c r="J286" t="inlineStr"/>
      <c r="K286" t="inlineStr"/>
      <c r="L286" t="inlineStr"/>
      <c r="M286" t="inlineStr"/>
      <c r="N286" t="inlineStr">
        <is>
          <t>Operationnel</t>
        </is>
      </c>
      <c r="O286" t="inlineStr"/>
      <c r="P286" t="inlineStr">
        <is>
          <t>SPARE-ISSUE</t>
        </is>
      </c>
      <c r="Q286" t="inlineStr">
        <is>
          <t>SPARE-ISSUE</t>
        </is>
      </c>
      <c r="R286" t="inlineStr">
        <is>
          <t>Warehouse HUAWEI</t>
        </is>
      </c>
      <c r="S286" t="inlineStr">
        <is>
          <t>SPARE-ISSUE</t>
        </is>
      </c>
      <c r="T286" t="inlineStr">
        <is>
          <t xml:space="preserve">(04/27/2026 ocm ran 17h):-22.04.26: Carte core EVO 1G et pas disponible en stock, commande en cours vers OCM
22.04.26; FME Samba en route pour le site, ETA=11H UTC | FME sur site et investigations en cours, carte core EVO 1G probablement faulty
21/04/2026 Besoin d'un fme sur site pour verifier le status du MPR fme activé ..;..;(04/27/2026 ocm ran 11h):-22.04.26: Carte core EVO 1G et pas disponible en stock, commande en cours vers OCM
22.04.26; FME Samba en route pour le site, ETA=11H UTC | FME sur site et investigations en cours, carte core EVO 1G probablement faulty
21/04/2026 Besoin d'un fme sur site pour verifier le status du MPR fme activé </t>
        </is>
      </c>
      <c r="U286" t="inlineStr">
        <is>
          <t>: -22.04.26 : Carte core EVO 1G et pas disponible en stock, commande en cours vers OCM 22.04.26; FME Samba en route pour le site, ETA=11H UTC | FME sur site et investigations en cours, carte core EVO 1G probablement faulty 21/04/2026 Besoin d'un fme sur site pour verifier le status du MPR fme activé .;.; : -22.04.26 : Carte core EVO 1G et pas disponible en stock, commande en cours vers OCM 22.04.26; FME Samba en route pour le site, ETA=11H UTC | FME sur site et investigations en cours, carte core EVO 1G probablement faulty 21/04/2026 Besoin d'un fme sur site pour verifier le status du MPR fme activé</t>
        </is>
      </c>
    </row>
    <row r="287">
      <c r="A287" s="96" t="n">
        <v>46139</v>
      </c>
      <c r="B287" t="inlineStr">
        <is>
          <t>Carrefour-Diderot</t>
        </is>
      </c>
      <c r="C287" t="inlineStr">
        <is>
          <t>CTR_841</t>
        </is>
      </c>
      <c r="D287" t="inlineStr"/>
      <c r="E287" t="inlineStr">
        <is>
          <t>CAMUSAT</t>
        </is>
      </c>
      <c r="F287" t="inlineStr">
        <is>
          <t>Good Grid no GE - 8h</t>
        </is>
      </c>
      <c r="G287" t="inlineStr">
        <is>
          <t>CENTRE</t>
        </is>
      </c>
      <c r="H287" t="inlineStr">
        <is>
          <t>Yaounde</t>
        </is>
      </c>
      <c r="I287" t="inlineStr"/>
      <c r="J287" t="inlineStr"/>
      <c r="K287" t="inlineStr"/>
      <c r="L287" t="inlineStr"/>
      <c r="M287" t="inlineStr"/>
      <c r="N287" t="inlineStr">
        <is>
          <t>Operationnel</t>
        </is>
      </c>
      <c r="O287" t="inlineStr"/>
      <c r="P287" t="inlineStr">
        <is>
          <t>AKTIVCO GRID ONLY</t>
        </is>
      </c>
      <c r="Q287" t="inlineStr">
        <is>
          <t>POWER ISSUE</t>
        </is>
      </c>
      <c r="R287" t="inlineStr">
        <is>
          <t>AKTIVCO Coupure ENEO &amp; Baisse de tension</t>
        </is>
      </c>
      <c r="S287" t="inlineStr">
        <is>
          <t>PASSIVE</t>
        </is>
      </c>
      <c r="T287" t="inlineStr">
        <is>
          <t>(04/27/2026 cell zte):-20/04/2026 : Site down..;..;(04/27/2026 ocm ran 17h):-27/04/2026 No space to deploy DG / continuté du delestage confirmé
26/04/2026 No space to deploy DG / continuté du delestage confirmé
24.04.26: Grid outage and grid only site, no space to deploy a GEM / Grid return awaited - Escalade L4
23.04.26: Grid outage and grid only site, no space to deploy a GEM / Grid return awaited - Escalade L3..;..;(04/27/2026 ocm ran 11h):-27/04/2026 No space to deploy DG / continuté du delestage confirmé
26/04/2026 No space to deploy DG / continuté du delestage confirmé
24.04.26: Grid outage and grid only site, no space to deploy a GEM / Grid return awaited - Escalade L4
23.04.26: Grid outage and grid only site, no space to deploy a GEM / Grid return awaited - Escalade L3</t>
        </is>
      </c>
      <c r="U287" t="inlineStr">
        <is>
          <t>04/27/2026 cell zte) : -20/04/2026 : Site down.;.; : -27/04/2026 No space to deploy DG / continuté du delestage confirmé 26/04/2026 No space to deploy DG / continuté du delestage confirmé 24.04.26 : Grid outage and grid only site, no space to deploy a GEM / Grid return awaited - Escalade L4 23.04.26 : Grid outage and grid only site, no space to deploy a GEM / Grid return awaited - Escalade L3.;.; : -27/04/2026 No space to deploy DG / continuté du delestage confirmé 26/04/2026 No space to deploy DG / continuté du delestage confirmé 24.04.26 : Grid outage and grid only site, no space to deploy a GEM / Grid return awaited - Escalade L4 23.04.26 : Grid outage and grid only site, no space to deploy a GEM / Grid return awaited - Escalade L3</t>
        </is>
      </c>
    </row>
    <row r="288">
      <c r="A288" s="96" t="n">
        <v>46139</v>
      </c>
      <c r="B288" t="inlineStr">
        <is>
          <t>La-Gare</t>
        </is>
      </c>
      <c r="C288" t="inlineStr">
        <is>
          <t>CTR_019</t>
        </is>
      </c>
      <c r="D288" t="inlineStr"/>
      <c r="E288" t="inlineStr">
        <is>
          <t>CAMUSAT</t>
        </is>
      </c>
      <c r="F288" t="inlineStr">
        <is>
          <t>Good Grid + GE</t>
        </is>
      </c>
      <c r="G288" t="inlineStr">
        <is>
          <t>CENTRE</t>
        </is>
      </c>
      <c r="H288" t="inlineStr">
        <is>
          <t>Yaounde</t>
        </is>
      </c>
      <c r="I288" t="inlineStr"/>
      <c r="J288" t="inlineStr"/>
      <c r="K288" t="inlineStr"/>
      <c r="L288" t="inlineStr"/>
      <c r="M288" t="inlineStr"/>
      <c r="N288" t="inlineStr">
        <is>
          <t>Operationnel</t>
        </is>
      </c>
      <c r="O288" t="inlineStr"/>
      <c r="P288" t="inlineStr">
        <is>
          <t>AKTIVCO</t>
        </is>
      </c>
      <c r="Q288" t="inlineStr">
        <is>
          <t>POWER ISSUE</t>
        </is>
      </c>
      <c r="R288" t="inlineStr">
        <is>
          <t>AKTIVCO Defaut GE &amp; Power Cabinet</t>
        </is>
      </c>
      <c r="S288" t="inlineStr">
        <is>
          <t>PASSIVE</t>
        </is>
      </c>
      <c r="T288" t="inlineStr">
        <is>
          <t>(04/27/2026 cell zte):-23/04/2026 : Site down..;..;(04/27/2026 ocm ran 17h):-27/04/2026 No space to deploy DG / verification de la coninuté du delestage
26/04/2026 No space to deploy DG / verification de la coninuté du delestage ETR 25min
24.04.26: Grid outage, Grid only site / Grid return awaited - Escalade L4
23.04.26: Grid outage, Grid only site / Grid return awaited - Escalade L3..;..;(04/27/2026 ocm ran 11h):-27/04/2026 No space to deploy DG / verification de la coninuté du delestage
26/04/2026 No space to deploy DG / verification de la coninuté du delestage ETR 25min
24.04.26: Grid outage, Grid only site / Grid return awaited - Escalade L4
23.04.26: Grid outage, Grid only site / Grid return awaited - Escalade L3</t>
        </is>
      </c>
      <c r="U288" t="inlineStr">
        <is>
          <t>04/27/2026 cell zte) : -23/04/2026 : Site down.;.; : -27/04/2026 No space to deploy DG / verification de la coninuté du delestage 26/04/2026 No space to deploy DG / verification de la coninuté du delestage ETR 25min 24.04.26 : Grid outage, Grid only site / Grid return awaited - Escalade L4 23.04.26 : Grid outage, Grid only site / Grid return awaited - Escalade L3.;.; : -27/04/2026 No space to deploy DG / verification de la coninuté du delestage 26/04/2026 No space to deploy DG / verification de la coninuté du delestage ETR 25min 24.04.26 : Grid outage, Grid only site / Grid return awaited - Escalade L4 23.04.26 : Grid outage, Grid only site / Grid return awaited - Escalade L3</t>
        </is>
      </c>
    </row>
    <row r="289">
      <c r="A289" s="96" t="n">
        <v>46139</v>
      </c>
      <c r="B289" t="inlineStr">
        <is>
          <t>Charles-Atangana</t>
        </is>
      </c>
      <c r="C289" t="inlineStr">
        <is>
          <t>CTR_197</t>
        </is>
      </c>
      <c r="D289" t="inlineStr"/>
      <c r="E289" t="inlineStr">
        <is>
          <t>IHS</t>
        </is>
      </c>
      <c r="F289" t="inlineStr">
        <is>
          <t>GridOnly</t>
        </is>
      </c>
      <c r="G289" t="inlineStr">
        <is>
          <t>CENTRE</t>
        </is>
      </c>
      <c r="H289" t="inlineStr">
        <is>
          <t>Yaounde</t>
        </is>
      </c>
      <c r="I289" t="inlineStr"/>
      <c r="J289" t="inlineStr"/>
      <c r="K289" t="inlineStr"/>
      <c r="L289" t="inlineStr"/>
      <c r="M289" t="inlineStr"/>
      <c r="N289" t="inlineStr">
        <is>
          <t>Operationnel</t>
        </is>
      </c>
      <c r="O289" t="inlineStr"/>
      <c r="P289" t="inlineStr">
        <is>
          <t>IHS GRID ONLY</t>
        </is>
      </c>
      <c r="Q289" t="inlineStr">
        <is>
          <t>POWER ISSUE</t>
        </is>
      </c>
      <c r="R289" t="inlineStr">
        <is>
          <t>Coupure ENEO &amp; Baisse de tension</t>
        </is>
      </c>
      <c r="S289" t="inlineStr">
        <is>
          <t>PASSIVE</t>
        </is>
      </c>
      <c r="T289" t="inlineStr">
        <is>
          <t>(04/27/2026 ocm ran 17h):-27.04.26: IHS: Grid only, no space//awaiting grid return - Escalated to L4
24.04.26: IHS: Grid only, no space//awaiting grid return - Escalated to L2..;..;(04/27/2026 ocm ran 11h):-27.04.26: IHS: Grid only, no space//awaiting grid return - Escalated to L4
24.04.26: IHS: Grid only, no space//awaiting grid return - Escalated to L2</t>
        </is>
      </c>
      <c r="U289" t="inlineStr">
        <is>
          <t>: -27.04.26 : IHS : Grid only, no space//awaiting grid return - Escalated to L4 24.04.26 : IHS : Grid only, no space//awaiting grid return - Escalated to L2.;.; : -27.04.26 : IHS : Grid only, no space//awaiting grid return - Escalated to L4 24.04.26 : IHS : Grid only, no space//awaiting grid return - Escalated to L2</t>
        </is>
      </c>
    </row>
    <row r="290">
      <c r="A290" s="96" t="n">
        <v>46139</v>
      </c>
      <c r="B290" t="inlineStr">
        <is>
          <t>Oyomabang-marche</t>
        </is>
      </c>
      <c r="C290" t="inlineStr">
        <is>
          <t>CTR_718</t>
        </is>
      </c>
      <c r="D290" t="inlineStr"/>
      <c r="E290" t="inlineStr">
        <is>
          <t>CAMUSAT</t>
        </is>
      </c>
      <c r="F290" t="inlineStr">
        <is>
          <t>Good Grid no GE - 8h</t>
        </is>
      </c>
      <c r="G290" t="inlineStr">
        <is>
          <t>CENTRE</t>
        </is>
      </c>
      <c r="H290" t="inlineStr">
        <is>
          <t>Yaounde</t>
        </is>
      </c>
      <c r="I290" t="inlineStr"/>
      <c r="J290" t="inlineStr"/>
      <c r="K290" t="inlineStr"/>
      <c r="L290" t="inlineStr"/>
      <c r="M290" t="inlineStr"/>
      <c r="N290" t="inlineStr">
        <is>
          <t>Operationnel</t>
        </is>
      </c>
      <c r="O290" t="inlineStr"/>
      <c r="P290" t="inlineStr">
        <is>
          <t>SPARE-ISSUE</t>
        </is>
      </c>
      <c r="Q290" t="inlineStr">
        <is>
          <t>SPARE-ISSUE</t>
        </is>
      </c>
      <c r="R290" t="inlineStr">
        <is>
          <t>Warehouse HUAWEI</t>
        </is>
      </c>
      <c r="S290" t="inlineStr">
        <is>
          <t>SPARE-ISSUE</t>
        </is>
      </c>
      <c r="T290" t="inlineStr">
        <is>
          <t xml:space="preserve">(04/27/2026 ocm ran 17h):-27/04/2026 l'AOF est Down Oyomabang-Marche_Oyomabang et ODU faulty commande passé ETD asap 
26/04/2026 l'AOF est Down  lODU est HS sur le FH commande mail en cours pas disponible à Yaoundé
25/04/2026 Besoin d'un fme sur site pour verifier le status du MPR fme mouhamadou activé ..;..;(04/27/2026 ocm ran 11h):-27/04/2026 l'AOF est Down Oyomabang-Marche_Oyomabang et ODU faulty commande passé ETD asap 
26/04/2026 l'AOF est Down  lODU est HS sur le FH commande mail en cours pas disponible à Yaoundé
25/04/2026 Besoin d'un fme sur site pour verifier le status du MPR fme mouhamadou activé </t>
        </is>
      </c>
      <c r="U290" t="inlineStr">
        <is>
          <t>: -27/04/2026 l'AOF est Down Oyomabang-Marche_Oyomabang et ODU faulty commande passé ETD asap 26/04/2026 l'AOF est Down lODU est HS sur le FH commande mail en cours pas disponible à Yaoundé 25/04/2026 Besoin d'un fme sur site pour verifier le status du MPR fme mouhamadou activé .;.; : -27/04/2026 l'AOF est Down Oyomabang-Marche_Oyomabang et ODU faulty commande passé ETD asap 26/04/2026 l'AOF est Down lODU est HS sur le FH commande mail en cours pas disponible à Yaoundé 25/04/2026 Besoin d'un fme sur site pour verifier le status du MPR fme mouhamadou activé</t>
        </is>
      </c>
    </row>
    <row r="291">
      <c r="A291" s="96" t="n">
        <v>46139</v>
      </c>
      <c r="B291" t="inlineStr">
        <is>
          <t>Briqueterie</t>
        </is>
      </c>
      <c r="C291" t="inlineStr">
        <is>
          <t>CTR_321</t>
        </is>
      </c>
      <c r="D291" t="inlineStr"/>
      <c r="E291" t="inlineStr">
        <is>
          <t>IHS</t>
        </is>
      </c>
      <c r="F291" t="inlineStr">
        <is>
          <t>Grid-Lithium</t>
        </is>
      </c>
      <c r="G291" t="inlineStr">
        <is>
          <t>CENTRE</t>
        </is>
      </c>
      <c r="H291" t="inlineStr">
        <is>
          <t>Yaounde</t>
        </is>
      </c>
      <c r="I291" t="inlineStr"/>
      <c r="J291" t="inlineStr"/>
      <c r="K291" t="inlineStr"/>
      <c r="L291" t="inlineStr"/>
      <c r="M291" t="inlineStr"/>
      <c r="N291" t="inlineStr">
        <is>
          <t>Operationnel</t>
        </is>
      </c>
      <c r="O291" t="inlineStr"/>
      <c r="P291" t="inlineStr">
        <is>
          <t>IHS</t>
        </is>
      </c>
      <c r="Q291" t="inlineStr">
        <is>
          <t>POWER ISSUE</t>
        </is>
      </c>
      <c r="R291" t="inlineStr">
        <is>
          <t>Defaut GE &amp; Power Cabinet</t>
        </is>
      </c>
      <c r="S291" t="inlineStr">
        <is>
          <t>PASSIVE</t>
        </is>
      </c>
      <c r="T291" t="inlineStr">
        <is>
          <t xml:space="preserve">(04/27/2026 cell zte):-24/04/2026 : Besoin d'analyse BO RAN..;..;(04/27/2026 cell zte):-27/04/2026 : Besoin d'analyse BO RAN || Site down..;..;(04/27/2026 ocm ran 17h):-27.04.26: IHS: Grid only, no space//awaiting grid return - Escalated to L4
24.04.26: IHS: Grid only, no space//awaiting grid return escalade L2 IHS ..;..;(04/27/2026 ocm ran 11h):-27.04.26: IHS: Grid only, no space//awaiting grid return - Escalated to L4
24.04.26: IHS: Grid only, no space//awaiting grid return escalade L2 IHS </t>
        </is>
      </c>
      <c r="U291" t="inlineStr">
        <is>
          <t>04/27/2026 cell zte) : -24/04/2026 : Besoin d'analyse BO RAN.;.;(04/27/2026 cell zte) : -27/04/2026 : Besoin d'analyse BO RAN || Site down.;.; : -27.04.26 : IHS : Grid only, no space//awaiting grid return - Escalated to L4 24.04.26 : IHS : Grid only, no space//awaiting grid return escalade L2 IHS .;.; : -27.04.26 : IHS : Grid only, no space//awaiting grid return - Escalated to L4 24.04.26 : IHS : Grid only, no space//awaiting grid return escalade L2 IHS</t>
        </is>
      </c>
    </row>
    <row r="292">
      <c r="A292" s="96" t="n">
        <v>46139</v>
      </c>
      <c r="B292" t="inlineStr">
        <is>
          <t>Bonamikengue</t>
        </is>
      </c>
      <c r="C292" t="inlineStr">
        <is>
          <t>LIT_336</t>
        </is>
      </c>
      <c r="D292" t="inlineStr"/>
      <c r="E292" t="inlineStr">
        <is>
          <t>IHS</t>
        </is>
      </c>
      <c r="F292" t="inlineStr">
        <is>
          <t>Grid-Gen</t>
        </is>
      </c>
      <c r="G292" t="inlineStr">
        <is>
          <t>LITTORAL</t>
        </is>
      </c>
      <c r="H292" t="inlineStr">
        <is>
          <t>Douala</t>
        </is>
      </c>
      <c r="I292" t="inlineStr"/>
      <c r="J292" t="inlineStr"/>
      <c r="K292" t="inlineStr"/>
      <c r="L292" t="inlineStr"/>
      <c r="M292" t="inlineStr"/>
      <c r="N292" t="inlineStr">
        <is>
          <t>Operationnel</t>
        </is>
      </c>
      <c r="O292" t="inlineStr"/>
      <c r="P292" t="inlineStr">
        <is>
          <t>PDH</t>
        </is>
      </c>
      <c r="Q292" t="inlineStr">
        <is>
          <t>TX ISSUE</t>
        </is>
      </c>
      <c r="R292" t="inlineStr">
        <is>
          <t>MPR ISSUE</t>
        </is>
      </c>
      <c r="S292" t="inlineStr">
        <is>
          <t>ACTIVE</t>
        </is>
      </c>
      <c r="T292" t="inlineStr">
        <is>
          <t>(04/27/2026 ocm ran 17h):-26/04/2026 Carte core Evo faulty /not available in the system, SPM informed through an email
26/04/2026 The FME should replace the Core-ENH board at Bonaminkengue / FME activated ETA 12H UTC..;..;(04/27/2026 ocm ran 11h):-26/04/2026 Carte core Evo faulty /not available in the system, SPM informed through an email
26/04/2026 The FME should replace the Core-ENH board at Bonaminkengue / FME activated ETA 12H UTC</t>
        </is>
      </c>
      <c r="U292" t="inlineStr">
        <is>
          <t>: -26/04/2026 Carte core Evo faulty /not available in the system, SPM informed through an email 26/04/2026 The FME should replace the Core-ENH board at Bonaminkengue / FME activated ETA 12H UTC.;.; : -26/04/2026 Carte core Evo faulty /not available in the system, SPM informed through an email 26/04/2026 The FME should replace the Core-ENH board at Bonaminkengue / FME activated ETA 12H UTC</t>
        </is>
      </c>
    </row>
    <row r="293">
      <c r="A293" s="96" t="n">
        <v>46139</v>
      </c>
      <c r="B293" t="inlineStr">
        <is>
          <t>Nkongoa</t>
        </is>
      </c>
      <c r="C293" t="inlineStr">
        <is>
          <t>CTR_629</t>
        </is>
      </c>
      <c r="D293" t="inlineStr"/>
      <c r="E293" t="inlineStr">
        <is>
          <t>CAMUSAT</t>
        </is>
      </c>
      <c r="F293" t="inlineStr">
        <is>
          <t>Medium Grid + GE</t>
        </is>
      </c>
      <c r="G293" t="inlineStr">
        <is>
          <t>CENTRE</t>
        </is>
      </c>
      <c r="H293" t="inlineStr">
        <is>
          <t>Yaounde</t>
        </is>
      </c>
      <c r="I293" t="inlineStr"/>
      <c r="J293" t="inlineStr"/>
      <c r="K293" t="inlineStr"/>
      <c r="L293" t="inlineStr"/>
      <c r="M293" t="inlineStr"/>
      <c r="N293" t="inlineStr">
        <is>
          <t>Operationnel</t>
        </is>
      </c>
      <c r="O293" t="inlineStr"/>
      <c r="P293" t="inlineStr">
        <is>
          <t>Exclu</t>
        </is>
      </c>
      <c r="Q293" t="inlineStr">
        <is>
          <t>Exclu</t>
        </is>
      </c>
      <c r="R293" t="inlineStr">
        <is>
          <t>EXCLU</t>
        </is>
      </c>
      <c r="S293" t="inlineStr">
        <is>
          <t>Exclu</t>
        </is>
      </c>
      <c r="T293" t="inlineStr">
        <is>
          <t>(04/27/2026 ocm ran 17h):-27/04/2026 Site nkongoa vendalise côté power..;..;(04/27/2026 ocm ran 11h):-27/04/2026 Site nkongoa vendalise côté power</t>
        </is>
      </c>
      <c r="U293" t="inlineStr">
        <is>
          <t>: -27/04/2026 Site nkongoa vendalise côté power.;.; : -27/04/2026 Site nkongoa vendalise côté power</t>
        </is>
      </c>
    </row>
    <row r="294">
      <c r="A294" s="96" t="n">
        <v>46139</v>
      </c>
      <c r="B294" t="inlineStr">
        <is>
          <t>Logpom-New</t>
        </is>
      </c>
      <c r="C294" t="inlineStr">
        <is>
          <t>LIT_737</t>
        </is>
      </c>
      <c r="D294" t="inlineStr"/>
      <c r="E294" t="inlineStr">
        <is>
          <t>CAMUSAT</t>
        </is>
      </c>
      <c r="F294" t="inlineStr">
        <is>
          <t>Good Grid no GE - 8h</t>
        </is>
      </c>
      <c r="G294" t="inlineStr">
        <is>
          <t>LITTORAL</t>
        </is>
      </c>
      <c r="H294" t="inlineStr">
        <is>
          <t>Douala</t>
        </is>
      </c>
      <c r="I294" t="inlineStr"/>
      <c r="J294" t="inlineStr"/>
      <c r="K294" t="inlineStr"/>
      <c r="L294" t="inlineStr"/>
      <c r="M294" t="inlineStr"/>
      <c r="N294" t="inlineStr">
        <is>
          <t>Operationnel</t>
        </is>
      </c>
      <c r="O294" t="inlineStr"/>
      <c r="P294" t="inlineStr">
        <is>
          <t>AKTIVCO GRID ONLY</t>
        </is>
      </c>
      <c r="Q294" t="inlineStr">
        <is>
          <t>POWER ISSUE</t>
        </is>
      </c>
      <c r="R294" t="inlineStr">
        <is>
          <t>AKTIVCO Coupure ENEO &amp; Baisse de tension</t>
        </is>
      </c>
      <c r="S294" t="inlineStr">
        <is>
          <t>PASSIVE</t>
        </is>
      </c>
      <c r="T294" t="inlineStr">
        <is>
          <t>(04/27/2026 cell zte):-27/04/2026 : Besoin d'analyse BO RAN..;..;(04/27/2026 cell zte):-27/04/2026 : Besoin d'analyse BO RAN || Site down..;..;(04/27/2026 ocm ran 17h):-27/04/2026 Grid outage grid only site /Grid return awaited..;..;(04/27/2026 ocm ran 11h):-27/04/2026 Grid outage grid only site /Grid return awaited</t>
        </is>
      </c>
      <c r="U294" t="inlineStr">
        <is>
          <t>04/27/2026 cell zte) : -27/04/2026 : Besoin d'analyse BO RAN.;.;(04/27/2026 cell zte) : -27/04/2026 : Besoin d'analyse BO RAN || Site down.;.; : -27/04/2026 Grid outage grid only site /Grid return awaited.;.; : -27/04/2026 Grid outage grid only site /Grid return awaited</t>
        </is>
      </c>
    </row>
    <row r="295">
      <c r="A295" s="96" t="n">
        <v>46139</v>
      </c>
      <c r="B295" t="inlineStr">
        <is>
          <t>Mile4-Q10-IHS</t>
        </is>
      </c>
      <c r="C295" t="inlineStr">
        <is>
          <t>SUO_214</t>
        </is>
      </c>
      <c r="D295" t="inlineStr"/>
      <c r="E295" t="inlineStr">
        <is>
          <t>IHS</t>
        </is>
      </c>
      <c r="F295" t="inlineStr">
        <is>
          <t>Grid-Gen</t>
        </is>
      </c>
      <c r="G295" t="inlineStr">
        <is>
          <t>SUD-OUEST</t>
        </is>
      </c>
      <c r="H295" t="inlineStr">
        <is>
          <t>Limbe</t>
        </is>
      </c>
      <c r="I295" t="inlineStr"/>
      <c r="J295" t="inlineStr"/>
      <c r="K295" t="inlineStr"/>
      <c r="L295" t="inlineStr"/>
      <c r="M295" t="inlineStr"/>
      <c r="N295" t="inlineStr">
        <is>
          <t>Insecurity</t>
        </is>
      </c>
      <c r="O295" t="inlineStr"/>
      <c r="P295" t="inlineStr">
        <is>
          <t>SPARE-ISSUE</t>
        </is>
      </c>
      <c r="Q295" t="inlineStr">
        <is>
          <t>SPARE-ISSUE</t>
        </is>
      </c>
      <c r="R295" t="inlineStr">
        <is>
          <t>SPARE-ISSUE</t>
        </is>
      </c>
      <c r="S295" t="inlineStr">
        <is>
          <t>SPARE-ISSUE</t>
        </is>
      </c>
      <c r="T295" t="inlineStr">
        <is>
          <t xml:space="preserve">(04/27/2026 ocm ran 17h):-17/04/2026 Carte EAC (3DB19417AA )  faulty commandée passé pas disponible point transmis a OCM 
16/04/2026 Besoin d'un fme sur site pour verifier le status du MPR et la chaine antennaire de l ODU FME desmond activé ETA asap ..;..;(04/27/2026 ocm ran 11h):-17/04/2026 Carte EAC (3DB19417AA )  faulty commandée passé pas disponible point transmis a OCM 
16/04/2026 Besoin d'un fme sur site pour verifier le status du MPR et la chaine antennaire de l ODU FME desmond activé ETA asap </t>
        </is>
      </c>
      <c r="U295" t="inlineStr">
        <is>
          <t>: -17/04/2026 Carte EAC (3DB19417AA ) faulty commandée passé pas disponible point transmis a OCM 16/04/2026 Besoin d'un fme sur site pour verifier le status du MPR et la chaine antennaire de l ODU FME desmond activé ETA asap .;.; : -17/04/2026 Carte EAC (3DB19417AA ) faulty commandée passé pas disponible point transmis a OCM 16/04/2026 Besoin d'un fme sur site pour verifier le status du MPR et la chaine antennaire de l ODU FME desmond activé ETA asap</t>
        </is>
      </c>
    </row>
    <row r="296">
      <c r="A296" s="96" t="n">
        <v>46139</v>
      </c>
      <c r="B296" t="inlineStr">
        <is>
          <t>Oku-Marche</t>
        </is>
      </c>
      <c r="C296" t="inlineStr">
        <is>
          <t>NRO_110</t>
        </is>
      </c>
      <c r="D296" t="inlineStr"/>
      <c r="E296" t="inlineStr">
        <is>
          <t>IHS</t>
        </is>
      </c>
      <c r="F296" t="inlineStr">
        <is>
          <t>Grid-Gen</t>
        </is>
      </c>
      <c r="G296" t="inlineStr">
        <is>
          <t>NORD-OUEST</t>
        </is>
      </c>
      <c r="H296" t="inlineStr">
        <is>
          <t>Oku</t>
        </is>
      </c>
      <c r="I296" t="inlineStr"/>
      <c r="J296" t="inlineStr"/>
      <c r="K296" t="inlineStr"/>
      <c r="L296" t="inlineStr"/>
      <c r="M296" t="inlineStr"/>
      <c r="N296" t="inlineStr">
        <is>
          <t>Insecurity</t>
        </is>
      </c>
      <c r="O296" t="inlineStr"/>
      <c r="P296" t="inlineStr">
        <is>
          <t>ACCESS-ISSUE</t>
        </is>
      </c>
      <c r="Q296" t="inlineStr">
        <is>
          <t>ACCESS-ISSUE</t>
        </is>
      </c>
      <c r="R296" t="inlineStr">
        <is>
          <t>ACCESS-ISSUE</t>
        </is>
      </c>
      <c r="S296" t="inlineStr">
        <is>
          <t>ACCESS-ISSUE</t>
        </is>
      </c>
      <c r="T296" t="inlineStr">
        <is>
          <t>(04/27/2026 ocm ran 17h):-27.04.26; Access banned by Separatist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town..;..;(04/27/2026 ocm ran 11h):-27.04.26; Access banned by Separatist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t>
        </is>
      </c>
      <c r="U296" t="inlineStr">
        <is>
          <t>: -27.04.26; Access banned by Separatist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 : -27.04.26; Access banned by Separatist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t>
        </is>
      </c>
    </row>
    <row r="297">
      <c r="A297" s="96" t="n">
        <v>46139</v>
      </c>
      <c r="B297" t="inlineStr">
        <is>
          <t>Dumbu</t>
        </is>
      </c>
      <c r="C297" t="inlineStr">
        <is>
          <t>NRO_046</t>
        </is>
      </c>
      <c r="D297" t="inlineStr"/>
      <c r="E297" t="inlineStr">
        <is>
          <t>IHS</t>
        </is>
      </c>
      <c r="F297" t="inlineStr">
        <is>
          <t>Hybrid-Gen</t>
        </is>
      </c>
      <c r="G297" t="inlineStr">
        <is>
          <t>NORD-OUEST</t>
        </is>
      </c>
      <c r="H297" t="inlineStr">
        <is>
          <t>Dumbu</t>
        </is>
      </c>
      <c r="I297" t="inlineStr"/>
      <c r="J297" t="inlineStr"/>
      <c r="K297" t="inlineStr"/>
      <c r="L297" t="inlineStr"/>
      <c r="M297" t="inlineStr"/>
      <c r="N297" t="inlineStr">
        <is>
          <t>Insecurity</t>
        </is>
      </c>
      <c r="O297" t="inlineStr"/>
      <c r="P297" t="inlineStr">
        <is>
          <t>ACCESS-ISSUE</t>
        </is>
      </c>
      <c r="Q297" t="inlineStr">
        <is>
          <t>ACCESS-ISSUE</t>
        </is>
      </c>
      <c r="R297" t="inlineStr">
        <is>
          <t>ACCESS-ISSUE</t>
        </is>
      </c>
      <c r="S297" t="inlineStr">
        <is>
          <t>ACCESS-ISSUE</t>
        </is>
      </c>
      <c r="T297" t="inlineStr">
        <is>
          <t>(04/27/2026 ocm ran 17h):-27/04/2026 |access negotiation ongoing
26/04/2026 Need FME on site to check ODU 4.2 and entenna chain / FME Donald manage with L0..;..;(04/27/2026 ocm ran 11h):-27/04/2026 |access negotiation ongoing
26/04/2026 Need FME on site to check ODU 4.2 and entenna chain / FME Donald manage with L0..;..;(04/27/2026 ticket):-INC-20260427-00018430…	Active// No power issue on site Ubaie; 54.8V site on BATTERY, The FME TX Julien (+237 6 93 09 58 49) from Huawei is informed…Others Transmission equipement fault</t>
        </is>
      </c>
      <c r="U297" t="inlineStr">
        <is>
          <t>: -27/04/2026 |access negotiation ongoing 26/04/2026 Need FME on site to check ODU 4.2 and entenna chain / FME Donald manage with L0.;.; : -27/04/2026 |access negotiation ongoing 26/04/2026 Need FME on site to check ODU 4.2 and entenna chain / FME Donald manage with L0.;.; : -… Active// No power issue on site Ubaie; 54.8V site on BATTERY, The FME TX Julien (+237 6 93 09 58 49) from Huawei is informed…</t>
        </is>
      </c>
    </row>
    <row r="298">
      <c r="A298" s="96" t="n">
        <v>46139</v>
      </c>
      <c r="B298" t="inlineStr">
        <is>
          <t>Bati</t>
        </is>
      </c>
      <c r="C298" t="inlineStr">
        <is>
          <t>OST_215</t>
        </is>
      </c>
      <c r="D298" t="inlineStr"/>
      <c r="E298" t="inlineStr">
        <is>
          <t>IHS</t>
        </is>
      </c>
      <c r="F298" t="inlineStr">
        <is>
          <t>Grid-Gen</t>
        </is>
      </c>
      <c r="G298" t="inlineStr">
        <is>
          <t>OUEST</t>
        </is>
      </c>
      <c r="H298" t="inlineStr">
        <is>
          <t>Bati</t>
        </is>
      </c>
      <c r="I298" t="inlineStr"/>
      <c r="J298" t="inlineStr"/>
      <c r="K298" t="inlineStr"/>
      <c r="L298" t="inlineStr"/>
      <c r="M298" t="inlineStr"/>
      <c r="N298" t="inlineStr">
        <is>
          <t>Operationnel</t>
        </is>
      </c>
      <c r="O298" t="inlineStr"/>
      <c r="P298" t="inlineStr">
        <is>
          <t>BSS</t>
        </is>
      </c>
      <c r="Q298" t="inlineStr">
        <is>
          <t>RAN ISSUE</t>
        </is>
      </c>
      <c r="R298" t="inlineStr">
        <is>
          <t>BSS Hardware issue</t>
        </is>
      </c>
      <c r="S298" t="inlineStr">
        <is>
          <t>ACTIVE</t>
        </is>
      </c>
      <c r="T298" t="inlineStr">
        <is>
          <t>(04/27/2026 cell nokia):-27/04/2026 : Need BO RAN analysis..;..;(04/27/2026 cell nokia):-27/04/2026 : Need BO RAN analysis || Closed after reset but FME should check ABIA module</t>
        </is>
      </c>
      <c r="U298" t="inlineStr">
        <is>
          <t>04/27/2026 cell nokia) : -27/04/2026 : Need BO RAN analysis.;.;(04/27/2026 cell nokia) : -27/04/2026 : Need BO RAN analysis || Closed after reset but FME should check ABIA module</t>
        </is>
      </c>
    </row>
    <row r="299">
      <c r="A299" s="96" t="n">
        <v>46139</v>
      </c>
      <c r="B299" t="inlineStr">
        <is>
          <t>Camp-Yabassi-IHS</t>
        </is>
      </c>
      <c r="C299" t="inlineStr">
        <is>
          <t>LIT_587</t>
        </is>
      </c>
      <c r="D299" t="inlineStr"/>
      <c r="E299" t="inlineStr">
        <is>
          <t>IHS</t>
        </is>
      </c>
      <c r="F299" t="inlineStr">
        <is>
          <t>Grid-Gen</t>
        </is>
      </c>
      <c r="G299" t="inlineStr">
        <is>
          <t>LITTORAL</t>
        </is>
      </c>
      <c r="H299" t="inlineStr">
        <is>
          <t>Douala</t>
        </is>
      </c>
      <c r="I299" t="inlineStr"/>
      <c r="J299" t="inlineStr"/>
      <c r="K299" t="inlineStr"/>
      <c r="L299" t="inlineStr"/>
      <c r="M299" t="inlineStr"/>
      <c r="N299" t="inlineStr">
        <is>
          <t>Operationnel</t>
        </is>
      </c>
      <c r="O299" t="inlineStr"/>
      <c r="P299" t="inlineStr">
        <is>
          <t>IHS</t>
        </is>
      </c>
      <c r="Q299" t="inlineStr">
        <is>
          <t>POWER ISSUE</t>
        </is>
      </c>
      <c r="R299" t="inlineStr">
        <is>
          <t>Defaut GE &amp; Power Cabinet</t>
        </is>
      </c>
      <c r="S299" t="inlineStr">
        <is>
          <t>PASSIVE</t>
        </is>
      </c>
      <c r="T299" t="inlineStr">
        <is>
          <t>(04/27/2026 retour IHS): Power issue NUR to be check</t>
        </is>
      </c>
      <c r="U299" t="inlineStr">
        <is>
          <t>04/27/2026 retour IHS) : Power issue NUR to be check</t>
        </is>
      </c>
    </row>
    <row r="300">
      <c r="A300" s="96" t="n">
        <v>46139</v>
      </c>
      <c r="B300" t="inlineStr">
        <is>
          <t>BATA-Mokolo</t>
        </is>
      </c>
      <c r="C300" t="inlineStr">
        <is>
          <t>CTR_409</t>
        </is>
      </c>
      <c r="D300" t="inlineStr"/>
      <c r="E300" t="inlineStr">
        <is>
          <t>IHS</t>
        </is>
      </c>
      <c r="F300" t="inlineStr">
        <is>
          <t>GridOnly</t>
        </is>
      </c>
      <c r="G300" t="inlineStr">
        <is>
          <t>CENTRE</t>
        </is>
      </c>
      <c r="H300" t="inlineStr">
        <is>
          <t>Yaounde</t>
        </is>
      </c>
      <c r="I300" t="inlineStr"/>
      <c r="J300" t="inlineStr"/>
      <c r="K300" t="inlineStr"/>
      <c r="L300" t="inlineStr"/>
      <c r="M300" t="inlineStr"/>
      <c r="N300" t="inlineStr">
        <is>
          <t>Operationnel</t>
        </is>
      </c>
      <c r="O300" t="inlineStr"/>
      <c r="P300" t="inlineStr">
        <is>
          <t>IHS GRID ONLY</t>
        </is>
      </c>
      <c r="Q300" t="inlineStr">
        <is>
          <t>POWER ISSUE</t>
        </is>
      </c>
      <c r="R300" t="inlineStr">
        <is>
          <t>Coupure ENEO &amp; Baisse de tension</t>
        </is>
      </c>
      <c r="S300" t="inlineStr">
        <is>
          <t>PASSIVE</t>
        </is>
      </c>
      <c r="T300" t="inlineStr">
        <is>
          <t>(04/27/2026 ticket):-INC-20260427-00013883…2026-04-27 20:31:13…Grid outage // awaiting grid returned</t>
        </is>
      </c>
      <c r="U300" t="inlineStr">
        <is>
          <t>: -…2026-04-27 20 : 31 : 13…Grid outage // awaiting grid returned</t>
        </is>
      </c>
    </row>
    <row r="301">
      <c r="A301" s="96" t="n">
        <v>46139</v>
      </c>
      <c r="B301" t="inlineStr">
        <is>
          <t>Ekekam-MTN-IHS</t>
        </is>
      </c>
      <c r="C301" t="inlineStr">
        <is>
          <t>CTR_694</t>
        </is>
      </c>
      <c r="D301" t="inlineStr"/>
      <c r="E301" t="inlineStr">
        <is>
          <t>IHS</t>
        </is>
      </c>
      <c r="F301" t="inlineStr">
        <is>
          <t>Gen-Lithium</t>
        </is>
      </c>
      <c r="G301" t="inlineStr">
        <is>
          <t>CENTRE</t>
        </is>
      </c>
      <c r="H301" t="inlineStr">
        <is>
          <t>Yaounde</t>
        </is>
      </c>
      <c r="I301" t="inlineStr"/>
      <c r="J301" t="inlineStr"/>
      <c r="K301" t="inlineStr"/>
      <c r="L301" t="inlineStr"/>
      <c r="M301" t="inlineStr"/>
      <c r="N301" t="inlineStr">
        <is>
          <t>Operationnel</t>
        </is>
      </c>
      <c r="O301" t="inlineStr"/>
      <c r="P301" t="inlineStr">
        <is>
          <t>ENVTECH</t>
        </is>
      </c>
      <c r="Q301" t="inlineStr">
        <is>
          <t>ENVTECH</t>
        </is>
      </c>
      <c r="R301" t="inlineStr">
        <is>
          <t>Sites strategiques, MLL, Pylone, etc.</t>
        </is>
      </c>
      <c r="S301" t="inlineStr">
        <is>
          <t>PASSIVE</t>
        </is>
      </c>
      <c r="T301" t="inlineStr">
        <is>
          <t>(04/27/2026 ocm ran 17h):-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CM-20260421-00002876; FME Brice activé pour investigations, ETA=18H UTC..;..;(04/27/2026 ocm ran 11h):-22.04.26;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CM-20260421-00002876; FME Brice activé pour investigations, ETA=18H UTC</t>
        </is>
      </c>
      <c r="U301" t="inlineStr">
        <is>
          <t>: - 27/04/2026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 FME Brice activé pour investigations, ETA=18H UTC.;.; :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 FME Brice activé pour investigations, ETA=18H UTC</t>
        </is>
      </c>
    </row>
    <row r="302">
      <c r="A302" s="96" t="n">
        <v>46139</v>
      </c>
      <c r="B302" t="inlineStr">
        <is>
          <t>Balissa-MTN-IHS</t>
        </is>
      </c>
      <c r="C302" t="inlineStr">
        <is>
          <t>CTR_170</t>
        </is>
      </c>
      <c r="D302" t="inlineStr"/>
      <c r="E302" t="inlineStr">
        <is>
          <t>IHS</t>
        </is>
      </c>
      <c r="F302" t="inlineStr">
        <is>
          <t>Solar-Gen</t>
        </is>
      </c>
      <c r="G302" t="inlineStr">
        <is>
          <t>CENTRE</t>
        </is>
      </c>
      <c r="H302" t="inlineStr">
        <is>
          <t>Balissa</t>
        </is>
      </c>
      <c r="I302" t="inlineStr"/>
      <c r="J302" t="inlineStr"/>
      <c r="K302" t="inlineStr"/>
      <c r="L302" t="inlineStr"/>
      <c r="M302" t="inlineStr"/>
      <c r="N302" t="inlineStr">
        <is>
          <t>Operationnel</t>
        </is>
      </c>
      <c r="O302" t="inlineStr"/>
      <c r="P302" t="inlineStr">
        <is>
          <t>ENVTECH</t>
        </is>
      </c>
      <c r="Q302" t="inlineStr">
        <is>
          <t>ENVTECH</t>
        </is>
      </c>
      <c r="R302" t="inlineStr">
        <is>
          <t>Sites strategiques, MLL, Pylone, etc.</t>
        </is>
      </c>
      <c r="S302" t="inlineStr">
        <is>
          <t>PASSIVE</t>
        </is>
      </c>
      <c r="T302" t="inlineStr">
        <is>
          <t>(04/27/2026 ocm ran 17h):-21.04.26; Dementellement des ODUs en cours pour MAD à Huawei, update ASAP
02.04.2026: ODU3DB20859AC (MPT-7-8Ghz) Recu faulty nouvelle commande en cours chez OCM car spare pas dispo chez Huawei
02.04.2026: FME en route ETA=30 MIN
01/04/2026 FME  a la Gare pour la recuperation du Materiel ETA=15H UTC 
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0..;..;(04/27/2026 ocm ran 11h):-21.04.26; Dementellement des ODUs en cours pour MAD à Huawei, update ASAP
02.04.2026: ODU3DB20859AC (MPT-7-8Ghz) Recu faulty nouvelle commande en cours chez OCM car spare pas dispo chez Huawei
02.04.2026: FME en route ETA=30 MIN
01/04/2026 FME  a la Gare pour la recuperation du Materiel ETA=15H UTC 
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c r="U302" t="inlineStr">
        <is>
          <t>: -21.04.26; Dementellement des ODUs en cours pour MAD à Huawei, update ASAP 02.04.2026 : ODU3DB20859AC (MPT-7-8Ghz) Recu faulty nouvelle commande en cours chez OCM car spare pas dispo chez Huawei 02.04.2026 : FME en route ETA=30 MIN 01/04/2026 FME a la Gare pour la recuperation du Materiel ETA=15H UTC 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 : -21.04.26; Dementellement des ODUs en cours pour MAD à Huawei, update ASAP 02.04.2026 : ODU3DB20859AC (MPT-7-8Ghz) Recu faulty nouvelle commande en cours chez OCM car spare pas dispo chez Huawei 02.04.2026 : FME en route ETA=30 MIN 01/04/2026 FME a la Gare pour la recuperation du Materiel ETA=15H UTC 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row>
    <row r="303">
      <c r="A303" s="96" t="n">
        <v>46139</v>
      </c>
      <c r="B303" t="inlineStr">
        <is>
          <t>White-Star-Hotel</t>
        </is>
      </c>
      <c r="C303" t="inlineStr">
        <is>
          <t>SUO_236</t>
        </is>
      </c>
      <c r="D303" t="inlineStr"/>
      <c r="E303" t="inlineStr">
        <is>
          <t>CAMUSAT</t>
        </is>
      </c>
      <c r="F303" t="inlineStr">
        <is>
          <t>Medium Grid + GE</t>
        </is>
      </c>
      <c r="G303" t="inlineStr">
        <is>
          <t>SUD-OUEST</t>
        </is>
      </c>
      <c r="H303" t="inlineStr">
        <is>
          <t>Limbe</t>
        </is>
      </c>
      <c r="I303" t="inlineStr"/>
      <c r="J303" t="inlineStr"/>
      <c r="K303" t="inlineStr"/>
      <c r="L303" t="inlineStr"/>
      <c r="M303" t="inlineStr"/>
      <c r="N303" t="inlineStr">
        <is>
          <t>Operationnel</t>
        </is>
      </c>
      <c r="O303" t="inlineStr"/>
      <c r="P303" t="inlineStr">
        <is>
          <t>AKTIVCO</t>
        </is>
      </c>
      <c r="Q303" t="inlineStr">
        <is>
          <t>POWER ISSUE</t>
        </is>
      </c>
      <c r="R303" t="inlineStr">
        <is>
          <t>AKTIVCO Defaut GE &amp; Power Cabinet</t>
        </is>
      </c>
      <c r="S303" t="inlineStr">
        <is>
          <t>PASSIVE</t>
        </is>
      </c>
      <c r="T303" t="inlineStr">
        <is>
          <t>(04/27/2026 ocm ran 17h):-power status check ongoing..;..;(04/27/2026 ocm ran 11h):-power status check ongoing</t>
        </is>
      </c>
      <c r="U303" t="inlineStr">
        <is>
          <t>: -; : -power status check ongoing</t>
        </is>
      </c>
    </row>
    <row r="304">
      <c r="A304" s="96" t="n">
        <v>46139</v>
      </c>
      <c r="B304" t="inlineStr">
        <is>
          <t>Bitotol-Ecole-Publique</t>
        </is>
      </c>
      <c r="C304" t="inlineStr">
        <is>
          <t>CTR_794</t>
        </is>
      </c>
      <c r="D304" t="inlineStr"/>
      <c r="E304" t="inlineStr">
        <is>
          <t xml:space="preserve">ESCO </t>
        </is>
      </c>
      <c r="F304" t="inlineStr">
        <is>
          <t>Good Grid no GE 8H</t>
        </is>
      </c>
      <c r="G304" t="inlineStr">
        <is>
          <t>CENTRE</t>
        </is>
      </c>
      <c r="H304" t="inlineStr">
        <is>
          <t>Yaounde</t>
        </is>
      </c>
      <c r="I304" t="inlineStr"/>
      <c r="J304" t="inlineStr"/>
      <c r="K304" t="inlineStr"/>
      <c r="L304" t="inlineStr"/>
      <c r="M304" t="inlineStr"/>
      <c r="N304" t="inlineStr">
        <is>
          <t>Operationnel</t>
        </is>
      </c>
      <c r="O304" t="inlineStr"/>
      <c r="P304" t="inlineStr">
        <is>
          <t>BSS</t>
        </is>
      </c>
      <c r="Q304" t="inlineStr">
        <is>
          <t>RAN ISSUE</t>
        </is>
      </c>
      <c r="R304" t="inlineStr">
        <is>
          <t>BSS Hardware issue</t>
        </is>
      </c>
      <c r="S304" t="inlineStr">
        <is>
          <t>ACTIVE</t>
        </is>
      </c>
      <c r="T304" t="inlineStr">
        <is>
          <t>(04/27/2026 cell zte):-27/04/2026 : Besoin d'analyse BO RAN..;..;(04/27/2026 cell zte):-27/04/2026 : Besoin d'analyse BO RAN || GPS Instability</t>
        </is>
      </c>
      <c r="U304" t="inlineStr">
        <is>
          <t>04/27/2026 cell zte) : -27/04/2026 : Besoin d'analyse BO RAN.;.;(04/27/2026 cell zte) : -27/04/2026 : Besoin d'analyse BO RAN || GPS Instability</t>
        </is>
      </c>
    </row>
    <row r="305">
      <c r="A305" s="96" t="n">
        <v>46139</v>
      </c>
      <c r="B305" t="inlineStr">
        <is>
          <t>Batoua-Godole-IHS</t>
        </is>
      </c>
      <c r="C305" t="inlineStr">
        <is>
          <t>ADM_141</t>
        </is>
      </c>
      <c r="D305" t="inlineStr"/>
      <c r="E305" t="inlineStr">
        <is>
          <t>IHS</t>
        </is>
      </c>
      <c r="F305" t="inlineStr">
        <is>
          <t>Solar-Gen</t>
        </is>
      </c>
      <c r="G305" t="inlineStr">
        <is>
          <t>ADAMAOUA</t>
        </is>
      </c>
      <c r="H305" t="inlineStr">
        <is>
          <t>Batoua-Godole</t>
        </is>
      </c>
      <c r="I305" t="inlineStr"/>
      <c r="J305" t="inlineStr"/>
      <c r="K305" t="inlineStr"/>
      <c r="L305" t="inlineStr"/>
      <c r="M305" t="inlineStr"/>
      <c r="N305" t="inlineStr">
        <is>
          <t>Operationnel</t>
        </is>
      </c>
      <c r="O305" t="inlineStr"/>
      <c r="P305" t="inlineStr">
        <is>
          <t>BSS</t>
        </is>
      </c>
      <c r="Q305" t="inlineStr">
        <is>
          <t>RAN ISSUE</t>
        </is>
      </c>
      <c r="R305" t="inlineStr">
        <is>
          <t>BSS Hardware issue</t>
        </is>
      </c>
      <c r="S305" t="inlineStr">
        <is>
          <t>ACTIVE</t>
        </is>
      </c>
      <c r="T305" t="inlineStr">
        <is>
          <t>(04/27/2026 cell nokia):-27/04/2026 : Check breaker and  interconnection FRMF (sfp, optical fiber) between system and radio module, swap its if needed..;..;(04/27/2026 ocm ran 11h):-27/04/2026 besoin d'un fme sur site pour verifier le status du MPR et la chaine antennaire de l ODU FME activé ETA asap ..;..;(04/27/2026 ticket):-INC-20260427-00000578…Others Transmission equipement fault</t>
        </is>
      </c>
      <c r="U305" t="inlineStr">
        <is>
          <t>04/27/2026 cell nokia) : -27/04/2026 : Check breaker and interconnection FRMF (sfp, optical fiber) between system and radio module, swap its if needed.;.; : -27/04/2026 besoin d'un fme sur site pour verifier le status du MPR et la chaine antennaire de l ODU FME activé ETA asap .;.; : -…</t>
        </is>
      </c>
    </row>
    <row r="306">
      <c r="A306" s="96" t="n">
        <v>46139</v>
      </c>
      <c r="B306" t="inlineStr">
        <is>
          <t>Minoterie</t>
        </is>
      </c>
      <c r="C306" t="inlineStr">
        <is>
          <t>LIT_023</t>
        </is>
      </c>
      <c r="D306" t="inlineStr"/>
      <c r="E306" t="inlineStr">
        <is>
          <t>IHS</t>
        </is>
      </c>
      <c r="F306" t="inlineStr">
        <is>
          <t>Grid-Gen</t>
        </is>
      </c>
      <c r="G306" t="inlineStr">
        <is>
          <t>LITTORAL</t>
        </is>
      </c>
      <c r="H306" t="inlineStr">
        <is>
          <t>Douala</t>
        </is>
      </c>
      <c r="I306" t="inlineStr"/>
      <c r="J306" t="inlineStr"/>
      <c r="K306" t="inlineStr"/>
      <c r="L306" t="inlineStr"/>
      <c r="M306" t="inlineStr"/>
      <c r="N306" t="inlineStr">
        <is>
          <t>Operationnel</t>
        </is>
      </c>
      <c r="O306" t="inlineStr"/>
      <c r="P306" t="inlineStr">
        <is>
          <t>IHS</t>
        </is>
      </c>
      <c r="Q306" t="inlineStr">
        <is>
          <t>POWER ISSUE</t>
        </is>
      </c>
      <c r="R306" t="inlineStr">
        <is>
          <t>Defaut GE &amp; Power Cabinet</t>
        </is>
      </c>
      <c r="S306" t="inlineStr">
        <is>
          <t>PASSIVE</t>
        </is>
      </c>
      <c r="T306" t="inlineStr">
        <is>
          <t>(04/27/2026 ticket):-INC-20260427-00000416…power issue here the power guy taken point …Others Transmission equipement fault</t>
        </is>
      </c>
      <c r="U306" t="inlineStr">
        <is>
          <t>: -…power issue here the power guy taken point …</t>
        </is>
      </c>
    </row>
    <row r="307">
      <c r="A307" s="96" t="n">
        <v>46139</v>
      </c>
      <c r="B307" t="inlineStr">
        <is>
          <t>Quartier-Gentil</t>
        </is>
      </c>
      <c r="C307" t="inlineStr">
        <is>
          <t>LIT_450</t>
        </is>
      </c>
      <c r="D307" t="inlineStr"/>
      <c r="E307" t="inlineStr">
        <is>
          <t>IHS</t>
        </is>
      </c>
      <c r="F307" t="inlineStr">
        <is>
          <t>Grid-Gen</t>
        </is>
      </c>
      <c r="G307" t="inlineStr">
        <is>
          <t>LITTORAL</t>
        </is>
      </c>
      <c r="H307" t="inlineStr">
        <is>
          <t>Douala</t>
        </is>
      </c>
      <c r="I307" t="inlineStr"/>
      <c r="J307" t="inlineStr"/>
      <c r="K307" t="inlineStr"/>
      <c r="L307" t="inlineStr"/>
      <c r="M307" t="inlineStr"/>
      <c r="N307" t="inlineStr">
        <is>
          <t>Operationnel</t>
        </is>
      </c>
      <c r="O307" t="inlineStr"/>
      <c r="P307" t="inlineStr">
        <is>
          <t>IHS</t>
        </is>
      </c>
      <c r="Q307" t="inlineStr">
        <is>
          <t>POWER ISSUE</t>
        </is>
      </c>
      <c r="R307" t="inlineStr">
        <is>
          <t>Defaut GE &amp; Power Cabinet</t>
        </is>
      </c>
      <c r="S307" t="inlineStr">
        <is>
          <t>PASSIVE</t>
        </is>
      </c>
      <c r="T307" t="inlineStr">
        <is>
          <t>(04/27/2026 cell zte):-27/04/2026 : Power issue || Mail sent to IHS</t>
        </is>
      </c>
      <c r="U307" t="inlineStr">
        <is>
          <t>04/27/2026 cell zte) : -27/04/2026 : Power issue || Mail sent to IHS</t>
        </is>
      </c>
    </row>
    <row r="308">
      <c r="A308" s="96" t="n">
        <v>46139</v>
      </c>
      <c r="B308" t="inlineStr">
        <is>
          <t>Maroua-Meskin</t>
        </is>
      </c>
      <c r="C308" t="inlineStr">
        <is>
          <t>EXN_233</t>
        </is>
      </c>
      <c r="D308" t="inlineStr"/>
      <c r="E308" t="inlineStr">
        <is>
          <t>CAMUSAT</t>
        </is>
      </c>
      <c r="F308" t="inlineStr">
        <is>
          <t>Bad Grid + GE</t>
        </is>
      </c>
      <c r="G308" t="inlineStr">
        <is>
          <t>EXTREME-NORD</t>
        </is>
      </c>
      <c r="H308" t="inlineStr">
        <is>
          <t>Maroua</t>
        </is>
      </c>
      <c r="I308" t="inlineStr"/>
      <c r="J308" t="inlineStr"/>
      <c r="K308" t="inlineStr"/>
      <c r="L308" t="inlineStr"/>
      <c r="M308" t="inlineStr"/>
      <c r="N308" t="inlineStr">
        <is>
          <t>Operationnel</t>
        </is>
      </c>
      <c r="O308" t="inlineStr"/>
      <c r="P308" t="inlineStr">
        <is>
          <t>AKTIVCO</t>
        </is>
      </c>
      <c r="Q308" t="inlineStr">
        <is>
          <t>POWER ISSUE</t>
        </is>
      </c>
      <c r="R308" t="inlineStr">
        <is>
          <t>AKTIVCO Defaut GE &amp; Power Cabinet</t>
        </is>
      </c>
      <c r="S308" t="inlineStr">
        <is>
          <t>PASSIVE</t>
        </is>
      </c>
      <c r="T308" t="inlineStr">
        <is>
          <t>(04/27/2026 cell huawei):-27/04/2026 : Power instability || Mail sent to Camusat..;..;(04/27/2026 ocm ran 11h):-power status check ongoing</t>
        </is>
      </c>
      <c r="U308" t="inlineStr">
        <is>
          <t>04/27/2026 cell huawei) : -27/04/2026 : Power instability || Mail sent to Camusat.;.; : -power status check ongoing</t>
        </is>
      </c>
    </row>
    <row r="309">
      <c r="A309" s="96" t="n">
        <v>46139</v>
      </c>
      <c r="B309" t="inlineStr">
        <is>
          <t>Bastos-BAT</t>
        </is>
      </c>
      <c r="C309" t="inlineStr">
        <is>
          <t>CTR_200</t>
        </is>
      </c>
      <c r="D309" t="inlineStr"/>
      <c r="E309" t="inlineStr">
        <is>
          <t>IHS</t>
        </is>
      </c>
      <c r="F309" t="inlineStr">
        <is>
          <t>Grid-Gen</t>
        </is>
      </c>
      <c r="G309" t="inlineStr">
        <is>
          <t>CENTRE</t>
        </is>
      </c>
      <c r="H309" t="inlineStr">
        <is>
          <t>Yaounde</t>
        </is>
      </c>
      <c r="I309" t="inlineStr"/>
      <c r="J309" t="inlineStr"/>
      <c r="K309" t="inlineStr"/>
      <c r="L309" t="inlineStr"/>
      <c r="M309" t="inlineStr"/>
      <c r="N309" t="inlineStr">
        <is>
          <t>Operationnel</t>
        </is>
      </c>
      <c r="O309" t="inlineStr"/>
      <c r="P309" t="inlineStr">
        <is>
          <t>BSS</t>
        </is>
      </c>
      <c r="Q309" t="inlineStr">
        <is>
          <t>RAN ISSUE</t>
        </is>
      </c>
      <c r="R309" t="inlineStr">
        <is>
          <t>BSS Hardware issue</t>
        </is>
      </c>
      <c r="S309" t="inlineStr">
        <is>
          <t>ACTIVE</t>
        </is>
      </c>
      <c r="T309" t="inlineStr">
        <is>
          <t>04/27/2026: hardware issue,  site with GPS issue (alarm : TDD down 09Apr 02pm) || (04/27/2026 ticket):-INC-20260427-00002914…Grid outage gen failed to start due to battery GE discharged causing by satiic charger faulty/Gen manually started with external battery…Grid outage gen failed to start due to battery GE discharged causing by satiic charger faulty/Gen manually started with external battery…GE Fault</t>
        </is>
      </c>
      <c r="U309" t="inlineStr">
        <is>
          <t>04/27/2026 : hardware issue, site with GPS issue (alarm : TDD down 09Apr 02pm) || : -…Grid outage gen failed to start due to battery GE discharged causing by satiic charger faulty/Gen manually started with external battery…Grid outage gen failed to start due to battery GE discharged causing by satiic charger faulty/Gen manually started with external battery…GE Fault</t>
        </is>
      </c>
    </row>
    <row r="310">
      <c r="A310" s="96" t="n">
        <v>46139</v>
      </c>
      <c r="B310" t="inlineStr">
        <is>
          <t>Mazera-IHS</t>
        </is>
      </c>
      <c r="C310" t="inlineStr">
        <is>
          <t>EXN_226</t>
        </is>
      </c>
      <c r="D310" t="inlineStr"/>
      <c r="E310" t="inlineStr">
        <is>
          <t>IHS</t>
        </is>
      </c>
      <c r="F310" t="inlineStr">
        <is>
          <t>Hybrid-Gen</t>
        </is>
      </c>
      <c r="G310" t="inlineStr">
        <is>
          <t>EXTREME-NORD</t>
        </is>
      </c>
      <c r="H310" t="inlineStr">
        <is>
          <t>Mazera</t>
        </is>
      </c>
      <c r="I310" t="inlineStr"/>
      <c r="J310" t="inlineStr"/>
      <c r="K310" t="inlineStr"/>
      <c r="L310" t="inlineStr"/>
      <c r="M310" t="inlineStr"/>
      <c r="N310" t="inlineStr">
        <is>
          <t>Insecurity</t>
        </is>
      </c>
      <c r="O310" t="inlineStr"/>
      <c r="P310" t="inlineStr">
        <is>
          <t>PDH</t>
        </is>
      </c>
      <c r="Q310" t="inlineStr">
        <is>
          <t>TX ISSUE</t>
        </is>
      </c>
      <c r="R310" t="inlineStr">
        <is>
          <t>ODU HS</t>
        </is>
      </c>
      <c r="S310" t="inlineStr">
        <is>
          <t>ACTIVE</t>
        </is>
      </c>
      <c r="T310" t="inlineStr">
        <is>
          <t xml:space="preserve">(04/27/2026 ocm ran 17h):-27/04/2026 FME eric activé manage avec level 0 
Besoin d'un fme sur site pour verifier le status du MPR et la chaine antennaire de l ODU 3/1 ..;..;(04/27/2026 ocm ran 11h):-power status check ongoing..;..;(04/27/2026 ticket):-INC-20260427-00005299…2026-04-27 22:28:50…activer le FME pour check de la chaine antennaire en local et verifier le statut des ODUs.
Pas de signal recu a Tekelle.…unknown reason </t>
        </is>
      </c>
      <c r="U310" t="inlineStr">
        <is>
          <t>: -27/04/2026 FME eric activé manage avec level 0 Besoin d'un fme sur site pour verifier le status du MPR et la chaine antennaire de l ODU 3/1 .;.; : -; : -…2026-04-27 22 : 28 : 50…activer le FME pour check de la chaine antennaire en local et verifier le statut des ODUs. Pas de signal recu a Tekelle.…unknown reason</t>
        </is>
      </c>
    </row>
    <row r="311">
      <c r="A311" s="96" t="n">
        <v>46139</v>
      </c>
      <c r="B311" t="inlineStr">
        <is>
          <t>PDC</t>
        </is>
      </c>
      <c r="C311" t="inlineStr">
        <is>
          <t>CTR_011</t>
        </is>
      </c>
      <c r="D311" t="inlineStr"/>
      <c r="E311" t="inlineStr">
        <is>
          <t>IHS</t>
        </is>
      </c>
      <c r="F311" t="inlineStr">
        <is>
          <t>Grid-Gen</t>
        </is>
      </c>
      <c r="G311" t="inlineStr">
        <is>
          <t>CENTRE</t>
        </is>
      </c>
      <c r="H311" t="inlineStr">
        <is>
          <t>Yaounde</t>
        </is>
      </c>
      <c r="I311" t="inlineStr"/>
      <c r="J311" t="inlineStr"/>
      <c r="K311" t="inlineStr"/>
      <c r="L311" t="inlineStr"/>
      <c r="M311" t="inlineStr"/>
      <c r="N311" t="inlineStr">
        <is>
          <t>Operationnel</t>
        </is>
      </c>
      <c r="O311" t="inlineStr"/>
      <c r="P311" t="inlineStr">
        <is>
          <t>BSS</t>
        </is>
      </c>
      <c r="Q311" t="inlineStr">
        <is>
          <t>RAN ISSUE</t>
        </is>
      </c>
      <c r="R311" t="inlineStr">
        <is>
          <t>BSS Hardware issue</t>
        </is>
      </c>
      <c r="S311" t="inlineStr">
        <is>
          <t>ACTIVE</t>
        </is>
      </c>
      <c r="T311" t="inlineStr">
        <is>
          <t>04/27/2026: hardware issue,  site with GPS issue (alarm : TDD down 09Apr 02pm)</t>
        </is>
      </c>
      <c r="U311" t="inlineStr">
        <is>
          <t>04/27/2026 : hardware issue, site with GPS issue (alarm : TDD down 09Apr 02pm)</t>
        </is>
      </c>
    </row>
    <row r="312">
      <c r="A312" s="96" t="n">
        <v>46139</v>
      </c>
      <c r="B312" t="inlineStr">
        <is>
          <t>CNR</t>
        </is>
      </c>
      <c r="C312" t="inlineStr">
        <is>
          <t>CTR_002</t>
        </is>
      </c>
      <c r="D312" t="inlineStr"/>
      <c r="E312" t="inlineStr">
        <is>
          <t>IHS</t>
        </is>
      </c>
      <c r="F312" t="inlineStr">
        <is>
          <t>Grid-Gen</t>
        </is>
      </c>
      <c r="G312" t="inlineStr">
        <is>
          <t>CENTRE</t>
        </is>
      </c>
      <c r="H312" t="inlineStr">
        <is>
          <t>Yaounde</t>
        </is>
      </c>
      <c r="I312" t="inlineStr"/>
      <c r="J312" t="inlineStr"/>
      <c r="K312" t="inlineStr"/>
      <c r="L312" t="inlineStr"/>
      <c r="M312" t="inlineStr"/>
      <c r="N312" t="inlineStr">
        <is>
          <t>Operationnel</t>
        </is>
      </c>
      <c r="O312" t="inlineStr"/>
      <c r="P312" t="inlineStr">
        <is>
          <t>BSS</t>
        </is>
      </c>
      <c r="Q312" t="inlineStr">
        <is>
          <t>RAN ISSUE</t>
        </is>
      </c>
      <c r="R312" t="inlineStr">
        <is>
          <t>BSS Hardware issue</t>
        </is>
      </c>
      <c r="S312" t="inlineStr">
        <is>
          <t>ACTIVE</t>
        </is>
      </c>
      <c r="T312" t="inlineStr">
        <is>
          <t>04/27/2026: hardware issue,  site with GPS issue (alarm : TDD down 09Apr 02pm)</t>
        </is>
      </c>
      <c r="U312" t="inlineStr">
        <is>
          <t>04/27/2026 : hardware issue, site with GPS issue (alarm : TDD down 09Apr 02pm)</t>
        </is>
      </c>
    </row>
    <row r="313">
      <c r="A313" s="96" t="n">
        <v>46139</v>
      </c>
      <c r="B313" t="inlineStr">
        <is>
          <t>Betare-Oya</t>
        </is>
      </c>
      <c r="C313" t="inlineStr">
        <is>
          <t>EST_014</t>
        </is>
      </c>
      <c r="D313" t="inlineStr"/>
      <c r="E313" t="inlineStr">
        <is>
          <t>IHS</t>
        </is>
      </c>
      <c r="F313" t="inlineStr">
        <is>
          <t>Solar-Gen-Lithium</t>
        </is>
      </c>
      <c r="G313" t="inlineStr">
        <is>
          <t>EST</t>
        </is>
      </c>
      <c r="H313" t="inlineStr">
        <is>
          <t>Betare-oya</t>
        </is>
      </c>
      <c r="I313" t="inlineStr"/>
      <c r="J313" t="inlineStr"/>
      <c r="K313" t="inlineStr"/>
      <c r="L313" t="inlineStr"/>
      <c r="M313" t="inlineStr"/>
      <c r="N313" t="inlineStr">
        <is>
          <t>Operationnel</t>
        </is>
      </c>
      <c r="O313" t="inlineStr"/>
      <c r="P313" t="inlineStr">
        <is>
          <t>BSS</t>
        </is>
      </c>
      <c r="Q313" t="inlineStr">
        <is>
          <t>RAN ISSUE</t>
        </is>
      </c>
      <c r="R313" t="inlineStr">
        <is>
          <t>BSS Hardware issue</t>
        </is>
      </c>
      <c r="S313" t="inlineStr">
        <is>
          <t>ACTIVE</t>
        </is>
      </c>
      <c r="T313" t="inlineStr">
        <is>
          <t xml:space="preserve">(04/27/2026 cell nokia):-27/04/2026 : Check breaker and  interconnection FRGU (sfp, optical fiber) between system and radio module, swap its if needed ||FME Mezazem activer ..;..;(04/27/2026 cell nokia):-27/04/2026 : Check breaker and  interconnection FRGU (sfp, optical fiber) between system and radio module, swap its if needed ||FME Mezazem activer || Action non aboutti avec le vel 0 || FME ira sur site demain 28/04/2026 </t>
        </is>
      </c>
      <c r="U313" t="inlineStr">
        <is>
          <t>04/27/2026 cell nokia) : -27/04/2026 : Check breaker and interconnection FRGU (sfp, optical fiber) between system and radio module, swap its if needed || .;.;(04/27/2026 cell nokia) : -27/04/2026 : Check breaker and interconnection FRGU (sfp, optical fiber) between system and radio module, swap its if needed || Action non aboutti avec le vel 0 || FME ira sur site demain 28/04/2026</t>
        </is>
      </c>
    </row>
    <row r="314">
      <c r="A314" s="96" t="n">
        <v>46139</v>
      </c>
      <c r="B314" t="inlineStr">
        <is>
          <t>Etoudi</t>
        </is>
      </c>
      <c r="C314" t="inlineStr">
        <is>
          <t>CTR_086</t>
        </is>
      </c>
      <c r="D314" t="inlineStr"/>
      <c r="E314" t="inlineStr">
        <is>
          <t>IHS</t>
        </is>
      </c>
      <c r="F314" t="inlineStr">
        <is>
          <t>Grid-Gen</t>
        </is>
      </c>
      <c r="G314" t="inlineStr">
        <is>
          <t>CENTRE</t>
        </is>
      </c>
      <c r="H314" t="inlineStr">
        <is>
          <t>Yaounde</t>
        </is>
      </c>
      <c r="I314" t="inlineStr"/>
      <c r="J314" t="inlineStr"/>
      <c r="K314" t="inlineStr"/>
      <c r="L314" t="inlineStr"/>
      <c r="M314" t="inlineStr"/>
      <c r="N314" t="inlineStr">
        <is>
          <t>Operationnel</t>
        </is>
      </c>
      <c r="O314" t="inlineStr"/>
      <c r="P314" t="inlineStr">
        <is>
          <t>BSS</t>
        </is>
      </c>
      <c r="Q314" t="inlineStr">
        <is>
          <t>RAN ISSUE</t>
        </is>
      </c>
      <c r="R314" t="inlineStr">
        <is>
          <t>BSS Hardware issue</t>
        </is>
      </c>
      <c r="S314" t="inlineStr">
        <is>
          <t>ACTIVE</t>
        </is>
      </c>
      <c r="T314" t="inlineStr">
        <is>
          <t>04/27/2026: hardware issue,  site with GPS issue (alarm : TDD down 09Apr 02pm)</t>
        </is>
      </c>
      <c r="U314" t="inlineStr">
        <is>
          <t>04/27/2026 : hardware issue, site with GPS issue (alarm : TDD down 09Apr 02pm)</t>
        </is>
      </c>
    </row>
    <row r="315">
      <c r="A315" s="96" t="n">
        <v>46139</v>
      </c>
      <c r="B315" t="inlineStr">
        <is>
          <t>Vallee-Omnisport</t>
        </is>
      </c>
      <c r="C315" t="inlineStr">
        <is>
          <t>CTR_758</t>
        </is>
      </c>
      <c r="D315" t="inlineStr"/>
      <c r="E315" t="inlineStr">
        <is>
          <t>CAMUSAT</t>
        </is>
      </c>
      <c r="F315" t="inlineStr">
        <is>
          <t>Good Grid no GE - 8h</t>
        </is>
      </c>
      <c r="G315" t="inlineStr">
        <is>
          <t>CENTRE</t>
        </is>
      </c>
      <c r="H315" t="inlineStr">
        <is>
          <t>Yaounde</t>
        </is>
      </c>
      <c r="I315" t="inlineStr"/>
      <c r="J315" t="inlineStr"/>
      <c r="K315" t="inlineStr"/>
      <c r="L315" t="inlineStr"/>
      <c r="M315" t="inlineStr"/>
      <c r="N315" t="inlineStr">
        <is>
          <t>Operationnel</t>
        </is>
      </c>
      <c r="O315" t="inlineStr"/>
      <c r="P315" t="inlineStr">
        <is>
          <t>BSS</t>
        </is>
      </c>
      <c r="Q315" t="inlineStr">
        <is>
          <t>RAN ISSUE</t>
        </is>
      </c>
      <c r="R315" t="inlineStr">
        <is>
          <t>BSS Hardware issue</t>
        </is>
      </c>
      <c r="S315" t="inlineStr">
        <is>
          <t>ACTIVE</t>
        </is>
      </c>
      <c r="T315" t="inlineStr">
        <is>
          <t>(04/27/2026 cell zte):-27/04/2026 : Besoin d'analyse BO RAN..;..;(04/27/2026 cell zte):-27/04/2026 : Besoin d'analyse BO RAN || GPS Instability</t>
        </is>
      </c>
      <c r="U315" t="inlineStr">
        <is>
          <t>04/27/2026 cell zte) : -27/04/2026 : Besoin d'analyse BO RAN.;.;(04/27/2026 cell zte) : -27/04/2026 : Besoin d'analyse BO RAN || GPS Instability</t>
        </is>
      </c>
    </row>
    <row r="316">
      <c r="A316" s="96" t="n">
        <v>46139</v>
      </c>
      <c r="B316" t="inlineStr">
        <is>
          <t>Emia</t>
        </is>
      </c>
      <c r="C316" t="inlineStr">
        <is>
          <t>CTR_323</t>
        </is>
      </c>
      <c r="D316" t="inlineStr"/>
      <c r="E316" t="inlineStr">
        <is>
          <t>IHS</t>
        </is>
      </c>
      <c r="F316" t="inlineStr">
        <is>
          <t>Grid-Lithium</t>
        </is>
      </c>
      <c r="G316" t="inlineStr">
        <is>
          <t>CENTRE</t>
        </is>
      </c>
      <c r="H316" t="inlineStr">
        <is>
          <t>Yaounde</t>
        </is>
      </c>
      <c r="I316" t="inlineStr"/>
      <c r="J316" t="inlineStr"/>
      <c r="K316" t="inlineStr"/>
      <c r="L316" t="inlineStr"/>
      <c r="M316" t="inlineStr"/>
      <c r="N316" t="inlineStr">
        <is>
          <t>Operationnel</t>
        </is>
      </c>
      <c r="O316" t="inlineStr"/>
      <c r="P316" t="inlineStr">
        <is>
          <t>BSS</t>
        </is>
      </c>
      <c r="Q316" t="inlineStr">
        <is>
          <t>RAN ISSUE</t>
        </is>
      </c>
      <c r="R316" t="inlineStr">
        <is>
          <t>BSS Hardware issue</t>
        </is>
      </c>
      <c r="S316" t="inlineStr">
        <is>
          <t>ACTIVE</t>
        </is>
      </c>
      <c r="T316" t="inlineStr">
        <is>
          <t>04/27/2026: hardware issue,  site with GPS issue (alarm : TDD down 09Apr 02pm)</t>
        </is>
      </c>
      <c r="U316" t="inlineStr">
        <is>
          <t>04/27/2026 : hardware issue, site with GPS issue (alarm : TDD down 09Apr 02pm)</t>
        </is>
      </c>
    </row>
    <row r="317">
      <c r="A317" s="96" t="n">
        <v>46139</v>
      </c>
      <c r="B317" t="inlineStr">
        <is>
          <t>Elig-Edzoa</t>
        </is>
      </c>
      <c r="C317" t="inlineStr">
        <is>
          <t>CTR_075</t>
        </is>
      </c>
      <c r="D317" t="inlineStr"/>
      <c r="E317" t="inlineStr">
        <is>
          <t>IHS</t>
        </is>
      </c>
      <c r="F317" t="inlineStr">
        <is>
          <t>GridOnly</t>
        </is>
      </c>
      <c r="G317" t="inlineStr">
        <is>
          <t>CENTRE</t>
        </is>
      </c>
      <c r="H317" t="inlineStr">
        <is>
          <t>Yaounde</t>
        </is>
      </c>
      <c r="I317" t="inlineStr"/>
      <c r="J317" t="inlineStr"/>
      <c r="K317" t="inlineStr"/>
      <c r="L317" t="inlineStr"/>
      <c r="M317" t="inlineStr"/>
      <c r="N317" t="inlineStr">
        <is>
          <t>Operationnel</t>
        </is>
      </c>
      <c r="O317" t="inlineStr"/>
      <c r="P317" t="inlineStr">
        <is>
          <t>BSS</t>
        </is>
      </c>
      <c r="Q317" t="inlineStr">
        <is>
          <t>RAN ISSUE</t>
        </is>
      </c>
      <c r="R317" t="inlineStr">
        <is>
          <t>BSS Hardware issue</t>
        </is>
      </c>
      <c r="S317" t="inlineStr">
        <is>
          <t>ACTIVE</t>
        </is>
      </c>
      <c r="T317" t="inlineStr">
        <is>
          <t>04/27/2026: hardware issue,  site with GPS issue (alarm : TDD down 09Apr 02pm)</t>
        </is>
      </c>
      <c r="U317" t="inlineStr">
        <is>
          <t>04/27/2026 : hardware issue, site with GPS issue (alarm : TDD down 09Apr 02pm)</t>
        </is>
      </c>
    </row>
    <row r="318">
      <c r="A318" s="96" t="n">
        <v>46139</v>
      </c>
      <c r="B318" t="inlineStr">
        <is>
          <t>Bertoua-Dabadi</t>
        </is>
      </c>
      <c r="C318" t="inlineStr">
        <is>
          <t>EST_087</t>
        </is>
      </c>
      <c r="D318" t="inlineStr"/>
      <c r="E318" t="inlineStr">
        <is>
          <t>IHS</t>
        </is>
      </c>
      <c r="F318" t="inlineStr">
        <is>
          <t>Grid-Gen</t>
        </is>
      </c>
      <c r="G318" t="inlineStr">
        <is>
          <t>EST</t>
        </is>
      </c>
      <c r="H318" t="inlineStr">
        <is>
          <t>Bertoua</t>
        </is>
      </c>
      <c r="I318" t="inlineStr"/>
      <c r="J318" t="inlineStr"/>
      <c r="K318" t="inlineStr"/>
      <c r="L318" t="inlineStr"/>
      <c r="M318" t="inlineStr"/>
      <c r="N318" t="inlineStr">
        <is>
          <t>Operationnel</t>
        </is>
      </c>
      <c r="O318" t="inlineStr"/>
      <c r="P318" t="inlineStr">
        <is>
          <t>SPARE-ISSUE</t>
        </is>
      </c>
      <c r="Q318" t="inlineStr">
        <is>
          <t>SPARE-ISSUE</t>
        </is>
      </c>
      <c r="R318" t="inlineStr">
        <is>
          <t>Warehouse HUAWEI</t>
        </is>
      </c>
      <c r="S318" t="inlineStr">
        <is>
          <t>SPARE-ISSUE</t>
        </is>
      </c>
      <c r="T318" t="inlineStr">
        <is>
          <t xml:space="preserve">(04/27/2026 cell zte):-24/03/2026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 ..;..;(04/27/2026 cell zte):-24/03/2026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 </t>
        </is>
      </c>
      <c r="U318" t="inlineStr">
        <is>
          <t>04/27/2026 cell zte) : -24/03/2026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 .;.;(04/27/2026 cell zte) : -24/03/2026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t>
        </is>
      </c>
    </row>
    <row r="319">
      <c r="A319" s="96" t="n">
        <v>46139</v>
      </c>
      <c r="B319" t="inlineStr">
        <is>
          <t>Mballa-II</t>
        </is>
      </c>
      <c r="C319" t="inlineStr">
        <is>
          <t>CTR_824</t>
        </is>
      </c>
      <c r="D319" t="inlineStr"/>
      <c r="E319" t="inlineStr">
        <is>
          <t>CAMUSAT</t>
        </is>
      </c>
      <c r="F319" t="inlineStr">
        <is>
          <t>Good Grid no GE - 8h</t>
        </is>
      </c>
      <c r="G319" t="inlineStr">
        <is>
          <t>CENTRE</t>
        </is>
      </c>
      <c r="H319" t="inlineStr">
        <is>
          <t>Yaounde</t>
        </is>
      </c>
      <c r="I319" t="inlineStr"/>
      <c r="J319" t="inlineStr"/>
      <c r="K319" t="inlineStr"/>
      <c r="L319" t="inlineStr"/>
      <c r="M319" t="inlineStr"/>
      <c r="N319" t="inlineStr">
        <is>
          <t>Operationnel</t>
        </is>
      </c>
      <c r="O319" t="inlineStr"/>
      <c r="P319" t="inlineStr">
        <is>
          <t>BSS</t>
        </is>
      </c>
      <c r="Q319" t="inlineStr">
        <is>
          <t>RAN ISSUE</t>
        </is>
      </c>
      <c r="R319" t="inlineStr">
        <is>
          <t>BSS Hardware issue</t>
        </is>
      </c>
      <c r="S319" t="inlineStr">
        <is>
          <t>ACTIVE</t>
        </is>
      </c>
      <c r="T319" t="inlineStr">
        <is>
          <t>04/27/2026: hardware issue,  site with GPS issue (alarm : TDD down 09Apr 02pm)</t>
        </is>
      </c>
      <c r="U319" t="inlineStr">
        <is>
          <t>04/27/2026 : hardware issue, site with GPS issue (alarm : TDD down 09Apr 02pm)</t>
        </is>
      </c>
    </row>
    <row r="320">
      <c r="A320" s="96" t="n">
        <v>46139</v>
      </c>
      <c r="B320" t="inlineStr">
        <is>
          <t>Etoudi-II-IHS</t>
        </is>
      </c>
      <c r="C320" t="inlineStr">
        <is>
          <t>CTR_633</t>
        </is>
      </c>
      <c r="D320" t="inlineStr"/>
      <c r="E320" t="inlineStr">
        <is>
          <t>IHS</t>
        </is>
      </c>
      <c r="F320" t="inlineStr">
        <is>
          <t>Grid-Gen</t>
        </is>
      </c>
      <c r="G320" t="inlineStr">
        <is>
          <t>CENTRE</t>
        </is>
      </c>
      <c r="H320" t="inlineStr">
        <is>
          <t>Yaounde</t>
        </is>
      </c>
      <c r="I320" t="inlineStr"/>
      <c r="J320" t="inlineStr"/>
      <c r="K320" t="inlineStr"/>
      <c r="L320" t="inlineStr"/>
      <c r="M320" t="inlineStr"/>
      <c r="N320" t="inlineStr">
        <is>
          <t>Operationnel</t>
        </is>
      </c>
      <c r="O320" t="inlineStr"/>
      <c r="P320" t="inlineStr">
        <is>
          <t>BSS</t>
        </is>
      </c>
      <c r="Q320" t="inlineStr">
        <is>
          <t>RAN ISSUE</t>
        </is>
      </c>
      <c r="R320" t="inlineStr">
        <is>
          <t>BSS Hardware issue</t>
        </is>
      </c>
      <c r="S320" t="inlineStr">
        <is>
          <t>ACTIVE</t>
        </is>
      </c>
      <c r="T320" t="inlineStr">
        <is>
          <t>04/27/2026: hardware issue,  site with GPS issue (alarm : TDD down 09Apr 02pm)</t>
        </is>
      </c>
      <c r="U320" t="inlineStr">
        <is>
          <t>04/27/2026 : hardware issue, site with GPS issue (alarm : TDD down 09Apr 02pm)</t>
        </is>
      </c>
    </row>
    <row r="321">
      <c r="A321" s="96" t="n">
        <v>46139</v>
      </c>
      <c r="B321" t="inlineStr">
        <is>
          <t>Manguier</t>
        </is>
      </c>
      <c r="C321" t="inlineStr">
        <is>
          <t>CTR_049</t>
        </is>
      </c>
      <c r="D321" t="inlineStr"/>
      <c r="E321" t="inlineStr">
        <is>
          <t>IHS</t>
        </is>
      </c>
      <c r="F321" t="inlineStr">
        <is>
          <t>Grid-Gen</t>
        </is>
      </c>
      <c r="G321" t="inlineStr">
        <is>
          <t>CENTRE</t>
        </is>
      </c>
      <c r="H321" t="inlineStr">
        <is>
          <t>Yaounde</t>
        </is>
      </c>
      <c r="I321" t="inlineStr"/>
      <c r="J321" t="inlineStr"/>
      <c r="K321" t="inlineStr"/>
      <c r="L321" t="inlineStr"/>
      <c r="M321" t="inlineStr"/>
      <c r="N321" t="inlineStr">
        <is>
          <t>Operationnel</t>
        </is>
      </c>
      <c r="O321" t="inlineStr"/>
      <c r="P321" t="inlineStr">
        <is>
          <t>BSS</t>
        </is>
      </c>
      <c r="Q321" t="inlineStr">
        <is>
          <t>RAN ISSUE</t>
        </is>
      </c>
      <c r="R321" t="inlineStr">
        <is>
          <t>BSS Hardware issue</t>
        </is>
      </c>
      <c r="S321" t="inlineStr">
        <is>
          <t>ACTIVE</t>
        </is>
      </c>
      <c r="T321" t="inlineStr">
        <is>
          <t>04/27/2026: hardware issue,  site with GPS issue (alarm : TDD down 09Apr 02pm)</t>
        </is>
      </c>
      <c r="U321" t="inlineStr">
        <is>
          <t>04/27/2026 : hardware issue, site with GPS issue (alarm : TDD down 09Apr 02pm)</t>
        </is>
      </c>
    </row>
    <row r="322">
      <c r="A322" s="96" t="n">
        <v>46139</v>
      </c>
      <c r="B322" t="inlineStr">
        <is>
          <t>laboratorie-T.Bella</t>
        </is>
      </c>
      <c r="C322" t="inlineStr">
        <is>
          <t>CTR_937</t>
        </is>
      </c>
      <c r="D322" t="inlineStr"/>
      <c r="E322" t="inlineStr">
        <is>
          <t>ESCO</t>
        </is>
      </c>
      <c r="F322" t="inlineStr"/>
      <c r="G322" t="inlineStr">
        <is>
          <t>CENTRE</t>
        </is>
      </c>
      <c r="H322" t="inlineStr">
        <is>
          <t>Yaounde</t>
        </is>
      </c>
      <c r="I322" t="inlineStr"/>
      <c r="J322" t="inlineStr"/>
      <c r="K322" t="inlineStr"/>
      <c r="L322" t="inlineStr"/>
      <c r="M322" t="inlineStr"/>
      <c r="N322" t="inlineStr">
        <is>
          <t>Operationnel</t>
        </is>
      </c>
      <c r="O322" t="inlineStr"/>
      <c r="P322" t="inlineStr">
        <is>
          <t>BSS</t>
        </is>
      </c>
      <c r="Q322" t="inlineStr">
        <is>
          <t>RAN ISSUE</t>
        </is>
      </c>
      <c r="R322" t="inlineStr">
        <is>
          <t>BSS Hardware issue</t>
        </is>
      </c>
      <c r="S322" t="inlineStr">
        <is>
          <t>ACTIVE</t>
        </is>
      </c>
      <c r="T322" t="inlineStr">
        <is>
          <t xml:space="preserve"> 04/27 /2026: hardware issue,  site with GPS issue (alarm : TDD down 09Apr 02pm) || (04/27/2026 cell zte):-27/04/2026 : Besoin d'analyse BO RAN..;..;(04/27/2026 cell zte):-27/04/2026 : Besoin d'analyse BO RAN || GPS Instability</t>
        </is>
      </c>
      <c r="U322" t="inlineStr">
        <is>
          <t>04/27 /2026 : hardware issue, site with GPS issue (alarm : TDD down 09Apr 02pm) || (04/27/2026 cell zte) : -27/04/2026 : Besoin d'analyse BO RAN.;.;(04/27/2026 cell zte) : -27/04/2026 : Besoin d'analyse BO RAN || GPS Instability</t>
        </is>
      </c>
    </row>
    <row r="323">
      <c r="A323" s="96" t="n">
        <v>46139</v>
      </c>
      <c r="B323" t="inlineStr">
        <is>
          <t>CTR_064_Z_Etoa-Meki</t>
        </is>
      </c>
      <c r="C323" t="inlineStr">
        <is>
          <t>CTR_064</t>
        </is>
      </c>
      <c r="D323" t="inlineStr"/>
      <c r="E323" t="inlineStr"/>
      <c r="F323" t="inlineStr"/>
      <c r="G323" t="inlineStr">
        <is>
          <t>CENTRE</t>
        </is>
      </c>
      <c r="H323" t="inlineStr">
        <is>
          <t>Yaounde</t>
        </is>
      </c>
      <c r="I323" t="inlineStr"/>
      <c r="J323" t="inlineStr"/>
      <c r="K323" t="inlineStr"/>
      <c r="L323" t="inlineStr"/>
      <c r="M323" t="inlineStr"/>
      <c r="N323" t="inlineStr">
        <is>
          <t>Operationnel</t>
        </is>
      </c>
      <c r="O323" t="inlineStr"/>
      <c r="P323" t="inlineStr">
        <is>
          <t>BSS</t>
        </is>
      </c>
      <c r="Q323" t="inlineStr">
        <is>
          <t>RAN ISSUE</t>
        </is>
      </c>
      <c r="R323" t="inlineStr">
        <is>
          <t>BSS Hardware issue</t>
        </is>
      </c>
      <c r="S323" t="inlineStr">
        <is>
          <t>ACTIVE</t>
        </is>
      </c>
      <c r="T323" t="inlineStr">
        <is>
          <t>04/27/2026: hardware issue,  site with GPS issue (alarm : TDD down 09Apr 02pm)</t>
        </is>
      </c>
      <c r="U323" t="inlineStr">
        <is>
          <t>04/27/2026 : hardware issue, site with GPS issue (alarm : TDD down 09Apr 02pm)</t>
        </is>
      </c>
    </row>
    <row r="324">
      <c r="A324" s="96" t="n">
        <v>46139</v>
      </c>
      <c r="B324" t="inlineStr">
        <is>
          <t>H-Franco</t>
        </is>
      </c>
      <c r="C324" t="inlineStr">
        <is>
          <t>CTR_102</t>
        </is>
      </c>
      <c r="D324" t="inlineStr"/>
      <c r="E324" t="inlineStr">
        <is>
          <t>IHS</t>
        </is>
      </c>
      <c r="F324" t="inlineStr">
        <is>
          <t>Grid-Gen</t>
        </is>
      </c>
      <c r="G324" t="inlineStr">
        <is>
          <t>CENTRE</t>
        </is>
      </c>
      <c r="H324" t="inlineStr">
        <is>
          <t>Yaounde</t>
        </is>
      </c>
      <c r="I324" t="inlineStr"/>
      <c r="J324" t="inlineStr"/>
      <c r="K324" t="inlineStr"/>
      <c r="L324" t="inlineStr"/>
      <c r="M324" t="inlineStr"/>
      <c r="N324" t="inlineStr">
        <is>
          <t>Operationnel</t>
        </is>
      </c>
      <c r="O324" t="inlineStr"/>
      <c r="P324" t="inlineStr">
        <is>
          <t>BSS</t>
        </is>
      </c>
      <c r="Q324" t="inlineStr">
        <is>
          <t>RAN ISSUE</t>
        </is>
      </c>
      <c r="R324" t="inlineStr">
        <is>
          <t>BSS Hardware issue</t>
        </is>
      </c>
      <c r="S324" t="inlineStr">
        <is>
          <t>ACTIVE</t>
        </is>
      </c>
      <c r="T324" t="inlineStr">
        <is>
          <t>(04/27/2026 cell zte):-27/04/2026 : Besoin d'analyse BO RAN..;..;(04/27/2026 cell zte):-27/04/2026 : Besoin d'analyse BO RAN || GPS Instability || 04/27/2026: hardware issue,  site with GPS issue (alarm : TDD down 09Apr 02pm)</t>
        </is>
      </c>
      <c r="U324" t="inlineStr">
        <is>
          <t>04/27/2026 cell zte) : -27/04/2026 : Besoin d'analyse BO RAN.;.;(04/27/2026 cell zte) : -27/04/2026 : Besoin d'analyse BO RAN || GPS Instability || 04/27/2026 : hardware issue, site with GPS issue (alarm : TDD down 09Apr 02pm)</t>
        </is>
      </c>
    </row>
    <row r="325">
      <c r="A325" s="96" t="n">
        <v>46139</v>
      </c>
      <c r="B325" t="inlineStr">
        <is>
          <t>H-Paradis</t>
        </is>
      </c>
      <c r="C325" t="inlineStr">
        <is>
          <t>CTR_093</t>
        </is>
      </c>
      <c r="D325" t="inlineStr"/>
      <c r="E325" t="inlineStr">
        <is>
          <t>IHS</t>
        </is>
      </c>
      <c r="F325" t="inlineStr">
        <is>
          <t>GridOnly</t>
        </is>
      </c>
      <c r="G325" t="inlineStr">
        <is>
          <t>CENTRE</t>
        </is>
      </c>
      <c r="H325" t="inlineStr">
        <is>
          <t>Yaounde</t>
        </is>
      </c>
      <c r="I325" t="inlineStr"/>
      <c r="J325" t="inlineStr"/>
      <c r="K325" t="inlineStr"/>
      <c r="L325" t="inlineStr"/>
      <c r="M325" t="inlineStr"/>
      <c r="N325" t="inlineStr">
        <is>
          <t>Operationnel</t>
        </is>
      </c>
      <c r="O325" t="inlineStr"/>
      <c r="P325" t="inlineStr">
        <is>
          <t>BSS</t>
        </is>
      </c>
      <c r="Q325" t="inlineStr">
        <is>
          <t>RAN ISSUE</t>
        </is>
      </c>
      <c r="R325" t="inlineStr">
        <is>
          <t>BSS Hardware issue</t>
        </is>
      </c>
      <c r="S325" t="inlineStr">
        <is>
          <t>ACTIVE</t>
        </is>
      </c>
      <c r="T325" t="inlineStr">
        <is>
          <t>(04/27/2026 cell zte):-27/04/2026 : Besoin d'analyse BO RAN..;..;(04/27/2026 cell zte):-27/04/2026 : Besoin d'analyse BO RAN || GPS Instability</t>
        </is>
      </c>
      <c r="U325" t="inlineStr">
        <is>
          <t>04/27/2026 cell zte) : -27/04/2026 : Besoin d'analyse BO RAN.;.;(04/27/2026 cell zte) : -27/04/2026 : Besoin d'analyse BO RAN || GPS Instability</t>
        </is>
      </c>
    </row>
    <row r="326">
      <c r="A326" s="96" t="n">
        <v>46139</v>
      </c>
      <c r="B326" t="inlineStr">
        <is>
          <t>ARMP</t>
        </is>
      </c>
      <c r="C326" t="inlineStr">
        <is>
          <t>CTR_124</t>
        </is>
      </c>
      <c r="D326" t="inlineStr"/>
      <c r="E326" t="inlineStr">
        <is>
          <t>IHS</t>
        </is>
      </c>
      <c r="F326" t="inlineStr">
        <is>
          <t>GridOnly</t>
        </is>
      </c>
      <c r="G326" t="inlineStr">
        <is>
          <t>CENTRE</t>
        </is>
      </c>
      <c r="H326" t="inlineStr">
        <is>
          <t>Yaounde</t>
        </is>
      </c>
      <c r="I326" t="inlineStr"/>
      <c r="J326" t="inlineStr"/>
      <c r="K326" t="inlineStr"/>
      <c r="L326" t="inlineStr"/>
      <c r="M326" t="inlineStr"/>
      <c r="N326" t="inlineStr">
        <is>
          <t>Operationnel</t>
        </is>
      </c>
      <c r="O326" t="inlineStr"/>
      <c r="P326" t="inlineStr">
        <is>
          <t>BSS</t>
        </is>
      </c>
      <c r="Q326" t="inlineStr">
        <is>
          <t>RAN ISSUE</t>
        </is>
      </c>
      <c r="R326" t="inlineStr">
        <is>
          <t>BSS Hardware issue</t>
        </is>
      </c>
      <c r="S326" t="inlineStr">
        <is>
          <t>ACTIVE</t>
        </is>
      </c>
      <c r="T326" t="inlineStr">
        <is>
          <t>(04/27/2026 cell zte):-27/04/2026 : Besoin d'analyse BO RAN..;..;(04/27/2026 cell zte):-27/04/2026 : Besoin d'analyse BO RAN || GPS Instability</t>
        </is>
      </c>
      <c r="U326" t="inlineStr">
        <is>
          <t>04/27/2026 cell zte) : -27/04/2026 : Besoin d'analyse BO RAN.;.;(04/27/2026 cell zte) : -27/04/2026 : Besoin d'analyse BO RAN || GPS Instability</t>
        </is>
      </c>
    </row>
    <row r="327">
      <c r="A327" s="96" t="n">
        <v>46139</v>
      </c>
      <c r="B327" t="inlineStr">
        <is>
          <t>Tsinga-Village2</t>
        </is>
      </c>
      <c r="C327" t="inlineStr">
        <is>
          <t>CTR_675</t>
        </is>
      </c>
      <c r="D327" t="inlineStr"/>
      <c r="E327" t="inlineStr">
        <is>
          <t>IHS</t>
        </is>
      </c>
      <c r="F327" t="inlineStr">
        <is>
          <t>Hybrid-Gen-Lithium</t>
        </is>
      </c>
      <c r="G327" t="inlineStr">
        <is>
          <t>CENTRE</t>
        </is>
      </c>
      <c r="H327" t="inlineStr">
        <is>
          <t>Yaounde</t>
        </is>
      </c>
      <c r="I327" t="inlineStr"/>
      <c r="J327" t="inlineStr"/>
      <c r="K327" t="inlineStr"/>
      <c r="L327" t="inlineStr"/>
      <c r="M327" t="inlineStr"/>
      <c r="N327" t="inlineStr">
        <is>
          <t>Operationnel</t>
        </is>
      </c>
      <c r="O327" t="inlineStr"/>
      <c r="P327" t="inlineStr">
        <is>
          <t>BSS</t>
        </is>
      </c>
      <c r="Q327" t="inlineStr">
        <is>
          <t>RAN ISSUE</t>
        </is>
      </c>
      <c r="R327" t="inlineStr">
        <is>
          <t>BSS Hardware issue</t>
        </is>
      </c>
      <c r="S327" t="inlineStr">
        <is>
          <t>ACTIVE</t>
        </is>
      </c>
      <c r="T327" t="inlineStr">
        <is>
          <t>(04/27/2026 cell zte):-27/04/2026 : Besoin d'analyse BO RAN..;..;(04/27/2026 cell zte):-27/04/2026 : Besoin d'analyse BO RAN || GPS Instability, 04/27/2026: hardware issue,  site with GPS issue (alarm : TDD down 09Apr 02pm)</t>
        </is>
      </c>
      <c r="U327" t="inlineStr">
        <is>
          <t>04/27/2026 cell zte) : -27/04/2026 : Besoin d'analyse BO RAN.;.;(04/27/2026 cell zte) : -27/04/2026 : Besoin d'analyse BO RAN || GPS Instability, 04/27/2026 : hardware issue, site with GPS issue (alarm : TDD down 09Apr 02pm)</t>
        </is>
      </c>
    </row>
    <row r="328">
      <c r="A328" s="96" t="n">
        <v>46139</v>
      </c>
      <c r="B328" t="inlineStr">
        <is>
          <t>Bardake-IHS</t>
        </is>
      </c>
      <c r="C328" t="inlineStr">
        <is>
          <t>NRD_110</t>
        </is>
      </c>
      <c r="D328" t="inlineStr"/>
      <c r="E328" t="inlineStr">
        <is>
          <t>IHS</t>
        </is>
      </c>
      <c r="F328" t="inlineStr">
        <is>
          <t>Gen Only</t>
        </is>
      </c>
      <c r="G328" t="inlineStr">
        <is>
          <t>NORD</t>
        </is>
      </c>
      <c r="H328" t="inlineStr">
        <is>
          <t>Bardake</t>
        </is>
      </c>
      <c r="I328" t="inlineStr"/>
      <c r="J328" t="inlineStr"/>
      <c r="K328" t="inlineStr"/>
      <c r="L328" t="inlineStr"/>
      <c r="M328" t="inlineStr"/>
      <c r="N328" t="inlineStr">
        <is>
          <t>EXCLU</t>
        </is>
      </c>
      <c r="O328" t="inlineStr"/>
      <c r="P328" t="inlineStr">
        <is>
          <t>Exclu</t>
        </is>
      </c>
      <c r="Q328" t="inlineStr">
        <is>
          <t>Exclu</t>
        </is>
      </c>
      <c r="R328" t="inlineStr">
        <is>
          <t>EXCLU</t>
        </is>
      </c>
      <c r="S328" t="inlineStr">
        <is>
          <t>Exclu</t>
        </is>
      </c>
      <c r="T328" t="inlineStr">
        <is>
          <t>(04/27/2026 ocm ran 17h):-27/04/2026  Nouvel ETR=28.04.26
23.04.26: En attente d'un nouvel ETR de l'ing OCM
20.04.26; Nouvel ETR=22.04.26
13/04/2026 Relance OCM en attente de retour
10.04.26; Nouvel ETR=12.04.26
07.04.26; Site UE relay, nouvel ETR=09.04.26..;..;(04/27/2026 ocm ran 11h):-23.04.26: En attente d'un nouvel ETR de l'ing OCM
20.04.26; Nouvel ETR=22.04.26
13/04/2026 Relance OCM en attente de retour
10.04.26; Nouvel ETR=12.04.26
07.04.26; Site UE relay, nouvel ETR=09.04.26</t>
        </is>
      </c>
      <c r="U328" t="inlineStr">
        <is>
          <t>: -27/04/2026 Nouvel ETR=28.04.26 23.04.26 : En attente d'un nouvel ETR de l'ing OCM 20.04.26; Nouvel ETR=22.04.26 13/04/2026 Relance OCM en attente de retour 10.04.26; Nouvel ETR=12.04.26 07.04.26; Site UE relay, nouvel ETR=09.04.26.;.; : -23.04.26 : En attente d'un nouvel ETR de l'ing OCM 20.04.26; Nouvel ETR=22.04.26 13/04/2026 Relance OCM en attente de retour 10.04.26; Nouvel ETR=12.04.26 07.04.26; Site UE relay, nouvel ETR=09.04.26</t>
        </is>
      </c>
    </row>
    <row r="329">
      <c r="A329" s="96" t="n">
        <v>46139</v>
      </c>
      <c r="B329" t="inlineStr">
        <is>
          <t>SongLoulou-IHS</t>
        </is>
      </c>
      <c r="C329" t="inlineStr">
        <is>
          <t>LIT_200</t>
        </is>
      </c>
      <c r="D329" t="inlineStr"/>
      <c r="E329" t="inlineStr">
        <is>
          <t>IHS</t>
        </is>
      </c>
      <c r="F329" t="inlineStr">
        <is>
          <t>Grid-Gen</t>
        </is>
      </c>
      <c r="G329" t="inlineStr">
        <is>
          <t>LITTORAL</t>
        </is>
      </c>
      <c r="H329" t="inlineStr">
        <is>
          <t>Songloulou</t>
        </is>
      </c>
      <c r="I329" t="inlineStr"/>
      <c r="J329" t="inlineStr"/>
      <c r="K329" t="inlineStr"/>
      <c r="L329" t="inlineStr"/>
      <c r="M329" t="inlineStr"/>
      <c r="N329" t="inlineStr">
        <is>
          <t>Operationnel</t>
        </is>
      </c>
      <c r="O329" t="inlineStr"/>
      <c r="P329" t="inlineStr">
        <is>
          <t>ENVTECH</t>
        </is>
      </c>
      <c r="Q329" t="inlineStr">
        <is>
          <t>ENVTECH</t>
        </is>
      </c>
      <c r="R329" t="inlineStr">
        <is>
          <t>Sites strategiques, MLL, Pylone, etc.</t>
        </is>
      </c>
      <c r="S329" t="inlineStr">
        <is>
          <t>PASSIVE</t>
        </is>
      </c>
      <c r="T329" t="inlineStr">
        <is>
          <t>(04/27/2026 ocm ran 17h):-
27/04/2026 27/04/2026 ODU en cours de dementelement
27/04/2026 ODU MPT 7-8G 3DB20858AC faulty en attente de retour OCM 
26/04/2026 Feedback RM Honore : Faulty spare part to be replaced/SPM is managing
25/04/2026 FME en route ETA=12H UTC // FME sur site travaux en cours 
24.04.26: ODU MPT 7-8 G pas disponible et commande en cours vers OCM. Cable Eth, carte MPT et chassis en cours d'expédition de Douala pour Edea, ETD=24.04.26, ETR=25.04.26
23.04.26: ODU MPT 7-8G 3DB20858AC faulty, cable Eth faulty, carte MPT faulty, commande passée et vérifications du SPM en cours
23.04.26: FME sur site et investigations en cours, update ASAP
22.04.26: Check en cours avec le level 0 qui est sur site actuellement et si NOK, suite des investigations en hauteur ce 23.04.26
22.04.26; Besoin d'un FME sur site pour vérifier la chaine antennaire de l'ODU 3.1; FME Charly activé pour investigations, ETA=14H UTC..;..;(04/27/2026 ocm ran 11h):-27/04/2026 ODU MPT 7-8G 3DB20858AC faulty en attente de retour OCM 
26/04/2026 Feedback RM Honore : Faulty spare part to be replaced/SPM is managing
25/04/2026 FME en route ETA=12H UTC // FME sur site travaux en cours 
24.04.26: ODU MPT 7-8 G pas disponible et commande en cours vers OCM. Cable Eth, carte MPT et chassis en cours d'expédition de Douala pour Edea, ETD=24.04.26, ETR=25.04.26
23.04.26: ODU MPT 7-8G 3DB20858AC faulty, cable Eth faulty, carte MPT faulty, commande passée et vérifications du SPM en cours
23.04.26: FME sur site et investigations en cours, update ASAP
22.04.26: Check en cours avec le level 0 qui est sur site actuellement et si NOK, suite des investigations en hauteur ce 23.04.26
22.04.26; Besoin d'un FME sur site pour vérifier la chaine antennaire de l'ODU 3.1; FME Charly activé pour investigations, ETA=14H UTC</t>
        </is>
      </c>
      <c r="U329" t="inlineStr">
        <is>
          <t>: - 27/04/2026 27/04/2026 ODU en cours de dementelement 27/04/2026 ODU MPT 7-8G 3DB20858AC faulty en attente de retour OCM 26/04/2026 Feedback RM Honore : Faulty spare part to be replaced/SPM is managing 25/04/2026 FME en route ETA=12H UTC // FME sur site travaux en cours 24.04.26 : ODU MPT 7-8 G pas disponible et commande en cours vers OCM. Cable Eth, carte MPT et chassis en cours d'expédition de Douala pour Edea, ETD=24.04.26, ETR=25.04.26 23.04.26 : ODU MPT 7-8G 3DB20858AC faulty, cable Eth faulty, carte MPT faulty, commande passée et vérifications du SPM en cours 23.04.26 : FME sur site et investigations en cours, update ASAP 22.04.26 : Check en cours avec le level 0 qui est sur site actuellement et si NOK, suite des investigations en hauteur ce 23.04.26 22.04.26; Besoin d'un FME sur site pour vérifier la chaine antennaire de l'ODU 3.1; FME Charly activé pour investigations, ETA=14H UTC.;.; : -27/04/2026 ODU MPT 7-8G 3DB20858AC faulty en attente de retour OCM 26/04/2026 Feedback RM Honore : Faulty spare part to be replaced/SPM is managing 25/04/2026 FME en route ETA=12H UTC // FME sur site travaux en cours 24.04.26 : ODU MPT 7-8 G pas disponible et commande en cours vers OCM. Cable Eth, carte MPT et chassis en cours d'expédition de Douala pour Edea, ETD=24.04.26, ETR=25.04.26 23.04.26 : ODU MPT 7-8G 3DB20858AC faulty, cable Eth faulty, carte MPT faulty, commande passée et vérifications du SPM en cours 23.04.26 : FME sur site et investigations en cours, update ASAP 22.04.26 : Check en cours avec le level 0 qui est sur site actuellement et si NOK, suite des investigations en hauteur ce 23.04.26 22.04.26; Besoin d'un FME sur site pour vérifier la chaine antennaire de l'ODU 3.1; FME Charly activé pour investigations, ETA=14H UTC</t>
        </is>
      </c>
    </row>
    <row r="330">
      <c r="A330" s="96" t="n">
        <v>46139</v>
      </c>
      <c r="B330" t="inlineStr">
        <is>
          <t>Alou-IHS</t>
        </is>
      </c>
      <c r="C330" t="inlineStr">
        <is>
          <t>SUO_133</t>
        </is>
      </c>
      <c r="D330" t="inlineStr"/>
      <c r="E330" t="inlineStr">
        <is>
          <t>IHS</t>
        </is>
      </c>
      <c r="F330" t="inlineStr">
        <is>
          <t>Grid-Gen</t>
        </is>
      </c>
      <c r="G330" t="inlineStr">
        <is>
          <t>SUD-OUEST</t>
        </is>
      </c>
      <c r="H330" t="inlineStr">
        <is>
          <t>Alou</t>
        </is>
      </c>
      <c r="I330" t="inlineStr"/>
      <c r="J330" t="inlineStr"/>
      <c r="K330" t="inlineStr"/>
      <c r="L330" t="inlineStr"/>
      <c r="M330" t="inlineStr"/>
      <c r="N330" t="inlineStr">
        <is>
          <t>Insecurity</t>
        </is>
      </c>
      <c r="O330" t="inlineStr"/>
      <c r="P330" t="inlineStr">
        <is>
          <t>ACCESS-ISSUE</t>
        </is>
      </c>
      <c r="Q330" t="inlineStr">
        <is>
          <t>ACCESS-ISSUE</t>
        </is>
      </c>
      <c r="R330" t="inlineStr">
        <is>
          <t>ACCESS-ISSUE</t>
        </is>
      </c>
      <c r="S330" t="inlineStr">
        <is>
          <t>ACCESS-ISSUE</t>
        </is>
      </c>
      <c r="T330" t="inlineStr">
        <is>
          <t>(04/27/2026 ocm ran 17h):-27/06/2026 Access banned by Separatist
24.04.26; Access banned by Separatist
23.04.26: FME en route pour le site, ETA=13H UTC // Red zone 
22.04.26; Besoin d'un FME sur site pour vérifier l'état du FAN du MPR et le remplacer au besoin, PN: 3DB18134BBAD01 FME activé eta asap "..;..;(04/27/2026 ocm ran 11h):-27/06/2026 Access banned by Separatist
24.04.26; Access banned by Separatist
23.04.26: FME en route pour le site, ETA=13H UTC // Red zone 
22.04.26; Besoin d'un FME sur site pour vérifier l'état du FAN du MPR et le remplacer au besoin, PN: 3DB18134BBAD01 FME activé eta asap "</t>
        </is>
      </c>
      <c r="U330" t="inlineStr">
        <is>
          <t>: -27/06/2026 Access banned by Separatist 24.04.26; Access banned by Separatist 23.04.26 : FME en route pour le site, ETA=13H UTC // Red zone 22.04.26; Besoin d'un FME sur site pour vérifier l'état du FAN du MPR et le remplacer au besoin, PN : 3DB18134BBAD01 FME activé eta asap ".;.; : -27/06/2026 Access banned by Separatist 24.04.26; Access banned by Separatist 23.04.26 : FME en route pour le site, ETA=13H UTC // Red zone 22.04.26; Besoin d'un FME sur site pour vérifier l'état du FAN du MPR et le remplacer au besoin, PN : 3DB18134BBAD01 FME activé eta asap "</t>
        </is>
      </c>
    </row>
    <row r="331">
      <c r="A331" s="96" t="n">
        <v>46139</v>
      </c>
      <c r="B331" t="inlineStr">
        <is>
          <t>Baba-Babungo-IHS</t>
        </is>
      </c>
      <c r="C331" t="inlineStr">
        <is>
          <t>NRO_085</t>
        </is>
      </c>
      <c r="D331" t="inlineStr"/>
      <c r="E331" t="inlineStr">
        <is>
          <t>IHS</t>
        </is>
      </c>
      <c r="F331" t="inlineStr">
        <is>
          <t>Grid-Hybrid-Gen</t>
        </is>
      </c>
      <c r="G331" t="inlineStr">
        <is>
          <t>NORD-OUEST</t>
        </is>
      </c>
      <c r="H331" t="inlineStr">
        <is>
          <t>Baba-Babungo</t>
        </is>
      </c>
      <c r="I331" t="inlineStr"/>
      <c r="J331" t="inlineStr"/>
      <c r="K331" t="inlineStr"/>
      <c r="L331" t="inlineStr"/>
      <c r="M331" t="inlineStr"/>
      <c r="N331" t="inlineStr">
        <is>
          <t>Insecurity</t>
        </is>
      </c>
      <c r="O331" t="inlineStr"/>
      <c r="P331" t="inlineStr">
        <is>
          <t>ACCESS-ISSUE</t>
        </is>
      </c>
      <c r="Q331" t="inlineStr">
        <is>
          <t>ACCESS-ISSUE</t>
        </is>
      </c>
      <c r="R331" t="inlineStr">
        <is>
          <t>ACCESS-ISSUE</t>
        </is>
      </c>
      <c r="S331" t="inlineStr">
        <is>
          <t>ACCESS-ISSUE</t>
        </is>
      </c>
      <c r="T331" t="inlineStr">
        <is>
          <t>(04/27/2026 ocm ran 17h):-
27.04.26; Access banned by Separatist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Feedback MTN, Restoration team faces access issue due to insecurity, escalated to L5
10.04.26: Feedback MTN, Restoration team faces access issue due to insecurity, escalated to L5..;..;(04/27/2026 ocm ran 11h):-
27.04.26; Access banned by Separatist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Feedback MTN, Restoration team faces access issue due to insecurity, escalated to L5
10.04.26: Feedback MTN, Restoration team faces access issue due to insecurity, escalated to L5</t>
        </is>
      </c>
      <c r="U331" t="inlineStr">
        <is>
          <t>: - 27.04.26; Access banned by Separatist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 Feedback MTN, Restoration team faces access issue due to insecurity, escalated to L5 10.04.26 : Feedback MTN, Restoration team faces access issue due to insecurity, escalated to L5.;.; : - 27.04.26; Access banned by Separatist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 Feedback MTN, Restoration team faces access issue due to insecurity, escalated to L5 10.04.26 : Feedback MTN, Restoration team faces access issue due to insecurity, escalated to L5</t>
        </is>
      </c>
    </row>
    <row r="332">
      <c r="A332" s="96" t="n">
        <v>46139</v>
      </c>
      <c r="B332" t="inlineStr">
        <is>
          <t>Ndu-Mbakfu-IHS</t>
        </is>
      </c>
      <c r="C332" t="inlineStr">
        <is>
          <t>NRO_089</t>
        </is>
      </c>
      <c r="D332" t="inlineStr"/>
      <c r="E332" t="inlineStr">
        <is>
          <t>IHS</t>
        </is>
      </c>
      <c r="F332" t="inlineStr">
        <is>
          <t>Hybrid-Gen</t>
        </is>
      </c>
      <c r="G332" t="inlineStr">
        <is>
          <t>NORD-OUEST</t>
        </is>
      </c>
      <c r="H332" t="inlineStr">
        <is>
          <t>Ndu-Mbakfu</t>
        </is>
      </c>
      <c r="I332" t="inlineStr"/>
      <c r="J332" t="inlineStr"/>
      <c r="K332" t="inlineStr"/>
      <c r="L332" t="inlineStr"/>
      <c r="M332" t="inlineStr"/>
      <c r="N332" t="inlineStr">
        <is>
          <t>Insecurity</t>
        </is>
      </c>
      <c r="O332" t="inlineStr"/>
      <c r="P332" t="inlineStr">
        <is>
          <t>ACCESS-ISSUE</t>
        </is>
      </c>
      <c r="Q332" t="inlineStr">
        <is>
          <t>ACCESS-ISSUE</t>
        </is>
      </c>
      <c r="R332" t="inlineStr">
        <is>
          <t>ACCESS-ISSUE</t>
        </is>
      </c>
      <c r="S332" t="inlineStr">
        <is>
          <t>ACCESS-ISSUE</t>
        </is>
      </c>
      <c r="T332" t="inlineStr">
        <is>
          <t>(04/27/2026 cell nokia):-27/04/2026 : Road blocked No traffic 
24/04/2026 : Road blocked No traffic 
23/04/2026 : Feedback RM : Road blocked No traffic 
21/04/2026 : Feedback RM: Road blocked No traffic || Access issue  
20/04/2026 : Ghost town 
18/04/2026 : Check breaker and  interconnection FXDB (sfp, optical fiber) between system and radio module, swap its if neede..;..;(04/27/2026 cell nokia):-27/04/2026 : Road blocked No traffic 
24/04/2026 : Road blocked No traffic 
23/04/2026 : Feedback RM : Road blocked No traffic 
21/04/2026 : Feedback RM: Road blocked No traffic || Access issue  
20/04/2026 : Ghost town 
18/04/2026 : Check breaker and  interconnection FXDB (sfp, optical fiber) between system and radio module, swap its if neede</t>
        </is>
      </c>
      <c r="U332" t="inlineStr">
        <is>
          <t>04/27/2026 cell nokia) : -27/04/2026 : Road blocked No traffic 24/04/2026 : Road blocked No traffic 23/04/2026 : Feedback RM : Road blocked No traffic 21/04/2026 : Feedback RM : Road blocked No traffic || Access issue 20/04/2026 : Ghost town 18/04/2026 : Check breaker and interconnection FXDB (sfp, optical fiber) between system and radio module, swap its if neede.;.;(04/27/2026 cell nokia) : -27/04/2026 : Road blocked No traffic 24/04/2026 : Road blocked No traffic 23/04/2026 : Feedback RM : Road blocked No traffic 21/04/2026 : Feedback RM : Road blocked No traffic || Access issue 20/04/2026 : Ghost town 18/04/2026 : Check breaker and interconnection FXDB (sfp, optical fiber) between system and radio module, swap its if neede</t>
        </is>
      </c>
    </row>
    <row r="333">
      <c r="A333" s="96" t="n">
        <v>46139</v>
      </c>
      <c r="B333" t="inlineStr">
        <is>
          <t>Cinema-ABC</t>
        </is>
      </c>
      <c r="C333" t="inlineStr">
        <is>
          <t>LIT_061</t>
        </is>
      </c>
      <c r="D333" t="inlineStr"/>
      <c r="E333" t="inlineStr">
        <is>
          <t>IHS</t>
        </is>
      </c>
      <c r="F333" t="inlineStr">
        <is>
          <t>Grid-Lithium</t>
        </is>
      </c>
      <c r="G333" t="inlineStr">
        <is>
          <t>LITTORAL</t>
        </is>
      </c>
      <c r="H333" t="inlineStr">
        <is>
          <t>Douala</t>
        </is>
      </c>
      <c r="I333" t="inlineStr"/>
      <c r="J333" t="inlineStr"/>
      <c r="K333" t="inlineStr"/>
      <c r="L333" t="inlineStr"/>
      <c r="M333" t="inlineStr"/>
      <c r="N333" t="inlineStr">
        <is>
          <t>Operationnel</t>
        </is>
      </c>
      <c r="O333" t="inlineStr"/>
      <c r="P333" t="inlineStr">
        <is>
          <t>IHS</t>
        </is>
      </c>
      <c r="Q333" t="inlineStr">
        <is>
          <t>POWER ISSUE</t>
        </is>
      </c>
      <c r="R333" t="inlineStr">
        <is>
          <t>Defaut GE &amp; Power Cabinet</t>
        </is>
      </c>
      <c r="S333" t="inlineStr">
        <is>
          <t>PASSIVE</t>
        </is>
      </c>
      <c r="T333" t="inlineStr">
        <is>
          <t>(04/27/2026 retour IHS): Power issue NUR to be check||  (04/27/2026 ticket):-INC-20260427-00010498</t>
        </is>
      </c>
      <c r="U333" t="inlineStr">
        <is>
          <t>04/27/2026 retour IHS) : Power issue NUR to be check || : -</t>
        </is>
      </c>
    </row>
    <row r="334">
      <c r="A334" s="96" t="n">
        <v>46139</v>
      </c>
      <c r="B334" t="inlineStr">
        <is>
          <t>Mobil-Kondengui</t>
        </is>
      </c>
      <c r="C334" t="inlineStr">
        <is>
          <t>CTR_125</t>
        </is>
      </c>
      <c r="D334" t="inlineStr"/>
      <c r="E334" t="inlineStr">
        <is>
          <t>IHS</t>
        </is>
      </c>
      <c r="F334" t="inlineStr">
        <is>
          <t>GridOnly</t>
        </is>
      </c>
      <c r="G334" t="inlineStr">
        <is>
          <t>CENTRE</t>
        </is>
      </c>
      <c r="H334" t="inlineStr">
        <is>
          <t>Yaounde</t>
        </is>
      </c>
      <c r="I334" t="inlineStr"/>
      <c r="J334" t="inlineStr"/>
      <c r="K334" t="inlineStr"/>
      <c r="L334" t="inlineStr"/>
      <c r="M334" t="inlineStr"/>
      <c r="N334" t="inlineStr">
        <is>
          <t>Operationnel</t>
        </is>
      </c>
      <c r="O334" t="inlineStr"/>
      <c r="P334" t="inlineStr">
        <is>
          <t>BSS</t>
        </is>
      </c>
      <c r="Q334" t="inlineStr">
        <is>
          <t>RAN ISSUE</t>
        </is>
      </c>
      <c r="R334" t="inlineStr">
        <is>
          <t>BSS Hardware issue</t>
        </is>
      </c>
      <c r="S334" t="inlineStr">
        <is>
          <t>ACTIVE</t>
        </is>
      </c>
      <c r="T334" t="inlineStr">
        <is>
          <t>(04/27/2026 cell zte):-27/04/2026 : Besoin d'analyse BO RAN..;..;(04/27/2026 cell zte):-27/04/2026 : Besoin d'analyse BO RAN || GPS Instability, 04/27/2026: hardware issue,  site with GPS issue (alarm : TDD down 09Apr 02pm)</t>
        </is>
      </c>
      <c r="U334" t="inlineStr">
        <is>
          <t>04/27/2026 cell zte) : -27/04/2026 : Besoin d'analyse BO RAN.;.;(04/27/2026 cell zte) : -27/04/2026 : Besoin d'analyse BO RAN || GPS Instability, 04/27/2026 : hardware issue, site with GPS issue (alarm : TDD down 09Apr 02pm)</t>
        </is>
      </c>
    </row>
    <row r="335">
      <c r="A335" s="96" t="n">
        <v>46139</v>
      </c>
      <c r="B335" t="inlineStr">
        <is>
          <t>Ekoumdoum</t>
        </is>
      </c>
      <c r="C335" t="inlineStr">
        <is>
          <t>CTR_259</t>
        </is>
      </c>
      <c r="D335" t="inlineStr"/>
      <c r="E335" t="inlineStr">
        <is>
          <t>CAMUSAT</t>
        </is>
      </c>
      <c r="F335" t="inlineStr">
        <is>
          <t>Grid-Gen</t>
        </is>
      </c>
      <c r="G335" t="inlineStr">
        <is>
          <t>CENTRE</t>
        </is>
      </c>
      <c r="H335" t="inlineStr">
        <is>
          <t>Yaounde</t>
        </is>
      </c>
      <c r="I335" t="inlineStr"/>
      <c r="J335" t="inlineStr"/>
      <c r="K335" t="inlineStr"/>
      <c r="L335" t="inlineStr"/>
      <c r="M335" t="inlineStr"/>
      <c r="N335" t="inlineStr">
        <is>
          <t>Operationnel</t>
        </is>
      </c>
      <c r="O335" t="inlineStr"/>
      <c r="P335" t="inlineStr">
        <is>
          <t>Fiber AOF</t>
        </is>
      </c>
      <c r="Q335" t="inlineStr">
        <is>
          <t>TX ISSUE</t>
        </is>
      </c>
      <c r="R335" t="inlineStr">
        <is>
          <t>fiber AOF</t>
        </is>
      </c>
      <c r="S335" t="inlineStr">
        <is>
          <t>ACTIVE</t>
        </is>
      </c>
      <c r="T335" t="inlineStr">
        <is>
          <t>(04/27/2026 ticket):-INC-20260427-00001715…2026-04-27 06:57:25…The Optim Link Radio Ekoumdoum_Ekie-Nodal is cut so please to involve CDS…Auto TT closure RCA…Others Transmission equipement fault</t>
        </is>
      </c>
      <c r="U335" t="inlineStr">
        <is>
          <t>: -…2026-04-27 06 : 57 : 25…The Optim Link Radio Ekoumdoum_Ekie-Nodal is cut so please to involve CDS…Auto TT closure RCA…</t>
        </is>
      </c>
    </row>
    <row r="336">
      <c r="A336" s="96" t="n">
        <v>46139</v>
      </c>
      <c r="B336" t="inlineStr">
        <is>
          <t>Tagawa-IHS</t>
        </is>
      </c>
      <c r="C336" t="inlineStr">
        <is>
          <t>EXN_274</t>
        </is>
      </c>
      <c r="D336" t="inlineStr"/>
      <c r="E336" t="inlineStr">
        <is>
          <t>IHS</t>
        </is>
      </c>
      <c r="F336" t="inlineStr">
        <is>
          <t>Gen Only</t>
        </is>
      </c>
      <c r="G336" t="inlineStr">
        <is>
          <t>EXTREME-NORD</t>
        </is>
      </c>
      <c r="H336" t="inlineStr">
        <is>
          <t>Tagawa</t>
        </is>
      </c>
      <c r="I336" t="inlineStr"/>
      <c r="J336" t="inlineStr"/>
      <c r="K336" t="inlineStr"/>
      <c r="L336" t="inlineStr"/>
      <c r="M336" t="inlineStr"/>
      <c r="N336" t="inlineStr">
        <is>
          <t>Insecurity</t>
        </is>
      </c>
      <c r="O336" t="inlineStr"/>
      <c r="P336" t="inlineStr">
        <is>
          <t>SPARE-ISSUE</t>
        </is>
      </c>
      <c r="Q336" t="inlineStr">
        <is>
          <t>SPARE-ISSUE</t>
        </is>
      </c>
      <c r="R336" t="inlineStr">
        <is>
          <t>Warehouse HUAWEI</t>
        </is>
      </c>
      <c r="S336" t="inlineStr">
        <is>
          <t>SPARE-ISSUE</t>
        </is>
      </c>
      <c r="T336" t="inlineStr">
        <is>
          <t>(04/27/2026 ocm ran 17h):-26/04/2026 ODUs expedié de Garoua est arrivé mais L'ODU expedié de Ngaoundere n'est pas encore arrivé ETD=26.04.26
24.04.26: ODUs disponible à Garoua, à expédier vers Maroua, ETD=25.04.26
23.04.26: ODUs disponible à Garoua, à expédier vers Maroua, ETD=24.04.26
23.04.26: Apres Intervention avec le BO TRANS, Il est question de remplacer les  ODU UTB-S 7GHZ (3DB29107AA)  main de WAZA et TAGAWA. Commande en cours Update ASAP
22.04.2026: Apres Intervention avec le BO TRANS, Il est question de remplacer les  ODU UTB-S 7GHZ (3DB29107AA)  main de WAZA et TAGAWA. Commande en cours Update ASAP
22.04.26; Suite des travaux ce jour avec l'escorte militaire car zone très insécurisée , ETA=13H UTC
21.04.26; Suite des travaux ce 22.04.26 avec l'escorte militaire car zone très insécurisée 
21.04.26; Suite de l'intervention ce jour, ETA 12H
20.04.2026: Les FME devraient probablement deja etre sur site d'apres le RM. Il les relances et nous revient
20.04.2026: Intervention ce jour avec escorte militaire ETA 14H
19.04.26; Escorte validée pour ce 19.04.26, update ASAP
18.04.26; Escorte validée pour ce 19.04.26
17/04/2026 Intervention ce jour, ETA 14H // toujours a la base militaire à Mora il y'a pas encore l'équipe près a m'escorter a Tagawa
15/04/2026  Toute escorte militaire suspendue pour cause d'insécurité aggravée dans la zone (BOKO HARAM)
14/04/2026 Toute escorte militaire suspendue pour cause d'insécurité aggravée dans la zone (BOKO HARAM)
13/04/2026 Toute escorte militaire suspendue pour cause d'insécurité aggravée dans la zone (BOKO HARAM)
09.04.26; Expédition de l'ODU en cours de Garoua pour Mora et la SD de Ngaoundéré pour Mora, ETD=12.04.26
08.04.26; ODU 3DB29107AA faulty, commande passée et vérifications en cours
08.04.26; Besoin d'un FME sur site pour reset du MPR et si NOK, tshoot avec le BO TX; CM-20260408-00002796; FME Yaouba activé pour investigations, update ASAP..;..;(04/27/2026 ocm ran 11h):-26/04/2026 ODUs expedié de Garoua est arrivé mais L'ODU expedié de Ngaoundere n'est pas encore arrivé ETD=26.04.26
24.04.26: ODUs disponible à Garoua, à expédier vers Maroua, ETD=25.04.26
23.04.26: ODUs disponible à Garoua, à expédier vers Maroua, ETD=24.04.26
23.04.26: Apres Intervention avec le BO TRANS, Il est question de remplacer les  ODU UTB-S 7GHZ (3DB29107AA)  main de WAZA et TAGAWA. Commande en cours Update ASAP
22.04.2026: Apres Intervention avec le BO TRANS, Il est question de remplacer les  ODU UTB-S 7GHZ (3DB29107AA)  main de WAZA et TAGAWA. Commande en cours Update ASAP
22.04.26; Suite des travaux ce jour avec l'escorte militaire car zone très insécurisée , ETA=13H UTC
21.04.26; Suite des travaux ce 22.04.26 avec l'escorte militaire car zone très insécurisée 
21.04.26; Suite de l'intervention ce jour, ETA 12H
20.04.2026: Les FME devraient probablement deja etre sur site d'apres le RM. Il les relances et nous revient
20.04.2026: Intervention ce jour avec escorte militaire ETA 14H
19.04.26; Escorte validée pour ce 19.04.26, update ASAP
18.04.26; Escorte validée pour ce 19.04.26
17/04/2026 Intervention ce jour, ETA 14H // toujours a la base militaire à Mora il y'a pas encore l'équipe près a m'escorter a Tagawa
15/04/2026  Toute escorte militaire suspendue pour cause d'insécurité aggravée dans la zone (BOKO HARAM)
14/04/2026 Toute escorte militaire suspendue pour cause d'insécurité aggravée dans la zone (BOKO HARAM)
13/04/2026 Toute escorte militaire suspendue pour cause d'insécurité aggravée dans la zone (BOKO HARAM)
09.04.26; Expédition de l'ODU en cours de Garoua pour Mora et la SD de Ngaoundéré pour Mora, ETD=12.04.26
08.04.26; ODU 3DB29107AA faulty, commande passée et vérifications en cours
08.04.26; Besoin d'un FME sur site pour reset du MPR et si NOK, tshoot avec le BO TX; CM-20260408-00002796; FME Yaouba activé pour investigations, update ASAP..;..;(04/27/2026 ticket):-INC-20260427-00002531…2026-04-27 10:32:40…No power issue, Ubaie = 54.5V site on GEN. TX FME Yaya 694806622 / HUAWEI is informed.…Others Transmission equipement fault</t>
        </is>
      </c>
      <c r="U336" t="inlineStr">
        <is>
          <t>: -26/04/2026 ODUs expedié de Garoua est arrivé mais L'ODU expedié de Ngaoundere n'est pas encore arrivé ETD=26.04.26 24.04.26 : ODUs disponible à Garoua, à expédier vers Maroua, ETD=25.04.26 23.04.26 : ODUs disponible à Garoua, à expédier vers Maroua, ETD=24.04.26 23.04.26 : Apres Intervention avec le BO TRANS, Il est question de remplacer les ODU UTB-S 7GHZ (3DB29107AA) main de WAZA et TAGAWA. Commande en cours Update ASAP 22.04.2026 : Apres Intervention avec le BO TRANS, Il est question de remplacer les ODU UTB-S 7GHZ (3DB29107AA) main de WAZA et TAGAWA. Commande en cours Update ASAP 22.04.26; Suite des travaux ce jour avec l'escorte militaire car zone très insécurisée , ETA=13H UTC 21.04.26; Suite des travaux ce 22.04.26 avec l'escorte militaire car zone très insécurisée 21.04.26; Suite de l'intervention ce jour, ETA 12H 20.04.2026 : Les FME devraient probablement deja etre sur site d'apres le RM. Il les relances et nous revient 20.04.2026 : Intervention ce jour avec escorte militaire ETA 14H 19.04.26; Escorte validée pour ce 19.04.26, update ASAP 18.04.26; Escorte validée pour ce 19.04.26 17/04/2026 Intervention ce jour, ETA 14H // toujours a la base militaire à Mora il y'a pas encore l'équipe près a m'escorter a Tagawa 15/04/2026 Toute escorte militaire suspendue pour cause d'insécurité aggravée dans la zone (BOKO HARAM) 14/04/2026 Toute escorte militaire suspendue pour cause d'insécurité aggravée dans la zone (BOKO HARAM) 13/04/2026 Toute escorte militaire suspendue pour cause d'insécurité aggravée dans la zone (BOKO HARAM) 09.04.26; Expédition de l'ODU en cours de Garoua pour Mora et la SD de Ngaoundéré pour Mora, ETD=12.04.26 08.04.26; ODU 3DB29107AA faulty, commande passée et vérifications en cours 08.04.26; Besoin d'un FME sur site pour reset du MPR et si NOK, tshoot avec le BO TX; ; FME Yaouba activé pour investigations, update ASAP.;.; : -26/04/2026 ODUs expedié de Garoua est arrivé mais L'ODU expedié de Ngaoundere n'est pas encore arrivé ETD=26.04.26 24.04.26 : ODUs disponible à Garoua, à expédier vers Maroua, ETD=25.04.26 23.04.26 : ODUs disponible à Garoua, à expédier vers Maroua, ETD=24.04.26 23.04.26 : Apres Intervention avec le BO TRANS, Il est question de remplacer les ODU UTB-S 7GHZ (3DB29107AA) main de WAZA et TAGAWA. Commande en cours Update ASAP 22.04.2026 : Apres Intervention avec le BO TRANS, Il est question de remplacer les ODU UTB-S 7GHZ (3DB29107AA) main de WAZA et TAGAWA. Commande en cours Update ASAP 22.04.26; Suite des travaux ce jour avec l'escorte militaire car zone très insécurisée , ETA=13H UTC 21.04.26; Suite des travaux ce 22.04.26 avec l'escorte militaire car zone très insécurisée 21.04.26; Suite de l'intervention ce jour, ETA 12H 20.04.2026 : Les FME devraient probablement deja etre sur site d'apres le RM. Il les relances et nous revient 20.04.2026 : Intervention ce jour avec escorte militaire ETA 14H 19.04.26; Escorte validée pour ce 19.04.26, update ASAP 18.04.26; Escorte validée pour ce 19.04.26 17/04/2026 Intervention ce jour, ETA 14H // toujours a la base militaire à Mora il y'a pas encore l'équipe près a m'escorter a Tagawa 15/04/2026 Toute escorte militaire suspendue pour cause d'insécurité aggravée dans la zone (BOKO HARAM) 14/04/2026 Toute escorte militaire suspendue pour cause d'insécurité aggravée dans la zone (BOKO HARAM) 13/04/2026 Toute escorte militaire suspendue pour cause d'insécurité aggravée dans la zone (BOKO HARAM) 09.04.26; Expédition de l'ODU en cours de Garoua pour Mora et la SD de Ngaoundéré pour Mora, ETD=12.04.26 08.04.26; ODU 3DB29107AA faulty, commande passée et vérifications en cours 08.04.26; Besoin d'un FME sur site pour reset du MPR et si NOK, tshoot avec le BO TX; ; FME Yaouba activé pour investigations, update ASAP.;.; : -…2026-04-27 10 : 32 : 40…No power issue, Ubaie = 54.5V site on GEN. TX FME Yaya 694806622 / HUAWEI is informed.…</t>
        </is>
      </c>
    </row>
    <row r="337">
      <c r="A337" s="96" t="n">
        <v>46139</v>
      </c>
      <c r="B337" t="inlineStr">
        <is>
          <t>Bouba-Ndjida-Park</t>
        </is>
      </c>
      <c r="C337" t="inlineStr">
        <is>
          <t>NRD_167</t>
        </is>
      </c>
      <c r="D337" t="inlineStr"/>
      <c r="E337" t="inlineStr">
        <is>
          <t>CAMUSAT</t>
        </is>
      </c>
      <c r="F337" t="inlineStr">
        <is>
          <t>Hybrid Solar - S3</t>
        </is>
      </c>
      <c r="G337" t="inlineStr">
        <is>
          <t>NORD</t>
        </is>
      </c>
      <c r="H337" t="inlineStr">
        <is>
          <t>Bouba-Ndjida</t>
        </is>
      </c>
      <c r="I337" t="inlineStr"/>
      <c r="J337" t="inlineStr"/>
      <c r="K337" t="inlineStr"/>
      <c r="L337" t="inlineStr"/>
      <c r="M337" t="inlineStr"/>
      <c r="N337" t="inlineStr">
        <is>
          <t>EXCLU</t>
        </is>
      </c>
      <c r="O337" t="inlineStr"/>
      <c r="P337" t="inlineStr">
        <is>
          <t>Exclu</t>
        </is>
      </c>
      <c r="Q337" t="inlineStr">
        <is>
          <t>Exclu</t>
        </is>
      </c>
      <c r="R337" t="inlineStr">
        <is>
          <t>EXCLU</t>
        </is>
      </c>
      <c r="S337" t="inlineStr">
        <is>
          <t>Exclu</t>
        </is>
      </c>
      <c r="T337" t="inlineStr">
        <is>
          <t>(04/27/2026 ocm ran 11h):-power status check ongoing</t>
        </is>
      </c>
      <c r="U337" t="inlineStr">
        <is>
          <t>: -power status check ongoing</t>
        </is>
      </c>
    </row>
    <row r="338">
      <c r="A338" s="96" t="n">
        <v>46139</v>
      </c>
      <c r="B338" t="inlineStr">
        <is>
          <t>Fundong</t>
        </is>
      </c>
      <c r="C338" t="inlineStr">
        <is>
          <t>NRO_015</t>
        </is>
      </c>
      <c r="D338" t="inlineStr"/>
      <c r="E338" t="inlineStr">
        <is>
          <t>IHS</t>
        </is>
      </c>
      <c r="F338" t="inlineStr">
        <is>
          <t>Grid-Gen</t>
        </is>
      </c>
      <c r="G338" t="inlineStr">
        <is>
          <t>NORD-OUEST</t>
        </is>
      </c>
      <c r="H338" t="inlineStr">
        <is>
          <t>Fundong</t>
        </is>
      </c>
      <c r="I338" t="inlineStr"/>
      <c r="J338" t="inlineStr"/>
      <c r="K338" t="inlineStr"/>
      <c r="L338" t="inlineStr"/>
      <c r="M338" t="inlineStr"/>
      <c r="N338" t="inlineStr">
        <is>
          <t>Insecurity</t>
        </is>
      </c>
      <c r="O338" t="inlineStr"/>
      <c r="P338" t="inlineStr">
        <is>
          <t>BSS</t>
        </is>
      </c>
      <c r="Q338" t="inlineStr">
        <is>
          <t>RAN ISSUE</t>
        </is>
      </c>
      <c r="R338" t="inlineStr">
        <is>
          <t>BSS Hardware issue</t>
        </is>
      </c>
      <c r="S338" t="inlineStr">
        <is>
          <t>ACTIVE</t>
        </is>
      </c>
      <c r="T338" t="inlineStr">
        <is>
          <t>(04/27/2026 cell nokia):-27/04/2026 : Check breaker and  interconnection FRMF, FXED, FRGU, FXDB  (sfp, optical fiber) between system and radio module, swap its if needed</t>
        </is>
      </c>
      <c r="U338" t="inlineStr">
        <is>
          <t>04/27/2026 cell nokia) : -27/04/2026 : Check breaker and interconnection FRMF, FXED, FRGU, FXDB (sfp, optical fiber) between system and radio module, swap its if needed</t>
        </is>
      </c>
    </row>
    <row r="339">
      <c r="A339" s="96" t="n">
        <v>46139</v>
      </c>
      <c r="B339" t="inlineStr">
        <is>
          <t>Gueme</t>
        </is>
      </c>
      <c r="C339" t="inlineStr">
        <is>
          <t>EXN_049</t>
        </is>
      </c>
      <c r="D339" t="inlineStr"/>
      <c r="E339" t="inlineStr">
        <is>
          <t>IHS</t>
        </is>
      </c>
      <c r="F339" t="inlineStr">
        <is>
          <t>Solar-Gen</t>
        </is>
      </c>
      <c r="G339" t="inlineStr">
        <is>
          <t>EXTREME-NORD</t>
        </is>
      </c>
      <c r="H339" t="inlineStr">
        <is>
          <t>Gueme</t>
        </is>
      </c>
      <c r="I339" t="inlineStr"/>
      <c r="J339" t="inlineStr"/>
      <c r="K339" t="inlineStr"/>
      <c r="L339" t="inlineStr"/>
      <c r="M339" t="inlineStr"/>
      <c r="N339" t="inlineStr">
        <is>
          <t>Insecurity</t>
        </is>
      </c>
      <c r="O339" t="inlineStr"/>
      <c r="P339" t="inlineStr">
        <is>
          <t>IHS</t>
        </is>
      </c>
      <c r="Q339" t="inlineStr">
        <is>
          <t>POWER ISSUE</t>
        </is>
      </c>
      <c r="R339" t="inlineStr">
        <is>
          <t>Defaut GE &amp; Power Cabinet</t>
        </is>
      </c>
      <c r="S339" t="inlineStr">
        <is>
          <t>PASSIVE</t>
        </is>
      </c>
      <c r="T339" t="inlineStr">
        <is>
          <t>(04/27/2026 ocm ran 17h):-power status check ongoing..;..;(04/27/2026 ticket):-INC-20260427-00007772…2026-04-27 22:31:42…FME Mamoudou is on site, Escalation done until Alphonse T</t>
        </is>
      </c>
      <c r="U339" t="inlineStr">
        <is>
          <t>: -; : -…2026-04-27 22 : 31 : 42…FME Mamoudou is on site, Escalation done until Alphonse T</t>
        </is>
      </c>
    </row>
    <row r="340">
      <c r="A340" s="96" t="n">
        <v>46139</v>
      </c>
      <c r="B340" t="inlineStr">
        <is>
          <t>Pinyi-Ngali</t>
        </is>
      </c>
      <c r="C340" t="inlineStr">
        <is>
          <t>NRO_091</t>
        </is>
      </c>
      <c r="D340" t="inlineStr"/>
      <c r="E340" t="inlineStr">
        <is>
          <t>IHS</t>
        </is>
      </c>
      <c r="F340" t="inlineStr">
        <is>
          <t>Solar+ Gen</t>
        </is>
      </c>
      <c r="G340" t="inlineStr">
        <is>
          <t>NORD-OUEST</t>
        </is>
      </c>
      <c r="H340" t="inlineStr">
        <is>
          <t>Pinyi-Ngali</t>
        </is>
      </c>
      <c r="I340" t="inlineStr"/>
      <c r="J340" t="inlineStr"/>
      <c r="K340" t="inlineStr"/>
      <c r="L340" t="inlineStr"/>
      <c r="M340" t="inlineStr"/>
      <c r="N340" t="inlineStr">
        <is>
          <t>Insecurity</t>
        </is>
      </c>
      <c r="O340" t="inlineStr"/>
      <c r="P340" t="inlineStr">
        <is>
          <t>BSS</t>
        </is>
      </c>
      <c r="Q340" t="inlineStr">
        <is>
          <t>RAN ISSUE</t>
        </is>
      </c>
      <c r="R340" t="inlineStr">
        <is>
          <t>BSS Hardware issue</t>
        </is>
      </c>
      <c r="S340" t="inlineStr">
        <is>
          <t>ACTIVE</t>
        </is>
      </c>
      <c r="T340" t="inlineStr">
        <is>
          <t>(04/27/2026 cell nokia):-27/04/2026 : Need BO RAN analysis..;..;(04/27/2026 cell nokia):-27/04/2026 : Need BO RAN analysisM || Closed after reset</t>
        </is>
      </c>
      <c r="U340" t="inlineStr">
        <is>
          <t>04/27/2026 cell nokia) : -27/04/2026 : Need BO RAN analysis.;.;(04/27/2026 cell nokia) : -27/04/2026 : Need BO RAN analysisM || Closed after reset</t>
        </is>
      </c>
    </row>
    <row r="341">
      <c r="A341" s="96" t="n">
        <v>46139</v>
      </c>
      <c r="B341" t="inlineStr">
        <is>
          <t>Kaladi-MTN-IHS</t>
        </is>
      </c>
      <c r="C341" t="inlineStr">
        <is>
          <t>ADM_100</t>
        </is>
      </c>
      <c r="D341" t="inlineStr"/>
      <c r="E341" t="inlineStr">
        <is>
          <t>IHS</t>
        </is>
      </c>
      <c r="F341" t="inlineStr">
        <is>
          <t>Solar-Gen</t>
        </is>
      </c>
      <c r="G341" t="inlineStr">
        <is>
          <t>ADAMAOUA</t>
        </is>
      </c>
      <c r="H341" t="inlineStr">
        <is>
          <t>Kaladi</t>
        </is>
      </c>
      <c r="I341" t="inlineStr"/>
      <c r="J341" t="inlineStr"/>
      <c r="K341" t="inlineStr"/>
      <c r="L341" t="inlineStr"/>
      <c r="M341" t="inlineStr"/>
      <c r="N341" t="inlineStr">
        <is>
          <t>Operationnel</t>
        </is>
      </c>
      <c r="O341" t="inlineStr"/>
      <c r="P341" t="inlineStr">
        <is>
          <t>PDH</t>
        </is>
      </c>
      <c r="Q341" t="inlineStr">
        <is>
          <t>TX ISSUE</t>
        </is>
      </c>
      <c r="R341" t="inlineStr">
        <is>
          <t>ODU HS</t>
        </is>
      </c>
      <c r="S341" t="inlineStr">
        <is>
          <t>ACTIVE</t>
        </is>
      </c>
      <c r="T341" t="inlineStr">
        <is>
          <t>(04/27/2026 ocm ran 17h):-27/04/2026 FME HIPOLITE activé eta asap 
Besoin d'un fme sur site de  MPR_GALE  pour verifier le status de L ODU 5/2 ..;..;(04/27/2026 ocm ran 11h):-power status check ongoing..;..;(04/27/2026 ticket):-INC-20260427-00005651…2026-04-28 03:59:14…Activer le FME pour check de la chaine antennaire sur le site de Gale, check des radio 5.2 et 6.2.
refaire le cable et remplacer les ODUs le cas echeant.</t>
        </is>
      </c>
      <c r="U341" t="inlineStr">
        <is>
          <t>: -27/04/2026 FME HIPOLITE activé eta asap Besoin d'un fme sur site de MPR_GALE pour verifier le status de L ODU 5/2 .;.; : -; : -…2026-04-28 03 : 59 : 14…Activer le FME pour check de la chaine antennaire sur le site de Gale, check des radio 5.2 et 6.2. refaire le cable et remplacer les ODUs le cas echeant.</t>
        </is>
      </c>
    </row>
    <row r="342">
      <c r="A342" s="96" t="n">
        <v>46139</v>
      </c>
      <c r="B342" t="inlineStr">
        <is>
          <t>Maroua-Loperey</t>
        </is>
      </c>
      <c r="C342" t="inlineStr">
        <is>
          <t>EXN_082</t>
        </is>
      </c>
      <c r="D342" t="inlineStr"/>
      <c r="E342" t="inlineStr">
        <is>
          <t>IHS</t>
        </is>
      </c>
      <c r="F342" t="inlineStr">
        <is>
          <t>Grid-Lithium</t>
        </is>
      </c>
      <c r="G342" t="inlineStr">
        <is>
          <t>EXTREME-NORD</t>
        </is>
      </c>
      <c r="H342" t="inlineStr">
        <is>
          <t>Maroua</t>
        </is>
      </c>
      <c r="I342" t="inlineStr"/>
      <c r="J342" t="inlineStr"/>
      <c r="K342" t="inlineStr"/>
      <c r="L342" t="inlineStr"/>
      <c r="M342" t="inlineStr"/>
      <c r="N342" t="inlineStr">
        <is>
          <t>Operationnel</t>
        </is>
      </c>
      <c r="O342" t="inlineStr"/>
      <c r="P342" t="inlineStr">
        <is>
          <t>IHS</t>
        </is>
      </c>
      <c r="Q342" t="inlineStr">
        <is>
          <t>POWER ISSUE</t>
        </is>
      </c>
      <c r="R342" t="inlineStr">
        <is>
          <t>Defaut GE &amp; Power Cabinet</t>
        </is>
      </c>
      <c r="S342" t="inlineStr">
        <is>
          <t>PASSIVE</t>
        </is>
      </c>
      <c r="T342" t="inlineStr">
        <is>
          <t>(04/27/2026 top offenders):-27.04.26: IHS: Grid outage, No space to deploy MDG // awaiting grid return Francklin</t>
        </is>
      </c>
      <c r="U342" t="inlineStr">
        <is>
          <t>04/27/2026 top offenders) : -27.04.26 : IHS : Grid outage, No space to deploy MDG // awaiting grid return Francklin</t>
        </is>
      </c>
    </row>
    <row r="343">
      <c r="A343" s="96" t="n">
        <v>46139</v>
      </c>
      <c r="B343" t="inlineStr">
        <is>
          <t>KRIBI-MAKAO</t>
        </is>
      </c>
      <c r="C343" t="inlineStr">
        <is>
          <t>SUD_095</t>
        </is>
      </c>
      <c r="D343" t="inlineStr"/>
      <c r="E343" t="inlineStr">
        <is>
          <t>CAMUSAT</t>
        </is>
      </c>
      <c r="F343" t="inlineStr">
        <is>
          <t>Good Grid + GE</t>
        </is>
      </c>
      <c r="G343" t="inlineStr">
        <is>
          <t>SUD</t>
        </is>
      </c>
      <c r="H343" t="inlineStr">
        <is>
          <t>Kribi</t>
        </is>
      </c>
      <c r="I343" t="inlineStr"/>
      <c r="J343" t="inlineStr"/>
      <c r="K343" t="inlineStr"/>
      <c r="L343" t="inlineStr"/>
      <c r="M343" t="inlineStr"/>
      <c r="N343" t="inlineStr">
        <is>
          <t>Operationnel</t>
        </is>
      </c>
      <c r="O343" t="inlineStr"/>
      <c r="P343" t="inlineStr">
        <is>
          <t>AKTIVCO</t>
        </is>
      </c>
      <c r="Q343" t="inlineStr">
        <is>
          <t>POWER ISSUE</t>
        </is>
      </c>
      <c r="R343" t="inlineStr">
        <is>
          <t>AKTIVCO Defaut GE &amp; Power Cabinet</t>
        </is>
      </c>
      <c r="S343" t="inlineStr">
        <is>
          <t>PASSIVE</t>
        </is>
      </c>
      <c r="T343" t="inlineStr">
        <is>
          <t>(04/27/2026 ticket):-INC-20260427-00000378…2026-04-27 02:48:57…The technician will be on site ETA 04h30.</t>
        </is>
      </c>
      <c r="U343" t="inlineStr">
        <is>
          <t>: -…2026-04-27 02 : 48 : 57…The technician will be on site ETA 04h30.</t>
        </is>
      </c>
    </row>
    <row r="344">
      <c r="A344" s="96" t="n">
        <v>46139</v>
      </c>
      <c r="B344" t="inlineStr">
        <is>
          <t>Sanguere-MTN-IHS</t>
        </is>
      </c>
      <c r="C344" t="inlineStr">
        <is>
          <t>NRD_087</t>
        </is>
      </c>
      <c r="D344" t="inlineStr"/>
      <c r="E344" t="inlineStr">
        <is>
          <t>IHS</t>
        </is>
      </c>
      <c r="F344" t="inlineStr">
        <is>
          <t>Solar-Grid-Gen</t>
        </is>
      </c>
      <c r="G344" t="inlineStr">
        <is>
          <t>NORD</t>
        </is>
      </c>
      <c r="H344" t="inlineStr">
        <is>
          <t>Sanguere</t>
        </is>
      </c>
      <c r="I344" t="inlineStr"/>
      <c r="J344" t="inlineStr"/>
      <c r="K344" t="inlineStr"/>
      <c r="L344" t="inlineStr"/>
      <c r="M344" t="inlineStr"/>
      <c r="N344" t="inlineStr">
        <is>
          <t>Operationnel</t>
        </is>
      </c>
      <c r="O344" t="inlineStr"/>
      <c r="P344" t="inlineStr">
        <is>
          <t>IHS</t>
        </is>
      </c>
      <c r="Q344" t="inlineStr">
        <is>
          <t>POWER ISSUE</t>
        </is>
      </c>
      <c r="R344" t="inlineStr">
        <is>
          <t>Defaut GE &amp; Power Cabinet</t>
        </is>
      </c>
      <c r="S344" t="inlineStr">
        <is>
          <t>PASSIVE</t>
        </is>
      </c>
      <c r="T344" t="inlineStr">
        <is>
          <t>(04/27/2026 cell nokia):-27/04/2026 : Need BO RAN analysis..;..;(04/27/2026 cell nokia):-27/04/2026 : Need BO RAN analysis || Closed after reset but FME should check and replace SFP if needed..;..;(04/27/2026 ticket):-INC-20260427-00001125…power issue …Others Transmission equipement fault</t>
        </is>
      </c>
      <c r="U344" t="inlineStr">
        <is>
          <t>04/27/2026 cell nokia) : -27/04/2026 : Need BO RAN analysis.;.;(04/27/2026 cell nokia) : -27/04/2026 : Need BO RAN analysis || Closed after reset but FME should check and replace SFP if needed.;.; : -…power issue …</t>
        </is>
      </c>
    </row>
    <row r="345">
      <c r="A345" s="96" t="n">
        <v>46139</v>
      </c>
      <c r="B345" t="inlineStr">
        <is>
          <t>Edea-Ekite</t>
        </is>
      </c>
      <c r="C345" t="inlineStr">
        <is>
          <t>LIT_322</t>
        </is>
      </c>
      <c r="D345" t="inlineStr"/>
      <c r="E345" t="inlineStr">
        <is>
          <t>IHS</t>
        </is>
      </c>
      <c r="F345" t="inlineStr">
        <is>
          <t>Grid-Gen</t>
        </is>
      </c>
      <c r="G345" t="inlineStr">
        <is>
          <t>LITTORAL</t>
        </is>
      </c>
      <c r="H345" t="inlineStr">
        <is>
          <t>Edea</t>
        </is>
      </c>
      <c r="I345" t="inlineStr"/>
      <c r="J345" t="inlineStr"/>
      <c r="K345" t="inlineStr"/>
      <c r="L345" t="inlineStr"/>
      <c r="M345" t="inlineStr"/>
      <c r="N345" t="inlineStr">
        <is>
          <t>Operationnel</t>
        </is>
      </c>
      <c r="O345" t="inlineStr"/>
      <c r="P345" t="inlineStr">
        <is>
          <t>IHS</t>
        </is>
      </c>
      <c r="Q345" t="inlineStr">
        <is>
          <t>POWER ISSUE</t>
        </is>
      </c>
      <c r="R345" t="inlineStr">
        <is>
          <t>Defaut GE &amp; Power Cabinet</t>
        </is>
      </c>
      <c r="S345" t="inlineStr">
        <is>
          <t>PASSIVE</t>
        </is>
      </c>
      <c r="T345" t="inlineStr">
        <is>
          <t xml:space="preserve">(04/27/2026 ticket):-INC-20260427-00015438…2026-04-27 21:54:46…FME is trying to get a level0…power issue observed at Cellucam new Camusat support team is managing it we are following up </t>
        </is>
      </c>
      <c r="U345" t="inlineStr">
        <is>
          <t>: -…2026-04-27 21 : 54 : 46…FME is trying to get a level0…power issue observed at Cellucam new Camusat support team is managing it we are following up</t>
        </is>
      </c>
    </row>
    <row r="346">
      <c r="A346" s="96" t="n">
        <v>46139</v>
      </c>
      <c r="B346" t="inlineStr">
        <is>
          <t>Cellucam-New</t>
        </is>
      </c>
      <c r="C346" t="inlineStr">
        <is>
          <t>LIT_209</t>
        </is>
      </c>
      <c r="D346" t="inlineStr"/>
      <c r="E346" t="inlineStr">
        <is>
          <t xml:space="preserve">HIS </t>
        </is>
      </c>
      <c r="F346" t="inlineStr">
        <is>
          <t>Grid-Gen</t>
        </is>
      </c>
      <c r="G346" t="inlineStr">
        <is>
          <t>LITTORAL</t>
        </is>
      </c>
      <c r="H346" t="inlineStr">
        <is>
          <t>Edea</t>
        </is>
      </c>
      <c r="I346" t="inlineStr"/>
      <c r="J346" t="inlineStr"/>
      <c r="K346" t="inlineStr"/>
      <c r="L346" t="inlineStr"/>
      <c r="M346" t="inlineStr"/>
      <c r="N346" t="inlineStr">
        <is>
          <t>Operationnel</t>
        </is>
      </c>
      <c r="O346" t="inlineStr"/>
      <c r="P346" t="inlineStr">
        <is>
          <t>IHS</t>
        </is>
      </c>
      <c r="Q346" t="inlineStr">
        <is>
          <t>POWER ISSUE</t>
        </is>
      </c>
      <c r="R346" t="inlineStr">
        <is>
          <t>Defaut GE &amp; Power Cabinet</t>
        </is>
      </c>
      <c r="S346" t="inlineStr">
        <is>
          <t>PASSIVE</t>
        </is>
      </c>
      <c r="T346" t="inlineStr">
        <is>
          <t>(04/27/2026 ticket):-INC-20260427-00015432…2026-04-27 21:54:46…FME is trying to get a level0</t>
        </is>
      </c>
      <c r="U346" t="inlineStr">
        <is>
          <t>: -…2026-04-27 21 : 54 : 46…FME is trying to get a level0</t>
        </is>
      </c>
    </row>
    <row r="347">
      <c r="A347" s="96" t="n">
        <v>46139</v>
      </c>
      <c r="B347" t="inlineStr">
        <is>
          <t>Edea-Entree</t>
        </is>
      </c>
      <c r="C347" t="inlineStr">
        <is>
          <t>LIT_229</t>
        </is>
      </c>
      <c r="D347" t="inlineStr"/>
      <c r="E347" t="inlineStr">
        <is>
          <t>IHS</t>
        </is>
      </c>
      <c r="F347" t="inlineStr">
        <is>
          <t>Solar-Grid-Gen</t>
        </is>
      </c>
      <c r="G347" t="inlineStr">
        <is>
          <t>LITTORAL</t>
        </is>
      </c>
      <c r="H347" t="inlineStr">
        <is>
          <t>Edea</t>
        </is>
      </c>
      <c r="I347" t="inlineStr"/>
      <c r="J347" t="inlineStr"/>
      <c r="K347" t="inlineStr"/>
      <c r="L347" t="inlineStr"/>
      <c r="M347" t="inlineStr"/>
      <c r="N347" t="inlineStr">
        <is>
          <t>EXCLU</t>
        </is>
      </c>
      <c r="O347" t="inlineStr">
        <is>
          <t>site vandalise</t>
        </is>
      </c>
      <c r="P347" t="inlineStr">
        <is>
          <t>Exclu</t>
        </is>
      </c>
      <c r="Q347" t="inlineStr">
        <is>
          <t>Exclu</t>
        </is>
      </c>
      <c r="R347" t="inlineStr">
        <is>
          <t>EXCLU</t>
        </is>
      </c>
      <c r="S347" t="inlineStr">
        <is>
          <t>Exclu</t>
        </is>
      </c>
      <c r="T347" t="inlineStr">
        <is>
          <t xml:space="preserve">(04/27/2026 ticket):-INC-20260427-00015436…2026-04-27 21:54:46…FME is trying to get a level0…power issue observed at Cellucam new Camusat support team is managing it we are following up </t>
        </is>
      </c>
      <c r="U347" t="inlineStr">
        <is>
          <t>: -…2026-04-27 21 : 54 : 46…FME is trying to get a level0…power issue observed at Cellucam new Camusat support team is managing it we are following up</t>
        </is>
      </c>
    </row>
    <row r="348">
      <c r="A348" s="96" t="n">
        <v>46139</v>
      </c>
      <c r="B348" t="inlineStr">
        <is>
          <t>Babylone-IHS</t>
        </is>
      </c>
      <c r="C348" t="inlineStr">
        <is>
          <t>LIT_153</t>
        </is>
      </c>
      <c r="D348" t="inlineStr"/>
      <c r="E348" t="inlineStr">
        <is>
          <t>IHS</t>
        </is>
      </c>
      <c r="F348" t="inlineStr">
        <is>
          <t>Grid-Gen</t>
        </is>
      </c>
      <c r="G348" t="inlineStr">
        <is>
          <t>LITTORAL</t>
        </is>
      </c>
      <c r="H348" t="inlineStr">
        <is>
          <t>Douala</t>
        </is>
      </c>
      <c r="I348" t="inlineStr"/>
      <c r="J348" t="inlineStr"/>
      <c r="K348" t="inlineStr"/>
      <c r="L348" t="inlineStr"/>
      <c r="M348" t="inlineStr"/>
      <c r="N348" t="inlineStr">
        <is>
          <t>Operationnel</t>
        </is>
      </c>
      <c r="O348" t="inlineStr"/>
      <c r="P348" t="inlineStr">
        <is>
          <t>IHS</t>
        </is>
      </c>
      <c r="Q348" t="inlineStr">
        <is>
          <t>POWER ISSUE</t>
        </is>
      </c>
      <c r="R348" t="inlineStr">
        <is>
          <t>Defaut GE &amp; Power Cabinet</t>
        </is>
      </c>
      <c r="S348" t="inlineStr">
        <is>
          <t>PASSIVE</t>
        </is>
      </c>
      <c r="T348" t="inlineStr">
        <is>
          <t>(04/27/2026 retour IHS);Bodouin is on the site and reported ATS issue ||(04/27/2026 ticket):-INC-20260427-00009869</t>
        </is>
      </c>
      <c r="U348" t="inlineStr">
        <is>
          <t>04/27/2026 retour IHS);Bodouin is on the site and reported ATS issue || : -</t>
        </is>
      </c>
    </row>
    <row r="349">
      <c r="A349" s="96" t="n">
        <v>46139</v>
      </c>
      <c r="B349" t="inlineStr">
        <is>
          <t>Garoua-Djamboutou-II</t>
        </is>
      </c>
      <c r="C349" t="inlineStr">
        <is>
          <t>NRD_149</t>
        </is>
      </c>
      <c r="D349" t="inlineStr"/>
      <c r="E349" t="inlineStr">
        <is>
          <t>CAMUSAT</t>
        </is>
      </c>
      <c r="F349" t="inlineStr">
        <is>
          <t>Good Grid + GE</t>
        </is>
      </c>
      <c r="G349" t="inlineStr">
        <is>
          <t>NORD</t>
        </is>
      </c>
      <c r="H349" t="inlineStr">
        <is>
          <t>Garoua</t>
        </is>
      </c>
      <c r="I349" t="inlineStr"/>
      <c r="J349" t="inlineStr"/>
      <c r="K349" t="inlineStr"/>
      <c r="L349" t="inlineStr"/>
      <c r="M349" t="inlineStr"/>
      <c r="N349" t="inlineStr">
        <is>
          <t>Operationnel</t>
        </is>
      </c>
      <c r="O349" t="inlineStr"/>
      <c r="P349" t="inlineStr">
        <is>
          <t>BSS</t>
        </is>
      </c>
      <c r="Q349" t="inlineStr">
        <is>
          <t>RAN ISSUE</t>
        </is>
      </c>
      <c r="R349" t="inlineStr">
        <is>
          <t>BSS Hardware issue</t>
        </is>
      </c>
      <c r="S349" t="inlineStr">
        <is>
          <t>ACTIVE</t>
        </is>
      </c>
      <c r="T349" t="inlineStr">
        <is>
          <t>(04/27/2026 cell huawei):-27/04/2026 : Besoin d'analyse BO RAN || UBBP in slot 5 : need a reset on site..;..;(04/27/2026 cell huawei):-27/04/2026 : Besoin d'analyse BO RAN || UBBP in slot 5 : need a reset on site</t>
        </is>
      </c>
      <c r="U349" t="inlineStr">
        <is>
          <t>04/27/2026 cell huawei) : -27/04/2026 : Besoin d'analyse BO RAN || UBBP in slot 5 : need a reset on site.;.;(04/27/2026 cell huawei) : -27/04/2026 : Besoin d'analyse BO RAN || UBBP in slot 5 : need a reset on site</t>
        </is>
      </c>
    </row>
    <row r="350">
      <c r="A350" s="96" t="n">
        <v>46139</v>
      </c>
      <c r="B350" t="inlineStr">
        <is>
          <t>Bfsam-Baleng</t>
        </is>
      </c>
      <c r="C350" t="inlineStr">
        <is>
          <t>OST_063</t>
        </is>
      </c>
      <c r="D350" t="inlineStr"/>
      <c r="E350" t="inlineStr">
        <is>
          <t>IHS</t>
        </is>
      </c>
      <c r="F350" t="inlineStr">
        <is>
          <t>Grid-Gen</t>
        </is>
      </c>
      <c r="G350" t="inlineStr">
        <is>
          <t>OUEST</t>
        </is>
      </c>
      <c r="H350" t="inlineStr">
        <is>
          <t>Bafoussam</t>
        </is>
      </c>
      <c r="I350" t="inlineStr"/>
      <c r="J350" t="inlineStr"/>
      <c r="K350" t="inlineStr"/>
      <c r="L350" t="inlineStr"/>
      <c r="M350" t="inlineStr"/>
      <c r="N350" t="inlineStr">
        <is>
          <t>Operationnel</t>
        </is>
      </c>
      <c r="O350" t="inlineStr"/>
      <c r="P350" t="inlineStr">
        <is>
          <t>BSS</t>
        </is>
      </c>
      <c r="Q350" t="inlineStr">
        <is>
          <t>RAN ISSUE</t>
        </is>
      </c>
      <c r="R350" t="inlineStr">
        <is>
          <t>BSS Hardware issue</t>
        </is>
      </c>
      <c r="S350" t="inlineStr">
        <is>
          <t>ACTIVE</t>
        </is>
      </c>
      <c r="T350" t="inlineStr">
        <is>
          <t>(04/27/2026 cell huawei):-27/04/2026 : Besoin d'analyse BO RAN || RRU 71 faulty : RF Unit DC Input Power Failure. Verifier l'alimentation de la RRU 71..;..;(04/27/2026 cell huawei):-27/04/2026 : Besoin d'analyse BO RAN || RRU 71 faulty : RF Unit DC Input Power Failure. Verifier l'alimentation de la RRU 71..;..;(04/27/2026 ticket):-INC-20260427-00008527…Others Transmission equipement fault</t>
        </is>
      </c>
      <c r="U350" t="inlineStr">
        <is>
          <t>04/27/2026 cell huawei) : -27/04/2026 : Besoin d'analyse BO RAN || RRU 71 faulty : RF Unit DC Input Power Failure. Verifier l'alimentation de la RRU 71.;.;(04/27/2026 cell huawei) : -27/04/2026 : Besoin d'analyse BO RAN || RRU 71 faulty : RF Unit DC Input Power Failure. Verifier l'alimentation de la RRU 71.;.; : -…</t>
        </is>
      </c>
    </row>
    <row r="351">
      <c r="A351" s="96" t="n">
        <v>46139</v>
      </c>
      <c r="B351" t="inlineStr">
        <is>
          <t>Yelwa-MTN-IHS</t>
        </is>
      </c>
      <c r="C351" t="inlineStr">
        <is>
          <t>NRD_097</t>
        </is>
      </c>
      <c r="D351" t="inlineStr"/>
      <c r="E351" t="inlineStr">
        <is>
          <t>IHS</t>
        </is>
      </c>
      <c r="F351" t="inlineStr">
        <is>
          <t>Grid-Gen</t>
        </is>
      </c>
      <c r="G351" t="inlineStr">
        <is>
          <t>NORD</t>
        </is>
      </c>
      <c r="H351" t="inlineStr">
        <is>
          <t>Garoua</t>
        </is>
      </c>
      <c r="I351" t="inlineStr"/>
      <c r="J351" t="inlineStr"/>
      <c r="K351" t="inlineStr"/>
      <c r="L351" t="inlineStr"/>
      <c r="M351" t="inlineStr"/>
      <c r="N351" t="inlineStr">
        <is>
          <t>Operationnel</t>
        </is>
      </c>
      <c r="O351" t="inlineStr"/>
      <c r="P351" t="inlineStr">
        <is>
          <t>BSS</t>
        </is>
      </c>
      <c r="Q351" t="inlineStr">
        <is>
          <t>RAN ISSUE</t>
        </is>
      </c>
      <c r="R351" t="inlineStr">
        <is>
          <t>BSS Hardware issue</t>
        </is>
      </c>
      <c r="S351" t="inlineStr">
        <is>
          <t>ACTIVE</t>
        </is>
      </c>
      <c r="T351" t="inlineStr">
        <is>
          <t>(04/27/2026 cell huawei):-27/04/2026 : Besoin d'analyse BO RAN || UBBP in slot 5 : need a reset on site..;..;(04/27/2026 cell huawei):-27/04/2026 : Besoin d'analyse BO RAN || UBBP in slot 5 : need a reset on site</t>
        </is>
      </c>
      <c r="U351" t="inlineStr">
        <is>
          <t>04/27/2026 cell huawei) : -27/04/2026 : Besoin d'analyse BO RAN || UBBP in slot 5 : need a reset on site.;.;(04/27/2026 cell huawei) : -27/04/2026 : Besoin d'analyse BO RAN || UBBP in slot 5 : need a reset on site</t>
        </is>
      </c>
    </row>
    <row r="352">
      <c r="A352" s="96" t="n">
        <v>46139</v>
      </c>
      <c r="B352" t="inlineStr">
        <is>
          <t>SIC-Cacao</t>
        </is>
      </c>
      <c r="C352" t="inlineStr">
        <is>
          <t>LIT_654</t>
        </is>
      </c>
      <c r="D352" t="inlineStr"/>
      <c r="E352" t="inlineStr">
        <is>
          <t>CAMUSAT</t>
        </is>
      </c>
      <c r="F352" t="inlineStr">
        <is>
          <t>Good Grid no GE - 12h</t>
        </is>
      </c>
      <c r="G352" t="inlineStr">
        <is>
          <t>LITTORAL</t>
        </is>
      </c>
      <c r="H352" t="inlineStr">
        <is>
          <t>Douala</t>
        </is>
      </c>
      <c r="I352" t="inlineStr"/>
      <c r="J352" t="inlineStr"/>
      <c r="K352" t="inlineStr"/>
      <c r="L352" t="inlineStr"/>
      <c r="M352" t="inlineStr"/>
      <c r="N352" t="inlineStr">
        <is>
          <t>Operationnel</t>
        </is>
      </c>
      <c r="O352" t="inlineStr"/>
      <c r="P352" t="inlineStr">
        <is>
          <t>AKTIVCO GRID ONLY</t>
        </is>
      </c>
      <c r="Q352" t="inlineStr">
        <is>
          <t>POWER ISSUE</t>
        </is>
      </c>
      <c r="R352" t="inlineStr">
        <is>
          <t>AKTIVCO Coupure ENEO &amp; Baisse de tension</t>
        </is>
      </c>
      <c r="S352" t="inlineStr">
        <is>
          <t>PASSIVE</t>
        </is>
      </c>
      <c r="T352" t="inlineStr">
        <is>
          <t>(04/27/2026 cell zte):-18/04/2026 : Site down</t>
        </is>
      </c>
      <c r="U352" t="inlineStr">
        <is>
          <t>04/27/2026 cell zte) : -18/04/2026 : Site down</t>
        </is>
      </c>
    </row>
    <row r="353">
      <c r="A353" s="96" t="n">
        <v>46139</v>
      </c>
      <c r="B353" t="inlineStr">
        <is>
          <t>Mvam-Yetom</t>
        </is>
      </c>
      <c r="C353" t="inlineStr">
        <is>
          <t>CTR_860</t>
        </is>
      </c>
      <c r="D353" t="inlineStr"/>
      <c r="E353" t="inlineStr">
        <is>
          <t>ESCO</t>
        </is>
      </c>
      <c r="F353" t="inlineStr">
        <is>
          <t>Hybrid Solar - S2</t>
        </is>
      </c>
      <c r="G353" t="inlineStr">
        <is>
          <t>CTR</t>
        </is>
      </c>
      <c r="H353" t="inlineStr">
        <is>
          <t>Mvam-Yetom</t>
        </is>
      </c>
      <c r="I353" t="inlineStr"/>
      <c r="J353" t="inlineStr"/>
      <c r="K353" t="inlineStr"/>
      <c r="L353" t="inlineStr"/>
      <c r="M353" t="inlineStr"/>
      <c r="N353" t="inlineStr">
        <is>
          <t>Operationnel</t>
        </is>
      </c>
      <c r="O353" t="inlineStr"/>
      <c r="P353" t="inlineStr">
        <is>
          <t>SPARE-ISSUE</t>
        </is>
      </c>
      <c r="Q353" t="inlineStr">
        <is>
          <t>SPARE-ISSUE</t>
        </is>
      </c>
      <c r="R353" t="inlineStr">
        <is>
          <t>Warehouse HUAWEI</t>
        </is>
      </c>
      <c r="S353" t="inlineStr">
        <is>
          <t>SPARE-ISSUE</t>
        </is>
      </c>
      <c r="T353" t="inlineStr">
        <is>
          <t>(04/27/2026 ocm ran 17h):-27/04/2026 ODU UBT-T 3DB29211ACAA02 faulty commande en cours 
24/04/2026 Besoin d'un fme sur biba pour verifier le status de L ODU 5/1 ..;..;(04/27/2026 ocm ran 11h):-26/04/2026 ODU UBT-T 3DB29211ACAA02 faulty commande en cours 
24/04/2026 Besoin d'un fme sur biba pour verifier le status de L ODU 5/1 ..;..;(04/27/2026 ticket):-INC-20260427-00007620…site already up</t>
        </is>
      </c>
      <c r="U353" t="inlineStr">
        <is>
          <t>: -27/04/2026 ODU UBT-T 3DB29211ACAA02 faulty commande en cours 24/04/2026 Besoin d'un fme sur biba pour verifier le status de L ODU 5/1 .;.; : -26/04/2026 ODU UBT-T 3DB29211ACAA02 faulty commande en cours 24/04/2026 Besoin d'un fme sur biba pour verifier le status de L ODU 5/1 .;.; : -…site already up</t>
        </is>
      </c>
    </row>
    <row r="354">
      <c r="A354" s="96" t="n">
        <v>46139</v>
      </c>
      <c r="B354" t="inlineStr">
        <is>
          <t>Ngalbidje-MTN-IHS</t>
        </is>
      </c>
      <c r="C354" t="inlineStr">
        <is>
          <t>NRD_117</t>
        </is>
      </c>
      <c r="D354" t="inlineStr"/>
      <c r="E354" t="inlineStr">
        <is>
          <t>IHS</t>
        </is>
      </c>
      <c r="F354" t="inlineStr">
        <is>
          <t>Grid-Gen</t>
        </is>
      </c>
      <c r="G354" t="inlineStr">
        <is>
          <t>NORD</t>
        </is>
      </c>
      <c r="H354" t="inlineStr">
        <is>
          <t>Garoua</t>
        </is>
      </c>
      <c r="I354" t="inlineStr"/>
      <c r="J354" t="inlineStr"/>
      <c r="K354" t="inlineStr"/>
      <c r="L354" t="inlineStr"/>
      <c r="M354" t="inlineStr"/>
      <c r="N354" t="inlineStr">
        <is>
          <t>Operationnel</t>
        </is>
      </c>
      <c r="O354" t="inlineStr"/>
      <c r="P354" t="inlineStr">
        <is>
          <t>IHS</t>
        </is>
      </c>
      <c r="Q354" t="inlineStr">
        <is>
          <t>POWER ISSUE</t>
        </is>
      </c>
      <c r="R354" t="inlineStr">
        <is>
          <t>Defaut GE &amp; Power Cabinet</t>
        </is>
      </c>
      <c r="S354" t="inlineStr">
        <is>
          <t>PASSIVE</t>
        </is>
      </c>
      <c r="T354" t="inlineStr">
        <is>
          <t xml:space="preserve">(04/27/2026 retour IHS): Power issue NUR to be check||  </t>
        </is>
      </c>
      <c r="U354" t="inlineStr">
        <is>
          <t>04/27/2026 retour IHS) : Power issue NUR to be check ||</t>
        </is>
      </c>
    </row>
    <row r="355">
      <c r="A355" s="96" t="n">
        <v>46139</v>
      </c>
      <c r="B355" t="inlineStr">
        <is>
          <t>Beedi</t>
        </is>
      </c>
      <c r="C355" t="inlineStr">
        <is>
          <t>LIT_127</t>
        </is>
      </c>
      <c r="D355" t="inlineStr"/>
      <c r="E355" t="inlineStr">
        <is>
          <t>IHS</t>
        </is>
      </c>
      <c r="F355" t="inlineStr">
        <is>
          <t>Grid-Gen</t>
        </is>
      </c>
      <c r="G355" t="inlineStr">
        <is>
          <t>LITTORAL</t>
        </is>
      </c>
      <c r="H355" t="inlineStr">
        <is>
          <t>Douala</t>
        </is>
      </c>
      <c r="I355" t="inlineStr"/>
      <c r="J355" t="inlineStr"/>
      <c r="K355" t="inlineStr"/>
      <c r="L355" t="inlineStr"/>
      <c r="M355" t="inlineStr"/>
      <c r="N355" t="inlineStr">
        <is>
          <t>Operationnel</t>
        </is>
      </c>
      <c r="O355" t="inlineStr"/>
      <c r="P355" t="inlineStr">
        <is>
          <t>IHS</t>
        </is>
      </c>
      <c r="Q355" t="inlineStr">
        <is>
          <t>POWER ISSUE</t>
        </is>
      </c>
      <c r="R355" t="inlineStr">
        <is>
          <t>Defaut GE &amp; Power Cabinet</t>
        </is>
      </c>
      <c r="S355" t="inlineStr">
        <is>
          <t>PASSIVE</t>
        </is>
      </c>
      <c r="T355" t="inlineStr">
        <is>
          <t>(04/27/2026 retour IHS): Power issue NUR to be check||  (04/27/2026 ticket):-INC-20260427-00011753</t>
        </is>
      </c>
      <c r="U355" t="inlineStr">
        <is>
          <t>04/27/2026 retour IHS) : Power issue NUR to be check || : -</t>
        </is>
      </c>
    </row>
    <row r="356">
      <c r="A356" s="96" t="n">
        <v>46139</v>
      </c>
      <c r="B356" t="inlineStr">
        <is>
          <t>Mabanda4-IHS</t>
        </is>
      </c>
      <c r="C356" t="inlineStr">
        <is>
          <t>LIT_489</t>
        </is>
      </c>
      <c r="D356" t="inlineStr"/>
      <c r="E356" t="inlineStr">
        <is>
          <t>IHS</t>
        </is>
      </c>
      <c r="F356" t="inlineStr">
        <is>
          <t>Grid-Gen</t>
        </is>
      </c>
      <c r="G356" t="inlineStr">
        <is>
          <t>LITTORAL</t>
        </is>
      </c>
      <c r="H356" t="inlineStr">
        <is>
          <t>Douala</t>
        </is>
      </c>
      <c r="I356" t="inlineStr"/>
      <c r="J356" t="inlineStr"/>
      <c r="K356" t="inlineStr"/>
      <c r="L356" t="inlineStr"/>
      <c r="M356" t="inlineStr"/>
      <c r="N356" t="inlineStr">
        <is>
          <t>Operationnel</t>
        </is>
      </c>
      <c r="O356" t="inlineStr"/>
      <c r="P356" t="inlineStr">
        <is>
          <t>Fiber AOF</t>
        </is>
      </c>
      <c r="Q356" t="inlineStr">
        <is>
          <t>TX ISSUE</t>
        </is>
      </c>
      <c r="R356" t="inlineStr">
        <is>
          <t>fiber AOF</t>
        </is>
      </c>
      <c r="S356" t="inlineStr">
        <is>
          <t>ACTIVE</t>
        </is>
      </c>
      <c r="T356" t="inlineStr">
        <is>
          <t>(04/27/2026 ocm ran 11h):-power status check ongoing..;..;(04/27/2026 ticket):-INC-20260427-00005048…2026-04-27 10:25:47…Nous constatons l'indisponibilité de MABANDA4-IHS dû à un souci d'énergie vu la coupure simultanée de l'AOF et la MW.
Merci de vérifier l'énergie à  MABANDA4-IHS.
Si énergie ok, dépêcher un FME pour investigation et troubleshooting au besoin avec le BO.…power issue here the power guy taken point …Others Transmission equipement fault</t>
        </is>
      </c>
      <c r="U356" t="inlineStr">
        <is>
          <t>: -; : -…2026-04-27 10 : 25 : 47…Nous constatons l'indisponibilité de MABANDA4-IHS dû à un souci d'énergie vu la coupure simultanée de l'AOF et la MW. Merci de vérifier l'énergie à MABANDA4-IHS. Si énergie ok, dépêcher un FME pour investigation et troubleshooting au besoin avec le BO.…power issue here the power guy taken point …</t>
        </is>
      </c>
    </row>
    <row r="357">
      <c r="A357" s="96" t="n">
        <v>46139</v>
      </c>
      <c r="B357" t="inlineStr">
        <is>
          <t>Tchatibali</t>
        </is>
      </c>
      <c r="C357" t="inlineStr">
        <is>
          <t>EXN_017</t>
        </is>
      </c>
      <c r="D357" t="inlineStr"/>
      <c r="E357" t="inlineStr">
        <is>
          <t>IHS</t>
        </is>
      </c>
      <c r="F357" t="inlineStr">
        <is>
          <t>Grid-Gen</t>
        </is>
      </c>
      <c r="G357" t="inlineStr">
        <is>
          <t>EXTREME-NORD</t>
        </is>
      </c>
      <c r="H357" t="inlineStr">
        <is>
          <t>Tchatibali</t>
        </is>
      </c>
      <c r="I357" t="inlineStr"/>
      <c r="J357" t="inlineStr"/>
      <c r="K357" t="inlineStr"/>
      <c r="L357" t="inlineStr"/>
      <c r="M357" t="inlineStr"/>
      <c r="N357" t="inlineStr">
        <is>
          <t>Insecurity</t>
        </is>
      </c>
      <c r="O357" t="inlineStr"/>
      <c r="P357" t="inlineStr">
        <is>
          <t>BSS</t>
        </is>
      </c>
      <c r="Q357" t="inlineStr">
        <is>
          <t>RAN ISSUE</t>
        </is>
      </c>
      <c r="R357" t="inlineStr">
        <is>
          <t>BSS Hardware issue</t>
        </is>
      </c>
      <c r="S357" t="inlineStr">
        <is>
          <t>ACTIVE</t>
        </is>
      </c>
      <c r="T357" t="inlineStr">
        <is>
          <t>(04/27/2026 cell nokia):-27/04/2026 : Need BO RAN analysis..;..;(04/27/2026 cell nokia):-27/04/2026 : Need BO RAN analysis || Closed after reset..;..;(04/27/2026 ocm ran 17h):-power status check ongoing..;..;(04/27/2026 ocm ran 11h):-power status check ongoing..;..;(04/27/2026 ticket):-INC-20260427-00015601…Others Transmission equipement fault</t>
        </is>
      </c>
      <c r="U357" t="inlineStr">
        <is>
          <t>04/27/2026 cell nokia) : -27/04/2026 : Need BO RAN analysis.;.;(04/27/2026 cell nokia) : -27/04/2026 : Need BO RAN analysis || Closed after reset.;.; : -; : -; : -…</t>
        </is>
      </c>
    </row>
    <row r="358">
      <c r="A358" s="96" t="n">
        <v>46139</v>
      </c>
      <c r="B358" t="inlineStr">
        <is>
          <t>Limbon-IHS</t>
        </is>
      </c>
      <c r="C358" t="inlineStr">
        <is>
          <t>ADM_080</t>
        </is>
      </c>
      <c r="D358" t="inlineStr"/>
      <c r="E358" t="inlineStr">
        <is>
          <t>IHS</t>
        </is>
      </c>
      <c r="F358" t="inlineStr">
        <is>
          <t>Grid-Gen</t>
        </is>
      </c>
      <c r="G358" t="inlineStr">
        <is>
          <t>ADAMAOUA</t>
        </is>
      </c>
      <c r="H358" t="inlineStr">
        <is>
          <t>Limbon</t>
        </is>
      </c>
      <c r="I358" t="inlineStr"/>
      <c r="J358" t="inlineStr"/>
      <c r="K358" t="inlineStr"/>
      <c r="L358" t="inlineStr"/>
      <c r="M358" t="inlineStr"/>
      <c r="N358" t="inlineStr">
        <is>
          <t>Operationnel</t>
        </is>
      </c>
      <c r="O358" t="inlineStr"/>
      <c r="P358" t="inlineStr">
        <is>
          <t>PDH</t>
        </is>
      </c>
      <c r="Q358" t="inlineStr">
        <is>
          <t>TX ISSUE</t>
        </is>
      </c>
      <c r="R358" t="inlineStr">
        <is>
          <t>MPR ISSUE</t>
        </is>
      </c>
      <c r="S358" t="inlineStr">
        <is>
          <t>ACTIVE</t>
        </is>
      </c>
      <c r="T358" t="inlineStr">
        <is>
          <t>(04/27/2026 Hourly IHS): Idriss is informed and managing with L0. || (04/27/2026 ocm ran 17h):-27/04/2026 fme hipolite actvé eta asap 
Besoin d'un fme sur site pour verifier le le status du MPR et la chaine antennaire de l ODU 3/1 ..;..;(04/27/2026 ticket):-INC-20260427-00008842…2026-04-28 02:57:02…	No Power Issue on site, U =56V and Site on GEN. TX FME Hypolite 694315331 of HUAWEI is informed…Others</t>
        </is>
      </c>
      <c r="U358" t="inlineStr">
        <is>
          <t>: Idriss is informed and managing with L0. : -27/04/2026 fme hipolite actvé eta asap Besoin d'un fme sur site pour verifier le le status du MPR et la chaine antennaire de l ODU 3/1 .;.; : -…2026-04-28 02 : 57 : 02… No Power Issue on site, U =56V and Site on GEN. TX FME Hypolite 694315331 of HUAWEI is informed…Others</t>
        </is>
      </c>
    </row>
    <row r="359">
      <c r="A359" s="96" t="n">
        <v>46139</v>
      </c>
      <c r="B359" t="inlineStr">
        <is>
          <t>Gra-Foulbere-Moussa-yaya</t>
        </is>
      </c>
      <c r="C359" t="inlineStr">
        <is>
          <t>NRD_101</t>
        </is>
      </c>
      <c r="D359" t="inlineStr"/>
      <c r="E359" t="inlineStr">
        <is>
          <t>IHS</t>
        </is>
      </c>
      <c r="F359" t="inlineStr">
        <is>
          <t>Grid-Gen</t>
        </is>
      </c>
      <c r="G359" t="inlineStr">
        <is>
          <t>NORD</t>
        </is>
      </c>
      <c r="H359" t="inlineStr">
        <is>
          <t>Garoua</t>
        </is>
      </c>
      <c r="I359" t="inlineStr"/>
      <c r="J359" t="inlineStr"/>
      <c r="K359" t="inlineStr"/>
      <c r="L359" t="inlineStr"/>
      <c r="M359" t="inlineStr"/>
      <c r="N359" t="inlineStr">
        <is>
          <t>Operationnel</t>
        </is>
      </c>
      <c r="O359" t="inlineStr"/>
      <c r="P359" t="inlineStr">
        <is>
          <t>IHS</t>
        </is>
      </c>
      <c r="Q359" t="inlineStr">
        <is>
          <t>POWER ISSUE</t>
        </is>
      </c>
      <c r="R359" t="inlineStr">
        <is>
          <t>Defaut GE &amp; Power Cabinet</t>
        </is>
      </c>
      <c r="S359" t="inlineStr">
        <is>
          <t>PASSIVE</t>
        </is>
      </c>
      <c r="T359" t="inlineStr">
        <is>
          <t xml:space="preserve">(04/27/2026 retour IHS): Power issue NUR to be check||  </t>
        </is>
      </c>
      <c r="U359" t="inlineStr">
        <is>
          <t>04/27/2026 retour IHS) : Power issue NUR to be check ||</t>
        </is>
      </c>
    </row>
    <row r="360">
      <c r="A360" s="96" t="n">
        <v>46139</v>
      </c>
      <c r="B360" t="inlineStr">
        <is>
          <t>Garoua-Djalingo-IHS</t>
        </is>
      </c>
      <c r="C360" t="inlineStr">
        <is>
          <t>NRD_095</t>
        </is>
      </c>
      <c r="D360" t="inlineStr"/>
      <c r="E360" t="inlineStr">
        <is>
          <t>IHS</t>
        </is>
      </c>
      <c r="F360" t="inlineStr">
        <is>
          <t>Grid-Gen</t>
        </is>
      </c>
      <c r="G360" t="inlineStr">
        <is>
          <t>NORD</t>
        </is>
      </c>
      <c r="H360" t="inlineStr">
        <is>
          <t>Garoua</t>
        </is>
      </c>
      <c r="I360" t="inlineStr"/>
      <c r="J360" t="inlineStr"/>
      <c r="K360" t="inlineStr"/>
      <c r="L360" t="inlineStr"/>
      <c r="M360" t="inlineStr"/>
      <c r="N360" t="inlineStr">
        <is>
          <t>Operationnel</t>
        </is>
      </c>
      <c r="O360" t="inlineStr"/>
      <c r="P360" t="inlineStr">
        <is>
          <t>IHS</t>
        </is>
      </c>
      <c r="Q360" t="inlineStr">
        <is>
          <t>POWER ISSUE</t>
        </is>
      </c>
      <c r="R360" t="inlineStr">
        <is>
          <t>Defaut GE &amp; Power Cabinet</t>
        </is>
      </c>
      <c r="S360" t="inlineStr">
        <is>
          <t>PASSIVE</t>
        </is>
      </c>
      <c r="T360" t="inlineStr">
        <is>
          <t xml:space="preserve">(04/27/2026 retour IHS): Power issue NUR to be check||  </t>
        </is>
      </c>
      <c r="U360" t="inlineStr">
        <is>
          <t>04/27/2026 retour IHS) : Power issue NUR to be check ||</t>
        </is>
      </c>
    </row>
    <row r="361">
      <c r="A361" s="96" t="n">
        <v>46139</v>
      </c>
      <c r="B361" t="inlineStr">
        <is>
          <t>Touloum-IHS</t>
        </is>
      </c>
      <c r="C361" t="inlineStr">
        <is>
          <t>EXN_125</t>
        </is>
      </c>
      <c r="D361" t="inlineStr"/>
      <c r="E361" t="inlineStr">
        <is>
          <t>IHS</t>
        </is>
      </c>
      <c r="F361" t="inlineStr">
        <is>
          <t>Grid-Gen</t>
        </is>
      </c>
      <c r="G361" t="inlineStr">
        <is>
          <t>EXTREME-NORD</t>
        </is>
      </c>
      <c r="H361" t="inlineStr">
        <is>
          <t>Touloum</t>
        </is>
      </c>
      <c r="I361" t="inlineStr"/>
      <c r="J361" t="inlineStr"/>
      <c r="K361" t="inlineStr"/>
      <c r="L361" t="inlineStr"/>
      <c r="M361" t="inlineStr"/>
      <c r="N361" t="inlineStr">
        <is>
          <t>Insecurity</t>
        </is>
      </c>
      <c r="O361" t="inlineStr"/>
      <c r="P361" t="inlineStr">
        <is>
          <t>BSS</t>
        </is>
      </c>
      <c r="Q361" t="inlineStr">
        <is>
          <t>RAN ISSUE</t>
        </is>
      </c>
      <c r="R361" t="inlineStr">
        <is>
          <t>BSS Hardware issue</t>
        </is>
      </c>
      <c r="S361" t="inlineStr">
        <is>
          <t>ACTIVE</t>
        </is>
      </c>
      <c r="T361" t="inlineStr">
        <is>
          <t>(04/27/2026 cell nokia):-27/04/2026 : Need BO RAN analysis..;..;(04/27/2026 cell nokia):-27/04/2026 : Need BO RAN analysis || Closed after reset but check and replace FRGU..;..;(04/27/2026 ocm ran 17h):-power status check ongoing..;..;(04/27/2026 ocm ran 11h):-power status check ongoing..;..;(04/27/2026 ticket):-INC-20260427-00014632</t>
        </is>
      </c>
      <c r="U361" t="inlineStr">
        <is>
          <t>04/27/2026 cell nokia) : -27/04/2026 : Need BO RAN analysis.;.;(04/27/2026 cell nokia) : -27/04/2026 : Need BO RAN analysis || Closed after reset but check and replace FRGU.;.; : -; : -; : -</t>
        </is>
      </c>
    </row>
    <row r="362">
      <c r="A362" s="96" t="n">
        <v>46139</v>
      </c>
      <c r="B362" t="inlineStr">
        <is>
          <t>Ngd-Baladji-II-IHS</t>
        </is>
      </c>
      <c r="C362" t="inlineStr">
        <is>
          <t>ADM_158</t>
        </is>
      </c>
      <c r="D362" t="inlineStr"/>
      <c r="E362" t="inlineStr">
        <is>
          <t>IHS</t>
        </is>
      </c>
      <c r="F362" t="inlineStr">
        <is>
          <t>Grid-Gen</t>
        </is>
      </c>
      <c r="G362" t="inlineStr">
        <is>
          <t>ADAMAOUA</t>
        </is>
      </c>
      <c r="H362" t="inlineStr">
        <is>
          <t>Ngaoundere</t>
        </is>
      </c>
      <c r="I362" t="inlineStr"/>
      <c r="J362" t="inlineStr"/>
      <c r="K362" t="inlineStr"/>
      <c r="L362" t="inlineStr"/>
      <c r="M362" t="inlineStr"/>
      <c r="N362" t="inlineStr">
        <is>
          <t>Operationnel</t>
        </is>
      </c>
      <c r="O362" t="inlineStr"/>
      <c r="P362" t="inlineStr">
        <is>
          <t>IHS</t>
        </is>
      </c>
      <c r="Q362" t="inlineStr">
        <is>
          <t>POWER ISSUE</t>
        </is>
      </c>
      <c r="R362" t="inlineStr">
        <is>
          <t>Defaut GE &amp; Power Cabinet</t>
        </is>
      </c>
      <c r="S362" t="inlineStr">
        <is>
          <t>PASSIVE</t>
        </is>
      </c>
      <c r="T362" t="inlineStr">
        <is>
          <t xml:space="preserve">(04/27/2026 retour IHS): Power issue NUR to be check||  </t>
        </is>
      </c>
      <c r="U362" t="inlineStr">
        <is>
          <t>04/27/2026 retour IHS) : Power issue NUR to be check ||</t>
        </is>
      </c>
    </row>
    <row r="363">
      <c r="A363" s="96" t="n">
        <v>46139</v>
      </c>
      <c r="B363" t="inlineStr">
        <is>
          <t>Yokadouma</t>
        </is>
      </c>
      <c r="C363" t="inlineStr">
        <is>
          <t>EST_013</t>
        </is>
      </c>
      <c r="D363" t="inlineStr"/>
      <c r="E363" t="inlineStr">
        <is>
          <t>CAMUSAT</t>
        </is>
      </c>
      <c r="F363" t="inlineStr">
        <is>
          <t>Medium Grid + Solar + GE</t>
        </is>
      </c>
      <c r="G363" t="inlineStr">
        <is>
          <t>EST</t>
        </is>
      </c>
      <c r="H363" t="inlineStr">
        <is>
          <t>Yokadouma</t>
        </is>
      </c>
      <c r="I363" t="inlineStr"/>
      <c r="J363" t="inlineStr"/>
      <c r="K363" t="inlineStr"/>
      <c r="L363" t="inlineStr"/>
      <c r="M363" t="inlineStr"/>
      <c r="N363" t="inlineStr">
        <is>
          <t>Operationnel</t>
        </is>
      </c>
      <c r="O363" t="inlineStr"/>
      <c r="P363" t="inlineStr">
        <is>
          <t>Fiber AOF</t>
        </is>
      </c>
      <c r="Q363" t="inlineStr">
        <is>
          <t>TX ISSUE</t>
        </is>
      </c>
      <c r="R363" t="inlineStr">
        <is>
          <t>fiber AOF</t>
        </is>
      </c>
      <c r="S363" t="inlineStr">
        <is>
          <t>ACTIVE</t>
        </is>
      </c>
      <c r="T363" t="inlineStr">
        <is>
          <t xml:space="preserve">(04/27/2026 cell nokia):-27/04/2026 : FME a recu la SFP ce jour || Intervention prevue pour demain 27/04/2026 
24/04/2026 : Tickets creer au FME pour la commande de la SFP et la F.O
23/04/2026 : Check and replace SFP on FSMF &lt;&gt;FXDB connection || FME activer 
22/04/2026 : Closed after reset but check and replace SFP on FSMF&lt;&gt;FXDB connection
22/04/2026 : FME a remplacer la ABIA hier mais l'alarme  persiste. Le point a ete transmis a lexpert MOHAN pour une analyse plus appronfondie 
21/04/2026 : Intervention ce jour apres YOLA || FME presentement a YOLA || FME sur site ||mIntervention en cours 
20/04/2026: Intervention apres YOLA   || ETA : 21042026 
17/04/2026 : Tickets creer au FME pour la commande de la ABIA || ABIA faulty 
16/04/2026 : Interventon ce jour || FME etait sur Tikondi il a finit tres tard il interviendra demain sur Yokadouma
15/04/2026 : Check breaker and  interconnection FXED (sfp, optical fiber) between system and radio module, swap its if needed || Action avec le level 0 en cours  || Action avec le Level 0 non abouttis || Le FME se rendrs sur site demain matin || ETA : 16/04/2026 ..;..;(04/27/2026 cell nokia):-27/04/2026 : FME a recu la SFP ce jour || Intervention prevue pour demain 27/04/2026 
24/04/2026 : Tickets creer au FME pour la commande de la SFP et la F.O
23/04/2026 : Check and replace SFP on FSMF &lt;&gt;FXDB connection || FME activer 
22/04/2026 : Closed after reset but check and replace SFP on FSMF&lt;&gt;FXDB connection
22/04/2026 : FME a remplacer la ABIA hier mais l'alarme  persiste. Le point a ete transmis a lexpert MOHAN pour une analyse plus appronfondie 
21/04/2026 : Intervention ce jour apres YOLA || FME presentement a YOLA || FME sur site ||mIntervention en cours 
20/04/2026: Intervention apres YOLA   || ETA : 21042026 
17/04/2026 : Tickets creer au FME pour la commande de la ABIA || ABIA faulty 
16/04/2026 : Interventon ce jour || FME etait sur Tikondi il a finit tres tard il interviendra demain sur Yokadouma
15/04/2026 : Check breaker and  interconnection FXED (sfp, optical fiber) between system and radio module, swap its if needed || Action avec le level 0 en cours  || Action avec le Level 0 non abouttis || Le FME se rendrs sur site demain matin || ETA : 16/04/2026 </t>
        </is>
      </c>
      <c r="U363" t="inlineStr">
        <is>
          <t>04/27/2026 cell nokia) : -27/04/2026 : FME a recu la SFP ce jour || Intervention prevue pour demain 27/04/2026 24/04/2026 : Tickets creer au FME pour la commande de la SFP et la F.O 23/04/2026 : Check and replace SFP on FSMF &lt;&gt;FXDB connection || FME activer 22/04/2026 : Closed after reset but check and replace SFP on FSMF&lt;&gt;FXDB connection 22/04/2026 : FME a remplacer la ABIA hier mais l'alarme persiste. Le point a ete transmis a lexpert MOHAN pour une analyse plus appronfondie 21/04/2026 : Intervention ce jour apres YOLA || FME presentement a YOLA || FME sur site || mIntervention en cours 20/04/2026 : Intervention apres YOLA || ETA : 21042026 17/04/2026 : Tickets creer au FME pour la commande de la ABIA || ABIA faulty 16/04/2026 : Interventon ce jour || FME etait sur Tikondi il a finit tres tard il interviendra demain sur Yokadouma 15/04/2026 : Check breaker and interconnection FXED (sfp, optical fiber) between system and radio module, swap its if needed || Action avec le level 0 en cours || Action avec le Level 0 non abouttis || Le FME se rendrs sur site demain matin || ETA : 16/04/2026 .;.;(04/27/2026 cell nokia) : -27/04/2026 : FME a recu la SFP ce jour || Intervention prevue pour demain 27/04/2026 24/04/2026 : Tickets creer au FME pour la commande de la SFP et la F.O 23/04/2026 : Check and replace SFP on FSMF &lt;&gt;FXDB connection || FME activer 22/04/2026 : Closed after reset but check and replace SFP on FSMF&lt;&gt;FXDB connection 22/04/2026 : FME a remplacer la ABIA hier mais l'alarme persiste. Le point a ete transmis a lexpert MOHAN pour une analyse plus appronfondie 21/04/2026 : Intervention ce jour apres YOLA || FME presentement a YOLA || FME sur site || mIntervention en cours 20/04/2026 : Intervention apres YOLA || ETA : 21042026 17/04/2026 : Tickets creer au FME pour la commande de la ABIA || ABIA faulty 16/04/2026 : Interventon ce jour || FME etait sur Tikondi il a finit tres tard il interviendra demain sur Yokadouma 15/04/2026 : Check breaker and interconnection FXED (sfp, optical fiber) between system and radio module, swap its if needed || Action avec le level 0 en cours || Action avec le Level 0 non abouttis || Le FME se rendrs sur site demain matin || ETA : 16/04/2026</t>
        </is>
      </c>
    </row>
    <row r="364">
      <c r="A364" s="96" t="n">
        <v>46139</v>
      </c>
      <c r="B364" t="inlineStr">
        <is>
          <t>Mbam</t>
        </is>
      </c>
      <c r="C364" t="inlineStr">
        <is>
          <t>CTR_303</t>
        </is>
      </c>
      <c r="D364" t="inlineStr"/>
      <c r="E364" t="inlineStr">
        <is>
          <t>IHS</t>
        </is>
      </c>
      <c r="F364" t="inlineStr">
        <is>
          <t>Hybrid-Gen</t>
        </is>
      </c>
      <c r="G364" t="inlineStr">
        <is>
          <t>CENTRE</t>
        </is>
      </c>
      <c r="H364" t="inlineStr">
        <is>
          <t>Mbam</t>
        </is>
      </c>
      <c r="I364" t="inlineStr"/>
      <c r="J364" t="inlineStr"/>
      <c r="K364" t="inlineStr"/>
      <c r="L364" t="inlineStr"/>
      <c r="M364" t="inlineStr"/>
      <c r="N364" t="inlineStr">
        <is>
          <t>Operationnel</t>
        </is>
      </c>
      <c r="O364" t="inlineStr"/>
      <c r="P364" t="inlineStr">
        <is>
          <t>SPARE-ISSUE</t>
        </is>
      </c>
      <c r="Q364" t="inlineStr">
        <is>
          <t>SPARE-ISSUE</t>
        </is>
      </c>
      <c r="R364" t="inlineStr">
        <is>
          <t>Warehouse HUAWEI</t>
        </is>
      </c>
      <c r="S364" t="inlineStr">
        <is>
          <t>SPARE-ISSUE</t>
        </is>
      </c>
      <c r="T364" t="inlineStr">
        <is>
          <t xml:space="preserve">(04/27/2026 ocm ran 17h):-27/04/2026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..;..;(04/27/2026 ocm ran 11h):-27/04/2026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t>
        </is>
      </c>
      <c r="U364" t="inlineStr">
        <is>
          <t>: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 :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t>
        </is>
      </c>
    </row>
    <row r="365">
      <c r="A365" s="96" t="n">
        <v>46139</v>
      </c>
      <c r="B365" t="inlineStr">
        <is>
          <t>Nwa</t>
        </is>
      </c>
      <c r="C365" t="inlineStr">
        <is>
          <t>NRO_012</t>
        </is>
      </c>
      <c r="D365" t="inlineStr"/>
      <c r="E365" t="inlineStr">
        <is>
          <t>IHS</t>
        </is>
      </c>
      <c r="F365" t="inlineStr">
        <is>
          <t>Solar-Gen</t>
        </is>
      </c>
      <c r="G365" t="inlineStr">
        <is>
          <t>NORD-OUEST</t>
        </is>
      </c>
      <c r="H365" t="inlineStr">
        <is>
          <t>Mwa</t>
        </is>
      </c>
      <c r="I365" t="inlineStr"/>
      <c r="J365" t="inlineStr"/>
      <c r="K365" t="inlineStr"/>
      <c r="L365" t="inlineStr"/>
      <c r="M365" t="inlineStr"/>
      <c r="N365" t="inlineStr">
        <is>
          <t>Insecurity</t>
        </is>
      </c>
      <c r="O365" t="inlineStr"/>
      <c r="P365" t="inlineStr">
        <is>
          <t>ACCESS-ISSUE</t>
        </is>
      </c>
      <c r="Q365" t="inlineStr">
        <is>
          <t>ACCESS-ISSUE</t>
        </is>
      </c>
      <c r="R365" t="inlineStr">
        <is>
          <t>ACCESS-ISSUE</t>
        </is>
      </c>
      <c r="S365" t="inlineStr">
        <is>
          <t>ACCESS-ISSUE</t>
        </is>
      </c>
      <c r="T365" t="inlineStr">
        <is>
          <t>(04/27/2026 ocm ran 17h):-27.04.26; Access banned by Separatist
24.04.26; Access banned by Separatist
23.04.26; Access banned by Separatist
22.04.26; Access banned by Separatist
21.04.26; Need FME on site to check BUC, and modem status; Access negociations ongoing, red zone
21.04.26; IHS: Team is on site to swap DG - Escalated to L4
20.04.26; IHS: Team is on site to swap DG - Escalated to L4
19.04.26; IHS; Team is on site to swap DG - Escalated to L4
18.04.26; IHS; Team is on site to swap DG - Escalated to L3
17.04.26; IHS; Team is on site to swap DG..;..;(04/27/2026 ocm ran 11h):-27.04.26; Access banned by Separatist
24.04.26; Access banned by Separatist
23.04.26; Access banned by Separatist
22.04.26; Access banned by Separatist
21.04.26; Need FME on site to check BUC, and modem status; Access negociations ongoing, red zone
21.04.26; IHS: Team is on site to swap DG - Escalated to L4
20.04.26; IHS: Team is on site to swap DG - Escalated to L4
19.04.26; IHS; Team is on site to swap DG - Escalated to L4
18.04.26; IHS; Team is on site to swap DG - Escalated to L3
17.04.26; IHS; Team is on site to swap DG</t>
        </is>
      </c>
      <c r="U365" t="inlineStr">
        <is>
          <t>: -27.04.26; Access banned by Separatist 24.04.26; Access banned by Separatist 23.04.26; Access banned by Separatist 22.04.26; Access banned by Separatist 21.04.26; Need FME on site to check BUC, and modem status; Access negociations ongoing, red zone 21.04.26; IHS : Team is on site to swap DG - Escalated to L4 20.04.26; IHS : Team is on site to swap DG - Escalated to L4 19.04.26; IHS; Team is on site to swap DG - Escalated to L4 18.04.26; IHS; Team is on site to swap DG - Escalated to L3 17.04.26; IHS; Team is on site to swap DG.;.; : -27.04.26; Access banned by Separatist 24.04.26; Access banned by Separatist 23.04.26; Access banned by Separatist 22.04.26; Access banned by Separatist 21.04.26; Need FME on site to check BUC, and modem status; Access negociations ongoing, red zone 21.04.26; IHS : Team is on site to swap DG - Escalated to L4 20.04.26; IHS : Team is on site to swap DG - Escalated to L4 19.04.26; IHS; Team is on site to swap DG - Escalated to L4 18.04.26; IHS; Team is on site to swap DG - Escalated to L3 17.04.26; IHS; Team is on site to swap DG</t>
        </is>
      </c>
    </row>
    <row r="366">
      <c r="A366" s="96" t="n">
        <v>46139</v>
      </c>
      <c r="B366" t="inlineStr">
        <is>
          <t>Mansouen</t>
        </is>
      </c>
      <c r="C366" t="inlineStr">
        <is>
          <t>OST_293</t>
        </is>
      </c>
      <c r="D366" t="inlineStr"/>
      <c r="E366" t="inlineStr">
        <is>
          <t>CAMUSAT</t>
        </is>
      </c>
      <c r="F366" t="inlineStr">
        <is>
          <t>Hybrid Solar - S3</t>
        </is>
      </c>
      <c r="G366" t="inlineStr">
        <is>
          <t>OUEST</t>
        </is>
      </c>
      <c r="H366" t="inlineStr">
        <is>
          <t>Mansouen</t>
        </is>
      </c>
      <c r="I366" t="inlineStr"/>
      <c r="J366" t="inlineStr"/>
      <c r="K366" t="inlineStr"/>
      <c r="L366" t="inlineStr"/>
      <c r="M366" t="inlineStr"/>
      <c r="N366" t="inlineStr">
        <is>
          <t>Operationnel</t>
        </is>
      </c>
      <c r="O366" t="inlineStr"/>
      <c r="P366" t="inlineStr">
        <is>
          <t>AKTIVCO</t>
        </is>
      </c>
      <c r="Q366" t="inlineStr">
        <is>
          <t>POWER ISSUE</t>
        </is>
      </c>
      <c r="R366" t="inlineStr">
        <is>
          <t>AKTIVCO Defaut GE &amp; Power Cabinet</t>
        </is>
      </c>
      <c r="S366" t="inlineStr">
        <is>
          <t>PASSIVE</t>
        </is>
      </c>
      <c r="T366" t="inlineStr">
        <is>
          <t>(04/27/2026 cell nokia):-23/04/2026 : Need BO RAN analysis || Site was down due to transmission || Feedback BO TX : Bien vouloir noter que presentement cote TX, le site est up.
Cependant quelques alarmes conduisent a la suspicion d’un probleme d’energie
Bien vouloir verifier le statut du power du site, si Power OK,
Bien vouloir envoyer un FME sur site afin de reseter le Modem..;..;(04/27/2026 cell nokia):-23/04/2026 : Need BO RAN analysis || Site was down due to transmission || Feedback BO TX : Bien vouloir noter que presentement cote TX, le site est up.
Cependant quelques alarmes conduisent a la suspicion d’un probleme d’energie
Bien vouloir verifier le statut du power du site, si Power OK,
Bien vouloir envoyer un FME sur site afin de reseter le Modem..;..;(04/27/2026 ticket):-INC-20260427-00000534…Others Transmission equipement fault</t>
        </is>
      </c>
      <c r="U366" t="inlineStr">
        <is>
          <t>04/27/2026 cell nokia) : -23/04/2026 : Need BO RAN analysis || Site was down due to transmission || Feedback BO TX : Bien vouloir noter que presentement cote TX, le site est up. Cependant quelques alarmes conduisent a la suspicion d’un probleme d’energie Bien vouloir verifier le statut du power du site, si Power OK, Bien vouloir envoyer un FME sur site afin de reseter le Modem.;.;(04/27/2026 cell nokia) : -23/04/2026 : Need BO RAN analysis || Site was down due to transmission || Feedback BO TX : Bien vouloir noter que presentement cote TX, le site est up. Cependant quelques alarmes conduisent a la suspicion d’un probleme d’energie Bien vouloir verifier le statut du power du site, si Power OK, Bien vouloir envoyer un FME sur site afin de reseter le Modem.;.; : -…</t>
        </is>
      </c>
    </row>
    <row r="367">
      <c r="A367" s="96" t="n">
        <v>46139</v>
      </c>
      <c r="B367" t="inlineStr">
        <is>
          <t>Bascheo-IHS</t>
        </is>
      </c>
      <c r="C367" t="inlineStr">
        <is>
          <t>NRD_015</t>
        </is>
      </c>
      <c r="D367" t="inlineStr"/>
      <c r="E367" t="inlineStr">
        <is>
          <t>IHS</t>
        </is>
      </c>
      <c r="F367" t="inlineStr">
        <is>
          <t>Hybrid-Gen</t>
        </is>
      </c>
      <c r="G367" t="inlineStr">
        <is>
          <t>NORD</t>
        </is>
      </c>
      <c r="H367" t="inlineStr">
        <is>
          <t>Bascheo</t>
        </is>
      </c>
      <c r="I367" t="inlineStr"/>
      <c r="J367" t="inlineStr"/>
      <c r="K367" t="inlineStr"/>
      <c r="L367" t="inlineStr"/>
      <c r="M367" t="inlineStr"/>
      <c r="N367" t="inlineStr">
        <is>
          <t>Operationnel</t>
        </is>
      </c>
      <c r="O367" t="inlineStr"/>
      <c r="P367" t="inlineStr">
        <is>
          <t>TRAVAUX OCM</t>
        </is>
      </c>
      <c r="Q367" t="inlineStr">
        <is>
          <t>TRAVAUX OCM</t>
        </is>
      </c>
      <c r="R367" t="inlineStr">
        <is>
          <t>Projet OCM (ZTE, NOKIA, autres projets)</t>
        </is>
      </c>
      <c r="S367" t="inlineStr">
        <is>
          <t>PLANNED WORKS</t>
        </is>
      </c>
      <c r="T367" t="inlineStr">
        <is>
          <t xml:space="preserve">(04/27/2026 ocm ran 17h):-27/04/2026 Retour projet en attente du GO de Fadimatou 
24/04/2026 Travaux de swap en cours ..;..;(04/27/2026 ocm ran 11h):-27/04/2026 Retour projet en attente du GO de Fadimatou 
24/04/2026 Travaux de swap en cours </t>
        </is>
      </c>
      <c r="U367" t="inlineStr">
        <is>
          <t>: -27/04/2026 Retour projet en attente du GO de Fadimatou 24/04/2026 Travaux de swap en cours .;.; : -27/04/2026 Retour projet en attente du GO de Fadimatou 24/04/2026 Travaux de swap en cours</t>
        </is>
      </c>
    </row>
    <row r="368">
      <c r="A368" s="96" t="n">
        <v>46139</v>
      </c>
      <c r="B368" t="inlineStr">
        <is>
          <t>Akongo-IHS</t>
        </is>
      </c>
      <c r="C368" t="inlineStr">
        <is>
          <t>CTR_436</t>
        </is>
      </c>
      <c r="D368" t="inlineStr"/>
      <c r="E368" t="inlineStr">
        <is>
          <t>IHS</t>
        </is>
      </c>
      <c r="F368" t="inlineStr">
        <is>
          <t>Gen Only</t>
        </is>
      </c>
      <c r="G368" t="inlineStr">
        <is>
          <t>CENTRE</t>
        </is>
      </c>
      <c r="H368" t="inlineStr">
        <is>
          <t>Akongo</t>
        </is>
      </c>
      <c r="I368" t="inlineStr"/>
      <c r="J368" t="inlineStr"/>
      <c r="K368" t="inlineStr"/>
      <c r="L368" t="inlineStr"/>
      <c r="M368" t="inlineStr"/>
      <c r="N368" t="inlineStr">
        <is>
          <t>EXCLU</t>
        </is>
      </c>
      <c r="O368" t="inlineStr"/>
      <c r="P368" t="inlineStr">
        <is>
          <t>Exclu</t>
        </is>
      </c>
      <c r="Q368" t="inlineStr">
        <is>
          <t>Exclu</t>
        </is>
      </c>
      <c r="R368" t="inlineStr">
        <is>
          <t>EXCLU</t>
        </is>
      </c>
      <c r="S368" t="inlineStr">
        <is>
          <t>Exclu</t>
        </is>
      </c>
      <c r="T368" t="inlineStr">
        <is>
          <t>(04/27/2026 ticket):-INC-20260427-00005636</t>
        </is>
      </c>
      <c r="U368" t="inlineStr"/>
    </row>
    <row r="369">
      <c r="A369" s="96" t="n">
        <v>46139</v>
      </c>
      <c r="B369" t="inlineStr">
        <is>
          <t>Ngd-ZI</t>
        </is>
      </c>
      <c r="C369" t="inlineStr">
        <is>
          <t>ADM_033</t>
        </is>
      </c>
      <c r="D369" t="inlineStr"/>
      <c r="E369" t="inlineStr">
        <is>
          <t>IHS</t>
        </is>
      </c>
      <c r="F369" t="inlineStr">
        <is>
          <t>Grid-Gen</t>
        </is>
      </c>
      <c r="G369" t="inlineStr">
        <is>
          <t>ADAMAOUA</t>
        </is>
      </c>
      <c r="H369" t="inlineStr">
        <is>
          <t>Ngaoundere</t>
        </is>
      </c>
      <c r="I369" t="inlineStr"/>
      <c r="J369" t="inlineStr"/>
      <c r="K369" t="inlineStr"/>
      <c r="L369" t="inlineStr"/>
      <c r="M369" t="inlineStr"/>
      <c r="N369" t="inlineStr">
        <is>
          <t>Operationnel</t>
        </is>
      </c>
      <c r="O369" t="inlineStr"/>
      <c r="P369" t="inlineStr">
        <is>
          <t>IHS</t>
        </is>
      </c>
      <c r="Q369" t="inlineStr">
        <is>
          <t>POWER ISSUE</t>
        </is>
      </c>
      <c r="R369" t="inlineStr">
        <is>
          <t>Defaut GE &amp; Power Cabinet</t>
        </is>
      </c>
      <c r="S369" t="inlineStr">
        <is>
          <t>PASSIVE</t>
        </is>
      </c>
      <c r="T369" t="inlineStr">
        <is>
          <t xml:space="preserve">(04/27/2026 retour IHS): Power issue NUR to be check||  </t>
        </is>
      </c>
      <c r="U369" t="inlineStr">
        <is>
          <t>04/27/2026 retour IHS) : Power issue NUR to be check ||</t>
        </is>
      </c>
    </row>
    <row r="370">
      <c r="A370" s="96" t="n">
        <v>46139</v>
      </c>
      <c r="B370" t="inlineStr">
        <is>
          <t>Bonga</t>
        </is>
      </c>
      <c r="C370" t="inlineStr">
        <is>
          <t>EST_073</t>
        </is>
      </c>
      <c r="D370" t="inlineStr"/>
      <c r="E370" t="inlineStr">
        <is>
          <t>IHS</t>
        </is>
      </c>
      <c r="F370" t="inlineStr">
        <is>
          <t>Hybrid-Gen</t>
        </is>
      </c>
      <c r="G370" t="inlineStr">
        <is>
          <t>EST</t>
        </is>
      </c>
      <c r="H370" t="inlineStr">
        <is>
          <t>Bonga</t>
        </is>
      </c>
      <c r="I370" t="inlineStr"/>
      <c r="J370" t="inlineStr"/>
      <c r="K370" t="inlineStr"/>
      <c r="L370" t="inlineStr"/>
      <c r="M370" t="inlineStr"/>
      <c r="N370" t="inlineStr">
        <is>
          <t>Operationnel</t>
        </is>
      </c>
      <c r="O370" t="inlineStr"/>
      <c r="P370" t="inlineStr">
        <is>
          <t>PDH</t>
        </is>
      </c>
      <c r="Q370" t="inlineStr">
        <is>
          <t>TX ISSUE</t>
        </is>
      </c>
      <c r="R370" t="inlineStr">
        <is>
          <t>MPR ISSUE</t>
        </is>
      </c>
      <c r="S370" t="inlineStr">
        <is>
          <t>ACTIVE</t>
        </is>
      </c>
      <c r="T370" t="inlineStr">
        <is>
          <t>(04/27/2026 retour IHS);Our stephane is managing with level zero ||(04/27/2026 ocm ran 17h):-27/04/2026 Besoin d'un fme sur site pour verifier le le status du MPR et la chaine antennaire de l ODU 4/1 FME HIPOLITE ACTIVE..;..;(04/27/2026 ticket):-INC-20260427-00008942…2026-04-27 18:31:56…No power Issue on site, U = 52.9V and Site is on GEN. TX FME Hypolithe 694315331 / Huawei is informed.…Others Transmission equipement fault</t>
        </is>
      </c>
      <c r="U370" t="inlineStr">
        <is>
          <t>04/27/2026 retour IHS);Our stephane is managing with level zero || : -27/04/2026 Besoin d'un fme sur site pour verifier le le status du MPR et la chaine antennaire de l ODU 4/1 FME HIPOLITE ACTIVE.;.; : -…2026-04-27 18 : 31 : 56…No power Issue on site, U = 52.9V and Site is on GEN. TX FME Hypolithe 694315331 / Huawei is informed.…</t>
        </is>
      </c>
    </row>
    <row r="371">
      <c r="A371" s="96" t="n">
        <v>46139</v>
      </c>
      <c r="B371" t="inlineStr">
        <is>
          <t>Ancienne-Mairie-Dla-V</t>
        </is>
      </c>
      <c r="C371" t="inlineStr">
        <is>
          <t>LIT_771</t>
        </is>
      </c>
      <c r="D371" t="inlineStr"/>
      <c r="E371" t="inlineStr">
        <is>
          <t>CAMUSAT</t>
        </is>
      </c>
      <c r="F371" t="inlineStr">
        <is>
          <t>Good Grid + GE</t>
        </is>
      </c>
      <c r="G371" t="inlineStr">
        <is>
          <t>LITTORAL</t>
        </is>
      </c>
      <c r="H371" t="inlineStr">
        <is>
          <t>Douala</t>
        </is>
      </c>
      <c r="I371" t="inlineStr"/>
      <c r="J371" t="inlineStr"/>
      <c r="K371" t="inlineStr"/>
      <c r="L371" t="inlineStr"/>
      <c r="M371" t="inlineStr"/>
      <c r="N371" t="inlineStr">
        <is>
          <t>Operationnel</t>
        </is>
      </c>
      <c r="O371" t="inlineStr"/>
      <c r="P371" t="inlineStr">
        <is>
          <t>AKTIVCO</t>
        </is>
      </c>
      <c r="Q371" t="inlineStr">
        <is>
          <t>POWER ISSUE</t>
        </is>
      </c>
      <c r="R371" t="inlineStr">
        <is>
          <t>AKTIVCO Defaut GE &amp; Power Cabinet</t>
        </is>
      </c>
      <c r="S371" t="inlineStr">
        <is>
          <t>PASSIVE</t>
        </is>
      </c>
      <c r="T371" t="inlineStr">
        <is>
          <t>(04/27/2026 ocm ran 11h):-power status check ongoing..;..;(04/27/2026 ticket):-INC-20260427-00006622…2026-04-27 12:17:28…fme will be on site ETA ASAP</t>
        </is>
      </c>
      <c r="U371" t="inlineStr">
        <is>
          <t>: -; : -…2026-04-27 12 : 17 : 28…fme will be on site ETA ASAP</t>
        </is>
      </c>
    </row>
    <row r="372">
      <c r="A372" s="96" t="n">
        <v>46139</v>
      </c>
      <c r="B372" t="inlineStr">
        <is>
          <t>Santa-Barbara-Yde-IHS</t>
        </is>
      </c>
      <c r="C372" t="inlineStr">
        <is>
          <t>CTR_163</t>
        </is>
      </c>
      <c r="D372" t="inlineStr"/>
      <c r="E372" t="inlineStr">
        <is>
          <t>IHS</t>
        </is>
      </c>
      <c r="F372" t="inlineStr">
        <is>
          <t>Grid-Gen</t>
        </is>
      </c>
      <c r="G372" t="inlineStr">
        <is>
          <t>CENTRE</t>
        </is>
      </c>
      <c r="H372" t="inlineStr">
        <is>
          <t>Yaounde</t>
        </is>
      </c>
      <c r="I372" t="inlineStr"/>
      <c r="J372" t="inlineStr"/>
      <c r="K372" t="inlineStr"/>
      <c r="L372" t="inlineStr"/>
      <c r="M372" t="inlineStr"/>
      <c r="N372" t="inlineStr">
        <is>
          <t>Operationnel</t>
        </is>
      </c>
      <c r="O372" t="inlineStr"/>
      <c r="P372" t="inlineStr">
        <is>
          <t>BSS</t>
        </is>
      </c>
      <c r="Q372" t="inlineStr">
        <is>
          <t>RAN ISSUE</t>
        </is>
      </c>
      <c r="R372" t="inlineStr">
        <is>
          <t>BSS Hardware issue</t>
        </is>
      </c>
      <c r="S372" t="inlineStr">
        <is>
          <t>ACTIVE</t>
        </is>
      </c>
      <c r="T372" t="inlineStr">
        <is>
          <t>(04/27/2026 ticket):-INC-20260427-00012651…Others Transmission equipement fault, 04/27/2026: hardware issue,  site with GPS issue (alarm : TDD down 09Apr 02pm)</t>
        </is>
      </c>
      <c r="U372" t="inlineStr">
        <is>
          <t>: -…, 04/27/2026 : hardware issue, site with GPS issue (alarm : TDD down 09Apr 02pm)</t>
        </is>
      </c>
    </row>
    <row r="373">
      <c r="A373" s="96" t="n">
        <v>46139</v>
      </c>
      <c r="B373" t="inlineStr">
        <is>
          <t>Nkambe</t>
        </is>
      </c>
      <c r="C373" t="inlineStr">
        <is>
          <t>NRO_005</t>
        </is>
      </c>
      <c r="D373" t="inlineStr"/>
      <c r="E373" t="inlineStr">
        <is>
          <t>CAMUSAT</t>
        </is>
      </c>
      <c r="F373" t="inlineStr">
        <is>
          <t>HGB</t>
        </is>
      </c>
      <c r="G373" t="inlineStr">
        <is>
          <t>NORD-OUEST</t>
        </is>
      </c>
      <c r="H373" t="inlineStr">
        <is>
          <t>Nkambe</t>
        </is>
      </c>
      <c r="I373" t="inlineStr"/>
      <c r="J373" t="inlineStr"/>
      <c r="K373" t="inlineStr"/>
      <c r="L373" t="inlineStr"/>
      <c r="M373" t="inlineStr"/>
      <c r="N373" t="inlineStr">
        <is>
          <t>Insecurity</t>
        </is>
      </c>
      <c r="O373" t="inlineStr"/>
      <c r="P373" t="inlineStr">
        <is>
          <t>AKTIVCO</t>
        </is>
      </c>
      <c r="Q373" t="inlineStr">
        <is>
          <t>POWER ISSUE</t>
        </is>
      </c>
      <c r="R373" t="inlineStr">
        <is>
          <t>AKTIVCO Defaut GE &amp; Power Cabinet</t>
        </is>
      </c>
      <c r="S373" t="inlineStr">
        <is>
          <t>PASSIVE</t>
        </is>
      </c>
      <c r="T373" t="inlineStr">
        <is>
          <t>(04/27/2026 ticket):-INC-20260427-00002893…2026-04-27 06:16:37…No power issue U=51V load=31A/no action done…generator issue on site …Others Transmission equipement fault</t>
        </is>
      </c>
      <c r="U373" t="inlineStr">
        <is>
          <t>: -…2026-04-27 06 : 16 : 37…No power issue U=51V load=31A/no action done…generator issue on site …</t>
        </is>
      </c>
    </row>
    <row r="374">
      <c r="A374" s="96" t="n">
        <v>46139</v>
      </c>
      <c r="B374" t="inlineStr">
        <is>
          <t>Admin</t>
        </is>
      </c>
      <c r="C374" t="inlineStr">
        <is>
          <t>EST_108</t>
        </is>
      </c>
      <c r="D374" t="inlineStr"/>
      <c r="E374" t="inlineStr">
        <is>
          <t>IHS</t>
        </is>
      </c>
      <c r="F374" t="inlineStr">
        <is>
          <t>Grid-Gen</t>
        </is>
      </c>
      <c r="G374" t="inlineStr">
        <is>
          <t>EST</t>
        </is>
      </c>
      <c r="H374" t="inlineStr">
        <is>
          <t>Bertoua</t>
        </is>
      </c>
      <c r="I374" t="inlineStr"/>
      <c r="J374" t="inlineStr"/>
      <c r="K374" t="inlineStr"/>
      <c r="L374" t="inlineStr"/>
      <c r="M374" t="inlineStr"/>
      <c r="N374" t="inlineStr">
        <is>
          <t>Operationnel</t>
        </is>
      </c>
      <c r="O374" t="inlineStr"/>
      <c r="P374" t="inlineStr">
        <is>
          <t>IHS</t>
        </is>
      </c>
      <c r="Q374" t="inlineStr">
        <is>
          <t>POWER ISSUE</t>
        </is>
      </c>
      <c r="R374" t="inlineStr">
        <is>
          <t>Defaut GE &amp; Power Cabinet</t>
        </is>
      </c>
      <c r="S374" t="inlineStr">
        <is>
          <t>PASSIVE</t>
        </is>
      </c>
      <c r="T374" t="inlineStr">
        <is>
          <t xml:space="preserve">(04/27/2026 retour IHS): Power issue NUR to be check||  </t>
        </is>
      </c>
      <c r="U374" t="inlineStr">
        <is>
          <t>04/27/2026 retour IHS) : Power issue NUR to be check ||</t>
        </is>
      </c>
    </row>
    <row r="375">
      <c r="A375" s="96" t="n">
        <v>46139</v>
      </c>
      <c r="B375" t="inlineStr">
        <is>
          <t>Bastos-Bethesda</t>
        </is>
      </c>
      <c r="C375" t="inlineStr">
        <is>
          <t>CTR_474</t>
        </is>
      </c>
      <c r="D375" t="inlineStr"/>
      <c r="E375" t="inlineStr">
        <is>
          <t>IHS</t>
        </is>
      </c>
      <c r="F375" t="inlineStr">
        <is>
          <t>Grid-Gen</t>
        </is>
      </c>
      <c r="G375" t="inlineStr">
        <is>
          <t>CENTRE</t>
        </is>
      </c>
      <c r="H375" t="inlineStr">
        <is>
          <t>Yaounde</t>
        </is>
      </c>
      <c r="I375" t="inlineStr"/>
      <c r="J375" t="inlineStr"/>
      <c r="K375" t="inlineStr"/>
      <c r="L375" t="inlineStr"/>
      <c r="M375" t="inlineStr"/>
      <c r="N375" t="inlineStr">
        <is>
          <t>Operationnel</t>
        </is>
      </c>
      <c r="O375" t="inlineStr"/>
      <c r="P375" t="inlineStr">
        <is>
          <t>IHS</t>
        </is>
      </c>
      <c r="Q375" t="inlineStr">
        <is>
          <t>POWER ISSUE</t>
        </is>
      </c>
      <c r="R375" t="inlineStr">
        <is>
          <t>Defaut GE &amp; Power Cabinet</t>
        </is>
      </c>
      <c r="S375" t="inlineStr">
        <is>
          <t>PASSIVE</t>
        </is>
      </c>
      <c r="T375" t="inlineStr">
        <is>
          <t>(04/27/2026 ticket):-INC-20260427-00002736…Grid outage gen failed to start due to primiomg pump faulty//We change priming pump and site on gen…Grid outage gen failed to start due to primiomg pump faulty//We change priming pump and site on gen…GE Fault</t>
        </is>
      </c>
      <c r="U375" t="inlineStr">
        <is>
          <t>: -…Grid outage gen failed to start due to primiomg pump faulty//We change priming pump and site on gen…Grid outage gen failed to start due to primiomg pump faulty//We change priming pump and site on gen…GE Fault</t>
        </is>
      </c>
    </row>
    <row r="376">
      <c r="A376" s="96" t="n">
        <v>46139</v>
      </c>
      <c r="B376" t="inlineStr">
        <is>
          <t>Hopital-de-La-Cass</t>
        </is>
      </c>
      <c r="C376" t="inlineStr">
        <is>
          <t>CTR_652</t>
        </is>
      </c>
      <c r="D376" t="inlineStr"/>
      <c r="E376" t="inlineStr">
        <is>
          <t>CAMUSAT</t>
        </is>
      </c>
      <c r="F376" t="inlineStr">
        <is>
          <t>Good Grid no GE - 8h</t>
        </is>
      </c>
      <c r="G376" t="inlineStr">
        <is>
          <t>CENTRE</t>
        </is>
      </c>
      <c r="H376" t="inlineStr">
        <is>
          <t>Yaounde</t>
        </is>
      </c>
      <c r="I376" t="inlineStr"/>
      <c r="J376" t="inlineStr"/>
      <c r="K376" t="inlineStr"/>
      <c r="L376" t="inlineStr"/>
      <c r="M376" t="inlineStr"/>
      <c r="N376" t="inlineStr">
        <is>
          <t>Operationnel</t>
        </is>
      </c>
      <c r="O376" t="inlineStr"/>
      <c r="P376" t="inlineStr">
        <is>
          <t>BSS</t>
        </is>
      </c>
      <c r="Q376" t="inlineStr">
        <is>
          <t>RAN ISSUE</t>
        </is>
      </c>
      <c r="R376" t="inlineStr">
        <is>
          <t>BSS Hardware issue</t>
        </is>
      </c>
      <c r="S376" t="inlineStr">
        <is>
          <t>ACTIVE</t>
        </is>
      </c>
      <c r="T376" t="inlineStr">
        <is>
          <t>(04/27/2026 ticket):-INC-20260427-00008851, 04/27/2026: hardware issue,  site with GPS issue (alarm : TDD down 09Apr 02pm)</t>
        </is>
      </c>
      <c r="U376" t="inlineStr">
        <is>
          <t>: -, 04/27/2026 : hardware issue, site with GPS issue (alarm : TDD down 09Apr 02pm)</t>
        </is>
      </c>
    </row>
    <row r="377">
      <c r="A377" s="96" t="n">
        <v>46139</v>
      </c>
      <c r="B377" t="inlineStr">
        <is>
          <t>Kika-IHS</t>
        </is>
      </c>
      <c r="C377" t="inlineStr">
        <is>
          <t>EST_115</t>
        </is>
      </c>
      <c r="D377" t="inlineStr"/>
      <c r="E377" t="inlineStr">
        <is>
          <t>IHS</t>
        </is>
      </c>
      <c r="F377" t="inlineStr">
        <is>
          <t>Hybrid-Gen</t>
        </is>
      </c>
      <c r="G377" t="inlineStr">
        <is>
          <t>EST</t>
        </is>
      </c>
      <c r="H377" t="inlineStr">
        <is>
          <t>Kika</t>
        </is>
      </c>
      <c r="I377" t="inlineStr"/>
      <c r="J377" t="inlineStr"/>
      <c r="K377" t="inlineStr"/>
      <c r="L377" t="inlineStr"/>
      <c r="M377" t="inlineStr"/>
      <c r="N377" t="inlineStr">
        <is>
          <t>Operationnel</t>
        </is>
      </c>
      <c r="O377" t="inlineStr"/>
      <c r="P377" t="inlineStr">
        <is>
          <t>BSS</t>
        </is>
      </c>
      <c r="Q377" t="inlineStr">
        <is>
          <t>RAN ISSUE</t>
        </is>
      </c>
      <c r="R377" t="inlineStr">
        <is>
          <t>BSS Hardware issue</t>
        </is>
      </c>
      <c r="S377" t="inlineStr">
        <is>
          <t>ACTIVE</t>
        </is>
      </c>
      <c r="T377" t="inlineStr">
        <is>
          <t xml:space="preserve">(04/27/2026 ocm ran 11h):-27/04/2026 FM manage avec le level 0 sur moloundou ETA=12H UTC 
26/04/2026 Need FME on the site to check iDirect &amp; IBUC status, FME Hugues Hachua activated ETA ASAP </t>
        </is>
      </c>
      <c r="U377" t="inlineStr">
        <is>
          <t>: -27/04/2026 FM manage avec le level 0 sur moloundou ETA=12H UTC 26/04/2026 Need FME on the site to check iDirect &amp; IBUC status, FME Hugues Hachua activated ETA ASAP</t>
        </is>
      </c>
    </row>
    <row r="378">
      <c r="A378" s="96" t="n">
        <v>46139</v>
      </c>
      <c r="B378" t="inlineStr">
        <is>
          <t>Balikumbat-Ville</t>
        </is>
      </c>
      <c r="C378" t="inlineStr">
        <is>
          <t>NRO_033</t>
        </is>
      </c>
      <c r="D378" t="inlineStr"/>
      <c r="E378" t="inlineStr">
        <is>
          <t>IHS</t>
        </is>
      </c>
      <c r="F378" t="inlineStr">
        <is>
          <t>Grid-Gen</t>
        </is>
      </c>
      <c r="G378" t="inlineStr">
        <is>
          <t>NORD-OUEST</t>
        </is>
      </c>
      <c r="H378" t="inlineStr">
        <is>
          <t>Balikumbat</t>
        </is>
      </c>
      <c r="I378" t="inlineStr"/>
      <c r="J378" t="inlineStr"/>
      <c r="K378" t="inlineStr"/>
      <c r="L378" t="inlineStr"/>
      <c r="M378" t="inlineStr"/>
      <c r="N378" t="inlineStr">
        <is>
          <t>Insecurity</t>
        </is>
      </c>
      <c r="O378" t="inlineStr"/>
      <c r="P378" t="inlineStr">
        <is>
          <t>ACCESS-ISSUE</t>
        </is>
      </c>
      <c r="Q378" t="inlineStr">
        <is>
          <t>ACCESS-ISSUE</t>
        </is>
      </c>
      <c r="R378" t="inlineStr">
        <is>
          <t>ACCESS-ISSUE</t>
        </is>
      </c>
      <c r="S378" t="inlineStr">
        <is>
          <t>ACCESS-ISSUE</t>
        </is>
      </c>
      <c r="T378" t="inlineStr">
        <is>
          <t xml:space="preserve">(04/27/2026 cell nokia):-
27/04/2026 : Ghost town 
24/04/2026 : Acess issue 
22/04/2026 : Need BO RAN analysis || Check and replace ABIA || Acess issue ..;..;(04/27/2026 cell nokia):-
24/04/2026 : Acess issue 
22/04/2026 : Need BO RAN analysis || Check and replace ABIA || Acess issue </t>
        </is>
      </c>
      <c r="U378" t="inlineStr">
        <is>
          <t>04/27/2026 cell nokia) : - 27/04/2026 : Ghost town 24/04/2026 : Acess issue 22/04/2026 : Need BO RAN analysis || Check and replace ABIA || Acess issue .;.;(04/27/2026 cell nokia) : - 24/04/2026 : Acess issue 22/04/2026 : Need BO RAN analysis || Check and replace ABIA || Acess issue</t>
        </is>
      </c>
    </row>
    <row r="379">
      <c r="A379" s="96" t="n">
        <v>46139</v>
      </c>
      <c r="B379" t="inlineStr">
        <is>
          <t>Zhoa</t>
        </is>
      </c>
      <c r="C379" t="inlineStr">
        <is>
          <t>NRO_030</t>
        </is>
      </c>
      <c r="D379" t="inlineStr"/>
      <c r="E379" t="inlineStr">
        <is>
          <t>IHS</t>
        </is>
      </c>
      <c r="F379" t="inlineStr">
        <is>
          <t>Hybrid-Gen</t>
        </is>
      </c>
      <c r="G379" t="inlineStr">
        <is>
          <t>NORD-OUEST</t>
        </is>
      </c>
      <c r="H379" t="inlineStr">
        <is>
          <t>Fungom</t>
        </is>
      </c>
      <c r="I379" t="inlineStr"/>
      <c r="J379" t="inlineStr"/>
      <c r="K379" t="inlineStr"/>
      <c r="L379" t="inlineStr"/>
      <c r="M379" t="inlineStr"/>
      <c r="N379" t="inlineStr">
        <is>
          <t>Insecurity</t>
        </is>
      </c>
      <c r="O379" t="inlineStr"/>
      <c r="P379" t="inlineStr">
        <is>
          <t>ACCESS-ISSUE</t>
        </is>
      </c>
      <c r="Q379" t="inlineStr">
        <is>
          <t>ACCESS-ISSUE</t>
        </is>
      </c>
      <c r="R379" t="inlineStr">
        <is>
          <t>ACCESS-ISSUE</t>
        </is>
      </c>
      <c r="S379" t="inlineStr">
        <is>
          <t>ACCESS-ISSUE</t>
        </is>
      </c>
      <c r="T379" t="inlineStr">
        <is>
          <t>(04/27/2026 cell nokia):-
27/04/2026 : Ghost town 
23/04/2026 : Check and replace ABIA || Acess issue || UP After remote reset..;..;(04/27/2026 cell nokia):-23/04/2026 : Check and replace ABIA || Acess issue || UP After remote reset</t>
        </is>
      </c>
      <c r="U379" t="inlineStr">
        <is>
          <t>04/27/2026 cell nokia) : - 27/04/2026 : Ghost town 23/04/2026 : Check and replace ABIA || Acess issue || UP After remote reset.;.;(04/27/2026 cell nokia) : -23/04/2026 : Check and replace ABIA || Acess issue || UP After remote reset</t>
        </is>
      </c>
    </row>
    <row r="380">
      <c r="A380" s="96" t="n">
        <v>46139</v>
      </c>
      <c r="B380" t="inlineStr">
        <is>
          <t>Makor</t>
        </is>
      </c>
      <c r="C380" t="inlineStr">
        <is>
          <t>ADM_015</t>
        </is>
      </c>
      <c r="D380" t="inlineStr"/>
      <c r="E380" t="inlineStr">
        <is>
          <t>CAMUSAT</t>
        </is>
      </c>
      <c r="F380" t="inlineStr">
        <is>
          <t>Hybrid Solar - S3</t>
        </is>
      </c>
      <c r="G380" t="inlineStr">
        <is>
          <t>ADAMAOUA</t>
        </is>
      </c>
      <c r="H380" t="inlineStr">
        <is>
          <t>Makor</t>
        </is>
      </c>
      <c r="I380" t="inlineStr"/>
      <c r="J380" t="inlineStr"/>
      <c r="K380" t="inlineStr"/>
      <c r="L380" t="inlineStr"/>
      <c r="M380" t="inlineStr"/>
      <c r="N380" t="inlineStr">
        <is>
          <t>Operationnel</t>
        </is>
      </c>
      <c r="O380" t="inlineStr"/>
      <c r="P380" t="inlineStr">
        <is>
          <t>BSS</t>
        </is>
      </c>
      <c r="Q380" t="inlineStr">
        <is>
          <t>RAN ISSUE</t>
        </is>
      </c>
      <c r="R380" t="inlineStr">
        <is>
          <t>BSS Hardware issue</t>
        </is>
      </c>
      <c r="S380" t="inlineStr">
        <is>
          <t>ACTIVE</t>
        </is>
      </c>
      <c r="T380" t="inlineStr">
        <is>
          <t>(04/27/2026 cell nokia):-27/04/2026 : Need BO RAN analysis..;..;(04/27/2026 cell nokia):-27/04/2026 : Need BO RAN analysis || Closed after reset but power check needed</t>
        </is>
      </c>
      <c r="U380" t="inlineStr">
        <is>
          <t>04/27/2026 cell nokia) : -27/04/2026 : Need BO RAN analysis.;.;(04/27/2026 cell nokia) : -27/04/2026 : Need BO RAN analysis || Closed after reset but power check needed</t>
        </is>
      </c>
    </row>
    <row r="381">
      <c r="A381" s="96" t="n">
        <v>46139</v>
      </c>
      <c r="B381" t="inlineStr">
        <is>
          <t>Matsari</t>
        </is>
      </c>
      <c r="C381" t="inlineStr">
        <is>
          <t>CTR_301</t>
        </is>
      </c>
      <c r="D381" t="inlineStr"/>
      <c r="E381" t="inlineStr">
        <is>
          <t>IHS</t>
        </is>
      </c>
      <c r="F381" t="inlineStr">
        <is>
          <t>Hybrid-Gen</t>
        </is>
      </c>
      <c r="G381" t="inlineStr">
        <is>
          <t>CENTRE</t>
        </is>
      </c>
      <c r="H381" t="inlineStr">
        <is>
          <t>Matsari</t>
        </is>
      </c>
      <c r="I381" t="inlineStr"/>
      <c r="J381" t="inlineStr"/>
      <c r="K381" t="inlineStr"/>
      <c r="L381" t="inlineStr"/>
      <c r="M381" t="inlineStr"/>
      <c r="N381" t="inlineStr">
        <is>
          <t>Operationnel</t>
        </is>
      </c>
      <c r="O381" t="inlineStr"/>
      <c r="P381" t="inlineStr">
        <is>
          <t>BSS</t>
        </is>
      </c>
      <c r="Q381" t="inlineStr">
        <is>
          <t>RAN ISSUE</t>
        </is>
      </c>
      <c r="R381" t="inlineStr">
        <is>
          <t>BSS Hardware issue</t>
        </is>
      </c>
      <c r="S381" t="inlineStr">
        <is>
          <t>ACTIVE</t>
        </is>
      </c>
      <c r="T381" t="inlineStr">
        <is>
          <t>(04/27/2026 cell nokia):-27/04/2026 : Need BO RAN analysis..;..;(04/27/2026 cell nokia):-27/04/2026 : Need BO RAN analysis || Closed after reset but FME should check and replace FBBC</t>
        </is>
      </c>
      <c r="U381" t="inlineStr">
        <is>
          <t>04/27/2026 cell nokia) : -27/04/2026 : Need BO RAN analysis.;.;(04/27/2026 cell nokia) : -27/04/2026 : Need BO RAN analysis || Closed after reset but FME should check and replace FBBC</t>
        </is>
      </c>
    </row>
    <row r="382">
      <c r="A382" s="96" t="n">
        <v>46139</v>
      </c>
      <c r="B382" t="inlineStr">
        <is>
          <t>Ouro-Kessoun</t>
        </is>
      </c>
      <c r="C382" t="inlineStr">
        <is>
          <t>NRD_040</t>
        </is>
      </c>
      <c r="D382" t="inlineStr"/>
      <c r="E382" t="inlineStr">
        <is>
          <t>IHS</t>
        </is>
      </c>
      <c r="F382" t="inlineStr">
        <is>
          <t>Grid-Gen</t>
        </is>
      </c>
      <c r="G382" t="inlineStr">
        <is>
          <t>NORD</t>
        </is>
      </c>
      <c r="H382" t="inlineStr">
        <is>
          <t>Garoua</t>
        </is>
      </c>
      <c r="I382" t="inlineStr"/>
      <c r="J382" t="inlineStr"/>
      <c r="K382" t="inlineStr"/>
      <c r="L382" t="inlineStr"/>
      <c r="M382" t="inlineStr"/>
      <c r="N382" t="inlineStr">
        <is>
          <t>Operationnel</t>
        </is>
      </c>
      <c r="O382" t="inlineStr"/>
      <c r="P382" t="inlineStr">
        <is>
          <t>IHS</t>
        </is>
      </c>
      <c r="Q382" t="inlineStr">
        <is>
          <t>POWER ISSUE</t>
        </is>
      </c>
      <c r="R382" t="inlineStr">
        <is>
          <t>Defaut GE &amp; Power Cabinet</t>
        </is>
      </c>
      <c r="S382" t="inlineStr">
        <is>
          <t>PASSIVE</t>
        </is>
      </c>
      <c r="T382" t="inlineStr">
        <is>
          <t xml:space="preserve">(04/27/2026 retour IHS): Power issue NUR to be check||  </t>
        </is>
      </c>
      <c r="U382" t="inlineStr">
        <is>
          <t>04/27/2026 retour IHS) : Power issue NUR to be check ||</t>
        </is>
      </c>
    </row>
    <row r="383">
      <c r="A383" s="96" t="n">
        <v>46139</v>
      </c>
      <c r="B383" t="inlineStr">
        <is>
          <t>Ndoumbi</t>
        </is>
      </c>
      <c r="C383" t="inlineStr">
        <is>
          <t>EST_185</t>
        </is>
      </c>
      <c r="D383" t="inlineStr"/>
      <c r="E383" t="inlineStr">
        <is>
          <t>ESCO</t>
        </is>
      </c>
      <c r="F383" t="inlineStr">
        <is>
          <t>Hybrid Solar - S3</t>
        </is>
      </c>
      <c r="G383" t="inlineStr">
        <is>
          <t>EST</t>
        </is>
      </c>
      <c r="H383" t="inlineStr">
        <is>
          <t>Ndoumbi</t>
        </is>
      </c>
      <c r="I383" t="inlineStr"/>
      <c r="J383" t="inlineStr"/>
      <c r="K383" t="inlineStr"/>
      <c r="L383" t="inlineStr"/>
      <c r="M383" t="inlineStr"/>
      <c r="N383" t="inlineStr">
        <is>
          <t>Operationnel</t>
        </is>
      </c>
      <c r="O383" t="inlineStr"/>
      <c r="P383" t="inlineStr">
        <is>
          <t>BSS</t>
        </is>
      </c>
      <c r="Q383" t="inlineStr">
        <is>
          <t>RAN ISSUE</t>
        </is>
      </c>
      <c r="R383" t="inlineStr">
        <is>
          <t>BSS Hardware issue</t>
        </is>
      </c>
      <c r="S383" t="inlineStr">
        <is>
          <t>ACTIVE</t>
        </is>
      </c>
      <c r="T383" t="inlineStr">
        <is>
          <t>(04/27/2026 cell nokia):-20/04/2026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,5,6..;..;(04/27/2026 cell nokia):-20/04/2026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t>
        </is>
      </c>
      <c r="U383" t="inlineStr">
        <is>
          <t>04/27/2026 cell nokia) :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,5,6.;.;(04/27/2026 cell nokia) :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t>
        </is>
      </c>
    </row>
    <row r="384">
      <c r="A384" s="96" t="n">
        <v>46139</v>
      </c>
      <c r="B384" t="inlineStr">
        <is>
          <t>NTENYING1</t>
        </is>
      </c>
      <c r="C384" t="inlineStr">
        <is>
          <t>SUD_161</t>
        </is>
      </c>
      <c r="D384" t="inlineStr"/>
      <c r="E384" t="inlineStr">
        <is>
          <t>ESCO</t>
        </is>
      </c>
      <c r="F384" t="inlineStr">
        <is>
          <t>Hybrid Solar - S3</t>
        </is>
      </c>
      <c r="G384" t="inlineStr">
        <is>
          <t>SUD</t>
        </is>
      </c>
      <c r="H384" t="inlineStr">
        <is>
          <t>Ntenying</t>
        </is>
      </c>
      <c r="I384" t="inlineStr"/>
      <c r="J384" t="inlineStr"/>
      <c r="K384" t="inlineStr"/>
      <c r="L384" t="inlineStr"/>
      <c r="M384" t="inlineStr"/>
      <c r="N384" t="inlineStr">
        <is>
          <t>Operationnel</t>
        </is>
      </c>
      <c r="O384" t="inlineStr"/>
      <c r="P384" t="inlineStr">
        <is>
          <t>SPARE-ISSUE</t>
        </is>
      </c>
      <c r="Q384" t="inlineStr">
        <is>
          <t>SPARE-ISSUE</t>
        </is>
      </c>
      <c r="R384" t="inlineStr">
        <is>
          <t>SPARE-ISSUE</t>
        </is>
      </c>
      <c r="S384" t="inlineStr">
        <is>
          <t>SPARE-ISSUE</t>
        </is>
      </c>
      <c r="T384" t="inlineStr">
        <is>
          <t>(04/27/2026 ocm ran 17h):-27/04/2026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managing..;..;(04/27/2026 ocm ran 11h):-27/04/2026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t>
        </is>
      </c>
      <c r="U384" t="inlineStr">
        <is>
          <t>: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 :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t>
        </is>
      </c>
    </row>
    <row r="385">
      <c r="A385" s="96" t="n">
        <v>46139</v>
      </c>
      <c r="B385" t="inlineStr">
        <is>
          <t>MELEN-MINTOM</t>
        </is>
      </c>
      <c r="C385" t="inlineStr">
        <is>
          <t>SUD_163</t>
        </is>
      </c>
      <c r="D385" t="inlineStr"/>
      <c r="E385" t="inlineStr">
        <is>
          <t>CAMUSAT</t>
        </is>
      </c>
      <c r="F385" t="inlineStr"/>
      <c r="G385" t="inlineStr">
        <is>
          <t>SUD</t>
        </is>
      </c>
      <c r="H385" t="inlineStr">
        <is>
          <t>Melen-Mintom</t>
        </is>
      </c>
      <c r="I385" t="inlineStr"/>
      <c r="J385" t="inlineStr"/>
      <c r="K385" t="inlineStr"/>
      <c r="L385" t="inlineStr"/>
      <c r="M385" t="inlineStr"/>
      <c r="N385" t="inlineStr">
        <is>
          <t>EXCLU</t>
        </is>
      </c>
      <c r="O385" t="inlineStr"/>
      <c r="P385" t="inlineStr">
        <is>
          <t>Exclu</t>
        </is>
      </c>
      <c r="Q385" t="inlineStr">
        <is>
          <t>Exclu</t>
        </is>
      </c>
      <c r="R385" t="inlineStr">
        <is>
          <t>EXCLU</t>
        </is>
      </c>
      <c r="S385" t="inlineStr">
        <is>
          <t>Exclu</t>
        </is>
      </c>
      <c r="T385" t="inlineStr">
        <is>
          <t xml:space="preserve">(04/27/2026 cell nokia):-27/04/2026 : Need BO RAN analysis..;..;(04/27/2026 cell nokia):-27/04/2026 : Need BO RAN analysis || Check and clean jumper, port 2 &amp; 3 of AHPMDA || FME dominique activer || ETA : 28/04/2026 </t>
        </is>
      </c>
      <c r="U385" t="inlineStr">
        <is>
          <t>04/27/2026 cell nokia) : -27/04/2026 : Need BO RAN analysis.;.;(04/27/2026 cell nokia) : -27/04/2026 : Need BO RAN analysis || Check and clean jumper, port 2 &amp; 3 of AHPMDA || ETA : 28/04/2026</t>
        </is>
      </c>
    </row>
    <row r="386">
      <c r="A386" s="96" t="n">
        <v>46139</v>
      </c>
      <c r="B386" t="inlineStr">
        <is>
          <t>Zouvoul-IHS</t>
        </is>
      </c>
      <c r="C386" t="inlineStr">
        <is>
          <t>EXN_172</t>
        </is>
      </c>
      <c r="D386" t="inlineStr"/>
      <c r="E386" t="inlineStr">
        <is>
          <t>IHS</t>
        </is>
      </c>
      <c r="F386" t="inlineStr">
        <is>
          <t>Hybrid-Gen</t>
        </is>
      </c>
      <c r="G386" t="inlineStr">
        <is>
          <t>EXTREME-NORD</t>
        </is>
      </c>
      <c r="H386" t="inlineStr">
        <is>
          <t>Zouvoul</t>
        </is>
      </c>
      <c r="I386" t="inlineStr"/>
      <c r="J386" t="inlineStr"/>
      <c r="K386" t="inlineStr"/>
      <c r="L386" t="inlineStr"/>
      <c r="M386" t="inlineStr"/>
      <c r="N386" t="inlineStr">
        <is>
          <t>Insecurity</t>
        </is>
      </c>
      <c r="O386" t="inlineStr"/>
      <c r="P386" t="inlineStr">
        <is>
          <t>ACCESS-ISSUE</t>
        </is>
      </c>
      <c r="Q386" t="inlineStr">
        <is>
          <t>ACCESS-ISSUE</t>
        </is>
      </c>
      <c r="R386" t="inlineStr">
        <is>
          <t>ACCESS-ISSUE</t>
        </is>
      </c>
      <c r="S386" t="inlineStr">
        <is>
          <t>ACCESS-ISSUE</t>
        </is>
      </c>
      <c r="T386" t="inlineStr">
        <is>
          <t>(04/27/2026 cell nokia):-
21/04/2026 : Relance faite 
15/04/2026 : Relance faite par Chief SEKA 
10/04/2026 : Relance faite ce jour a IHS
08/04/2026 : Access issue  ||Negociation en cours  
07/04/2026: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||Mail enviye a IHS 
04/04/2026 : Probleme d'access || Negociation en cours 
30/03/2026 : Feedback du P.M : FME not available intervention postponed to 01/04/2026
29/03/2026: spare disponible au niveau du FME, FME on another point
27/03/2026 : Cde en cours 
26/03/2026 : Spare pas recu 
25/03/2026 : Spare quitter Douala pour Maroua 
23/03/2026 : Fiber faulty || cde en cours
21/03/2026 : Check SFP, Optical fiber if issue persit
20/03/2026 : need BO RAN analysis</t>
        </is>
      </c>
      <c r="U386" t="inlineStr">
        <is>
          <t>04/27/2026 cell nokia) : - 21/04/2026 : Relance faite 15/04/2026 : Relance faite par Chief SEKA 10/04/2026 : Relance faite ce jour a IHS 08/04/2026 : Access issue || Negociation en cours 07/04/2026 :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 Mail enviye a IHS 04/04/2026 : Probleme d'access || Negociation en cours 30/03/2026 : Feedback du P.M : FME not available intervention postponed to 01/04/2026 29/03/2026 : spare disponible au niveau du FME, FME on another point 27/03/2026 : Cde en cours 26/03/2026 : Spare pas recu 25/03/2026 : Spare quitter Douala pour Maroua 23/03/2026 : Fiber faulty || cde en cours 21/03/2026 : Check SFP, Optical fiber if issue persit 20/03/2026 : need BO RAN analysis</t>
        </is>
      </c>
    </row>
    <row r="387">
      <c r="A387" s="96" t="n">
        <v>46139</v>
      </c>
      <c r="B387" t="inlineStr">
        <is>
          <t>Lomie</t>
        </is>
      </c>
      <c r="C387" t="inlineStr">
        <is>
          <t>EST_010</t>
        </is>
      </c>
      <c r="D387" t="inlineStr"/>
      <c r="E387" t="inlineStr">
        <is>
          <t>IHS</t>
        </is>
      </c>
      <c r="F387" t="inlineStr">
        <is>
          <t>Grid-Gen</t>
        </is>
      </c>
      <c r="G387" t="inlineStr">
        <is>
          <t>EST</t>
        </is>
      </c>
      <c r="H387" t="inlineStr">
        <is>
          <t>Lomie</t>
        </is>
      </c>
      <c r="I387" t="inlineStr"/>
      <c r="J387" t="inlineStr"/>
      <c r="K387" t="inlineStr"/>
      <c r="L387" t="inlineStr"/>
      <c r="M387" t="inlineStr"/>
      <c r="N387" t="inlineStr">
        <is>
          <t>Operationnel</t>
        </is>
      </c>
      <c r="O387" t="inlineStr"/>
      <c r="P387" t="inlineStr">
        <is>
          <t>ENVTECH</t>
        </is>
      </c>
      <c r="Q387" t="inlineStr">
        <is>
          <t>ENVTECH</t>
        </is>
      </c>
      <c r="R387" t="inlineStr">
        <is>
          <t>Sites strategiques, MLL, Pylone, etc.</t>
        </is>
      </c>
      <c r="S387" t="inlineStr">
        <is>
          <t>PASSIVE</t>
        </is>
      </c>
      <c r="T387" t="inlineStr">
        <is>
          <t>(04/27/2026 cell nokia):-27/04/2026 : Need BO RAN analysis ..;..;(04/27/2026 ticket):-INC-20260427-00015274…2026-04-27 22:47:36…Site U-relay…Site Satelitaire Forte pluie dans la zone .
Site up en observation.</t>
        </is>
      </c>
      <c r="U387" t="inlineStr">
        <is>
          <t>04/27/2026 cell nokia) : -27/04/2026 : Need BO RAN analysis .;.; : -…2026-04-27 22 : 47 : 36…Site U-relay…Site Satelitaire Forte pluie dans la zone . Site up en observation.</t>
        </is>
      </c>
    </row>
    <row r="388">
      <c r="A388" s="96" t="n">
        <v>46139</v>
      </c>
      <c r="B388" t="inlineStr">
        <is>
          <t>Kumba-CCAS-IHS</t>
        </is>
      </c>
      <c r="C388" t="inlineStr">
        <is>
          <t>SUO_109</t>
        </is>
      </c>
      <c r="D388" t="inlineStr"/>
      <c r="E388" t="inlineStr">
        <is>
          <t>IHS</t>
        </is>
      </c>
      <c r="F388" t="inlineStr">
        <is>
          <t>Grid-Gen</t>
        </is>
      </c>
      <c r="G388" t="inlineStr">
        <is>
          <t>SUD-OUEST</t>
        </is>
      </c>
      <c r="H388" t="inlineStr">
        <is>
          <t>Kumba</t>
        </is>
      </c>
      <c r="I388" t="inlineStr"/>
      <c r="J388" t="inlineStr"/>
      <c r="K388" t="inlineStr"/>
      <c r="L388" t="inlineStr"/>
      <c r="M388" t="inlineStr"/>
      <c r="N388" t="inlineStr">
        <is>
          <t>Operationnel</t>
        </is>
      </c>
      <c r="O388" t="inlineStr"/>
      <c r="P388" t="inlineStr">
        <is>
          <t>IHS</t>
        </is>
      </c>
      <c r="Q388" t="inlineStr">
        <is>
          <t>POWER ISSUE</t>
        </is>
      </c>
      <c r="R388" t="inlineStr">
        <is>
          <t>Defaut GE &amp; Power Cabinet</t>
        </is>
      </c>
      <c r="S388" t="inlineStr">
        <is>
          <t>PASSIVE</t>
        </is>
      </c>
      <c r="T388" t="inlineStr">
        <is>
          <t xml:space="preserve">(04/27/2026 retour IHS): Power issue NUR to be check||  </t>
        </is>
      </c>
      <c r="U388" t="inlineStr">
        <is>
          <t>04/27/2026 retour IHS) : Power issue NUR to be check ||</t>
        </is>
      </c>
    </row>
    <row r="389">
      <c r="A389" s="96" t="n">
        <v>46139</v>
      </c>
      <c r="B389" t="inlineStr">
        <is>
          <t>Kye-Ossi-MTN-IHS</t>
        </is>
      </c>
      <c r="C389" t="inlineStr">
        <is>
          <t>SUD_026</t>
        </is>
      </c>
      <c r="D389" t="inlineStr"/>
      <c r="E389" t="inlineStr">
        <is>
          <t>IHS</t>
        </is>
      </c>
      <c r="F389" t="inlineStr">
        <is>
          <t>Grid-Gen-Lithium</t>
        </is>
      </c>
      <c r="G389" t="inlineStr">
        <is>
          <t>SUD</t>
        </is>
      </c>
      <c r="H389" t="inlineStr">
        <is>
          <t>Kye-Ossi</t>
        </is>
      </c>
      <c r="I389" t="inlineStr"/>
      <c r="J389" t="inlineStr"/>
      <c r="K389" t="inlineStr"/>
      <c r="L389" t="inlineStr"/>
      <c r="M389" t="inlineStr"/>
      <c r="N389" t="inlineStr">
        <is>
          <t>Operationnel</t>
        </is>
      </c>
      <c r="O389" t="inlineStr"/>
      <c r="P389" t="inlineStr">
        <is>
          <t>IHS</t>
        </is>
      </c>
      <c r="Q389" t="inlineStr">
        <is>
          <t>POWER ISSUE</t>
        </is>
      </c>
      <c r="R389" t="inlineStr">
        <is>
          <t>Defaut GE &amp; Power Cabinet</t>
        </is>
      </c>
      <c r="S389" t="inlineStr">
        <is>
          <t>PASSIVE</t>
        </is>
      </c>
      <c r="T389" t="inlineStr">
        <is>
          <t>(04/27/2026 ticket):-INC-20260427-00001776…2026-04-27 04:42:00…SITE UP Feedback is awaited</t>
        </is>
      </c>
      <c r="U389" t="inlineStr">
        <is>
          <t>: -…2026-04-27 04 : 42 : 00…SITE UP Feedback is awaited</t>
        </is>
      </c>
    </row>
    <row r="390">
      <c r="A390" s="96" t="n">
        <v>46139</v>
      </c>
      <c r="B390" t="inlineStr">
        <is>
          <t>Tinto</t>
        </is>
      </c>
      <c r="C390" t="inlineStr">
        <is>
          <t>SUO_040</t>
        </is>
      </c>
      <c r="D390" t="inlineStr"/>
      <c r="E390" t="inlineStr">
        <is>
          <t>IHS</t>
        </is>
      </c>
      <c r="F390" t="inlineStr">
        <is>
          <t>Gen Only</t>
        </is>
      </c>
      <c r="G390" t="inlineStr">
        <is>
          <t>SUD-OUEST</t>
        </is>
      </c>
      <c r="H390" t="inlineStr">
        <is>
          <t>Tinto</t>
        </is>
      </c>
      <c r="I390" t="inlineStr"/>
      <c r="J390" t="inlineStr"/>
      <c r="K390" t="inlineStr"/>
      <c r="L390" t="inlineStr"/>
      <c r="M390" t="inlineStr"/>
      <c r="N390" t="inlineStr">
        <is>
          <t>Insecurity</t>
        </is>
      </c>
      <c r="O390" t="inlineStr"/>
      <c r="P390" t="inlineStr">
        <is>
          <t>BSS</t>
        </is>
      </c>
      <c r="Q390" t="inlineStr">
        <is>
          <t>RAN ISSUE</t>
        </is>
      </c>
      <c r="R390" t="inlineStr">
        <is>
          <t>BSS Hardware issue</t>
        </is>
      </c>
      <c r="S390" t="inlineStr">
        <is>
          <t>ACTIVE</t>
        </is>
      </c>
      <c r="T390" t="inlineStr">
        <is>
          <t>(04/27/2026 ocm ran 17h):-27/04/2026 FME stanley activé manage avec le level 0
Besoi d'un fme pour verifier le status de RTN ..;..;(04/27/2026 ocm ran 11h):-power status check ongoing</t>
        </is>
      </c>
      <c r="U390" t="inlineStr">
        <is>
          <t>: -27/04/2026 FME stanley activé manage avec le level 0 Besoi d'un fme pour verifier le status de RTN .;.; : -power status check ongoing</t>
        </is>
      </c>
    </row>
    <row r="391">
      <c r="A391" s="96" t="n">
        <v>46139</v>
      </c>
      <c r="B391" t="inlineStr">
        <is>
          <t>Ngd-Yarban</t>
        </is>
      </c>
      <c r="C391" t="inlineStr">
        <is>
          <t>ADM_073</t>
        </is>
      </c>
      <c r="D391" t="inlineStr"/>
      <c r="E391" t="inlineStr">
        <is>
          <t>IHS</t>
        </is>
      </c>
      <c r="F391" t="inlineStr">
        <is>
          <t>Grid-Gen</t>
        </is>
      </c>
      <c r="G391" t="inlineStr">
        <is>
          <t>ADAMAOUA</t>
        </is>
      </c>
      <c r="H391" t="inlineStr">
        <is>
          <t>Ngaoundere</t>
        </is>
      </c>
      <c r="I391" t="inlineStr"/>
      <c r="J391" t="inlineStr"/>
      <c r="K391" t="inlineStr"/>
      <c r="L391" t="inlineStr"/>
      <c r="M391" t="inlineStr"/>
      <c r="N391" t="inlineStr">
        <is>
          <t>Operationnel</t>
        </is>
      </c>
      <c r="O391" t="inlineStr"/>
      <c r="P391" t="inlineStr">
        <is>
          <t>IHS</t>
        </is>
      </c>
      <c r="Q391" t="inlineStr">
        <is>
          <t>POWER ISSUE</t>
        </is>
      </c>
      <c r="R391" t="inlineStr">
        <is>
          <t>Defaut GE &amp; Power Cabinet</t>
        </is>
      </c>
      <c r="S391" t="inlineStr">
        <is>
          <t>PASSIVE</t>
        </is>
      </c>
      <c r="T391" t="inlineStr">
        <is>
          <t xml:space="preserve">(04/27/2026 retour IHS): Power issue NUR to be check||  </t>
        </is>
      </c>
      <c r="U391" t="inlineStr">
        <is>
          <t>04/27/2026 retour IHS) : Power issue NUR to be check ||</t>
        </is>
      </c>
    </row>
    <row r="392">
      <c r="A392" s="96" t="n">
        <v>46139</v>
      </c>
      <c r="B392" t="inlineStr">
        <is>
          <t>Badjonre-IHS</t>
        </is>
      </c>
      <c r="C392" t="inlineStr">
        <is>
          <t>EXN_152</t>
        </is>
      </c>
      <c r="D392" t="inlineStr"/>
      <c r="E392" t="inlineStr">
        <is>
          <t>IHS</t>
        </is>
      </c>
      <c r="F392" t="inlineStr">
        <is>
          <t>Solar-Gen</t>
        </is>
      </c>
      <c r="G392" t="inlineStr">
        <is>
          <t>EXTREME-NORD</t>
        </is>
      </c>
      <c r="H392" t="inlineStr">
        <is>
          <t>Badjonre</t>
        </is>
      </c>
      <c r="I392" t="inlineStr"/>
      <c r="J392" t="inlineStr"/>
      <c r="K392" t="inlineStr"/>
      <c r="L392" t="inlineStr"/>
      <c r="M392" t="inlineStr"/>
      <c r="N392" t="inlineStr">
        <is>
          <t>Insecurity</t>
        </is>
      </c>
      <c r="O392" t="inlineStr"/>
      <c r="P392" t="inlineStr">
        <is>
          <t>BSS</t>
        </is>
      </c>
      <c r="Q392" t="inlineStr">
        <is>
          <t>RAN ISSUE</t>
        </is>
      </c>
      <c r="R392" t="inlineStr">
        <is>
          <t>BSS Hardware issue</t>
        </is>
      </c>
      <c r="S392" t="inlineStr">
        <is>
          <t>ACTIVE</t>
        </is>
      </c>
      <c r="T392" t="inlineStr">
        <is>
          <t>(04/27/2026 cell nokia):-27/04/2026 : Need BO RAN analysis  || Closed after reset but FME should check ABIA/BBMOD-3 module..;..;(04/27/2026 ticket):-INC-20260427-00011947</t>
        </is>
      </c>
      <c r="U392" t="inlineStr">
        <is>
          <t>04/27/2026 cell nokia) : -27/04/2026 : Need BO RAN analysis || Closed after reset but FME should check ABIA/BBMOD-3 module.;.; : -</t>
        </is>
      </c>
    </row>
    <row r="393">
      <c r="A393" s="96" t="n">
        <v>46139</v>
      </c>
      <c r="B393" t="inlineStr">
        <is>
          <t>Nkololoun-Marche</t>
        </is>
      </c>
      <c r="C393" t="inlineStr">
        <is>
          <t>LIT_548</t>
        </is>
      </c>
      <c r="D393" t="inlineStr"/>
      <c r="E393" t="inlineStr">
        <is>
          <t>CAMUSAT</t>
        </is>
      </c>
      <c r="F393" t="inlineStr">
        <is>
          <t>Good Grid no GE - 8h</t>
        </is>
      </c>
      <c r="G393" t="inlineStr">
        <is>
          <t>LITTORAL</t>
        </is>
      </c>
      <c r="H393" t="inlineStr">
        <is>
          <t>Douala</t>
        </is>
      </c>
      <c r="I393" t="inlineStr"/>
      <c r="J393" t="inlineStr"/>
      <c r="K393" t="inlineStr"/>
      <c r="L393" t="inlineStr"/>
      <c r="M393" t="inlineStr"/>
      <c r="N393" t="inlineStr">
        <is>
          <t>Operationnel</t>
        </is>
      </c>
      <c r="O393" t="inlineStr"/>
      <c r="P393" t="inlineStr">
        <is>
          <t>AKTIVCO GRID ONLY</t>
        </is>
      </c>
      <c r="Q393" t="inlineStr">
        <is>
          <t>POWER ISSUE</t>
        </is>
      </c>
      <c r="R393" t="inlineStr">
        <is>
          <t>AKTIVCO Coupure ENEO &amp; Baisse de tension</t>
        </is>
      </c>
      <c r="S393" t="inlineStr">
        <is>
          <t>PASSIVE</t>
        </is>
      </c>
      <c r="T393" t="inlineStr">
        <is>
          <t>(04/27/2026 ticket):-INC-20260427-00011534</t>
        </is>
      </c>
      <c r="U393" t="inlineStr"/>
    </row>
    <row r="394">
      <c r="A394" s="96" t="n">
        <v>46139</v>
      </c>
      <c r="B394" t="inlineStr">
        <is>
          <t>Newb-Srce-Quartier</t>
        </is>
      </c>
      <c r="C394" t="inlineStr">
        <is>
          <t>LIT_095</t>
        </is>
      </c>
      <c r="D394" t="inlineStr"/>
      <c r="E394" t="inlineStr">
        <is>
          <t>IHS</t>
        </is>
      </c>
      <c r="F394" t="inlineStr">
        <is>
          <t>GridOnly</t>
        </is>
      </c>
      <c r="G394" t="inlineStr">
        <is>
          <t>LITTORAL</t>
        </is>
      </c>
      <c r="H394" t="inlineStr">
        <is>
          <t>Douala</t>
        </is>
      </c>
      <c r="I394" t="inlineStr"/>
      <c r="J394" t="inlineStr"/>
      <c r="K394" t="inlineStr"/>
      <c r="L394" t="inlineStr"/>
      <c r="M394" t="inlineStr"/>
      <c r="N394" t="inlineStr">
        <is>
          <t>Operationnel</t>
        </is>
      </c>
      <c r="O394" t="inlineStr"/>
      <c r="P394" t="inlineStr">
        <is>
          <t>IHS GRID ONLY</t>
        </is>
      </c>
      <c r="Q394" t="inlineStr">
        <is>
          <t>POWER ISSUE</t>
        </is>
      </c>
      <c r="R394" t="inlineStr">
        <is>
          <t>Coupure ENEO &amp; Baisse de tension</t>
        </is>
      </c>
      <c r="S394" t="inlineStr">
        <is>
          <t>PASSIVE</t>
        </is>
      </c>
      <c r="T394" t="inlineStr">
        <is>
          <t>(04/27/2026 retour IHS): Power issue NUR to be check||  (04/27/2026 ticket):-INC-20260427-00011264</t>
        </is>
      </c>
      <c r="U394" t="inlineStr">
        <is>
          <t>04/27/2026 retour IHS) : Power issue NUR to be check || : -</t>
        </is>
      </c>
    </row>
    <row r="395">
      <c r="A395" s="96" t="n">
        <v>46139</v>
      </c>
      <c r="B395" t="inlineStr">
        <is>
          <t>Edea-Lom</t>
        </is>
      </c>
      <c r="C395" t="inlineStr">
        <is>
          <t>LIT_321</t>
        </is>
      </c>
      <c r="D395" t="inlineStr"/>
      <c r="E395" t="inlineStr">
        <is>
          <t>IHS</t>
        </is>
      </c>
      <c r="F395" t="inlineStr">
        <is>
          <t>Grid-Gen</t>
        </is>
      </c>
      <c r="G395" t="inlineStr">
        <is>
          <t>LITTORAL</t>
        </is>
      </c>
      <c r="H395" t="inlineStr">
        <is>
          <t>Edea</t>
        </is>
      </c>
      <c r="I395" t="inlineStr"/>
      <c r="J395" t="inlineStr"/>
      <c r="K395" t="inlineStr"/>
      <c r="L395" t="inlineStr"/>
      <c r="M395" t="inlineStr"/>
      <c r="N395" t="inlineStr">
        <is>
          <t>Operationnel</t>
        </is>
      </c>
      <c r="O395" t="inlineStr"/>
      <c r="P395" t="inlineStr">
        <is>
          <t>IHS</t>
        </is>
      </c>
      <c r="Q395" t="inlineStr">
        <is>
          <t>POWER ISSUE</t>
        </is>
      </c>
      <c r="R395" t="inlineStr">
        <is>
          <t>Defaut GE &amp; Power Cabinet</t>
        </is>
      </c>
      <c r="S395" t="inlineStr">
        <is>
          <t>PASSIVE</t>
        </is>
      </c>
      <c r="T395" t="inlineStr">
        <is>
          <t>(04/27/2026 ticket):-INC-20260427-00001384…2026-04-27 03:44:25…FME is on the way to the site, ETA 05:20 AM</t>
        </is>
      </c>
      <c r="U395" t="inlineStr">
        <is>
          <t>: -…2026-04-27 03 : 44 : 25…FME is on the way to the site, ETA 05 : 20 AM</t>
        </is>
      </c>
    </row>
    <row r="396">
      <c r="A396" s="96" t="n">
        <v>46139</v>
      </c>
      <c r="B396" t="inlineStr">
        <is>
          <t>Mini-Ferme</t>
        </is>
      </c>
      <c r="C396" t="inlineStr">
        <is>
          <t>CTR_050</t>
        </is>
      </c>
      <c r="D396" t="inlineStr"/>
      <c r="E396" t="inlineStr">
        <is>
          <t>IHS</t>
        </is>
      </c>
      <c r="F396" t="inlineStr">
        <is>
          <t>GridOnly</t>
        </is>
      </c>
      <c r="G396" t="inlineStr">
        <is>
          <t>CENTRE</t>
        </is>
      </c>
      <c r="H396" t="inlineStr">
        <is>
          <t>Yaounde</t>
        </is>
      </c>
      <c r="I396" t="inlineStr"/>
      <c r="J396" t="inlineStr"/>
      <c r="K396" t="inlineStr"/>
      <c r="L396" t="inlineStr"/>
      <c r="M396" t="inlineStr"/>
      <c r="N396" t="inlineStr">
        <is>
          <t>Operationnel</t>
        </is>
      </c>
      <c r="O396" t="inlineStr"/>
      <c r="P396" t="inlineStr">
        <is>
          <t>IHS GRID ONLY</t>
        </is>
      </c>
      <c r="Q396" t="inlineStr">
        <is>
          <t>POWER ISSUE</t>
        </is>
      </c>
      <c r="R396" t="inlineStr">
        <is>
          <t>Coupure ENEO &amp; Baisse de tension</t>
        </is>
      </c>
      <c r="S396" t="inlineStr">
        <is>
          <t>PASSIVE</t>
        </is>
      </c>
      <c r="T396" t="inlineStr">
        <is>
          <t xml:space="preserve">(04/27/2026 retour IHS): Power issue NUR to be check||  </t>
        </is>
      </c>
      <c r="U396" t="inlineStr">
        <is>
          <t>04/27/2026 retour IHS) : Power issue NUR to be check ||</t>
        </is>
      </c>
    </row>
    <row r="397">
      <c r="A397" s="96" t="n">
        <v>46139</v>
      </c>
      <c r="B397" t="inlineStr">
        <is>
          <t>Djottin</t>
        </is>
      </c>
      <c r="C397" t="inlineStr">
        <is>
          <t>NRO_098</t>
        </is>
      </c>
      <c r="D397" t="inlineStr"/>
      <c r="E397" t="inlineStr">
        <is>
          <t>IHS</t>
        </is>
      </c>
      <c r="F397" t="inlineStr">
        <is>
          <t>Gen Only</t>
        </is>
      </c>
      <c r="G397" t="inlineStr">
        <is>
          <t>NORD-OUEST</t>
        </is>
      </c>
      <c r="H397" t="inlineStr">
        <is>
          <t>Djottin</t>
        </is>
      </c>
      <c r="I397" t="inlineStr"/>
      <c r="J397" t="inlineStr"/>
      <c r="K397" t="inlineStr"/>
      <c r="L397" t="inlineStr"/>
      <c r="M397" t="inlineStr"/>
      <c r="N397" t="inlineStr">
        <is>
          <t>Insecurity</t>
        </is>
      </c>
      <c r="O397" t="inlineStr"/>
      <c r="P397" t="inlineStr">
        <is>
          <t>ACCESS-ISSUE</t>
        </is>
      </c>
      <c r="Q397" t="inlineStr">
        <is>
          <t>ACCESS-ISSUE</t>
        </is>
      </c>
      <c r="R397" t="inlineStr">
        <is>
          <t>ACCESS-ISSUE</t>
        </is>
      </c>
      <c r="S397" t="inlineStr">
        <is>
          <t>ACCESS-ISSUE</t>
        </is>
      </c>
      <c r="T397" t="inlineStr">
        <is>
          <t>(04/27/2026 cell nokia):-
27/04/2026 : Ghost town 
23/04/2026 : Check breaker and  interconnection AREA(sfp, optical fiber) between system and radio module, swap its if needed|| ETA : 24/04/2026 || UP After remote reset..;..;(04/27/2026 cell nokia):-23/04/2026 : Check breaker and  interconnection AREA(sfp, optical fiber) between system and radio module, swap its if needed|| ETA : 24/04/2026 || UP After remote reset</t>
        </is>
      </c>
      <c r="U397" t="inlineStr">
        <is>
          <t>04/27/2026 cell nokia) : - 27/04/2026 : Ghost town 23/04/2026 : Check breaker and interconnection AREA(sfp, optical fiber) between system and radio module, swap its if needed || ETA : 24/04/2026 || UP After remote reset.;.;(04/27/2026 cell nokia) : -23/04/2026 : Check breaker and interconnection AREA(sfp, optical fiber) between system and radio module, swap its if needed || ETA : 24/04/2026 || UP After remote reset</t>
        </is>
      </c>
    </row>
    <row r="398">
      <c r="A398" s="96" t="n">
        <v>46139</v>
      </c>
      <c r="B398" t="inlineStr">
        <is>
          <t>Kotto-Denver</t>
        </is>
      </c>
      <c r="C398" t="inlineStr">
        <is>
          <t>LIT_657</t>
        </is>
      </c>
      <c r="D398" t="inlineStr"/>
      <c r="E398" t="inlineStr">
        <is>
          <t>CAMUSAT</t>
        </is>
      </c>
      <c r="F398" t="inlineStr">
        <is>
          <t>Good Grid no GE - 12h</t>
        </is>
      </c>
      <c r="G398" t="inlineStr">
        <is>
          <t>LITTORAL</t>
        </is>
      </c>
      <c r="H398" t="inlineStr">
        <is>
          <t>Douala</t>
        </is>
      </c>
      <c r="I398" t="inlineStr"/>
      <c r="J398" t="inlineStr"/>
      <c r="K398" t="inlineStr"/>
      <c r="L398" t="inlineStr"/>
      <c r="M398" t="inlineStr"/>
      <c r="N398" t="inlineStr">
        <is>
          <t>Operationnel</t>
        </is>
      </c>
      <c r="O398" t="inlineStr"/>
      <c r="P398" t="inlineStr">
        <is>
          <t>AKTIVCO GRID ONLY</t>
        </is>
      </c>
      <c r="Q398" t="inlineStr">
        <is>
          <t>POWER ISSUE</t>
        </is>
      </c>
      <c r="R398" t="inlineStr">
        <is>
          <t>AKTIVCO Coupure ENEO &amp; Baisse de tension</t>
        </is>
      </c>
      <c r="S398" t="inlineStr">
        <is>
          <t>PASSIVE</t>
        </is>
      </c>
      <c r="T398" t="inlineStr">
        <is>
          <t>(04/27/2026 ticket):-INC-20260427-00016405…2026-04-27 22:06:52… grid only site probable grid outage / FME will check</t>
        </is>
      </c>
      <c r="U398" t="inlineStr">
        <is>
          <t>: -…2026-04-27 22 : 06 : 52… grid only site probable grid outage / FME will check</t>
        </is>
      </c>
    </row>
    <row r="399">
      <c r="A399" s="96" t="n">
        <v>46139</v>
      </c>
      <c r="B399" t="inlineStr">
        <is>
          <t>Garoua-Djamboutou-Village-IHS</t>
        </is>
      </c>
      <c r="C399" t="inlineStr">
        <is>
          <t>NRD_086</t>
        </is>
      </c>
      <c r="D399" t="inlineStr"/>
      <c r="E399" t="inlineStr">
        <is>
          <t>IHS</t>
        </is>
      </c>
      <c r="F399" t="inlineStr">
        <is>
          <t>Grid-Gen</t>
        </is>
      </c>
      <c r="G399" t="inlineStr">
        <is>
          <t>NORD</t>
        </is>
      </c>
      <c r="H399" t="inlineStr">
        <is>
          <t>Garoua</t>
        </is>
      </c>
      <c r="I399" t="inlineStr"/>
      <c r="J399" t="inlineStr"/>
      <c r="K399" t="inlineStr"/>
      <c r="L399" t="inlineStr"/>
      <c r="M399" t="inlineStr"/>
      <c r="N399" t="inlineStr">
        <is>
          <t>Operationnel</t>
        </is>
      </c>
      <c r="O399" t="inlineStr"/>
      <c r="P399" t="inlineStr">
        <is>
          <t>IHS</t>
        </is>
      </c>
      <c r="Q399" t="inlineStr">
        <is>
          <t>POWER ISSUE</t>
        </is>
      </c>
      <c r="R399" t="inlineStr">
        <is>
          <t>Defaut GE &amp; Power Cabinet</t>
        </is>
      </c>
      <c r="S399" t="inlineStr">
        <is>
          <t>PASSIVE</t>
        </is>
      </c>
      <c r="T399" t="inlineStr">
        <is>
          <t>(04/27/2026 ticket):-INC-20260427-00002826…Rectifiers hanging due to base connectors faulty. // Rectifiers reset.…Rectifiers hanging due to base connectors faulty. // Rectifiers reset.…GE Fault</t>
        </is>
      </c>
      <c r="U399" t="inlineStr">
        <is>
          <t>: -…Rectifiers hanging due to base connectors faulty. Rectifiers reset.…Rectifiers hanging due to base connectors faulty. Rectifiers reset.…GE Fault</t>
        </is>
      </c>
    </row>
    <row r="400">
      <c r="A400" s="96" t="n">
        <v>46139</v>
      </c>
      <c r="B400" t="inlineStr">
        <is>
          <t>Santchou</t>
        </is>
      </c>
      <c r="C400" t="inlineStr">
        <is>
          <t>OST_038</t>
        </is>
      </c>
      <c r="D400" t="inlineStr"/>
      <c r="E400" t="inlineStr">
        <is>
          <t>IHS</t>
        </is>
      </c>
      <c r="F400" t="inlineStr">
        <is>
          <t>Grid-Gen</t>
        </is>
      </c>
      <c r="G400" t="inlineStr">
        <is>
          <t>OUEST</t>
        </is>
      </c>
      <c r="H400" t="inlineStr">
        <is>
          <t>Santchou</t>
        </is>
      </c>
      <c r="I400" t="inlineStr"/>
      <c r="J400" t="inlineStr"/>
      <c r="K400" t="inlineStr"/>
      <c r="L400" t="inlineStr"/>
      <c r="M400" t="inlineStr"/>
      <c r="N400" t="inlineStr">
        <is>
          <t>Operationnel</t>
        </is>
      </c>
      <c r="O400" t="inlineStr"/>
      <c r="P400" t="inlineStr">
        <is>
          <t>BSS</t>
        </is>
      </c>
      <c r="Q400" t="inlineStr">
        <is>
          <t>RAN ISSUE</t>
        </is>
      </c>
      <c r="R400" t="inlineStr">
        <is>
          <t>BSS Hardware issue</t>
        </is>
      </c>
      <c r="S400" t="inlineStr">
        <is>
          <t>ACTIVE</t>
        </is>
      </c>
      <c r="T400" t="inlineStr">
        <is>
          <t xml:space="preserve">(04/27/2026 cell nokia):-27/04/2026 : Intervention prevu pour ce jour || 
24/04/2026 : Cde de la AZHA passe
23/04/2026 : FME a travailler hier nouvelle alarme apparue || FME activer || ETA: 11H || Feedback FME : AZHA faulty || Cde en cours 
22/04/206 : Intervention ce jour || FME sur site ||Cell up
21/04/2026 : Check breaker and  interconnection AZHA (sfp, optical fiber) between system and radio module, swap its if needed || FME Yannick activer pour investigation </t>
        </is>
      </c>
      <c r="U400" t="inlineStr">
        <is>
          <t>04/27/2026 cell nokia) : -27/04/2026 : Intervention prevu pour ce jour || 24/04/2026 : Cde de la AZHA passe 23/04/2026 : FME a travailler hier nouvelle alarme apparue || FME activer || ETA : 11H || Feedback FME : AZHA faulty || Cde en cours 22/04/206 : Intervention ce jour || FME sur site || Cell up 21/04/2026 : Check breaker and interconnection AZHA (sfp, optical fiber) between system and radio module, swap its if needed || pour investigation</t>
        </is>
      </c>
    </row>
    <row r="401">
      <c r="A401" s="96" t="n">
        <v>46139</v>
      </c>
      <c r="B401" t="inlineStr">
        <is>
          <t>Mabanda-New</t>
        </is>
      </c>
      <c r="C401" t="inlineStr">
        <is>
          <t>LIT_791</t>
        </is>
      </c>
      <c r="D401" t="inlineStr"/>
      <c r="E401" t="inlineStr">
        <is>
          <t>CAMUSAT</t>
        </is>
      </c>
      <c r="F401" t="inlineStr">
        <is>
          <t>Good Grid no GE - 8h</t>
        </is>
      </c>
      <c r="G401" t="inlineStr">
        <is>
          <t>LITTORAL</t>
        </is>
      </c>
      <c r="H401" t="inlineStr">
        <is>
          <t>Douala</t>
        </is>
      </c>
      <c r="I401" t="inlineStr"/>
      <c r="J401" t="inlineStr"/>
      <c r="K401" t="inlineStr"/>
      <c r="L401" t="inlineStr"/>
      <c r="M401" t="inlineStr"/>
      <c r="N401" t="inlineStr">
        <is>
          <t>Operationnel</t>
        </is>
      </c>
      <c r="O401" t="inlineStr"/>
      <c r="P401" t="inlineStr">
        <is>
          <t>AKTIVCO GRID ONLY</t>
        </is>
      </c>
      <c r="Q401" t="inlineStr">
        <is>
          <t>POWER ISSUE</t>
        </is>
      </c>
      <c r="R401" t="inlineStr">
        <is>
          <t>AKTIVCO Coupure ENEO &amp; Baisse de tension</t>
        </is>
      </c>
      <c r="S401" t="inlineStr">
        <is>
          <t>PASSIVE</t>
        </is>
      </c>
      <c r="T401" t="inlineStr">
        <is>
          <t>(04/27/2026 ticket):-INC-20260427-00010598…power Grid outage here the site is only on Grid …Others Transmission equipement fault</t>
        </is>
      </c>
      <c r="U401" t="inlineStr">
        <is>
          <t>: -…power Grid outage here the site is only on Grid …</t>
        </is>
      </c>
    </row>
    <row r="402">
      <c r="A402" s="96" t="n">
        <v>46139</v>
      </c>
      <c r="B402" t="inlineStr">
        <is>
          <t>Mabanda-CIMAF</t>
        </is>
      </c>
      <c r="C402" t="inlineStr">
        <is>
          <t>LIT_695</t>
        </is>
      </c>
      <c r="D402" t="inlineStr"/>
      <c r="E402" t="inlineStr">
        <is>
          <t>CAMUSAT</t>
        </is>
      </c>
      <c r="F402" t="inlineStr">
        <is>
          <t>Good Grid no GE - 8h</t>
        </is>
      </c>
      <c r="G402" t="inlineStr">
        <is>
          <t>LITTORAL</t>
        </is>
      </c>
      <c r="H402" t="inlineStr">
        <is>
          <t>Douala</t>
        </is>
      </c>
      <c r="I402" t="inlineStr"/>
      <c r="J402" t="inlineStr"/>
      <c r="K402" t="inlineStr"/>
      <c r="L402" t="inlineStr"/>
      <c r="M402" t="inlineStr"/>
      <c r="N402" t="inlineStr">
        <is>
          <t>Operationnel</t>
        </is>
      </c>
      <c r="O402" t="inlineStr"/>
      <c r="P402" t="inlineStr">
        <is>
          <t>AKTIVCO GRID ONLY</t>
        </is>
      </c>
      <c r="Q402" t="inlineStr">
        <is>
          <t>POWER ISSUE</t>
        </is>
      </c>
      <c r="R402" t="inlineStr">
        <is>
          <t>AKTIVCO Coupure ENEO &amp; Baisse de tension</t>
        </is>
      </c>
      <c r="S402" t="inlineStr">
        <is>
          <t>PASSIVE</t>
        </is>
      </c>
      <c r="T402" t="inlineStr">
        <is>
          <t>(04/27/2026 ticket):-INC-20260427-00010600</t>
        </is>
      </c>
      <c r="U402" t="inlineStr"/>
    </row>
    <row r="403">
      <c r="A403" s="96" t="n">
        <v>46139</v>
      </c>
      <c r="B403" t="inlineStr">
        <is>
          <t>Salapoumbe-Ville-MTN-IHS</t>
        </is>
      </c>
      <c r="C403" t="inlineStr">
        <is>
          <t>EST_103</t>
        </is>
      </c>
      <c r="D403" t="inlineStr"/>
      <c r="E403" t="inlineStr">
        <is>
          <t>IHS</t>
        </is>
      </c>
      <c r="F403" t="inlineStr">
        <is>
          <t>Hybrid-Gen</t>
        </is>
      </c>
      <c r="G403" t="inlineStr">
        <is>
          <t>EST</t>
        </is>
      </c>
      <c r="H403" t="inlineStr">
        <is>
          <t>SALAPOUMBE</t>
        </is>
      </c>
      <c r="I403" t="inlineStr"/>
      <c r="J403" t="inlineStr"/>
      <c r="K403" t="inlineStr"/>
      <c r="L403" t="inlineStr"/>
      <c r="M403" t="inlineStr"/>
      <c r="N403" t="inlineStr">
        <is>
          <t>Operationnel</t>
        </is>
      </c>
      <c r="O403" t="inlineStr"/>
      <c r="P403" t="inlineStr">
        <is>
          <t>BSS</t>
        </is>
      </c>
      <c r="Q403" t="inlineStr">
        <is>
          <t>RAN ISSUE</t>
        </is>
      </c>
      <c r="R403" t="inlineStr">
        <is>
          <t>BSS Hardware issue</t>
        </is>
      </c>
      <c r="S403" t="inlineStr">
        <is>
          <t>ACTIVE</t>
        </is>
      </c>
      <c r="T403" t="inlineStr">
        <is>
          <t xml:space="preserve">(04/27/2026 cell nokia):-27/04/2026 : Need BO RAN analysis || Check and replace FXDB || FME Hugues activer ..;..;(04/27/2026 cell nokia):-27/04/2026 : Need BO RAN analysis || Check and replace FXDB || FME Hugues activer || Un reset a ete effectuer mais les cellules demeures down || FME ira sur site demain 28/04/2026 </t>
        </is>
      </c>
      <c r="U403" t="inlineStr">
        <is>
          <t>04/27/2026 cell nokia) : -27/04/2026 : Need BO RAN analysis || Check and replace FXDB || .;.;(04/27/2026 cell nokia) : -27/04/2026 : Need BO RAN analysis || Check and replace FXDB || Un reset a ete effectuer mais les cellules demeures down || FME ira sur site demain 28/04/2026</t>
        </is>
      </c>
    </row>
    <row r="404">
      <c r="A404" s="96" t="n">
        <v>46139</v>
      </c>
      <c r="B404" t="inlineStr">
        <is>
          <t>Bda-Bus-Station-IHS</t>
        </is>
      </c>
      <c r="C404" t="inlineStr">
        <is>
          <t>NRO_066</t>
        </is>
      </c>
      <c r="D404" t="inlineStr"/>
      <c r="E404" t="inlineStr">
        <is>
          <t>IHS</t>
        </is>
      </c>
      <c r="F404" t="inlineStr">
        <is>
          <t>Grid-Gen</t>
        </is>
      </c>
      <c r="G404" t="inlineStr">
        <is>
          <t>NORD-OUEST</t>
        </is>
      </c>
      <c r="H404" t="inlineStr">
        <is>
          <t>Bamenda</t>
        </is>
      </c>
      <c r="I404" t="inlineStr"/>
      <c r="J404" t="inlineStr"/>
      <c r="K404" t="inlineStr"/>
      <c r="L404" t="inlineStr"/>
      <c r="M404" t="inlineStr"/>
      <c r="N404" t="inlineStr">
        <is>
          <t>Operationnel</t>
        </is>
      </c>
      <c r="O404" t="inlineStr"/>
      <c r="P404" t="inlineStr">
        <is>
          <t>IHS</t>
        </is>
      </c>
      <c r="Q404" t="inlineStr">
        <is>
          <t>POWER ISSUE</t>
        </is>
      </c>
      <c r="R404" t="inlineStr">
        <is>
          <t>Defaut GE &amp; Power Cabinet</t>
        </is>
      </c>
      <c r="S404" t="inlineStr">
        <is>
          <t>PASSIVE</t>
        </is>
      </c>
      <c r="T404" t="inlineStr">
        <is>
          <t>(04/27/2026 Hourly IHS): Our FME PETER is managing with level zero, Smuel EKOUELLE is informed</t>
        </is>
      </c>
      <c r="U404" t="inlineStr">
        <is>
          <t>: Our FME PETER is managing with level zero, Smuel EKOUELLE is informed</t>
        </is>
      </c>
    </row>
    <row r="405">
      <c r="A405" s="96" t="n">
        <v>46139</v>
      </c>
      <c r="B405" t="inlineStr">
        <is>
          <t>Masque</t>
        </is>
      </c>
      <c r="C405" t="inlineStr">
        <is>
          <t>CTR_020</t>
        </is>
      </c>
      <c r="D405" t="inlineStr"/>
      <c r="E405" t="inlineStr">
        <is>
          <t>IHS</t>
        </is>
      </c>
      <c r="F405" t="inlineStr">
        <is>
          <t>Grid-Gen</t>
        </is>
      </c>
      <c r="G405" t="inlineStr">
        <is>
          <t>CENTRE</t>
        </is>
      </c>
      <c r="H405" t="inlineStr">
        <is>
          <t>Yaounde</t>
        </is>
      </c>
      <c r="I405" t="inlineStr"/>
      <c r="J405" t="inlineStr"/>
      <c r="K405" t="inlineStr"/>
      <c r="L405" t="inlineStr"/>
      <c r="M405" t="inlineStr"/>
      <c r="N405" t="inlineStr">
        <is>
          <t>Operationnel</t>
        </is>
      </c>
      <c r="O405" t="inlineStr"/>
      <c r="P405" t="inlineStr">
        <is>
          <t>BSS</t>
        </is>
      </c>
      <c r="Q405" t="inlineStr">
        <is>
          <t>RAN ISSUE</t>
        </is>
      </c>
      <c r="R405" t="inlineStr">
        <is>
          <t>BSS Hardware issue</t>
        </is>
      </c>
      <c r="S405" t="inlineStr">
        <is>
          <t>ACTIVE</t>
        </is>
      </c>
      <c r="T405" t="inlineStr">
        <is>
          <t>04/27/2026: hardware issue,  site with GPS issue (alarm : TDD down 09Apr 02pm)</t>
        </is>
      </c>
      <c r="U405" t="inlineStr">
        <is>
          <t>04/27/2026 : hardware issue, site with GPS issue (alarm : TDD down 09Apr 02pm)</t>
        </is>
      </c>
    </row>
    <row r="406">
      <c r="A406" s="96" t="n">
        <v>46139</v>
      </c>
      <c r="B406" t="inlineStr">
        <is>
          <t>Ngd-Stade</t>
        </is>
      </c>
      <c r="C406" t="inlineStr">
        <is>
          <t>ADM_057</t>
        </is>
      </c>
      <c r="D406" t="inlineStr"/>
      <c r="E406" t="inlineStr">
        <is>
          <t>IHS</t>
        </is>
      </c>
      <c r="F406" t="inlineStr">
        <is>
          <t>Grid-Gen</t>
        </is>
      </c>
      <c r="G406" t="inlineStr">
        <is>
          <t>ADAMAOUA</t>
        </is>
      </c>
      <c r="H406" t="inlineStr">
        <is>
          <t>Ngaoundere</t>
        </is>
      </c>
      <c r="I406" t="inlineStr"/>
      <c r="J406" t="inlineStr"/>
      <c r="K406" t="inlineStr"/>
      <c r="L406" t="inlineStr"/>
      <c r="M406" t="inlineStr"/>
      <c r="N406" t="inlineStr">
        <is>
          <t>Operationnel</t>
        </is>
      </c>
      <c r="O406" t="inlineStr"/>
      <c r="P406" t="inlineStr">
        <is>
          <t>IHS</t>
        </is>
      </c>
      <c r="Q406" t="inlineStr">
        <is>
          <t>POWER ISSUE</t>
        </is>
      </c>
      <c r="R406" t="inlineStr">
        <is>
          <t>Defaut GE &amp; Power Cabinet</t>
        </is>
      </c>
      <c r="S406" t="inlineStr">
        <is>
          <t>PASSIVE</t>
        </is>
      </c>
      <c r="T406" t="inlineStr">
        <is>
          <t xml:space="preserve">(04/27/2026 retour IHS): Power issue NUR to be check||  </t>
        </is>
      </c>
      <c r="U406" t="inlineStr">
        <is>
          <t>04/27/2026 retour IHS) : Power issue NUR to be check ||</t>
        </is>
      </c>
    </row>
    <row r="407">
      <c r="A407" s="96" t="n">
        <v>46139</v>
      </c>
      <c r="B407" t="inlineStr">
        <is>
          <t>Pain-Magique</t>
        </is>
      </c>
      <c r="C407" t="inlineStr">
        <is>
          <t>LIT_381</t>
        </is>
      </c>
      <c r="D407" t="inlineStr"/>
      <c r="E407" t="inlineStr">
        <is>
          <t>IHS</t>
        </is>
      </c>
      <c r="F407" t="inlineStr">
        <is>
          <t>GridOnly</t>
        </is>
      </c>
      <c r="G407" t="inlineStr">
        <is>
          <t>LITTORAL</t>
        </is>
      </c>
      <c r="H407" t="inlineStr">
        <is>
          <t>Douala</t>
        </is>
      </c>
      <c r="I407" t="inlineStr"/>
      <c r="J407" t="inlineStr"/>
      <c r="K407" t="inlineStr"/>
      <c r="L407" t="inlineStr"/>
      <c r="M407" t="inlineStr"/>
      <c r="N407" t="inlineStr">
        <is>
          <t>Operationnel</t>
        </is>
      </c>
      <c r="O407" t="inlineStr"/>
      <c r="P407" t="inlineStr">
        <is>
          <t>IHS GRID ONLY</t>
        </is>
      </c>
      <c r="Q407" t="inlineStr">
        <is>
          <t>POWER ISSUE</t>
        </is>
      </c>
      <c r="R407" t="inlineStr">
        <is>
          <t>Coupure ENEO &amp; Baisse de tension</t>
        </is>
      </c>
      <c r="S407" t="inlineStr">
        <is>
          <t>PASSIVE</t>
        </is>
      </c>
      <c r="T407" t="inlineStr">
        <is>
          <t>(04/27/2026 retour IHS): Power issue NUR to be check||  (04/27/2026 ticket):-INC-20260427-00013183</t>
        </is>
      </c>
      <c r="U407" t="inlineStr">
        <is>
          <t>04/27/2026 retour IHS) : Power issue NUR to be check || : -</t>
        </is>
      </c>
    </row>
    <row r="408">
      <c r="A408" s="96" t="n">
        <v>46139</v>
      </c>
      <c r="B408" t="inlineStr">
        <is>
          <t>Ndoumkain</t>
        </is>
      </c>
      <c r="C408" t="inlineStr">
        <is>
          <t>OST_207</t>
        </is>
      </c>
      <c r="D408" t="inlineStr"/>
      <c r="E408" t="inlineStr">
        <is>
          <t>IHS</t>
        </is>
      </c>
      <c r="F408" t="inlineStr">
        <is>
          <t>Grid-Gen</t>
        </is>
      </c>
      <c r="G408" t="inlineStr">
        <is>
          <t>OUEST</t>
        </is>
      </c>
      <c r="H408" t="inlineStr">
        <is>
          <t>Ndoumkain</t>
        </is>
      </c>
      <c r="I408" t="inlineStr"/>
      <c r="J408" t="inlineStr"/>
      <c r="K408" t="inlineStr"/>
      <c r="L408" t="inlineStr"/>
      <c r="M408" t="inlineStr"/>
      <c r="N408" t="inlineStr">
        <is>
          <t>Operationnel</t>
        </is>
      </c>
      <c r="O408" t="inlineStr"/>
      <c r="P408" t="inlineStr">
        <is>
          <t>IHS</t>
        </is>
      </c>
      <c r="Q408" t="inlineStr">
        <is>
          <t>POWER ISSUE</t>
        </is>
      </c>
      <c r="R408" t="inlineStr">
        <is>
          <t>Defaut GE &amp; Power Cabinet</t>
        </is>
      </c>
      <c r="S408" t="inlineStr">
        <is>
          <t>PASSIVE</t>
        </is>
      </c>
      <c r="T408" t="inlineStr">
        <is>
          <t>(04/27/2026 Hourly IHS): fme ERIC is managing with level 0, ETA 06;20PM, Thibault is informed</t>
        </is>
      </c>
      <c r="U408" t="inlineStr">
        <is>
          <t>: fme ERIC is managing with level 0, ETA 06;20PM, Thibault is informed</t>
        </is>
      </c>
    </row>
    <row r="409">
      <c r="A409" s="96" t="n">
        <v>46139</v>
      </c>
      <c r="B409" t="inlineStr">
        <is>
          <t>Dogba-Ngd-IHS</t>
        </is>
      </c>
      <c r="C409" t="inlineStr">
        <is>
          <t>ADM_128</t>
        </is>
      </c>
      <c r="D409" t="inlineStr"/>
      <c r="E409" t="inlineStr">
        <is>
          <t>IHS</t>
        </is>
      </c>
      <c r="F409" t="inlineStr">
        <is>
          <t>Hybrid-Gen</t>
        </is>
      </c>
      <c r="G409" t="inlineStr">
        <is>
          <t>ADAMAOUA</t>
        </is>
      </c>
      <c r="H409" t="inlineStr">
        <is>
          <t>Dogba</t>
        </is>
      </c>
      <c r="I409" t="inlineStr"/>
      <c r="J409" t="inlineStr"/>
      <c r="K409" t="inlineStr"/>
      <c r="L409" t="inlineStr"/>
      <c r="M409" t="inlineStr"/>
      <c r="N409" t="inlineStr">
        <is>
          <t>Operationnel</t>
        </is>
      </c>
      <c r="O409" t="inlineStr"/>
      <c r="P409" t="inlineStr">
        <is>
          <t>BSS</t>
        </is>
      </c>
      <c r="Q409" t="inlineStr">
        <is>
          <t>RAN ISSUE</t>
        </is>
      </c>
      <c r="R409" t="inlineStr">
        <is>
          <t>BSS Hardware issue</t>
        </is>
      </c>
      <c r="S409" t="inlineStr">
        <is>
          <t>ACTIVE</t>
        </is>
      </c>
      <c r="T409" t="inlineStr">
        <is>
          <t xml:space="preserve">(04/27/2026 cell nokia):-27/04/2026 : Need BO RAN analysis..;..;(04/27/2026 cell nokia):-27/04/2026 : Need BO RAN analysis || Check and clean jumper, port 1 of FXDB || Access issue </t>
        </is>
      </c>
      <c r="U409" t="inlineStr">
        <is>
          <t>04/27/2026 cell nokia) : -27/04/2026 : Need BO RAN analysis.;.;(04/27/2026 cell nokia) : -27/04/2026 : Need BO RAN analysis || Check and clean jumper, port 1 of FXDB || Access issue</t>
        </is>
      </c>
    </row>
    <row r="410">
      <c r="A410" s="96" t="n">
        <v>46139</v>
      </c>
      <c r="B410" t="inlineStr">
        <is>
          <t>Garoua-Ngalbidje-IHS</t>
        </is>
      </c>
      <c r="C410" t="inlineStr">
        <is>
          <t>NRD_085</t>
        </is>
      </c>
      <c r="D410" t="inlineStr"/>
      <c r="E410" t="inlineStr">
        <is>
          <t>IHS</t>
        </is>
      </c>
      <c r="F410" t="inlineStr">
        <is>
          <t>Grid-Gen</t>
        </is>
      </c>
      <c r="G410" t="inlineStr">
        <is>
          <t>NORD</t>
        </is>
      </c>
      <c r="H410" t="inlineStr">
        <is>
          <t>Garoua</t>
        </is>
      </c>
      <c r="I410" t="inlineStr"/>
      <c r="J410" t="inlineStr"/>
      <c r="K410" t="inlineStr"/>
      <c r="L410" t="inlineStr"/>
      <c r="M410" t="inlineStr"/>
      <c r="N410" t="inlineStr">
        <is>
          <t>Operationnel</t>
        </is>
      </c>
      <c r="O410" t="inlineStr"/>
      <c r="P410" t="inlineStr">
        <is>
          <t>IHS</t>
        </is>
      </c>
      <c r="Q410" t="inlineStr">
        <is>
          <t>POWER ISSUE</t>
        </is>
      </c>
      <c r="R410" t="inlineStr">
        <is>
          <t>Defaut GE &amp; Power Cabinet</t>
        </is>
      </c>
      <c r="S410" t="inlineStr">
        <is>
          <t>PASSIVE</t>
        </is>
      </c>
      <c r="T410" t="inlineStr">
        <is>
          <t>(04/27/2026 ticket):-INC-20260427-00008339…No power Issue on site u:52.5v site on Grid , FME TX jean paul 697888041/Huawei is informed…Auto TT closure RCA…GE Fault</t>
        </is>
      </c>
      <c r="U410" t="inlineStr">
        <is>
          <t>: -…No power Issue on site u : 52.5v site on Grid , FME TX jean paul 697888041/Huawei is informed…Auto TT closure RCA…GE Fault</t>
        </is>
      </c>
    </row>
    <row r="411">
      <c r="A411" s="96" t="n">
        <v>46139</v>
      </c>
      <c r="B411" t="inlineStr">
        <is>
          <t>Bagodo</t>
        </is>
      </c>
      <c r="C411" t="inlineStr">
        <is>
          <t>ADM_052</t>
        </is>
      </c>
      <c r="D411" t="inlineStr"/>
      <c r="E411" t="inlineStr">
        <is>
          <t>IHS</t>
        </is>
      </c>
      <c r="F411" t="inlineStr">
        <is>
          <t>Gen-Solar AER</t>
        </is>
      </c>
      <c r="G411" t="inlineStr">
        <is>
          <t>ADAMAOUA</t>
        </is>
      </c>
      <c r="H411" t="inlineStr">
        <is>
          <t>Bagodo</t>
        </is>
      </c>
      <c r="I411" t="inlineStr"/>
      <c r="J411" t="inlineStr"/>
      <c r="K411" t="inlineStr"/>
      <c r="L411" t="inlineStr"/>
      <c r="M411" t="inlineStr"/>
      <c r="N411" t="inlineStr">
        <is>
          <t>Operationnel</t>
        </is>
      </c>
      <c r="O411" t="inlineStr"/>
      <c r="P411" t="inlineStr">
        <is>
          <t>BSS</t>
        </is>
      </c>
      <c r="Q411" t="inlineStr">
        <is>
          <t>RAN ISSUE</t>
        </is>
      </c>
      <c r="R411" t="inlineStr">
        <is>
          <t>BSS Hardware issue</t>
        </is>
      </c>
      <c r="S411" t="inlineStr">
        <is>
          <t>ACTIVE</t>
        </is>
      </c>
      <c r="T411" t="inlineStr">
        <is>
          <t xml:space="preserve">(04/27/2026 cell nokia):-27/04/2026 : Need BO RAN analysis..;..;(04/27/2026 cell nokia):-27/04/2026 : Need BO RAN analysis || Check and clean jumper, port 1 of FRGU || ETA : 28/04/2026 </t>
        </is>
      </c>
      <c r="U411" t="inlineStr">
        <is>
          <t>04/27/2026 cell nokia) : -27/04/2026 : Need BO RAN analysis.;.;(04/27/2026 cell nokia) : -27/04/2026 : Need BO RAN analysis || Check and clean jumper, port 1 of FRGU || ETA : 28/04/2026</t>
        </is>
      </c>
    </row>
    <row r="412">
      <c r="A412" s="96" t="n">
        <v>46139</v>
      </c>
      <c r="B412" t="inlineStr">
        <is>
          <t>Wouri</t>
        </is>
      </c>
      <c r="C412" t="inlineStr">
        <is>
          <t>LIT_087</t>
        </is>
      </c>
      <c r="D412" t="inlineStr"/>
      <c r="E412" t="inlineStr">
        <is>
          <t>IHS</t>
        </is>
      </c>
      <c r="F412" t="inlineStr">
        <is>
          <t>Grid-Gen</t>
        </is>
      </c>
      <c r="G412" t="inlineStr">
        <is>
          <t>LITTORAL</t>
        </is>
      </c>
      <c r="H412" t="inlineStr">
        <is>
          <t>Douala</t>
        </is>
      </c>
      <c r="I412" t="inlineStr"/>
      <c r="J412" t="inlineStr"/>
      <c r="K412" t="inlineStr"/>
      <c r="L412" t="inlineStr"/>
      <c r="M412" t="inlineStr"/>
      <c r="N412" t="inlineStr">
        <is>
          <t>EXCLU</t>
        </is>
      </c>
      <c r="O412" t="inlineStr"/>
      <c r="P412" t="inlineStr">
        <is>
          <t>Exclu</t>
        </is>
      </c>
      <c r="Q412" t="inlineStr">
        <is>
          <t>Exclu</t>
        </is>
      </c>
      <c r="R412" t="inlineStr">
        <is>
          <t>EXCLU</t>
        </is>
      </c>
      <c r="S412" t="inlineStr">
        <is>
          <t>Exclu</t>
        </is>
      </c>
      <c r="T412" t="inlineStr">
        <is>
          <t>(04/27/2026 cell zte):-18/04/2026 : Site down</t>
        </is>
      </c>
      <c r="U412" t="inlineStr">
        <is>
          <t>04/27/2026 cell zte) : -18/04/2026 : Site down</t>
        </is>
      </c>
    </row>
    <row r="413">
      <c r="A413" s="96" t="n">
        <v>46139</v>
      </c>
      <c r="B413" t="inlineStr">
        <is>
          <t>Tsekenis</t>
        </is>
      </c>
      <c r="C413" t="inlineStr">
        <is>
          <t>LIT_025</t>
        </is>
      </c>
      <c r="D413" t="inlineStr"/>
      <c r="E413" t="inlineStr">
        <is>
          <t>IHS</t>
        </is>
      </c>
      <c r="F413" t="inlineStr">
        <is>
          <t>Grid-Gen</t>
        </is>
      </c>
      <c r="G413" t="inlineStr">
        <is>
          <t>LITTORAL</t>
        </is>
      </c>
      <c r="H413" t="inlineStr">
        <is>
          <t>Douala</t>
        </is>
      </c>
      <c r="I413" t="inlineStr"/>
      <c r="J413" t="inlineStr"/>
      <c r="K413" t="inlineStr"/>
      <c r="L413" t="inlineStr"/>
      <c r="M413" t="inlineStr"/>
      <c r="N413" t="inlineStr">
        <is>
          <t>EXCLU</t>
        </is>
      </c>
      <c r="O413" t="inlineStr"/>
      <c r="P413" t="inlineStr">
        <is>
          <t>Exclu</t>
        </is>
      </c>
      <c r="Q413" t="inlineStr">
        <is>
          <t>Exclu</t>
        </is>
      </c>
      <c r="R413" t="inlineStr">
        <is>
          <t>EXCLU</t>
        </is>
      </c>
      <c r="S413" t="inlineStr">
        <is>
          <t>Exclu</t>
        </is>
      </c>
      <c r="T413" t="inlineStr">
        <is>
          <t>(04/27/2026 cell zte):-18/04/2026 : Site down</t>
        </is>
      </c>
      <c r="U413" t="inlineStr">
        <is>
          <t>04/27/2026 cell zte) : -18/04/2026 : Site down</t>
        </is>
      </c>
    </row>
    <row r="414">
      <c r="A414" s="96" t="n">
        <v>46139</v>
      </c>
      <c r="B414" t="inlineStr">
        <is>
          <t>La-Falaise</t>
        </is>
      </c>
      <c r="C414" t="inlineStr">
        <is>
          <t>LIT_041</t>
        </is>
      </c>
      <c r="D414" t="inlineStr"/>
      <c r="E414" t="inlineStr">
        <is>
          <t>IHS</t>
        </is>
      </c>
      <c r="F414" t="inlineStr">
        <is>
          <t>Grid-Gen (LL)</t>
        </is>
      </c>
      <c r="G414" t="inlineStr">
        <is>
          <t>LITTORAL</t>
        </is>
      </c>
      <c r="H414" t="inlineStr">
        <is>
          <t>Douala</t>
        </is>
      </c>
      <c r="I414" t="inlineStr"/>
      <c r="J414" t="inlineStr"/>
      <c r="K414" t="inlineStr"/>
      <c r="L414" t="inlineStr"/>
      <c r="M414" t="inlineStr"/>
      <c r="N414" t="inlineStr">
        <is>
          <t>EXCLU</t>
        </is>
      </c>
      <c r="O414" t="inlineStr"/>
      <c r="P414" t="inlineStr">
        <is>
          <t>Exclu</t>
        </is>
      </c>
      <c r="Q414" t="inlineStr">
        <is>
          <t>Exclu</t>
        </is>
      </c>
      <c r="R414" t="inlineStr">
        <is>
          <t>EXCLU</t>
        </is>
      </c>
      <c r="S414" t="inlineStr">
        <is>
          <t>Exclu</t>
        </is>
      </c>
      <c r="T414" t="inlineStr">
        <is>
          <t>(04/27/2026 cell zte):-18/04/2026 : Site down</t>
        </is>
      </c>
      <c r="U414" t="inlineStr">
        <is>
          <t>04/27/2026 cell zte) : -18/04/2026 : Site down</t>
        </is>
      </c>
    </row>
    <row r="415">
      <c r="A415" s="96" t="n">
        <v>46139</v>
      </c>
      <c r="B415" t="inlineStr">
        <is>
          <t>Nkolda-II</t>
        </is>
      </c>
      <c r="C415" t="inlineStr">
        <is>
          <t>CTR_776</t>
        </is>
      </c>
      <c r="D415" t="inlineStr"/>
      <c r="E415" t="inlineStr">
        <is>
          <t>CAMUSAT</t>
        </is>
      </c>
      <c r="F415" t="inlineStr">
        <is>
          <t>Good Grid no GE - 8h</t>
        </is>
      </c>
      <c r="G415" t="inlineStr">
        <is>
          <t>CENTRE</t>
        </is>
      </c>
      <c r="H415" t="inlineStr">
        <is>
          <t>Yaounde</t>
        </is>
      </c>
      <c r="I415" t="inlineStr"/>
      <c r="J415" t="inlineStr"/>
      <c r="K415" t="inlineStr"/>
      <c r="L415" t="inlineStr"/>
      <c r="M415" t="inlineStr"/>
      <c r="N415" t="inlineStr">
        <is>
          <t>Operationnel</t>
        </is>
      </c>
      <c r="O415" t="inlineStr"/>
      <c r="P415" t="inlineStr">
        <is>
          <t>AKTIVCO GRID ONLY</t>
        </is>
      </c>
      <c r="Q415" t="inlineStr">
        <is>
          <t>POWER ISSUE</t>
        </is>
      </c>
      <c r="R415" t="inlineStr">
        <is>
          <t>AKTIVCO Coupure ENEO &amp; Baisse de tension</t>
        </is>
      </c>
      <c r="S415" t="inlineStr">
        <is>
          <t>PASSIVE</t>
        </is>
      </c>
      <c r="T415" t="inlineStr">
        <is>
          <t>(04/27/2026 ticket):-INC-20260427-00014431…2026-04-27 20:05:08…Grid outage and Grid only site / Grid return awaited</t>
        </is>
      </c>
      <c r="U415" t="inlineStr">
        <is>
          <t>: -…2026-04-27 20 : 05 : 08…Grid outage and Grid only site / Grid return awaited</t>
        </is>
      </c>
    </row>
    <row r="416">
      <c r="A416" s="96" t="n">
        <v>46139</v>
      </c>
      <c r="B416" t="inlineStr">
        <is>
          <t>Garoua-Bockle-IHS</t>
        </is>
      </c>
      <c r="C416" t="inlineStr">
        <is>
          <t>NRD_094</t>
        </is>
      </c>
      <c r="D416" t="inlineStr"/>
      <c r="E416" t="inlineStr">
        <is>
          <t>IHS</t>
        </is>
      </c>
      <c r="F416" t="inlineStr">
        <is>
          <t>Grid-Gen</t>
        </is>
      </c>
      <c r="G416" t="inlineStr">
        <is>
          <t>NORD</t>
        </is>
      </c>
      <c r="H416" t="inlineStr">
        <is>
          <t>Garoua</t>
        </is>
      </c>
      <c r="I416" t="inlineStr"/>
      <c r="J416" t="inlineStr"/>
      <c r="K416" t="inlineStr"/>
      <c r="L416" t="inlineStr"/>
      <c r="M416" t="inlineStr"/>
      <c r="N416" t="inlineStr">
        <is>
          <t>Operationnel</t>
        </is>
      </c>
      <c r="O416" t="inlineStr"/>
      <c r="P416" t="inlineStr">
        <is>
          <t>IHS</t>
        </is>
      </c>
      <c r="Q416" t="inlineStr">
        <is>
          <t>POWER ISSUE</t>
        </is>
      </c>
      <c r="R416" t="inlineStr">
        <is>
          <t>Defaut GE &amp; Power Cabinet</t>
        </is>
      </c>
      <c r="S416" t="inlineStr">
        <is>
          <t>PASSIVE</t>
        </is>
      </c>
      <c r="T416" t="inlineStr">
        <is>
          <t>(04/27/2026 retour IHS): Power issue NUR to be check||  (04/27/2026 ocm ran 11h):-power status check ongoing</t>
        </is>
      </c>
      <c r="U416" t="inlineStr">
        <is>
          <t>04/27/2026 retour IHS) : Power issue NUR to be check || : -power status check ongoing</t>
        </is>
      </c>
    </row>
    <row r="417">
      <c r="A417" s="96" t="n">
        <v>46139</v>
      </c>
      <c r="B417" t="inlineStr">
        <is>
          <t>Garoua-H-Plateau</t>
        </is>
      </c>
      <c r="C417" t="inlineStr">
        <is>
          <t>NRD_175</t>
        </is>
      </c>
      <c r="D417" t="inlineStr"/>
      <c r="E417" t="inlineStr">
        <is>
          <t>CAMUSAT</t>
        </is>
      </c>
      <c r="F417" t="inlineStr">
        <is>
          <t>Good Grid + GE</t>
        </is>
      </c>
      <c r="G417" t="inlineStr">
        <is>
          <t>NORD</t>
        </is>
      </c>
      <c r="H417" t="inlineStr">
        <is>
          <t>Garoua</t>
        </is>
      </c>
      <c r="I417" t="inlineStr"/>
      <c r="J417" t="inlineStr"/>
      <c r="K417" t="inlineStr"/>
      <c r="L417" t="inlineStr"/>
      <c r="M417" t="inlineStr"/>
      <c r="N417" t="inlineStr">
        <is>
          <t>Operationnel</t>
        </is>
      </c>
      <c r="O417" t="inlineStr"/>
      <c r="P417" t="inlineStr">
        <is>
          <t>AKTIVCO</t>
        </is>
      </c>
      <c r="Q417" t="inlineStr">
        <is>
          <t>POWER ISSUE</t>
        </is>
      </c>
      <c r="R417" t="inlineStr">
        <is>
          <t>AKTIVCO Defaut GE &amp; Power Cabinet</t>
        </is>
      </c>
      <c r="S417" t="inlineStr">
        <is>
          <t>PASSIVE</t>
        </is>
      </c>
      <c r="T417" t="inlineStr">
        <is>
          <t>(04/27/2026 ocm ran 11h):-power status check ongoing</t>
        </is>
      </c>
      <c r="U417" t="inlineStr">
        <is>
          <t>: -power status check ongoing</t>
        </is>
      </c>
    </row>
    <row r="418">
      <c r="A418" s="96" t="n">
        <v>46139</v>
      </c>
      <c r="B418" t="inlineStr">
        <is>
          <t>Garoua-Kolbives</t>
        </is>
      </c>
      <c r="C418" t="inlineStr">
        <is>
          <t>NRD_049</t>
        </is>
      </c>
      <c r="D418" t="inlineStr"/>
      <c r="E418" t="inlineStr">
        <is>
          <t>IHS</t>
        </is>
      </c>
      <c r="F418" t="inlineStr">
        <is>
          <t>Grid-Gen</t>
        </is>
      </c>
      <c r="G418" t="inlineStr">
        <is>
          <t>NORD</t>
        </is>
      </c>
      <c r="H418" t="inlineStr">
        <is>
          <t>Garoua</t>
        </is>
      </c>
      <c r="I418" t="inlineStr"/>
      <c r="J418" t="inlineStr"/>
      <c r="K418" t="inlineStr"/>
      <c r="L418" t="inlineStr"/>
      <c r="M418" t="inlineStr"/>
      <c r="N418" t="inlineStr">
        <is>
          <t>Operationnel</t>
        </is>
      </c>
      <c r="O418" t="inlineStr"/>
      <c r="P418" t="inlineStr">
        <is>
          <t>IHS</t>
        </is>
      </c>
      <c r="Q418" t="inlineStr">
        <is>
          <t>POWER ISSUE</t>
        </is>
      </c>
      <c r="R418" t="inlineStr">
        <is>
          <t>Defaut GE &amp; Power Cabinet</t>
        </is>
      </c>
      <c r="S418" t="inlineStr">
        <is>
          <t>PASSIVE</t>
        </is>
      </c>
      <c r="T418" t="inlineStr">
        <is>
          <t xml:space="preserve">(04/27/2026 retour IHS): Power issue NUR to be check||  </t>
        </is>
      </c>
      <c r="U418" t="inlineStr">
        <is>
          <t>04/27/2026 retour IHS) : Power issue NUR to be check ||</t>
        </is>
      </c>
    </row>
    <row r="419">
      <c r="A419" s="96" t="n">
        <v>46139</v>
      </c>
      <c r="B419" t="inlineStr">
        <is>
          <t>Ebolowa-Si</t>
        </is>
      </c>
      <c r="C419" t="inlineStr">
        <is>
          <t>SUD_227</t>
        </is>
      </c>
      <c r="D419" t="inlineStr"/>
      <c r="E419" t="inlineStr">
        <is>
          <t>IHS</t>
        </is>
      </c>
      <c r="F419" t="inlineStr">
        <is>
          <t>Grid-Gen</t>
        </is>
      </c>
      <c r="G419" t="inlineStr">
        <is>
          <t>SUD</t>
        </is>
      </c>
      <c r="H419" t="inlineStr">
        <is>
          <t>Ebolowa</t>
        </is>
      </c>
      <c r="I419" t="inlineStr"/>
      <c r="J419" t="inlineStr"/>
      <c r="K419" t="inlineStr"/>
      <c r="L419" t="inlineStr"/>
      <c r="M419" t="inlineStr"/>
      <c r="N419" t="inlineStr">
        <is>
          <t>Operationnel</t>
        </is>
      </c>
      <c r="O419" t="inlineStr"/>
      <c r="P419" t="inlineStr">
        <is>
          <t>IHS</t>
        </is>
      </c>
      <c r="Q419" t="inlineStr">
        <is>
          <t>POWER ISSUE</t>
        </is>
      </c>
      <c r="R419" t="inlineStr">
        <is>
          <t>Defaut GE &amp; Power Cabinet</t>
        </is>
      </c>
      <c r="S419" t="inlineStr">
        <is>
          <t>PASSIVE</t>
        </is>
      </c>
      <c r="T419" t="inlineStr">
        <is>
          <t xml:space="preserve">(04/27/2026 retour IHS): Power issue NUR to be check||  </t>
        </is>
      </c>
      <c r="U419" t="inlineStr">
        <is>
          <t>04/27/2026 retour IHS) : Power issue NUR to be check ||</t>
        </is>
      </c>
    </row>
    <row r="420">
      <c r="A420" s="96" t="n">
        <v>46139</v>
      </c>
      <c r="B420" t="inlineStr">
        <is>
          <t>Bekoko-IHS</t>
        </is>
      </c>
      <c r="C420" t="inlineStr">
        <is>
          <t>LIT_477</t>
        </is>
      </c>
      <c r="D420" t="inlineStr"/>
      <c r="E420" t="inlineStr">
        <is>
          <t>IHS</t>
        </is>
      </c>
      <c r="F420" t="inlineStr">
        <is>
          <t>Grid-Gen</t>
        </is>
      </c>
      <c r="G420" t="inlineStr">
        <is>
          <t>LITTORAL</t>
        </is>
      </c>
      <c r="H420" t="inlineStr">
        <is>
          <t>Bekoko</t>
        </is>
      </c>
      <c r="I420" t="inlineStr"/>
      <c r="J420" t="inlineStr"/>
      <c r="K420" t="inlineStr"/>
      <c r="L420" t="inlineStr"/>
      <c r="M420" t="inlineStr"/>
      <c r="N420" t="inlineStr">
        <is>
          <t>Operationnel</t>
        </is>
      </c>
      <c r="O420" t="inlineStr"/>
      <c r="P420" t="inlineStr">
        <is>
          <t>IHS</t>
        </is>
      </c>
      <c r="Q420" t="inlineStr">
        <is>
          <t>POWER ISSUE</t>
        </is>
      </c>
      <c r="R420" t="inlineStr">
        <is>
          <t>Defaut GE &amp; Power Cabinet</t>
        </is>
      </c>
      <c r="S420" t="inlineStr">
        <is>
          <t>PASSIVE</t>
        </is>
      </c>
      <c r="T420" t="inlineStr">
        <is>
          <t>(04/27/2026 retour IHS): Power issue NUR to be check||  (04/27/2026 ocm ran 17h):-power status check ongoing..;..;(04/27/2026 ticket):-INC-20260427-00013625</t>
        </is>
      </c>
      <c r="U420" t="inlineStr">
        <is>
          <t>04/27/2026 retour IHS) : Power issue NUR to be check || : -; : -</t>
        </is>
      </c>
    </row>
    <row r="421">
      <c r="A421" s="96" t="n">
        <v>46139</v>
      </c>
      <c r="B421" t="inlineStr">
        <is>
          <t>Ndokoti-New</t>
        </is>
      </c>
      <c r="C421" t="inlineStr">
        <is>
          <t>LIT_217</t>
        </is>
      </c>
      <c r="D421" t="inlineStr"/>
      <c r="E421" t="inlineStr">
        <is>
          <t>IHS</t>
        </is>
      </c>
      <c r="F421" t="inlineStr">
        <is>
          <t>Grid-Gen</t>
        </is>
      </c>
      <c r="G421" t="inlineStr">
        <is>
          <t>LITTORAL</t>
        </is>
      </c>
      <c r="H421" t="inlineStr">
        <is>
          <t>Douala</t>
        </is>
      </c>
      <c r="I421" t="inlineStr"/>
      <c r="J421" t="inlineStr"/>
      <c r="K421" t="inlineStr"/>
      <c r="L421" t="inlineStr"/>
      <c r="M421" t="inlineStr"/>
      <c r="N421" t="inlineStr">
        <is>
          <t>Operationnel</t>
        </is>
      </c>
      <c r="O421" t="inlineStr"/>
      <c r="P421" t="inlineStr">
        <is>
          <t>IHS</t>
        </is>
      </c>
      <c r="Q421" t="inlineStr">
        <is>
          <t>POWER ISSUE</t>
        </is>
      </c>
      <c r="R421" t="inlineStr">
        <is>
          <t>Defaut GE &amp; Power Cabinet</t>
        </is>
      </c>
      <c r="S421" t="inlineStr">
        <is>
          <t>PASSIVE</t>
        </is>
      </c>
      <c r="T421" t="inlineStr">
        <is>
          <t>(04/27/2026 ticket):-INC-20260427-00002701…Grid outage, Site went down before Gen start due to Poor backup // Gen started automatically…Grid outage, Site went down before Gen start due to Poor backup // Gen started automatically…GE Fault</t>
        </is>
      </c>
      <c r="U421" t="inlineStr">
        <is>
          <t>: -…Grid outage, Site went down before Gen start due to Poor backup // Gen started automatically…Grid outage, Site went down before Gen start due to Poor backup // Gen started automatically…GE Fault</t>
        </is>
      </c>
    </row>
    <row r="422">
      <c r="A422" s="96" t="n">
        <v>46139</v>
      </c>
      <c r="B422" t="inlineStr">
        <is>
          <t>Mazavou</t>
        </is>
      </c>
      <c r="C422" t="inlineStr">
        <is>
          <t>EXN_215</t>
        </is>
      </c>
      <c r="D422" t="inlineStr"/>
      <c r="E422" t="inlineStr">
        <is>
          <t>CAMUSAT</t>
        </is>
      </c>
      <c r="F422" t="inlineStr">
        <is>
          <t>Hybrid Solar - S3</t>
        </is>
      </c>
      <c r="G422" t="inlineStr">
        <is>
          <t>EXTREME-NORD</t>
        </is>
      </c>
      <c r="H422" t="inlineStr">
        <is>
          <t>Kalfou</t>
        </is>
      </c>
      <c r="I422" t="inlineStr"/>
      <c r="J422" t="inlineStr"/>
      <c r="K422" t="inlineStr"/>
      <c r="L422" t="inlineStr"/>
      <c r="M422" t="inlineStr"/>
      <c r="N422" t="inlineStr">
        <is>
          <t>Insecurity</t>
        </is>
      </c>
      <c r="O422" t="inlineStr"/>
      <c r="P422" t="inlineStr">
        <is>
          <t>AKTIVCO</t>
        </is>
      </c>
      <c r="Q422" t="inlineStr">
        <is>
          <t>POWER ISSUE</t>
        </is>
      </c>
      <c r="R422" t="inlineStr">
        <is>
          <t>AKTIVCO Defaut GE &amp; Power Cabinet</t>
        </is>
      </c>
      <c r="S422" t="inlineStr">
        <is>
          <t>PASSIVE</t>
        </is>
      </c>
      <c r="T422" t="inlineStr">
        <is>
          <t>(04/27/2026 ticket):-INC-20260427-00001132…2026-04-27 05:50:16…Hello Victorine.
FME manage avec le level 0 qui est sur site et en parallèle il est aussi en chemin ETA 09 :00.…RCA attendu de CAMUSAT…Others…Probleme d'energie</t>
        </is>
      </c>
      <c r="U422" t="inlineStr">
        <is>
          <t>: -…2026-04-27 05 : 50 : 16…Hello Victorine. FME manage avec le level 0 qui est sur site et en parallèle il est aussi en chemin ETA 09 : 00.…RCA attendu de CAMUSAT…Others…Probleme d'energie</t>
        </is>
      </c>
    </row>
    <row r="423">
      <c r="A423" s="96" t="n">
        <v>46139</v>
      </c>
      <c r="B423" t="inlineStr">
        <is>
          <t>Maroua-Pitouare-IHS</t>
        </is>
      </c>
      <c r="C423" t="inlineStr">
        <is>
          <t>EXN_145</t>
        </is>
      </c>
      <c r="D423" t="inlineStr"/>
      <c r="E423" t="inlineStr">
        <is>
          <t>IHS</t>
        </is>
      </c>
      <c r="F423" t="inlineStr">
        <is>
          <t>Grid-Gen</t>
        </is>
      </c>
      <c r="G423" t="inlineStr">
        <is>
          <t>EXTREME-NORD</t>
        </is>
      </c>
      <c r="H423" t="inlineStr">
        <is>
          <t>Maroua</t>
        </is>
      </c>
      <c r="I423" t="inlineStr"/>
      <c r="J423" t="inlineStr"/>
      <c r="K423" t="inlineStr"/>
      <c r="L423" t="inlineStr"/>
      <c r="M423" t="inlineStr"/>
      <c r="N423" t="inlineStr">
        <is>
          <t>Operationnel</t>
        </is>
      </c>
      <c r="O423" t="inlineStr"/>
      <c r="P423" t="inlineStr">
        <is>
          <t>IHS</t>
        </is>
      </c>
      <c r="Q423" t="inlineStr">
        <is>
          <t>POWER ISSUE</t>
        </is>
      </c>
      <c r="R423" t="inlineStr">
        <is>
          <t>Defaut GE &amp; Power Cabinet</t>
        </is>
      </c>
      <c r="S423" t="inlineStr">
        <is>
          <t>PASSIVE</t>
        </is>
      </c>
      <c r="T423" t="inlineStr">
        <is>
          <t xml:space="preserve">(04/27/2026 retour IHS): Power issue NUR to be check||  </t>
        </is>
      </c>
      <c r="U423" t="inlineStr">
        <is>
          <t>04/27/2026 retour IHS) : Power issue NUR to be check ||</t>
        </is>
      </c>
    </row>
    <row r="424">
      <c r="A424" s="96" t="n">
        <v>46139</v>
      </c>
      <c r="B424" t="inlineStr">
        <is>
          <t>Minkwele-IHS</t>
        </is>
      </c>
      <c r="C424" t="inlineStr">
        <is>
          <t>LIT_479</t>
        </is>
      </c>
      <c r="D424" t="inlineStr"/>
      <c r="E424" t="inlineStr">
        <is>
          <t>IHS</t>
        </is>
      </c>
      <c r="F424" t="inlineStr">
        <is>
          <t>Grid-Gen</t>
        </is>
      </c>
      <c r="G424" t="inlineStr">
        <is>
          <t>LITTORAL</t>
        </is>
      </c>
      <c r="H424" t="inlineStr">
        <is>
          <t>Minkwele</t>
        </is>
      </c>
      <c r="I424" t="inlineStr"/>
      <c r="J424" t="inlineStr"/>
      <c r="K424" t="inlineStr"/>
      <c r="L424" t="inlineStr"/>
      <c r="M424" t="inlineStr"/>
      <c r="N424" t="inlineStr">
        <is>
          <t>Operationnel</t>
        </is>
      </c>
      <c r="O424" t="inlineStr"/>
      <c r="P424" t="inlineStr">
        <is>
          <t>IHS</t>
        </is>
      </c>
      <c r="Q424" t="inlineStr">
        <is>
          <t>POWER ISSUE</t>
        </is>
      </c>
      <c r="R424" t="inlineStr">
        <is>
          <t>Defaut GE &amp; Power Cabinet</t>
        </is>
      </c>
      <c r="S424" t="inlineStr">
        <is>
          <t>PASSIVE</t>
        </is>
      </c>
      <c r="T424" t="inlineStr">
        <is>
          <t xml:space="preserve">(04/27/2026 retour IHS): Power issue NUR to be check||  </t>
        </is>
      </c>
      <c r="U424" t="inlineStr">
        <is>
          <t>04/27/2026 retour IHS) : Power issue NUR to be check ||</t>
        </is>
      </c>
    </row>
    <row r="425">
      <c r="A425" s="96" t="n">
        <v>46139</v>
      </c>
      <c r="B425" t="inlineStr">
        <is>
          <t>Mboulai-MTN</t>
        </is>
      </c>
      <c r="C425" t="inlineStr">
        <is>
          <t>ADM_029</t>
        </is>
      </c>
      <c r="D425" t="inlineStr"/>
      <c r="E425" t="inlineStr">
        <is>
          <t>IHS</t>
        </is>
      </c>
      <c r="F425" t="inlineStr">
        <is>
          <t>Gen Only</t>
        </is>
      </c>
      <c r="G425" t="inlineStr">
        <is>
          <t>ADAMAOUA</t>
        </is>
      </c>
      <c r="H425" t="inlineStr">
        <is>
          <t>Mboulai</t>
        </is>
      </c>
      <c r="I425" t="inlineStr"/>
      <c r="J425" t="inlineStr"/>
      <c r="K425" t="inlineStr"/>
      <c r="L425" t="inlineStr"/>
      <c r="M425" t="inlineStr"/>
      <c r="N425" t="inlineStr">
        <is>
          <t>Operationnel</t>
        </is>
      </c>
      <c r="O425" t="inlineStr"/>
      <c r="P425" t="inlineStr">
        <is>
          <t>BSS</t>
        </is>
      </c>
      <c r="Q425" t="inlineStr">
        <is>
          <t>RAN ISSUE</t>
        </is>
      </c>
      <c r="R425" t="inlineStr">
        <is>
          <t>BSS Hardware issue</t>
        </is>
      </c>
      <c r="S425" t="inlineStr">
        <is>
          <t>ACTIVE</t>
        </is>
      </c>
      <c r="T425" t="inlineStr">
        <is>
          <t>(04/27/2026 cell nokia):-27/04/2026 : Need BO RAN analysis..;..;(04/27/2026 cell nokia):-27/04/2026 : Need BO RAN analysis || Check and clean jumper, port 2 of FRGU</t>
        </is>
      </c>
      <c r="U425" t="inlineStr">
        <is>
          <t>04/27/2026 cell nokia) : -27/04/2026 : Need BO RAN analysis.;.;(04/27/2026 cell nokia) : -27/04/2026 : Need BO RAN analysis || Check and clean jumper, port 2 of FRGU</t>
        </is>
      </c>
    </row>
    <row r="426">
      <c r="A426" s="96" t="n">
        <v>46139</v>
      </c>
      <c r="B426" t="inlineStr">
        <is>
          <t>Maroua-Lougol</t>
        </is>
      </c>
      <c r="C426" t="inlineStr">
        <is>
          <t>EXN_084</t>
        </is>
      </c>
      <c r="D426" t="inlineStr"/>
      <c r="E426" t="inlineStr">
        <is>
          <t>IHS</t>
        </is>
      </c>
      <c r="F426" t="inlineStr">
        <is>
          <t>Grid-Gen</t>
        </is>
      </c>
      <c r="G426" t="inlineStr">
        <is>
          <t>EXTREME-NORD</t>
        </is>
      </c>
      <c r="H426" t="inlineStr">
        <is>
          <t>Maroua</t>
        </is>
      </c>
      <c r="I426" t="inlineStr"/>
      <c r="J426" t="inlineStr"/>
      <c r="K426" t="inlineStr"/>
      <c r="L426" t="inlineStr"/>
      <c r="M426" t="inlineStr"/>
      <c r="N426" t="inlineStr">
        <is>
          <t>Operationnel</t>
        </is>
      </c>
      <c r="O426" t="inlineStr"/>
      <c r="P426" t="inlineStr">
        <is>
          <t>IHS</t>
        </is>
      </c>
      <c r="Q426" t="inlineStr">
        <is>
          <t>POWER ISSUE</t>
        </is>
      </c>
      <c r="R426" t="inlineStr">
        <is>
          <t>Defaut GE &amp; Power Cabinet</t>
        </is>
      </c>
      <c r="S426" t="inlineStr">
        <is>
          <t>PASSIVE</t>
        </is>
      </c>
      <c r="T426" t="inlineStr">
        <is>
          <t xml:space="preserve">(04/27/2026 retour IHS): Power issue NUR to be check||  </t>
        </is>
      </c>
      <c r="U426" t="inlineStr">
        <is>
          <t>04/27/2026 retour IHS) : Power issue NUR to be check ||</t>
        </is>
      </c>
    </row>
    <row r="427">
      <c r="A427" s="96" t="n">
        <v>46139</v>
      </c>
      <c r="B427" t="inlineStr">
        <is>
          <t>Garoua-Foulbere</t>
        </is>
      </c>
      <c r="C427" t="inlineStr">
        <is>
          <t>NRD_045</t>
        </is>
      </c>
      <c r="D427" t="inlineStr"/>
      <c r="E427" t="inlineStr">
        <is>
          <t>IHS</t>
        </is>
      </c>
      <c r="F427" t="inlineStr">
        <is>
          <t>Grid-Gen</t>
        </is>
      </c>
      <c r="G427" t="inlineStr">
        <is>
          <t>NORD</t>
        </is>
      </c>
      <c r="H427" t="inlineStr">
        <is>
          <t>Garoua</t>
        </is>
      </c>
      <c r="I427" t="inlineStr"/>
      <c r="J427" t="inlineStr"/>
      <c r="K427" t="inlineStr"/>
      <c r="L427" t="inlineStr"/>
      <c r="M427" t="inlineStr"/>
      <c r="N427" t="inlineStr">
        <is>
          <t>Operationnel</t>
        </is>
      </c>
      <c r="O427" t="inlineStr"/>
      <c r="P427" t="inlineStr">
        <is>
          <t>IHS</t>
        </is>
      </c>
      <c r="Q427" t="inlineStr">
        <is>
          <t>POWER ISSUE</t>
        </is>
      </c>
      <c r="R427" t="inlineStr">
        <is>
          <t>Defaut GE &amp; Power Cabinet</t>
        </is>
      </c>
      <c r="S427" t="inlineStr">
        <is>
          <t>PASSIVE</t>
        </is>
      </c>
      <c r="T427" t="inlineStr">
        <is>
          <t>(04/27/2026 ticket):-INC-20260427-00006125…Auto TT closure RCA…GE Fault</t>
        </is>
      </c>
      <c r="U427" t="inlineStr">
        <is>
          <t>: -…Auto TT closure RCA…GE Fault</t>
        </is>
      </c>
    </row>
    <row r="428">
      <c r="A428" s="96" t="n">
        <v>46139</v>
      </c>
      <c r="B428" t="inlineStr">
        <is>
          <t>Maroua-Marche-Abattoir</t>
        </is>
      </c>
      <c r="C428" t="inlineStr">
        <is>
          <t>EXN_085</t>
        </is>
      </c>
      <c r="D428" t="inlineStr"/>
      <c r="E428" t="inlineStr">
        <is>
          <t>IHS</t>
        </is>
      </c>
      <c r="F428" t="inlineStr">
        <is>
          <t>Grid-Gen</t>
        </is>
      </c>
      <c r="G428" t="inlineStr">
        <is>
          <t>EXTREME-NORD</t>
        </is>
      </c>
      <c r="H428" t="inlineStr">
        <is>
          <t>Maroua</t>
        </is>
      </c>
      <c r="I428" t="inlineStr"/>
      <c r="J428" t="inlineStr"/>
      <c r="K428" t="inlineStr"/>
      <c r="L428" t="inlineStr"/>
      <c r="M428" t="inlineStr"/>
      <c r="N428" t="inlineStr">
        <is>
          <t>Operationnel</t>
        </is>
      </c>
      <c r="O428" t="inlineStr"/>
      <c r="P428" t="inlineStr">
        <is>
          <t>IHS</t>
        </is>
      </c>
      <c r="Q428" t="inlineStr">
        <is>
          <t>POWER ISSUE</t>
        </is>
      </c>
      <c r="R428" t="inlineStr">
        <is>
          <t>Defaut GE &amp; Power Cabinet</t>
        </is>
      </c>
      <c r="S428" t="inlineStr">
        <is>
          <t>PASSIVE</t>
        </is>
      </c>
      <c r="T428" t="inlineStr">
        <is>
          <t>(04/27/2026 ticket):-INC-20260427-00010855…	rectifier hanging// rectifier reset…Auto TT closure RCA…GE Fault</t>
        </is>
      </c>
      <c r="U428" t="inlineStr">
        <is>
          <t>: -… rectifier hanging// rectifier reset…Auto TT closure RCA…GE Fault</t>
        </is>
      </c>
    </row>
    <row r="429">
      <c r="A429" s="96" t="n">
        <v>46139</v>
      </c>
      <c r="B429" t="inlineStr">
        <is>
          <t>Nkolmekong-YDE-HIS</t>
        </is>
      </c>
      <c r="C429" t="inlineStr">
        <is>
          <t>CTR_523</t>
        </is>
      </c>
      <c r="D429" t="inlineStr"/>
      <c r="E429" t="inlineStr">
        <is>
          <t>IHS</t>
        </is>
      </c>
      <c r="F429" t="inlineStr">
        <is>
          <t>Grid-Gen</t>
        </is>
      </c>
      <c r="G429" t="inlineStr">
        <is>
          <t>CENTRE</t>
        </is>
      </c>
      <c r="H429" t="inlineStr">
        <is>
          <t>Yaounde</t>
        </is>
      </c>
      <c r="I429" t="inlineStr"/>
      <c r="J429" t="inlineStr"/>
      <c r="K429" t="inlineStr"/>
      <c r="L429" t="inlineStr"/>
      <c r="M429" t="inlineStr"/>
      <c r="N429" t="inlineStr">
        <is>
          <t>Operationnel</t>
        </is>
      </c>
      <c r="O429" t="inlineStr"/>
      <c r="P429" t="inlineStr">
        <is>
          <t>BSS</t>
        </is>
      </c>
      <c r="Q429" t="inlineStr">
        <is>
          <t>RAN ISSUE</t>
        </is>
      </c>
      <c r="R429" t="inlineStr">
        <is>
          <t>BSS Hardware issue</t>
        </is>
      </c>
      <c r="S429" t="inlineStr">
        <is>
          <t>ACTIVE</t>
        </is>
      </c>
      <c r="T429" t="inlineStr">
        <is>
          <t>(04/27/2026 cell zte):-27/04/2026 : Besoin d'analyse BO RAN..;..;(04/27/2026 cell zte):-27/04/2026 : Besoin d'analyse BO RAN || Fme should check and clean port 4 on RRU 52..;..;(04/27/2026 ticket):-INC-20260427-00011388…Network issue …Others Transmission equipement fault</t>
        </is>
      </c>
      <c r="U429" t="inlineStr">
        <is>
          <t>04/27/2026 cell zte) : -27/04/2026 : Besoin d'analyse BO RAN.;.;(04/27/2026 cell zte) : -27/04/2026 : Besoin d'analyse BO RAN || Fme should check and clean port 4 on RRU 52.;.; : -…Network issue …</t>
        </is>
      </c>
    </row>
    <row r="430">
      <c r="A430" s="96" t="n">
        <v>46139</v>
      </c>
      <c r="B430" t="inlineStr">
        <is>
          <t>Olembe-Terminus</t>
        </is>
      </c>
      <c r="C430" t="inlineStr">
        <is>
          <t>CTR_383</t>
        </is>
      </c>
      <c r="D430" t="inlineStr"/>
      <c r="E430" t="inlineStr">
        <is>
          <t>IHS</t>
        </is>
      </c>
      <c r="F430" t="inlineStr">
        <is>
          <t>Grid-Gen</t>
        </is>
      </c>
      <c r="G430" t="inlineStr">
        <is>
          <t>CENTRE</t>
        </is>
      </c>
      <c r="H430" t="inlineStr">
        <is>
          <t>Yaounde</t>
        </is>
      </c>
      <c r="I430" t="inlineStr"/>
      <c r="J430" t="inlineStr"/>
      <c r="K430" t="inlineStr"/>
      <c r="L430" t="inlineStr"/>
      <c r="M430" t="inlineStr"/>
      <c r="N430" t="inlineStr">
        <is>
          <t>Operationnel</t>
        </is>
      </c>
      <c r="O430" t="inlineStr"/>
      <c r="P430" t="inlineStr">
        <is>
          <t>IHS</t>
        </is>
      </c>
      <c r="Q430" t="inlineStr">
        <is>
          <t>POWER ISSUE</t>
        </is>
      </c>
      <c r="R430" t="inlineStr">
        <is>
          <t>Defaut GE &amp; Power Cabinet</t>
        </is>
      </c>
      <c r="S430" t="inlineStr">
        <is>
          <t>PASSIVE</t>
        </is>
      </c>
      <c r="T430" t="inlineStr">
        <is>
          <t>(04/27/2026 ticket):-INC-20260427-00011396…power fluctuation in site …Others Transmission equipement fault</t>
        </is>
      </c>
      <c r="U430" t="inlineStr">
        <is>
          <t>: -…power fluctuation in site …</t>
        </is>
      </c>
    </row>
    <row r="431">
      <c r="A431" s="96" t="n">
        <v>46139</v>
      </c>
      <c r="B431" t="inlineStr">
        <is>
          <t>LAF-CAMTEL</t>
        </is>
      </c>
      <c r="C431" t="inlineStr">
        <is>
          <t>EXN_107</t>
        </is>
      </c>
      <c r="D431" t="inlineStr"/>
      <c r="E431" t="inlineStr">
        <is>
          <t>CAMUSAT</t>
        </is>
      </c>
      <c r="F431" t="inlineStr">
        <is>
          <t>Bad Grid + Solar + GE</t>
        </is>
      </c>
      <c r="G431" t="inlineStr">
        <is>
          <t>EXTREME-NORD</t>
        </is>
      </c>
      <c r="H431" t="inlineStr">
        <is>
          <t>Laf</t>
        </is>
      </c>
      <c r="I431" t="inlineStr"/>
      <c r="J431" t="inlineStr"/>
      <c r="K431" t="inlineStr"/>
      <c r="L431" t="inlineStr"/>
      <c r="M431" t="inlineStr"/>
      <c r="N431" t="inlineStr">
        <is>
          <t>Insecurity</t>
        </is>
      </c>
      <c r="O431" t="inlineStr"/>
      <c r="P431" t="inlineStr">
        <is>
          <t>ACCESS-ISSUE</t>
        </is>
      </c>
      <c r="Q431" t="inlineStr">
        <is>
          <t>ACCESS-ISSUE</t>
        </is>
      </c>
      <c r="R431" t="inlineStr">
        <is>
          <t>ACCESS-ISSUE</t>
        </is>
      </c>
      <c r="S431" t="inlineStr">
        <is>
          <t>ACCESS-ISSUE</t>
        </is>
      </c>
      <c r="T431" t="inlineStr">
        <is>
          <t>(04/27/2026 cell nokia):-27/04/2026 : Access issue || Negociation en cours 
23/04/2026 : Intervention ce jour || Acees issue || Negociation en cours 
22/04/2026 :  Fibre pas recue || ETD: Ce soir || Intervention demain 23/04/2026 
21/04/2026 : Expedition F.O Ce jour de Garoua 
20/04/2026 : Check and clean FRGU ant 1 || FME Eli ACTIVER pour investigation || Investigation en cours avec le level 0 || Investigation non aboutti FME ira sur site demain || ETA: 21042026 ..;..;(04/27/2026 cell nokia):-27/04/2026 : Access issue || Negociation en cours 
23/04/2026 : Intervention ce jour || Acees issue || Negociation en cours 
22/04/2026 :  Fibre pas recue || ETD: Ce soir || Intervention demain 23/04/2026 
21/04/2026 : Expedition F.O Ce jour de Garoua 
20/04/2026 : Check and clean FRGU ant 1 || FME Eli ACTIVER pour investigation || Investigation en cours avec le level 0 || Investigation non aboutti FME ira sur site demain || ETA: 21042026 ..;..;(04/27/2026 ticket):-INC-20260427-00001913…up après avoir redémarrer le groupe…Others</t>
        </is>
      </c>
      <c r="U431" t="inlineStr">
        <is>
          <t>04/27/2026 cell nokia) : -27/04/2026 : Access issue || Negociation en cours 23/04/2026 : Intervention ce jour || Acees issue || Negociation en cours 22/04/2026 : Fibre pas recue || ETD : Ce soir || Intervention demain 23/04/2026 21/04/2026 : Expedition F.O Ce jour de Garoua 20/04/2026 : Check and clean FRGU ant 1 || pour investigation || Investigation en cours avec le level 0 || Investigation non aboutti FME ira sur site demain || ETA : 21042026 .;.;(04/27/2026 cell nokia) : -27/04/2026 : Access issue || Negociation en cours 23/04/2026 : Intervention ce jour || Acees issue || Negociation en cours 22/04/2026 : Fibre pas recue || ETD : Ce soir || Intervention demain 23/04/2026 21/04/2026 : Expedition F.O Ce jour de Garoua 20/04/2026 : Check and clean FRGU ant 1 || pour investigation || Investigation en cours avec le level 0 || Investigation non aboutti FME ira sur site demain || ETA : 21042026 .;.; : -…up après avoir redémarrer le groupe…Others</t>
        </is>
      </c>
    </row>
    <row r="432">
      <c r="A432" s="96" t="n">
        <v>46139</v>
      </c>
      <c r="B432" t="inlineStr">
        <is>
          <t>Bomono-ba-mbengue-IHS</t>
        </is>
      </c>
      <c r="C432" t="inlineStr">
        <is>
          <t>LIT_790</t>
        </is>
      </c>
      <c r="D432" t="inlineStr"/>
      <c r="E432" t="inlineStr">
        <is>
          <t>IHS</t>
        </is>
      </c>
      <c r="F432" t="inlineStr">
        <is>
          <t>Grid-Gen</t>
        </is>
      </c>
      <c r="G432" t="inlineStr">
        <is>
          <t>LITTORAL</t>
        </is>
      </c>
      <c r="H432" t="inlineStr">
        <is>
          <t>Dibombari</t>
        </is>
      </c>
      <c r="I432" t="inlineStr"/>
      <c r="J432" t="inlineStr"/>
      <c r="K432" t="inlineStr"/>
      <c r="L432" t="inlineStr"/>
      <c r="M432" t="inlineStr"/>
      <c r="N432" t="inlineStr">
        <is>
          <t>Operationnel</t>
        </is>
      </c>
      <c r="O432" t="inlineStr"/>
      <c r="P432" t="inlineStr">
        <is>
          <t>IHS</t>
        </is>
      </c>
      <c r="Q432" t="inlineStr">
        <is>
          <t>POWER ISSUE</t>
        </is>
      </c>
      <c r="R432" t="inlineStr">
        <is>
          <t>Defaut GE &amp; Power Cabinet</t>
        </is>
      </c>
      <c r="S432" t="inlineStr">
        <is>
          <t>PASSIVE</t>
        </is>
      </c>
      <c r="T432" t="inlineStr">
        <is>
          <t>(04/27/2026 ocm ran 17h):-power status check ongoing..;..;(04/27/2026 ticket):-INC-20260427-00013633…Power issue 
Technicien power suit le point …Others Transmission equipement fault</t>
        </is>
      </c>
      <c r="U432" t="inlineStr">
        <is>
          <t>: -; : -…Power issue Technicien power suit le point …</t>
        </is>
      </c>
    </row>
    <row r="433">
      <c r="A433" s="96" t="n">
        <v>46139</v>
      </c>
      <c r="B433" t="inlineStr">
        <is>
          <t>Messondo</t>
        </is>
      </c>
      <c r="C433" t="inlineStr">
        <is>
          <t>LIT_134</t>
        </is>
      </c>
      <c r="D433" t="inlineStr"/>
      <c r="E433" t="inlineStr">
        <is>
          <t>CAMUSAT</t>
        </is>
      </c>
      <c r="F433" t="inlineStr">
        <is>
          <t>HGB</t>
        </is>
      </c>
      <c r="G433" t="inlineStr">
        <is>
          <t>LITTORAL</t>
        </is>
      </c>
      <c r="H433" t="inlineStr">
        <is>
          <t>Messondo</t>
        </is>
      </c>
      <c r="I433" t="inlineStr"/>
      <c r="J433" t="inlineStr"/>
      <c r="K433" t="inlineStr"/>
      <c r="L433" t="inlineStr"/>
      <c r="M433" t="inlineStr"/>
      <c r="N433" t="inlineStr">
        <is>
          <t>Operationnel</t>
        </is>
      </c>
      <c r="O433" t="inlineStr"/>
      <c r="P433" t="inlineStr">
        <is>
          <t>BSS</t>
        </is>
      </c>
      <c r="Q433" t="inlineStr">
        <is>
          <t>RAN ISSUE</t>
        </is>
      </c>
      <c r="R433" t="inlineStr">
        <is>
          <t>BSS Hardware issue</t>
        </is>
      </c>
      <c r="S433" t="inlineStr">
        <is>
          <t>ACTIVE</t>
        </is>
      </c>
      <c r="T433" t="inlineStr">
        <is>
          <t>(04/27/2026 cell nokia):-27/04/2026 : Intervention plan for 29/04/2026 
24/04/2026 : Check and clean FRGU ant 5  || FME charlie activer ||Attende du Work Permis ..;..;(04/27/2026 cell nokia):-27/04/2026 : Intervention plan for 29/04/2026 
24/04/2026 : Check and clean FRGU ant 5  || FME charlie activer ||Attende du Work Permis ..;..;(04/27/2026 ocm ran 11h):-power status check ongoing</t>
        </is>
      </c>
      <c r="U433" t="inlineStr">
        <is>
          <t>04/27/2026 cell nokia) : -27/04/2026 : Intervention plan for 29/04/2026 24/04/2026 : Check and clean FRGU ant 5 || Attende du Work Permis .;.;(04/27/2026 cell nokia) : -27/04/2026 : Intervention plan for 29/04/2026 24/04/2026 : Check and clean FRGU ant 5 || Attende du Work Permis .;.; : -power status check ongoing</t>
        </is>
      </c>
    </row>
    <row r="434">
      <c r="A434" s="96" t="n">
        <v>46139</v>
      </c>
      <c r="B434" t="inlineStr">
        <is>
          <t>Garoua-Foulbere-IV</t>
        </is>
      </c>
      <c r="C434" t="inlineStr">
        <is>
          <t>NRD_067</t>
        </is>
      </c>
      <c r="D434" t="inlineStr"/>
      <c r="E434" t="inlineStr">
        <is>
          <t>IHS</t>
        </is>
      </c>
      <c r="F434" t="inlineStr">
        <is>
          <t>Grid-Gen</t>
        </is>
      </c>
      <c r="G434" t="inlineStr">
        <is>
          <t>NORD</t>
        </is>
      </c>
      <c r="H434" t="inlineStr">
        <is>
          <t>Garoua</t>
        </is>
      </c>
      <c r="I434" t="inlineStr"/>
      <c r="J434" t="inlineStr"/>
      <c r="K434" t="inlineStr"/>
      <c r="L434" t="inlineStr"/>
      <c r="M434" t="inlineStr"/>
      <c r="N434" t="inlineStr">
        <is>
          <t>Operationnel</t>
        </is>
      </c>
      <c r="O434" t="inlineStr"/>
      <c r="P434" t="inlineStr">
        <is>
          <t>IHS</t>
        </is>
      </c>
      <c r="Q434" t="inlineStr">
        <is>
          <t>POWER ISSUE</t>
        </is>
      </c>
      <c r="R434" t="inlineStr">
        <is>
          <t>Defaut GE &amp; Power Cabinet</t>
        </is>
      </c>
      <c r="S434" t="inlineStr">
        <is>
          <t>PASSIVE</t>
        </is>
      </c>
      <c r="T434" t="inlineStr">
        <is>
          <t xml:space="preserve">(04/27/2026 retour IHS): Power issue NUR to be check||  </t>
        </is>
      </c>
      <c r="U434" t="inlineStr">
        <is>
          <t>04/27/2026 retour IHS) : Power issue NUR to be check ||</t>
        </is>
      </c>
    </row>
    <row r="435">
      <c r="A435" s="96" t="n">
        <v>46139</v>
      </c>
      <c r="B435" t="inlineStr">
        <is>
          <t>China-Embassy-IHS</t>
        </is>
      </c>
      <c r="C435" t="inlineStr">
        <is>
          <t>CTR_874</t>
        </is>
      </c>
      <c r="D435" t="inlineStr"/>
      <c r="E435" t="inlineStr">
        <is>
          <t>IHS</t>
        </is>
      </c>
      <c r="F435" t="inlineStr">
        <is>
          <t>GridOnly</t>
        </is>
      </c>
      <c r="G435" t="inlineStr">
        <is>
          <t>CENTRE</t>
        </is>
      </c>
      <c r="H435" t="inlineStr">
        <is>
          <t>Yaounde</t>
        </is>
      </c>
      <c r="I435" t="inlineStr"/>
      <c r="J435" t="inlineStr"/>
      <c r="K435" t="inlineStr"/>
      <c r="L435" t="inlineStr"/>
      <c r="M435" t="inlineStr"/>
      <c r="N435" t="inlineStr">
        <is>
          <t>Operationnel</t>
        </is>
      </c>
      <c r="O435" t="inlineStr"/>
      <c r="P435" t="inlineStr">
        <is>
          <t>IHS GRID ONLY</t>
        </is>
      </c>
      <c r="Q435" t="inlineStr">
        <is>
          <t>POWER ISSUE</t>
        </is>
      </c>
      <c r="R435" t="inlineStr">
        <is>
          <t>Coupure ENEO &amp; Baisse de tension</t>
        </is>
      </c>
      <c r="S435" t="inlineStr">
        <is>
          <t>PASSIVE</t>
        </is>
      </c>
      <c r="T435" t="inlineStr">
        <is>
          <t>(04/27/2026 retour IHS): Power issue NUR to be check||  (04/27/2026 ticket):-INC-20260427-00003026…Others Transmission equipement fault</t>
        </is>
      </c>
      <c r="U435" t="inlineStr">
        <is>
          <t>04/27/2026 retour IHS) : Power issue NUR to be check || : -…</t>
        </is>
      </c>
    </row>
    <row r="436">
      <c r="A436" s="96" t="n">
        <v>46139</v>
      </c>
      <c r="B436" t="inlineStr">
        <is>
          <t>Ngbetnsouen</t>
        </is>
      </c>
      <c r="C436" t="inlineStr">
        <is>
          <t>OST_219</t>
        </is>
      </c>
      <c r="D436" t="inlineStr"/>
      <c r="E436" t="inlineStr">
        <is>
          <t>IHS</t>
        </is>
      </c>
      <c r="F436" t="inlineStr">
        <is>
          <t>Grid-Gen</t>
        </is>
      </c>
      <c r="G436" t="inlineStr">
        <is>
          <t>OUEST</t>
        </is>
      </c>
      <c r="H436" t="inlineStr">
        <is>
          <t>Ngbetnsouen</t>
        </is>
      </c>
      <c r="I436" t="inlineStr"/>
      <c r="J436" t="inlineStr"/>
      <c r="K436" t="inlineStr"/>
      <c r="L436" t="inlineStr"/>
      <c r="M436" t="inlineStr"/>
      <c r="N436" t="inlineStr">
        <is>
          <t>Operationnel</t>
        </is>
      </c>
      <c r="O436" t="inlineStr"/>
      <c r="P436" t="inlineStr">
        <is>
          <t>IHS</t>
        </is>
      </c>
      <c r="Q436" t="inlineStr">
        <is>
          <t>POWER ISSUE</t>
        </is>
      </c>
      <c r="R436" t="inlineStr">
        <is>
          <t>Defaut GE &amp; Power Cabinet</t>
        </is>
      </c>
      <c r="S436" t="inlineStr">
        <is>
          <t>PASSIVE</t>
        </is>
      </c>
      <c r="T436" t="inlineStr">
        <is>
          <t>(04/27/2026 ticket):-INC-20260427-00011115…No power issue, U=54.9V site on Grid // TX FME Willy 691145053 of Huawei is informed.…GE Fault</t>
        </is>
      </c>
      <c r="U436" t="inlineStr">
        <is>
          <t>: -…No power issue, U=54.9V site on Grid // TX FME Willy 691145053 of Huawei is informed.…GE Fault</t>
        </is>
      </c>
    </row>
    <row r="437">
      <c r="A437" s="96" t="n">
        <v>46139</v>
      </c>
      <c r="B437" t="inlineStr">
        <is>
          <t>Mayo-Oulo</t>
        </is>
      </c>
      <c r="C437" t="inlineStr">
        <is>
          <t>NRD_010</t>
        </is>
      </c>
      <c r="D437" t="inlineStr"/>
      <c r="E437" t="inlineStr">
        <is>
          <t>IHS</t>
        </is>
      </c>
      <c r="F437" t="inlineStr">
        <is>
          <t>Grid-Gen</t>
        </is>
      </c>
      <c r="G437" t="inlineStr">
        <is>
          <t>NORD</t>
        </is>
      </c>
      <c r="H437" t="inlineStr">
        <is>
          <t>Mayo-Oulo</t>
        </is>
      </c>
      <c r="I437" t="inlineStr"/>
      <c r="J437" t="inlineStr"/>
      <c r="K437" t="inlineStr"/>
      <c r="L437" t="inlineStr"/>
      <c r="M437" t="inlineStr"/>
      <c r="N437" t="inlineStr">
        <is>
          <t>Operationnel</t>
        </is>
      </c>
      <c r="O437" t="inlineStr"/>
      <c r="P437" t="inlineStr">
        <is>
          <t>BSS</t>
        </is>
      </c>
      <c r="Q437" t="inlineStr">
        <is>
          <t>RAN ISSUE</t>
        </is>
      </c>
      <c r="R437" t="inlineStr">
        <is>
          <t>BSS Hardware issue</t>
        </is>
      </c>
      <c r="S437" t="inlineStr">
        <is>
          <t>ACTIVE</t>
        </is>
      </c>
      <c r="T437" t="inlineStr">
        <is>
          <t>(04/27/2026 cell huawei):-27/04/2026 : Besoin d'analyse BO RAN || Configured Capacity Limit Exceeding Licensed Limit..;..;(04/27/2026 cell huawei):-27/04/2026 : Besoin d'analyse BO RAN || Configured Capacity Limit Exceeding Licensed Limit</t>
        </is>
      </c>
      <c r="U437" t="inlineStr">
        <is>
          <t>04/27/2026 cell huawei) : -27/04/2026 : Besoin d'analyse BO RAN || Configured Capacity Limit Exceeding Licensed Limit.;.;(04/27/2026 cell huawei) : -27/04/2026 : Besoin d'analyse BO RAN || Configured Capacity Limit Exceeding Licensed Limit</t>
        </is>
      </c>
    </row>
    <row r="438">
      <c r="A438" s="96" t="n">
        <v>46139</v>
      </c>
      <c r="B438" t="inlineStr">
        <is>
          <t>Ngodi-Cimetiere</t>
        </is>
      </c>
      <c r="C438" t="inlineStr">
        <is>
          <t>LIT_411</t>
        </is>
      </c>
      <c r="D438" t="inlineStr"/>
      <c r="E438" t="inlineStr">
        <is>
          <t>IHS</t>
        </is>
      </c>
      <c r="F438" t="inlineStr">
        <is>
          <t>Grid-Lithium</t>
        </is>
      </c>
      <c r="G438" t="inlineStr">
        <is>
          <t>LITTORAL</t>
        </is>
      </c>
      <c r="H438" t="inlineStr">
        <is>
          <t>Douala</t>
        </is>
      </c>
      <c r="I438" t="inlineStr"/>
      <c r="J438" t="inlineStr"/>
      <c r="K438" t="inlineStr"/>
      <c r="L438" t="inlineStr"/>
      <c r="M438" t="inlineStr"/>
      <c r="N438" t="inlineStr">
        <is>
          <t>Operationnel</t>
        </is>
      </c>
      <c r="O438" t="inlineStr"/>
      <c r="P438" t="inlineStr">
        <is>
          <t>IHS</t>
        </is>
      </c>
      <c r="Q438" t="inlineStr">
        <is>
          <t>POWER ISSUE</t>
        </is>
      </c>
      <c r="R438" t="inlineStr">
        <is>
          <t>Defaut GE &amp; Power Cabinet</t>
        </is>
      </c>
      <c r="S438" t="inlineStr">
        <is>
          <t>PASSIVE</t>
        </is>
      </c>
      <c r="T438" t="inlineStr">
        <is>
          <t xml:space="preserve">(04/27/2026 retour IHS): Power issue NUR to be check||  </t>
        </is>
      </c>
      <c r="U438" t="inlineStr">
        <is>
          <t>04/27/2026 retour IHS) : Power issue NUR to be check ||</t>
        </is>
      </c>
    </row>
    <row r="439">
      <c r="A439" s="96" t="n">
        <v>46139</v>
      </c>
      <c r="B439" t="inlineStr">
        <is>
          <t>Ndobo-Rail</t>
        </is>
      </c>
      <c r="C439" t="inlineStr">
        <is>
          <t>LIT_260</t>
        </is>
      </c>
      <c r="D439" t="inlineStr"/>
      <c r="E439" t="inlineStr">
        <is>
          <t>IHS</t>
        </is>
      </c>
      <c r="F439" t="inlineStr">
        <is>
          <t>Grid-Gen</t>
        </is>
      </c>
      <c r="G439" t="inlineStr">
        <is>
          <t>LITTORAL</t>
        </is>
      </c>
      <c r="H439" t="inlineStr">
        <is>
          <t>Douala</t>
        </is>
      </c>
      <c r="I439" t="inlineStr"/>
      <c r="J439" t="inlineStr"/>
      <c r="K439" t="inlineStr"/>
      <c r="L439" t="inlineStr"/>
      <c r="M439" t="inlineStr"/>
      <c r="N439" t="inlineStr">
        <is>
          <t>Operationnel</t>
        </is>
      </c>
      <c r="O439" t="inlineStr"/>
      <c r="P439" t="inlineStr">
        <is>
          <t>IHS</t>
        </is>
      </c>
      <c r="Q439" t="inlineStr">
        <is>
          <t>POWER ISSUE</t>
        </is>
      </c>
      <c r="R439" t="inlineStr">
        <is>
          <t>Defaut GE &amp; Power Cabinet</t>
        </is>
      </c>
      <c r="S439" t="inlineStr">
        <is>
          <t>PASSIVE</t>
        </is>
      </c>
      <c r="T439" t="inlineStr">
        <is>
          <t xml:space="preserve">(04/27/2026 retour IHS): Power issue NUR to be check||  </t>
        </is>
      </c>
      <c r="U439" t="inlineStr">
        <is>
          <t>04/27/2026 retour IHS) : Power issue NUR to be check ||</t>
        </is>
      </c>
    </row>
    <row r="440">
      <c r="A440" s="96" t="n">
        <v>46139</v>
      </c>
      <c r="B440" t="inlineStr">
        <is>
          <t>Ekoudou-New</t>
        </is>
      </c>
      <c r="C440" t="inlineStr">
        <is>
          <t>CTR_539</t>
        </is>
      </c>
      <c r="D440" t="inlineStr"/>
      <c r="E440" t="inlineStr">
        <is>
          <t>IHS</t>
        </is>
      </c>
      <c r="F440" t="inlineStr">
        <is>
          <t>Grid-Gen</t>
        </is>
      </c>
      <c r="G440" t="inlineStr">
        <is>
          <t>CENTRE</t>
        </is>
      </c>
      <c r="H440" t="inlineStr">
        <is>
          <t>Yaounde</t>
        </is>
      </c>
      <c r="I440" t="inlineStr"/>
      <c r="J440" t="inlineStr"/>
      <c r="K440" t="inlineStr"/>
      <c r="L440" t="inlineStr"/>
      <c r="M440" t="inlineStr"/>
      <c r="N440" t="inlineStr">
        <is>
          <t>Operationnel</t>
        </is>
      </c>
      <c r="O440" t="inlineStr"/>
      <c r="P440" t="inlineStr">
        <is>
          <t>IHS</t>
        </is>
      </c>
      <c r="Q440" t="inlineStr">
        <is>
          <t>POWER ISSUE</t>
        </is>
      </c>
      <c r="R440" t="inlineStr">
        <is>
          <t>Defaut GE &amp; Power Cabinet</t>
        </is>
      </c>
      <c r="S440" t="inlineStr">
        <is>
          <t>PASSIVE</t>
        </is>
      </c>
      <c r="T440" t="inlineStr">
        <is>
          <t>(04/27/2026 retour IHS): Power issue NUR to be check||  (04/27/2026 ticket):-INC-20260427-00003027…Others Transmission equipement fault</t>
        </is>
      </c>
      <c r="U440" t="inlineStr">
        <is>
          <t>04/27/2026 retour IHS) : Power issue NUR to be check || : -…</t>
        </is>
      </c>
    </row>
    <row r="441">
      <c r="A441" s="96" t="n">
        <v>46139</v>
      </c>
      <c r="B441" t="inlineStr">
        <is>
          <t>Bafou-Zinkop</t>
        </is>
      </c>
      <c r="C441" t="inlineStr">
        <is>
          <t>OST_069</t>
        </is>
      </c>
      <c r="D441" t="inlineStr"/>
      <c r="E441" t="inlineStr">
        <is>
          <t>IHS</t>
        </is>
      </c>
      <c r="F441" t="inlineStr">
        <is>
          <t>Grid-Gen</t>
        </is>
      </c>
      <c r="G441" t="inlineStr">
        <is>
          <t>OUEST</t>
        </is>
      </c>
      <c r="H441" t="inlineStr">
        <is>
          <t>Bafou</t>
        </is>
      </c>
      <c r="I441" t="inlineStr"/>
      <c r="J441" t="inlineStr"/>
      <c r="K441" t="inlineStr"/>
      <c r="L441" t="inlineStr"/>
      <c r="M441" t="inlineStr"/>
      <c r="N441" t="inlineStr">
        <is>
          <t>Operationnel</t>
        </is>
      </c>
      <c r="O441" t="inlineStr"/>
      <c r="P441" t="inlineStr">
        <is>
          <t>IHS</t>
        </is>
      </c>
      <c r="Q441" t="inlineStr">
        <is>
          <t>POWER ISSUE</t>
        </is>
      </c>
      <c r="R441" t="inlineStr">
        <is>
          <t>Defaut GE &amp; Power Cabinet</t>
        </is>
      </c>
      <c r="S441" t="inlineStr">
        <is>
          <t>PASSIVE</t>
        </is>
      </c>
      <c r="T441" t="inlineStr">
        <is>
          <t>(04/27/2026 Hourly IHS): FME Brice is informed and managing</t>
        </is>
      </c>
      <c r="U441" t="inlineStr">
        <is>
          <t>: FME Brice is informed and managing</t>
        </is>
      </c>
    </row>
    <row r="442">
      <c r="A442" s="96" t="n">
        <v>46139</v>
      </c>
      <c r="B442" t="inlineStr">
        <is>
          <t>Maroua-Djoudandou</t>
        </is>
      </c>
      <c r="C442" t="inlineStr">
        <is>
          <t>EXN_090</t>
        </is>
      </c>
      <c r="D442" t="inlineStr"/>
      <c r="E442" t="inlineStr">
        <is>
          <t>IHS</t>
        </is>
      </c>
      <c r="F442" t="inlineStr">
        <is>
          <t>Grid-Gen</t>
        </is>
      </c>
      <c r="G442" t="inlineStr">
        <is>
          <t>EXTREME-NORD</t>
        </is>
      </c>
      <c r="H442" t="inlineStr">
        <is>
          <t>Maroua</t>
        </is>
      </c>
      <c r="I442" t="inlineStr"/>
      <c r="J442" t="inlineStr"/>
      <c r="K442" t="inlineStr"/>
      <c r="L442" t="inlineStr"/>
      <c r="M442" t="inlineStr"/>
      <c r="N442" t="inlineStr">
        <is>
          <t>Operationnel</t>
        </is>
      </c>
      <c r="O442" t="inlineStr"/>
      <c r="P442" t="inlineStr">
        <is>
          <t>IHS</t>
        </is>
      </c>
      <c r="Q442" t="inlineStr">
        <is>
          <t>POWER ISSUE</t>
        </is>
      </c>
      <c r="R442" t="inlineStr">
        <is>
          <t>Defaut GE &amp; Power Cabinet</t>
        </is>
      </c>
      <c r="S442" t="inlineStr">
        <is>
          <t>PASSIVE</t>
        </is>
      </c>
      <c r="T442" t="inlineStr">
        <is>
          <t>(04/27/2026 ticket):-INC-20260427-00004084…Several Grid fluctuations, No RCP. // Grid stabilized…Several Grid fluctuations, No RCP. // Grid stabilized…GE Fault</t>
        </is>
      </c>
      <c r="U442" t="inlineStr">
        <is>
          <t>: -…Several Grid fluctuations, No RCP. Grid stabilized…Several Grid fluctuations, No RCP. Grid stabilized…GE Fault</t>
        </is>
      </c>
    </row>
    <row r="443">
      <c r="A443" s="96" t="n">
        <v>46139</v>
      </c>
      <c r="B443" t="inlineStr">
        <is>
          <t>Maroua-Ouro-Bah</t>
        </is>
      </c>
      <c r="C443" t="inlineStr">
        <is>
          <t>EXN_083</t>
        </is>
      </c>
      <c r="D443" t="inlineStr"/>
      <c r="E443" t="inlineStr">
        <is>
          <t>IHS</t>
        </is>
      </c>
      <c r="F443" t="inlineStr">
        <is>
          <t>Grid-Gen</t>
        </is>
      </c>
      <c r="G443" t="inlineStr">
        <is>
          <t>EXTREME-NORD</t>
        </is>
      </c>
      <c r="H443" t="inlineStr">
        <is>
          <t>Maroua</t>
        </is>
      </c>
      <c r="I443" t="inlineStr"/>
      <c r="J443" t="inlineStr"/>
      <c r="K443" t="inlineStr"/>
      <c r="L443" t="inlineStr"/>
      <c r="M443" t="inlineStr"/>
      <c r="N443" t="inlineStr">
        <is>
          <t>Operationnel</t>
        </is>
      </c>
      <c r="O443" t="inlineStr"/>
      <c r="P443" t="inlineStr">
        <is>
          <t>IHS</t>
        </is>
      </c>
      <c r="Q443" t="inlineStr">
        <is>
          <t>POWER ISSUE</t>
        </is>
      </c>
      <c r="R443" t="inlineStr">
        <is>
          <t>Defaut GE &amp; Power Cabinet</t>
        </is>
      </c>
      <c r="S443" t="inlineStr">
        <is>
          <t>PASSIVE</t>
        </is>
      </c>
      <c r="T443" t="inlineStr">
        <is>
          <t xml:space="preserve">(04/27/2026 retour IHS): Power issue NUR to be check||  </t>
        </is>
      </c>
      <c r="U443" t="inlineStr">
        <is>
          <t>04/27/2026 retour IHS) : Power issue NUR to be check ||</t>
        </is>
      </c>
    </row>
    <row r="444">
      <c r="A444" s="96" t="n">
        <v>46139</v>
      </c>
      <c r="B444" t="inlineStr">
        <is>
          <t>Number49-MTN</t>
        </is>
      </c>
      <c r="C444" t="inlineStr">
        <is>
          <t>NRO_261</t>
        </is>
      </c>
      <c r="D444" t="inlineStr"/>
      <c r="E444" t="inlineStr">
        <is>
          <t>IHS</t>
        </is>
      </c>
      <c r="F444" t="inlineStr">
        <is>
          <t>Grid-Gen</t>
        </is>
      </c>
      <c r="G444" t="inlineStr">
        <is>
          <t>NORD-OUEST</t>
        </is>
      </c>
      <c r="H444" t="inlineStr">
        <is>
          <t>Number49</t>
        </is>
      </c>
      <c r="I444" t="inlineStr"/>
      <c r="J444" t="inlineStr"/>
      <c r="K444" t="inlineStr"/>
      <c r="L444" t="inlineStr"/>
      <c r="M444" t="inlineStr"/>
      <c r="N444" t="inlineStr">
        <is>
          <t>Insecurity</t>
        </is>
      </c>
      <c r="O444" t="inlineStr"/>
      <c r="P444" t="inlineStr">
        <is>
          <t>IHS</t>
        </is>
      </c>
      <c r="Q444" t="inlineStr">
        <is>
          <t>POWER ISSUE</t>
        </is>
      </c>
      <c r="R444" t="inlineStr">
        <is>
          <t>Defaut GE &amp; Power Cabinet</t>
        </is>
      </c>
      <c r="S444" t="inlineStr">
        <is>
          <t>PASSIVE</t>
        </is>
      </c>
      <c r="T444" t="inlineStr">
        <is>
          <t>(04/27/2026 ticket):-INC-20260427-00004772…2026-04-27 10:33:57…Rectifiers hanging // Rectifiers reset…Rectifiers hanging // Rectifiers reset…Others Transmission equipement fault</t>
        </is>
      </c>
      <c r="U444" t="inlineStr">
        <is>
          <t>: -…2026-04-27 10 : 33 : 57…Rectifiers hanging // Rectifiers reset…Rectifiers hanging // Rectifiers reset…</t>
        </is>
      </c>
    </row>
    <row r="445">
      <c r="A445" s="96" t="n">
        <v>46139</v>
      </c>
      <c r="B445" t="inlineStr">
        <is>
          <t>Benakuma</t>
        </is>
      </c>
      <c r="C445" t="inlineStr">
        <is>
          <t>NRO_233</t>
        </is>
      </c>
      <c r="D445" t="inlineStr"/>
      <c r="E445" t="inlineStr">
        <is>
          <t>IHS</t>
        </is>
      </c>
      <c r="F445" t="inlineStr">
        <is>
          <t>Gen Only</t>
        </is>
      </c>
      <c r="G445" t="inlineStr">
        <is>
          <t>NORD-OUEST</t>
        </is>
      </c>
      <c r="H445" t="inlineStr">
        <is>
          <t>Benakuma</t>
        </is>
      </c>
      <c r="I445" t="inlineStr"/>
      <c r="J445" t="inlineStr"/>
      <c r="K445" t="inlineStr"/>
      <c r="L445" t="inlineStr"/>
      <c r="M445" t="inlineStr"/>
      <c r="N445" t="inlineStr">
        <is>
          <t>Insecurity</t>
        </is>
      </c>
      <c r="O445" t="inlineStr"/>
      <c r="P445" t="inlineStr">
        <is>
          <t>IHS</t>
        </is>
      </c>
      <c r="Q445" t="inlineStr">
        <is>
          <t>POWER ISSUE</t>
        </is>
      </c>
      <c r="R445" t="inlineStr">
        <is>
          <t>Defaut GE &amp; Power Cabinet</t>
        </is>
      </c>
      <c r="S445" t="inlineStr">
        <is>
          <t>PASSIVE</t>
        </is>
      </c>
      <c r="T445" t="inlineStr">
        <is>
          <t>(04/27/2026 ticket):-INC-20260427-00010743…power issue …Others Transmission equipement fault</t>
        </is>
      </c>
      <c r="U445" t="inlineStr">
        <is>
          <t>: -…power issue …</t>
        </is>
      </c>
    </row>
    <row r="446">
      <c r="A446" s="96" t="n">
        <v>46139</v>
      </c>
      <c r="B446" t="inlineStr">
        <is>
          <t>Domayo</t>
        </is>
      </c>
      <c r="C446" t="inlineStr">
        <is>
          <t>EXN_054</t>
        </is>
      </c>
      <c r="D446" t="inlineStr"/>
      <c r="E446" t="inlineStr">
        <is>
          <t>IHS</t>
        </is>
      </c>
      <c r="F446" t="inlineStr">
        <is>
          <t>Grid-Gen</t>
        </is>
      </c>
      <c r="G446" t="inlineStr">
        <is>
          <t>EXTREME-NORD</t>
        </is>
      </c>
      <c r="H446" t="inlineStr">
        <is>
          <t>Maroua</t>
        </is>
      </c>
      <c r="I446" t="inlineStr"/>
      <c r="J446" t="inlineStr"/>
      <c r="K446" t="inlineStr"/>
      <c r="L446" t="inlineStr"/>
      <c r="M446" t="inlineStr"/>
      <c r="N446" t="inlineStr">
        <is>
          <t>Operationnel</t>
        </is>
      </c>
      <c r="O446" t="inlineStr"/>
      <c r="P446" t="inlineStr">
        <is>
          <t>IHS</t>
        </is>
      </c>
      <c r="Q446" t="inlineStr">
        <is>
          <t>POWER ISSUE</t>
        </is>
      </c>
      <c r="R446" t="inlineStr">
        <is>
          <t>Defaut GE &amp; Power Cabinet</t>
        </is>
      </c>
      <c r="S446" t="inlineStr">
        <is>
          <t>PASSIVE</t>
        </is>
      </c>
      <c r="T446" t="inlineStr">
        <is>
          <t xml:space="preserve">(04/27/2026 retour IHS): Power issue NUR to be check||  </t>
        </is>
      </c>
      <c r="U446" t="inlineStr">
        <is>
          <t>04/27/2026 retour IHS) : Power issue NUR to be check ||</t>
        </is>
      </c>
    </row>
    <row r="447">
      <c r="A447" s="96" t="n">
        <v>46139</v>
      </c>
      <c r="B447" t="inlineStr">
        <is>
          <t>Douche</t>
        </is>
      </c>
      <c r="C447" t="inlineStr">
        <is>
          <t>LIT_580</t>
        </is>
      </c>
      <c r="D447" t="inlineStr"/>
      <c r="E447" t="inlineStr">
        <is>
          <t>IHS</t>
        </is>
      </c>
      <c r="F447" t="inlineStr">
        <is>
          <t>Grid-Gen</t>
        </is>
      </c>
      <c r="G447" t="inlineStr">
        <is>
          <t>LITTORAL</t>
        </is>
      </c>
      <c r="H447" t="inlineStr">
        <is>
          <t>Douala</t>
        </is>
      </c>
      <c r="I447" t="inlineStr"/>
      <c r="J447" t="inlineStr"/>
      <c r="K447" t="inlineStr"/>
      <c r="L447" t="inlineStr"/>
      <c r="M447" t="inlineStr"/>
      <c r="N447" t="inlineStr">
        <is>
          <t>Operationnel</t>
        </is>
      </c>
      <c r="O447" t="inlineStr"/>
      <c r="P447" t="inlineStr">
        <is>
          <t>IHS</t>
        </is>
      </c>
      <c r="Q447" t="inlineStr">
        <is>
          <t>POWER ISSUE</t>
        </is>
      </c>
      <c r="R447" t="inlineStr">
        <is>
          <t>Defaut GE &amp; Power Cabinet</t>
        </is>
      </c>
      <c r="S447" t="inlineStr">
        <is>
          <t>PASSIVE</t>
        </is>
      </c>
      <c r="T447" t="inlineStr">
        <is>
          <t xml:space="preserve">(04/27/2026 retour IHS): Power issue NUR to be check||  </t>
        </is>
      </c>
      <c r="U447" t="inlineStr">
        <is>
          <t>04/27/2026 retour IHS) : Power issue NUR to be check ||</t>
        </is>
      </c>
    </row>
    <row r="448">
      <c r="A448" s="96" t="n">
        <v>46139</v>
      </c>
      <c r="B448" t="inlineStr">
        <is>
          <t>Andek</t>
        </is>
      </c>
      <c r="C448" t="inlineStr">
        <is>
          <t>NRO_218</t>
        </is>
      </c>
      <c r="D448" t="inlineStr"/>
      <c r="E448" t="inlineStr">
        <is>
          <t>IHS</t>
        </is>
      </c>
      <c r="F448" t="inlineStr">
        <is>
          <t>solar + Gen</t>
        </is>
      </c>
      <c r="G448" t="inlineStr">
        <is>
          <t>NORD-OUEST</t>
        </is>
      </c>
      <c r="H448" t="inlineStr">
        <is>
          <t>Andek</t>
        </is>
      </c>
      <c r="I448" t="inlineStr"/>
      <c r="J448" t="inlineStr"/>
      <c r="K448" t="inlineStr"/>
      <c r="L448" t="inlineStr"/>
      <c r="M448" t="inlineStr"/>
      <c r="N448" t="inlineStr">
        <is>
          <t>Insecurity</t>
        </is>
      </c>
      <c r="O448" t="inlineStr"/>
      <c r="P448" t="inlineStr">
        <is>
          <t>BSS</t>
        </is>
      </c>
      <c r="Q448" t="inlineStr">
        <is>
          <t>RAN ISSUE</t>
        </is>
      </c>
      <c r="R448" t="inlineStr">
        <is>
          <t>BSS Hardware issue</t>
        </is>
      </c>
      <c r="S448" t="inlineStr">
        <is>
          <t>ACTIVE</t>
        </is>
      </c>
      <c r="T448" t="inlineStr">
        <is>
          <t>(04/27/2026 cell nokia):-27/04/2026 : Check breaker and  interconnection AREA(sfp, optical fiber) between system and radio module, swap its if needed..;..;(04/27/2026 ticket):-INC-20260427-00004769…2026-04-27 10:33:57…Rectifiers hanging // Rectifiers reset…Rectifiers hanging // Rectifiers reset…Others Transmission equipement fault</t>
        </is>
      </c>
      <c r="U448" t="inlineStr">
        <is>
          <t>04/27/2026 cell nokia) : -27/04/2026 : Check breaker and interconnection AREA(sfp, optical fiber) between system and radio module, swap its if needed.;.; : -…2026-04-27 10 : 33 : 57…Rectifiers hanging // Rectifiers reset…Rectifiers hanging // Rectifiers reset…</t>
        </is>
      </c>
    </row>
    <row r="449">
      <c r="A449" s="96" t="n">
        <v>46139</v>
      </c>
      <c r="B449" t="inlineStr">
        <is>
          <t>Ngd-Mbideng-IHS</t>
        </is>
      </c>
      <c r="C449" t="inlineStr">
        <is>
          <t>ADM_157</t>
        </is>
      </c>
      <c r="D449" t="inlineStr"/>
      <c r="E449" t="inlineStr">
        <is>
          <t>IHS</t>
        </is>
      </c>
      <c r="F449" t="inlineStr">
        <is>
          <t>Grid-Gen</t>
        </is>
      </c>
      <c r="G449" t="inlineStr">
        <is>
          <t>ADAMAOUA</t>
        </is>
      </c>
      <c r="H449" t="inlineStr">
        <is>
          <t>Ngaoundere</t>
        </is>
      </c>
      <c r="I449" t="inlineStr"/>
      <c r="J449" t="inlineStr"/>
      <c r="K449" t="inlineStr"/>
      <c r="L449" t="inlineStr"/>
      <c r="M449" t="inlineStr"/>
      <c r="N449" t="inlineStr">
        <is>
          <t>Operationnel</t>
        </is>
      </c>
      <c r="O449" t="inlineStr"/>
      <c r="P449" t="inlineStr">
        <is>
          <t>IHS</t>
        </is>
      </c>
      <c r="Q449" t="inlineStr">
        <is>
          <t>POWER ISSUE</t>
        </is>
      </c>
      <c r="R449" t="inlineStr">
        <is>
          <t>Defaut GE &amp; Power Cabinet</t>
        </is>
      </c>
      <c r="S449" t="inlineStr">
        <is>
          <t>PASSIVE</t>
        </is>
      </c>
      <c r="T449" t="inlineStr">
        <is>
          <t>(04/27/2026 ticket):-INC-20260427-00011465…	Bad grid voltage, RCP malfunction // Started Gen manually…GE Fault</t>
        </is>
      </c>
      <c r="U449" t="inlineStr">
        <is>
          <t>: -… Bad grid voltage, RCP malfunction // Started Gen manually…GE Fault</t>
        </is>
      </c>
    </row>
    <row r="450">
      <c r="A450" s="96" t="n">
        <v>46139</v>
      </c>
      <c r="B450" t="inlineStr">
        <is>
          <t>Ngd-EPC-IHS</t>
        </is>
      </c>
      <c r="C450" t="inlineStr">
        <is>
          <t>ADM_077</t>
        </is>
      </c>
      <c r="D450" t="inlineStr"/>
      <c r="E450" t="inlineStr">
        <is>
          <t>IHS</t>
        </is>
      </c>
      <c r="F450" t="inlineStr">
        <is>
          <t>Grid-Gen</t>
        </is>
      </c>
      <c r="G450" t="inlineStr">
        <is>
          <t>ADAMAOUA</t>
        </is>
      </c>
      <c r="H450" t="inlineStr">
        <is>
          <t>Ngaoundere</t>
        </is>
      </c>
      <c r="I450" t="inlineStr"/>
      <c r="J450" t="inlineStr"/>
      <c r="K450" t="inlineStr"/>
      <c r="L450" t="inlineStr"/>
      <c r="M450" t="inlineStr"/>
      <c r="N450" t="inlineStr">
        <is>
          <t>Operationnel</t>
        </is>
      </c>
      <c r="O450" t="inlineStr"/>
      <c r="P450" t="inlineStr">
        <is>
          <t>IHS</t>
        </is>
      </c>
      <c r="Q450" t="inlineStr">
        <is>
          <t>POWER ISSUE</t>
        </is>
      </c>
      <c r="R450" t="inlineStr">
        <is>
          <t>Defaut GE &amp; Power Cabinet</t>
        </is>
      </c>
      <c r="S450" t="inlineStr">
        <is>
          <t>PASSIVE</t>
        </is>
      </c>
      <c r="T450" t="inlineStr">
        <is>
          <t xml:space="preserve">(04/27/2026 retour IHS): Power issue NUR to be check||  </t>
        </is>
      </c>
      <c r="U450" t="inlineStr">
        <is>
          <t>04/27/2026 retour IHS) : Power issue NUR to be check ||</t>
        </is>
      </c>
    </row>
    <row r="451">
      <c r="A451" s="96" t="n">
        <v>46139</v>
      </c>
      <c r="B451" t="inlineStr">
        <is>
          <t>Dembo</t>
        </is>
      </c>
      <c r="C451" t="inlineStr">
        <is>
          <t>NRD_024</t>
        </is>
      </c>
      <c r="D451" t="inlineStr"/>
      <c r="E451" t="inlineStr">
        <is>
          <t>IHS</t>
        </is>
      </c>
      <c r="F451" t="inlineStr">
        <is>
          <t>Solar-Gen</t>
        </is>
      </c>
      <c r="G451" t="inlineStr">
        <is>
          <t>NORD</t>
        </is>
      </c>
      <c r="H451" t="inlineStr">
        <is>
          <t>Dembo</t>
        </is>
      </c>
      <c r="I451" t="inlineStr"/>
      <c r="J451" t="inlineStr"/>
      <c r="K451" t="inlineStr"/>
      <c r="L451" t="inlineStr"/>
      <c r="M451" t="inlineStr"/>
      <c r="N451" t="inlineStr">
        <is>
          <t>Operationnel</t>
        </is>
      </c>
      <c r="O451" t="inlineStr"/>
      <c r="P451" t="inlineStr">
        <is>
          <t>IHS</t>
        </is>
      </c>
      <c r="Q451" t="inlineStr">
        <is>
          <t>POWER ISSUE</t>
        </is>
      </c>
      <c r="R451" t="inlineStr">
        <is>
          <t>Defaut GE &amp; Power Cabinet</t>
        </is>
      </c>
      <c r="S451" t="inlineStr">
        <is>
          <t>PASSIVE</t>
        </is>
      </c>
      <c r="T451" t="inlineStr">
        <is>
          <t>(04/27/2026 retour IHS): Power issue NUR to be check||  (04/27/2026 ticket):-INC-20260427-00011835…Others Transmission equipement fault</t>
        </is>
      </c>
      <c r="U451" t="inlineStr">
        <is>
          <t>04/27/2026 retour IHS) : Power issue NUR to be check || : -…</t>
        </is>
      </c>
    </row>
    <row r="452">
      <c r="A452" s="96" t="n">
        <v>46139</v>
      </c>
      <c r="B452" t="inlineStr">
        <is>
          <t>Olembe-CAMTEL</t>
        </is>
      </c>
      <c r="C452" t="inlineStr">
        <is>
          <t>CTR_861</t>
        </is>
      </c>
      <c r="D452" t="inlineStr"/>
      <c r="E452" t="inlineStr">
        <is>
          <t>ESCO</t>
        </is>
      </c>
      <c r="F452" t="inlineStr">
        <is>
          <t>Good Grid no GE - 8h</t>
        </is>
      </c>
      <c r="G452" t="inlineStr">
        <is>
          <t>CENTRE</t>
        </is>
      </c>
      <c r="H452" t="inlineStr">
        <is>
          <t>Yaounde</t>
        </is>
      </c>
      <c r="I452" t="inlineStr"/>
      <c r="J452" t="inlineStr"/>
      <c r="K452" t="inlineStr"/>
      <c r="L452" t="inlineStr"/>
      <c r="M452" t="inlineStr"/>
      <c r="N452" t="inlineStr">
        <is>
          <t>Operationnel</t>
        </is>
      </c>
      <c r="O452" t="inlineStr"/>
      <c r="P452" t="inlineStr">
        <is>
          <t>AKTIVCO GRID ONLY</t>
        </is>
      </c>
      <c r="Q452" t="inlineStr">
        <is>
          <t>POWER ISSUE</t>
        </is>
      </c>
      <c r="R452" t="inlineStr">
        <is>
          <t>AKTIVCO Coupure ENEO &amp; Baisse de tension</t>
        </is>
      </c>
      <c r="S452" t="inlineStr">
        <is>
          <t>PASSIVE</t>
        </is>
      </c>
      <c r="T452" t="inlineStr">
        <is>
          <t>(04/27/2026 ticket):-INC-20260427-00011378…site Grid onlyGrid Outage …Others Transmission equipement fault</t>
        </is>
      </c>
      <c r="U452" t="inlineStr">
        <is>
          <t>: -…site Grid onlyGrid Outage …</t>
        </is>
      </c>
    </row>
    <row r="453">
      <c r="A453" s="96" t="n">
        <v>46139</v>
      </c>
      <c r="B453" t="inlineStr">
        <is>
          <t>Garoua-Lycee-Technique-MTN</t>
        </is>
      </c>
      <c r="C453" t="inlineStr">
        <is>
          <t>NRD_063</t>
        </is>
      </c>
      <c r="D453" t="inlineStr"/>
      <c r="E453" t="inlineStr">
        <is>
          <t>IHS</t>
        </is>
      </c>
      <c r="F453" t="inlineStr">
        <is>
          <t>Grid-Gen</t>
        </is>
      </c>
      <c r="G453" t="inlineStr">
        <is>
          <t>NORD</t>
        </is>
      </c>
      <c r="H453" t="inlineStr">
        <is>
          <t>Garoua</t>
        </is>
      </c>
      <c r="I453" t="inlineStr"/>
      <c r="J453" t="inlineStr"/>
      <c r="K453" t="inlineStr"/>
      <c r="L453" t="inlineStr"/>
      <c r="M453" t="inlineStr"/>
      <c r="N453" t="inlineStr">
        <is>
          <t>Operationnel</t>
        </is>
      </c>
      <c r="O453" t="inlineStr"/>
      <c r="P453" t="inlineStr">
        <is>
          <t>IHS</t>
        </is>
      </c>
      <c r="Q453" t="inlineStr">
        <is>
          <t>POWER ISSUE</t>
        </is>
      </c>
      <c r="R453" t="inlineStr">
        <is>
          <t>Defaut GE &amp; Power Cabinet</t>
        </is>
      </c>
      <c r="S453" t="inlineStr">
        <is>
          <t>PASSIVE</t>
        </is>
      </c>
      <c r="T453" t="inlineStr">
        <is>
          <t xml:space="preserve">(04/27/2026 retour IHS): Power issue NUR to be check||  </t>
        </is>
      </c>
      <c r="U453" t="inlineStr">
        <is>
          <t>04/27/2026 retour IHS) : Power issue NUR to be check ||</t>
        </is>
      </c>
    </row>
    <row r="454">
      <c r="A454" s="96" t="n">
        <v>46139</v>
      </c>
      <c r="B454" t="inlineStr">
        <is>
          <t>Limbe-Semme-Beach-MTN</t>
        </is>
      </c>
      <c r="C454" t="inlineStr">
        <is>
          <t>SUO_082</t>
        </is>
      </c>
      <c r="D454" t="inlineStr"/>
      <c r="E454" t="inlineStr">
        <is>
          <t>IHS</t>
        </is>
      </c>
      <c r="F454" t="inlineStr">
        <is>
          <t>Grid-Gen</t>
        </is>
      </c>
      <c r="G454" t="inlineStr">
        <is>
          <t>SUD-OUEST</t>
        </is>
      </c>
      <c r="H454" t="inlineStr">
        <is>
          <t>Limbe</t>
        </is>
      </c>
      <c r="I454" t="inlineStr"/>
      <c r="J454" t="inlineStr"/>
      <c r="K454" t="inlineStr"/>
      <c r="L454" t="inlineStr"/>
      <c r="M454" t="inlineStr"/>
      <c r="N454" t="inlineStr">
        <is>
          <t>Operationnel</t>
        </is>
      </c>
      <c r="O454" t="inlineStr"/>
      <c r="P454" t="inlineStr">
        <is>
          <t>IHS</t>
        </is>
      </c>
      <c r="Q454" t="inlineStr">
        <is>
          <t>POWER ISSUE</t>
        </is>
      </c>
      <c r="R454" t="inlineStr">
        <is>
          <t>Defaut GE &amp; Power Cabinet</t>
        </is>
      </c>
      <c r="S454" t="inlineStr">
        <is>
          <t>PASSIVE</t>
        </is>
      </c>
      <c r="T454" t="inlineStr">
        <is>
          <t>(04/27/2026 Hourly IHS): Ulrich is going to site ETA 09:30.</t>
        </is>
      </c>
      <c r="U454" t="inlineStr">
        <is>
          <t>: Ulrich is going to site ETA 09 : 30.</t>
        </is>
      </c>
    </row>
    <row r="455">
      <c r="A455" s="96" t="n">
        <v>46139</v>
      </c>
      <c r="B455" t="inlineStr">
        <is>
          <t>Garoua-Ray-Re</t>
        </is>
      </c>
      <c r="C455" t="inlineStr">
        <is>
          <t>NRD_062</t>
        </is>
      </c>
      <c r="D455" t="inlineStr"/>
      <c r="E455" t="inlineStr">
        <is>
          <t>IHS</t>
        </is>
      </c>
      <c r="F455" t="inlineStr">
        <is>
          <t>Grid-Gen</t>
        </is>
      </c>
      <c r="G455" t="inlineStr">
        <is>
          <t>NORD</t>
        </is>
      </c>
      <c r="H455" t="inlineStr">
        <is>
          <t>Garoua</t>
        </is>
      </c>
      <c r="I455" t="inlineStr"/>
      <c r="J455" t="inlineStr"/>
      <c r="K455" t="inlineStr"/>
      <c r="L455" t="inlineStr"/>
      <c r="M455" t="inlineStr"/>
      <c r="N455" t="inlineStr">
        <is>
          <t>Operationnel</t>
        </is>
      </c>
      <c r="O455" t="inlineStr"/>
      <c r="P455" t="inlineStr">
        <is>
          <t>IHS</t>
        </is>
      </c>
      <c r="Q455" t="inlineStr">
        <is>
          <t>POWER ISSUE</t>
        </is>
      </c>
      <c r="R455" t="inlineStr">
        <is>
          <t>Defaut GE &amp; Power Cabinet</t>
        </is>
      </c>
      <c r="S455" t="inlineStr">
        <is>
          <t>PASSIVE</t>
        </is>
      </c>
      <c r="T455" t="inlineStr">
        <is>
          <t xml:space="preserve">(04/27/2026 retour IHS): Power issue NUR to be check||  </t>
        </is>
      </c>
      <c r="U455" t="inlineStr">
        <is>
          <t>04/27/2026 retour IHS) : Power issue NUR to be check ||</t>
        </is>
      </c>
    </row>
    <row r="456">
      <c r="A456" s="96" t="n">
        <v>46139</v>
      </c>
      <c r="B456" t="inlineStr">
        <is>
          <t>Kouba-MTN-IHS</t>
        </is>
      </c>
      <c r="C456" t="inlineStr">
        <is>
          <t>EST_094</t>
        </is>
      </c>
      <c r="D456" t="inlineStr"/>
      <c r="E456" t="inlineStr">
        <is>
          <t>IHS</t>
        </is>
      </c>
      <c r="F456" t="inlineStr">
        <is>
          <t>Hybrid-Gen</t>
        </is>
      </c>
      <c r="G456" t="inlineStr">
        <is>
          <t>EST</t>
        </is>
      </c>
      <c r="H456" t="inlineStr">
        <is>
          <t>Kouba</t>
        </is>
      </c>
      <c r="I456" t="inlineStr"/>
      <c r="J456" t="inlineStr"/>
      <c r="K456" t="inlineStr"/>
      <c r="L456" t="inlineStr"/>
      <c r="M456" t="inlineStr"/>
      <c r="N456" t="inlineStr">
        <is>
          <t>Operationnel</t>
        </is>
      </c>
      <c r="O456" t="inlineStr"/>
      <c r="P456" t="inlineStr">
        <is>
          <t>IHS</t>
        </is>
      </c>
      <c r="Q456" t="inlineStr">
        <is>
          <t>POWER ISSUE</t>
        </is>
      </c>
      <c r="R456" t="inlineStr">
        <is>
          <t>Defaut GE &amp; Power Cabinet</t>
        </is>
      </c>
      <c r="S456" t="inlineStr">
        <is>
          <t>PASSIVE</t>
        </is>
      </c>
      <c r="T456" t="inlineStr">
        <is>
          <t>(04/27/2026 retour IHS): Power issue NUR to be check||  (04/27/2026 ocm ran 11h):-power status check ongoing..;..;(04/27/2026 ticket):-INC-20260427-00007085…Others Transmission equipement fault</t>
        </is>
      </c>
      <c r="U456" t="inlineStr">
        <is>
          <t>04/27/2026 retour IHS) : Power issue NUR to be check || : -; : -…</t>
        </is>
      </c>
    </row>
    <row r="457">
      <c r="A457" s="96" t="n">
        <v>46139</v>
      </c>
      <c r="B457" t="inlineStr">
        <is>
          <t>Palar</t>
        </is>
      </c>
      <c r="C457" t="inlineStr">
        <is>
          <t>EXN_055</t>
        </is>
      </c>
      <c r="D457" t="inlineStr"/>
      <c r="E457" t="inlineStr">
        <is>
          <t>IHS</t>
        </is>
      </c>
      <c r="F457" t="inlineStr">
        <is>
          <t>Grid-Gen</t>
        </is>
      </c>
      <c r="G457" t="inlineStr">
        <is>
          <t>EXTREME-NORD</t>
        </is>
      </c>
      <c r="H457" t="inlineStr">
        <is>
          <t>Maroua</t>
        </is>
      </c>
      <c r="I457" t="inlineStr"/>
      <c r="J457" t="inlineStr"/>
      <c r="K457" t="inlineStr"/>
      <c r="L457" t="inlineStr"/>
      <c r="M457" t="inlineStr"/>
      <c r="N457" t="inlineStr">
        <is>
          <t>Operationnel</t>
        </is>
      </c>
      <c r="O457" t="inlineStr"/>
      <c r="P457" t="inlineStr">
        <is>
          <t>IHS</t>
        </is>
      </c>
      <c r="Q457" t="inlineStr">
        <is>
          <t>POWER ISSUE</t>
        </is>
      </c>
      <c r="R457" t="inlineStr">
        <is>
          <t>Defaut GE &amp; Power Cabinet</t>
        </is>
      </c>
      <c r="S457" t="inlineStr">
        <is>
          <t>PASSIVE</t>
        </is>
      </c>
      <c r="T457" t="inlineStr">
        <is>
          <t xml:space="preserve">(04/27/2026 retour IHS): Power issue NUR to be check||  </t>
        </is>
      </c>
      <c r="U457" t="inlineStr">
        <is>
          <t>04/27/2026 retour IHS) : Power issue NUR to be check ||</t>
        </is>
      </c>
    </row>
    <row r="458">
      <c r="A458" s="96" t="n">
        <v>46139</v>
      </c>
      <c r="B458" t="inlineStr">
        <is>
          <t>Obobogo-New</t>
        </is>
      </c>
      <c r="C458" t="inlineStr">
        <is>
          <t>CTR_543</t>
        </is>
      </c>
      <c r="D458" t="inlineStr"/>
      <c r="E458" t="inlineStr">
        <is>
          <t>IHS</t>
        </is>
      </c>
      <c r="F458" t="inlineStr">
        <is>
          <t>Grid-Gen</t>
        </is>
      </c>
      <c r="G458" t="inlineStr">
        <is>
          <t>CENTRE</t>
        </is>
      </c>
      <c r="H458" t="inlineStr">
        <is>
          <t>Yaounde</t>
        </is>
      </c>
      <c r="I458" t="inlineStr"/>
      <c r="J458" t="inlineStr"/>
      <c r="K458" t="inlineStr"/>
      <c r="L458" t="inlineStr"/>
      <c r="M458" t="inlineStr"/>
      <c r="N458" t="inlineStr">
        <is>
          <t>Operationnel</t>
        </is>
      </c>
      <c r="O458" t="inlineStr"/>
      <c r="P458" t="inlineStr">
        <is>
          <t>IHS</t>
        </is>
      </c>
      <c r="Q458" t="inlineStr">
        <is>
          <t>POWER ISSUE</t>
        </is>
      </c>
      <c r="R458" t="inlineStr">
        <is>
          <t>Defaut GE &amp; Power Cabinet</t>
        </is>
      </c>
      <c r="S458" t="inlineStr">
        <is>
          <t>PASSIVE</t>
        </is>
      </c>
      <c r="T458" t="inlineStr">
        <is>
          <t xml:space="preserve">(04/27/2026 retour IHS): Power issue NUR to be check||  </t>
        </is>
      </c>
      <c r="U458" t="inlineStr">
        <is>
          <t>04/27/2026 retour IHS) : Power issue NUR to be check ||</t>
        </is>
      </c>
    </row>
    <row r="459">
      <c r="A459" s="96" t="n">
        <v>46139</v>
      </c>
      <c r="B459" t="inlineStr">
        <is>
          <t>Bamenkombo</t>
        </is>
      </c>
      <c r="C459" t="inlineStr">
        <is>
          <t>OST_155</t>
        </is>
      </c>
      <c r="D459" t="inlineStr"/>
      <c r="E459" t="inlineStr">
        <is>
          <t>IHS</t>
        </is>
      </c>
      <c r="F459" t="inlineStr">
        <is>
          <t>Grid-Gen</t>
        </is>
      </c>
      <c r="G459" t="inlineStr">
        <is>
          <t>OUEST</t>
        </is>
      </c>
      <c r="H459" t="inlineStr">
        <is>
          <t>Bamenkombo</t>
        </is>
      </c>
      <c r="I459" t="inlineStr"/>
      <c r="J459" t="inlineStr"/>
      <c r="K459" t="inlineStr"/>
      <c r="L459" t="inlineStr"/>
      <c r="M459" t="inlineStr"/>
      <c r="N459" t="inlineStr">
        <is>
          <t>Operationnel</t>
        </is>
      </c>
      <c r="O459" t="inlineStr"/>
      <c r="P459" t="inlineStr">
        <is>
          <t>IHS</t>
        </is>
      </c>
      <c r="Q459" t="inlineStr">
        <is>
          <t>POWER ISSUE</t>
        </is>
      </c>
      <c r="R459" t="inlineStr">
        <is>
          <t>Defaut GE &amp; Power Cabinet</t>
        </is>
      </c>
      <c r="S459" t="inlineStr">
        <is>
          <t>PASSIVE</t>
        </is>
      </c>
      <c r="T459" t="inlineStr">
        <is>
          <t xml:space="preserve">(04/27/2026 retour IHS): Power issue NUR to be check||  </t>
        </is>
      </c>
      <c r="U459" t="inlineStr">
        <is>
          <t>04/27/2026 retour IHS) : Power issue NUR to be check ||</t>
        </is>
      </c>
    </row>
    <row r="460">
      <c r="A460" s="96" t="n">
        <v>46139</v>
      </c>
      <c r="B460" t="inlineStr">
        <is>
          <t>Ngola-MTN</t>
        </is>
      </c>
      <c r="C460" t="inlineStr">
        <is>
          <t>EST_043</t>
        </is>
      </c>
      <c r="D460" t="inlineStr"/>
      <c r="E460" t="inlineStr">
        <is>
          <t>IHS</t>
        </is>
      </c>
      <c r="F460" t="inlineStr">
        <is>
          <t>Solar-Gen</t>
        </is>
      </c>
      <c r="G460" t="inlineStr">
        <is>
          <t>EST</t>
        </is>
      </c>
      <c r="H460" t="inlineStr">
        <is>
          <t>Ngola</t>
        </is>
      </c>
      <c r="I460" t="inlineStr"/>
      <c r="J460" t="inlineStr"/>
      <c r="K460" t="inlineStr"/>
      <c r="L460" t="inlineStr"/>
      <c r="M460" t="inlineStr"/>
      <c r="N460" t="inlineStr">
        <is>
          <t>Operationnel</t>
        </is>
      </c>
      <c r="O460" t="inlineStr"/>
      <c r="P460" t="inlineStr">
        <is>
          <t>IHS</t>
        </is>
      </c>
      <c r="Q460" t="inlineStr">
        <is>
          <t>POWER ISSUE</t>
        </is>
      </c>
      <c r="R460" t="inlineStr">
        <is>
          <t>Defaut GE &amp; Power Cabinet</t>
        </is>
      </c>
      <c r="S460" t="inlineStr">
        <is>
          <t>PASSIVE</t>
        </is>
      </c>
      <c r="T460" t="inlineStr">
        <is>
          <t>(04/27/2026 retour IHS): Power issue NUR to be check||  (04/27/2026 ticket):-INC-20260427-00001940</t>
        </is>
      </c>
      <c r="U460" t="inlineStr">
        <is>
          <t>04/27/2026 retour IHS) : Power issue NUR to be check || : -</t>
        </is>
      </c>
    </row>
    <row r="461">
      <c r="A461" s="96" t="n">
        <v>46139</v>
      </c>
      <c r="B461" t="inlineStr">
        <is>
          <t>Kodek-Djarengol</t>
        </is>
      </c>
      <c r="C461" t="inlineStr">
        <is>
          <t>EXN_053</t>
        </is>
      </c>
      <c r="D461" t="inlineStr"/>
      <c r="E461" t="inlineStr">
        <is>
          <t>IHS</t>
        </is>
      </c>
      <c r="F461" t="inlineStr">
        <is>
          <t>Grid-Gen</t>
        </is>
      </c>
      <c r="G461" t="inlineStr">
        <is>
          <t>EXTREME-NORD</t>
        </is>
      </c>
      <c r="H461" t="inlineStr">
        <is>
          <t>Maroua</t>
        </is>
      </c>
      <c r="I461" t="inlineStr"/>
      <c r="J461" t="inlineStr"/>
      <c r="K461" t="inlineStr"/>
      <c r="L461" t="inlineStr"/>
      <c r="M461" t="inlineStr"/>
      <c r="N461" t="inlineStr">
        <is>
          <t>Operationnel</t>
        </is>
      </c>
      <c r="O461" t="inlineStr"/>
      <c r="P461" t="inlineStr">
        <is>
          <t>BSS</t>
        </is>
      </c>
      <c r="Q461" t="inlineStr">
        <is>
          <t>RAN ISSUE</t>
        </is>
      </c>
      <c r="R461" t="inlineStr">
        <is>
          <t>BSS Hardware issue</t>
        </is>
      </c>
      <c r="S461" t="inlineStr">
        <is>
          <t>ACTIVE</t>
        </is>
      </c>
      <c r="T461" t="inlineStr">
        <is>
          <t>(04/27/2026 cell huawei):-27/04/2026 : Besoin d'analyse BO RAN || Configured Capacity Limit Exceeding Licensed Limit..;..;(04/27/2026 cell huawei):-27/04/2026 : Besoin d'analyse BO RAN || Configured Capacity Limit Exceeding Licensed Limit</t>
        </is>
      </c>
      <c r="U461" t="inlineStr">
        <is>
          <t>04/27/2026 cell huawei) : -27/04/2026 : Besoin d'analyse BO RAN || Configured Capacity Limit Exceeding Licensed Limit.;.;(04/27/2026 cell huawei) : -27/04/2026 : Besoin d'analyse BO RAN || Configured Capacity Limit Exceeding Licensed Limit</t>
        </is>
      </c>
    </row>
    <row r="462">
      <c r="A462" s="96" t="n">
        <v>46139</v>
      </c>
      <c r="B462" t="inlineStr">
        <is>
          <t>Baiboum</t>
        </is>
      </c>
      <c r="C462" t="inlineStr">
        <is>
          <t>ADM_008</t>
        </is>
      </c>
      <c r="D462" t="inlineStr"/>
      <c r="E462" t="inlineStr">
        <is>
          <t>IHS</t>
        </is>
      </c>
      <c r="F462" t="inlineStr">
        <is>
          <t>Gen Only</t>
        </is>
      </c>
      <c r="G462" t="inlineStr">
        <is>
          <t>ADAMAOUA</t>
        </is>
      </c>
      <c r="H462" t="inlineStr">
        <is>
          <t>Baiboum</t>
        </is>
      </c>
      <c r="I462" t="inlineStr"/>
      <c r="J462" t="inlineStr"/>
      <c r="K462" t="inlineStr"/>
      <c r="L462" t="inlineStr"/>
      <c r="M462" t="inlineStr"/>
      <c r="N462" t="inlineStr">
        <is>
          <t>Operationnel</t>
        </is>
      </c>
      <c r="O462" t="inlineStr"/>
      <c r="P462" t="inlineStr">
        <is>
          <t>IHS</t>
        </is>
      </c>
      <c r="Q462" t="inlineStr">
        <is>
          <t>POWER ISSUE</t>
        </is>
      </c>
      <c r="R462" t="inlineStr">
        <is>
          <t>Defaut GE &amp; Power Cabinet</t>
        </is>
      </c>
      <c r="S462" t="inlineStr">
        <is>
          <t>PASSIVE</t>
        </is>
      </c>
      <c r="T462" t="inlineStr">
        <is>
          <t xml:space="preserve">(04/27/2026 retour IHS): Power issue NUR to be check||  </t>
        </is>
      </c>
      <c r="U462" t="inlineStr">
        <is>
          <t>04/27/2026 retour IHS) : Power issue NUR to be check ||</t>
        </is>
      </c>
    </row>
    <row r="463">
      <c r="A463" s="96" t="n">
        <v>46139</v>
      </c>
      <c r="B463" t="inlineStr">
        <is>
          <t>Ndu</t>
        </is>
      </c>
      <c r="C463" t="inlineStr">
        <is>
          <t>NRO_009</t>
        </is>
      </c>
      <c r="D463" t="inlineStr"/>
      <c r="E463" t="inlineStr">
        <is>
          <t>IHS</t>
        </is>
      </c>
      <c r="F463" t="inlineStr">
        <is>
          <t>Grid-Gen</t>
        </is>
      </c>
      <c r="G463" t="inlineStr">
        <is>
          <t>NORD-OUEST</t>
        </is>
      </c>
      <c r="H463" t="inlineStr">
        <is>
          <t>NDU</t>
        </is>
      </c>
      <c r="I463" t="inlineStr"/>
      <c r="J463" t="inlineStr"/>
      <c r="K463" t="inlineStr"/>
      <c r="L463" t="inlineStr"/>
      <c r="M463" t="inlineStr"/>
      <c r="N463" t="inlineStr">
        <is>
          <t>Insecurity</t>
        </is>
      </c>
      <c r="O463" t="inlineStr"/>
      <c r="P463" t="inlineStr">
        <is>
          <t>ACCESS-ISSUE</t>
        </is>
      </c>
      <c r="Q463" t="inlineStr">
        <is>
          <t>ACCESS-ISSUE</t>
        </is>
      </c>
      <c r="R463" t="inlineStr">
        <is>
          <t>ACCESS-ISSUE</t>
        </is>
      </c>
      <c r="S463" t="inlineStr">
        <is>
          <t>ACCESS-ISSUE</t>
        </is>
      </c>
      <c r="T463" t="inlineStr">
        <is>
          <t>(04/27/2026 cell nokia):-
27/04/2026 : Ghost town 
27/04/2026 : Check breaker and  interconnection FRMF (sfp, optical fiber) between system and radio module, swap its if needed..;..;(04/27/2026 ticket):-INC-20260427-00006503…Others Transmission equipement fault</t>
        </is>
      </c>
      <c r="U463" t="inlineStr">
        <is>
          <t>04/27/2026 cell nokia) : - 27/04/2026 : Ghost town 27/04/2026 : Check breaker and interconnection FRMF (sfp, optical fiber) between system and radio module, swap its if needed.;.; : -…</t>
        </is>
      </c>
    </row>
    <row r="464">
      <c r="A464" s="96" t="n">
        <v>46139</v>
      </c>
      <c r="B464" t="inlineStr">
        <is>
          <t>Wakwa-IHS</t>
        </is>
      </c>
      <c r="C464" t="inlineStr">
        <is>
          <t>ADM_078</t>
        </is>
      </c>
      <c r="D464" t="inlineStr"/>
      <c r="E464" t="inlineStr">
        <is>
          <t>IHS</t>
        </is>
      </c>
      <c r="F464" t="inlineStr">
        <is>
          <t>Grid-Gen</t>
        </is>
      </c>
      <c r="G464" t="inlineStr">
        <is>
          <t>ADAMAOUA</t>
        </is>
      </c>
      <c r="H464" t="inlineStr">
        <is>
          <t>Wakwa</t>
        </is>
      </c>
      <c r="I464" t="inlineStr"/>
      <c r="J464" t="inlineStr"/>
      <c r="K464" t="inlineStr"/>
      <c r="L464" t="inlineStr"/>
      <c r="M464" t="inlineStr"/>
      <c r="N464" t="inlineStr">
        <is>
          <t>Operationnel</t>
        </is>
      </c>
      <c r="O464" t="inlineStr"/>
      <c r="P464" t="inlineStr">
        <is>
          <t>IHS</t>
        </is>
      </c>
      <c r="Q464" t="inlineStr">
        <is>
          <t>POWER ISSUE</t>
        </is>
      </c>
      <c r="R464" t="inlineStr">
        <is>
          <t>Defaut GE &amp; Power Cabinet</t>
        </is>
      </c>
      <c r="S464" t="inlineStr">
        <is>
          <t>PASSIVE</t>
        </is>
      </c>
      <c r="T464" t="inlineStr">
        <is>
          <t xml:space="preserve">(04/27/2026 retour IHS): Power issue NUR to be check||  </t>
        </is>
      </c>
      <c r="U464" t="inlineStr">
        <is>
          <t>04/27/2026 retour IHS) : Power issue NUR to be check ||</t>
        </is>
      </c>
    </row>
    <row r="465">
      <c r="A465" s="96" t="n">
        <v>46139</v>
      </c>
      <c r="B465" t="inlineStr">
        <is>
          <t>Maroua-Doualare-II</t>
        </is>
      </c>
      <c r="C465" t="inlineStr">
        <is>
          <t>EXN_111</t>
        </is>
      </c>
      <c r="D465" t="inlineStr"/>
      <c r="E465" t="inlineStr">
        <is>
          <t>IHS</t>
        </is>
      </c>
      <c r="F465" t="inlineStr">
        <is>
          <t>Grid-Gen</t>
        </is>
      </c>
      <c r="G465" t="inlineStr">
        <is>
          <t>EXTREME-NORD</t>
        </is>
      </c>
      <c r="H465" t="inlineStr">
        <is>
          <t>Maroua</t>
        </is>
      </c>
      <c r="I465" t="inlineStr"/>
      <c r="J465" t="inlineStr"/>
      <c r="K465" t="inlineStr"/>
      <c r="L465" t="inlineStr"/>
      <c r="M465" t="inlineStr"/>
      <c r="N465" t="inlineStr">
        <is>
          <t>Operationnel</t>
        </is>
      </c>
      <c r="O465" t="inlineStr"/>
      <c r="P465" t="inlineStr">
        <is>
          <t>IHS</t>
        </is>
      </c>
      <c r="Q465" t="inlineStr">
        <is>
          <t>POWER ISSUE</t>
        </is>
      </c>
      <c r="R465" t="inlineStr">
        <is>
          <t>Defaut GE &amp; Power Cabinet</t>
        </is>
      </c>
      <c r="S465" t="inlineStr">
        <is>
          <t>PASSIVE</t>
        </is>
      </c>
      <c r="T465" t="inlineStr">
        <is>
          <t xml:space="preserve">(04/27/2026 retour IHS): Power issue NUR to be check||  </t>
        </is>
      </c>
      <c r="U465" t="inlineStr">
        <is>
          <t>04/27/2026 retour IHS) : Power issue NUR to be check ||</t>
        </is>
      </c>
    </row>
    <row r="466">
      <c r="A466" s="96" t="n">
        <v>46139</v>
      </c>
      <c r="B466" t="inlineStr">
        <is>
          <t>Emana-Lycee2-MTN-IHS</t>
        </is>
      </c>
      <c r="C466" t="inlineStr">
        <is>
          <t>CTR_518</t>
        </is>
      </c>
      <c r="D466" t="inlineStr"/>
      <c r="E466" t="inlineStr">
        <is>
          <t>IHS</t>
        </is>
      </c>
      <c r="F466" t="inlineStr">
        <is>
          <t>Grid-Gen</t>
        </is>
      </c>
      <c r="G466" t="inlineStr">
        <is>
          <t>CENTRE</t>
        </is>
      </c>
      <c r="H466" t="inlineStr">
        <is>
          <t>Yaounde</t>
        </is>
      </c>
      <c r="I466" t="inlineStr"/>
      <c r="J466" t="inlineStr"/>
      <c r="K466" t="inlineStr"/>
      <c r="L466" t="inlineStr"/>
      <c r="M466" t="inlineStr"/>
      <c r="N466" t="inlineStr">
        <is>
          <t>Operationnel</t>
        </is>
      </c>
      <c r="O466" t="inlineStr"/>
      <c r="P466" t="inlineStr">
        <is>
          <t>IHS</t>
        </is>
      </c>
      <c r="Q466" t="inlineStr">
        <is>
          <t>POWER ISSUE</t>
        </is>
      </c>
      <c r="R466" t="inlineStr">
        <is>
          <t>Defaut GE &amp; Power Cabinet</t>
        </is>
      </c>
      <c r="S466" t="inlineStr">
        <is>
          <t>PASSIVE</t>
        </is>
      </c>
      <c r="T466" t="inlineStr">
        <is>
          <t xml:space="preserve">(04/27/2026 retour IHS): Power issue NUR to be check||  </t>
        </is>
      </c>
      <c r="U466" t="inlineStr">
        <is>
          <t>04/27/2026 retour IHS) : Power issue NUR to be check ||</t>
        </is>
      </c>
    </row>
    <row r="467">
      <c r="A467" s="96" t="n">
        <v>46139</v>
      </c>
      <c r="B467" t="inlineStr">
        <is>
          <t>Meidougou-MTN</t>
        </is>
      </c>
      <c r="C467" t="inlineStr">
        <is>
          <t>ADM_062</t>
        </is>
      </c>
      <c r="D467" t="inlineStr"/>
      <c r="E467" t="inlineStr">
        <is>
          <t>IHS</t>
        </is>
      </c>
      <c r="F467" t="inlineStr">
        <is>
          <t>Grid-Gen</t>
        </is>
      </c>
      <c r="G467" t="inlineStr">
        <is>
          <t>ADAMAOUA</t>
        </is>
      </c>
      <c r="H467" t="inlineStr">
        <is>
          <t>Meidougou</t>
        </is>
      </c>
      <c r="I467" t="inlineStr"/>
      <c r="J467" t="inlineStr"/>
      <c r="K467" t="inlineStr"/>
      <c r="L467" t="inlineStr"/>
      <c r="M467" t="inlineStr"/>
      <c r="N467" t="inlineStr">
        <is>
          <t>Operationnel</t>
        </is>
      </c>
      <c r="O467" t="inlineStr"/>
      <c r="P467" t="inlineStr">
        <is>
          <t>IHS</t>
        </is>
      </c>
      <c r="Q467" t="inlineStr">
        <is>
          <t>POWER ISSUE</t>
        </is>
      </c>
      <c r="R467" t="inlineStr">
        <is>
          <t>Defaut GE &amp; Power Cabinet</t>
        </is>
      </c>
      <c r="S467" t="inlineStr">
        <is>
          <t>PASSIVE</t>
        </is>
      </c>
      <c r="T467" t="inlineStr">
        <is>
          <t>(04/27/2026 Hourly IHS): fme Bassirou is managing with level 0 ||(04/27/2026 ocm ran 17h):-26/04/2026 FSMF expedié de GAROUA ETD=27.04.2025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Site foudroyé les deux FSMF en défaut ils redémarre en continu nécessaire en remplacement.Commande en cours. Update ASAP
20.04.2026: FME activé, ETA 12H
19.04.26; Besoin d'un FME sur site pour vérifier le statut des 2 BTS, leur alimentation et leur interco avec le MPR S1P1&amp;2; FME Hippolite activé pour investigations, update ASAP..;..;(04/27/2026 ocm ran 11h):-26/04/2026 FSMF expedié de GAROUA ETD=27.04.2025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Site foudroyé les deux FSMF en défaut ils redémarre en continu nécessaire en remplacement.Commande en cours. Update ASAP
20.04.2026: FME activé, ETA 12H
19.04.26; Besoin d'un FME sur site pour vérifier le statut des 2 BTS, leur alimentation et leur interco avec le MPR S1P1&amp;2; FME Hippolite activé pour investigations, update ASAP..;..;(04/27/2026 ticket):-INC-20260427-00012498…Others Transmission equipement fault</t>
        </is>
      </c>
      <c r="U467" t="inlineStr">
        <is>
          <t>: fme Bassirou is managing with level 0 || : -26/04/2026 FSMF expedié de GAROUA ETD=27.04.2025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 Site foudroyé les deux FSMF en défaut ils redémarre en continu nécessaire en remplacement.Commande en cours. Update ASAP 20.04.2026 : FME activé, ETA 12H 19.04.26; Besoin d'un FME sur site pour vérifier le statut des 2 BTS, leur alimentation et leur interco avec le MPR S1P1&amp;2; FME Hippolite activé pour investigations, update ASAP.;.; : -26/04/2026 FSMF expedié de GAROUA ETD=27.04.2025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 Site foudroyé les deux FSMF en défaut ils redémarre en continu nécessaire en remplacement.Commande en cours. Update ASAP 20.04.2026 : FME activé, ETA 12H 19.04.26; Besoin d'un FME sur site pour vérifier le statut des 2 BTS, leur alimentation et leur interco avec le MPR S1P1&amp;2; FME Hippolite activé pour investigations, update ASAP.;.; : -…</t>
        </is>
      </c>
    </row>
    <row r="468">
      <c r="A468" s="96" t="n">
        <v>46139</v>
      </c>
      <c r="B468" t="inlineStr">
        <is>
          <t>Ngd-Bamyangal-New</t>
        </is>
      </c>
      <c r="C468" t="inlineStr">
        <is>
          <t>ADM_131</t>
        </is>
      </c>
      <c r="D468" t="inlineStr"/>
      <c r="E468" t="inlineStr">
        <is>
          <t>IHS</t>
        </is>
      </c>
      <c r="F468" t="inlineStr">
        <is>
          <t>Grid-Gen</t>
        </is>
      </c>
      <c r="G468" t="inlineStr">
        <is>
          <t>ADAMAOUA</t>
        </is>
      </c>
      <c r="H468" t="inlineStr">
        <is>
          <t>Ngaoundere</t>
        </is>
      </c>
      <c r="I468" t="inlineStr"/>
      <c r="J468" t="inlineStr"/>
      <c r="K468" t="inlineStr"/>
      <c r="L468" t="inlineStr"/>
      <c r="M468" t="inlineStr"/>
      <c r="N468" t="inlineStr">
        <is>
          <t>Operationnel</t>
        </is>
      </c>
      <c r="O468" t="inlineStr"/>
      <c r="P468" t="inlineStr">
        <is>
          <t>IHS</t>
        </is>
      </c>
      <c r="Q468" t="inlineStr">
        <is>
          <t>POWER ISSUE</t>
        </is>
      </c>
      <c r="R468" t="inlineStr">
        <is>
          <t>Defaut GE &amp; Power Cabinet</t>
        </is>
      </c>
      <c r="S468" t="inlineStr">
        <is>
          <t>PASSIVE</t>
        </is>
      </c>
      <c r="T468" t="inlineStr">
        <is>
          <t xml:space="preserve">(04/27/2026 retour IHS): Power issue NUR to be check||  </t>
        </is>
      </c>
      <c r="U468" t="inlineStr">
        <is>
          <t>04/27/2026 retour IHS) : Power issue NUR to be check ||</t>
        </is>
      </c>
    </row>
    <row r="469">
      <c r="A469" s="96" t="n">
        <v>46139</v>
      </c>
      <c r="B469" t="inlineStr">
        <is>
          <t>Mayo-Darle-MTN</t>
        </is>
      </c>
      <c r="C469" t="inlineStr">
        <is>
          <t>ADM_068</t>
        </is>
      </c>
      <c r="D469" t="inlineStr"/>
      <c r="E469" t="inlineStr">
        <is>
          <t>IHS</t>
        </is>
      </c>
      <c r="F469" t="inlineStr">
        <is>
          <t>Hybrid-Gen</t>
        </is>
      </c>
      <c r="G469" t="inlineStr">
        <is>
          <t>ADAMAOUA</t>
        </is>
      </c>
      <c r="H469" t="inlineStr">
        <is>
          <t>Mayo-Darle</t>
        </is>
      </c>
      <c r="I469" t="inlineStr"/>
      <c r="J469" t="inlineStr"/>
      <c r="K469" t="inlineStr"/>
      <c r="L469" t="inlineStr"/>
      <c r="M469" t="inlineStr"/>
      <c r="N469" t="inlineStr">
        <is>
          <t>Operationnel</t>
        </is>
      </c>
      <c r="O469" t="inlineStr"/>
      <c r="P469" t="inlineStr">
        <is>
          <t>IHS</t>
        </is>
      </c>
      <c r="Q469" t="inlineStr">
        <is>
          <t>POWER ISSUE</t>
        </is>
      </c>
      <c r="R469" t="inlineStr">
        <is>
          <t>Defaut GE &amp; Power Cabinet</t>
        </is>
      </c>
      <c r="S469" t="inlineStr">
        <is>
          <t>PASSIVE</t>
        </is>
      </c>
      <c r="T469" t="inlineStr">
        <is>
          <t>(04/27/2026 retour IHS): Power issue NUR to be check||  (04/27/2026 ticket):-INC-20260427-00014982…Others Transmission equipement fault</t>
        </is>
      </c>
      <c r="U469" t="inlineStr">
        <is>
          <t>04/27/2026 retour IHS) : Power issue NUR to be check || : -…</t>
        </is>
      </c>
    </row>
    <row r="470">
      <c r="A470" s="96" t="n">
        <v>46139</v>
      </c>
      <c r="B470" t="inlineStr">
        <is>
          <t>Ribao</t>
        </is>
      </c>
      <c r="C470" t="inlineStr">
        <is>
          <t>NRD_028</t>
        </is>
      </c>
      <c r="D470" t="inlineStr"/>
      <c r="E470" t="inlineStr">
        <is>
          <t>IHS</t>
        </is>
      </c>
      <c r="F470" t="inlineStr">
        <is>
          <t>Solar-Gen</t>
        </is>
      </c>
      <c r="G470" t="inlineStr">
        <is>
          <t>NORD</t>
        </is>
      </c>
      <c r="H470" t="inlineStr">
        <is>
          <t>Ribao</t>
        </is>
      </c>
      <c r="I470" t="inlineStr"/>
      <c r="J470" t="inlineStr"/>
      <c r="K470" t="inlineStr"/>
      <c r="L470" t="inlineStr"/>
      <c r="M470" t="inlineStr"/>
      <c r="N470" t="inlineStr">
        <is>
          <t>Operationnel</t>
        </is>
      </c>
      <c r="O470" t="inlineStr"/>
      <c r="P470" t="inlineStr">
        <is>
          <t>BSS</t>
        </is>
      </c>
      <c r="Q470" t="inlineStr">
        <is>
          <t>RAN ISSUE</t>
        </is>
      </c>
      <c r="R470" t="inlineStr">
        <is>
          <t>BSS Hardware issue</t>
        </is>
      </c>
      <c r="S470" t="inlineStr">
        <is>
          <t>ACTIVE</t>
        </is>
      </c>
      <c r="T470" t="inlineStr">
        <is>
          <t>(04/27/2026 cell huawei):-27/04/2026 : Besoin d'analyse BO RAN || Configured Capacity Limit Exceeding Licensed Limit..;..;(04/27/2026 cell huawei):-27/04/2026 : Besoin d'analyse BO RAN || Configured Capacity Limit Exceeding Licensed Limit</t>
        </is>
      </c>
      <c r="U470" t="inlineStr">
        <is>
          <t>04/27/2026 cell huawei) : -27/04/2026 : Besoin d'analyse BO RAN || Configured Capacity Limit Exceeding Licensed Limit.;.;(04/27/2026 cell huawei) : -27/04/2026 : Besoin d'analyse BO RAN || Configured Capacity Limit Exceeding Licensed Limit</t>
        </is>
      </c>
    </row>
    <row r="471">
      <c r="A471" s="96" t="n">
        <v>46139</v>
      </c>
      <c r="B471" t="inlineStr">
        <is>
          <t>Maroua-Camp-SIC</t>
        </is>
      </c>
      <c r="C471" t="inlineStr">
        <is>
          <t>EXN_071</t>
        </is>
      </c>
      <c r="D471" t="inlineStr"/>
      <c r="E471" t="inlineStr">
        <is>
          <t>IHS</t>
        </is>
      </c>
      <c r="F471" t="inlineStr">
        <is>
          <t>Grid-Gen</t>
        </is>
      </c>
      <c r="G471" t="inlineStr">
        <is>
          <t>EXTREME-NORD</t>
        </is>
      </c>
      <c r="H471" t="inlineStr">
        <is>
          <t>Maroua</t>
        </is>
      </c>
      <c r="I471" t="inlineStr"/>
      <c r="J471" t="inlineStr"/>
      <c r="K471" t="inlineStr"/>
      <c r="L471" t="inlineStr"/>
      <c r="M471" t="inlineStr"/>
      <c r="N471" t="inlineStr">
        <is>
          <t>Operationnel</t>
        </is>
      </c>
      <c r="O471" t="inlineStr"/>
      <c r="P471" t="inlineStr">
        <is>
          <t>IHS</t>
        </is>
      </c>
      <c r="Q471" t="inlineStr">
        <is>
          <t>POWER ISSUE</t>
        </is>
      </c>
      <c r="R471" t="inlineStr">
        <is>
          <t>Defaut GE &amp; Power Cabinet</t>
        </is>
      </c>
      <c r="S471" t="inlineStr">
        <is>
          <t>PASSIVE</t>
        </is>
      </c>
      <c r="T471" t="inlineStr">
        <is>
          <t xml:space="preserve">(04/27/2026 retour IHS): Power issue NUR to be check||  </t>
        </is>
      </c>
      <c r="U471" t="inlineStr">
        <is>
          <t>04/27/2026 retour IHS) : Power issue NUR to be check ||</t>
        </is>
      </c>
    </row>
    <row r="472">
      <c r="A472" s="96" t="n">
        <v>46139</v>
      </c>
      <c r="B472" t="inlineStr">
        <is>
          <t>Foyemtcha</t>
        </is>
      </c>
      <c r="C472" t="inlineStr">
        <is>
          <t>OST_156</t>
        </is>
      </c>
      <c r="D472" t="inlineStr"/>
      <c r="E472" t="inlineStr">
        <is>
          <t>IHS</t>
        </is>
      </c>
      <c r="F472" t="inlineStr">
        <is>
          <t>Grid-Gen</t>
        </is>
      </c>
      <c r="G472" t="inlineStr">
        <is>
          <t>OUEST</t>
        </is>
      </c>
      <c r="H472" t="inlineStr">
        <is>
          <t>Foyemtcha</t>
        </is>
      </c>
      <c r="I472" t="inlineStr"/>
      <c r="J472" t="inlineStr"/>
      <c r="K472" t="inlineStr"/>
      <c r="L472" t="inlineStr"/>
      <c r="M472" t="inlineStr"/>
      <c r="N472" t="inlineStr">
        <is>
          <t>Operationnel</t>
        </is>
      </c>
      <c r="O472" t="inlineStr"/>
      <c r="P472" t="inlineStr">
        <is>
          <t>SPARE-ISSUE</t>
        </is>
      </c>
      <c r="Q472" t="inlineStr">
        <is>
          <t>SPARE-ISSUE</t>
        </is>
      </c>
      <c r="R472" t="inlineStr">
        <is>
          <t>Warehouse HUAWEI</t>
        </is>
      </c>
      <c r="S472" t="inlineStr">
        <is>
          <t>SPARE-ISSUE</t>
        </is>
      </c>
      <c r="T472" t="inlineStr">
        <is>
          <t>(04/27/2026 cell nokia):-27/04/2026 : Commande de la FBBC passe || ETA: 28/04/2026 
24/05/2026 : FBBC faulty spare request Ongoing. Planned to be replace on 25.04.2026
23/04/2026 : Access issue 
22/04/2026 : Need BO RAN analysis || Check and replace FBBC if needed..;..;(04/27/2026 cell nokia):-27/04/2026 : Commande de la FBBC passe || ETA: 28/04/2026 
24/05/2026 : FBBC faulty spare request Ongoing. Planned to be replace on 25.04.2026
23/04/2026 : Access issue 
22/04/2026 : Need BO RAN analysis || Check and replace FBBC if needed</t>
        </is>
      </c>
      <c r="U472" t="inlineStr">
        <is>
          <t>04/27/2026 cell nokia) : -27/04/2026 : Commande de la FBBC passe || ETA : 28/04/2026 24/05/2026 : FBBC faulty spare request Ongoing. Planned to be replace on 25.04.2026 23/04/2026 : Access issue 22/04/2026 : Need BO RAN analysis || Check and replace FBBC if needed.;.;(04/27/2026 cell nokia) : -27/04/2026 : Commande de la FBBC passe || ETA : 28/04/2026 24/05/2026 : FBBC faulty spare request Ongoing. Planned to be replace on 25.04.2026 23/04/2026 : Access issue 22/04/2026 : Need BO RAN analysis || Check and replace FBBC if needed</t>
        </is>
      </c>
    </row>
    <row r="473">
      <c r="A473" s="96" t="n">
        <v>46139</v>
      </c>
      <c r="B473" t="inlineStr">
        <is>
          <t>Tekele</t>
        </is>
      </c>
      <c r="C473" t="inlineStr">
        <is>
          <t>EXN_230</t>
        </is>
      </c>
      <c r="D473" t="inlineStr"/>
      <c r="E473" t="inlineStr">
        <is>
          <t>CAMUSAT</t>
        </is>
      </c>
      <c r="F473" t="inlineStr">
        <is>
          <t>Hybrid Solar - S3</t>
        </is>
      </c>
      <c r="G473" t="inlineStr">
        <is>
          <t>EXTREME-NORD</t>
        </is>
      </c>
      <c r="H473" t="inlineStr">
        <is>
          <t>Tekele</t>
        </is>
      </c>
      <c r="I473" t="inlineStr"/>
      <c r="J473" t="inlineStr"/>
      <c r="K473" t="inlineStr"/>
      <c r="L473" t="inlineStr"/>
      <c r="M473" t="inlineStr"/>
      <c r="N473" t="inlineStr">
        <is>
          <t>Insecurity</t>
        </is>
      </c>
      <c r="O473" t="inlineStr"/>
      <c r="P473" t="inlineStr">
        <is>
          <t>BSS</t>
        </is>
      </c>
      <c r="Q473" t="inlineStr">
        <is>
          <t>RAN ISSUE</t>
        </is>
      </c>
      <c r="R473" t="inlineStr">
        <is>
          <t>BSS Hardware issue</t>
        </is>
      </c>
      <c r="S473" t="inlineStr">
        <is>
          <t>ACTIVE</t>
        </is>
      </c>
      <c r="T473" t="inlineStr">
        <is>
          <t>(04/27/2026 cell huawei):-27/04/2026 : Besoin d'analyse BO RAN || No HW alarm observed, need a reset of BTS on site..;..;(04/27/2026 cell huawei):-27/04/2026 : Besoin d'analyse BO RAN || No HW alarm observed, need a reset of BTS on site</t>
        </is>
      </c>
      <c r="U473" t="inlineStr">
        <is>
          <t>04/27/2026 cell huawei) : -27/04/2026 : Besoin d'analyse BO RAN || No HW alarm observed, need a reset of BTS on site.;.;(04/27/2026 cell huawei) : -27/04/2026 : Besoin d'analyse BO RAN || No HW alarm observed, need a reset of BTS on site</t>
        </is>
      </c>
    </row>
    <row r="474">
      <c r="A474" s="96" t="n">
        <v>46139</v>
      </c>
      <c r="B474" t="inlineStr">
        <is>
          <t>Banefo-Baleng</t>
        </is>
      </c>
      <c r="C474" t="inlineStr">
        <is>
          <t>OST_193</t>
        </is>
      </c>
      <c r="D474" t="inlineStr"/>
      <c r="E474" t="inlineStr">
        <is>
          <t>IHS</t>
        </is>
      </c>
      <c r="F474" t="inlineStr">
        <is>
          <t>Gen Only</t>
        </is>
      </c>
      <c r="G474" t="inlineStr">
        <is>
          <t>OUEST</t>
        </is>
      </c>
      <c r="H474" t="inlineStr">
        <is>
          <t>Banefo-Baleng</t>
        </is>
      </c>
      <c r="I474" t="inlineStr"/>
      <c r="J474" t="inlineStr"/>
      <c r="K474" t="inlineStr"/>
      <c r="L474" t="inlineStr"/>
      <c r="M474" t="inlineStr"/>
      <c r="N474" t="inlineStr">
        <is>
          <t>Operationnel</t>
        </is>
      </c>
      <c r="O474" t="inlineStr"/>
      <c r="P474" t="inlineStr">
        <is>
          <t>IHS</t>
        </is>
      </c>
      <c r="Q474" t="inlineStr">
        <is>
          <t>POWER ISSUE</t>
        </is>
      </c>
      <c r="R474" t="inlineStr">
        <is>
          <t>Defaut GE &amp; Power Cabinet</t>
        </is>
      </c>
      <c r="S474" t="inlineStr">
        <is>
          <t>PASSIVE</t>
        </is>
      </c>
      <c r="T474" t="inlineStr">
        <is>
          <t xml:space="preserve">(04/27/2026 retour IHS): Power issue NUR to be check||  </t>
        </is>
      </c>
      <c r="U474" t="inlineStr">
        <is>
          <t>04/27/2026 retour IHS) : Power issue NUR to be check ||</t>
        </is>
      </c>
    </row>
    <row r="475">
      <c r="A475" s="96" t="n">
        <v>46139</v>
      </c>
      <c r="B475" t="inlineStr">
        <is>
          <t>Mfou</t>
        </is>
      </c>
      <c r="C475" t="inlineStr">
        <is>
          <t>CTR_036</t>
        </is>
      </c>
      <c r="D475" t="inlineStr"/>
      <c r="E475" t="inlineStr">
        <is>
          <t>IHS</t>
        </is>
      </c>
      <c r="F475" t="inlineStr">
        <is>
          <t>Grid-Gen</t>
        </is>
      </c>
      <c r="G475" t="inlineStr">
        <is>
          <t>CENTRE</t>
        </is>
      </c>
      <c r="H475" t="inlineStr">
        <is>
          <t>Mfou</t>
        </is>
      </c>
      <c r="I475" t="inlineStr"/>
      <c r="J475" t="inlineStr"/>
      <c r="K475" t="inlineStr"/>
      <c r="L475" t="inlineStr"/>
      <c r="M475" t="inlineStr"/>
      <c r="N475" t="inlineStr">
        <is>
          <t>Operationnel</t>
        </is>
      </c>
      <c r="O475" t="inlineStr"/>
      <c r="P475" t="inlineStr">
        <is>
          <t>IHS</t>
        </is>
      </c>
      <c r="Q475" t="inlineStr">
        <is>
          <t>POWER ISSUE</t>
        </is>
      </c>
      <c r="R475" t="inlineStr">
        <is>
          <t>Defaut GE &amp; Power Cabinet</t>
        </is>
      </c>
      <c r="S475" t="inlineStr">
        <is>
          <t>PASSIVE</t>
        </is>
      </c>
      <c r="T475" t="inlineStr">
        <is>
          <t xml:space="preserve">(04/27/2026 retour IHS): Power issue NUR to be check||  </t>
        </is>
      </c>
      <c r="U475" t="inlineStr">
        <is>
          <t>04/27/2026 retour IHS) : Power issue NUR to be check ||</t>
        </is>
      </c>
    </row>
    <row r="476">
      <c r="A476" s="96" t="n">
        <v>46139</v>
      </c>
      <c r="B476" t="inlineStr">
        <is>
          <t>Dir</t>
        </is>
      </c>
      <c r="C476" t="inlineStr">
        <is>
          <t>ADM_021</t>
        </is>
      </c>
      <c r="D476" t="inlineStr"/>
      <c r="E476" t="inlineStr">
        <is>
          <t>IHS</t>
        </is>
      </c>
      <c r="F476" t="inlineStr">
        <is>
          <t>Solar-Gen</t>
        </is>
      </c>
      <c r="G476" t="inlineStr">
        <is>
          <t>ADAMAOUA</t>
        </is>
      </c>
      <c r="H476" t="inlineStr">
        <is>
          <t>Dir</t>
        </is>
      </c>
      <c r="I476" t="inlineStr"/>
      <c r="J476" t="inlineStr"/>
      <c r="K476" t="inlineStr"/>
      <c r="L476" t="inlineStr"/>
      <c r="M476" t="inlineStr"/>
      <c r="N476" t="inlineStr">
        <is>
          <t>Operationnel</t>
        </is>
      </c>
      <c r="O476" t="inlineStr"/>
      <c r="P476" t="inlineStr">
        <is>
          <t>IHS</t>
        </is>
      </c>
      <c r="Q476" t="inlineStr">
        <is>
          <t>POWER ISSUE</t>
        </is>
      </c>
      <c r="R476" t="inlineStr">
        <is>
          <t>Defaut GE &amp; Power Cabinet</t>
        </is>
      </c>
      <c r="S476" t="inlineStr">
        <is>
          <t>PASSIVE</t>
        </is>
      </c>
      <c r="T476" t="inlineStr">
        <is>
          <t xml:space="preserve">(04/27/2026 retour IHS): Power issue NUR to be check||  </t>
        </is>
      </c>
      <c r="U476" t="inlineStr">
        <is>
          <t>04/27/2026 retour IHS) : Power issue NUR to be check ||</t>
        </is>
      </c>
    </row>
    <row r="477">
      <c r="A477" s="96" t="n">
        <v>46139</v>
      </c>
      <c r="B477" t="inlineStr">
        <is>
          <t>Emana-MTN</t>
        </is>
      </c>
      <c r="C477" t="inlineStr">
        <is>
          <t>CTR_370</t>
        </is>
      </c>
      <c r="D477" t="inlineStr"/>
      <c r="E477" t="inlineStr">
        <is>
          <t>IHS</t>
        </is>
      </c>
      <c r="F477" t="inlineStr">
        <is>
          <t>Grid-Gen</t>
        </is>
      </c>
      <c r="G477" t="inlineStr">
        <is>
          <t>CENTRE</t>
        </is>
      </c>
      <c r="H477" t="inlineStr">
        <is>
          <t>Yaounde</t>
        </is>
      </c>
      <c r="I477" t="inlineStr"/>
      <c r="J477" t="inlineStr"/>
      <c r="K477" t="inlineStr"/>
      <c r="L477" t="inlineStr"/>
      <c r="M477" t="inlineStr"/>
      <c r="N477" t="inlineStr">
        <is>
          <t>Operationnel</t>
        </is>
      </c>
      <c r="O477" t="inlineStr"/>
      <c r="P477" t="inlineStr">
        <is>
          <t>IHS</t>
        </is>
      </c>
      <c r="Q477" t="inlineStr">
        <is>
          <t>POWER ISSUE</t>
        </is>
      </c>
      <c r="R477" t="inlineStr">
        <is>
          <t>Defaut GE &amp; Power Cabinet</t>
        </is>
      </c>
      <c r="S477" t="inlineStr">
        <is>
          <t>PASSIVE</t>
        </is>
      </c>
      <c r="T477" t="inlineStr">
        <is>
          <t xml:space="preserve">(04/27/2026 retour IHS): Power issue NUR to be check||  </t>
        </is>
      </c>
      <c r="U477" t="inlineStr">
        <is>
          <t>04/27/2026 retour IHS) : Power issue NUR to be check ||</t>
        </is>
      </c>
    </row>
    <row r="478">
      <c r="A478" s="96" t="n">
        <v>46139</v>
      </c>
      <c r="B478" t="inlineStr">
        <is>
          <t>Bfsam-Toket</t>
        </is>
      </c>
      <c r="C478" t="inlineStr">
        <is>
          <t>OST_045</t>
        </is>
      </c>
      <c r="D478" t="inlineStr"/>
      <c r="E478" t="inlineStr">
        <is>
          <t>IHS</t>
        </is>
      </c>
      <c r="F478" t="inlineStr">
        <is>
          <t>Grid-Gen</t>
        </is>
      </c>
      <c r="G478" t="inlineStr">
        <is>
          <t>OUEST</t>
        </is>
      </c>
      <c r="H478" t="inlineStr">
        <is>
          <t>Bafoussam</t>
        </is>
      </c>
      <c r="I478" t="inlineStr"/>
      <c r="J478" t="inlineStr"/>
      <c r="K478" t="inlineStr"/>
      <c r="L478" t="inlineStr"/>
      <c r="M478" t="inlineStr"/>
      <c r="N478" t="inlineStr">
        <is>
          <t>Operationnel</t>
        </is>
      </c>
      <c r="O478" t="inlineStr"/>
      <c r="P478" t="inlineStr">
        <is>
          <t>IHS</t>
        </is>
      </c>
      <c r="Q478" t="inlineStr">
        <is>
          <t>POWER ISSUE</t>
        </is>
      </c>
      <c r="R478" t="inlineStr">
        <is>
          <t>Defaut GE &amp; Power Cabinet</t>
        </is>
      </c>
      <c r="S478" t="inlineStr">
        <is>
          <t>PASSIVE</t>
        </is>
      </c>
      <c r="T478" t="inlineStr">
        <is>
          <t xml:space="preserve">(04/27/2026 retour IHS): Power issue NUR to be check||  </t>
        </is>
      </c>
      <c r="U478" t="inlineStr">
        <is>
          <t>04/27/2026 retour IHS) : Power issue NUR to be check ||</t>
        </is>
      </c>
    </row>
    <row r="479">
      <c r="A479" s="96" t="n">
        <v>46139</v>
      </c>
      <c r="B479" t="inlineStr">
        <is>
          <t>Goro-IHS</t>
        </is>
      </c>
      <c r="C479" t="inlineStr">
        <is>
          <t>ADM_138</t>
        </is>
      </c>
      <c r="D479" t="inlineStr"/>
      <c r="E479" t="inlineStr">
        <is>
          <t>IHS</t>
        </is>
      </c>
      <c r="F479" t="inlineStr">
        <is>
          <t>Hybrid-Gen</t>
        </is>
      </c>
      <c r="G479" t="inlineStr">
        <is>
          <t>ADAMAOUA</t>
        </is>
      </c>
      <c r="H479" t="inlineStr">
        <is>
          <t>Goro</t>
        </is>
      </c>
      <c r="I479" t="inlineStr"/>
      <c r="J479" t="inlineStr"/>
      <c r="K479" t="inlineStr"/>
      <c r="L479" t="inlineStr"/>
      <c r="M479" t="inlineStr"/>
      <c r="N479" t="inlineStr">
        <is>
          <t>Operationnel</t>
        </is>
      </c>
      <c r="O479" t="inlineStr"/>
      <c r="P479" t="inlineStr">
        <is>
          <t>IHS</t>
        </is>
      </c>
      <c r="Q479" t="inlineStr">
        <is>
          <t>POWER ISSUE</t>
        </is>
      </c>
      <c r="R479" t="inlineStr">
        <is>
          <t>Defaut GE &amp; Power Cabinet</t>
        </is>
      </c>
      <c r="S479" t="inlineStr">
        <is>
          <t>PASSIVE</t>
        </is>
      </c>
      <c r="T479" t="inlineStr">
        <is>
          <t xml:space="preserve">(04/27/2026 retour IHS): Power issue NUR to be check||  </t>
        </is>
      </c>
      <c r="U479" t="inlineStr">
        <is>
          <t>04/27/2026 retour IHS) : Power issue NUR to be check ||</t>
        </is>
      </c>
    </row>
    <row r="480">
      <c r="A480" s="96" t="n">
        <v>46139</v>
      </c>
      <c r="B480" t="inlineStr">
        <is>
          <t>Dobiri-MTN</t>
        </is>
      </c>
      <c r="C480" t="inlineStr">
        <is>
          <t>ADM_045</t>
        </is>
      </c>
      <c r="D480" t="inlineStr"/>
      <c r="E480" t="inlineStr">
        <is>
          <t>IHS</t>
        </is>
      </c>
      <c r="F480" t="inlineStr">
        <is>
          <t>Solar-Gen</t>
        </is>
      </c>
      <c r="G480" t="inlineStr">
        <is>
          <t>ADAMAOUA</t>
        </is>
      </c>
      <c r="H480" t="inlineStr">
        <is>
          <t>Dobiri</t>
        </is>
      </c>
      <c r="I480" t="inlineStr"/>
      <c r="J480" t="inlineStr"/>
      <c r="K480" t="inlineStr"/>
      <c r="L480" t="inlineStr"/>
      <c r="M480" t="inlineStr"/>
      <c r="N480" t="inlineStr">
        <is>
          <t>Operationnel</t>
        </is>
      </c>
      <c r="O480" t="inlineStr"/>
      <c r="P480" t="inlineStr">
        <is>
          <t>IHS</t>
        </is>
      </c>
      <c r="Q480" t="inlineStr">
        <is>
          <t>POWER ISSUE</t>
        </is>
      </c>
      <c r="R480" t="inlineStr">
        <is>
          <t>Defaut GE &amp; Power Cabinet</t>
        </is>
      </c>
      <c r="S480" t="inlineStr">
        <is>
          <t>PASSIVE</t>
        </is>
      </c>
      <c r="T480" t="inlineStr">
        <is>
          <t xml:space="preserve">(04/27/2026 retour IHS): Power issue NUR to be check||  </t>
        </is>
      </c>
      <c r="U480" t="inlineStr">
        <is>
          <t>04/27/2026 retour IHS) : Power issue NUR to be check ||</t>
        </is>
      </c>
    </row>
    <row r="481">
      <c r="A481" s="96" t="n">
        <v>46139</v>
      </c>
      <c r="B481" t="inlineStr">
        <is>
          <t>Bfsam-Q-Admin</t>
        </is>
      </c>
      <c r="C481" t="inlineStr">
        <is>
          <t>OST_111</t>
        </is>
      </c>
      <c r="D481" t="inlineStr"/>
      <c r="E481" t="inlineStr">
        <is>
          <t>IHS</t>
        </is>
      </c>
      <c r="F481" t="inlineStr">
        <is>
          <t>Grid-Gen</t>
        </is>
      </c>
      <c r="G481" t="inlineStr">
        <is>
          <t>OUEST</t>
        </is>
      </c>
      <c r="H481" t="inlineStr">
        <is>
          <t>Bafoussam</t>
        </is>
      </c>
      <c r="I481" t="inlineStr"/>
      <c r="J481" t="inlineStr"/>
      <c r="K481" t="inlineStr"/>
      <c r="L481" t="inlineStr"/>
      <c r="M481" t="inlineStr"/>
      <c r="N481" t="inlineStr">
        <is>
          <t>Operationnel</t>
        </is>
      </c>
      <c r="O481" t="inlineStr"/>
      <c r="P481" t="inlineStr">
        <is>
          <t>BSS</t>
        </is>
      </c>
      <c r="Q481" t="inlineStr">
        <is>
          <t>RAN ISSUE</t>
        </is>
      </c>
      <c r="R481" t="inlineStr">
        <is>
          <t>BSS Hardware issue</t>
        </is>
      </c>
      <c r="S481" t="inlineStr">
        <is>
          <t>ACTIVE</t>
        </is>
      </c>
      <c r="T481" t="inlineStr">
        <is>
          <t>(04/27/2026 cell huawei):-27/04/2026 : Besoin d'analyse BO RAN || Configured Capacity Limit Exceeding Licensed Limit..;..;(04/27/2026 cell huawei):-27/04/2026 : Besoin d'analyse BO RAN || Configured Capacity Limit Exceeding Licensed Limit</t>
        </is>
      </c>
      <c r="U481" t="inlineStr">
        <is>
          <t>04/27/2026 cell huawei) : -27/04/2026 : Besoin d'analyse BO RAN || Configured Capacity Limit Exceeding Licensed Limit.;.;(04/27/2026 cell huawei) : -27/04/2026 : Besoin d'analyse BO RAN || Configured Capacity Limit Exceeding Licensed Limit</t>
        </is>
      </c>
    </row>
    <row r="482">
      <c r="A482" s="96" t="n">
        <v>46139</v>
      </c>
      <c r="B482" t="inlineStr">
        <is>
          <t>Mbakaou-MTN-IHS</t>
        </is>
      </c>
      <c r="C482" t="inlineStr">
        <is>
          <t>ADM_109</t>
        </is>
      </c>
      <c r="D482" t="inlineStr"/>
      <c r="E482" t="inlineStr">
        <is>
          <t>IHS</t>
        </is>
      </c>
      <c r="F482" t="inlineStr">
        <is>
          <t>Grid-Gen</t>
        </is>
      </c>
      <c r="G482" t="inlineStr">
        <is>
          <t>ADAMAOUA</t>
        </is>
      </c>
      <c r="H482" t="inlineStr">
        <is>
          <t>Mbakaou</t>
        </is>
      </c>
      <c r="I482" t="inlineStr"/>
      <c r="J482" t="inlineStr"/>
      <c r="K482" t="inlineStr"/>
      <c r="L482" t="inlineStr"/>
      <c r="M482" t="inlineStr"/>
      <c r="N482" t="inlineStr">
        <is>
          <t>Operationnel</t>
        </is>
      </c>
      <c r="O482" t="inlineStr"/>
      <c r="P482" t="inlineStr">
        <is>
          <t>IHS</t>
        </is>
      </c>
      <c r="Q482" t="inlineStr">
        <is>
          <t>POWER ISSUE</t>
        </is>
      </c>
      <c r="R482" t="inlineStr">
        <is>
          <t>Defaut GE &amp; Power Cabinet</t>
        </is>
      </c>
      <c r="S482" t="inlineStr">
        <is>
          <t>PASSIVE</t>
        </is>
      </c>
      <c r="T482" t="inlineStr">
        <is>
          <t xml:space="preserve">(04/27/2026 retour IHS): Power issue NUR to be check||  </t>
        </is>
      </c>
      <c r="U482" t="inlineStr">
        <is>
          <t>04/27/2026 retour IHS) : Power issue NUR to be check ||</t>
        </is>
      </c>
    </row>
    <row r="483">
      <c r="A483" s="96" t="n">
        <v>46139</v>
      </c>
      <c r="B483" t="inlineStr">
        <is>
          <t>Mbonso</t>
        </is>
      </c>
      <c r="C483" t="inlineStr">
        <is>
          <t>NRO_057</t>
        </is>
      </c>
      <c r="D483" t="inlineStr"/>
      <c r="E483" t="inlineStr">
        <is>
          <t>IHS</t>
        </is>
      </c>
      <c r="F483" t="inlineStr">
        <is>
          <t>Gen Only</t>
        </is>
      </c>
      <c r="G483" t="inlineStr">
        <is>
          <t>NORD-OUEST</t>
        </is>
      </c>
      <c r="H483" t="inlineStr">
        <is>
          <t>Mbonso</t>
        </is>
      </c>
      <c r="I483" t="inlineStr"/>
      <c r="J483" t="inlineStr"/>
      <c r="K483" t="inlineStr"/>
      <c r="L483" t="inlineStr"/>
      <c r="M483" t="inlineStr"/>
      <c r="N483" t="inlineStr">
        <is>
          <t>Insecurity</t>
        </is>
      </c>
      <c r="O483" t="inlineStr"/>
      <c r="P483" t="inlineStr">
        <is>
          <t>Fiber AOF</t>
        </is>
      </c>
      <c r="Q483" t="inlineStr">
        <is>
          <t>TX ISSUE</t>
        </is>
      </c>
      <c r="R483" t="inlineStr">
        <is>
          <t>fiber AOF</t>
        </is>
      </c>
      <c r="S483" t="inlineStr">
        <is>
          <t>ACTIVE</t>
        </is>
      </c>
      <c r="T483" t="inlineStr">
        <is>
          <t>(04/27/2026 cell nokia):-27/04/2026 : Need BO RAN analysis..;..;(04/27/2026 cell nokia):-27/04/2026 : Need BO RAN analysis || Closed after reset but check and replace SFP</t>
        </is>
      </c>
      <c r="U483" t="inlineStr">
        <is>
          <t>04/27/2026 cell nokia) : -27/04/2026 : Need BO RAN analysis.;.;(04/27/2026 cell nokia) : -27/04/2026 : Need BO RAN analysis || Closed after reset but check and replace SFP</t>
        </is>
      </c>
    </row>
    <row r="484">
      <c r="A484" s="96" t="n">
        <v>46139</v>
      </c>
      <c r="B484" t="inlineStr">
        <is>
          <t>Martap</t>
        </is>
      </c>
      <c r="C484" t="inlineStr">
        <is>
          <t>ADM_060</t>
        </is>
      </c>
      <c r="D484" t="inlineStr"/>
      <c r="E484" t="inlineStr">
        <is>
          <t>IHS</t>
        </is>
      </c>
      <c r="F484" t="inlineStr">
        <is>
          <t>Solar-Gen</t>
        </is>
      </c>
      <c r="G484" t="inlineStr">
        <is>
          <t>ADAMAOUA</t>
        </is>
      </c>
      <c r="H484" t="inlineStr">
        <is>
          <t>Martap</t>
        </is>
      </c>
      <c r="I484" t="inlineStr"/>
      <c r="J484" t="inlineStr"/>
      <c r="K484" t="inlineStr"/>
      <c r="L484" t="inlineStr"/>
      <c r="M484" t="inlineStr"/>
      <c r="N484" t="inlineStr">
        <is>
          <t>Operationnel</t>
        </is>
      </c>
      <c r="O484" t="inlineStr"/>
      <c r="P484" t="inlineStr">
        <is>
          <t>IHS</t>
        </is>
      </c>
      <c r="Q484" t="inlineStr">
        <is>
          <t>POWER ISSUE</t>
        </is>
      </c>
      <c r="R484" t="inlineStr">
        <is>
          <t>Defaut GE &amp; Power Cabinet</t>
        </is>
      </c>
      <c r="S484" t="inlineStr">
        <is>
          <t>PASSIVE</t>
        </is>
      </c>
      <c r="T484" t="inlineStr">
        <is>
          <t xml:space="preserve">(04/27/2026 retour IHS): Power issue NUR to be check||  </t>
        </is>
      </c>
      <c r="U484" t="inlineStr">
        <is>
          <t>04/27/2026 retour IHS) : Power issue NUR to be check ||</t>
        </is>
      </c>
    </row>
    <row r="485">
      <c r="A485" s="96" t="n">
        <v>46139</v>
      </c>
      <c r="B485" t="inlineStr">
        <is>
          <t>Ebolowa-Elat</t>
        </is>
      </c>
      <c r="C485" t="inlineStr">
        <is>
          <t>SUD_217</t>
        </is>
      </c>
      <c r="D485" t="inlineStr"/>
      <c r="E485" t="inlineStr">
        <is>
          <t>IHS</t>
        </is>
      </c>
      <c r="F485" t="inlineStr">
        <is>
          <t>Grid-Gen</t>
        </is>
      </c>
      <c r="G485" t="inlineStr">
        <is>
          <t>SUD</t>
        </is>
      </c>
      <c r="H485" t="inlineStr">
        <is>
          <t>Ebolowa</t>
        </is>
      </c>
      <c r="I485" t="inlineStr"/>
      <c r="J485" t="inlineStr"/>
      <c r="K485" t="inlineStr"/>
      <c r="L485" t="inlineStr"/>
      <c r="M485" t="inlineStr"/>
      <c r="N485" t="inlineStr">
        <is>
          <t>Operationnel</t>
        </is>
      </c>
      <c r="O485" t="inlineStr"/>
      <c r="P485" t="inlineStr">
        <is>
          <t>IHS</t>
        </is>
      </c>
      <c r="Q485" t="inlineStr">
        <is>
          <t>POWER ISSUE</t>
        </is>
      </c>
      <c r="R485" t="inlineStr">
        <is>
          <t>Defaut GE &amp; Power Cabinet</t>
        </is>
      </c>
      <c r="S485" t="inlineStr">
        <is>
          <t>PASSIVE</t>
        </is>
      </c>
      <c r="T485" t="inlineStr">
        <is>
          <t xml:space="preserve">(04/27/2026 retour IHS): Power issue NUR to be check||  </t>
        </is>
      </c>
      <c r="U485" t="inlineStr">
        <is>
          <t>04/27/2026 retour IHS) : Power issue NUR to be check ||</t>
        </is>
      </c>
    </row>
    <row r="486">
      <c r="A486" s="96" t="n">
        <v>46139</v>
      </c>
      <c r="B486" t="inlineStr">
        <is>
          <t>Sop-MTN</t>
        </is>
      </c>
      <c r="C486" t="inlineStr">
        <is>
          <t>NRO_258</t>
        </is>
      </c>
      <c r="D486" t="inlineStr"/>
      <c r="E486" t="inlineStr">
        <is>
          <t>IHS</t>
        </is>
      </c>
      <c r="F486" t="inlineStr">
        <is>
          <t>Grid-Gen</t>
        </is>
      </c>
      <c r="G486" t="inlineStr">
        <is>
          <t>NORD-OUEST</t>
        </is>
      </c>
      <c r="H486" t="inlineStr">
        <is>
          <t>Sop</t>
        </is>
      </c>
      <c r="I486" t="inlineStr"/>
      <c r="J486" t="inlineStr"/>
      <c r="K486" t="inlineStr"/>
      <c r="L486" t="inlineStr"/>
      <c r="M486" t="inlineStr"/>
      <c r="N486" t="inlineStr">
        <is>
          <t>Insecurity</t>
        </is>
      </c>
      <c r="O486" t="inlineStr"/>
      <c r="P486" t="inlineStr">
        <is>
          <t>BSS</t>
        </is>
      </c>
      <c r="Q486" t="inlineStr">
        <is>
          <t>RAN ISSUE</t>
        </is>
      </c>
      <c r="R486" t="inlineStr">
        <is>
          <t>BSS Hardware issue</t>
        </is>
      </c>
      <c r="S486" t="inlineStr">
        <is>
          <t>ACTIVE</t>
        </is>
      </c>
      <c r="T486" t="inlineStr">
        <is>
          <t>(04/27/2026 cell nokia):-27/04/2026 : Need BO RAN analysis..;..;(04/27/2026 cell nokia):-27/04/2026 : Need BO RAN analysis || Check and clean jumper, port 4 of ARGA</t>
        </is>
      </c>
      <c r="U486" t="inlineStr">
        <is>
          <t>04/27/2026 cell nokia) : -27/04/2026 : Need BO RAN analysis.;.;(04/27/2026 cell nokia) : -27/04/2026 : Need BO RAN analysis || Check and clean jumper, port 4 of ARGA</t>
        </is>
      </c>
    </row>
    <row r="487">
      <c r="A487" s="96" t="n">
        <v>46139</v>
      </c>
      <c r="B487" t="inlineStr">
        <is>
          <t>Anguissa-IHS</t>
        </is>
      </c>
      <c r="C487" t="inlineStr">
        <is>
          <t>CTR_478</t>
        </is>
      </c>
      <c r="D487" t="inlineStr"/>
      <c r="E487" t="inlineStr">
        <is>
          <t>IHS</t>
        </is>
      </c>
      <c r="F487" t="inlineStr">
        <is>
          <t>Grid-Gen</t>
        </is>
      </c>
      <c r="G487" t="inlineStr">
        <is>
          <t>CENTRE</t>
        </is>
      </c>
      <c r="H487" t="inlineStr">
        <is>
          <t>Yaounde</t>
        </is>
      </c>
      <c r="I487" t="inlineStr"/>
      <c r="J487" t="inlineStr"/>
      <c r="K487" t="inlineStr"/>
      <c r="L487" t="inlineStr"/>
      <c r="M487" t="inlineStr"/>
      <c r="N487" t="inlineStr">
        <is>
          <t>Operationnel</t>
        </is>
      </c>
      <c r="O487" t="inlineStr"/>
      <c r="P487" t="inlineStr">
        <is>
          <t>BSS</t>
        </is>
      </c>
      <c r="Q487" t="inlineStr">
        <is>
          <t>RAN ISSUE</t>
        </is>
      </c>
      <c r="R487" t="inlineStr">
        <is>
          <t>BSS Hardware issue</t>
        </is>
      </c>
      <c r="S487" t="inlineStr">
        <is>
          <t>ACTIVE</t>
        </is>
      </c>
      <c r="T487" t="inlineStr">
        <is>
          <t>04/27/2026: hardware issue,  site with GPS issue (alarm : TDD down 09Apr 02pm)</t>
        </is>
      </c>
      <c r="U487" t="inlineStr">
        <is>
          <t>04/27/2026 : hardware issue, site with GPS issue (alarm : TDD down 09Apr 02pm)</t>
        </is>
      </c>
    </row>
    <row r="488">
      <c r="A488" s="96" t="n">
        <v>46139</v>
      </c>
      <c r="B488" t="inlineStr">
        <is>
          <t>Mendji-IHS</t>
        </is>
      </c>
      <c r="C488" t="inlineStr">
        <is>
          <t>NRO_087</t>
        </is>
      </c>
      <c r="D488" t="inlineStr"/>
      <c r="E488" t="inlineStr">
        <is>
          <t>IHS</t>
        </is>
      </c>
      <c r="F488" t="inlineStr">
        <is>
          <t>Hybrid-Gen</t>
        </is>
      </c>
      <c r="G488" t="inlineStr">
        <is>
          <t>NORD-OUEST</t>
        </is>
      </c>
      <c r="H488" t="inlineStr">
        <is>
          <t>Mendji</t>
        </is>
      </c>
      <c r="I488" t="inlineStr"/>
      <c r="J488" t="inlineStr"/>
      <c r="K488" t="inlineStr"/>
      <c r="L488" t="inlineStr"/>
      <c r="M488" t="inlineStr"/>
      <c r="N488" t="inlineStr">
        <is>
          <t>Insecurity</t>
        </is>
      </c>
      <c r="O488" t="inlineStr"/>
      <c r="P488" t="inlineStr">
        <is>
          <t>ACCESS-ISSUE</t>
        </is>
      </c>
      <c r="Q488" t="inlineStr">
        <is>
          <t>ACCESS-ISSUE</t>
        </is>
      </c>
      <c r="R488" t="inlineStr">
        <is>
          <t>ACCESS-ISSUE</t>
        </is>
      </c>
      <c r="S488" t="inlineStr">
        <is>
          <t>ACCESS-ISSUE</t>
        </is>
      </c>
      <c r="T488" t="inlineStr">
        <is>
          <t>(04/27/2026 cell nokia):-28/03/2026 : Probleme d'access
27/03/2026 : Feedback du RM : Access not granted for now we keep trying
26/03/2026 : need BO RAN analysis || FME should check and replace FRGU</t>
        </is>
      </c>
      <c r="U488" t="inlineStr">
        <is>
          <t>04/27/2026 cell nokia) : -28/03/2026 : Probleme d'access 27/03/2026 : Feedback du RM : Access not granted for now we keep trying 26/03/2026 : need BO RAN analysis || FME should check and replace FRGU</t>
        </is>
      </c>
    </row>
    <row r="489">
      <c r="A489" s="96" t="n">
        <v>46139</v>
      </c>
      <c r="B489" t="inlineStr">
        <is>
          <t>Bekondo-IHS</t>
        </is>
      </c>
      <c r="C489" t="inlineStr">
        <is>
          <t>SUO_096</t>
        </is>
      </c>
      <c r="D489" t="inlineStr"/>
      <c r="E489" t="inlineStr">
        <is>
          <t>IHS</t>
        </is>
      </c>
      <c r="F489" t="inlineStr">
        <is>
          <t>Hybrid-Gen</t>
        </is>
      </c>
      <c r="G489" t="inlineStr">
        <is>
          <t>SUD-OUEST</t>
        </is>
      </c>
      <c r="H489" t="inlineStr">
        <is>
          <t>Bekondo</t>
        </is>
      </c>
      <c r="I489" t="inlineStr"/>
      <c r="J489" t="inlineStr"/>
      <c r="K489" t="inlineStr"/>
      <c r="L489" t="inlineStr"/>
      <c r="M489" t="inlineStr"/>
      <c r="N489" t="inlineStr">
        <is>
          <t>Insecurity</t>
        </is>
      </c>
      <c r="O489" t="inlineStr"/>
      <c r="P489" t="inlineStr">
        <is>
          <t>SPARE-ISSUE</t>
        </is>
      </c>
      <c r="Q489" t="inlineStr">
        <is>
          <t>SPARE-ISSUE</t>
        </is>
      </c>
      <c r="R489" t="inlineStr">
        <is>
          <t>Warehouse HUAWEI</t>
        </is>
      </c>
      <c r="S489" t="inlineStr">
        <is>
          <t>SPARE-ISSUE</t>
        </is>
      </c>
      <c r="T489" t="inlineStr">
        <is>
          <t xml:space="preserve">(04/27/2026 cell nokia):-27/04/2026 : Intervention plan for 29/04/2026 || La FXED quitte ce jour pour KOUMA 
24/04/2026 : Cde la FXED en cours 
23/04/2026 : Need BO RAN analysis ||Closed after reset but check and replace FXED ||FME  Andre activer ..;..;(04/27/2026 cell nokia):-27/04/2026 : Intervention plan for 29/04/2026 || La FXED quitte ce jour pour KOUMA 
24/04/2026 : Cde la FXED en cours 
23/04/2026 : Need BO RAN analysis ||Closed after reset but check and replace FXED ||FME  Andre activer </t>
        </is>
      </c>
      <c r="U489" t="inlineStr">
        <is>
          <t>04/27/2026 cell nokia) : -27/04/2026 : Intervention plan for 29/04/2026 || La FXED quitte ce jour pour KOUMA 24/04/2026 : Cde la FXED en cours 23/04/2026 : Need BO RAN analysis || Closed after reset but check and replace FXED || .;.;(04/27/2026 cell nokia) : -27/04/2026 : Intervention plan for 29/04/2026 || La FXED quitte ce jour pour KOUMA 24/04/2026 : Cde la FXED en cours 23/04/2026 : Need BO RAN analysis || Closed after reset but check and replace FXED ||</t>
        </is>
      </c>
    </row>
    <row r="490">
      <c r="A490" s="96" t="n">
        <v>46139</v>
      </c>
      <c r="B490" t="inlineStr">
        <is>
          <t>Baikwa-Bere</t>
        </is>
      </c>
      <c r="C490" t="inlineStr">
        <is>
          <t>NRD_056</t>
        </is>
      </c>
      <c r="D490" t="inlineStr"/>
      <c r="E490" t="inlineStr">
        <is>
          <t>IHS</t>
        </is>
      </c>
      <c r="F490" t="inlineStr">
        <is>
          <t>Solar-Gen</t>
        </is>
      </c>
      <c r="G490" t="inlineStr">
        <is>
          <t>NORD</t>
        </is>
      </c>
      <c r="H490" t="inlineStr">
        <is>
          <t>Baikwa-Bere</t>
        </is>
      </c>
      <c r="I490" t="inlineStr"/>
      <c r="J490" t="inlineStr"/>
      <c r="K490" t="inlineStr"/>
      <c r="L490" t="inlineStr"/>
      <c r="M490" t="inlineStr"/>
      <c r="N490" t="inlineStr">
        <is>
          <t>Operationnel</t>
        </is>
      </c>
      <c r="O490" t="inlineStr"/>
      <c r="P490" t="inlineStr">
        <is>
          <t>PDH</t>
        </is>
      </c>
      <c r="Q490" t="inlineStr">
        <is>
          <t>TX ISSUE</t>
        </is>
      </c>
      <c r="R490" t="inlineStr">
        <is>
          <t>MPR issue</t>
        </is>
      </c>
      <c r="S490" t="inlineStr">
        <is>
          <t>ACTIVE</t>
        </is>
      </c>
      <c r="T490" t="inlineStr">
        <is>
          <t>(04/27/2026 ocm ran 17h):-27/04/2026 Besoin d'un fme sur site pour verifier l'interco entre le MPR et la BTS S1P1 FME seydou bachirou activé manage avec le levle 0 ..;..;(04/27/2026 ocm ran 11h):-27/04/2026 Besoin d'un fme sur site pour verifier l'interco entre le MPR et la BTS S1P1 FME seydou bachirou activé ..;..;(04/27/2026 ticket):-INC-20260427-00000722…2026-04-27 12:37:25…Besoin d'un fme sur site pour verifier l'interco entre le MPR et la BTS S1P1 FME seydou activé…Others</t>
        </is>
      </c>
      <c r="U490" t="inlineStr">
        <is>
          <t>: -27/04/2026 Besoin d'un fme sur site pour verifier l'interco entre le MPR et la BTS S1P1 FME seydou bachirou activé manage avec le levle 0 .;.; : -27/04/2026 Besoin d'un fme sur site pour verifier l'interco entre le MPR et la BTS S1P1 FME seydou bachirou activé .;.; : -…2026-04-27 12 : 37 : 25…Besoin d'un fme sur site pour verifier l'interco entre le MPR et la BTS S1P1 FME seydou activé…Others</t>
        </is>
      </c>
    </row>
    <row r="491">
      <c r="A491" s="96" t="n">
        <v>46139</v>
      </c>
      <c r="B491" t="inlineStr">
        <is>
          <t>Danfili-MTN-IHS</t>
        </is>
      </c>
      <c r="C491" t="inlineStr">
        <is>
          <t>ADM_122</t>
        </is>
      </c>
      <c r="D491" t="inlineStr"/>
      <c r="E491" t="inlineStr">
        <is>
          <t>IHS</t>
        </is>
      </c>
      <c r="F491" t="inlineStr">
        <is>
          <t>Gen-Solar AER</t>
        </is>
      </c>
      <c r="G491" t="inlineStr">
        <is>
          <t>ADAMAOUA</t>
        </is>
      </c>
      <c r="H491" t="inlineStr">
        <is>
          <t>Danfili</t>
        </is>
      </c>
      <c r="I491" t="inlineStr"/>
      <c r="J491" t="inlineStr"/>
      <c r="K491" t="inlineStr"/>
      <c r="L491" t="inlineStr"/>
      <c r="M491" t="inlineStr"/>
      <c r="N491" t="inlineStr">
        <is>
          <t>Operationnel</t>
        </is>
      </c>
      <c r="O491" t="inlineStr"/>
      <c r="P491" t="inlineStr">
        <is>
          <t>BSS</t>
        </is>
      </c>
      <c r="Q491" t="inlineStr">
        <is>
          <t>RAN ISSUE</t>
        </is>
      </c>
      <c r="R491" t="inlineStr">
        <is>
          <t>BSS Hardware issue</t>
        </is>
      </c>
      <c r="S491" t="inlineStr">
        <is>
          <t>ACTIVE</t>
        </is>
      </c>
      <c r="T491" t="inlineStr">
        <is>
          <t>(04/27/2026 ocm ran 17h):-27/04/2026 BTS 4G down fme manage avec le level 0..;..;(04/27/2026 ocm ran 11h):-27/04/2026 BTS 4G down fme manage avec le level 0</t>
        </is>
      </c>
      <c r="U491" t="inlineStr">
        <is>
          <t>: -27/04/2026 BTS 4G down fme manage avec le level 0.;.; : -27/04/2026 BTS 4G down fme manage avec le level 0</t>
        </is>
      </c>
    </row>
    <row r="492">
      <c r="A492" s="96" t="n">
        <v>46139</v>
      </c>
      <c r="B492" t="inlineStr">
        <is>
          <t>Gamoko-Hill-IHS</t>
        </is>
      </c>
      <c r="C492" t="inlineStr">
        <is>
          <t>SUO_097</t>
        </is>
      </c>
      <c r="D492" t="inlineStr"/>
      <c r="E492" t="inlineStr">
        <is>
          <t>IHS</t>
        </is>
      </c>
      <c r="F492" t="inlineStr">
        <is>
          <t>Gen Only</t>
        </is>
      </c>
      <c r="G492" t="inlineStr">
        <is>
          <t>SUD-OUEST</t>
        </is>
      </c>
      <c r="H492" t="inlineStr">
        <is>
          <t>Gamoko</t>
        </is>
      </c>
      <c r="I492" t="inlineStr"/>
      <c r="J492" t="inlineStr"/>
      <c r="K492" t="inlineStr"/>
      <c r="L492" t="inlineStr"/>
      <c r="M492" t="inlineStr"/>
      <c r="N492" t="inlineStr">
        <is>
          <t>Insecurity</t>
        </is>
      </c>
      <c r="O492" t="inlineStr"/>
      <c r="P492" t="inlineStr">
        <is>
          <t>SPARE-ISSUE</t>
        </is>
      </c>
      <c r="Q492" t="inlineStr">
        <is>
          <t>SPARE-ISSUE</t>
        </is>
      </c>
      <c r="R492" t="inlineStr">
        <is>
          <t>SPARE-ISSUE</t>
        </is>
      </c>
      <c r="S492" t="inlineStr">
        <is>
          <t>SPARE-ISSUE</t>
        </is>
      </c>
      <c r="T492" t="inlineStr">
        <is>
          <t xml:space="preserve">(04/27/2026 cell nokia):-23/04/2026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..;..;(04/27/2026 cell nokia):-23/04/2026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t>
        </is>
      </c>
      <c r="U492" t="inlineStr">
        <is>
          <t>04/27/2026 cell nokia) :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.;.;(04/27/2026 cell nokia) :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t>
        </is>
      </c>
    </row>
    <row r="493">
      <c r="A493" s="96" t="n">
        <v>46139</v>
      </c>
      <c r="B493" t="inlineStr">
        <is>
          <t>Mvog-Atangana-Mballa</t>
        </is>
      </c>
      <c r="C493" t="inlineStr">
        <is>
          <t>CTR_728</t>
        </is>
      </c>
      <c r="D493" t="inlineStr"/>
      <c r="E493" t="inlineStr">
        <is>
          <t>CAMUSAT</t>
        </is>
      </c>
      <c r="F493" t="inlineStr">
        <is>
          <t>Good Grid no GE - 8h</t>
        </is>
      </c>
      <c r="G493" t="inlineStr">
        <is>
          <t>CENTRE</t>
        </is>
      </c>
      <c r="H493" t="inlineStr">
        <is>
          <t>Yaounde</t>
        </is>
      </c>
      <c r="I493" t="inlineStr"/>
      <c r="J493" t="inlineStr"/>
      <c r="K493" t="inlineStr"/>
      <c r="L493" t="inlineStr"/>
      <c r="M493" t="inlineStr"/>
      <c r="N493" t="inlineStr">
        <is>
          <t>Operationnel</t>
        </is>
      </c>
      <c r="O493" t="inlineStr"/>
      <c r="P493" t="inlineStr">
        <is>
          <t>BSS</t>
        </is>
      </c>
      <c r="Q493" t="inlineStr">
        <is>
          <t>RAN ISSUE</t>
        </is>
      </c>
      <c r="R493" t="inlineStr">
        <is>
          <t>BSS Hardware issue</t>
        </is>
      </c>
      <c r="S493" t="inlineStr">
        <is>
          <t>ACTIVE</t>
        </is>
      </c>
      <c r="T493" t="inlineStr">
        <is>
          <t>04/27/2026: hardware issue,  site with GPS issue (alarm : TDD down 09Apr 02pm)</t>
        </is>
      </c>
      <c r="U493" t="inlineStr">
        <is>
          <t>04/27/2026 : hardware issue, site with GPS issue (alarm : TDD down 09Apr 02pm)</t>
        </is>
      </c>
    </row>
    <row r="494">
      <c r="A494" s="96" t="n">
        <v>46139</v>
      </c>
      <c r="B494" t="inlineStr">
        <is>
          <t>Ngong-Marche</t>
        </is>
      </c>
      <c r="C494" t="inlineStr">
        <is>
          <t>NRD_132</t>
        </is>
      </c>
      <c r="D494" t="inlineStr"/>
      <c r="E494" t="inlineStr">
        <is>
          <t>CAMUSAT</t>
        </is>
      </c>
      <c r="F494" t="inlineStr">
        <is>
          <t>Good Grid + GE</t>
        </is>
      </c>
      <c r="G494" t="inlineStr">
        <is>
          <t>NORD</t>
        </is>
      </c>
      <c r="H494" t="inlineStr">
        <is>
          <t>Ngong</t>
        </is>
      </c>
      <c r="I494" t="inlineStr"/>
      <c r="J494" t="inlineStr"/>
      <c r="K494" t="inlineStr"/>
      <c r="L494" t="inlineStr"/>
      <c r="M494" t="inlineStr"/>
      <c r="N494" t="inlineStr">
        <is>
          <t>Operationnel</t>
        </is>
      </c>
      <c r="O494" t="inlineStr"/>
      <c r="P494" t="inlineStr">
        <is>
          <t>BSS</t>
        </is>
      </c>
      <c r="Q494" t="inlineStr">
        <is>
          <t>RAN ISSUE</t>
        </is>
      </c>
      <c r="R494" t="inlineStr">
        <is>
          <t>BSS Hardware issue</t>
        </is>
      </c>
      <c r="S494" t="inlineStr">
        <is>
          <t>ACTIVE</t>
        </is>
      </c>
      <c r="T494" t="inlineStr">
        <is>
          <t>(04/27/2026 cell huawei):-27/04/2026 :  Check Connectivite entre BBU &amp; RRU/Check FO ou SFP</t>
        </is>
      </c>
      <c r="U494" t="inlineStr">
        <is>
          <t>04/27/2026 cell huawei) : -27/04/2026 : Check Connectivite entre BBU &amp; RRU/Check FO ou SFP</t>
        </is>
      </c>
    </row>
    <row r="495">
      <c r="A495" s="96" t="n">
        <v>46139</v>
      </c>
      <c r="B495" t="inlineStr">
        <is>
          <t>Nkolmeyang-IHS</t>
        </is>
      </c>
      <c r="C495" t="inlineStr">
        <is>
          <t>CTR_442</t>
        </is>
      </c>
      <c r="D495" t="inlineStr"/>
      <c r="E495" t="inlineStr">
        <is>
          <t>IHS</t>
        </is>
      </c>
      <c r="F495" t="inlineStr">
        <is>
          <t>Grid-Gen</t>
        </is>
      </c>
      <c r="G495" t="inlineStr">
        <is>
          <t>CENTRE</t>
        </is>
      </c>
      <c r="H495" t="inlineStr">
        <is>
          <t>Nkolmeyang</t>
        </is>
      </c>
      <c r="I495" t="inlineStr"/>
      <c r="J495" t="inlineStr"/>
      <c r="K495" t="inlineStr"/>
      <c r="L495" t="inlineStr"/>
      <c r="M495" t="inlineStr"/>
      <c r="N495" t="inlineStr">
        <is>
          <t>Operationnel</t>
        </is>
      </c>
      <c r="O495" t="inlineStr"/>
      <c r="P495" t="inlineStr">
        <is>
          <t>ENVTECH</t>
        </is>
      </c>
      <c r="Q495" t="inlineStr">
        <is>
          <t>ENVTECH</t>
        </is>
      </c>
      <c r="R495" t="inlineStr">
        <is>
          <t>Sites strategiques, MLL, Pylone, etc.</t>
        </is>
      </c>
      <c r="S495" t="inlineStr">
        <is>
          <t>PASSIVE</t>
        </is>
      </c>
      <c r="T495" t="inlineStr">
        <is>
          <t>(04/27/2026 ocm ran 17h):-13/04/2026 ETR mi-juin
07/04/2026 Ce site prendra aussi sa transmission sur Tiga. Finalisation du site de Tiga  ETR:09/04/2026
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reconnection)..;..;(04/27/2026 ocm ran 11h):-13/04/2026 ETR mi-juin
07/04/2026 Ce site prendra aussi sa transmission sur Tiga. Finalisation du site de Tiga  ETR:09/04/2026
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t>
        </is>
      </c>
      <c r="U495" t="inlineStr">
        <is>
          <t>: -13/04/2026 ETR mi-juin 07/04/2026 Ce site prendra aussi sa transmission sur Tiga. Finalisation du site de Tiga ETR : 09/04/2026 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 : -13/04/2026 ETR mi-juin 07/04/2026 Ce site prendra aussi sa transmission sur Tiga. Finalisation du site de Tiga ETR : 09/04/2026 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t>
        </is>
      </c>
    </row>
    <row r="496">
      <c r="A496" s="96" t="n">
        <v>46139</v>
      </c>
      <c r="B496" t="inlineStr">
        <is>
          <t>Ouro-Dara</t>
        </is>
      </c>
      <c r="C496" t="inlineStr">
        <is>
          <t>ADM_148</t>
        </is>
      </c>
      <c r="D496" t="inlineStr"/>
      <c r="E496" t="inlineStr">
        <is>
          <t>CAMUSAT</t>
        </is>
      </c>
      <c r="F496" t="inlineStr">
        <is>
          <t>Hybrid Solar - S3</t>
        </is>
      </c>
      <c r="G496" t="inlineStr">
        <is>
          <t>ADAMAOUA</t>
        </is>
      </c>
      <c r="H496" t="inlineStr">
        <is>
          <t>Oura-Dara</t>
        </is>
      </c>
      <c r="I496" t="inlineStr"/>
      <c r="J496" t="inlineStr"/>
      <c r="K496" t="inlineStr"/>
      <c r="L496" t="inlineStr"/>
      <c r="M496" t="inlineStr"/>
      <c r="N496" t="inlineStr">
        <is>
          <t>Operationnel</t>
        </is>
      </c>
      <c r="O496" t="inlineStr"/>
      <c r="P496" t="inlineStr">
        <is>
          <t>SPARE-ISSUE</t>
        </is>
      </c>
      <c r="Q496" t="inlineStr">
        <is>
          <t>SPARE-ISSUE</t>
        </is>
      </c>
      <c r="R496" t="inlineStr">
        <is>
          <t>SPARE-ISSUE</t>
        </is>
      </c>
      <c r="S496" t="inlineStr">
        <is>
          <t>SPARE-ISSUE</t>
        </is>
      </c>
      <c r="T496" t="inlineStr">
        <is>
          <t>(04/27/2026 ocm ran 17h):-21.04.26;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status..;..;(04/27/2026 ocm ran 11h):-21.04.26;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t>
        </is>
      </c>
      <c r="U496" t="inlineStr">
        <is>
          <t>: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 :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t>
        </is>
      </c>
    </row>
    <row r="497">
      <c r="A497" s="96" t="n">
        <v>46139</v>
      </c>
      <c r="B497" t="inlineStr">
        <is>
          <t>Sodibanga</t>
        </is>
      </c>
      <c r="C497" t="inlineStr">
        <is>
          <t>LIT_515</t>
        </is>
      </c>
      <c r="D497" t="inlineStr"/>
      <c r="E497" t="inlineStr">
        <is>
          <t>IHS</t>
        </is>
      </c>
      <c r="F497" t="inlineStr">
        <is>
          <t>Hybrid-Gen</t>
        </is>
      </c>
      <c r="G497" t="inlineStr">
        <is>
          <t>LITTORAL</t>
        </is>
      </c>
      <c r="H497" t="inlineStr">
        <is>
          <t>Sodibanga</t>
        </is>
      </c>
      <c r="I497" t="inlineStr"/>
      <c r="J497" t="inlineStr"/>
      <c r="K497" t="inlineStr"/>
      <c r="L497" t="inlineStr"/>
      <c r="M497" t="inlineStr"/>
      <c r="N497" t="inlineStr">
        <is>
          <t>Operationnel</t>
        </is>
      </c>
      <c r="O497" t="inlineStr"/>
      <c r="P497" t="inlineStr">
        <is>
          <t>BSS</t>
        </is>
      </c>
      <c r="Q497" t="inlineStr">
        <is>
          <t>RAN ISSUE</t>
        </is>
      </c>
      <c r="R497" t="inlineStr">
        <is>
          <t>BSS Hardware issue</t>
        </is>
      </c>
      <c r="S497" t="inlineStr">
        <is>
          <t>ACTIVE</t>
        </is>
      </c>
      <c r="T497" t="inlineStr">
        <is>
          <t>(04/27/2026 cell nokia):-27/04/2026 : Need BO RAN analysis..;..;(04/27/2026 cell nokia):-27/04/2026 : Need BO RAN analysis || Check and clean jumper, port 2 of FRGU</t>
        </is>
      </c>
      <c r="U497" t="inlineStr">
        <is>
          <t>04/27/2026 cell nokia) : -27/04/2026 : Need BO RAN analysis.;.;(04/27/2026 cell nokia) : -27/04/2026 : Need BO RAN analysis || Check and clean jumper, port 2 of FRGU</t>
        </is>
      </c>
    </row>
    <row r="498">
      <c r="A498" s="96" t="n">
        <v>46139</v>
      </c>
      <c r="B498" t="inlineStr">
        <is>
          <t>Bastos-Bir-IHS</t>
        </is>
      </c>
      <c r="C498" t="inlineStr">
        <is>
          <t>CTR_640</t>
        </is>
      </c>
      <c r="D498" t="inlineStr"/>
      <c r="E498" t="inlineStr">
        <is>
          <t>IHS</t>
        </is>
      </c>
      <c r="F498" t="inlineStr">
        <is>
          <t>Grid-Gen</t>
        </is>
      </c>
      <c r="G498" t="inlineStr">
        <is>
          <t>CENTRE</t>
        </is>
      </c>
      <c r="H498" t="inlineStr">
        <is>
          <t>Yaounde</t>
        </is>
      </c>
      <c r="I498" t="inlineStr"/>
      <c r="J498" t="inlineStr"/>
      <c r="K498" t="inlineStr"/>
      <c r="L498" t="inlineStr"/>
      <c r="M498" t="inlineStr"/>
      <c r="N498" t="inlineStr">
        <is>
          <t>Operationnel</t>
        </is>
      </c>
      <c r="O498" t="inlineStr"/>
      <c r="P498" t="inlineStr">
        <is>
          <t>BSS</t>
        </is>
      </c>
      <c r="Q498" t="inlineStr">
        <is>
          <t>RAN ISSUE</t>
        </is>
      </c>
      <c r="R498" t="inlineStr">
        <is>
          <t>BSS Hardware issue</t>
        </is>
      </c>
      <c r="S498" t="inlineStr">
        <is>
          <t>ACTIVE</t>
        </is>
      </c>
      <c r="T498" t="inlineStr">
        <is>
          <t>04/27/2026: hardware issue,  site with GPS issue (alarm : TDD down 09Apr 02pm)</t>
        </is>
      </c>
      <c r="U498" t="inlineStr">
        <is>
          <t>04/27/2026 : hardware issue, site with GPS issue (alarm : TDD down 09Apr 02pm)</t>
        </is>
      </c>
    </row>
    <row r="499">
      <c r="A499" s="96" t="n">
        <v>46139</v>
      </c>
      <c r="B499" t="inlineStr">
        <is>
          <t>Mvog-Ebanda</t>
        </is>
      </c>
      <c r="C499" t="inlineStr">
        <is>
          <t>CTR_341</t>
        </is>
      </c>
      <c r="D499" t="inlineStr"/>
      <c r="E499" t="inlineStr">
        <is>
          <t>IHS</t>
        </is>
      </c>
      <c r="F499" t="inlineStr">
        <is>
          <t>Grid-Gen</t>
        </is>
      </c>
      <c r="G499" t="inlineStr">
        <is>
          <t>CENTRE</t>
        </is>
      </c>
      <c r="H499" t="inlineStr">
        <is>
          <t>Yaounde</t>
        </is>
      </c>
      <c r="I499" t="inlineStr"/>
      <c r="J499" t="inlineStr"/>
      <c r="K499" t="inlineStr"/>
      <c r="L499" t="inlineStr"/>
      <c r="M499" t="inlineStr"/>
      <c r="N499" t="inlineStr">
        <is>
          <t>Operationnel</t>
        </is>
      </c>
      <c r="O499" t="inlineStr"/>
      <c r="P499" t="inlineStr">
        <is>
          <t>BSS</t>
        </is>
      </c>
      <c r="Q499" t="inlineStr">
        <is>
          <t>RAN ISSUE</t>
        </is>
      </c>
      <c r="R499" t="inlineStr">
        <is>
          <t>BSS Hardware issue</t>
        </is>
      </c>
      <c r="S499" t="inlineStr">
        <is>
          <t>ACTIVE</t>
        </is>
      </c>
      <c r="T499" t="inlineStr">
        <is>
          <t>04/27/2026: hardware issue,  site with GPS issue (alarm : TDD down 09Apr 02pm)</t>
        </is>
      </c>
      <c r="U499" t="inlineStr">
        <is>
          <t>04/27/2026 : hardware issue, site with GPS issue (alarm : TDD down 09Apr 02pm)</t>
        </is>
      </c>
    </row>
    <row r="500">
      <c r="A500" s="96" t="n">
        <v>46139</v>
      </c>
      <c r="B500" t="inlineStr">
        <is>
          <t>Mvog-Ebanda-II</t>
        </is>
      </c>
      <c r="C500" t="inlineStr">
        <is>
          <t>CTR_668</t>
        </is>
      </c>
      <c r="D500" t="inlineStr"/>
      <c r="E500" t="inlineStr">
        <is>
          <t>CAMUSAT</t>
        </is>
      </c>
      <c r="F500" t="inlineStr">
        <is>
          <t>Medium Grid + Solar + GE</t>
        </is>
      </c>
      <c r="G500" t="inlineStr">
        <is>
          <t>CENTRE</t>
        </is>
      </c>
      <c r="H500" t="inlineStr">
        <is>
          <t>Yaounde</t>
        </is>
      </c>
      <c r="I500" t="inlineStr"/>
      <c r="J500" t="inlineStr"/>
      <c r="K500" t="inlineStr"/>
      <c r="L500" t="inlineStr"/>
      <c r="M500" t="inlineStr"/>
      <c r="N500" t="inlineStr">
        <is>
          <t>Operationnel</t>
        </is>
      </c>
      <c r="O500" t="inlineStr"/>
      <c r="P500" t="inlineStr">
        <is>
          <t>BSS</t>
        </is>
      </c>
      <c r="Q500" t="inlineStr">
        <is>
          <t>RAN ISSUE</t>
        </is>
      </c>
      <c r="R500" t="inlineStr">
        <is>
          <t>BSS Hardware issue</t>
        </is>
      </c>
      <c r="S500" t="inlineStr">
        <is>
          <t>ACTIVE</t>
        </is>
      </c>
      <c r="T500" t="inlineStr">
        <is>
          <t>04/27/2026: hardware issue,  site with GPS issue (alarm : TDD down 09Apr 02pm)</t>
        </is>
      </c>
      <c r="U500" t="inlineStr">
        <is>
          <t>04/27/2026 : hardware issue, site with GPS issue (alarm : TDD down 09Apr 02pm)</t>
        </is>
      </c>
    </row>
    <row r="501">
      <c r="A501" s="96" t="n">
        <v>46139</v>
      </c>
      <c r="B501" t="inlineStr">
        <is>
          <t>Soa-Town-IHS</t>
        </is>
      </c>
      <c r="C501" t="inlineStr">
        <is>
          <t>CTR_649</t>
        </is>
      </c>
      <c r="D501" t="inlineStr"/>
      <c r="E501" t="inlineStr">
        <is>
          <t>IHS</t>
        </is>
      </c>
      <c r="F501" t="inlineStr">
        <is>
          <t>Grid-Gen</t>
        </is>
      </c>
      <c r="G501" t="inlineStr">
        <is>
          <t>CENTRE</t>
        </is>
      </c>
      <c r="H501" t="inlineStr">
        <is>
          <t>Yaounde</t>
        </is>
      </c>
      <c r="I501" t="inlineStr"/>
      <c r="J501" t="inlineStr"/>
      <c r="K501" t="inlineStr"/>
      <c r="L501" t="inlineStr"/>
      <c r="M501" t="inlineStr"/>
      <c r="N501" t="inlineStr">
        <is>
          <t>Operationnel</t>
        </is>
      </c>
      <c r="O501" t="inlineStr"/>
      <c r="P501" t="inlineStr">
        <is>
          <t>SPARE-ISSUE</t>
        </is>
      </c>
      <c r="Q501" t="inlineStr">
        <is>
          <t>SPARE-ISSUE</t>
        </is>
      </c>
      <c r="R501" t="inlineStr">
        <is>
          <t>Warehouse HUAWEI</t>
        </is>
      </c>
      <c r="S501" t="inlineStr">
        <is>
          <t>SPARE-ISSUE</t>
        </is>
      </c>
      <c r="T501" t="inlineStr">
        <is>
          <t>(04/27/2026 cell zte):-27/04/2026 : Images spare toujours attendu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t>
        </is>
      </c>
      <c r="U501" t="inlineStr">
        <is>
          <t>04/27/2026 cell zte) : -27/04/2026 : Images spare toujours attendu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t>
        </is>
      </c>
    </row>
    <row r="502">
      <c r="A502" s="96" t="n">
        <v>46139</v>
      </c>
      <c r="B502" t="inlineStr">
        <is>
          <t>Kembong</t>
        </is>
      </c>
      <c r="C502" t="inlineStr">
        <is>
          <t>NRO_026</t>
        </is>
      </c>
      <c r="D502" t="inlineStr"/>
      <c r="E502" t="inlineStr">
        <is>
          <t>IHS</t>
        </is>
      </c>
      <c r="F502" t="inlineStr">
        <is>
          <t>Grid-Gen</t>
        </is>
      </c>
      <c r="G502" t="inlineStr">
        <is>
          <t>NORD-OUEST</t>
        </is>
      </c>
      <c r="H502" t="inlineStr">
        <is>
          <t>Kembong</t>
        </is>
      </c>
      <c r="I502" t="inlineStr"/>
      <c r="J502" t="inlineStr"/>
      <c r="K502" t="inlineStr"/>
      <c r="L502" t="inlineStr"/>
      <c r="M502" t="inlineStr"/>
      <c r="N502" t="inlineStr">
        <is>
          <t>Insecurity</t>
        </is>
      </c>
      <c r="O502" t="inlineStr"/>
      <c r="P502" t="inlineStr">
        <is>
          <t>BSS</t>
        </is>
      </c>
      <c r="Q502" t="inlineStr">
        <is>
          <t>RAN ISSUE</t>
        </is>
      </c>
      <c r="R502" t="inlineStr">
        <is>
          <t>BSS Hardware issue</t>
        </is>
      </c>
      <c r="S502" t="inlineStr">
        <is>
          <t>ACTIVE</t>
        </is>
      </c>
      <c r="T502" t="inlineStr">
        <is>
          <t>(04/27/2026 cell nokia):-27/04/2026 : Need BO RAN analysis..;..;(04/27/2026 cell nokia):-27/04/2026 : Need BO RAN analysis || Check and clean jumper and port 1 of ARGA..;..;(04/27/2026 ocm ran 11h):-power status check ongoing..;..;(04/27/2026 ticket):-INC-20260427-00010511…Others Transmission equipement fault</t>
        </is>
      </c>
      <c r="U502" t="inlineStr">
        <is>
          <t>04/27/2026 cell nokia) : -27/04/2026 : Need BO RAN analysis.;.;(04/27/2026 cell nokia) : -27/04/2026 : Need BO RAN analysis || Check and clean jumper and port 1 of ARGA.;.; : -; : -…</t>
        </is>
      </c>
    </row>
    <row r="503">
      <c r="A503" s="96" t="n">
        <v>46139</v>
      </c>
      <c r="B503" t="inlineStr">
        <is>
          <t>Zoetele</t>
        </is>
      </c>
      <c r="C503" t="inlineStr">
        <is>
          <t>CTR_111</t>
        </is>
      </c>
      <c r="D503" t="inlineStr"/>
      <c r="E503" t="inlineStr">
        <is>
          <t>IHS</t>
        </is>
      </c>
      <c r="F503" t="inlineStr">
        <is>
          <t>Grid-Gen</t>
        </is>
      </c>
      <c r="G503" t="inlineStr">
        <is>
          <t>CENTRE</t>
        </is>
      </c>
      <c r="H503" t="inlineStr">
        <is>
          <t>Zoetele</t>
        </is>
      </c>
      <c r="I503" t="inlineStr"/>
      <c r="J503" t="inlineStr"/>
      <c r="K503" t="inlineStr"/>
      <c r="L503" t="inlineStr"/>
      <c r="M503" t="inlineStr"/>
      <c r="N503" t="inlineStr">
        <is>
          <t>EXCLU</t>
        </is>
      </c>
      <c r="O503" t="inlineStr"/>
      <c r="P503" t="inlineStr">
        <is>
          <t>Exclu</t>
        </is>
      </c>
      <c r="Q503" t="inlineStr">
        <is>
          <t>Exclu</t>
        </is>
      </c>
      <c r="R503" t="inlineStr">
        <is>
          <t>EXCLU</t>
        </is>
      </c>
      <c r="S503" t="inlineStr">
        <is>
          <t>Exclu</t>
        </is>
      </c>
      <c r="T503" t="inlineStr">
        <is>
          <t>(04/27/2026 cell zte):-18/04/2026 : Site down</t>
        </is>
      </c>
      <c r="U503" t="inlineStr">
        <is>
          <t>04/27/2026 cell zte) : -18/04/2026 : Site down</t>
        </is>
      </c>
    </row>
    <row r="504">
      <c r="A504" s="96" t="n">
        <v>46139</v>
      </c>
      <c r="B504" t="inlineStr">
        <is>
          <t>Bata</t>
        </is>
      </c>
      <c r="C504" t="inlineStr">
        <is>
          <t>ADM_027</t>
        </is>
      </c>
      <c r="D504" t="inlineStr"/>
      <c r="E504" t="inlineStr">
        <is>
          <t>IHS</t>
        </is>
      </c>
      <c r="F504" t="inlineStr">
        <is>
          <t>Solar-Grid-Gen</t>
        </is>
      </c>
      <c r="G504" t="inlineStr">
        <is>
          <t>ADAMAOUA</t>
        </is>
      </c>
      <c r="H504" t="inlineStr">
        <is>
          <t>Bata</t>
        </is>
      </c>
      <c r="I504" t="inlineStr"/>
      <c r="J504" t="inlineStr"/>
      <c r="K504" t="inlineStr"/>
      <c r="L504" t="inlineStr"/>
      <c r="M504" t="inlineStr"/>
      <c r="N504" t="inlineStr">
        <is>
          <t>Operationnel</t>
        </is>
      </c>
      <c r="O504" t="inlineStr"/>
      <c r="P504" t="inlineStr">
        <is>
          <t>SPARE-ISSUE</t>
        </is>
      </c>
      <c r="Q504" t="inlineStr">
        <is>
          <t>SPARE-ISSUE</t>
        </is>
      </c>
      <c r="R504" t="inlineStr">
        <is>
          <t>Warehouse HUAWEI</t>
        </is>
      </c>
      <c r="S504" t="inlineStr">
        <is>
          <t>SPARE-ISSUE</t>
        </is>
      </c>
      <c r="T504" t="inlineStr">
        <is>
          <t xml:space="preserve">(04/27/2026 cell nokia):-27/04/2026 : FRGU faulty || Cde passer 
23/04/2026 : Check and replace FRGU || FME activer|| FME etait sur le site de batoua il a fini tard || Il interviendra demai sur le site de Bata || ETA : Demain 24/04/2026 
22/04/2026 : Need BO RAN analysis || Closed after reset but check and replace rado module if issue persist ..;..;(04/27/2026 cell nokia):-27/04/2026 : FRGU faulty || Cde passer 
23/04/2026 : Check and replace FRGU || FME activer|| FME etait sur le site de batoua il a fini tard || Il interviendra demai sur le site de Bata || ETA : Demain 24/04/2026 
22/04/2026 : Need BO RAN analysis || Closed after reset but check and replace rado module if issue persist </t>
        </is>
      </c>
      <c r="U504" t="inlineStr">
        <is>
          <t>04/27/2026 cell nokia) : -27/04/2026 : FRGU faulty || Cde passer 23/04/2026 : Check and replace FRGU || FME activer || FME etait sur le site de batoua il a fini tard || Il interviendra demai sur le site de Bata || ETA : Demain 24/04/2026 22/04/2026 : Need BO RAN analysis || Closed after reset but check and replace rado module if issue persist .;.;(04/27/2026 cell nokia) : -27/04/2026 : FRGU faulty || Cde passer 23/04/2026 : Check and replace FRGU || FME activer || FME etait sur le site de batoua il a fini tard || Il interviendra demai sur le site de Bata || ETA : Demain 24/04/2026 22/04/2026 : Need BO RAN analysis || Closed after reset but check and replace rado module if issue persist</t>
        </is>
      </c>
    </row>
    <row r="505">
      <c r="A505" s="96" t="n">
        <v>46139</v>
      </c>
      <c r="B505" t="inlineStr">
        <is>
          <t>Madingring</t>
        </is>
      </c>
      <c r="C505" t="inlineStr">
        <is>
          <t>NRD_036</t>
        </is>
      </c>
      <c r="D505" t="inlineStr"/>
      <c r="E505" t="inlineStr">
        <is>
          <t>IHS</t>
        </is>
      </c>
      <c r="F505" t="inlineStr">
        <is>
          <t>Solar-Gen</t>
        </is>
      </c>
      <c r="G505" t="inlineStr">
        <is>
          <t>NORD</t>
        </is>
      </c>
      <c r="H505" t="inlineStr">
        <is>
          <t>Madingring</t>
        </is>
      </c>
      <c r="I505" t="inlineStr"/>
      <c r="J505" t="inlineStr"/>
      <c r="K505" t="inlineStr"/>
      <c r="L505" t="inlineStr"/>
      <c r="M505" t="inlineStr"/>
      <c r="N505" t="inlineStr">
        <is>
          <t>Operationnel</t>
        </is>
      </c>
      <c r="O505" t="inlineStr"/>
      <c r="P505" t="inlineStr">
        <is>
          <t>TRAVAUX OCM</t>
        </is>
      </c>
      <c r="Q505" t="inlineStr">
        <is>
          <t>TRAVAUX OCM</t>
        </is>
      </c>
      <c r="R505" t="inlineStr">
        <is>
          <t>Projet OCM (ZTE, NOKIA, autres projets)</t>
        </is>
      </c>
      <c r="S505" t="inlineStr">
        <is>
          <t>PLANNED WORKS</t>
        </is>
      </c>
      <c r="T505" t="inlineStr">
        <is>
          <t>(04/27/2026 ocm ran 17h):-New BTS installed and not yet accepted..;..;(04/27/2026 ocm ran 11h):-New BTS installed and not yet accepted</t>
        </is>
      </c>
      <c r="U505" t="inlineStr">
        <is>
          <t>: -New BTS installed and not yet accepted.;.; : -New BTS installed and not yet accepted</t>
        </is>
      </c>
    </row>
    <row r="506">
      <c r="A506" s="96" t="n">
        <v>46139</v>
      </c>
      <c r="B506" t="inlineStr">
        <is>
          <t>Dschang-Q-Admin</t>
        </is>
      </c>
      <c r="C506" t="inlineStr">
        <is>
          <t>OST_112</t>
        </is>
      </c>
      <c r="D506" t="inlineStr"/>
      <c r="E506" t="inlineStr">
        <is>
          <t>IHS</t>
        </is>
      </c>
      <c r="F506" t="inlineStr">
        <is>
          <t>Grid-Gen</t>
        </is>
      </c>
      <c r="G506" t="inlineStr">
        <is>
          <t>OUEST</t>
        </is>
      </c>
      <c r="H506" t="inlineStr">
        <is>
          <t>Dschang</t>
        </is>
      </c>
      <c r="I506" t="inlineStr"/>
      <c r="J506" t="inlineStr"/>
      <c r="K506" t="inlineStr"/>
      <c r="L506" t="inlineStr"/>
      <c r="M506" t="inlineStr"/>
      <c r="N506" t="inlineStr">
        <is>
          <t>Operationnel</t>
        </is>
      </c>
      <c r="O506" t="inlineStr"/>
      <c r="P506" t="inlineStr">
        <is>
          <t>IHS</t>
        </is>
      </c>
      <c r="Q506" t="inlineStr">
        <is>
          <t>POWER ISSUE</t>
        </is>
      </c>
      <c r="R506" t="inlineStr">
        <is>
          <t>Defaut GE &amp; Power Cabinet</t>
        </is>
      </c>
      <c r="S506" t="inlineStr">
        <is>
          <t>PASSIVE</t>
        </is>
      </c>
      <c r="T506" t="inlineStr">
        <is>
          <t>(04/27/2026 ticket):-INC-20260427-00008180…Auto TT closure RCA…GE Fault</t>
        </is>
      </c>
      <c r="U506" t="inlineStr">
        <is>
          <t>: -…Auto TT closure RCA…GE Fault</t>
        </is>
      </c>
    </row>
    <row r="507">
      <c r="A507" s="96" t="n">
        <v>46139</v>
      </c>
      <c r="B507" t="inlineStr">
        <is>
          <t>Foumban-Nkoungougnet</t>
        </is>
      </c>
      <c r="C507" t="inlineStr">
        <is>
          <t>OST_082</t>
        </is>
      </c>
      <c r="D507" t="inlineStr"/>
      <c r="E507" t="inlineStr">
        <is>
          <t>IHS</t>
        </is>
      </c>
      <c r="F507" t="inlineStr">
        <is>
          <t>Grid-Gen</t>
        </is>
      </c>
      <c r="G507" t="inlineStr">
        <is>
          <t>OUEST</t>
        </is>
      </c>
      <c r="H507" t="inlineStr">
        <is>
          <t>Foumban</t>
        </is>
      </c>
      <c r="I507" t="inlineStr"/>
      <c r="J507" t="inlineStr"/>
      <c r="K507" t="inlineStr"/>
      <c r="L507" t="inlineStr"/>
      <c r="M507" t="inlineStr"/>
      <c r="N507" t="inlineStr">
        <is>
          <t>Operationnel</t>
        </is>
      </c>
      <c r="O507" t="inlineStr"/>
      <c r="P507" t="inlineStr">
        <is>
          <t>IHS</t>
        </is>
      </c>
      <c r="Q507" t="inlineStr">
        <is>
          <t>POWER ISSUE</t>
        </is>
      </c>
      <c r="R507" t="inlineStr">
        <is>
          <t>Defaut GE &amp; Power Cabinet</t>
        </is>
      </c>
      <c r="S507" t="inlineStr">
        <is>
          <t>PASSIVE</t>
        </is>
      </c>
      <c r="T507" t="inlineStr">
        <is>
          <t>(04/27/2026 ticket):-INC-20260427-00008540…No Power Issue on Site, U = 50.3V and Site is on GEN. TX FME Yaya 694806622 / Huawei is informed.…Auto TT closure RCA…GE Fault</t>
        </is>
      </c>
      <c r="U507" t="inlineStr">
        <is>
          <t>: -…No Power Issue on Site, U = 50.3V and Site is on GEN. TX FME Yaya 694806622 / Huawei is informed.…Auto TT closure RCA…GE Fault</t>
        </is>
      </c>
    </row>
    <row r="508">
      <c r="A508" s="96" t="n">
        <v>46139</v>
      </c>
      <c r="B508" t="inlineStr">
        <is>
          <t>BTS-Mobile-Tagidor-Hotel</t>
        </is>
      </c>
      <c r="C508" t="inlineStr">
        <is>
          <t>OST_306</t>
        </is>
      </c>
      <c r="D508" t="inlineStr"/>
      <c r="E508" t="inlineStr">
        <is>
          <t>CAMUSAT</t>
        </is>
      </c>
      <c r="F508" t="inlineStr">
        <is>
          <t>Medium Grid + GE</t>
        </is>
      </c>
      <c r="G508" t="inlineStr">
        <is>
          <t>OUEST</t>
        </is>
      </c>
      <c r="H508" t="inlineStr">
        <is>
          <t>Bafoussam</t>
        </is>
      </c>
      <c r="I508" t="inlineStr"/>
      <c r="J508" t="inlineStr"/>
      <c r="K508" t="inlineStr"/>
      <c r="L508" t="inlineStr"/>
      <c r="M508" t="inlineStr"/>
      <c r="N508" t="inlineStr">
        <is>
          <t>Operationnel</t>
        </is>
      </c>
      <c r="O508" t="inlineStr"/>
      <c r="P508" t="inlineStr">
        <is>
          <t>ENVTECH</t>
        </is>
      </c>
      <c r="Q508" t="inlineStr">
        <is>
          <t>ENVTECH</t>
        </is>
      </c>
      <c r="R508" t="inlineStr">
        <is>
          <t>Sites strategiques, MLL, Pylone, etc.</t>
        </is>
      </c>
      <c r="S508" t="inlineStr">
        <is>
          <t>PASSIVE</t>
        </is>
      </c>
      <c r="T508" t="inlineStr">
        <is>
          <t>(04/27/2026 ocm ran 17h):-Site en cours de démentelement..;..;(04/27/2026 ocm ran 11h):-Site en cours de démentelement</t>
        </is>
      </c>
      <c r="U508" t="inlineStr">
        <is>
          <t>: -Site en cours de démentelement.;.; : -Site en cours de démentelement</t>
        </is>
      </c>
    </row>
    <row r="509">
      <c r="A509" s="96" t="n">
        <v>46139</v>
      </c>
      <c r="B509" t="inlineStr">
        <is>
          <t>Minisite-Tradex-Village</t>
        </is>
      </c>
      <c r="C509" t="inlineStr">
        <is>
          <t>LIT_663</t>
        </is>
      </c>
      <c r="D509" t="inlineStr"/>
      <c r="E509" t="inlineStr">
        <is>
          <t>CAMUSAT</t>
        </is>
      </c>
      <c r="F509" t="inlineStr">
        <is>
          <t>Good Grid no GE - 8h</t>
        </is>
      </c>
      <c r="G509" t="inlineStr">
        <is>
          <t>LITTORAL</t>
        </is>
      </c>
      <c r="H509" t="inlineStr">
        <is>
          <t>Douala</t>
        </is>
      </c>
      <c r="I509" t="inlineStr"/>
      <c r="J509" t="inlineStr"/>
      <c r="K509" t="inlineStr"/>
      <c r="L509" t="inlineStr"/>
      <c r="M509" t="inlineStr"/>
      <c r="N509" t="inlineStr">
        <is>
          <t>Operationnel</t>
        </is>
      </c>
      <c r="O509" t="inlineStr"/>
      <c r="P509" t="inlineStr">
        <is>
          <t>AKTIVCO GRID ONLY</t>
        </is>
      </c>
      <c r="Q509" t="inlineStr">
        <is>
          <t>POWER ISSUE</t>
        </is>
      </c>
      <c r="R509" t="inlineStr">
        <is>
          <t>AKTIVCO Coupure ENEO &amp; Baisse de tension</t>
        </is>
      </c>
      <c r="S509" t="inlineStr">
        <is>
          <t>PASSIVE</t>
        </is>
      </c>
      <c r="T509" t="inlineStr">
        <is>
          <t xml:space="preserve">(04/27/2026 ocm ran 17h):-27/04/2026 Bad grid voltage, low solar/ Solar return awaited ESCALADE L3 CAMUSAT
26/04/2026 CAMUSAT feedback : team en route pour verification 
25/04/2026 Bad grid voltage, low solar/ Solar return awaited..;..;(04/27/2026 ocm ran 11h):-27/04/2026 Bad grid voltage, low solar/ Solar return awaited ESCALADE L3 CAMUSAT
26/04/2026 CAMUSAT feedback : team en route pour verification 
25/04/2026 Bad grid voltage, low solar/ Solar return awaited..;..;(04/27/2026 ticket):-INC-20260427-00011279…2026-04-28 04:30:29…Mauvaises phases ENEO / En attente retour solaire et ENEO mis à contribution pour normalisation des phases.…grid only power issue on site </t>
        </is>
      </c>
      <c r="U509" t="inlineStr">
        <is>
          <t>: -27/04/2026 Bad grid voltage, low solar/ Solar return awaited ESCALADE L3 CAMUSAT 26/04/2026 CAMUSAT feedback : team en route pour verification 25/04/2026 Bad grid voltage, low solar/ Solar return awaited.;.; : -27/04/2026 Bad grid voltage, low solar/ Solar return awaited ESCALADE L3 CAMUSAT 26/04/2026 CAMUSAT feedback : team en route pour verification 25/04/2026 Bad grid voltage, low solar/ Solar return awaited.;.; : -…2026-04-28 04 : 30 : 29…Mauvaises phases ENEO / En attente retour solaire et ENEO mis à contribution pour normalisation des phases.…grid only power issue on site</t>
        </is>
      </c>
    </row>
    <row r="510">
      <c r="A510" s="96" t="n">
        <v>46139</v>
      </c>
      <c r="B510" t="inlineStr">
        <is>
          <t>Zili-Nkoteng-IHS</t>
        </is>
      </c>
      <c r="C510" t="inlineStr">
        <is>
          <t>CTR_910</t>
        </is>
      </c>
      <c r="D510" t="inlineStr"/>
      <c r="E510" t="inlineStr">
        <is>
          <t>IHS</t>
        </is>
      </c>
      <c r="F510" t="inlineStr">
        <is>
          <t>Hybrid-Gen</t>
        </is>
      </c>
      <c r="G510" t="inlineStr">
        <is>
          <t>CENTRE</t>
        </is>
      </c>
      <c r="H510" t="inlineStr">
        <is>
          <t>Nkoteng</t>
        </is>
      </c>
      <c r="I510" t="inlineStr"/>
      <c r="J510" t="inlineStr"/>
      <c r="K510" t="inlineStr"/>
      <c r="L510" t="inlineStr"/>
      <c r="M510" t="inlineStr"/>
      <c r="N510" t="inlineStr">
        <is>
          <t>EXCLU</t>
        </is>
      </c>
      <c r="O510" t="inlineStr"/>
      <c r="P510" t="inlineStr">
        <is>
          <t>Exclu</t>
        </is>
      </c>
      <c r="Q510" t="inlineStr">
        <is>
          <t>Exclu</t>
        </is>
      </c>
      <c r="R510" t="inlineStr">
        <is>
          <t>EXCLU</t>
        </is>
      </c>
      <c r="S510" t="inlineStr">
        <is>
          <t>Exclu</t>
        </is>
      </c>
      <c r="T510" t="inlineStr">
        <is>
          <t>(04/27/2026 cell zte):-27/04/2026 : Site down</t>
        </is>
      </c>
      <c r="U510" t="inlineStr">
        <is>
          <t>04/27/2026 cell zte) : -27/04/2026 : Site down</t>
        </is>
      </c>
    </row>
    <row r="511">
      <c r="A511" s="96" t="n">
        <v>46139</v>
      </c>
      <c r="B511" t="inlineStr">
        <is>
          <t>Minisite-Elig-Edzoa</t>
        </is>
      </c>
      <c r="C511" t="inlineStr">
        <is>
          <t>CTR_684</t>
        </is>
      </c>
      <c r="D511" t="inlineStr"/>
      <c r="E511" t="inlineStr">
        <is>
          <t>CAMUSAT</t>
        </is>
      </c>
      <c r="F511" t="inlineStr">
        <is>
          <t>Good Grid no GE - 8h</t>
        </is>
      </c>
      <c r="G511" t="inlineStr">
        <is>
          <t>CENTRE</t>
        </is>
      </c>
      <c r="H511" t="inlineStr">
        <is>
          <t>Yaounde</t>
        </is>
      </c>
      <c r="I511" t="inlineStr"/>
      <c r="J511" t="inlineStr"/>
      <c r="K511" t="inlineStr"/>
      <c r="L511" t="inlineStr"/>
      <c r="M511" t="inlineStr"/>
      <c r="N511" t="inlineStr">
        <is>
          <t>Operationnel</t>
        </is>
      </c>
      <c r="O511" t="inlineStr"/>
      <c r="P511" t="inlineStr">
        <is>
          <t>AKTIVCO GRID ONLY</t>
        </is>
      </c>
      <c r="Q511" t="inlineStr">
        <is>
          <t>POWER ISSUE</t>
        </is>
      </c>
      <c r="R511" t="inlineStr">
        <is>
          <t>AKTIVCO Coupure ENEO &amp; Baisse de tension</t>
        </is>
      </c>
      <c r="S511" t="inlineStr">
        <is>
          <t>PASSIVE</t>
        </is>
      </c>
      <c r="T511" t="inlineStr">
        <is>
          <t xml:space="preserve">(04/27/2026 ocm ran 17h):-27/04/2026 grid only site, grid outage / grid return awaited..;..;(04/27/2026 ocm ran 11h):-27/04/2026 grid only site, grid outage / grid return awaited..;..;(04/27/2026 ticket):-INC-20260427-00002200…2026-04-28 04:21:06…Power issue resolved since yesterday. Kindly check on your side.…power issues responsabilité camusat </t>
        </is>
      </c>
      <c r="U511" t="inlineStr">
        <is>
          <t>: -27/04/2026 grid only site, grid outage / grid return awaited.;.; : -27/04/2026 grid only site, grid outage / grid return awaited.;.; : -…2026-04-28 04 : 21 : 06…Power issue resolved since yesterday. Kindly check on your side.…power issues responsabilité camusat</t>
        </is>
      </c>
    </row>
    <row r="512">
      <c r="A512" s="96" t="n">
        <v>46139</v>
      </c>
      <c r="B512" t="inlineStr">
        <is>
          <t>Sokelle-IHS</t>
        </is>
      </c>
      <c r="C512" t="inlineStr">
        <is>
          <t>LIT_506</t>
        </is>
      </c>
      <c r="D512" t="inlineStr"/>
      <c r="E512" t="inlineStr">
        <is>
          <t>IHS</t>
        </is>
      </c>
      <c r="F512" t="inlineStr">
        <is>
          <t>Gen Only</t>
        </is>
      </c>
      <c r="G512" t="inlineStr">
        <is>
          <t>LITTORAL</t>
        </is>
      </c>
      <c r="H512" t="inlineStr">
        <is>
          <t>Sokelle</t>
        </is>
      </c>
      <c r="I512" t="inlineStr"/>
      <c r="J512" t="inlineStr"/>
      <c r="K512" t="inlineStr"/>
      <c r="L512" t="inlineStr"/>
      <c r="M512" t="inlineStr"/>
      <c r="N512" t="inlineStr">
        <is>
          <t>Operationnel</t>
        </is>
      </c>
      <c r="O512" t="inlineStr"/>
      <c r="P512" t="inlineStr">
        <is>
          <t>SPARE-ISSUE</t>
        </is>
      </c>
      <c r="Q512" t="inlineStr">
        <is>
          <t>SPARE-ISSUE</t>
        </is>
      </c>
      <c r="R512" t="inlineStr">
        <is>
          <t>Warehouse HUAWEI</t>
        </is>
      </c>
      <c r="S512" t="inlineStr">
        <is>
          <t>SPARE-ISSUE</t>
        </is>
      </c>
      <c r="T512" t="inlineStr">
        <is>
          <t xml:space="preserve">(04/27/2026 cell nokia):-27/04/2026 : Intervention plan for tomorrow : 28/04/2026 
24/04/2026 : Intervention prevue pour ce jour || Feedback FME :  FRMF faulty || Cde de la FRMF passer
23/04/2026 : Check breaker and  interconnection FRMF (sfp, optical fiber) between system and radio module, swap its if needed || FME Charlie activer || ETA : deain 24042026 ..;..;(04/27/2026 cell nokia):-27/04/2026 : Intervention plan for tomorrow : 28/04/2026 
24/04/2026 : Intervention prevue pour ce jour || Feedback FME :  FRMF faulty || Cde de la FRMF passer
23/04/2026 : Check breaker and  interconnection FRMF (sfp, optical fiber) between system and radio module, swap its if needed || FME Charlie activer || ETA : deain 24042026 </t>
        </is>
      </c>
      <c r="U512" t="inlineStr">
        <is>
          <t>04/27/2026 cell nokia) : -27/04/2026 : Intervention plan for tomorrow : 28/04/2026 24/04/2026 : Intervention prevue pour ce jour || Feedback FME : FRMF faulty || Cde de la FRMF passer 23/04/2026 : Check breaker and interconnection FRMF (sfp, optical fiber) between system and radio module, swap its if needed || ETA : deain 24042026 .;.;(04/27/2026 cell nokia) : -27/04/2026 : Intervention plan for tomorrow : 28/04/2026 24/04/2026 : Intervention prevue pour ce jour || Feedback FME : FRMF faulty || Cde de la FRMF passer 23/04/2026 : Check breaker and interconnection FRMF (sfp, optical fiber) between system and radio module, swap its if needed || ETA : deain 24042026</t>
        </is>
      </c>
    </row>
    <row r="513">
      <c r="A513" s="96" t="n">
        <v>46139</v>
      </c>
      <c r="B513" t="inlineStr">
        <is>
          <t>Jabane</t>
        </is>
      </c>
      <c r="C513" t="inlineStr">
        <is>
          <t>SUO_173</t>
        </is>
      </c>
      <c r="D513" t="inlineStr"/>
      <c r="E513" t="inlineStr">
        <is>
          <t>CAMUSAT</t>
        </is>
      </c>
      <c r="F513" t="inlineStr">
        <is>
          <t>Good Grid no GE - 8h</t>
        </is>
      </c>
      <c r="G513" t="inlineStr">
        <is>
          <t>SUD-OUEST</t>
        </is>
      </c>
      <c r="H513" t="inlineStr">
        <is>
          <t>Jabane</t>
        </is>
      </c>
      <c r="I513" t="inlineStr"/>
      <c r="J513" t="inlineStr"/>
      <c r="K513" t="inlineStr"/>
      <c r="L513" t="inlineStr"/>
      <c r="M513" t="inlineStr"/>
      <c r="N513" t="inlineStr">
        <is>
          <t>Operationnel</t>
        </is>
      </c>
      <c r="O513" t="inlineStr"/>
      <c r="P513" t="inlineStr">
        <is>
          <t>PDH</t>
        </is>
      </c>
      <c r="Q513" t="inlineStr">
        <is>
          <t>TX ISSUE</t>
        </is>
      </c>
      <c r="R513" t="inlineStr">
        <is>
          <t>MPR ISSUE</t>
        </is>
      </c>
      <c r="S513" t="inlineStr">
        <is>
          <t>ACTIVE</t>
        </is>
      </c>
      <c r="T513" t="inlineStr">
        <is>
          <t>(04/27/2026 cell huawei):-22/04/2026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Note also that config are ok, and ping test from BTS to Gateway is not okay as you can see: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 Prochaine tentative le 02042026
31/03/2026 : Feedback BO TX : Probable faulty ODU at Jabane || Check antenna line and change ODU AT MPR LIMBE-BIMBA-CRTV if necesarry PN: 3DB29108AAAAC04
29/03/2026 : need BO RAN analysis || 3G and 4G cells down =&gt; Transmission investigation needed..;..;(04/27/2026 cell huawei):-22/04/2026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Note also that config are ok, and ping test from BTS to Gateway is not okay as you can see: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 Prochaine tentative le 02042026
31/03/2026 : Feedback BO TX : Probable faulty ODU at Jabane || Check antenna line and change ODU AT MPR LIMBE-BIMBA-CRTV if necesarry PN: 3DB29108AAAAC04
29/03/2026 : need BO RAN analysis || 3G and 4G cells down =&gt; Transmission investigation needed</t>
        </is>
      </c>
      <c r="U513" t="inlineStr">
        <is>
          <t>04/27/2026 cell huawei) : -22/04/2026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 Note also that config are ok, and ping test from BTS to Gateway is not okay as you can see :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Prochaine tentative le 02042026 31/03/2026 : Feedback BO TX : Probable faulty ODU at Jabane || Check antenna line and change ODU AT MPR LIMBE-BIMBA-CRTV if necesarry PN : 3DB29108AAAAC04 29/03/2026 : need BO RAN analysis || 3G and 4G cells down =&gt; Transmission investigation needed.;.;(04/27/2026 cell huawei) : -22/04/2026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 Note also that config are ok, and ping test from BTS to Gateway is not okay as you can see :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Prochaine tentative le 02042026 31/03/2026 : Feedback BO TX : Probable faulty ODU at Jabane || Check antenna line and change ODU AT MPR LIMBE-BIMBA-CRTV if necesarry PN : 3DB29108AAAAC04 29/03/2026 : need BO RAN analysis || 3G and 4G cells down =&gt; Transmission investigation needed</t>
        </is>
      </c>
    </row>
    <row r="514">
      <c r="A514" s="96" t="n">
        <v>46139</v>
      </c>
      <c r="B514" t="inlineStr">
        <is>
          <t>NR-PK5</t>
        </is>
      </c>
      <c r="C514" t="inlineStr">
        <is>
          <t>LIT_096</t>
        </is>
      </c>
      <c r="D514" t="inlineStr"/>
      <c r="E514" t="inlineStr">
        <is>
          <t>IHS</t>
        </is>
      </c>
      <c r="F514" t="inlineStr">
        <is>
          <t>Grid-Gen</t>
        </is>
      </c>
      <c r="G514" t="inlineStr">
        <is>
          <t>LITTORAL</t>
        </is>
      </c>
      <c r="H514" t="inlineStr">
        <is>
          <t>Douala</t>
        </is>
      </c>
      <c r="I514" t="inlineStr"/>
      <c r="J514" t="inlineStr"/>
      <c r="K514" t="inlineStr"/>
      <c r="L514" t="inlineStr"/>
      <c r="M514" t="inlineStr"/>
      <c r="N514" t="inlineStr">
        <is>
          <t>Operationnel</t>
        </is>
      </c>
      <c r="O514" t="inlineStr"/>
      <c r="P514" t="inlineStr">
        <is>
          <t>IHS</t>
        </is>
      </c>
      <c r="Q514" t="inlineStr">
        <is>
          <t>POWER ISSUE</t>
        </is>
      </c>
      <c r="R514" t="inlineStr">
        <is>
          <t>Defaut GE &amp; Power Cabinet</t>
        </is>
      </c>
      <c r="S514" t="inlineStr">
        <is>
          <t>PASSIVE</t>
        </is>
      </c>
      <c r="T514" t="inlineStr">
        <is>
          <t>(04/27/2026 ticket):-INC-20260427-00002005…power issu coupure d'électricité dans la zone en attente du retour secteur défaut démarrage GE …Others Transmission equipement fault</t>
        </is>
      </c>
      <c r="U514" t="inlineStr">
        <is>
          <t>: -…power issu coupure d'électricité dans la zone en attente du retour secteur défaut démarrage GE …</t>
        </is>
      </c>
    </row>
    <row r="515">
      <c r="A515" s="96" t="n">
        <v>46139</v>
      </c>
      <c r="B515" t="inlineStr">
        <is>
          <t>Ambam</t>
        </is>
      </c>
      <c r="C515" t="inlineStr">
        <is>
          <t>CTR_394</t>
        </is>
      </c>
      <c r="D515" t="inlineStr"/>
      <c r="E515" t="inlineStr">
        <is>
          <t>IHS</t>
        </is>
      </c>
      <c r="F515" t="inlineStr">
        <is>
          <t>Grid-Gen</t>
        </is>
      </c>
      <c r="G515" t="inlineStr">
        <is>
          <t>CENTRE</t>
        </is>
      </c>
      <c r="H515" t="inlineStr">
        <is>
          <t>Ambam</t>
        </is>
      </c>
      <c r="I515" t="inlineStr"/>
      <c r="J515" t="inlineStr"/>
      <c r="K515" t="inlineStr"/>
      <c r="L515" t="inlineStr"/>
      <c r="M515" t="inlineStr"/>
      <c r="N515" t="inlineStr">
        <is>
          <t>Operationnel</t>
        </is>
      </c>
      <c r="O515" t="inlineStr"/>
      <c r="P515" t="inlineStr">
        <is>
          <t>BSS</t>
        </is>
      </c>
      <c r="Q515" t="inlineStr">
        <is>
          <t>RAN ISSUE</t>
        </is>
      </c>
      <c r="R515" t="inlineStr">
        <is>
          <t>BSS Hardware issue</t>
        </is>
      </c>
      <c r="S515" t="inlineStr">
        <is>
          <t>ACTIVE</t>
        </is>
      </c>
      <c r="T515" t="inlineStr">
        <is>
          <t>(04/27/2026 cell zte):-19/04/2026 : Fme should check power on RRU 65 || Feedback Fme : Power sous dimensionné après le swap, ZTE a éteint certaines radios pour éviter les disjonctions interminables</t>
        </is>
      </c>
      <c r="U515" t="inlineStr">
        <is>
          <t>04/27/2026 cell zte) : -19/04/2026 : Fme should check power on RRU 65 || Feedback Fme : Power sous dimensionné après le swap, ZTE a éteint certaines radios pour éviter les disjonctions interminables</t>
        </is>
      </c>
    </row>
    <row r="516">
      <c r="A516" s="96" t="n">
        <v>46139</v>
      </c>
      <c r="B516" t="inlineStr">
        <is>
          <t>Nomayos-IHS</t>
        </is>
      </c>
      <c r="C516" t="inlineStr">
        <is>
          <t>CTR_527</t>
        </is>
      </c>
      <c r="D516" t="inlineStr"/>
      <c r="E516" t="inlineStr">
        <is>
          <t>IHS</t>
        </is>
      </c>
      <c r="F516" t="inlineStr">
        <is>
          <t>Grid-Gen</t>
        </is>
      </c>
      <c r="G516" t="inlineStr">
        <is>
          <t>CENTRE</t>
        </is>
      </c>
      <c r="H516" t="inlineStr">
        <is>
          <t>Nomayos</t>
        </is>
      </c>
      <c r="I516" t="inlineStr"/>
      <c r="J516" t="inlineStr"/>
      <c r="K516" t="inlineStr"/>
      <c r="L516" t="inlineStr"/>
      <c r="M516" t="inlineStr"/>
      <c r="N516" t="inlineStr">
        <is>
          <t>Operationnel</t>
        </is>
      </c>
      <c r="O516" t="inlineStr"/>
      <c r="P516" t="inlineStr">
        <is>
          <t>IHS</t>
        </is>
      </c>
      <c r="Q516" t="inlineStr">
        <is>
          <t>POWER ISSUE</t>
        </is>
      </c>
      <c r="R516" t="inlineStr">
        <is>
          <t>Defaut GE &amp; Power Cabinet</t>
        </is>
      </c>
      <c r="S516" t="inlineStr">
        <is>
          <t>PASSIVE</t>
        </is>
      </c>
      <c r="T516" t="inlineStr">
        <is>
          <t>(04/27/2026 cell zte):-27/04/2026 : Intervention sur site ce jour || Up apres rearmement des breakers
24/04/2026 : RI recu ce jour et envoye a IHS
23/04/2026 : Intervention prevu ce jour || ETA 14h30 || Feedback Fme : Power pas toujours stable sur site RI en cours de redaction
22/04/2026 : Feedback level 3 : We have planned to upgrade the power system on this site. I will share the PIP deadline soon.
21/04/2026 : Escalade faite au Level 3 ce jour || Feedback attendu
18/04/2026 : Relance faite a IHS ce jour
16/04/2026 :Feedback IHS :  As discussed on phone yesterday we have Overload on gen and PWC after upgrades done on site when the site is not yet RFI, we are working with our project team to close the issue ASAP 
15/04/2026 : Rapport du FME recu et power instability sur site || Site swape par ZTE, d'ou l'augmentation de la charge || Certains circuits-breaker arretes par IHS || Mail envoye a IHS et feedback de stabilisation power attendu
14/04/2026 :  Besoin d'analyse BO RAN || Check RRU status || Fme active et en chemin pour le site || Feedback Fme : les breakers ont ete baisses par HIS  || RI attendu</t>
        </is>
      </c>
      <c r="U516" t="inlineStr">
        <is>
          <t>04/27/2026 cell zte) : -27/04/2026 : Intervention sur site ce jour || Up apres rearmement des breakers 24/04/2026 : RI recu ce jour et envoye a IHS 23/04/2026 : Intervention prevu ce jour || ETA 14h30 || Feedback Fme : Power pas toujours stable sur site RI en cours de redaction 22/04/2026 : Feedback level 3 : We have planned to upgrade the power system on this site. I will share the PIP deadline soon. 21/04/2026 : Escalade faite au Level 3 ce jour || Feedback attendu 18/04/2026 : Relance faite a IHS ce jour 16/04/2026 : Feedback IHS : As discussed on phone yesterday we have Overload on gen and PWC after upgrades done on site when the site is not yet RFI, we are working with our project team to close the issue ASAP 15/04/2026 : Rapport du FME recu et power instability sur site || Site swape par ZTE, d'ou l'augmentation de la charge || Certains circuits-breaker arretes par IHS || Mail envoye a IHS et feedback de stabilisation power attendu 14/04/2026 : Besoin d'analyse BO RAN || Check RRU status || Fme active et en chemin pour le site || Feedback Fme : les breakers ont ete baisses par HIS || RI attendu</t>
        </is>
      </c>
    </row>
    <row r="517">
      <c r="A517" s="96" t="n">
        <v>46139</v>
      </c>
      <c r="B517" t="inlineStr">
        <is>
          <t>H-ville</t>
        </is>
      </c>
      <c r="C517" t="inlineStr">
        <is>
          <t>CTR_077</t>
        </is>
      </c>
      <c r="D517" t="inlineStr"/>
      <c r="E517" t="inlineStr">
        <is>
          <t>IHS</t>
        </is>
      </c>
      <c r="F517" t="inlineStr">
        <is>
          <t>Grid Only</t>
        </is>
      </c>
      <c r="G517" t="inlineStr">
        <is>
          <t>CENTRE</t>
        </is>
      </c>
      <c r="H517" t="inlineStr">
        <is>
          <t>Yaounde</t>
        </is>
      </c>
      <c r="I517" t="inlineStr"/>
      <c r="J517" t="inlineStr"/>
      <c r="K517" t="inlineStr"/>
      <c r="L517" t="inlineStr"/>
      <c r="M517" t="inlineStr"/>
      <c r="N517" t="inlineStr">
        <is>
          <t>EXCLU</t>
        </is>
      </c>
      <c r="O517" t="inlineStr"/>
      <c r="P517" t="inlineStr">
        <is>
          <t>Exclu</t>
        </is>
      </c>
      <c r="Q517" t="inlineStr">
        <is>
          <t>Exclu</t>
        </is>
      </c>
      <c r="R517" t="inlineStr">
        <is>
          <t>EXCLU</t>
        </is>
      </c>
      <c r="S517" t="inlineStr">
        <is>
          <t>Exclu</t>
        </is>
      </c>
      <c r="T517" t="inlineStr">
        <is>
          <t>(04/27/2026 ocm ran 17h):-23.04.26; BTS en plan sur Netact. Travaux ing en cours..;..;(04/27/2026 ocm ran 11h):-23.04.26; BTS en plan sur Netact. Travaux ing en cours</t>
        </is>
      </c>
      <c r="U517" t="inlineStr">
        <is>
          <t>: -23.04.26; BTS en plan sur Netact. Travaux ing en cours.;.; : -23.04.26; BTS en plan sur Netact. Travaux ing en cours</t>
        </is>
      </c>
    </row>
    <row r="518">
      <c r="A518" s="96" t="n">
        <v>46139</v>
      </c>
      <c r="B518" t="inlineStr">
        <is>
          <t>Nsimalene-Yemwak</t>
        </is>
      </c>
      <c r="C518" t="inlineStr">
        <is>
          <t>SUD_122</t>
        </is>
      </c>
      <c r="D518" t="inlineStr"/>
      <c r="E518" t="inlineStr">
        <is>
          <t>CAMUSAT</t>
        </is>
      </c>
      <c r="F518" t="inlineStr">
        <is>
          <t>Hybrid Solar - S3</t>
        </is>
      </c>
      <c r="G518" t="inlineStr">
        <is>
          <t>SUD</t>
        </is>
      </c>
      <c r="H518" t="inlineStr">
        <is>
          <t>Nsimalene-Yemwak</t>
        </is>
      </c>
      <c r="I518" t="inlineStr"/>
      <c r="J518" t="inlineStr"/>
      <c r="K518" t="inlineStr"/>
      <c r="L518" t="inlineStr"/>
      <c r="M518" t="inlineStr"/>
      <c r="N518" t="inlineStr">
        <is>
          <t>Operationnel</t>
        </is>
      </c>
      <c r="O518" t="inlineStr"/>
      <c r="P518" t="inlineStr">
        <is>
          <t>ENVTECH</t>
        </is>
      </c>
      <c r="Q518" t="inlineStr">
        <is>
          <t>ENVTECH</t>
        </is>
      </c>
      <c r="R518" t="inlineStr">
        <is>
          <t>Sites strategiques, MLL, Pylone, etc.</t>
        </is>
      </c>
      <c r="S518" t="inlineStr">
        <is>
          <t>PASSIVE</t>
        </is>
      </c>
      <c r="T518" t="inlineStr">
        <is>
          <t>(04/27/2026 cell zte):-23/04/2026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down..;..;(04/27/2026 cell zte):-27/04/2026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t>
        </is>
      </c>
      <c r="U518" t="inlineStr">
        <is>
          <t>04/27/2026 cell zte) :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down.;.;(04/27/2026 cell zte) :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t>
        </is>
      </c>
    </row>
    <row r="519">
      <c r="A519" s="96" t="n">
        <v>46139</v>
      </c>
      <c r="B519" t="inlineStr">
        <is>
          <t>Akom-II-IHS</t>
        </is>
      </c>
      <c r="C519" t="inlineStr">
        <is>
          <t>SUD_054</t>
        </is>
      </c>
      <c r="D519" t="inlineStr"/>
      <c r="E519" t="inlineStr">
        <is>
          <t>IHS</t>
        </is>
      </c>
      <c r="F519" t="inlineStr">
        <is>
          <t>Gen-Lithium</t>
        </is>
      </c>
      <c r="G519" t="inlineStr">
        <is>
          <t>SUD</t>
        </is>
      </c>
      <c r="H519" t="inlineStr">
        <is>
          <t>Akom II</t>
        </is>
      </c>
      <c r="I519" t="inlineStr"/>
      <c r="J519" t="inlineStr"/>
      <c r="K519" t="inlineStr"/>
      <c r="L519" t="inlineStr"/>
      <c r="M519" t="inlineStr"/>
      <c r="N519" t="inlineStr">
        <is>
          <t>Operationnel</t>
        </is>
      </c>
      <c r="O519" t="inlineStr"/>
      <c r="P519" t="inlineStr">
        <is>
          <t>TRAVAUX OCM</t>
        </is>
      </c>
      <c r="Q519" t="inlineStr">
        <is>
          <t>TRAVAUX OCM</t>
        </is>
      </c>
      <c r="R519" t="inlineStr">
        <is>
          <t>Projet OCM (ZTE, NOKIA, autres projets)</t>
        </is>
      </c>
      <c r="S519" t="inlineStr">
        <is>
          <t>PLANNED WORKS</t>
        </is>
      </c>
      <c r="T519" t="inlineStr">
        <is>
          <t>(04/27/2026 cell zte):-21/04/2026 : Not accepted</t>
        </is>
      </c>
      <c r="U519" t="inlineStr">
        <is>
          <t>04/27/2026 cell zte) : -21/04/2026 : Not accepted</t>
        </is>
      </c>
    </row>
    <row r="520">
      <c r="A520" s="96" t="n">
        <v>46139</v>
      </c>
      <c r="B520" t="inlineStr">
        <is>
          <t>Bfsam-Banengo</t>
        </is>
      </c>
      <c r="C520" t="inlineStr">
        <is>
          <t>OST_003</t>
        </is>
      </c>
      <c r="D520" t="inlineStr"/>
      <c r="E520" t="inlineStr">
        <is>
          <t>OCM/Strategique</t>
        </is>
      </c>
      <c r="F520" t="inlineStr"/>
      <c r="G520" t="inlineStr">
        <is>
          <t>OUEST</t>
        </is>
      </c>
      <c r="H520" t="inlineStr">
        <is>
          <t>Bafoussam</t>
        </is>
      </c>
      <c r="I520" t="inlineStr"/>
      <c r="J520" t="inlineStr"/>
      <c r="K520" t="inlineStr"/>
      <c r="L520" t="inlineStr"/>
      <c r="M520" t="inlineStr"/>
      <c r="N520" t="inlineStr">
        <is>
          <t>Operationnel</t>
        </is>
      </c>
      <c r="O520" t="inlineStr"/>
      <c r="P520" t="inlineStr">
        <is>
          <t>BSS</t>
        </is>
      </c>
      <c r="Q520" t="inlineStr">
        <is>
          <t>RAN ISSUE</t>
        </is>
      </c>
      <c r="R520" t="inlineStr">
        <is>
          <t>BSS Hardware issue</t>
        </is>
      </c>
      <c r="S520" t="inlineStr">
        <is>
          <t>ACTIVE</t>
        </is>
      </c>
      <c r="T520" t="inlineStr">
        <is>
          <t>(04/27/2026 cell huawei):-27/04/2026 : Besoin d'analyse BO RAN || Configured Capacity Limit Exceeding Licensed Limit..;..;(04/27/2026 cell huawei):-27/04/2026 : Besoin d'analyse BO RAN || Configured Capacity Limit Exceeding Licensed Limit..;..;(04/27/2026 ticket):-INC-20260427-00007770…Others Transmission equipement fault</t>
        </is>
      </c>
      <c r="U520" t="inlineStr">
        <is>
          <t>04/27/2026 cell huawei) : -27/04/2026 : Besoin d'analyse BO RAN || Configured Capacity Limit Exceeding Licensed Limit.;.;(04/27/2026 cell huawei) : -27/04/2026 : Besoin d'analyse BO RAN || Configured Capacity Limit Exceeding Licensed Limit.;.; : -…</t>
        </is>
      </c>
    </row>
    <row r="521">
      <c r="A521" s="96" t="n">
        <v>46139</v>
      </c>
      <c r="B521" t="inlineStr">
        <is>
          <t>Bare</t>
        </is>
      </c>
      <c r="C521" t="inlineStr">
        <is>
          <t>LIT_112</t>
        </is>
      </c>
      <c r="D521" t="inlineStr"/>
      <c r="E521" t="inlineStr">
        <is>
          <t>IHS</t>
        </is>
      </c>
      <c r="F521" t="inlineStr">
        <is>
          <t>Grid-Gen</t>
        </is>
      </c>
      <c r="G521" t="inlineStr">
        <is>
          <t>LITTORAL</t>
        </is>
      </c>
      <c r="H521" t="inlineStr">
        <is>
          <t>Bare</t>
        </is>
      </c>
      <c r="I521" t="inlineStr"/>
      <c r="J521" t="inlineStr"/>
      <c r="K521" t="inlineStr"/>
      <c r="L521" t="inlineStr"/>
      <c r="M521" t="inlineStr"/>
      <c r="N521" t="inlineStr">
        <is>
          <t>Operationnel</t>
        </is>
      </c>
      <c r="O521" t="inlineStr"/>
      <c r="P521" t="inlineStr">
        <is>
          <t>BSS</t>
        </is>
      </c>
      <c r="Q521" t="inlineStr">
        <is>
          <t>RAN ISSUE</t>
        </is>
      </c>
      <c r="R521" t="inlineStr">
        <is>
          <t>BSS Hardware issue</t>
        </is>
      </c>
      <c r="S521" t="inlineStr">
        <is>
          <t>ACTIVE</t>
        </is>
      </c>
      <c r="T521" t="inlineStr">
        <is>
          <t>(04/27/2026 cell zte):-27/04/2026 : Besoin d'analyse BO RAN..;..;(04/27/2026 cell zte):-27/04/2026 : Besoin d'analyse BO RAN || Check and clean jumper, port 2 of RRU 61</t>
        </is>
      </c>
      <c r="U521" t="inlineStr">
        <is>
          <t>04/27/2026 cell zte) : -27/04/2026 : Besoin d'analyse BO RAN.;.;(04/27/2026 cell zte) : -27/04/2026 : Besoin d'analyse BO RAN || Check and clean jumper, port 2 of RRU 61</t>
        </is>
      </c>
    </row>
    <row r="522">
      <c r="A522" s="96" t="n">
        <v>46139</v>
      </c>
      <c r="B522" t="inlineStr">
        <is>
          <t>Mokom-IHS</t>
        </is>
      </c>
      <c r="C522" t="inlineStr">
        <is>
          <t>SUD_113</t>
        </is>
      </c>
      <c r="D522" t="inlineStr"/>
      <c r="E522" t="inlineStr">
        <is>
          <t>IHS</t>
        </is>
      </c>
      <c r="F522" t="inlineStr">
        <is>
          <t>Gen-Lithium</t>
        </is>
      </c>
      <c r="G522" t="inlineStr">
        <is>
          <t>SUD</t>
        </is>
      </c>
      <c r="H522" t="inlineStr">
        <is>
          <t>Mintom</t>
        </is>
      </c>
      <c r="I522" t="inlineStr"/>
      <c r="J522" t="inlineStr"/>
      <c r="K522" t="inlineStr"/>
      <c r="L522" t="inlineStr"/>
      <c r="M522" t="inlineStr"/>
      <c r="N522" t="inlineStr">
        <is>
          <t>Operationnel</t>
        </is>
      </c>
      <c r="O522" t="inlineStr"/>
      <c r="P522" t="inlineStr">
        <is>
          <t>Fiber AOF</t>
        </is>
      </c>
      <c r="Q522" t="inlineStr">
        <is>
          <t>TX ISSUE</t>
        </is>
      </c>
      <c r="R522" t="inlineStr">
        <is>
          <t>fiber AOF</t>
        </is>
      </c>
      <c r="S522" t="inlineStr">
        <is>
          <t>ACTIVE</t>
        </is>
      </c>
      <c r="T522" t="inlineStr">
        <is>
          <t>(04/27/2026 cell zte):-27/04/2026 : Besoin d'analyse BO RAN..;..;(04/27/2026 cell zte):-27/04/2026 : Besoin d'analyse BO RAN || Fme should check connectivity(SFP, Optical fiber) of RRU 51</t>
        </is>
      </c>
      <c r="U522" t="inlineStr">
        <is>
          <t>04/27/2026 cell zte) : -27/04/2026 : Besoin d'analyse BO RAN.;.;(04/27/2026 cell zte) : -27/04/2026 : Besoin d'analyse BO RAN || Fme should check connectivity(SFP, Optical fiber) of RRU 51</t>
        </is>
      </c>
    </row>
    <row r="523">
      <c r="A523" s="96" t="n">
        <v>46139</v>
      </c>
      <c r="B523" t="inlineStr">
        <is>
          <t>Bafmeng</t>
        </is>
      </c>
      <c r="C523" t="inlineStr">
        <is>
          <t>NRO_047</t>
        </is>
      </c>
      <c r="D523" t="inlineStr"/>
      <c r="E523" t="inlineStr">
        <is>
          <t>IHS</t>
        </is>
      </c>
      <c r="F523" t="inlineStr">
        <is>
          <t>Hybrid-Gen</t>
        </is>
      </c>
      <c r="G523" t="inlineStr">
        <is>
          <t>NORD-OUEST</t>
        </is>
      </c>
      <c r="H523" t="inlineStr">
        <is>
          <t>Bafmeng</t>
        </is>
      </c>
      <c r="I523" t="inlineStr"/>
      <c r="J523" t="inlineStr"/>
      <c r="K523" t="inlineStr"/>
      <c r="L523" t="inlineStr"/>
      <c r="M523" t="inlineStr"/>
      <c r="N523" t="inlineStr">
        <is>
          <t>Insecurity</t>
        </is>
      </c>
      <c r="O523" t="inlineStr"/>
      <c r="P523" t="inlineStr">
        <is>
          <t>ACCESS-ISSUE</t>
        </is>
      </c>
      <c r="Q523" t="inlineStr">
        <is>
          <t>ACCESS-ISSUE</t>
        </is>
      </c>
      <c r="R523" t="inlineStr">
        <is>
          <t>ACCESS-ISSUE</t>
        </is>
      </c>
      <c r="S523" t="inlineStr">
        <is>
          <t>ACCESS-ISSUE</t>
        </is>
      </c>
      <c r="T523" t="inlineStr">
        <is>
          <t>(04/27/2026 ocm ran 17h):-27.04.26; Access banned by Separatist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site..;..;(04/27/2026 ocm ran 11h):-27.04.26; Access banned by Separatist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t>
        </is>
      </c>
      <c r="U523" t="inlineStr">
        <is>
          <t>: -27.04.26; Access banned by Separatist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 : -27.04.26; Access banned by Separatist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t>
        </is>
      </c>
    </row>
    <row r="524">
      <c r="A524" s="96" t="n">
        <v>46139</v>
      </c>
      <c r="B524" t="inlineStr">
        <is>
          <t>Lom-Pangar-MTN</t>
        </is>
      </c>
      <c r="C524" t="inlineStr">
        <is>
          <t>EST_083</t>
        </is>
      </c>
      <c r="D524" t="inlineStr"/>
      <c r="E524" t="inlineStr">
        <is>
          <t>IHS</t>
        </is>
      </c>
      <c r="F524" t="inlineStr">
        <is>
          <t>Grid-Gen-Lithium</t>
        </is>
      </c>
      <c r="G524" t="inlineStr">
        <is>
          <t>EST</t>
        </is>
      </c>
      <c r="H524" t="inlineStr">
        <is>
          <t>Lom-Pangar</t>
        </is>
      </c>
      <c r="I524" t="inlineStr"/>
      <c r="J524" t="inlineStr"/>
      <c r="K524" t="inlineStr"/>
      <c r="L524" t="inlineStr"/>
      <c r="M524" t="inlineStr"/>
      <c r="N524" t="inlineStr">
        <is>
          <t>Operationnel</t>
        </is>
      </c>
      <c r="O524" t="inlineStr"/>
      <c r="P524" t="inlineStr">
        <is>
          <t>IHS</t>
        </is>
      </c>
      <c r="Q524" t="inlineStr">
        <is>
          <t>POWER ISSUE</t>
        </is>
      </c>
      <c r="R524" t="inlineStr">
        <is>
          <t>Defaut GE &amp; Power Cabinet</t>
        </is>
      </c>
      <c r="S524" t="inlineStr">
        <is>
          <t>PASSIVE</t>
        </is>
      </c>
      <c r="T524" t="inlineStr">
        <is>
          <t>(04/27/2026 Hourly IHS): FME is on the way ETA 11:40 AM</t>
        </is>
      </c>
      <c r="U524" t="inlineStr">
        <is>
          <t>: FME is on the way ETA 11 : 40 AM</t>
        </is>
      </c>
    </row>
    <row r="525">
      <c r="A525" s="96" t="n">
        <v>46139</v>
      </c>
      <c r="B525" t="inlineStr">
        <is>
          <t>Mbongouen-MTN</t>
        </is>
      </c>
      <c r="C525" t="inlineStr">
        <is>
          <t>SUD_214</t>
        </is>
      </c>
      <c r="D525" t="inlineStr"/>
      <c r="E525" t="inlineStr">
        <is>
          <t>IHS</t>
        </is>
      </c>
      <c r="F525" t="inlineStr">
        <is>
          <t>Grid-Gen</t>
        </is>
      </c>
      <c r="G525" t="inlineStr">
        <is>
          <t>SUD</t>
        </is>
      </c>
      <c r="H525" t="inlineStr">
        <is>
          <t>Mbongouen</t>
        </is>
      </c>
      <c r="I525" t="inlineStr"/>
      <c r="J525" t="inlineStr"/>
      <c r="K525" t="inlineStr"/>
      <c r="L525" t="inlineStr"/>
      <c r="M525" t="inlineStr"/>
      <c r="N525" t="inlineStr">
        <is>
          <t>Operationnel</t>
        </is>
      </c>
      <c r="O525" t="inlineStr"/>
      <c r="P525" t="inlineStr">
        <is>
          <t>BSS</t>
        </is>
      </c>
      <c r="Q525" t="inlineStr">
        <is>
          <t>RAN ISSUE</t>
        </is>
      </c>
      <c r="R525" t="inlineStr">
        <is>
          <t>BSS Hardware issue</t>
        </is>
      </c>
      <c r="S525" t="inlineStr">
        <is>
          <t>ACTIVE</t>
        </is>
      </c>
      <c r="T525" t="inlineStr">
        <is>
          <t>(04/27/2026 cell zte):-
25/04/2026 : Intervention ce jour ETA 14h
24/04/2026 : Fme actuellement sur site misolle et se rendra sur mbongouen une fois termine
23/04/2026 : Besoin d'analyse BO RAN || Check and clean jumper, port 1 of RRU 52 || Fme active..;..;(04/27/2026 cell zte):-
25/04/2026 : Intervention ce jour ETA 14h
24/04/2026 : Fme actuellement sur site misolle et se rendra sur mbongouen une fois termine
23/04/2026 : Besoin d'analyse BO RAN || Check and clean jumper, port 1 of RRU 52 || Fme active</t>
        </is>
      </c>
      <c r="U525" t="inlineStr">
        <is>
          <t>04/27/2026 cell zte) : - 25/04/2026 : Intervention ce jour ETA 14h 24/04/2026 : Fme actuellement sur site misolle et se rendra sur mbongouen une fois termine 23/04/2026 : Besoin d'analyse BO RAN || Check and clean jumper, port 1 of RRU 52 || Fme active.;.;(04/27/2026 cell zte) : - 25/04/2026 : Intervention ce jour ETA 14h 24/04/2026 : Fme actuellement sur site misolle et se rendra sur mbongouen une fois termine 23/04/2026 : Besoin d'analyse BO RAN || Check and clean jumper, port 1 of RRU 52 || Fme active</t>
        </is>
      </c>
    </row>
    <row r="526">
      <c r="A526" s="96" t="n">
        <v>46139</v>
      </c>
      <c r="B526" t="inlineStr">
        <is>
          <t>Saa</t>
        </is>
      </c>
      <c r="C526" t="inlineStr">
        <is>
          <t>CTR_192</t>
        </is>
      </c>
      <c r="D526" t="inlineStr"/>
      <c r="E526" t="inlineStr">
        <is>
          <t>IHS</t>
        </is>
      </c>
      <c r="F526" t="inlineStr">
        <is>
          <t>Grid-Gen</t>
        </is>
      </c>
      <c r="G526" t="inlineStr">
        <is>
          <t>CENTRE</t>
        </is>
      </c>
      <c r="H526" t="inlineStr">
        <is>
          <t>Saa</t>
        </is>
      </c>
      <c r="I526" t="inlineStr"/>
      <c r="J526" t="inlineStr"/>
      <c r="K526" t="inlineStr"/>
      <c r="L526" t="inlineStr"/>
      <c r="M526" t="inlineStr"/>
      <c r="N526" t="inlineStr">
        <is>
          <t>Operationnel</t>
        </is>
      </c>
      <c r="O526" t="inlineStr"/>
      <c r="P526" t="inlineStr">
        <is>
          <t>IHS</t>
        </is>
      </c>
      <c r="Q526" t="inlineStr">
        <is>
          <t>POWER ISSUE</t>
        </is>
      </c>
      <c r="R526" t="inlineStr">
        <is>
          <t>Defaut GE &amp; Power Cabinet</t>
        </is>
      </c>
      <c r="S526" t="inlineStr">
        <is>
          <t>PASSIVE</t>
        </is>
      </c>
      <c r="T526" t="inlineStr">
        <is>
          <t>(04/27/2026 Hourly IHS): (Unstable site) Site went down because Gen overload(12.5KVA, 130A) and rectifier issue ||(04/27/2026 cell zte):-27/04/2026 : Besoin d'analyse BO RAN..;..;(04/27/2026 cell zte):-27/04/2026 : Besoin d'analyse BO RAN || Site down</t>
        </is>
      </c>
      <c r="U526" t="inlineStr">
        <is>
          <t>: (Unstable site) Site went down because Gen overload(12.5KVA, 130A) and rectifier issue || (04/27/2026 cell zte) : -27/04/2026 : Besoin d'analyse BO RAN.;.;(04/27/2026 cell zte) : -27/04/2026 : Besoin d'analyse BO RAN || Site down</t>
        </is>
      </c>
    </row>
    <row r="527">
      <c r="A527" s="96" t="n">
        <v>46139</v>
      </c>
      <c r="B527" t="inlineStr">
        <is>
          <t>Penja-PHP</t>
        </is>
      </c>
      <c r="C527" t="inlineStr">
        <is>
          <t>LIT_594</t>
        </is>
      </c>
      <c r="D527" t="inlineStr"/>
      <c r="E527" t="inlineStr">
        <is>
          <t>CAMUSAT</t>
        </is>
      </c>
      <c r="F527" t="inlineStr">
        <is>
          <t>Good Grid + GE</t>
        </is>
      </c>
      <c r="G527" t="inlineStr">
        <is>
          <t>LITTORAL</t>
        </is>
      </c>
      <c r="H527" t="inlineStr">
        <is>
          <t>Penja</t>
        </is>
      </c>
      <c r="I527" t="inlineStr"/>
      <c r="J527" t="inlineStr"/>
      <c r="K527" t="inlineStr"/>
      <c r="L527" t="inlineStr"/>
      <c r="M527" t="inlineStr"/>
      <c r="N527" t="inlineStr">
        <is>
          <t>Operationnel</t>
        </is>
      </c>
      <c r="O527" t="inlineStr"/>
      <c r="P527" t="inlineStr">
        <is>
          <t>AKTIVCO</t>
        </is>
      </c>
      <c r="Q527" t="inlineStr">
        <is>
          <t>POWER ISSUE</t>
        </is>
      </c>
      <c r="R527" t="inlineStr">
        <is>
          <t>AKTIVCO Defaut GE &amp; Power Cabinet</t>
        </is>
      </c>
      <c r="S527" t="inlineStr">
        <is>
          <t>PASSIVE</t>
        </is>
      </c>
      <c r="T527" t="inlineStr">
        <is>
          <t>(04/27/2026 cell zte):-27/04/2026 : Power issue || Mail sent to Camusat</t>
        </is>
      </c>
      <c r="U527" t="inlineStr">
        <is>
          <t>04/27/2026 cell zte) : -27/04/2026 : Power issue || Mail sent to Camusat</t>
        </is>
      </c>
    </row>
    <row r="528">
      <c r="A528" s="96" t="n">
        <v>46139</v>
      </c>
      <c r="B528" t="inlineStr">
        <is>
          <t>Mengue-Bibey-Camrail</t>
        </is>
      </c>
      <c r="C528" t="inlineStr">
        <is>
          <t>CTR_455</t>
        </is>
      </c>
      <c r="D528" t="inlineStr"/>
      <c r="E528" t="inlineStr">
        <is>
          <t>CAMUSAT</t>
        </is>
      </c>
      <c r="F528" t="inlineStr"/>
      <c r="G528" t="inlineStr">
        <is>
          <t>CENTRE</t>
        </is>
      </c>
      <c r="H528" t="inlineStr">
        <is>
          <t>Mengue-Bibey</t>
        </is>
      </c>
      <c r="I528" t="inlineStr"/>
      <c r="J528" t="inlineStr"/>
      <c r="K528" t="inlineStr"/>
      <c r="L528" t="inlineStr"/>
      <c r="M528" t="inlineStr"/>
      <c r="N528" t="inlineStr">
        <is>
          <t>Operationnel</t>
        </is>
      </c>
      <c r="O528" t="inlineStr"/>
      <c r="P528" t="inlineStr">
        <is>
          <t>BSS</t>
        </is>
      </c>
      <c r="Q528" t="inlineStr">
        <is>
          <t>RAN ISSUE</t>
        </is>
      </c>
      <c r="R528" t="inlineStr">
        <is>
          <t>BSS Hardware issue</t>
        </is>
      </c>
      <c r="S528" t="inlineStr">
        <is>
          <t>ACTIVE</t>
        </is>
      </c>
      <c r="T528" t="inlineStr">
        <is>
          <t>(04/27/2026 cell zte):-27/04/2026 : Besoin d'analyse BO RAN..;..;(04/27/2026 cell zte):-27/04/2026 : Besoin d'analyse BO RAN || FME should check Antenna Fider status</t>
        </is>
      </c>
      <c r="U528" t="inlineStr">
        <is>
          <t>04/27/2026 cell zte) : -27/04/2026 : Besoin d'analyse BO RAN.;.;(04/27/2026 cell zte) : -27/04/2026 : Besoin d'analyse BO RAN || FME should check Antenna Fider status</t>
        </is>
      </c>
    </row>
    <row r="529">
      <c r="A529" s="96" t="n">
        <v>46139</v>
      </c>
      <c r="B529" t="inlineStr">
        <is>
          <t>Batibo</t>
        </is>
      </c>
      <c r="C529" t="inlineStr">
        <is>
          <t>NRO_010</t>
        </is>
      </c>
      <c r="D529" t="inlineStr"/>
      <c r="E529" t="inlineStr">
        <is>
          <t>IHS</t>
        </is>
      </c>
      <c r="F529" t="inlineStr">
        <is>
          <t>Grid-Gen</t>
        </is>
      </c>
      <c r="G529" t="inlineStr">
        <is>
          <t>NORD-OUEST</t>
        </is>
      </c>
      <c r="H529" t="inlineStr">
        <is>
          <t>Batibo</t>
        </is>
      </c>
      <c r="I529" t="inlineStr"/>
      <c r="J529" t="inlineStr"/>
      <c r="K529" t="inlineStr"/>
      <c r="L529" t="inlineStr"/>
      <c r="M529" t="inlineStr"/>
      <c r="N529" t="inlineStr">
        <is>
          <t>Insecurity</t>
        </is>
      </c>
      <c r="O529" t="inlineStr"/>
      <c r="P529" t="inlineStr">
        <is>
          <t>ACCESS-ISSUE</t>
        </is>
      </c>
      <c r="Q529" t="inlineStr">
        <is>
          <t>ACCESS-ISSUE</t>
        </is>
      </c>
      <c r="R529" t="inlineStr">
        <is>
          <t>ACCESS-ISSUE</t>
        </is>
      </c>
      <c r="S529" t="inlineStr">
        <is>
          <t>ACCESS-ISSUE</t>
        </is>
      </c>
      <c r="T529" t="inlineStr">
        <is>
          <t xml:space="preserve">(04/27/2026 cell nokia):-27/04/2026 : Need BO RAN analysis..;..;(04/27/2026 cell nokia):-27/04/2026 : Need BO RAN analysis ||FME should reload software || Ghost town </t>
        </is>
      </c>
      <c r="U529" t="inlineStr">
        <is>
          <t>04/27/2026 cell nokia) : -27/04/2026 : Need BO RAN analysis.;.;(04/27/2026 cell nokia) : -27/04/2026 : Need BO RAN analysis || FME should reload software || Ghost town</t>
        </is>
      </c>
    </row>
    <row r="530">
      <c r="A530" s="96" t="n">
        <v>46139</v>
      </c>
      <c r="B530" t="inlineStr">
        <is>
          <t>Zamakoe-MTN</t>
        </is>
      </c>
      <c r="C530" t="inlineStr">
        <is>
          <t>CTR_366</t>
        </is>
      </c>
      <c r="D530" t="inlineStr"/>
      <c r="E530" t="inlineStr">
        <is>
          <t>IHS</t>
        </is>
      </c>
      <c r="F530" t="inlineStr">
        <is>
          <t>Grid-Gen</t>
        </is>
      </c>
      <c r="G530" t="inlineStr">
        <is>
          <t>CENTRE</t>
        </is>
      </c>
      <c r="H530" t="inlineStr">
        <is>
          <t>Zamakoe</t>
        </is>
      </c>
      <c r="I530" t="inlineStr"/>
      <c r="J530" t="inlineStr"/>
      <c r="K530" t="inlineStr"/>
      <c r="L530" t="inlineStr"/>
      <c r="M530" t="inlineStr"/>
      <c r="N530" t="inlineStr">
        <is>
          <t>Operationnel</t>
        </is>
      </c>
      <c r="O530" t="inlineStr"/>
      <c r="P530" t="inlineStr">
        <is>
          <t>ENVTECH</t>
        </is>
      </c>
      <c r="Q530" t="inlineStr">
        <is>
          <t>ENVTECH</t>
        </is>
      </c>
      <c r="R530" t="inlineStr">
        <is>
          <t>Sites strategiques, MLL, Pylone, etc.</t>
        </is>
      </c>
      <c r="S530" t="inlineStr">
        <is>
          <t>PASSIVE</t>
        </is>
      </c>
      <c r="T530" t="inlineStr">
        <is>
          <t>(04/27/2026 ocm ran 17h):-27/04/2026 ODU en cours de dementelement
21.04.26; Dementellement des ODUs en cours pour MAD à Huawei, update ASAP
08.04.26; ODU MPT 7-8 GHz 3DB20859AB faulty et commande passée à OCM
08.04.26; Besoin d'un FME sur site pour vérifier la chaine antennaire de l'ODU 3.1; CM-20260408-00002730; FME Rodrigue activé pour investigations, update ASAP..;..;(04/27/2026 ocm ran 11h):-21.04.26; Dementellement des ODUs en cours pour MAD à Huawei, update ASAP
08.04.26; ODU MPT 7-8 GHz 3DB20859AB faulty et commande passée à OCM
08.04.26; Besoin d'un FME sur site pour vérifier la chaine antennaire de l'ODU 3.1; CM-20260408-00002730; FME Rodrigue activé pour investigations, update ASAP</t>
        </is>
      </c>
      <c r="U530" t="inlineStr">
        <is>
          <t>: -27/04/2026 ODU en cours de dementelement 21.04.26; Dementellement des ODUs en cours pour MAD à Huawei, update ASAP 08.04.26; ODU MPT 7-8 GHz 3DB20859AB faulty et commande passée à OCM 08.04.26; Besoin d'un FME sur site pour vérifier la chaine antennaire de l'ODU 3.1; ; FME Rodrigue activé pour investigations, update ASAP.;.; : -21.04.26; Dementellement des ODUs en cours pour MAD à Huawei, update ASAP 08.04.26; ODU MPT 7-8 GHz 3DB20859AB faulty et commande passée à OCM 08.04.26; Besoin d'un FME sur site pour vérifier la chaine antennaire de l'ODU 3.1; ; FME Rodrigue activé pour investigations, update ASAP</t>
        </is>
      </c>
    </row>
    <row r="531">
      <c r="A531" s="96" t="n">
        <v>46139</v>
      </c>
      <c r="B531" t="inlineStr">
        <is>
          <t>Ntui-Ecole-Publique</t>
        </is>
      </c>
      <c r="C531" t="inlineStr">
        <is>
          <t>CTR_826</t>
        </is>
      </c>
      <c r="D531" t="inlineStr"/>
      <c r="E531" t="inlineStr">
        <is>
          <t>CAMUSAT</t>
        </is>
      </c>
      <c r="F531" t="inlineStr">
        <is>
          <t>HGB</t>
        </is>
      </c>
      <c r="G531" t="inlineStr">
        <is>
          <t>CENTRE</t>
        </is>
      </c>
      <c r="H531" t="inlineStr">
        <is>
          <t>Ntui</t>
        </is>
      </c>
      <c r="I531" t="inlineStr"/>
      <c r="J531" t="inlineStr"/>
      <c r="K531" t="inlineStr"/>
      <c r="L531" t="inlineStr"/>
      <c r="M531" t="inlineStr"/>
      <c r="N531" t="inlineStr">
        <is>
          <t>Operationnel</t>
        </is>
      </c>
      <c r="O531" t="inlineStr"/>
      <c r="P531" t="inlineStr">
        <is>
          <t>SPARE-ISSUE</t>
        </is>
      </c>
      <c r="Q531" t="inlineStr">
        <is>
          <t>SPARE-ISSUE</t>
        </is>
      </c>
      <c r="R531" t="inlineStr">
        <is>
          <t>Warehouse HUAWEI</t>
        </is>
      </c>
      <c r="S531" t="inlineStr">
        <is>
          <t>SPARE-ISSUE</t>
        </is>
      </c>
      <c r="T531" t="inlineStr">
        <is>
          <t>(04/27/2026 ocm ran 17h):-22.04.26;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UTC..;..;(04/27/2026 ocm ran 11h):-22.04.26;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t>
        </is>
      </c>
      <c r="U531" t="inlineStr">
        <is>
          <t>: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 :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t>
        </is>
      </c>
    </row>
    <row r="532">
      <c r="A532" s="96" t="n">
        <v>46139</v>
      </c>
      <c r="B532" t="inlineStr">
        <is>
          <t>Fifinda-MTN</t>
        </is>
      </c>
      <c r="C532" t="inlineStr">
        <is>
          <t>SUD_215</t>
        </is>
      </c>
      <c r="D532" t="inlineStr"/>
      <c r="E532" t="inlineStr">
        <is>
          <t>IHS</t>
        </is>
      </c>
      <c r="F532" t="inlineStr">
        <is>
          <t>Grid-Gen</t>
        </is>
      </c>
      <c r="G532" t="inlineStr">
        <is>
          <t>SUD</t>
        </is>
      </c>
      <c r="H532" t="inlineStr">
        <is>
          <t>Fifinda</t>
        </is>
      </c>
      <c r="I532" t="inlineStr"/>
      <c r="J532" t="inlineStr"/>
      <c r="K532" t="inlineStr"/>
      <c r="L532" t="inlineStr"/>
      <c r="M532" t="inlineStr"/>
      <c r="N532" t="inlineStr">
        <is>
          <t>Operationnel</t>
        </is>
      </c>
      <c r="O532" t="inlineStr"/>
      <c r="P532" t="inlineStr">
        <is>
          <t>SPARE-ISSUE</t>
        </is>
      </c>
      <c r="Q532" t="inlineStr">
        <is>
          <t>SPARE-ISSUE</t>
        </is>
      </c>
      <c r="R532" t="inlineStr">
        <is>
          <t>Warehouse HUAWEI</t>
        </is>
      </c>
      <c r="S532" t="inlineStr">
        <is>
          <t>SPARE-ISSUE</t>
        </is>
      </c>
      <c r="T532" t="inlineStr">
        <is>
          <t>(04/27/2026 ocm ran 17h):-22.04.26;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ASAP..;..;(04/27/2026 ocm ran 11h):-22.04.26;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t>
        </is>
      </c>
      <c r="U532" t="inlineStr">
        <is>
          <t>: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 :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t>
        </is>
      </c>
    </row>
    <row r="533">
      <c r="A533" s="96" t="n">
        <v>46140</v>
      </c>
      <c r="B533" t="inlineStr">
        <is>
          <t>NR-Bastos</t>
        </is>
      </c>
      <c r="C533" t="inlineStr">
        <is>
          <t>CTR_038</t>
        </is>
      </c>
      <c r="D533" t="inlineStr"/>
      <c r="E533" t="inlineStr">
        <is>
          <t>IHS</t>
        </is>
      </c>
      <c r="F533" t="inlineStr">
        <is>
          <t>GridOnly</t>
        </is>
      </c>
      <c r="G533" t="inlineStr">
        <is>
          <t>CENTRE</t>
        </is>
      </c>
      <c r="H533" t="inlineStr">
        <is>
          <t>Yaounde</t>
        </is>
      </c>
      <c r="I533" t="inlineStr"/>
      <c r="J533" t="n">
        <v>27.69572137692889</v>
      </c>
      <c r="K533" t="n">
        <v>23.71240152527447</v>
      </c>
      <c r="L533" t="n">
        <v>73.36903436886445</v>
      </c>
      <c r="M533" t="n">
        <v>50.17658511042053</v>
      </c>
      <c r="N533" t="inlineStr"/>
      <c r="O533" t="inlineStr"/>
      <c r="P533" t="inlineStr">
        <is>
          <t>IHS GRID ONLY</t>
        </is>
      </c>
      <c r="Q533" t="inlineStr">
        <is>
          <t>POWER ISSUE</t>
        </is>
      </c>
      <c r="R533" t="inlineStr">
        <is>
          <t>Coupure ENEO &amp; Baisse de tension</t>
        </is>
      </c>
      <c r="S533" t="inlineStr">
        <is>
          <t>PASSIVE</t>
        </is>
      </c>
      <c r="T533" t="inlineStr">
        <is>
          <t>(04/28/2026 retour IHS ): Power issue NUR to be checked   ||  (04/28/2026 hourly IHS): Grid only No space to deployed MGen//awaiting grid return Francois is informed..;..;(04/28/2026 ocm ran 14h): 27.04.26: Grid outage, No space to deploy MDG // awaiting grid return  Francois  is informed..;..;(04/28/2026 com ran 10h): 27.04.26: Grid outage, No space to deploy MDG // awaiting grid return  Francois  is informed..;..;(04/28/2026 ocm ran 00h): 27.04.26: Grid outage, No space to deploy MDG // awaiting grid return  Francois  is informed..;..;(04/28/2026 ticket): INC-20260428-00014946…2026-04-28 20:35:39…Grid only No space to deployed MGen//awaiting grid return</t>
        </is>
      </c>
      <c r="U533" t="inlineStr">
        <is>
          <t>04/28/2026 retour IHS ) : Power issue NUR to be checked || : Grid only No space to deployed MGen//awaiting grid return Francois is informed.;.; : 27.04.26 : Grid outage, No space to deploy MDG // awaiting grid return Francois is informed.;.;(04/28/2026 com ran 10h) : 27.04.26 : Grid outage, No space to deploy MDG // awaiting grid return Francois is informed.;.; : 27.04.26 : Grid outage, No space to deploy MDG // awaiting grid return Francois is informed.;.; : …2026-04-28 20 : 35 : 39…Grid only No space to deployed MGen//awaiting grid return</t>
        </is>
      </c>
    </row>
    <row r="534">
      <c r="A534" s="96" t="n">
        <v>46140</v>
      </c>
      <c r="B534" t="inlineStr">
        <is>
          <t>BATA-Mokolo</t>
        </is>
      </c>
      <c r="C534" t="inlineStr">
        <is>
          <t>CTR_409</t>
        </is>
      </c>
      <c r="D534" t="inlineStr"/>
      <c r="E534" t="inlineStr">
        <is>
          <t>IHS</t>
        </is>
      </c>
      <c r="F534" t="inlineStr">
        <is>
          <t>GridOnly</t>
        </is>
      </c>
      <c r="G534" t="inlineStr">
        <is>
          <t>CENTRE</t>
        </is>
      </c>
      <c r="H534" t="inlineStr">
        <is>
          <t>Yaounde</t>
        </is>
      </c>
      <c r="I534" t="inlineStr"/>
      <c r="J534" t="n">
        <v>24.1024753306236</v>
      </c>
      <c r="K534" t="n">
        <v>20.66508265586802</v>
      </c>
      <c r="L534" t="n">
        <v>74.3404262071894</v>
      </c>
      <c r="M534" t="n">
        <v>49.14701954439222</v>
      </c>
      <c r="N534" t="inlineStr"/>
      <c r="O534" t="inlineStr"/>
      <c r="P534" t="inlineStr">
        <is>
          <t>IHS GRID ONLY</t>
        </is>
      </c>
      <c r="Q534" t="inlineStr">
        <is>
          <t>POWER ISSUE</t>
        </is>
      </c>
      <c r="R534" t="inlineStr">
        <is>
          <t>Coupure ENEO &amp; Baisse de tension</t>
        </is>
      </c>
      <c r="S534" t="inlineStr">
        <is>
          <t>PASSIVE</t>
        </is>
      </c>
      <c r="T534" t="inlineStr">
        <is>
          <t>(04/28/2026 retour IHS ): Power issue NUR to be checked   ||   (04/28/2026 hourly IHS): Grid outage, No space to deploy MDG // awaiting grid return..;..;(04/28/2026 ocm ran 14h): 27.04.26: Grid outage // awaiting grid return..;..;(04/28/2026 com ran 10h): 27.04.26: Grid outage // awaiting grid return..;..;(04/28/2026 ocm ran 00h): 27.04.26: Grid outage // awaiting grid return</t>
        </is>
      </c>
      <c r="U534" t="inlineStr">
        <is>
          <t>04/28/2026 retour IHS ) : Power issue NUR to be checked || : Grid outage, No space to deploy MDG // awaiting grid return.;.; : 27.04.26 : Grid outage // awaiting grid return.;.;(04/28/2026 com ran 10h) : 27.04.26 : Grid outage // awaiting grid return.;.; : 27.04.26 : Grid outage // awaiting grid return</t>
        </is>
      </c>
    </row>
    <row r="535">
      <c r="A535" s="96" t="n">
        <v>46140</v>
      </c>
      <c r="B535" t="inlineStr">
        <is>
          <t>Nyalla-III</t>
        </is>
      </c>
      <c r="C535" t="inlineStr">
        <is>
          <t>LIT_751</t>
        </is>
      </c>
      <c r="D535" t="inlineStr"/>
      <c r="E535" t="inlineStr">
        <is>
          <t>CAMUSAT</t>
        </is>
      </c>
      <c r="F535" t="inlineStr">
        <is>
          <t>Good Grid no GE - 8h</t>
        </is>
      </c>
      <c r="G535" t="inlineStr">
        <is>
          <t>LITTORAL</t>
        </is>
      </c>
      <c r="H535" t="inlineStr">
        <is>
          <t>Douala</t>
        </is>
      </c>
      <c r="I535" t="inlineStr"/>
      <c r="J535" t="n">
        <v>22.52904072195645</v>
      </c>
      <c r="K535" t="n">
        <v>19.24677247705798</v>
      </c>
      <c r="L535" t="n">
        <v>68.22670766328054</v>
      </c>
      <c r="M535" t="n">
        <v>45.25795587173581</v>
      </c>
      <c r="N535" t="inlineStr"/>
      <c r="O535" t="inlineStr"/>
      <c r="P535" t="inlineStr">
        <is>
          <t>AKTIVCO GRID ONLY</t>
        </is>
      </c>
      <c r="Q535" t="inlineStr">
        <is>
          <t>POWER ISSUE</t>
        </is>
      </c>
      <c r="R535" t="inlineStr">
        <is>
          <t>AKTIVCO Coupure ENEO &amp; Baisse de tension</t>
        </is>
      </c>
      <c r="S535" t="inlineStr">
        <is>
          <t>PASSIVE</t>
        </is>
      </c>
      <c r="T535" t="inlineStr">
        <is>
          <t>(04/28/2026 ocm ran 14h): 28.04.26 Cartes d'alimentation qui trainnent au sol ENEO mis à contribution update asap 
27.04.26: Camusat: Grid outage and Grid only site / Grid return awaited..;..;(04/28/2026 com ran 10h): 27.04.26: Camusat: Grid outage and Grid only site / Grid return awaited..;..;(04/28/2026 ocm ran 00h): 27.04.26: Camusat: Grid outage and Grid only site / Grid return awaited..;..;(04/28/2026 ticket): INC-20260428-00012901</t>
        </is>
      </c>
      <c r="U535" t="inlineStr">
        <is>
          <t>: 28.04.26 Cartes d'alimentation qui trainnent au sol ENEO mis à contribution update asap 27.04.26 : Camusat : Grid outage and Grid only site / Grid return awaited.;.;(04/28/2026 com ran 10h) : 27.04.26 : Camusat : Grid outage and Grid only site / Grid return awaited.;.; : 27.04.26 : Camusat : Grid outage and Grid only site / Grid return awaited.;.; :</t>
        </is>
      </c>
    </row>
    <row r="536">
      <c r="A536" s="96" t="n">
        <v>46140</v>
      </c>
      <c r="B536" t="inlineStr">
        <is>
          <t>Ngousso-Maetur</t>
        </is>
      </c>
      <c r="C536" t="inlineStr">
        <is>
          <t>CTR_567</t>
        </is>
      </c>
      <c r="D536" t="inlineStr"/>
      <c r="E536" t="inlineStr">
        <is>
          <t>CAMUSAT</t>
        </is>
      </c>
      <c r="F536" t="inlineStr">
        <is>
          <t>Good Grid no GE - 8h</t>
        </is>
      </c>
      <c r="G536" t="inlineStr">
        <is>
          <t>CENTRE</t>
        </is>
      </c>
      <c r="H536" t="inlineStr">
        <is>
          <t>Yaounde</t>
        </is>
      </c>
      <c r="I536" t="inlineStr"/>
      <c r="J536" t="n">
        <v>19.27650983777562</v>
      </c>
      <c r="K536" t="n">
        <v>16.39814559809052</v>
      </c>
      <c r="L536" t="n">
        <v>58.71734142540389</v>
      </c>
      <c r="M536" t="n">
        <v>38.87815217174182</v>
      </c>
      <c r="N536" t="inlineStr"/>
      <c r="O536" t="inlineStr"/>
      <c r="P536" t="inlineStr">
        <is>
          <t>AKTIVCO GRID ONLY</t>
        </is>
      </c>
      <c r="Q536" t="inlineStr">
        <is>
          <t>POWER ISSUE</t>
        </is>
      </c>
      <c r="R536" t="inlineStr">
        <is>
          <t>AKTIVCO Coupure ENEO &amp; Baisse de tension</t>
        </is>
      </c>
      <c r="S536" t="inlineStr">
        <is>
          <t>PASSIVE</t>
        </is>
      </c>
      <c r="T536" t="inlineStr">
        <is>
          <t>(04/28/2026 com ran 10h): 27/04/2026 Grid outage, Grid only site / Grid return awaited - Escalade L4
26/04/2026 Continuté du delestage confirmé / prochaine visite 18H - Escalade L4
24.04.26: Grid outage, Grid only site / Grid return awaited - Escalade L4
23.04.26: Grid outage, Grid only site / Grid return awaited - Escalade L3..;..;(04/28/2026 ocm ran 00h): 27/04/2026 Grid outage, Grid only site / Grid return awaited - Escalade L4
26/04/2026 Continuté du delestage confirmé / prochaine visite 18H - Escalade L4
24.04.26: Grid outage, Grid only site / Grid return awaited - Escalade L4
23.04.26: Grid outage, Grid only site / Grid return awaited - Escalade L3</t>
        </is>
      </c>
      <c r="U536" t="inlineStr">
        <is>
          <t>04/28/2026 com ran 10h) : 27/04/2026 Grid outage, Grid only site / Grid return awaited - Escalade L4 26/04/2026 Continuté du delestage confirmé / prochaine visite 18H - Escalade L4 24.04.26 : Grid outage, Grid only site / Grid return awaited - Escalade L4 23.04.26 : Grid outage, Grid only site / Grid return awaited - Escalade L3.;.; : 27/04/2026 Grid outage, Grid only site / Grid return awaited - Escalade L4 26/04/2026 Continuté du delestage confirmé / prochaine visite 18H - Escalade L4 24.04.26 : Grid outage, Grid only site / Grid return awaited - Escalade L4 23.04.26 : Grid outage, Grid only site / Grid return awaited - Escalade L3</t>
        </is>
      </c>
    </row>
    <row r="537">
      <c r="A537" s="96" t="n">
        <v>46140</v>
      </c>
      <c r="B537" t="inlineStr">
        <is>
          <t>KUMBA-BONAKAMA</t>
        </is>
      </c>
      <c r="C537" t="inlineStr">
        <is>
          <t>SUO_218</t>
        </is>
      </c>
      <c r="D537" t="inlineStr"/>
      <c r="E537" t="inlineStr">
        <is>
          <t>IHS</t>
        </is>
      </c>
      <c r="F537" t="inlineStr">
        <is>
          <t>Grid-Gen</t>
        </is>
      </c>
      <c r="G537" t="inlineStr">
        <is>
          <t>SUD-OUEST</t>
        </is>
      </c>
      <c r="H537" t="inlineStr">
        <is>
          <t>Kumba</t>
        </is>
      </c>
      <c r="I537" t="inlineStr"/>
      <c r="J537" t="n">
        <v>30.39271668884813</v>
      </c>
      <c r="K537" t="n">
        <v>51.78008898001094</v>
      </c>
      <c r="L537" t="n">
        <v>31.35007015170718</v>
      </c>
      <c r="M537" t="n">
        <v>38.07195312656057</v>
      </c>
      <c r="N537" t="inlineStr"/>
      <c r="O537" t="inlineStr"/>
      <c r="P537" t="inlineStr">
        <is>
          <t>ACCESS-ISSUE</t>
        </is>
      </c>
      <c r="Q537" t="inlineStr">
        <is>
          <t>ACCESS-ISSUE</t>
        </is>
      </c>
      <c r="R537" t="inlineStr">
        <is>
          <t>ACCESS-ISSUE</t>
        </is>
      </c>
      <c r="S537" t="inlineStr">
        <is>
          <t>ACCESS-ISSUE</t>
        </is>
      </c>
      <c r="T537" t="inlineStr">
        <is>
          <t xml:space="preserve">(04/28/2026 ocm ran 19h): 25/04/2026 FME activé GHOST TOWN to day
Besoin d'un fme sur site pour verifier le status du MPR ..;..;(04/28/2026 ocm ran 14h): 25/04/2026 FME activé GHOST TOWN to day
Besoin d'un fme sur site pour verifier le status du MPR ..;..;(04/28/2026 com ran 10h): 25/04/2026 FME activé GHOST TOWN to day
Besoin d'un fme sur site pour verifier le status du MPR ..;..;(04/28/2026 ocm ran 00h): 25/04/2026 FME activé GHOST TOWN to day
Besoin d'un fme sur site pour verifier le status du MPR </t>
        </is>
      </c>
      <c r="U537" t="inlineStr">
        <is>
          <t>: 25/04/2026 FME activé GHOST TOWN to day Besoin d'un fme sur site pour verifier le status du MPR .;.; : 25/04/2026 FME activé GHOST TOWN to day Besoin d'un fme sur site pour verifier le status du MPR .;.;(04/28/2026 com ran 10h) : 25/04/2026 FME activé GHOST TOWN to day Besoin d'un fme sur site pour verifier le status du MPR .;.; : 25/04/2026 FME activé GHOST TOWN to day Besoin d'un fme sur site pour verifier le status du MPR</t>
        </is>
      </c>
    </row>
    <row r="538">
      <c r="A538" s="96" t="n">
        <v>46140</v>
      </c>
      <c r="B538" t="inlineStr">
        <is>
          <t>Ancien-Troisieme</t>
        </is>
      </c>
      <c r="C538" t="inlineStr">
        <is>
          <t>LIT_653</t>
        </is>
      </c>
      <c r="D538" t="inlineStr"/>
      <c r="E538" t="inlineStr">
        <is>
          <t>CAMUSAT</t>
        </is>
      </c>
      <c r="F538" t="inlineStr">
        <is>
          <t>Good Grid no GE - 8h</t>
        </is>
      </c>
      <c r="G538" t="inlineStr">
        <is>
          <t>LITTORAL</t>
        </is>
      </c>
      <c r="H538" t="inlineStr">
        <is>
          <t>Douala</t>
        </is>
      </c>
      <c r="I538" t="inlineStr"/>
      <c r="J538" t="n">
        <v>15.3956292539437</v>
      </c>
      <c r="K538" t="n">
        <v>16.3182437923097</v>
      </c>
      <c r="L538" t="n">
        <v>56.43874475503813</v>
      </c>
      <c r="M538" t="n">
        <v>37.10887673249952</v>
      </c>
      <c r="N538" t="inlineStr"/>
      <c r="O538" t="inlineStr"/>
      <c r="P538" t="inlineStr">
        <is>
          <t>AKTIVCO GRID ONLY</t>
        </is>
      </c>
      <c r="Q538" t="inlineStr">
        <is>
          <t>POWER ISSUE</t>
        </is>
      </c>
      <c r="R538" t="inlineStr">
        <is>
          <t>AKTIVCO Coupure ENEO &amp; Baisse de tension</t>
        </is>
      </c>
      <c r="S538" t="inlineStr">
        <is>
          <t>PASSIVE</t>
        </is>
      </c>
      <c r="T538" t="inlineStr">
        <is>
          <t xml:space="preserve">(04/28/2026 com ran 10h): Power status check ongoing..;..;(04/28/2026 ticket): INC-20260428-00008992 || (check the power courbe): power issue </t>
        </is>
      </c>
      <c r="U538" t="inlineStr">
        <is>
          <t>04/28/2026 com ran 10h) : ; : || (check the power courbe) : power issue</t>
        </is>
      </c>
    </row>
    <row r="539">
      <c r="A539" s="96" t="n">
        <v>46140</v>
      </c>
      <c r="B539" t="inlineStr">
        <is>
          <t>Institute-Samba-New</t>
        </is>
      </c>
      <c r="C539" t="inlineStr">
        <is>
          <t>CTR_868</t>
        </is>
      </c>
      <c r="D539" t="inlineStr"/>
      <c r="E539" t="inlineStr">
        <is>
          <t>CAMUSAT</t>
        </is>
      </c>
      <c r="F539" t="inlineStr">
        <is>
          <t>Good Grid no GE - 8h</t>
        </is>
      </c>
      <c r="G539" t="inlineStr">
        <is>
          <t>CENTRE</t>
        </is>
      </c>
      <c r="H539" t="inlineStr">
        <is>
          <t>Yaounde</t>
        </is>
      </c>
      <c r="I539" t="inlineStr"/>
      <c r="J539" t="n">
        <v>14.62339983773565</v>
      </c>
      <c r="K539" t="n">
        <v>12.5377833539038</v>
      </c>
      <c r="L539" t="n">
        <v>58.37362815655322</v>
      </c>
      <c r="M539" t="n">
        <v>36.73847782600383</v>
      </c>
      <c r="N539" t="inlineStr"/>
      <c r="O539" t="inlineStr"/>
      <c r="P539" t="inlineStr">
        <is>
          <t>AKTIVCO GRID ONLY</t>
        </is>
      </c>
      <c r="Q539" t="inlineStr">
        <is>
          <t>POWER ISSUE</t>
        </is>
      </c>
      <c r="R539" t="inlineStr">
        <is>
          <t>AKTIVCO Coupure ENEO &amp; Baisse de tension</t>
        </is>
      </c>
      <c r="S539" t="inlineStr">
        <is>
          <t>PASSIVE</t>
        </is>
      </c>
      <c r="T539" t="inlineStr">
        <is>
          <t>(04/28/2026 cell zte): 28/04/2026 : Besoin d'analyse BO RAN..;..;(04/28/2026 cell zte): 28/04/2026 : Besoin d'analyse BO RAN..;..;(04/28/2026 ocm ran 00h): 27.04.26: Camusat: Grid outage and Grid only site / Grid return awaited</t>
        </is>
      </c>
      <c r="U539" t="inlineStr">
        <is>
          <t>04/28/2026 cell zte) : 28/04/2026 : Besoin d'analyse BO RAN.;.;(04/28/2026 cell zte) : 28/04/2026 : Besoin d'analyse BO RAN.;.; : 27.04.26 : Camusat : Grid outage and Grid only site / Grid return awaited</t>
        </is>
      </c>
    </row>
    <row r="540">
      <c r="A540" s="96" t="n">
        <v>46140</v>
      </c>
      <c r="B540" t="inlineStr">
        <is>
          <t>Bepanda</t>
        </is>
      </c>
      <c r="C540" t="inlineStr">
        <is>
          <t>LIT_050</t>
        </is>
      </c>
      <c r="D540" t="inlineStr"/>
      <c r="E540" t="inlineStr">
        <is>
          <t>IHS</t>
        </is>
      </c>
      <c r="F540" t="inlineStr">
        <is>
          <t>GridOnly</t>
        </is>
      </c>
      <c r="G540" t="inlineStr">
        <is>
          <t>LITTORAL</t>
        </is>
      </c>
      <c r="H540" t="inlineStr">
        <is>
          <t>Douala</t>
        </is>
      </c>
      <c r="I540" t="inlineStr"/>
      <c r="J540" t="n">
        <v>18.81864261477405</v>
      </c>
      <c r="K540" t="n">
        <v>16.07588206493467</v>
      </c>
      <c r="L540" t="n">
        <v>47.46642622469998</v>
      </c>
      <c r="M540" t="n">
        <v>32.83735764040488</v>
      </c>
      <c r="N540" t="inlineStr"/>
      <c r="O540" t="inlineStr"/>
      <c r="P540" t="inlineStr">
        <is>
          <t>IHS GRID ONLY</t>
        </is>
      </c>
      <c r="Q540" t="inlineStr">
        <is>
          <t>POWER ISSUE</t>
        </is>
      </c>
      <c r="R540" t="inlineStr">
        <is>
          <t>Coupure ENEO &amp; Baisse de tension</t>
        </is>
      </c>
      <c r="S540" t="inlineStr">
        <is>
          <t>PASSIVE</t>
        </is>
      </c>
      <c r="T540" t="inlineStr">
        <is>
          <t>(04/28/2026 retour IHS ): Power issue NUR to be checked   ||  (04/28/2026 hourly IHS): Grid outage // awaiting grid returned Escalation done until Armel B..;..;(04/28/2026 com ran 10h): 27/04/2026 Grid outage // awaiting grid returned..;..;(04/28/2026 ocm ran 00h): 27/04/2026 Grid outage // awaiting grid returned</t>
        </is>
      </c>
      <c r="U540" t="inlineStr">
        <is>
          <t>04/28/2026 retour IHS ) : Power issue NUR to be checked || : Grid outage // awaiting grid returned Escalation done until Armel B.;.;(04/28/2026 com ran 10h) : 27/04/2026 Grid outage // awaiting grid returned.;.; : 27/04/2026 Grid outage // awaiting grid returned</t>
        </is>
      </c>
    </row>
    <row r="541">
      <c r="A541" s="96" t="n">
        <v>46140</v>
      </c>
      <c r="B541" t="inlineStr">
        <is>
          <t>Mora-IHS</t>
        </is>
      </c>
      <c r="C541" t="inlineStr">
        <is>
          <t>EXN_106</t>
        </is>
      </c>
      <c r="D541" t="inlineStr"/>
      <c r="E541" t="inlineStr">
        <is>
          <t>IHS</t>
        </is>
      </c>
      <c r="F541" t="inlineStr">
        <is>
          <t>Grid-Gen</t>
        </is>
      </c>
      <c r="G541" t="inlineStr">
        <is>
          <t>EXTREME-NORD</t>
        </is>
      </c>
      <c r="H541" t="inlineStr">
        <is>
          <t>Mora</t>
        </is>
      </c>
      <c r="I541" t="inlineStr"/>
      <c r="J541" t="n">
        <v>0</v>
      </c>
      <c r="K541" t="n">
        <v>0</v>
      </c>
      <c r="L541" t="n">
        <v>53.18834584244432</v>
      </c>
      <c r="M541" t="n">
        <v>27.73711379921413</v>
      </c>
      <c r="N541" t="inlineStr"/>
      <c r="O541" t="inlineStr"/>
      <c r="P541" t="inlineStr">
        <is>
          <t>BSS</t>
        </is>
      </c>
      <c r="Q541" t="inlineStr">
        <is>
          <t>RAN ISSUE</t>
        </is>
      </c>
      <c r="R541" t="inlineStr">
        <is>
          <t>BSS Hardware issue</t>
        </is>
      </c>
      <c r="S541" t="inlineStr">
        <is>
          <t>ACTIVE</t>
        </is>
      </c>
      <c r="T541" t="inlineStr">
        <is>
          <t>(04/28/2026 cell huawei): 28/04/2026 : Probleme de licence  || Point envoye a Huawei Projet
27/04/2026 : Besoin d'analyse BO RAN || No HW alarm observed, need a reset of BTS on site || HW Projet should renew License..;..;(04/28/2026 cell huawei): 28/04/2026 : Probleme de licence  || Point envoye a Huawei Projet
27/04/2026 : Besoin d'analyse BO RAN || No HW alarm observed, need a reset of BTS on site || HW Projet should renew License..;..;(04/28/2026 cell huawei): 28/04/2026 : Probleme de licence  || Point envoye a Huawei Projet
27/04/2026 : Besoin d'analyse BO RAN || No HW alarm observed, need a reset of BTS on site || HW Projet should renew License</t>
        </is>
      </c>
      <c r="U541" t="inlineStr">
        <is>
          <t>04/28/2026 cell huawei) : 28/04/2026 : Probleme de licence || Point envoye a Huawei Projet 27/04/2026 : Besoin d'analyse BO RAN || No HW alarm observed, need a reset of BTS on site || HW Projet should renew License.;.;(04/28/2026 cell huawei) : 28/04/2026 : Probleme de licence || Point envoye a Huawei Projet 27/04/2026 : Besoin d'analyse BO RAN || No HW alarm observed, need a reset of BTS on site || HW Projet should renew License.;.;(04/28/2026 cell huawei) : 28/04/2026 : Probleme de licence || Point envoye a Huawei Projet 27/04/2026 : Besoin d'analyse BO RAN || No HW alarm observed, need a reset of BTS on site || HW Projet should renew License</t>
        </is>
      </c>
    </row>
    <row r="542">
      <c r="A542" s="96" t="n">
        <v>46140</v>
      </c>
      <c r="B542" t="inlineStr">
        <is>
          <t>Mora4-IHS</t>
        </is>
      </c>
      <c r="C542" t="inlineStr">
        <is>
          <t>EXN_258</t>
        </is>
      </c>
      <c r="D542" t="inlineStr"/>
      <c r="E542" t="inlineStr">
        <is>
          <t>IHS</t>
        </is>
      </c>
      <c r="F542" t="inlineStr">
        <is>
          <t>Grid-Gen</t>
        </is>
      </c>
      <c r="G542" t="inlineStr">
        <is>
          <t>EXTREME-NORD</t>
        </is>
      </c>
      <c r="H542" t="inlineStr">
        <is>
          <t>Mora</t>
        </is>
      </c>
      <c r="I542" t="inlineStr"/>
      <c r="J542" t="n">
        <v>0</v>
      </c>
      <c r="K542" t="n">
        <v>0</v>
      </c>
      <c r="L542" t="n">
        <v>53.18834584244432</v>
      </c>
      <c r="M542" t="n">
        <v>27.73711379921413</v>
      </c>
      <c r="N542" t="inlineStr"/>
      <c r="O542" t="inlineStr"/>
      <c r="P542" t="inlineStr">
        <is>
          <t>BSS</t>
        </is>
      </c>
      <c r="Q542" t="inlineStr">
        <is>
          <t>RAN ISSUE</t>
        </is>
      </c>
      <c r="R542" t="inlineStr">
        <is>
          <t>BSS Hardware issue</t>
        </is>
      </c>
      <c r="S542" t="inlineStr">
        <is>
          <t>ACTIVE</t>
        </is>
      </c>
      <c r="T542" t="inlineStr">
        <is>
          <t>(04/28/2026 cell huawei): 28/04/2026 : Probleme de licence  || Point envoye a Huawei Projet
27/04/2026 : Besoin d'analyse BO RAN || No HW alarm observed, need a reset of BTS on site || HW Projet should renew License..;..;(04/28/2026 cell huawei): 28/04/2026 : Probleme de licence  || Point envoye a Huawei Projet
27/04/2026 : Besoin d'analyse BO RAN || No HW alarm observed, need a reset of BTS on site || HW Projet should renew License..;..;(04/28/2026 cell huawei): 28/04/2026 : Probleme de licence  || Point envoye a Huawei Projet
27/04/2026 : Besoin d'analyse BO RAN || No HW alarm observed, need a reset of BTS on site || HW Projet should renew License</t>
        </is>
      </c>
      <c r="U542" t="inlineStr">
        <is>
          <t>04/28/2026 cell huawei) : 28/04/2026 : Probleme de licence || Point envoye a Huawei Projet 27/04/2026 : Besoin d'analyse BO RAN || No HW alarm observed, need a reset of BTS on site || HW Projet should renew License.;.;(04/28/2026 cell huawei) : 28/04/2026 : Probleme de licence || Point envoye a Huawei Projet 27/04/2026 : Besoin d'analyse BO RAN || No HW alarm observed, need a reset of BTS on site || HW Projet should renew License.;.;(04/28/2026 cell huawei) : 28/04/2026 : Probleme de licence || Point envoye a Huawei Projet 27/04/2026 : Besoin d'analyse BO RAN || No HW alarm observed, need a reset of BTS on site || HW Projet should renew License</t>
        </is>
      </c>
    </row>
    <row r="543">
      <c r="A543" s="96" t="n">
        <v>46140</v>
      </c>
      <c r="B543" t="inlineStr">
        <is>
          <t>Mora-II</t>
        </is>
      </c>
      <c r="C543" t="inlineStr">
        <is>
          <t>EXN_032</t>
        </is>
      </c>
      <c r="D543" t="inlineStr"/>
      <c r="E543" t="inlineStr">
        <is>
          <t>IHS</t>
        </is>
      </c>
      <c r="F543" t="inlineStr">
        <is>
          <t>Grid-Gen</t>
        </is>
      </c>
      <c r="G543" t="inlineStr">
        <is>
          <t>EXTREME-NORD</t>
        </is>
      </c>
      <c r="H543" t="inlineStr">
        <is>
          <t>Mora</t>
        </is>
      </c>
      <c r="I543" t="inlineStr"/>
      <c r="J543" t="n">
        <v>0</v>
      </c>
      <c r="K543" t="n">
        <v>0</v>
      </c>
      <c r="L543" t="n">
        <v>53.18834584244432</v>
      </c>
      <c r="M543" t="n">
        <v>27.73711379921413</v>
      </c>
      <c r="N543" t="inlineStr"/>
      <c r="O543" t="inlineStr"/>
      <c r="P543" t="inlineStr">
        <is>
          <t>BSS</t>
        </is>
      </c>
      <c r="Q543" t="inlineStr">
        <is>
          <t>RAN ISSUE</t>
        </is>
      </c>
      <c r="R543" t="inlineStr">
        <is>
          <t>BSS Hardware issue</t>
        </is>
      </c>
      <c r="S543" t="inlineStr">
        <is>
          <t>ACTIVE</t>
        </is>
      </c>
      <c r="T543" t="inlineStr">
        <is>
          <t>(04/28/2026 cell huawei): 28/04/2026 : Probleme de licence  || Point envoye a Huawei Projet
27/04/2026 : Besoin d'analyse BO RAN || No HW alarm observed, need a reset of BTS on site || HW Projet should renew License..;..;(04/28/2026 cell huawei): 28/04/2026 : Probleme de licence  || Point envoye a Huawei Projet
27/04/2026 : Besoin d'analyse BO RAN || No HW alarm observed, need a reset of BTS on site || HW Projet should renew License..;..;(04/28/2026 cell huawei): 28/04/2026 : Probleme de licence  || Point envoye a Huawei Projet
27/04/2026 : Besoin d'analyse BO RAN || No HW alarm observed, need a reset of BTS on site || HW Projet should renew License</t>
        </is>
      </c>
      <c r="U543" t="inlineStr">
        <is>
          <t>04/28/2026 cell huawei) : 28/04/2026 : Probleme de licence || Point envoye a Huawei Projet 27/04/2026 : Besoin d'analyse BO RAN || No HW alarm observed, need a reset of BTS on site || HW Projet should renew License.;.;(04/28/2026 cell huawei) : 28/04/2026 : Probleme de licence || Point envoye a Huawei Projet 27/04/2026 : Besoin d'analyse BO RAN || No HW alarm observed, need a reset of BTS on site || HW Projet should renew License.;.;(04/28/2026 cell huawei) : 28/04/2026 : Probleme de licence || Point envoye a Huawei Projet 27/04/2026 : Besoin d'analyse BO RAN || No HW alarm observed, need a reset of BTS on site || HW Projet should renew License</t>
        </is>
      </c>
    </row>
    <row r="544">
      <c r="A544" s="96" t="n">
        <v>46140</v>
      </c>
      <c r="B544" t="inlineStr">
        <is>
          <t>Mora-Kourgui</t>
        </is>
      </c>
      <c r="C544" t="inlineStr">
        <is>
          <t>EXN_238</t>
        </is>
      </c>
      <c r="D544" t="inlineStr"/>
      <c r="E544" t="inlineStr">
        <is>
          <t>CAMUSAT</t>
        </is>
      </c>
      <c r="F544" t="inlineStr">
        <is>
          <t>Bad Grid + Solar + GE</t>
        </is>
      </c>
      <c r="G544" t="inlineStr">
        <is>
          <t>EXTREME-NORD</t>
        </is>
      </c>
      <c r="H544" t="inlineStr">
        <is>
          <t>Mora</t>
        </is>
      </c>
      <c r="I544" t="inlineStr"/>
      <c r="J544" t="n">
        <v>6.214179945565507</v>
      </c>
      <c r="K544" t="n">
        <v>10.58459858692807</v>
      </c>
      <c r="L544" t="n">
        <v>42.93235230384335</v>
      </c>
      <c r="M544" t="n">
        <v>26.82948666364184</v>
      </c>
      <c r="N544" t="inlineStr"/>
      <c r="O544" t="inlineStr"/>
      <c r="P544" t="inlineStr">
        <is>
          <t>BSS</t>
        </is>
      </c>
      <c r="Q544" t="inlineStr">
        <is>
          <t>RAN ISSUE</t>
        </is>
      </c>
      <c r="R544" t="inlineStr">
        <is>
          <t>BSS Hardware issue</t>
        </is>
      </c>
      <c r="S544" t="inlineStr">
        <is>
          <t>ACTIVE</t>
        </is>
      </c>
      <c r="T544" t="inlineStr">
        <is>
          <t>(04/28/2026 cell huawei): 28/04/2026 : Probleme de licence  || Point envoye a Huawei Projet
27/04/2026 : Besoin d'analyse BO RAN || No HW alarm observed, need a reset of BTS on site || HW Projet should renew License..;..;(04/28/2026 cell huawei): 28/04/2026 : Probleme de licence  || Point envoye a Huawei Projet
27/04/2026 : Besoin d'analyse BO RAN || No HW alarm observed, need a reset of BTS on site || HW Projet should renew License..;..;(04/28/2026 cell huawei): 28/04/2026 : Probleme de licence  || Point envoye a Huawei Projet
27/04/2026 : Besoin d'analyse BO RAN || No HW alarm observed, need a reset of BTS on site || HW Projet should renew License..;..;(04/28/2026 ocm ran 19h): Power status check ongoing</t>
        </is>
      </c>
      <c r="U544" t="inlineStr">
        <is>
          <t>04/28/2026 cell huawei) : 28/04/2026 : Probleme de licence || Point envoye a Huawei Projet 27/04/2026 : Besoin d'analyse BO RAN || No HW alarm observed, need a reset of BTS on site || HW Projet should renew License.;.;(04/28/2026 cell huawei) : 28/04/2026 : Probleme de licence || Point envoye a Huawei Projet 27/04/2026 : Besoin d'analyse BO RAN || No HW alarm observed, need a reset of BTS on site || HW Projet should renew License.;.;(04/28/2026 cell huawei) : 28/04/2026 : Probleme de licence || Point envoye a Huawei Projet 27/04/2026 : Besoin d'analyse BO RAN || No HW alarm observed, need a reset of BTS on site || HW Projet should renew License.;.; : Power status check ongoing</t>
        </is>
      </c>
    </row>
    <row r="545">
      <c r="A545" s="96" t="n">
        <v>46140</v>
      </c>
      <c r="B545" t="inlineStr">
        <is>
          <t>Bonamoutongo-III</t>
        </is>
      </c>
      <c r="C545" t="inlineStr">
        <is>
          <t>LIT_718</t>
        </is>
      </c>
      <c r="D545" t="inlineStr"/>
      <c r="E545" t="inlineStr">
        <is>
          <t>CAMUSAT</t>
        </is>
      </c>
      <c r="F545" t="inlineStr">
        <is>
          <t>Good Grid no GE - 8h</t>
        </is>
      </c>
      <c r="G545" t="inlineStr">
        <is>
          <t>LITTORAL</t>
        </is>
      </c>
      <c r="H545" t="inlineStr">
        <is>
          <t>Douala</t>
        </is>
      </c>
      <c r="I545" t="inlineStr"/>
      <c r="J545" t="n">
        <v>8.609427518594455</v>
      </c>
      <c r="K545" t="n">
        <v>10.45571442414599</v>
      </c>
      <c r="L545" t="n">
        <v>42.26681397430762</v>
      </c>
      <c r="M545" t="n">
        <v>26.78118927155833</v>
      </c>
      <c r="N545" t="inlineStr"/>
      <c r="O545" t="inlineStr"/>
      <c r="P545" t="inlineStr">
        <is>
          <t>AKTIVCO GRID ONLY</t>
        </is>
      </c>
      <c r="Q545" t="inlineStr">
        <is>
          <t>POWER ISSUE</t>
        </is>
      </c>
      <c r="R545" t="inlineStr">
        <is>
          <t>AKTIVCO Coupure ENEO &amp; Baisse de tension</t>
        </is>
      </c>
      <c r="S545" t="inlineStr">
        <is>
          <t>PASSIVE</t>
        </is>
      </c>
      <c r="T545" t="inlineStr">
        <is>
          <t>(04/28/2026 ticket): INC-20260428-00008902…2026-04-28 13:24:27…Grid outage grid only site / The technician will be on site ETA 15h30 after the rain to start the MGE</t>
        </is>
      </c>
      <c r="U545" t="inlineStr">
        <is>
          <t>: …2026-04-28 13 : 24 : 27…Grid outage grid only site / The technician will be on site ETA 15h30 after the rain to start the MGE</t>
        </is>
      </c>
    </row>
    <row r="546">
      <c r="A546" s="96" t="n">
        <v>46140</v>
      </c>
      <c r="B546" t="inlineStr">
        <is>
          <t>Makepe-Bloc-E</t>
        </is>
      </c>
      <c r="C546" t="inlineStr">
        <is>
          <t>LIT_613</t>
        </is>
      </c>
      <c r="D546" t="inlineStr"/>
      <c r="E546" t="inlineStr">
        <is>
          <t>CAMUSAT</t>
        </is>
      </c>
      <c r="F546" t="inlineStr">
        <is>
          <t>Good Grid no GE - 8h</t>
        </is>
      </c>
      <c r="G546" t="inlineStr">
        <is>
          <t>LITTORAL</t>
        </is>
      </c>
      <c r="H546" t="inlineStr">
        <is>
          <t>Douala</t>
        </is>
      </c>
      <c r="I546" t="inlineStr"/>
      <c r="J546" t="n">
        <v>10.56616668465163</v>
      </c>
      <c r="K546" t="n">
        <v>14.85913269139883</v>
      </c>
      <c r="L546" t="n">
        <v>38.38798408508384</v>
      </c>
      <c r="M546" t="n">
        <v>26.51612433760519</v>
      </c>
      <c r="N546" t="inlineStr"/>
      <c r="O546" t="inlineStr"/>
      <c r="P546" t="inlineStr">
        <is>
          <t>AKTIVCO GRID ONLY</t>
        </is>
      </c>
      <c r="Q546" t="inlineStr">
        <is>
          <t>POWER ISSUE</t>
        </is>
      </c>
      <c r="R546" t="inlineStr">
        <is>
          <t>AKTIVCO Coupure ENEO &amp; Baisse de tension</t>
        </is>
      </c>
      <c r="S546" t="inlineStr">
        <is>
          <t>PASSIVE</t>
        </is>
      </c>
      <c r="T546" t="inlineStr">
        <is>
          <t>(04/28/2026 ocm ran 14h): Power status check ongoing..;..;(04/28/2026 ticket): INC-20260428-00008964…2026-04-28 14:09:42…Grid outage grid only site / grid return awaited</t>
        </is>
      </c>
      <c r="U546" t="inlineStr">
        <is>
          <t>: ; : …2026-04-28 14 : 09 : 42…Grid outage grid only site / grid return awaited</t>
        </is>
      </c>
    </row>
    <row r="547">
      <c r="A547" s="96" t="n">
        <v>46140</v>
      </c>
      <c r="B547" t="inlineStr">
        <is>
          <t>Cellucam-New</t>
        </is>
      </c>
      <c r="C547" t="inlineStr">
        <is>
          <t>LIT_209</t>
        </is>
      </c>
      <c r="D547" t="inlineStr"/>
      <c r="E547" t="inlineStr">
        <is>
          <t>CAMUSAT</t>
        </is>
      </c>
      <c r="F547" t="inlineStr">
        <is>
          <t>Grid-Gen</t>
        </is>
      </c>
      <c r="G547" t="inlineStr">
        <is>
          <t>LITTORAL</t>
        </is>
      </c>
      <c r="H547" t="inlineStr">
        <is>
          <t>Edea</t>
        </is>
      </c>
      <c r="I547" t="inlineStr"/>
      <c r="J547" t="n">
        <v>15.90545304125751</v>
      </c>
      <c r="K547" t="n">
        <v>27.16990778991605</v>
      </c>
      <c r="L547" t="n">
        <v>26.22443320484955</v>
      </c>
      <c r="M547" t="n">
        <v>25.06829051487731</v>
      </c>
      <c r="N547" t="inlineStr"/>
      <c r="O547" t="inlineStr"/>
      <c r="P547" t="inlineStr">
        <is>
          <t>IHS</t>
        </is>
      </c>
      <c r="Q547" t="inlineStr">
        <is>
          <t>POWER ISSUE</t>
        </is>
      </c>
      <c r="R547" t="inlineStr">
        <is>
          <t>Defaut GE &amp; Power Cabinet</t>
        </is>
      </c>
      <c r="S547" t="inlineStr">
        <is>
          <t>PASSIVE</t>
        </is>
      </c>
      <c r="T547" t="inlineStr">
        <is>
          <t>(04/28/2026 com ran 10h): 27.04.26: Camusat: FME is trying to get a level0..;..;(04/28/2026 ocm ran 00h): 27.04.26: Camusat: FME is trying to get a level0</t>
        </is>
      </c>
      <c r="U547" t="inlineStr">
        <is>
          <t>04/28/2026 com ran 10h) : 27.04.26 : Camusat : FME is trying to get a level0.;.; : 27.04.26 : Camusat : FME is trying to get a level0</t>
        </is>
      </c>
    </row>
    <row r="548">
      <c r="A548" s="96" t="n">
        <v>46140</v>
      </c>
      <c r="B548" t="inlineStr">
        <is>
          <t>Tropicana-New</t>
        </is>
      </c>
      <c r="C548" t="inlineStr">
        <is>
          <t>CTR_833</t>
        </is>
      </c>
      <c r="D548" t="inlineStr"/>
      <c r="E548" t="inlineStr">
        <is>
          <t>CAMUSAT</t>
        </is>
      </c>
      <c r="F548" t="inlineStr">
        <is>
          <t>Good Grid + GE</t>
        </is>
      </c>
      <c r="G548" t="inlineStr">
        <is>
          <t>CENTRE</t>
        </is>
      </c>
      <c r="H548" t="inlineStr">
        <is>
          <t>Yaounde</t>
        </is>
      </c>
      <c r="I548" t="inlineStr"/>
      <c r="J548" t="n">
        <v>11.51924491125419</v>
      </c>
      <c r="K548" t="n">
        <v>9.852360163339691</v>
      </c>
      <c r="L548" t="n">
        <v>37.79884928217621</v>
      </c>
      <c r="M548" t="n">
        <v>24.66416547528343</v>
      </c>
      <c r="N548" t="inlineStr"/>
      <c r="O548" t="inlineStr"/>
      <c r="P548" t="inlineStr">
        <is>
          <t>AKTIVCO</t>
        </is>
      </c>
      <c r="Q548" t="inlineStr">
        <is>
          <t>POWER ISSUE</t>
        </is>
      </c>
      <c r="R548" t="inlineStr">
        <is>
          <t>AKTIVCO Defaut GE &amp; Power Cabinet</t>
        </is>
      </c>
      <c r="S548" t="inlineStr">
        <is>
          <t>PASSIVE</t>
        </is>
      </c>
      <c r="T548" t="inlineStr">
        <is>
          <t>(04/28/2026 com ran 10h): 28.04.2026 CAMUSAT: Investigations ongoing
28.04.2026: Power alarm observed from EMS..;..;(04/28/2026 ticket): INC-20260428-00001511…2026-04-28 02:16:29…investigations ongoing</t>
        </is>
      </c>
      <c r="U548" t="inlineStr">
        <is>
          <t>04/28/2026 com ran 10h) : 28.04.2026 CAMUSAT : Investigations ongoing 28.04.2026 : Power alarm observed from EMS.;.; : …2026-04-28 02 : 16 : 29…investigations ongoing</t>
        </is>
      </c>
    </row>
    <row r="549">
      <c r="A549" s="96" t="n">
        <v>46140</v>
      </c>
      <c r="B549" t="inlineStr">
        <is>
          <t>La-Gare</t>
        </is>
      </c>
      <c r="C549" t="inlineStr">
        <is>
          <t>CTR_019</t>
        </is>
      </c>
      <c r="D549" t="inlineStr"/>
      <c r="E549" t="inlineStr">
        <is>
          <t>CAMUSAT</t>
        </is>
      </c>
      <c r="F549" t="inlineStr">
        <is>
          <t>Good Grid + GE</t>
        </is>
      </c>
      <c r="G549" t="inlineStr">
        <is>
          <t>CENTRE</t>
        </is>
      </c>
      <c r="H549" t="inlineStr">
        <is>
          <t>Yaounde</t>
        </is>
      </c>
      <c r="I549" t="inlineStr"/>
      <c r="J549" t="n">
        <v>20.99482332769804</v>
      </c>
      <c r="K549" t="n">
        <v>17.96361535270697</v>
      </c>
      <c r="L549" t="n">
        <v>29.15765830099351</v>
      </c>
      <c r="M549" t="n">
        <v>24.2340368915028</v>
      </c>
      <c r="N549" t="inlineStr"/>
      <c r="O549" t="inlineStr"/>
      <c r="P549" t="inlineStr">
        <is>
          <t>AKTIVCO</t>
        </is>
      </c>
      <c r="Q549" t="inlineStr">
        <is>
          <t>POWER ISSUE</t>
        </is>
      </c>
      <c r="R549" t="inlineStr">
        <is>
          <t>AKTIVCO Defaut GE &amp; Power Cabinet</t>
        </is>
      </c>
      <c r="S549" t="inlineStr">
        <is>
          <t>PASSIVE</t>
        </is>
      </c>
      <c r="T549" t="inlineStr">
        <is>
          <t>(04/28/2026 ocm ran 14h): 27/04/2026 No space to deploy DG / verification de la coninuté du delestage
26/04/2026 No space to deploy DG / verification de la coninuté du delestage ETR 25min
24.04.26: Grid outage, Grid only site / Grid return awaited - Escalade L4
23.04.26: Grid outage, Grid only site / Grid return awaited - Escalade L3..;..;(04/28/2026 com ran 10h): 27/04/2026 No space to deploy DG / verification de la coninuté du delestage
26/04/2026 No space to deploy DG / verification de la coninuté du delestage ETR 25min
24.04.26: Grid outage, Grid only site / Grid return awaited - Escalade L4
23.04.26: Grid outage, Grid only site / Grid return awaited - Escalade L3..;..;(04/28/2026 ocm ran 00h): 27/04/2026 No space to deploy DG / verification de la coninuté du delestage
26/04/2026 No space to deploy DG / verification de la coninuté du delestage ETR 25min
24.04.26: Grid outage, Grid only site / Grid return awaited - Escalade L4
23.04.26: Grid outage, Grid only site / Grid return awaited - Escalade L3</t>
        </is>
      </c>
      <c r="U549" t="inlineStr">
        <is>
          <t>: 27/04/2026 No space to deploy DG / verification de la coninuté du delestage 26/04/2026 No space to deploy DG / verification de la coninuté du delestage ETR 25min 24.04.26 : Grid outage, Grid only site / Grid return awaited - Escalade L4 23.04.26 : Grid outage, Grid only site / Grid return awaited - Escalade L3.;.;(04/28/2026 com ran 10h) : 27/04/2026 No space to deploy DG / verification de la coninuté du delestage 26/04/2026 No space to deploy DG / verification de la coninuté du delestage ETR 25min 24.04.26 : Grid outage, Grid only site / Grid return awaited - Escalade L4 23.04.26 : Grid outage, Grid only site / Grid return awaited - Escalade L3.;.; : 27/04/2026 No space to deploy DG / verification de la coninuté du delestage 26/04/2026 No space to deploy DG / verification de la coninuté du delestage ETR 25min 24.04.26 : Grid outage, Grid only site / Grid return awaited - Escalade L4 23.04.26 : Grid outage, Grid only site / Grid return awaited - Escalade L3</t>
        </is>
      </c>
    </row>
    <row r="550">
      <c r="A550" s="96" t="n">
        <v>46140</v>
      </c>
      <c r="B550" t="inlineStr">
        <is>
          <t>Nkongoa</t>
        </is>
      </c>
      <c r="C550" t="inlineStr">
        <is>
          <t>CTR_629</t>
        </is>
      </c>
      <c r="D550" t="inlineStr"/>
      <c r="E550" t="inlineStr">
        <is>
          <t>CAMUSAT</t>
        </is>
      </c>
      <c r="F550" t="inlineStr">
        <is>
          <t>Medium Grid + GE</t>
        </is>
      </c>
      <c r="G550" t="inlineStr">
        <is>
          <t>CENTRE</t>
        </is>
      </c>
      <c r="H550" t="inlineStr">
        <is>
          <t>Yaounde</t>
        </is>
      </c>
      <c r="I550" t="inlineStr"/>
      <c r="J550" t="n">
        <v>20.77375813819647</v>
      </c>
      <c r="K550" t="n">
        <v>17.78728949274254</v>
      </c>
      <c r="L550" t="n">
        <v>28.62567224159329</v>
      </c>
      <c r="M550" t="n">
        <v>23.86584953471848</v>
      </c>
      <c r="N550" t="inlineStr">
        <is>
          <t>EXCLU</t>
        </is>
      </c>
      <c r="O550" t="inlineStr">
        <is>
          <t>site vandalise</t>
        </is>
      </c>
      <c r="P550" t="inlineStr">
        <is>
          <t>Exclu</t>
        </is>
      </c>
      <c r="Q550" t="inlineStr">
        <is>
          <t>Exclu</t>
        </is>
      </c>
      <c r="R550" t="inlineStr">
        <is>
          <t>EXCLU</t>
        </is>
      </c>
      <c r="S550" t="inlineStr">
        <is>
          <t>Exclu</t>
        </is>
      </c>
      <c r="T550" t="inlineStr">
        <is>
          <t>(04/28/2026 ocm ran 14h): 28/04/2026 Cable coupé de la DC BOX jusqu'au pylone en attente de remplacement ETD = 29/04/2026
27/04/2026 Site nkongoa vendalise côté power..;..;(04/28/2026 com ran 10h): 27/04/2026 Site nkongoa vendalise côté power..;..;(04/28/2026 ocm ran 00h): 27/04/2026 Site nkongoa vendalise côté power</t>
        </is>
      </c>
      <c r="U550" t="inlineStr">
        <is>
          <t>: 28/04/2026 Cable coupé de la DC BOX jusqu'au pylone en attente de remplacement ETD = 29/04/2026 27/04/2026 Site nkongoa vendalise côté power.;.;(04/28/2026 com ran 10h) : 27/04/2026 Site nkongoa vendalise côté power.;.; : 27/04/2026 Site nkongoa vendalise côté power</t>
        </is>
      </c>
    </row>
    <row r="551">
      <c r="A551" s="96" t="n">
        <v>46140</v>
      </c>
      <c r="B551" t="inlineStr">
        <is>
          <t>LIT_825_Z_Camp-Bertaud</t>
        </is>
      </c>
      <c r="C551" t="inlineStr">
        <is>
          <t>LIT_825</t>
        </is>
      </c>
      <c r="D551" t="inlineStr"/>
      <c r="E551" t="inlineStr">
        <is>
          <t>ESCO</t>
        </is>
      </c>
      <c r="F551" t="inlineStr">
        <is>
          <t>Good Grid no GE - 8h</t>
        </is>
      </c>
      <c r="G551" t="inlineStr">
        <is>
          <t>LIT</t>
        </is>
      </c>
      <c r="H551" t="inlineStr">
        <is>
          <t>Douala</t>
        </is>
      </c>
      <c r="I551" t="inlineStr"/>
      <c r="J551" t="n">
        <v>11.14830501700578</v>
      </c>
      <c r="K551" t="n">
        <v>9.783827364498439</v>
      </c>
      <c r="L551" t="n">
        <v>35.84245387607335</v>
      </c>
      <c r="M551" t="n">
        <v>23.56795022158302</v>
      </c>
      <c r="N551" t="inlineStr"/>
      <c r="O551" t="inlineStr"/>
      <c r="P551" t="inlineStr">
        <is>
          <t>AKTIVCO GRID ONLY</t>
        </is>
      </c>
      <c r="Q551" t="inlineStr">
        <is>
          <t>POWER ISSUE</t>
        </is>
      </c>
      <c r="R551" t="inlineStr">
        <is>
          <t>AKTIVCO Coupure ENEO &amp; Baisse de tension</t>
        </is>
      </c>
      <c r="S551" t="inlineStr">
        <is>
          <t>PASSIVE</t>
        </is>
      </c>
      <c r="T551" t="inlineStr">
        <is>
          <t xml:space="preserve">(04/28/2026 ocm ran 14h): Power status check ongoing..;..;(04/28/2026 com ran 10h): Power status check ongoing || power issue checker la courbe ,il ya eu une coupure le 28 a 9h jusqu'au 29 a 17h , et presence d'alarme power </t>
        </is>
      </c>
      <c r="U551" t="inlineStr">
        <is>
          <t>: ;(04/28/2026 com ran 10h) : Power status check ongoing || power issue checker la courbe ,il ya eu une coupure le 28 a 9h jusqu'au 29 a 17h , et presence d'alarme power</t>
        </is>
      </c>
    </row>
    <row r="552">
      <c r="A552" s="96" t="n">
        <v>46140</v>
      </c>
      <c r="B552" t="inlineStr">
        <is>
          <t>Wonya-Mavio-IHS</t>
        </is>
      </c>
      <c r="C552" t="inlineStr">
        <is>
          <t>SUO_195</t>
        </is>
      </c>
      <c r="D552" t="inlineStr"/>
      <c r="E552" t="inlineStr">
        <is>
          <t>IHS</t>
        </is>
      </c>
      <c r="F552" t="inlineStr">
        <is>
          <t>Grid-Gen</t>
        </is>
      </c>
      <c r="G552" t="inlineStr">
        <is>
          <t>SUD-OUEST</t>
        </is>
      </c>
      <c r="H552" t="inlineStr">
        <is>
          <t>Buea</t>
        </is>
      </c>
      <c r="I552" t="inlineStr"/>
      <c r="J552" t="n">
        <v>32.37293622531563</v>
      </c>
      <c r="K552" t="n">
        <v>55.08124483613329</v>
      </c>
      <c r="L552" t="n">
        <v>0</v>
      </c>
      <c r="M552" t="n">
        <v>23.11426149934509</v>
      </c>
      <c r="N552" t="inlineStr"/>
      <c r="O552" t="inlineStr"/>
      <c r="P552" t="inlineStr">
        <is>
          <t>SPARE-ISSUE</t>
        </is>
      </c>
      <c r="Q552" t="inlineStr">
        <is>
          <t>SPARE-ISSUE</t>
        </is>
      </c>
      <c r="R552" t="inlineStr">
        <is>
          <t>SPARE-ISSUE</t>
        </is>
      </c>
      <c r="S552" t="inlineStr">
        <is>
          <t>SPARE-ISSUE</t>
        </is>
      </c>
      <c r="T552" t="inlineStr">
        <is>
          <t>(04/28/2026 ocm ran 19h): 20.04.26; Carte EAC 3DB19417AA faulty, commande passée vers OCM
19.04.26; Besoin d'un FME sur SUO_077_H_Buea-David-Square pour vérifier la chaine antennaire de l'ODU 3.2; FME Fabien activé pour investigations, update ASAP
19.04.26; Reste down après l'incident P2 sur Buea-David..;..;(04/28/2026 ocm ran 14h): 20.04.26; Carte EAC 3DB19417AA faulty, commande passée vers OCM
19.04.26; Besoin d'un FME sur SUO_077_H_Buea-David-Square pour vérifier la chaine antennaire de l'ODU 3.2; FME Fabien activé pour investigations, update ASAP
19.04.26; Reste down après l'incident P2 sur Buea-David..;..;(04/28/2026 com ran 10h): 20.04.26; Carte EAC 3DB19417AA faulty, commande passée vers OCM
19.04.26; Besoin d'un FME sur SUO_077_H_Buea-David-Square pour vérifier la chaine antennaire de l'ODU 3.2; FME Fabien activé pour investigations, update ASAP
19.04.26; Reste down après l'incident P2 sur Buea-David..;..;(04/28/2026 ocm ran 00h): 20.04.26; Carte EAC 3DB19417AA faulty, commande passée vers OCM
19.04.26; Besoin d'un FME sur SUO_077_H_Buea-David-Square pour vérifier la chaine antennaire de l'ODU 3.2; FME Fabien activé pour investigations, update ASAP
19.04.26; Reste down après l'incident P2 sur Buea-David</t>
        </is>
      </c>
      <c r="U552" t="inlineStr">
        <is>
          <t>: 20.04.26; Carte EAC 3DB19417AA faulty, commande passée vers OCM 19.04.26; Besoin d'un FME sur SUO_077_H_Buea-David-Square pour vérifier la chaine antennaire de l'ODU 3.2; FME Fabien activé pour investigations, update ASAP 19.04.26; Reste down après l'incident P2 sur Buea-David.;.; : 20.04.26; Carte EAC 3DB19417AA faulty, commande passée vers OCM 19.04.26; Besoin d'un FME sur SUO_077_H_Buea-David-Square pour vérifier la chaine antennaire de l'ODU 3.2; FME Fabien activé pour investigations, update ASAP 19.04.26; Reste down après l'incident P2 sur Buea-David.;.;(04/28/2026 com ran 10h) : 20.04.26; Carte EAC 3DB19417AA faulty, commande passée vers OCM 19.04.26; Besoin d'un FME sur SUO_077_H_Buea-David-Square pour vérifier la chaine antennaire de l'ODU 3.2; FME Fabien activé pour investigations, update ASAP 19.04.26; Reste down après l'incident P2 sur Buea-David.;.; : 20.04.26; Carte EAC 3DB19417AA faulty, commande passée vers OCM 19.04.26; Besoin d'un FME sur SUO_077_H_Buea-David-Square pour vérifier la chaine antennaire de l'ODU 3.2; FME Fabien activé pour investigations, update ASAP 19.04.26; Reste down après l'incident P2 sur Buea-David</t>
        </is>
      </c>
    </row>
    <row r="553">
      <c r="A553" s="96" t="n">
        <v>46140</v>
      </c>
      <c r="B553" t="inlineStr">
        <is>
          <t>Bda-Mankon-Palace-IHS</t>
        </is>
      </c>
      <c r="C553" t="inlineStr">
        <is>
          <t>NRO_059</t>
        </is>
      </c>
      <c r="D553" t="inlineStr"/>
      <c r="E553" t="inlineStr">
        <is>
          <t>IHS</t>
        </is>
      </c>
      <c r="F553" t="inlineStr">
        <is>
          <t>Grid-Gen</t>
        </is>
      </c>
      <c r="G553" t="inlineStr">
        <is>
          <t>NORD-OUEST</t>
        </is>
      </c>
      <c r="H553" t="inlineStr">
        <is>
          <t>Bamenda</t>
        </is>
      </c>
      <c r="I553" t="inlineStr"/>
      <c r="J553" t="n">
        <v>32.37293622531563</v>
      </c>
      <c r="K553" t="n">
        <v>55.08124483613329</v>
      </c>
      <c r="L553" t="n">
        <v>0</v>
      </c>
      <c r="M553" t="n">
        <v>23.11426149934509</v>
      </c>
      <c r="N553" t="inlineStr"/>
      <c r="O553" t="inlineStr"/>
      <c r="P553" t="inlineStr">
        <is>
          <t>IHS</t>
        </is>
      </c>
      <c r="Q553" t="inlineStr">
        <is>
          <t>POWER ISSUE</t>
        </is>
      </c>
      <c r="R553" t="inlineStr">
        <is>
          <t>Defaut GE &amp; Power Cabinet</t>
        </is>
      </c>
      <c r="S553" t="inlineStr">
        <is>
          <t>PASSIVE</t>
        </is>
      </c>
      <c r="T553" t="inlineStr">
        <is>
          <t xml:space="preserve">(04/28/2026 ocm ran 19h): 28/04/2026 FME jeremiah en route pour le site 
28.04.2026: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 Rectifiers reset. Escalade L2 IHS ..;..;(04/28/2026 ocm ran 14h): 28.04.2026: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 Rectifiers reset. Escalade L2 IHS ..;..;(04/28/2026 com ran 10h): 28.04.2026: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 Rectifiers reset. Escalade L2 IHS ..;..;(04/28/2026 ocm ran 00h): 27/04/2026 power issue sur site escalade L4 IHS 
25/04/2026 FME sur site power issue evidence transmis a IHS 
25/04/2026 Besoin d'un fme sur site pour verifier le status du MPR et la chaine antennaire de l ODU 3/1 FME uche activé ETA=13H UTC 
24/04/2026 Rectifiers hanging. // Rectifiers reset. Escalade L2 IHS </t>
        </is>
      </c>
      <c r="U553" t="inlineStr">
        <is>
          <t>: 28/04/2026 FME jeremiah en route pour le site 28.04.2026 :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Rectifiers reset. Escalade L2 IHS .;.; : 28.04.2026 :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Rectifiers reset. Escalade L2 IHS .;.;(04/28/2026 com ran 10h) : 28.04.2026 : Power Issue solved but site remain down. FME Linus is on the way ETA=13H 27/04/2026 power issue sur site escalade L4 IHS 25/04/2026 FME sur site power issue evidence transmis a IHS 25/04/2026 Besoin d'un fme sur site pour verifier le status du MPR et la chaine antennaire de l ODU 3/1 FME uche activé ETA=13H UTC 24/04/2026 Rectifiers hanging. Rectifiers reset. Escalade L2 IHS .;.; : 27/04/2026 power issue sur site escalade L4 IHS 25/04/2026 FME sur site power issue evidence transmis a IHS 25/04/2026 Besoin d'un fme sur site pour verifier le status du MPR et la chaine antennaire de l ODU 3/1 FME uche activé ETA=13H UTC 24/04/2026 Rectifiers hanging. Rectifiers reset. Escalade L2 IHS</t>
        </is>
      </c>
    </row>
    <row r="554">
      <c r="A554" s="96" t="n">
        <v>46140</v>
      </c>
      <c r="B554" t="inlineStr">
        <is>
          <t>Nkolbisson-Ayene-Bar</t>
        </is>
      </c>
      <c r="C554" t="inlineStr">
        <is>
          <t>CTR_657</t>
        </is>
      </c>
      <c r="D554" t="inlineStr"/>
      <c r="E554" t="inlineStr">
        <is>
          <t>CAMUSAT</t>
        </is>
      </c>
      <c r="F554" t="inlineStr">
        <is>
          <t>Good Grid + GE</t>
        </is>
      </c>
      <c r="G554" t="inlineStr">
        <is>
          <t>CENTRE</t>
        </is>
      </c>
      <c r="H554" t="inlineStr">
        <is>
          <t>Yaounde</t>
        </is>
      </c>
      <c r="I554" t="inlineStr"/>
      <c r="J554" t="n">
        <v>10.17249579351662</v>
      </c>
      <c r="K554" t="n">
        <v>8.78069844378483</v>
      </c>
      <c r="L554" t="n">
        <v>35.45889722829617</v>
      </c>
      <c r="M554" t="n">
        <v>22.89182240257052</v>
      </c>
      <c r="N554" t="inlineStr"/>
      <c r="O554" t="inlineStr"/>
      <c r="P554" t="inlineStr">
        <is>
          <t>AKTIVCO</t>
        </is>
      </c>
      <c r="Q554" t="inlineStr">
        <is>
          <t>POWER ISSUE</t>
        </is>
      </c>
      <c r="R554" t="inlineStr">
        <is>
          <t>AKTIVCO Defaut GE &amp; Power Cabinet</t>
        </is>
      </c>
      <c r="S554" t="inlineStr">
        <is>
          <t>PASSIVE</t>
        </is>
      </c>
      <c r="T554" t="inlineStr">
        <is>
          <t>(04/28/2026 cell zte): 28/04/2026 : Power issue || Mail sent to Camusat..;..;(04/28/2026 ocm ran 19h): Power status check ongoing..;..;(04/28/2026 ticket): INC-20260428-00012413…2026-04-29 02:58:23…Besoin d'un FME sur site pour vérifier le statut de la BBU et son interco avec le MPR S1P6; FME Mouamadou activé pour investigations, update ASAP</t>
        </is>
      </c>
      <c r="U554" t="inlineStr">
        <is>
          <t>04/28/2026 cell zte) : 28/04/2026 : Power issue || Mail sent to Camusat.;.; : ; : …2026-04-29 02 : 58 : 23…Besoin d'un FME sur site pour vérifier le statut de la BBU et son interco avec le MPR S1P6; FME Mouamadou activé pour investigations, update ASAP</t>
        </is>
      </c>
    </row>
    <row r="555">
      <c r="A555" s="96" t="n">
        <v>46140</v>
      </c>
      <c r="B555" t="inlineStr">
        <is>
          <t>MUTENGENE-Q12-IHS</t>
        </is>
      </c>
      <c r="C555" t="inlineStr">
        <is>
          <t>SUO_211</t>
        </is>
      </c>
      <c r="D555" t="inlineStr"/>
      <c r="E555" t="inlineStr">
        <is>
          <t>IHS</t>
        </is>
      </c>
      <c r="F555" t="inlineStr">
        <is>
          <t>Grid +Gen</t>
        </is>
      </c>
      <c r="G555" t="inlineStr">
        <is>
          <t>SUD-OUEST</t>
        </is>
      </c>
      <c r="H555" t="inlineStr">
        <is>
          <t>Mutengene</t>
        </is>
      </c>
      <c r="I555" t="inlineStr"/>
      <c r="J555" t="n">
        <v>31.03967583100528</v>
      </c>
      <c r="K555" t="n">
        <v>27.46072061228583</v>
      </c>
      <c r="L555" t="n">
        <v>17.40112549166388</v>
      </c>
      <c r="M555" t="n">
        <v>22.72583132867053</v>
      </c>
      <c r="N555" t="inlineStr"/>
      <c r="O555" t="inlineStr"/>
      <c r="P555" t="inlineStr">
        <is>
          <t>BSS</t>
        </is>
      </c>
      <c r="Q555" t="inlineStr">
        <is>
          <t>RAN ISSUE</t>
        </is>
      </c>
      <c r="R555" t="inlineStr">
        <is>
          <t>BSS Hardware issue</t>
        </is>
      </c>
      <c r="S555" t="inlineStr">
        <is>
          <t>ACTIVE</t>
        </is>
      </c>
      <c r="T555" t="inlineStr">
        <is>
          <t>(04/28/2026 cell huawei): 28/04/2026 : Besoin d'analyse BO RAN || FME should check and clean jumper, port 3 &amp; 4 of RRU 80..;..;(04/28/2026 cell huawei): 28/04/2026 : Besoin d'analyse BO RAN || FME should check and clean jumper, port 3 &amp; 4 of RRU 80 || Intervention reportee a demain pour cause de pluie..;..;(04/28/2026 cell huawei): 28/04/2026 : Besoin d'analyse BO RAN || FME should check and clean jumper, port 3 &amp; 4 of RRU 80 || Intervention reportee a demain pour cause de pluie..;..;(04/28/2026 ocm ran 19h): Power status check ongoing</t>
        </is>
      </c>
      <c r="U555" t="inlineStr">
        <is>
          <t>04/28/2026 cell huawei) : 28/04/2026 : Besoin d'analyse BO RAN || FME should check and clean jumper, port 3 &amp; 4 of RRU 80.;.;(04/28/2026 cell huawei) : 28/04/2026 : Besoin d'analyse BO RAN || FME should check and clean jumper, port 3 &amp; 4 of RRU 80 || Intervention reportee a demain pour cause de pluie.;.;(04/28/2026 cell huawei) : 28/04/2026 : Besoin d'analyse BO RAN || FME should check and clean jumper, port 3 &amp; 4 of RRU 80 || Intervention reportee a demain pour cause de pluie.;.; : Power status check ongoing</t>
        </is>
      </c>
    </row>
    <row r="556">
      <c r="A556" s="96" t="n">
        <v>46140</v>
      </c>
      <c r="B556" t="inlineStr">
        <is>
          <t>Nkolmesseng-H-Pyramides</t>
        </is>
      </c>
      <c r="C556" t="inlineStr">
        <is>
          <t>CTR_771</t>
        </is>
      </c>
      <c r="D556" t="inlineStr"/>
      <c r="E556" t="inlineStr">
        <is>
          <t>CAMUSAT</t>
        </is>
      </c>
      <c r="F556" t="inlineStr">
        <is>
          <t>Good Grid no GE - 8h</t>
        </is>
      </c>
      <c r="G556" t="inlineStr">
        <is>
          <t>CENTRE</t>
        </is>
      </c>
      <c r="H556" t="inlineStr">
        <is>
          <t>Yaounde</t>
        </is>
      </c>
      <c r="I556" t="inlineStr"/>
      <c r="J556" t="n">
        <v>19.41476925290457</v>
      </c>
      <c r="K556" t="n">
        <v>16.56947759519365</v>
      </c>
      <c r="L556" t="n">
        <v>26.56797547207393</v>
      </c>
      <c r="M556" t="n">
        <v>22.18988722523278</v>
      </c>
      <c r="N556" t="inlineStr"/>
      <c r="O556" t="inlineStr"/>
      <c r="P556" t="inlineStr">
        <is>
          <t>AKTIVCO GRID ONLY</t>
        </is>
      </c>
      <c r="Q556" t="inlineStr">
        <is>
          <t>POWER ISSUE</t>
        </is>
      </c>
      <c r="R556" t="inlineStr">
        <is>
          <t>AKTIVCO Coupure ENEO &amp; Baisse de tension</t>
        </is>
      </c>
      <c r="S556" t="inlineStr">
        <is>
          <t>PASSIVE</t>
        </is>
      </c>
      <c r="T556" t="inlineStr">
        <is>
          <t>(04/28/2026 com ran 10h): 27/04/2026 26/04/2026 team en route pour Verifier la continuté du delsetage
26/04/2026 team en route pour Verifier la continuté du delsetage ETR 35min
24.04.26: Grid outage, Grid only site / Grid return awaited - Escalade L4
23.04.26: Grid outage, Grid only site / Grid return awaited - Escalade L3..;..;(04/28/2026 ocm ran 00h): 27/04/2026 26/04/2026 team en route pour Verifier la continuté du delsetage
26/04/2026 team en route pour Verifier la continuté du delsetage ETR 35min
24.04.26: Grid outage, Grid only site / Grid return awaited - Escalade L4
23.04.26: Grid outage, Grid only site / Grid return awaited - Escalade L3</t>
        </is>
      </c>
      <c r="U556" t="inlineStr">
        <is>
          <t>04/28/2026 com ran 10h) : 27/04/2026 26/04/2026 team en route pour Verifier la continuté du delsetage 26/04/2026 team en route pour Verifier la continuté du delsetage ETR 35min 24.04.26 : Grid outage, Grid only site / Grid return awaited - Escalade L4 23.04.26 : Grid outage, Grid only site / Grid return awaited - Escalade L3.;.; : 27/04/2026 26/04/2026 team en route pour Verifier la continuté du delsetage 26/04/2026 team en route pour Verifier la continuté du delsetage ETR 35min 24.04.26 : Grid outage, Grid only site / Grid return awaited - Escalade L4 23.04.26 : Grid outage, Grid only site / Grid return awaited - Escalade L3</t>
        </is>
      </c>
    </row>
    <row r="557">
      <c r="A557" s="96" t="n">
        <v>46140</v>
      </c>
      <c r="B557" t="inlineStr">
        <is>
          <t>Koweit-City</t>
        </is>
      </c>
      <c r="C557" t="inlineStr">
        <is>
          <t>CTR_258</t>
        </is>
      </c>
      <c r="D557" t="inlineStr"/>
      <c r="E557" t="inlineStr">
        <is>
          <t>CAMUSAT</t>
        </is>
      </c>
      <c r="F557" t="inlineStr">
        <is>
          <t>Good Grid + GE</t>
        </is>
      </c>
      <c r="G557" t="inlineStr">
        <is>
          <t>CENTRE</t>
        </is>
      </c>
      <c r="H557" t="inlineStr">
        <is>
          <t>Yaounde</t>
        </is>
      </c>
      <c r="I557" t="inlineStr"/>
      <c r="J557" t="n">
        <v>6.65755928044155</v>
      </c>
      <c r="K557" t="n">
        <v>7.500091377065122</v>
      </c>
      <c r="L557" t="n">
        <v>34.95526323853551</v>
      </c>
      <c r="M557" t="n">
        <v>21.69733586734126</v>
      </c>
      <c r="N557" t="inlineStr"/>
      <c r="O557" t="inlineStr"/>
      <c r="P557" t="inlineStr">
        <is>
          <t>AKTIVCO</t>
        </is>
      </c>
      <c r="Q557" t="inlineStr">
        <is>
          <t>POWER ISSUE</t>
        </is>
      </c>
      <c r="R557" t="inlineStr">
        <is>
          <t>AKTIVCO Defaut GE &amp; Power Cabinet</t>
        </is>
      </c>
      <c r="S557" t="inlineStr">
        <is>
          <t>PASSIVE</t>
        </is>
      </c>
      <c r="T557" t="inlineStr">
        <is>
          <t xml:space="preserve">(04/28/2026 cell zte): 28/04/2026 : Besoin d'analyse BO RAN || Site unstable due to power issue </t>
        </is>
      </c>
      <c r="U557" t="inlineStr">
        <is>
          <t>04/28/2026 cell zte) : 28/04/2026 : Besoin d'analyse BO RAN || Site unstable due to power issue</t>
        </is>
      </c>
    </row>
    <row r="558">
      <c r="A558" s="96" t="n">
        <v>46140</v>
      </c>
      <c r="B558" t="inlineStr">
        <is>
          <t>Bois-Des-Singes-II-MTN</t>
        </is>
      </c>
      <c r="C558" t="inlineStr">
        <is>
          <t>LIT_753</t>
        </is>
      </c>
      <c r="D558" t="inlineStr"/>
      <c r="E558" t="inlineStr">
        <is>
          <t>MTN</t>
        </is>
      </c>
      <c r="F558" t="inlineStr"/>
      <c r="G558" t="inlineStr">
        <is>
          <t>LITTORAL</t>
        </is>
      </c>
      <c r="H558" t="inlineStr">
        <is>
          <t>Douala</t>
        </is>
      </c>
      <c r="I558" t="inlineStr"/>
      <c r="J558" t="n">
        <v>16.86927228836693</v>
      </c>
      <c r="K558" t="n">
        <v>14.41122569370068</v>
      </c>
      <c r="L558" t="n">
        <v>23.10173830677199</v>
      </c>
      <c r="M558" t="n">
        <v>19.29423741485534</v>
      </c>
      <c r="N558" t="inlineStr"/>
      <c r="O558" t="inlineStr"/>
      <c r="P558" t="inlineStr">
        <is>
          <t>Partners</t>
        </is>
      </c>
      <c r="Q558" t="inlineStr">
        <is>
          <t>POWER ISSUE</t>
        </is>
      </c>
      <c r="R558" t="inlineStr">
        <is>
          <t>Sharing</t>
        </is>
      </c>
      <c r="S558" t="inlineStr">
        <is>
          <t>PASSIVE</t>
        </is>
      </c>
      <c r="T558" t="inlineStr">
        <is>
          <t>(04/28/2026 com ran 10h): 27.04.26: Power alarms; MTN is activated to check, escalated to L2..;..;(04/28/2026 ocm ran 00h): 27.04.26: Power alarms; MTN is activated to check, escalated to L2</t>
        </is>
      </c>
      <c r="U558" t="inlineStr">
        <is>
          <t>04/28/2026 com ran 10h) : 27.04.26 : Power alarms; MTN is activated to check, escalated to L2.;.; : 27.04.26 : Power alarms; MTN is activated to check, escalated to L2</t>
        </is>
      </c>
    </row>
    <row r="559">
      <c r="A559" s="96" t="n">
        <v>46140</v>
      </c>
      <c r="B559" t="inlineStr">
        <is>
          <t>Garoua-Djamboutou-Village</t>
        </is>
      </c>
      <c r="C559" t="inlineStr">
        <is>
          <t>NRD_060</t>
        </is>
      </c>
      <c r="D559" t="inlineStr"/>
      <c r="E559" t="inlineStr">
        <is>
          <t>IHS</t>
        </is>
      </c>
      <c r="F559" t="inlineStr">
        <is>
          <t>Grid-Gen</t>
        </is>
      </c>
      <c r="G559" t="inlineStr">
        <is>
          <t>NORD</t>
        </is>
      </c>
      <c r="H559" t="inlineStr">
        <is>
          <t>Garoua</t>
        </is>
      </c>
      <c r="I559" t="inlineStr"/>
      <c r="J559" t="n">
        <v>14.97622987182715</v>
      </c>
      <c r="K559" t="n">
        <v>27.94241587359874</v>
      </c>
      <c r="L559" t="n">
        <v>14.23725340197475</v>
      </c>
      <c r="M559" t="n">
        <v>18.94376029084019</v>
      </c>
      <c r="N559" t="inlineStr"/>
      <c r="O559" t="inlineStr"/>
      <c r="P559" t="inlineStr">
        <is>
          <t>IHS</t>
        </is>
      </c>
      <c r="Q559" t="inlineStr">
        <is>
          <t>POWER ISSUE</t>
        </is>
      </c>
      <c r="R559" t="inlineStr">
        <is>
          <t>Defaut GE &amp; Power Cabinet</t>
        </is>
      </c>
      <c r="S559" t="inlineStr">
        <is>
          <t>PASSIVE</t>
        </is>
      </c>
      <c r="T559" t="inlineStr">
        <is>
          <t>(04/28/2026 retour IHS ): Power issue NUR to be checked   ||  (04/28/2026 hourly IHS): Rectifiers hanging due to base connectors faulty..;..;(04/28/2026 cell huawei):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HIS..;..;(04/28/2026 cell huawei):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HIS..;..;(04/28/2026 ocm ran 19h): Power status check ongoing</t>
        </is>
      </c>
      <c r="U559" t="inlineStr">
        <is>
          <t>04/28/2026 retour IHS ) : Power issue NUR to be checked || : Rectifiers hanging due to base connectors faulty.;.;(04/28/2026 cell huawei) :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HIS.;.;(04/28/2026 cell huawei) : 27/04/2026 : Le work around que nous avons implémenter n’a pas fonctionner normalement, nous allons remplacer la baie le weekend, le process est en cours. 23/04/2026 : Power instability || Nous avons un sérieux problème de base connector sur ce site qui ont été affectes pas les mauvaises tensions Eneo d'ici la semaine prochaine nous allons stabiliser ce site || Besoin d'un ETR envoye ce jour a HIS.;.; : Power status check ongoing</t>
        </is>
      </c>
    </row>
    <row r="560">
      <c r="A560" s="96" t="n">
        <v>46140</v>
      </c>
      <c r="B560" t="inlineStr">
        <is>
          <t>Dschang-St-Augustin</t>
        </is>
      </c>
      <c r="C560" t="inlineStr">
        <is>
          <t>OST_084</t>
        </is>
      </c>
      <c r="D560" t="inlineStr"/>
      <c r="E560" t="inlineStr">
        <is>
          <t>IHS</t>
        </is>
      </c>
      <c r="F560" t="inlineStr">
        <is>
          <t>Grid-Gen</t>
        </is>
      </c>
      <c r="G560" t="inlineStr">
        <is>
          <t>OUEST</t>
        </is>
      </c>
      <c r="H560" t="inlineStr">
        <is>
          <t>Dschang</t>
        </is>
      </c>
      <c r="I560" t="inlineStr"/>
      <c r="J560" t="n">
        <v>32.37293622531563</v>
      </c>
      <c r="K560" t="n">
        <v>41.31093362709997</v>
      </c>
      <c r="L560" t="n">
        <v>0</v>
      </c>
      <c r="M560" t="n">
        <v>18.49140919947608</v>
      </c>
      <c r="N560" t="inlineStr"/>
      <c r="O560" t="inlineStr"/>
      <c r="P560" t="inlineStr">
        <is>
          <t>IHS</t>
        </is>
      </c>
      <c r="Q560" t="inlineStr">
        <is>
          <t>POWER ISSUE</t>
        </is>
      </c>
      <c r="R560" t="inlineStr">
        <is>
          <t>Defaut GE &amp; Power Cabinet</t>
        </is>
      </c>
      <c r="S560" t="inlineStr">
        <is>
          <t>PASSIVE</t>
        </is>
      </c>
      <c r="T560" t="inlineStr">
        <is>
          <t>(04/28/2026 retour IHS ): Power issue NUR to be checked   ||  (04/28/2026 hourly IHS): Gen and PWC Overload...;..;(04/28/2026 ocm ran 19h): 27.04.26: IHS : Gen and PWC Overload. - Escalated to L4
24.04.26: IHS : Gen and PWC Overload. - Escalated to L3
23/04/2026 IHS : grid outage gen overload..;..;(04/28/2026 ocm ran 14h): 27.04.26: IHS : Gen and PWC Overload. - Escalated to L4
24.04.26: IHS : Gen and PWC Overload. - Escalated to L3
23/04/2026 IHS : grid outage gen overload..;..;(04/28/2026 com ran 10h): 27.04.26: IHS : Gen and PWC Overload. - Escalated to L4
24.04.26: IHS : Gen and PWC Overload. - Escalated to L3
23/04/2026 IHS : grid outage gen overload..;..;(04/28/2026 ocm ran 00h): 27.04.26: IHS : Gen and PWC Overload. - Escalated to L4
24.04.26: IHS : Gen and PWC Overload. - Escalated to L3
23/04/2026 IHS : grid outage gen overload</t>
        </is>
      </c>
      <c r="U560" t="inlineStr">
        <is>
          <t>04/28/2026 retour IHS ) : Power issue NUR to be checked || : Gen and PWC Overload.;.; : 27.04.26 : IHS : Gen and PWC Overload. Escalated to L4 24.04.26 : IHS : Gen and PWC Overload. Escalated to L3 23/04/2026 IHS : grid outage gen overload.;.; : 27.04.26 : IHS : Gen and PWC Overload. Escalated to L4 24.04.26 : IHS : Gen and PWC Overload. Escalated to L3 23/04/2026 IHS : grid outage gen overload.;.;(04/28/2026 com ran 10h) : 27.04.26 : IHS : Gen and PWC Overload. Escalated to L4 24.04.26 : IHS : Gen and PWC Overload. Escalated to L3 23/04/2026 IHS : grid outage gen overload.;.; : 27.04.26 : IHS : Gen and PWC Overload. Escalated to L4 24.04.26 : IHS : Gen and PWC Overload. Escalated to L3 23/04/2026 IHS : grid outage gen overload</t>
        </is>
      </c>
    </row>
    <row r="561">
      <c r="A561" s="96" t="n">
        <v>46140</v>
      </c>
      <c r="B561" t="inlineStr">
        <is>
          <t>Batchenga-Nachtigal-IHS</t>
        </is>
      </c>
      <c r="C561" t="inlineStr">
        <is>
          <t>CTR_699</t>
        </is>
      </c>
      <c r="D561" t="inlineStr"/>
      <c r="E561" t="inlineStr">
        <is>
          <t>IHS</t>
        </is>
      </c>
      <c r="F561" t="inlineStr">
        <is>
          <t>Grid-Gen</t>
        </is>
      </c>
      <c r="G561" t="inlineStr">
        <is>
          <t>CENTRE</t>
        </is>
      </c>
      <c r="H561" t="inlineStr">
        <is>
          <t>Batchenga</t>
        </is>
      </c>
      <c r="I561" t="inlineStr"/>
      <c r="J561" t="n">
        <v>0</v>
      </c>
      <c r="K561" t="n">
        <v>55.08124483613329</v>
      </c>
      <c r="L561" t="n">
        <v>0</v>
      </c>
      <c r="M561" t="n">
        <v>18.49140919947607</v>
      </c>
      <c r="N561" t="inlineStr"/>
      <c r="O561" t="inlineStr"/>
      <c r="P561" t="inlineStr">
        <is>
          <t>ACCESS-ISSUE</t>
        </is>
      </c>
      <c r="Q561" t="inlineStr">
        <is>
          <t>ACCESS-ISSUE</t>
        </is>
      </c>
      <c r="R561" t="inlineStr">
        <is>
          <t>ACCESS-ISSUE</t>
        </is>
      </c>
      <c r="S561" t="inlineStr">
        <is>
          <t>ACCESS-ISSUE</t>
        </is>
      </c>
      <c r="T561" t="inlineStr">
        <is>
          <t xml:space="preserve">(04/28/2026 ocm ran 19h): 27.04.26: En attente de validation de l'accès 
24.04.26: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..;..;(04/28/2026 ocm ran 14h): 27.04.26: En attente de validation de l'accès 
24.04.26: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..;..;(04/28/2026 com ran 10h): 27.04.26: En attente de validation de l'accès 
24.04.26: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..;..;(04/28/2026 ocm ran 00h): 27.04.26: En attente de validation de l'accès 
24.04.26: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t>
        </is>
      </c>
      <c r="U561" t="inlineStr">
        <is>
          <t>: 27.04.26 : En attente de validation de l'accès 24.04.26 :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 : 27.04.26 : En attente de validation de l'accès 24.04.26 :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.;.;(04/28/2026 com ran 10h) : 27.04.26 : En attente de validation de l'accès 24.04.26 :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 .;.; : 27.04.26 : En attente de validation de l'accès 24.04.26 : En attente de validation de l'accès ce jour 23.04.26; Demande d'accès au pylone de Camtel effectué vers Orange. En attente de la validation de l'accès 22.04.26; Demande d'accès au pylone de Camtel effectué vers Orange. En attente de la validation de l'accès 21.04.26; Pylone de Camtel. Demande d'accès en cours pour des travaux en hauteur 21.04.26; Lien Ntui&lt;&gt;Batchenga-Nachtigal à réaligner pour gagner 20 dbm; FME Apiang en route pour le site, ETA=16H UTC 20/04/2026 Besoin d'un fme sur site pour verifier le status du MPR et la chaine antennaire de L ODU fme apiang activé</t>
        </is>
      </c>
    </row>
    <row r="562">
      <c r="A562" s="96" t="n">
        <v>46140</v>
      </c>
      <c r="B562" t="inlineStr">
        <is>
          <t>Reserve-Benoue</t>
        </is>
      </c>
      <c r="C562" t="inlineStr">
        <is>
          <t>NRD_168</t>
        </is>
      </c>
      <c r="D562" t="inlineStr"/>
      <c r="E562" t="inlineStr">
        <is>
          <t>CAMUSAT</t>
        </is>
      </c>
      <c r="F562" t="inlineStr">
        <is>
          <t>Hybrid Solar - S3</t>
        </is>
      </c>
      <c r="G562" t="inlineStr">
        <is>
          <t>NORD</t>
        </is>
      </c>
      <c r="H562" t="inlineStr">
        <is>
          <t>Reserve Benoue</t>
        </is>
      </c>
      <c r="I562" t="inlineStr"/>
      <c r="J562" t="n">
        <v>0</v>
      </c>
      <c r="K562" t="n">
        <v>55.08124483613329</v>
      </c>
      <c r="L562" t="n">
        <v>0</v>
      </c>
      <c r="M562" t="n">
        <v>18.49140919947607</v>
      </c>
      <c r="N562" t="inlineStr"/>
      <c r="O562" t="inlineStr"/>
      <c r="P562" t="inlineStr">
        <is>
          <t>SPARE-ISSUE</t>
        </is>
      </c>
      <c r="Q562" t="inlineStr">
        <is>
          <t>SPARE-ISSUE</t>
        </is>
      </c>
      <c r="R562" t="inlineStr">
        <is>
          <t>SPARE-ISSUE</t>
        </is>
      </c>
      <c r="S562" t="inlineStr">
        <is>
          <t>SPARE-ISSUE</t>
        </is>
      </c>
      <c r="T562" t="inlineStr">
        <is>
          <t>(04/28/2026 ocm ran 19h): 20.04.26; ODU MPT MC 8GHZ 3DB20773CB faulty and not available, order done to OCM
19.04.26; ODU 3DB20773CB faulty, commande en cours
19.04.26; Besoin d'un FME sur NRD_172_SAKDJE pour vérifier la chaine antennaire de l'ODU 4.3; FME Belo activé pour investigations, ETA=17H UTC..;..;(04/28/2026 ocm ran 14h): 20.04.26; ODU MPT MC 8GHZ 3DB20773CB faulty and not available, order done to OCM
19.04.26; ODU 3DB20773CB faulty, commande en cours
19.04.26; Besoin d'un FME sur NRD_172_SAKDJE pour vérifier la chaine antennaire de l'ODU 4.3; FME Belo activé pour investigations, ETA=17H UTC..;..;(04/28/2026 com ran 10h): 20.04.26; ODU MPT MC 8GHZ 3DB20773CB faulty and not available, order done to OCM
19.04.26; ODU 3DB20773CB faulty, commande en cours
19.04.26; Besoin d'un FME sur NRD_172_SAKDJE pour vérifier la chaine antennaire de l'ODU 4.3; FME Belo activé pour investigations, ETA=17H UTC..;..;(04/28/2026 ocm ran 00h): 20.04.26; ODU MPT MC 8GHZ 3DB20773CB faulty and not available, order done to OCM
19.04.26; ODU 3DB20773CB faulty, commande en cours
19.04.26; Besoin d'un FME sur NRD_172_SAKDJE pour vérifier la chaine antennaire de l'ODU 4.3; FME Belo activé pour investigations, ETA=17H UTC</t>
        </is>
      </c>
      <c r="U562" t="inlineStr">
        <is>
          <t>: 20.04.26; ODU MPT MC 8GHZ 3DB20773CB faulty and not available, order done to OCM 19.04.26; ODU 3DB20773CB faulty, commande en cours 19.04.26; Besoin d'un FME sur NRD_172_SAKDJE pour vérifier la chaine antennaire de l'ODU 4.3; FME Belo activé pour investigations, ETA=17H UTC.;.; : 20.04.26; ODU MPT MC 8GHZ 3DB20773CB faulty and not available, order done to OCM 19.04.26; ODU 3DB20773CB faulty, commande en cours 19.04.26; Besoin d'un FME sur NRD_172_SAKDJE pour vérifier la chaine antennaire de l'ODU 4.3; FME Belo activé pour investigations, ETA=17H UTC.;.;(04/28/2026 com ran 10h) : 20.04.26; ODU MPT MC 8GHZ 3DB20773CB faulty and not available, order done to OCM 19.04.26; ODU 3DB20773CB faulty, commande en cours 19.04.26; Besoin d'un FME sur NRD_172_SAKDJE pour vérifier la chaine antennaire de l'ODU 4.3; FME Belo activé pour investigations, ETA=17H UTC.;.; : 20.04.26; ODU MPT MC 8GHZ 3DB20773CB faulty and not available, order done to OCM 19.04.26; ODU 3DB20773CB faulty, commande en cours 19.04.26; Besoin d'un FME sur NRD_172_SAKDJE pour vérifier la chaine antennaire de l'ODU 4.3; FME Belo activé pour investigations, ETA=17H UTC</t>
        </is>
      </c>
    </row>
    <row r="563">
      <c r="A563" s="96" t="n">
        <v>46140</v>
      </c>
      <c r="B563" t="inlineStr">
        <is>
          <t>Buea-Bwitingui-Road</t>
        </is>
      </c>
      <c r="C563" t="inlineStr">
        <is>
          <t>SUO_232</t>
        </is>
      </c>
      <c r="D563" t="inlineStr"/>
      <c r="E563" t="inlineStr">
        <is>
          <t>CAMUSAT</t>
        </is>
      </c>
      <c r="F563" t="inlineStr">
        <is>
          <t>Medium Grid + GE</t>
        </is>
      </c>
      <c r="G563" t="inlineStr">
        <is>
          <t>SUD-OUEST</t>
        </is>
      </c>
      <c r="H563" t="inlineStr">
        <is>
          <t>Buea</t>
        </is>
      </c>
      <c r="I563" t="inlineStr"/>
      <c r="J563" t="n">
        <v>32.3710627915063</v>
      </c>
      <c r="K563" t="n">
        <v>41.31093362709997</v>
      </c>
      <c r="L563" t="n">
        <v>0</v>
      </c>
      <c r="M563" t="n">
        <v>18.49114167330132</v>
      </c>
      <c r="N563" t="inlineStr">
        <is>
          <t>EXCLU</t>
        </is>
      </c>
      <c r="O563" t="inlineStr">
        <is>
          <t>site vandalise</t>
        </is>
      </c>
      <c r="P563" t="inlineStr">
        <is>
          <t>Exclu</t>
        </is>
      </c>
      <c r="Q563" t="inlineStr">
        <is>
          <t>Exclu</t>
        </is>
      </c>
      <c r="R563" t="inlineStr">
        <is>
          <t>EXCLU</t>
        </is>
      </c>
      <c r="S563" t="inlineStr">
        <is>
          <t>Exclu</t>
        </is>
      </c>
      <c r="T563" t="inlineStr">
        <is>
          <t>(04/28/2026 ocm ran 19h): 27/04/2026 Generateur vendalisé restauration en cours 
27/04/2026 Remplacemet du cable prevue pour Mardi / NB: Lundi ghost Townn
26/04/2026 Remplacemet du cable prevue pour Mardi / NB: Lundi ghost Townn
25/04/2026 C'est le Générateur qui a été vandalisé. Pas de câble sectionné de notre côté.Camusat doit être interpellé point transmis a camusat 
24.04.26: Site vendalisé et FME sera sur le site après l'intervention sur Ekata, ETA=18H UTC
23/04/2026 Site vandalisé inventaire demain 24/04/2026 
23.04.26; Camusat; investigations ongoing/Technician is trying to manage with level0..;..;(04/28/2026 ocm ran 14h): 27/04/2026 Generateur vendalisé restauration en cours 
27/04/2026 Remplacemet du cable prevue pour Mardi / NB: Lundi ghost Townn
26/04/2026 Remplacemet du cable prevue pour Mardi / NB: Lundi ghost Townn
25/04/2026 C'est le Générateur qui a été vandalisé. Pas de câble sectionné de notre côté.Camusat doit être interpellé point transmis a camusat 
24.04.26: Site vendalisé et FME sera sur le site après l'intervention sur Ekata, ETA=18H UTC
23/04/2026 Site vandalisé inventaire demain 24/04/2026 
23.04.26; Camusat; investigations ongoing/Technician is trying to manage with level0..;..;(04/28/2026 com ran 10h): 27/04/2026 Remplacemet du cable prevue pour Mardi / NB: Lundi ghost Townn
26/04/2026 Remplacemet du cable prevue pour Mardi / NB: Lundi ghost Townn
25/04/2026 C'est le Générateur qui a été vandalisé. Pas de câble sectionné de notre côté.Camusat doit être interpellé point transmis a camusat 
24.04.26: Site vendalisé et FME sera sur le site après l'intervention sur Ekata, ETA=18H UTC
23/04/2026 Site vandalisé inventaire demain 24/04/2026 
23.04.26; Camusat; investigations ongoing/Technician is trying to manage with level0..;..;(04/28/2026 ocm ran 00h): 27/04/2026 Remplacemet du cable prevue pour Mardi / NB: Lundi ghost Townn
26/04/2026 Remplacemet du cable prevue pour Mardi / NB: Lundi ghost Townn
25/04/2026 C'est le Générateur qui a été vandalisé. Pas de câble sectionné de notre côté.Camusat doit être interpellé point transmis a camusat 
24.04.26: Site vendalisé et FME sera sur le site après l'intervention sur Ekata, ETA=18H UTC
23/04/2026 Site vandalisé inventaire demain 24/04/2026 
23.04.26; Camusat; investigations ongoing/Technician is trying to manage with level0</t>
        </is>
      </c>
      <c r="U563" t="inlineStr">
        <is>
          <t>: 27/04/2026 Generateur vendalisé restauration en cours 27/04/2026 Remplacemet du cable prevue pour Mardi / NB : Lundi ghost Townn 26/04/2026 Remplacemet du cable prevue pour Mardi / NB : Lundi ghost Townn 25/04/2026 C'est le Générateur qui a été vandalisé. Pas de câble sectionné de notre côté.Camusat doit être interpellé point transmis a camusat 24.04.26 : Site vendalisé et FME sera sur le site après l'intervention sur Ekata, ETA=18H UTC 23/04/2026 Site vandalisé inventaire demain 24/04/2026 23.04.26; Camusat; investigations ongoing/Technician is trying to manage with level0.;.; : 27/04/2026 Generateur vendalisé restauration en cours 27/04/2026 Remplacemet du cable prevue pour Mardi / NB : Lundi ghost Townn 26/04/2026 Remplacemet du cable prevue pour Mardi / NB : Lundi ghost Townn 25/04/2026 C'est le Générateur qui a été vandalisé. Pas de câble sectionné de notre côté.Camusat doit être interpellé point transmis a camusat 24.04.26 : Site vendalisé et FME sera sur le site après l'intervention sur Ekata, ETA=18H UTC 23/04/2026 Site vandalisé inventaire demain 24/04/2026 23.04.26; Camusat; investigations ongoing/Technician is trying to manage with level0.;.;(04/28/2026 com ran 10h) : 27/04/2026 Remplacemet du cable prevue pour Mardi / NB : Lundi ghost Townn 26/04/2026 Remplacemet du cable prevue pour Mardi / NB : Lundi ghost Townn 25/04/2026 C'est le Générateur qui a été vandalisé. Pas de câble sectionné de notre côté.Camusat doit être interpellé point transmis a camusat 24.04.26 : Site vendalisé et FME sera sur le site après l'intervention sur Ekata, ETA=18H UTC 23/04/2026 Site vandalisé inventaire demain 24/04/2026 23.04.26; Camusat; investigations ongoing/Technician is trying to manage with level0.;.; : 27/04/2026 Remplacemet du cable prevue pour Mardi / NB : Lundi ghost Townn 26/04/2026 Remplacemet du cable prevue pour Mardi / NB : Lundi ghost Townn 25/04/2026 C'est le Générateur qui a été vandalisé. Pas de câble sectionné de notre côté.Camusat doit être interpellé point transmis a camusat 24.04.26 : Site vendalisé et FME sera sur le site après l'intervention sur Ekata, ETA=18H UTC 23/04/2026 Site vandalisé inventaire demain 24/04/2026 23.04.26; Camusat; investigations ongoing/Technician is trying to manage with level0</t>
        </is>
      </c>
    </row>
    <row r="564">
      <c r="A564" s="96" t="n">
        <v>46140</v>
      </c>
      <c r="B564" t="inlineStr">
        <is>
          <t>Lomie</t>
        </is>
      </c>
      <c r="C564" t="inlineStr">
        <is>
          <t>EST_010</t>
        </is>
      </c>
      <c r="D564" t="inlineStr"/>
      <c r="E564" t="inlineStr">
        <is>
          <t>IHS</t>
        </is>
      </c>
      <c r="F564" t="inlineStr">
        <is>
          <t>Grid-Gen</t>
        </is>
      </c>
      <c r="G564" t="inlineStr">
        <is>
          <t>EST</t>
        </is>
      </c>
      <c r="H564" t="inlineStr">
        <is>
          <t>Lomie</t>
        </is>
      </c>
      <c r="I564" t="inlineStr"/>
      <c r="J564" t="n">
        <v>32.36356905626896</v>
      </c>
      <c r="K564" t="n">
        <v>41.31093362709997</v>
      </c>
      <c r="L564" t="n">
        <v>0</v>
      </c>
      <c r="M564" t="n">
        <v>18.49007156860227</v>
      </c>
      <c r="N564" t="inlineStr"/>
      <c r="O564" t="inlineStr"/>
      <c r="P564" t="inlineStr">
        <is>
          <t>BSS</t>
        </is>
      </c>
      <c r="Q564" t="inlineStr">
        <is>
          <t>RAN ISSUE</t>
        </is>
      </c>
      <c r="R564" t="inlineStr">
        <is>
          <t>BSS Hardware issue</t>
        </is>
      </c>
      <c r="S564" t="inlineStr">
        <is>
          <t>ACTIVE</t>
        </is>
      </c>
      <c r="T564" t="inlineStr">
        <is>
          <t>(04/28/2026 ocm ran 19h):  28.04.2026: Le IBUC semple faulty le FAN ne tourne pas intervention toujours en cours ETR 15H30 
27.04.26: Besoin d'un FME sur site pour vérifier le statut du BUC; CM-20260427-00005663; FME Essiane activé pour investigations, update ASAP..;..;(04/28/2026 ocm ran 14h): 27.04.26: Besoin d'un FME sur site pour vérifier le statut du BUC; CM-20260427-00005663; FME Essiane activé pour investigations, update ASAP..;..;(04/28/2026 com ran 10h): 27.04.26: Besoin d'un FME sur site pour vérifier le statut du BUC; CM-20260427-00005663; FME Essiane activé pour investigations, update ASAP..;..;(04/28/2026 ocm ran 00h): 27.04.26: Besoin d'un FME sur site pour vérifier le statut du BUC; CM-20260427-00005663; FME Essiane activé pour investigations, update ASAP</t>
        </is>
      </c>
      <c r="U564" t="inlineStr">
        <is>
          <t>: 28.04.2026 : Le IBUC semple faulty le FAN ne tourne pas intervention toujours en cours ETR 15H30 27.04.26 : Besoin d'un FME sur site pour vérifier le statut du BUC; ; FME Essiane activé pour investigations, update ASAP.;.; : 27.04.26 : Besoin d'un FME sur site pour vérifier le statut du BUC; ; FME Essiane activé pour investigations, update ASAP.;.;(04/28/2026 com ran 10h) : 27.04.26 : Besoin d'un FME sur site pour vérifier le statut du BUC; ; FME Essiane activé pour investigations, update ASAP.;.; : 27.04.26 : Besoin d'un FME sur site pour vérifier le statut du BUC; ; FME Essiane activé pour investigations, update ASAP</t>
        </is>
      </c>
    </row>
    <row r="565">
      <c r="A565" s="96" t="n">
        <v>46140</v>
      </c>
      <c r="B565" t="inlineStr">
        <is>
          <t>Messassi-MTN-IHS</t>
        </is>
      </c>
      <c r="C565" t="inlineStr">
        <is>
          <t>CTR_468</t>
        </is>
      </c>
      <c r="D565" t="inlineStr"/>
      <c r="E565" t="inlineStr">
        <is>
          <t>IHS</t>
        </is>
      </c>
      <c r="F565" t="inlineStr">
        <is>
          <t>Grid-Gen</t>
        </is>
      </c>
      <c r="G565" t="inlineStr">
        <is>
          <t>CENTRE</t>
        </is>
      </c>
      <c r="H565" t="inlineStr">
        <is>
          <t>Yaounde</t>
        </is>
      </c>
      <c r="I565" t="inlineStr"/>
      <c r="J565" t="n">
        <v>10.3570914715298</v>
      </c>
      <c r="K565" t="n">
        <v>10.29081069732176</v>
      </c>
      <c r="L565" t="n">
        <v>25.90281334611604</v>
      </c>
      <c r="M565" t="n">
        <v>18.44175634144045</v>
      </c>
      <c r="N565" t="inlineStr"/>
      <c r="O565" t="inlineStr"/>
      <c r="P565" t="inlineStr">
        <is>
          <t>IHS</t>
        </is>
      </c>
      <c r="Q565" t="inlineStr">
        <is>
          <t>POWER ISSUE</t>
        </is>
      </c>
      <c r="R565" t="inlineStr">
        <is>
          <t>Defaut GE &amp; Power Cabinet</t>
        </is>
      </c>
      <c r="S565" t="inlineStr">
        <is>
          <t>PASSIVE</t>
        </is>
      </c>
      <c r="T565" t="inlineStr">
        <is>
          <t>(04/28/2026 retour IHS ): Power issue NUR to be checked   ||  (04/28/2026 cell zte): 28/04/2026 : Power issue || Mail sent to IHS..;..;(04/28/2026 ticket): INC-20260428-00002975…Grid fluctuation, site went down because Gen started and stopped to start due to grid bad voltage// He bypassed the grid and started Gen manually…Grid fluctuation, site went down because Gen started and stopped to start due to grid bad voltage// He bypassed the grid and started Gen manually…GE Fault</t>
        </is>
      </c>
      <c r="U565" t="inlineStr">
        <is>
          <t>04/28/2026 retour IHS ) : Power issue NUR to be checked || (04/28/2026 cell zte) : 28/04/2026 : Power issue || Mail sent to IHS.;.; : …Grid fluctuation, site went down because Gen started and stopped to start due to grid bad voltage// He bypassed the grid and started Gen manually…Grid fluctuation, site went down because Gen started and stopped to start due to grid bad voltage// He bypassed the grid and started Gen manually…GE Fault</t>
        </is>
      </c>
    </row>
    <row r="566">
      <c r="A566" s="96" t="n">
        <v>46140</v>
      </c>
      <c r="B566" t="inlineStr">
        <is>
          <t>Cite-Sic-II</t>
        </is>
      </c>
      <c r="C566" t="inlineStr">
        <is>
          <t>LIT_161</t>
        </is>
      </c>
      <c r="D566" t="inlineStr"/>
      <c r="E566" t="inlineStr">
        <is>
          <t>IHS</t>
        </is>
      </c>
      <c r="F566" t="inlineStr">
        <is>
          <t>GridOnly</t>
        </is>
      </c>
      <c r="G566" t="inlineStr">
        <is>
          <t>LITTORAL</t>
        </is>
      </c>
      <c r="H566" t="inlineStr">
        <is>
          <t>Douala</t>
        </is>
      </c>
      <c r="I566" t="inlineStr"/>
      <c r="J566" t="n">
        <v>13.8409289833699</v>
      </c>
      <c r="K566" t="n">
        <v>11.77744117017045</v>
      </c>
      <c r="L566" t="n">
        <v>23.26990130606937</v>
      </c>
      <c r="M566" t="n">
        <v>18.06529350831685</v>
      </c>
      <c r="N566" t="inlineStr"/>
      <c r="O566" t="inlineStr"/>
      <c r="P566" t="inlineStr">
        <is>
          <t>Fiber AOF</t>
        </is>
      </c>
      <c r="Q566" t="inlineStr">
        <is>
          <t>TX ISSUE</t>
        </is>
      </c>
      <c r="R566" t="inlineStr">
        <is>
          <t>fiber AOF</t>
        </is>
      </c>
      <c r="S566" t="inlineStr">
        <is>
          <t>ACTIVE</t>
        </is>
      </c>
      <c r="T566" t="inlineStr">
        <is>
          <t>(04/28/2026 ocm ran 19h): 28/04/2026 AOF_AngeRaphael_CiteSIC is down
Please to involve CDS for investigation..;..;(04/28/2026 ocm ran 14h): Power status check ongoing..;..;(04/28/2026 ticket): INC-20260428-00009047…2026-04-28 18:01:35…CDS activé pour action
AOF_AngeRaphael_CiteSIC is down
Please to involve CDS for investigation…grid only  site . 
poor backup batteries.
eneo outage at moment .</t>
        </is>
      </c>
      <c r="U566" t="inlineStr">
        <is>
          <t>: 28/04/2026 AOF_AngeRaphael_CiteSIC is down Please to involve CDS for investigation.;.; : ; : …2026-04-28 18 : 01 : 35…CDS activé pour action AOF_AngeRaphael_CiteSIC is down Please to involve CDS for investigation…grid only site . poor backup batteries. eneo outage at moment .</t>
        </is>
      </c>
    </row>
    <row r="567">
      <c r="A567" s="96" t="n">
        <v>46140</v>
      </c>
      <c r="B567" t="inlineStr">
        <is>
          <t>Nkolda-II</t>
        </is>
      </c>
      <c r="C567" t="inlineStr">
        <is>
          <t>CTR_776</t>
        </is>
      </c>
      <c r="D567" t="inlineStr"/>
      <c r="E567" t="inlineStr">
        <is>
          <t>CAMUSAT</t>
        </is>
      </c>
      <c r="F567" t="inlineStr">
        <is>
          <t>Good Grid no GE - 8h</t>
        </is>
      </c>
      <c r="G567" t="inlineStr">
        <is>
          <t>CENTRE</t>
        </is>
      </c>
      <c r="H567" t="inlineStr">
        <is>
          <t>Yaounde</t>
        </is>
      </c>
      <c r="I567" t="inlineStr"/>
      <c r="J567" t="n">
        <v>17.72268383631284</v>
      </c>
      <c r="K567" t="n">
        <v>15.08741597560105</v>
      </c>
      <c r="L567" t="n">
        <v>19.57626617812186</v>
      </c>
      <c r="M567" t="n">
        <v>17.80461600362979</v>
      </c>
      <c r="N567" t="inlineStr"/>
      <c r="O567" t="inlineStr"/>
      <c r="P567" t="inlineStr">
        <is>
          <t>AKTIVCO GRID ONLY</t>
        </is>
      </c>
      <c r="Q567" t="inlineStr">
        <is>
          <t>POWER ISSUE</t>
        </is>
      </c>
      <c r="R567" t="inlineStr">
        <is>
          <t>AKTIVCO Coupure ENEO &amp; Baisse de tension</t>
        </is>
      </c>
      <c r="S567" t="inlineStr">
        <is>
          <t>PASSIVE</t>
        </is>
      </c>
      <c r="T567" t="inlineStr">
        <is>
          <t>(04/28/2026 ocm ran 19h): 28/04/2026 Grid outage grid only site / grid return awaited..;..;(04/28/2026 ocm ran 14h): Power status check ongoing..;..;(04/28/2026 ticket): INC-20260428-00006751…2026-04-28 10:59:33…Grid outage grid only site / grid return awaited</t>
        </is>
      </c>
      <c r="U567" t="inlineStr">
        <is>
          <t>: 28/04/2026 Grid outage grid only site / grid return awaited.;.; : ; : …2026-04-28 10 : 59 : 33…Grid outage grid only site / grid return awaited</t>
        </is>
      </c>
    </row>
    <row r="568">
      <c r="A568" s="96" t="n">
        <v>46140</v>
      </c>
      <c r="B568" t="inlineStr">
        <is>
          <t>ETOUDI-NEW</t>
        </is>
      </c>
      <c r="C568" t="inlineStr">
        <is>
          <t>CTR_917</t>
        </is>
      </c>
      <c r="D568" t="inlineStr"/>
      <c r="E568" t="inlineStr">
        <is>
          <t>CAMUSAT</t>
        </is>
      </c>
      <c r="F568" t="inlineStr">
        <is>
          <t>Good Grid no GE - 8h</t>
        </is>
      </c>
      <c r="G568" t="inlineStr">
        <is>
          <t>CENTRE</t>
        </is>
      </c>
      <c r="H568" t="inlineStr">
        <is>
          <t>Yaounde</t>
        </is>
      </c>
      <c r="I568" t="inlineStr"/>
      <c r="J568" t="n">
        <v>4.31651639229604</v>
      </c>
      <c r="K568" t="n">
        <v>3.712193270567915</v>
      </c>
      <c r="L568" t="n">
        <v>29.14951862358193</v>
      </c>
      <c r="M568" t="n">
        <v>17.06376468540349</v>
      </c>
      <c r="N568" t="inlineStr"/>
      <c r="O568" t="inlineStr"/>
      <c r="P568" t="inlineStr">
        <is>
          <t>BSS</t>
        </is>
      </c>
      <c r="Q568" t="inlineStr">
        <is>
          <t>RAN ISSUE</t>
        </is>
      </c>
      <c r="R568" t="inlineStr">
        <is>
          <t>BSS Hardware issue</t>
        </is>
      </c>
      <c r="S568" t="inlineStr">
        <is>
          <t>ACTIVE</t>
        </is>
      </c>
      <c r="T568" t="inlineStr">
        <is>
          <t>(04/28/2026 ocm ran 14h): Power status check ongoing ||  04/28/2026: hardware issue,  site with GPS issue (alarm : TDD down 09Apr 02pm)</t>
        </is>
      </c>
      <c r="U568" t="inlineStr">
        <is>
          <t>: Power status check ongoing || 04/28/2026 : hardware issue, site with GPS issue (alarm : TDD down 09Apr 02pm)</t>
        </is>
      </c>
    </row>
    <row r="569">
      <c r="A569" s="96" t="n">
        <v>46140</v>
      </c>
      <c r="B569" t="inlineStr">
        <is>
          <t>Buea-Prime22</t>
        </is>
      </c>
      <c r="C569" t="inlineStr">
        <is>
          <t>SUO_241</t>
        </is>
      </c>
      <c r="D569" t="inlineStr"/>
      <c r="E569" t="inlineStr">
        <is>
          <t>CAMUSAT</t>
        </is>
      </c>
      <c r="F569" t="inlineStr">
        <is>
          <t>Medium Grid + GE</t>
        </is>
      </c>
      <c r="G569" t="inlineStr">
        <is>
          <t>SUD-OUEST</t>
        </is>
      </c>
      <c r="H569" t="inlineStr">
        <is>
          <t>Buea</t>
        </is>
      </c>
      <c r="I569" t="inlineStr"/>
      <c r="J569" t="n">
        <v>23.4560157708156</v>
      </c>
      <c r="K569" t="n">
        <v>39.91068635651165</v>
      </c>
      <c r="L569" t="n">
        <v>0.193744842590951</v>
      </c>
      <c r="M569" t="n">
        <v>16.84903034246204</v>
      </c>
      <c r="N569" t="inlineStr"/>
      <c r="O569" t="inlineStr"/>
      <c r="P569" t="inlineStr">
        <is>
          <t>PDH</t>
        </is>
      </c>
      <c r="Q569" t="inlineStr">
        <is>
          <t>TX ISSUE</t>
        </is>
      </c>
      <c r="R569" t="inlineStr">
        <is>
          <t>ODU HS</t>
        </is>
      </c>
      <c r="S569" t="inlineStr">
        <is>
          <t>ACTIVE</t>
        </is>
      </c>
      <c r="T569" t="inlineStr">
        <is>
          <t>(04/28/2026 ocm ran 19h): 28/04/2026 Besoin d'un fm sur site pour verifier le status du MPR et la chaine antennaire de l ODU ..;..;(04/28/2026 com ran 10h): Power status check ongoing..;..;(04/28/2026 ocm ran 00h): power status check ongoing || (groupe whatsapp ): SUO_241_H_Buea-Prime22; Need FME on site to check antenna chain of ODU 3.1
@+237 6 95 93 66 51 fya</t>
        </is>
      </c>
      <c r="U569" t="inlineStr">
        <is>
          <t>: 28/04/2026 Besoin d'un fm sur site pour verifier le status du MPR et la chaine antennaire de l ODU .;.;(04/28/2026 com ran 10h) : ; : power status check ongoing || (groupe whatsapp ) : SUO_241_H_Buea-Prime22; Need FME on site to check antenna chain of ODU 3.1 @+237 6 95 93 66 51 fya</t>
        </is>
      </c>
    </row>
    <row r="570">
      <c r="A570" s="96" t="n">
        <v>46140</v>
      </c>
      <c r="B570" t="inlineStr">
        <is>
          <t>Mbalgong-Carrefour</t>
        </is>
      </c>
      <c r="C570" t="inlineStr">
        <is>
          <t>CTR_831</t>
        </is>
      </c>
      <c r="D570" t="inlineStr"/>
      <c r="E570" t="inlineStr">
        <is>
          <t>CAMUSAT</t>
        </is>
      </c>
      <c r="F570" t="inlineStr">
        <is>
          <t>Good Grid no GE - 8h</t>
        </is>
      </c>
      <c r="G570" t="inlineStr">
        <is>
          <t>CENTRE</t>
        </is>
      </c>
      <c r="H570" t="inlineStr">
        <is>
          <t>Yaounde</t>
        </is>
      </c>
      <c r="I570" t="inlineStr"/>
      <c r="J570" t="n">
        <v>8.262842263867407</v>
      </c>
      <c r="K570" t="n">
        <v>7.059728299859579</v>
      </c>
      <c r="L570" t="n">
        <v>23.40789961848853</v>
      </c>
      <c r="M570" t="n">
        <v>15.75691715677462</v>
      </c>
      <c r="N570" t="inlineStr"/>
      <c r="O570" t="inlineStr"/>
      <c r="P570" t="inlineStr">
        <is>
          <t>AKTIVCO GRID ONLY</t>
        </is>
      </c>
      <c r="Q570" t="inlineStr">
        <is>
          <t>POWER ISSUE</t>
        </is>
      </c>
      <c r="R570" t="inlineStr">
        <is>
          <t>AKTIVCO Coupure ENEO &amp; Baisse de tension</t>
        </is>
      </c>
      <c r="S570" t="inlineStr">
        <is>
          <t>PASSIVE</t>
        </is>
      </c>
      <c r="T570" t="inlineStr">
        <is>
          <t>(04/28/2026 ocm ran 14h): Power status check ongoing..;..;(04/28/2026 ticket): INC-20260428-00007411…2026-04-28 11:35:22…Probably grid outage/The technician will check</t>
        </is>
      </c>
      <c r="U570" t="inlineStr">
        <is>
          <t>: ; : …2026-04-28 11 : 35 : 22…Probably grid outage/The technician will check</t>
        </is>
      </c>
    </row>
    <row r="571">
      <c r="A571" s="96" t="n">
        <v>46140</v>
      </c>
      <c r="B571" t="inlineStr">
        <is>
          <t>Bekoko-MTN</t>
        </is>
      </c>
      <c r="C571" t="inlineStr">
        <is>
          <t>SUO_061</t>
        </is>
      </c>
      <c r="D571" t="inlineStr"/>
      <c r="E571" t="inlineStr">
        <is>
          <t>IHS</t>
        </is>
      </c>
      <c r="F571" t="inlineStr">
        <is>
          <t>Grid-Gen</t>
        </is>
      </c>
      <c r="G571" t="inlineStr">
        <is>
          <t>SUD-OUEST</t>
        </is>
      </c>
      <c r="H571" t="inlineStr">
        <is>
          <t>Bekoko</t>
        </is>
      </c>
      <c r="I571" t="inlineStr"/>
      <c r="J571" t="n">
        <v>13.45200412455187</v>
      </c>
      <c r="K571" t="n">
        <v>11.44975876454808</v>
      </c>
      <c r="L571" t="n">
        <v>18.4681756397376</v>
      </c>
      <c r="M571" t="n">
        <v>15.3957033156124</v>
      </c>
      <c r="N571" t="inlineStr"/>
      <c r="O571" t="inlineStr"/>
      <c r="P571" t="inlineStr">
        <is>
          <t>PDH</t>
        </is>
      </c>
      <c r="Q571" t="inlineStr">
        <is>
          <t>TX ISSUE</t>
        </is>
      </c>
      <c r="R571" t="inlineStr">
        <is>
          <t>MPR ISSUE</t>
        </is>
      </c>
      <c r="S571" t="inlineStr">
        <is>
          <t>ACTIVE</t>
        </is>
      </c>
      <c r="T571" t="inlineStr">
        <is>
          <t>(04/28/2026 hourly IHS): FME Jonas is managing with level 0...;..;(04/28/2026 ocm ran 19h): 28/04/2026 Besoin d'un fme sur site pour effectuer le reset du MPR ..;..;(04/28/2026 ocm ran 14h): Power status check ongoing</t>
        </is>
      </c>
      <c r="U571" t="inlineStr">
        <is>
          <t>: FME Jonas is managing with level 0.;.; : 28/04/2026 Besoin d'un fme sur site pour effectuer le reset du MPR .;.; : Power status check ongoing</t>
        </is>
      </c>
    </row>
    <row r="572">
      <c r="A572" s="96" t="n">
        <v>46140</v>
      </c>
      <c r="B572" t="inlineStr">
        <is>
          <t>CTR_935_Z_BATA-Mokolo-II-HIS</t>
        </is>
      </c>
      <c r="C572" t="inlineStr">
        <is>
          <t>CTR_935</t>
        </is>
      </c>
      <c r="D572" t="inlineStr"/>
      <c r="E572" t="inlineStr">
        <is>
          <t>I_HS</t>
        </is>
      </c>
      <c r="F572" t="inlineStr">
        <is>
          <t>Grid Only</t>
        </is>
      </c>
      <c r="G572" t="inlineStr">
        <is>
          <t>CENTRE</t>
        </is>
      </c>
      <c r="H572" t="inlineStr">
        <is>
          <t>Yaoundé</t>
        </is>
      </c>
      <c r="I572" t="inlineStr"/>
      <c r="J572" t="n">
        <v>6.319966507999313</v>
      </c>
      <c r="K572" t="n">
        <v>5.470458007350965</v>
      </c>
      <c r="L572" t="n">
        <v>23.21182915377998</v>
      </c>
      <c r="M572" t="n">
        <v>14.84368980661068</v>
      </c>
      <c r="N572" t="inlineStr"/>
      <c r="O572" t="inlineStr"/>
      <c r="P572" t="inlineStr">
        <is>
          <t>IHS GRID ONLY</t>
        </is>
      </c>
      <c r="Q572" t="inlineStr">
        <is>
          <t>POWER ISSUE</t>
        </is>
      </c>
      <c r="R572" t="inlineStr">
        <is>
          <t>Coupure ENEO &amp; Baisse de tension</t>
        </is>
      </c>
      <c r="S572" t="inlineStr">
        <is>
          <t>PASSIVE</t>
        </is>
      </c>
      <c r="T572" t="inlineStr">
        <is>
          <t>(04/28/2026 retour IHS ): Power issue NUR to be checked   ||  (04/28/2026 hourly IHS): Grid only no space to delopyed MGE//awaiting Grid return//Francois is on site..;..;(04/28/2026 cell zte): 28/04/2026 : Besoin d'analyse BO RAN || Site unstable due to power issue ..;..;(04/28/2026 com ran 10h): Power status check ongoing..;..;(04/28/2026 ticket): INC-20260428-00015803</t>
        </is>
      </c>
      <c r="U572" t="inlineStr">
        <is>
          <t>04/28/2026 retour IHS ) : Power issue NUR to be checked || : Grid only no space to delopyed MGE//awaiting Grid return//Francois is on site.;.;(04/28/2026 cell zte) : 28/04/2026 : Besoin d'analyse BO RAN || Site unstable due to power issue .;.;(04/28/2026 com ran 10h) : ; :</t>
        </is>
      </c>
    </row>
    <row r="573">
      <c r="A573" s="96" t="n">
        <v>46140</v>
      </c>
      <c r="B573" t="inlineStr">
        <is>
          <t>Ndokoti-New</t>
        </is>
      </c>
      <c r="C573" t="inlineStr">
        <is>
          <t>LIT_217</t>
        </is>
      </c>
      <c r="D573" t="inlineStr"/>
      <c r="E573" t="inlineStr">
        <is>
          <t>IHS</t>
        </is>
      </c>
      <c r="F573" t="inlineStr">
        <is>
          <t>Grid-Gen</t>
        </is>
      </c>
      <c r="G573" t="inlineStr">
        <is>
          <t>LITTORAL</t>
        </is>
      </c>
      <c r="H573" t="inlineStr">
        <is>
          <t>Douala</t>
        </is>
      </c>
      <c r="I573" t="inlineStr"/>
      <c r="J573" t="n">
        <v>14.29704766814943</v>
      </c>
      <c r="K573" t="n">
        <v>10.67794132147387</v>
      </c>
      <c r="L573" t="n">
        <v>15.95089489939085</v>
      </c>
      <c r="M573" t="n">
        <v>13.94453433323917</v>
      </c>
      <c r="N573" t="inlineStr"/>
      <c r="O573" t="inlineStr"/>
      <c r="P573" t="inlineStr">
        <is>
          <t>IHS</t>
        </is>
      </c>
      <c r="Q573" t="inlineStr">
        <is>
          <t>POWER ISSUE</t>
        </is>
      </c>
      <c r="R573" t="inlineStr">
        <is>
          <t>Defaut GE &amp; Power Cabinet</t>
        </is>
      </c>
      <c r="S573" t="inlineStr">
        <is>
          <t>PASSIVE</t>
        </is>
      </c>
      <c r="T573" t="inlineStr">
        <is>
          <t>(04/28/2026 retour IHS ): Power issue NUR to be checked   ||  (04/28/2026 ticket): INC-20260428-00009038…Grid outage, Site went down before Gen start due to Poor backup // Grid Return…Grid outage, Site went down before Gen start due to Poor backup // Grid Return…GE Fault</t>
        </is>
      </c>
      <c r="U573" t="inlineStr">
        <is>
          <t>04/28/2026 retour IHS ) : Power issue NUR to be checked || : …Grid outage, Site went down before Gen start due to Poor backup // Grid Return…Grid outage, Site went down before Gen start due to Poor backup // Grid Return…GE Fault</t>
        </is>
      </c>
    </row>
    <row r="574">
      <c r="A574" s="96" t="n">
        <v>46140</v>
      </c>
      <c r="B574" t="inlineStr">
        <is>
          <t>Emana-Bilick-IHS</t>
        </is>
      </c>
      <c r="C574" t="inlineStr">
        <is>
          <t>CTR_160</t>
        </is>
      </c>
      <c r="D574" t="inlineStr"/>
      <c r="E574" t="inlineStr">
        <is>
          <t>IHS</t>
        </is>
      </c>
      <c r="F574" t="inlineStr">
        <is>
          <t>Grid-Gen</t>
        </is>
      </c>
      <c r="G574" t="inlineStr">
        <is>
          <t>CENTRE</t>
        </is>
      </c>
      <c r="H574" t="inlineStr">
        <is>
          <t>Yaounde</t>
        </is>
      </c>
      <c r="I574" t="inlineStr"/>
      <c r="J574" t="n">
        <v>32.37293622531563</v>
      </c>
      <c r="K574" t="n">
        <v>27.54062241806665</v>
      </c>
      <c r="L574" t="n">
        <v>0</v>
      </c>
      <c r="M574" t="n">
        <v>13.86855689960706</v>
      </c>
      <c r="N574" t="inlineStr"/>
      <c r="O574" t="inlineStr"/>
      <c r="P574" t="inlineStr">
        <is>
          <t>IHS</t>
        </is>
      </c>
      <c r="Q574" t="inlineStr">
        <is>
          <t>POWER ISSUE</t>
        </is>
      </c>
      <c r="R574" t="inlineStr">
        <is>
          <t>Defaut GE &amp; Power Cabinet</t>
        </is>
      </c>
      <c r="S574" t="inlineStr">
        <is>
          <t>PASSIVE</t>
        </is>
      </c>
      <c r="T574" t="inlineStr">
        <is>
          <t>(04/28/2026 retour IHS ): Power issue NUR to be checked   ||  (04/28/2026 hourly IHS): Access issue ,Grid outage, site down because site behaves as Grid only site (Gen Noise)..;..;(04/28/2026 ocm ran 19h): 27.04.26: IHS: Access issue ,Grid outage, site down because site behaves as Grid only site (Gen Noise)..;..;(04/28/2026 ocm ran 14h): 27.04.26: IHS: Access issue ,Grid outage, site down because site behaves as Grid only site (Gen Noise)..;..;(04/28/2026 com ran 10h): 27.04.26: IHS: Access issue ,Grid outage, site down because site behaves as Grid only site (Gen Noise)..;..;(04/28/2026 ocm ran 00h): 27.04.26: IHS: Access issue ,Grid outage, site down because site behaves as Grid only site (Gen Noise)</t>
        </is>
      </c>
      <c r="U574" t="inlineStr">
        <is>
          <t>04/28/2026 retour IHS ) : Power issue NUR to be checked || : Access issue ,Grid outage, site down because site behaves as Grid only site (Gen Noise).;.; : 27.04.26 : IHS : Access issue ,Grid outage, site down because site behaves as Grid only site (Gen Noise).;.; : 27.04.26 : IHS : Access issue ,Grid outage, site down because site behaves as Grid only site (Gen Noise).;.;(04/28/2026 com ran 10h) : 27.04.26 : IHS : Access issue ,Grid outage, site down because site behaves as Grid only site (Gen Noise).;.; : 27.04.26 : IHS : Access issue ,Grid outage, site down because site behaves as Grid only site (Gen Noise)</t>
        </is>
      </c>
    </row>
    <row r="575">
      <c r="A575" s="96" t="n">
        <v>46140</v>
      </c>
      <c r="B575" t="inlineStr">
        <is>
          <t>Nkolfon-Cimencam-IHS</t>
        </is>
      </c>
      <c r="C575" t="inlineStr">
        <is>
          <t>CTR_911</t>
        </is>
      </c>
      <c r="D575" t="inlineStr"/>
      <c r="E575" t="inlineStr">
        <is>
          <t>IHS</t>
        </is>
      </c>
      <c r="F575" t="inlineStr">
        <is>
          <t>Gen-Lithium</t>
        </is>
      </c>
      <c r="G575" t="inlineStr">
        <is>
          <t>CENTRE</t>
        </is>
      </c>
      <c r="H575" t="inlineStr">
        <is>
          <t>Mbankomo</t>
        </is>
      </c>
      <c r="I575" t="inlineStr"/>
      <c r="J575" t="n">
        <v>32.37293622531563</v>
      </c>
      <c r="K575" t="n">
        <v>27.54062241806665</v>
      </c>
      <c r="L575" t="n">
        <v>0</v>
      </c>
      <c r="M575" t="n">
        <v>13.86855689960706</v>
      </c>
      <c r="N575" t="inlineStr"/>
      <c r="O575" t="inlineStr"/>
      <c r="P575" t="inlineStr">
        <is>
          <t>SPARE-ISSUE</t>
        </is>
      </c>
      <c r="Q575" t="inlineStr">
        <is>
          <t>SPARE-ISSUE</t>
        </is>
      </c>
      <c r="R575" t="inlineStr">
        <is>
          <t>SPARE-ISSUE</t>
        </is>
      </c>
      <c r="S575" t="inlineStr">
        <is>
          <t>SPARE-ISSUE</t>
        </is>
      </c>
      <c r="T575" t="inlineStr">
        <is>
          <t xml:space="preserve">(04/28/2026 ocm ran 19h): 22.04.26: Carte core EVO 1G et pas disponible en stock, commande en cours vers OCM
22.04.26; FME Samba en route pour le site, ETA=11H UTC | FME sur site et investigations en cours, carte core EVO 1G probablement faulty
21/04/2026 Besoin d'un fme sur site pour verifier le status du MPR fme activé ..;..;(04/28/2026 ocm ran 14h): 22.04.26: Carte core EVO 1G et pas disponible en stock, commande en cours vers OCM
22.04.26; FME Samba en route pour le site, ETA=11H UTC | FME sur site et investigations en cours, carte core EVO 1G probablement faulty
21/04/2026 Besoin d'un fme sur site pour verifier le status du MPR fme activé ..;..;(04/28/2026 com ran 10h): 22.04.26: Carte core EVO 1G et pas disponible en stock, commande en cours vers OCM
22.04.26; FME Samba en route pour le site, ETA=11H UTC | FME sur site et investigations en cours, carte core EVO 1G probablement faulty
21/04/2026 Besoin d'un fme sur site pour verifier le status du MPR fme activé ..;..;(04/28/2026 ocm ran 00h): 22.04.26: Carte core EVO 1G et pas disponible en stock, commande en cours vers OCM
22.04.26; FME Samba en route pour le site, ETA=11H UTC | FME sur site et investigations en cours, carte core EVO 1G probablement faulty
21/04/2026 Besoin d'un fme sur site pour verifier le status du MPR fme activé </t>
        </is>
      </c>
      <c r="U575" t="inlineStr">
        <is>
          <t>: 22.04.26 : Carte core EVO 1G et pas disponible en stock, commande en cours vers OCM 22.04.26; FME Samba en route pour le site, ETA=11H UTC | FME sur site et investigations en cours, carte core EVO 1G probablement faulty 21/04/2026 Besoin d'un fme sur site pour verifier le status du MPR fme activé .;.; : 22.04.26 : Carte core EVO 1G et pas disponible en stock, commande en cours vers OCM 22.04.26; FME Samba en route pour le site, ETA=11H UTC | FME sur site et investigations en cours, carte core EVO 1G probablement faulty 21/04/2026 Besoin d'un fme sur site pour verifier le status du MPR fme activé .;.;(04/28/2026 com ran 10h) : 22.04.26 : Carte core EVO 1G et pas disponible en stock, commande en cours vers OCM 22.04.26; FME Samba en route pour le site, ETA=11H UTC | FME sur site et investigations en cours, carte core EVO 1G probablement faulty 21/04/2026 Besoin d'un fme sur site pour verifier le status du MPR fme activé .;.; : 22.04.26 : Carte core EVO 1G et pas disponible en stock, commande en cours vers OCM 22.04.26; FME Samba en route pour le site, ETA=11H UTC | FME sur site et investigations en cours, carte core EVO 1G probablement faulty 21/04/2026 Besoin d'un fme sur site pour verifier le status du MPR fme activé</t>
        </is>
      </c>
    </row>
    <row r="576">
      <c r="A576" s="96" t="n">
        <v>46140</v>
      </c>
      <c r="B576" t="inlineStr">
        <is>
          <t>Charles-Atangana</t>
        </is>
      </c>
      <c r="C576" t="inlineStr">
        <is>
          <t>CTR_197</t>
        </is>
      </c>
      <c r="D576" t="inlineStr"/>
      <c r="E576" t="inlineStr">
        <is>
          <t>IHS</t>
        </is>
      </c>
      <c r="F576" t="inlineStr">
        <is>
          <t>GridOnly</t>
        </is>
      </c>
      <c r="G576" t="inlineStr">
        <is>
          <t>CENTRE</t>
        </is>
      </c>
      <c r="H576" t="inlineStr">
        <is>
          <t>Yaounde</t>
        </is>
      </c>
      <c r="I576" t="inlineStr"/>
      <c r="J576" t="n">
        <v>32.37293622531563</v>
      </c>
      <c r="K576" t="n">
        <v>27.54062241806665</v>
      </c>
      <c r="L576" t="n">
        <v>0</v>
      </c>
      <c r="M576" t="n">
        <v>13.86855689960706</v>
      </c>
      <c r="N576" t="inlineStr"/>
      <c r="O576" t="inlineStr"/>
      <c r="P576" t="inlineStr">
        <is>
          <t>IHS GRID ONLY</t>
        </is>
      </c>
      <c r="Q576" t="inlineStr">
        <is>
          <t>POWER ISSUE</t>
        </is>
      </c>
      <c r="R576" t="inlineStr">
        <is>
          <t>Coupure ENEO &amp; Baisse de tension</t>
        </is>
      </c>
      <c r="S576" t="inlineStr">
        <is>
          <t>PASSIVE</t>
        </is>
      </c>
      <c r="T576" t="inlineStr">
        <is>
          <t>(04/28/2026 hourly IHS): Grid outage, No space to deploy MDG // awaiting grid return BATE and VENSA are informed..;..;(04/28/2026 ocm ran 19h): 27.04.26: IHS: Grid only, no space//awaiting grid return - Escalated to L4
24.04.26: IHS: Grid only, no space//awaiting grid return - Escalated to L2..;..;(04/28/2026 ocm ran 14h): 27.04.26: IHS: Grid only, no space//awaiting grid return - Escalated to L4
24.04.26: IHS: Grid only, no space//awaiting grid return - Escalated to L2..;..;(04/28/2026 com ran 10h): 27.04.26: IHS: Grid only, no space//awaiting grid return - Escalated to L4
24.04.26: IHS: Grid only, no space//awaiting grid return - Escalated to L2..;..;(04/28/2026 ocm ran 00h): 27.04.26: IHS: Grid only, no space//awaiting grid return - Escalated to L4
24.04.26: IHS: Grid only, no space//awaiting grid return - Escalated to L2</t>
        </is>
      </c>
      <c r="U576" t="inlineStr">
        <is>
          <t>: Grid outage, No space to deploy MDG // awaiting grid return BATE and VENSA are informed.;.; : 27.04.26 : IHS : Grid only, no space//awaiting grid return - Escalated to L4 24.04.26 : IHS : Grid only, no space//awaiting grid return - Escalated to L2.;.; : 27.04.26 : IHS : Grid only, no space//awaiting grid return - Escalated to L4 24.04.26 : IHS : Grid only, no space//awaiting grid return - Escalated to L2.;.;(04/28/2026 com ran 10h) : 27.04.26 : IHS : Grid only, no space//awaiting grid return - Escalated to L4 24.04.26 : IHS : Grid only, no space//awaiting grid return - Escalated to L2.;.; : 27.04.26 : IHS : Grid only, no space//awaiting grid return - Escalated to L4 24.04.26 : IHS : Grid only, no space//awaiting grid return - Escalated to L2</t>
        </is>
      </c>
    </row>
    <row r="577">
      <c r="A577" s="96" t="n">
        <v>46140</v>
      </c>
      <c r="B577" t="inlineStr">
        <is>
          <t>Oyomabang-marche</t>
        </is>
      </c>
      <c r="C577" t="inlineStr">
        <is>
          <t>CTR_718</t>
        </is>
      </c>
      <c r="D577" t="inlineStr"/>
      <c r="E577" t="inlineStr">
        <is>
          <t>CAMUSAT</t>
        </is>
      </c>
      <c r="F577" t="inlineStr">
        <is>
          <t>Good Grid no GE - 8h</t>
        </is>
      </c>
      <c r="G577" t="inlineStr">
        <is>
          <t>CENTRE</t>
        </is>
      </c>
      <c r="H577" t="inlineStr">
        <is>
          <t>Yaounde</t>
        </is>
      </c>
      <c r="I577" t="inlineStr"/>
      <c r="J577" t="n">
        <v>32.37293622531563</v>
      </c>
      <c r="K577" t="n">
        <v>27.54062241806665</v>
      </c>
      <c r="L577" t="n">
        <v>0</v>
      </c>
      <c r="M577" t="n">
        <v>13.86855689960706</v>
      </c>
      <c r="N577" t="inlineStr"/>
      <c r="O577" t="inlineStr"/>
      <c r="P577" t="inlineStr">
        <is>
          <t>PDH</t>
        </is>
      </c>
      <c r="Q577" t="inlineStr">
        <is>
          <t>TX ISSUE</t>
        </is>
      </c>
      <c r="R577" t="inlineStr">
        <is>
          <t>ODU HS</t>
        </is>
      </c>
      <c r="S577" t="inlineStr">
        <is>
          <t>ACTIVE</t>
        </is>
      </c>
      <c r="T577" t="inlineStr">
        <is>
          <t xml:space="preserve">(04/28/2026 ocm ran 19h): 28/04/2026 FME sur site pour remplacer L'ODU
27/04/2026 l'AOF est Down Oyomabang-Marche_Oyomabang et ODU UBT-T faulty commande passé ETD asap 
26/04/2026 l'AOF est Down  lODU est HS sur le FH commande mail en cours pas disponible à Yaoundé
25/04/2026 Besoin d'un fme sur site pour verifier le status du MPR fme mouhamadou activé ..;..;(04/28/2026 ocm ran 14h): 28/04/2026 FME sur site pour remplacer L'ODU
27/04/2026 l'AOF est Down Oyomabang-Marche_Oyomabang et ODU UBT-T faulty commande passé ETD asap 
26/04/2026 l'AOF est Down  lODU est HS sur le FH commande mail en cours pas disponible à Yaoundé
25/04/2026 Besoin d'un fme sur site pour verifier le status du MPR fme mouhamadou activé ..;..;(04/28/2026 com ran 10h): 27/04/2026 l'AOF est Down Oyomabang-Marche_Oyomabang et ODU faulty commande passé ETD asap 
26/04/2026 l'AOF est Down  lODU est HS sur le FH commande mail en cours pas disponible à Yaoundé
25/04/2026 Besoin d'un fme sur site pour verifier le status du MPR fme mouhamadou activé ..;..;(04/28/2026 ocm ran 00h): 27/04/2026 l'AOF est Down Oyomabang-Marche_Oyomabang et ODU faulty commande passé ETD asap 
26/04/2026 l'AOF est Down  lODU est HS sur le FH commande mail en cours pas disponible à Yaoundé
25/04/2026 Besoin d'un fme sur site pour verifier le status du MPR fme mouhamadou activé </t>
        </is>
      </c>
      <c r="U577" t="inlineStr">
        <is>
          <t>: 28/04/2026 FME sur site pour remplacer L'ODU 27/04/2026 l'AOF est Down Oyomabang-Marche_Oyomabang et ODU UBT-T faulty commande passé ETD asap 26/04/2026 l'AOF est Down lODU est HS sur le FH commande mail en cours pas disponible à Yaoundé 25/04/2026 Besoin d'un fme sur site pour verifier le status du MPR fme mouhamadou activé .;.; : 28/04/2026 FME sur site pour remplacer L'ODU 27/04/2026 l'AOF est Down Oyomabang-Marche_Oyomabang et ODU UBT-T faulty commande passé ETD asap 26/04/2026 l'AOF est Down lODU est HS sur le FH commande mail en cours pas disponible à Yaoundé 25/04/2026 Besoin d'un fme sur site pour verifier le status du MPR fme mouhamadou activé .;.;(04/28/2026 com ran 10h) : 27/04/2026 l'AOF est Down Oyomabang-Marche_Oyomabang et ODU faulty commande passé ETD asap 26/04/2026 l'AOF est Down lODU est HS sur le FH commande mail en cours pas disponible à Yaoundé 25/04/2026 Besoin d'un fme sur site pour verifier le status du MPR fme mouhamadou activé .;.; : 27/04/2026 l'AOF est Down Oyomabang-Marche_Oyomabang et ODU faulty commande passé ETD asap 26/04/2026 l'AOF est Down lODU est HS sur le FH commande mail en cours pas disponible à Yaoundé 25/04/2026 Besoin d'un fme sur site pour verifier le status du MPR fme mouhamadou activé</t>
        </is>
      </c>
    </row>
    <row r="578">
      <c r="A578" s="96" t="n">
        <v>46140</v>
      </c>
      <c r="B578" t="inlineStr">
        <is>
          <t>Briqueterie</t>
        </is>
      </c>
      <c r="C578" t="inlineStr">
        <is>
          <t>CTR_321</t>
        </is>
      </c>
      <c r="D578" t="inlineStr"/>
      <c r="E578" t="inlineStr">
        <is>
          <t>IHS</t>
        </is>
      </c>
      <c r="F578" t="inlineStr">
        <is>
          <t>Grid-Lithium</t>
        </is>
      </c>
      <c r="G578" t="inlineStr">
        <is>
          <t>CENTRE</t>
        </is>
      </c>
      <c r="H578" t="inlineStr">
        <is>
          <t>Yaounde</t>
        </is>
      </c>
      <c r="I578" t="inlineStr"/>
      <c r="J578" t="n">
        <v>32.37293622531563</v>
      </c>
      <c r="K578" t="n">
        <v>27.54062241806665</v>
      </c>
      <c r="L578" t="n">
        <v>0</v>
      </c>
      <c r="M578" t="n">
        <v>13.86855689960706</v>
      </c>
      <c r="N578" t="inlineStr"/>
      <c r="O578" t="inlineStr"/>
      <c r="P578" t="inlineStr">
        <is>
          <t>IHS</t>
        </is>
      </c>
      <c r="Q578" t="inlineStr">
        <is>
          <t>POWER ISSUE</t>
        </is>
      </c>
      <c r="R578" t="inlineStr">
        <is>
          <t>Defaut GE &amp; Power Cabinet</t>
        </is>
      </c>
      <c r="S578" t="inlineStr">
        <is>
          <t>PASSIVE</t>
        </is>
      </c>
      <c r="T578" t="inlineStr">
        <is>
          <t xml:space="preserve">(04/28/2026 hourly IHS): Grid outage, No space to deploy MDG // awaiting grid return VENSA is informed..;..;(04/28/2026 ocm ran 19h): 27.04.26: IHS: Grid only, no space//awaiting grid return - Escalated to L4
24.04.26: IHS: Grid only, no space//awaiting grid return escalade L2 IHS ..;..;(04/28/2026 ocm ran 14h): 27.04.26: IHS: Grid only, no space//awaiting grid return - Escalated to L4
24.04.26: IHS: Grid only, no space//awaiting grid return escalade L2 IHS ..;..;(04/28/2026 com ran 10h): 27.04.26: IHS: Grid only, no space//awaiting grid return - Escalated to L4
24.04.26: IHS: Grid only, no space//awaiting grid return escalade L2 IHS ..;..;(04/28/2026 ocm ran 00h): 27.04.26: IHS: Grid only, no space//awaiting grid return - Escalated to L4
24.04.26: IHS: Grid only, no space//awaiting grid return escalade L2 IHS </t>
        </is>
      </c>
      <c r="U578" t="inlineStr">
        <is>
          <t>: Grid outage, No space to deploy MDG // awaiting grid return VENSA is informed.;.; : 27.04.26 : IHS : Grid only, no space//awaiting grid return - Escalated to L4 24.04.26 : IHS : Grid only, no space//awaiting grid return escalade L2 IHS .;.; : 27.04.26 : IHS : Grid only, no space//awaiting grid return - Escalated to L4 24.04.26 : IHS : Grid only, no space//awaiting grid return escalade L2 IHS .;.;(04/28/2026 com ran 10h) : 27.04.26 : IHS : Grid only, no space//awaiting grid return - Escalated to L4 24.04.26 : IHS : Grid only, no space//awaiting grid return escalade L2 IHS .;.; : 27.04.26 : IHS : Grid only, no space//awaiting grid return - Escalated to L4 24.04.26 : IHS : Grid only, no space//awaiting grid return escalade L2 IHS</t>
        </is>
      </c>
    </row>
    <row r="579">
      <c r="A579" s="96" t="n">
        <v>46140</v>
      </c>
      <c r="B579" t="inlineStr">
        <is>
          <t>Bonamikengue</t>
        </is>
      </c>
      <c r="C579" t="inlineStr">
        <is>
          <t>LIT_336</t>
        </is>
      </c>
      <c r="D579" t="inlineStr"/>
      <c r="E579" t="inlineStr">
        <is>
          <t>IHS</t>
        </is>
      </c>
      <c r="F579" t="inlineStr">
        <is>
          <t>Grid-Gen</t>
        </is>
      </c>
      <c r="G579" t="inlineStr">
        <is>
          <t>LITTORAL</t>
        </is>
      </c>
      <c r="H579" t="inlineStr">
        <is>
          <t>Douala</t>
        </is>
      </c>
      <c r="I579" t="inlineStr"/>
      <c r="J579" t="n">
        <v>32.37293622531563</v>
      </c>
      <c r="K579" t="n">
        <v>27.54062241806665</v>
      </c>
      <c r="L579" t="n">
        <v>0</v>
      </c>
      <c r="M579" t="n">
        <v>13.86855689960706</v>
      </c>
      <c r="N579" t="inlineStr"/>
      <c r="O579" t="inlineStr"/>
      <c r="P579" t="inlineStr">
        <is>
          <t>SPARE-ISSUE</t>
        </is>
      </c>
      <c r="Q579" t="inlineStr">
        <is>
          <t>SPARE-ISSUE</t>
        </is>
      </c>
      <c r="R579" t="inlineStr">
        <is>
          <t>SPARE-ISSUE</t>
        </is>
      </c>
      <c r="S579" t="inlineStr">
        <is>
          <t>SPARE-ISSUE</t>
        </is>
      </c>
      <c r="T579" t="inlineStr">
        <is>
          <t>(04/28/2026 ocm ran 19h): 28/04/2026 En attente de l'envoi du rapport à OCM
26/04/2026 Carte core Evo faulty /not available in the system, SPM informed through an email
26/04/2026 The FME should replace the Core-ENH board at Bonaminkengue / FME activated ETA 12H UTC..;..;(04/28/2026 ocm ran 14h): 28/04/2026 En attente de l'envoi du rapport à OCM
26/04/2026 Carte core Evo faulty /not available in the system, SPM informed through an email
26/04/2026 The FME should replace the Core-ENH board at Bonaminkengue / FME activated ETA 12H UTC..;..;(04/28/2026 com ran 10h): 26/04/2026 Carte core Evo faulty /not available in the system, SPM informed through an email
26/04/2026 The FME should replace the Core-ENH board at Bonaminkengue / FME activated ETA 12H UTC..;..;(04/28/2026 ocm ran 00h): 26/04/2026 Carte core Evo faulty /not available in the system, SPM informed through an email
26/04/2026 The FME should replace the Core-ENH board at Bonaminkengue / FME activated ETA 12H UTC</t>
        </is>
      </c>
      <c r="U579" t="inlineStr">
        <is>
          <t>: 28/04/2026 En attente de l'envoi du rapport à OCM 26/04/2026 Carte core Evo faulty /not available in the system, SPM informed through an email 26/04/2026 The FME should replace the Core-ENH board at Bonaminkengue / FME activated ETA 12H UTC.;.; : 28/04/2026 En attente de l'envoi du rapport à OCM 26/04/2026 Carte core Evo faulty /not available in the system, SPM informed through an email 26/04/2026 The FME should replace the Core-ENH board at Bonaminkengue / FME activated ETA 12H UTC.;.;(04/28/2026 com ran 10h) : 26/04/2026 Carte core Evo faulty /not available in the system, SPM informed through an email 26/04/2026 The FME should replace the Core-ENH board at Bonaminkengue / FME activated ETA 12H UTC.;.; : 26/04/2026 Carte core Evo faulty /not available in the system, SPM informed through an email 26/04/2026 The FME should replace the Core-ENH board at Bonaminkengue / FME activated ETA 12H UTC</t>
        </is>
      </c>
    </row>
    <row r="580">
      <c r="A580" s="96" t="n">
        <v>46140</v>
      </c>
      <c r="B580" t="inlineStr">
        <is>
          <t>Maroua-Loperey</t>
        </is>
      </c>
      <c r="C580" t="inlineStr">
        <is>
          <t>EXN_082</t>
        </is>
      </c>
      <c r="D580" t="inlineStr"/>
      <c r="E580" t="inlineStr">
        <is>
          <t>IHS</t>
        </is>
      </c>
      <c r="F580" t="inlineStr">
        <is>
          <t>Grid-Lithium</t>
        </is>
      </c>
      <c r="G580" t="inlineStr">
        <is>
          <t>EXTREME-NORD</t>
        </is>
      </c>
      <c r="H580" t="inlineStr">
        <is>
          <t>Maroua</t>
        </is>
      </c>
      <c r="I580" t="inlineStr"/>
      <c r="J580" t="n">
        <v>32.37293622531563</v>
      </c>
      <c r="K580" t="n">
        <v>27.54062241806665</v>
      </c>
      <c r="L580" t="n">
        <v>0</v>
      </c>
      <c r="M580" t="n">
        <v>13.86855689960706</v>
      </c>
      <c r="N580" t="inlineStr"/>
      <c r="O580" t="inlineStr"/>
      <c r="P580" t="inlineStr">
        <is>
          <t>IHS</t>
        </is>
      </c>
      <c r="Q580" t="inlineStr">
        <is>
          <t>POWER ISSUE</t>
        </is>
      </c>
      <c r="R580" t="inlineStr">
        <is>
          <t>Defaut GE &amp; Power Cabinet</t>
        </is>
      </c>
      <c r="S580" t="inlineStr">
        <is>
          <t>PASSIVE</t>
        </is>
      </c>
      <c r="T580" t="inlineStr">
        <is>
          <t>(04/28/2026 hourly IHS): Grid outage, No space to deploy MDG // awaiting grid return..;..;(04/28/2026 ocm ran 19h): 27.04.26: IHS: Grid outage, No space to deploy MDG // awaiting grid return Francklin..;..;(04/28/2026 ocm ran 14h): 27.04.26: IHS: Grid outage, No space to deploy MDG // awaiting grid return Francklin..;..;(04/28/2026 com ran 10h): 27.04.26: IHS: Grid outage, No space to deploy MDG // awaiting grid return Francklin..;..;(04/28/2026 ocm ran 00h): 27.04.26: IHS: Grid outage, No space to deploy MDG // awaiting grid return Francklin</t>
        </is>
      </c>
      <c r="U580" t="inlineStr">
        <is>
          <t>: Grid outage, No space to deploy MDG // awaiting grid return.;.; : 27.04.26 : IHS : Grid outage, No space to deploy MDG // awaiting grid return Francklin.;.; : 27.04.26 : IHS : Grid outage, No space to deploy MDG // awaiting grid return Francklin.;.;(04/28/2026 com ran 10h) : 27.04.26 : IHS : Grid outage, No space to deploy MDG // awaiting grid return Francklin.;.; : 27.04.26 : IHS : Grid outage, No space to deploy MDG // awaiting grid return Francklin</t>
        </is>
      </c>
    </row>
    <row r="581">
      <c r="A581" s="96" t="n">
        <v>46140</v>
      </c>
      <c r="B581" t="inlineStr">
        <is>
          <t>Mile4-Q10-IHS</t>
        </is>
      </c>
      <c r="C581" t="inlineStr">
        <is>
          <t>SUO_214</t>
        </is>
      </c>
      <c r="D581" t="inlineStr"/>
      <c r="E581" t="inlineStr">
        <is>
          <t>IHS</t>
        </is>
      </c>
      <c r="F581" t="inlineStr">
        <is>
          <t>Grid-Gen</t>
        </is>
      </c>
      <c r="G581" t="inlineStr">
        <is>
          <t>SUD-OUEST</t>
        </is>
      </c>
      <c r="H581" t="inlineStr">
        <is>
          <t>Limbe</t>
        </is>
      </c>
      <c r="I581" t="inlineStr"/>
      <c r="J581" t="n">
        <v>32.3710627915063</v>
      </c>
      <c r="K581" t="n">
        <v>27.54062241806665</v>
      </c>
      <c r="L581" t="n">
        <v>0</v>
      </c>
      <c r="M581" t="n">
        <v>13.8682893734323</v>
      </c>
      <c r="N581" t="inlineStr"/>
      <c r="O581" t="inlineStr"/>
      <c r="P581" t="inlineStr">
        <is>
          <t>SPARE-ISSUE</t>
        </is>
      </c>
      <c r="Q581" t="inlineStr">
        <is>
          <t>SPARE-ISSUE</t>
        </is>
      </c>
      <c r="R581" t="inlineStr">
        <is>
          <t>SPARE-ISSUE</t>
        </is>
      </c>
      <c r="S581" t="inlineStr">
        <is>
          <t>SPARE-ISSUE</t>
        </is>
      </c>
      <c r="T581" t="inlineStr">
        <is>
          <t xml:space="preserve">(04/28/2026 ocm ran 19h): 17/04/2026 Carte EAC (3DB19417AA )  faulty commandée passé pas disponible point transmis a OCM 
16/04/2026 Besoin d'un fme sur site pour verifier le status du MPR et la chaine antennaire de l ODU FME desmond activé ETA asap ..;..;(04/28/2026 ocm ran 14h): 17/04/2026 Carte EAC (3DB19417AA )  faulty commandée passé pas disponible point transmis a OCM 
16/04/2026 Besoin d'un fme sur site pour verifier le status du MPR et la chaine antennaire de l ODU FME desmond activé ETA asap ..;..;(04/28/2026 com ran 10h): 17/04/2026 Carte EAC (3DB19417AA )  faulty commandée passé pas disponible point transmis a OCM 
16/04/2026 Besoin d'un fme sur site pour verifier le status du MPR et la chaine antennaire de l ODU FME desmond activé ETA asap ..;..;(04/28/2026 ocm ran 00h): 17/04/2026 Carte EAC (3DB19417AA )  faulty commandée passé pas disponible point transmis a OCM 
16/04/2026 Besoin d'un fme sur site pour verifier le status du MPR et la chaine antennaire de l ODU FME desmond activé ETA asap </t>
        </is>
      </c>
      <c r="U581" t="inlineStr">
        <is>
          <t>: 17/04/2026 Carte EAC (3DB19417AA ) faulty commandée passé pas disponible point transmis a OCM 16/04/2026 Besoin d'un fme sur site pour verifier le status du MPR et la chaine antennaire de l ODU FME desmond activé ETA asap .;.; : 17/04/2026 Carte EAC (3DB19417AA ) faulty commandée passé pas disponible point transmis a OCM 16/04/2026 Besoin d'un fme sur site pour verifier le status du MPR et la chaine antennaire de l ODU FME desmond activé ETA asap .;.;(04/28/2026 com ran 10h) : 17/04/2026 Carte EAC (3DB19417AA ) faulty commandée passé pas disponible point transmis a OCM 16/04/2026 Besoin d'un fme sur site pour verifier le status du MPR et la chaine antennaire de l ODU FME desmond activé ETA asap .;.; : 17/04/2026 Carte EAC (3DB19417AA ) faulty commandée passé pas disponible point transmis a OCM 16/04/2026 Besoin d'un fme sur site pour verifier le status du MPR et la chaine antennaire de l ODU FME desmond activé ETA asap</t>
        </is>
      </c>
    </row>
    <row r="582">
      <c r="A582" s="96" t="n">
        <v>46140</v>
      </c>
      <c r="B582" t="inlineStr">
        <is>
          <t>Oku-Marche</t>
        </is>
      </c>
      <c r="C582" t="inlineStr">
        <is>
          <t>NRO_110</t>
        </is>
      </c>
      <c r="D582" t="inlineStr"/>
      <c r="E582" t="inlineStr">
        <is>
          <t>IHS</t>
        </is>
      </c>
      <c r="F582" t="inlineStr">
        <is>
          <t>Grid-Gen</t>
        </is>
      </c>
      <c r="G582" t="inlineStr">
        <is>
          <t>NORD-OUEST</t>
        </is>
      </c>
      <c r="H582" t="inlineStr">
        <is>
          <t>Oku</t>
        </is>
      </c>
      <c r="I582" t="inlineStr"/>
      <c r="J582" t="n">
        <v>64.72713811253792</v>
      </c>
      <c r="K582" t="n">
        <v>13.77031120903332</v>
      </c>
      <c r="L582" t="n">
        <v>0</v>
      </c>
      <c r="M582" t="n">
        <v>13.86588163785945</v>
      </c>
      <c r="N582" t="inlineStr"/>
      <c r="O582" t="inlineStr"/>
      <c r="P582" t="inlineStr">
        <is>
          <t>ACCESS-ISSUE</t>
        </is>
      </c>
      <c r="Q582" t="inlineStr">
        <is>
          <t>ACCESS-ISSUE</t>
        </is>
      </c>
      <c r="R582" t="inlineStr">
        <is>
          <t>ACCESS-ISSUE</t>
        </is>
      </c>
      <c r="S582" t="inlineStr">
        <is>
          <t>ACCESS-ISSUE</t>
        </is>
      </c>
      <c r="T582" t="inlineStr">
        <is>
          <t>(04/28/2026 ocm ran 19h): 28.04.2026: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town..;..;(04/28/2026 ocm ran 14h): 28.04.2026: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town..;..;(04/28/2026 com ran 10h): 28.04.2026: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town..;..;(04/28/2026 ocm ran 00h):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t>
        </is>
      </c>
      <c r="U582" t="inlineStr">
        <is>
          <t>: 28.04.2026 :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 : 28.04.2026 :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town.;.;(04/28/2026 com ran 10h) : 28.04.2026 : Planned on 29/04/2026 if access granted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 : 27.04.26; Power team and Level Zero kidnapped since one Week No way to GO there as planned to check tomorrow if we can Go as planned on 29.04.2026 24.04.26; Access banned by Separatist 23.04.26; Access banned by Separatist 22.04.26; Access banned by Separatist 21.04.26; Access banned by Separatist 19.04.26; Power team and Level Zero kidnapped since one Week No way to GO there as planned. Intervention planned this 22.04.26 18.04.26; Access negotiations ongoing, red zone 17/04/2026 FME Donald on the way after to check ETA=11\AM || no acces to day 16/04/2026 Check ongoing with level zero ETA11AM 15/04/2026 |access not granted for this site for now we keep trying ESCALADE FM THEOPHILE 14/04/2026 remote check with Donald and FME ETA12AM utc // pas d'acces red zone 13.04.26; Need FME at NRO_110_Oku to check antenna chain of ODU 5.1; FME Donald is activated to check, update ASAP 13/04/2026 Need FME on site to check MPR status, ODU 5.1 and antenna chain / FME Donald activated ETA = ASAP ghost town</t>
        </is>
      </c>
    </row>
    <row r="583">
      <c r="A583" s="96" t="n">
        <v>46140</v>
      </c>
      <c r="B583" t="inlineStr">
        <is>
          <t>Nkoabang-South-MTN</t>
        </is>
      </c>
      <c r="C583" t="inlineStr">
        <is>
          <t>CTR_698</t>
        </is>
      </c>
      <c r="D583" t="inlineStr"/>
      <c r="E583" t="inlineStr">
        <is>
          <t>MTN sharing</t>
        </is>
      </c>
      <c r="F583" t="inlineStr"/>
      <c r="G583" t="inlineStr">
        <is>
          <t>CENTRE</t>
        </is>
      </c>
      <c r="H583" t="inlineStr">
        <is>
          <t>Yaounde</t>
        </is>
      </c>
      <c r="I583" t="inlineStr"/>
      <c r="J583" t="n">
        <v>9.017211611093126</v>
      </c>
      <c r="K583" t="n">
        <v>9.621845578710079</v>
      </c>
      <c r="L583" t="n">
        <v>17.34089871888318</v>
      </c>
      <c r="M583" t="n">
        <v>13.56090179863198</v>
      </c>
      <c r="N583" t="inlineStr"/>
      <c r="O583" t="inlineStr"/>
      <c r="P583" t="inlineStr">
        <is>
          <t>Partners</t>
        </is>
      </c>
      <c r="Q583" t="inlineStr">
        <is>
          <t>POWER ISSUE</t>
        </is>
      </c>
      <c r="R583" t="inlineStr">
        <is>
          <t>Sharing</t>
        </is>
      </c>
      <c r="S583" t="inlineStr">
        <is>
          <t>PASSIVE</t>
        </is>
      </c>
      <c r="T583" t="inlineStr">
        <is>
          <t xml:space="preserve">(04/28/2026 com ran 10h): Power status check ongoing..;..;(04/28/2026 ticket): INC-20260428-00011499 || power issue check the the courb on the platform , with alrm </t>
        </is>
      </c>
      <c r="U583" t="inlineStr">
        <is>
          <t>04/28/2026 com ran 10h) : ; : || power issue check the the courb on the platform , with alrm</t>
        </is>
      </c>
    </row>
    <row r="584">
      <c r="A584" s="96" t="n">
        <v>46140</v>
      </c>
      <c r="B584" t="inlineStr">
        <is>
          <t>Carrefour-Diderot</t>
        </is>
      </c>
      <c r="C584" t="inlineStr">
        <is>
          <t>CTR_841</t>
        </is>
      </c>
      <c r="D584" t="inlineStr"/>
      <c r="E584" t="inlineStr">
        <is>
          <t>CAMUSAT</t>
        </is>
      </c>
      <c r="F584" t="inlineStr">
        <is>
          <t>Good Grid no GE - 8h</t>
        </is>
      </c>
      <c r="G584" t="inlineStr">
        <is>
          <t>CENTRE</t>
        </is>
      </c>
      <c r="H584" t="inlineStr">
        <is>
          <t>Yaounde</t>
        </is>
      </c>
      <c r="I584" t="inlineStr"/>
      <c r="J584" t="n">
        <v>28.7164930118421</v>
      </c>
      <c r="K584" t="n">
        <v>27.52064696662145</v>
      </c>
      <c r="L584" t="n">
        <v>0</v>
      </c>
      <c r="M584" t="n">
        <v>13.33971115733963</v>
      </c>
      <c r="N584" t="inlineStr"/>
      <c r="O584" t="inlineStr"/>
      <c r="P584" t="inlineStr">
        <is>
          <t>AKTIVCO GRID ONLY</t>
        </is>
      </c>
      <c r="Q584" t="inlineStr">
        <is>
          <t>POWER ISSUE</t>
        </is>
      </c>
      <c r="R584" t="inlineStr">
        <is>
          <t>AKTIVCO Coupure ENEO &amp; Baisse de tension</t>
        </is>
      </c>
      <c r="S584" t="inlineStr">
        <is>
          <t>PASSIVE</t>
        </is>
      </c>
      <c r="T584" t="inlineStr">
        <is>
          <t>(04/28/2026 ocm ran 19h): Power status check ongoing..;..;(04/28/2026 ocm ran 14h): 27/04/2026 No space to deploy DG / continuté du delestage confirmé
26/04/2026 No space to deploy DG / continuté du delestage confirmé
24.04.26: Grid outage and grid only site, no space to deploy a GEM / Grid return awaited - Escalade L4
23.04.26: Grid outage and grid only site, no space to deploy a GEM / Grid return awaited - Escalade L3..;..;(04/28/2026 com ran 10h): 27/04/2026 No space to deploy DG / continuté du delestage confirmé
26/04/2026 No space to deploy DG / continuté du delestage confirmé
24.04.26: Grid outage and grid only site, no space to deploy a GEM / Grid return awaited - Escalade L4
23.04.26: Grid outage and grid only site, no space to deploy a GEM / Grid return awaited - Escalade L3..;..;(04/28/2026 ocm ran 00h): 27/04/2026 No space to deploy DG / continuté du delestage confirmé
26/04/2026 No space to deploy DG / continuté du delestage confirmé
24.04.26: Grid outage and grid only site, no space to deploy a GEM / Grid return awaited - Escalade L4
23.04.26: Grid outage and grid only site, no space to deploy a GEM / Grid return awaited - Escalade L3</t>
        </is>
      </c>
      <c r="U584" t="inlineStr">
        <is>
          <t>: ; : 27/04/2026 No space to deploy DG / continuté du delestage confirmé 26/04/2026 No space to deploy DG / continuté du delestage confirmé 24.04.26 : Grid outage and grid only site, no space to deploy a GEM / Grid return awaited - Escalade L4 23.04.26 : Grid outage and grid only site, no space to deploy a GEM / Grid return awaited - Escalade L3.;.;(04/28/2026 com ran 10h) : 27/04/2026 No space to deploy DG / continuté du delestage confirmé 26/04/2026 No space to deploy DG / continuté du delestage confirmé 24.04.26 : Grid outage and grid only site, no space to deploy a GEM / Grid return awaited - Escalade L4 23.04.26 : Grid outage and grid only site, no space to deploy a GEM / Grid return awaited - Escalade L3.;.; : 27/04/2026 No space to deploy DG / continuté du delestage confirmé 26/04/2026 No space to deploy DG / continuté du delestage confirmé 24.04.26 : Grid outage and grid only site, no space to deploy a GEM / Grid return awaited - Escalade L4 23.04.26 : Grid outage and grid only site, no space to deploy a GEM / Grid return awaited - Escalade L3</t>
        </is>
      </c>
    </row>
    <row r="585">
      <c r="A585" s="96" t="n">
        <v>46140</v>
      </c>
      <c r="B585" t="inlineStr">
        <is>
          <t>Ekombitie-II</t>
        </is>
      </c>
      <c r="C585" t="inlineStr">
        <is>
          <t>CTR_723</t>
        </is>
      </c>
      <c r="D585" t="inlineStr"/>
      <c r="E585" t="inlineStr">
        <is>
          <t>CAMUSAT</t>
        </is>
      </c>
      <c r="F585" t="inlineStr">
        <is>
          <t>Good Grid + GE</t>
        </is>
      </c>
      <c r="G585" t="inlineStr">
        <is>
          <t>CENTRE</t>
        </is>
      </c>
      <c r="H585" t="inlineStr">
        <is>
          <t>Yaounde</t>
        </is>
      </c>
      <c r="I585" t="inlineStr"/>
      <c r="J585" t="n">
        <v>11.08922940421807</v>
      </c>
      <c r="K585" t="n">
        <v>9.464538898579107</v>
      </c>
      <c r="L585" t="n">
        <v>15.69794929377696</v>
      </c>
      <c r="M585" t="n">
        <v>12.94719675373038</v>
      </c>
      <c r="N585" t="inlineStr"/>
      <c r="O585" t="inlineStr"/>
      <c r="P585" t="inlineStr">
        <is>
          <t>AKTIVCO</t>
        </is>
      </c>
      <c r="Q585" t="inlineStr">
        <is>
          <t>POWER ISSUE</t>
        </is>
      </c>
      <c r="R585" t="inlineStr">
        <is>
          <t>AKTIVCO Defaut GE &amp; Power Cabinet</t>
        </is>
      </c>
      <c r="S585" t="inlineStr">
        <is>
          <t>PASSIVE</t>
        </is>
      </c>
      <c r="T585" t="inlineStr">
        <is>
          <t xml:space="preserve">(04/28/2026 ocm ran 14h): Power status check ongoing..;..;(04/28/2026 com ran 10h): Power status check ongoing..;..;(04/28/2026 ticket): INC-20260428-00005598…2026-04-28 15:20:07…No power issue site on Grid U=54V Iload=47A.  || checker la courbe power sur Elastic et presence l'alarme power </t>
        </is>
      </c>
      <c r="U585" t="inlineStr">
        <is>
          <t>: ;(04/28/2026 com ran 10h) : ; : …2026-04-28 15 : 20 : 07…No power issue site on Grid U=54V Iload=47A. checker la courbe power sur Elastic et presence l'alarme power</t>
        </is>
      </c>
    </row>
    <row r="586">
      <c r="A586" s="96" t="n">
        <v>46140</v>
      </c>
      <c r="B586" t="inlineStr">
        <is>
          <t>Pont-Emana-MTN</t>
        </is>
      </c>
      <c r="C586" t="inlineStr">
        <is>
          <t>CTR_799</t>
        </is>
      </c>
      <c r="D586" t="inlineStr"/>
      <c r="E586" t="inlineStr"/>
      <c r="F586" t="inlineStr"/>
      <c r="G586" t="inlineStr">
        <is>
          <t>CENTRE</t>
        </is>
      </c>
      <c r="H586" t="inlineStr">
        <is>
          <t>Yaounde</t>
        </is>
      </c>
      <c r="I586" t="inlineStr"/>
      <c r="J586" t="n">
        <v>32.16036393574971</v>
      </c>
      <c r="K586" t="n">
        <v>24.83501127125474</v>
      </c>
      <c r="L586" t="n">
        <v>0</v>
      </c>
      <c r="M586" t="n">
        <v>12.92989672776251</v>
      </c>
      <c r="N586" t="inlineStr"/>
      <c r="O586" t="inlineStr"/>
      <c r="P586" t="inlineStr">
        <is>
          <t>Fiber AOF</t>
        </is>
      </c>
      <c r="Q586" t="inlineStr">
        <is>
          <t>TX ISSUE</t>
        </is>
      </c>
      <c r="R586" t="inlineStr">
        <is>
          <t>fiber AOF</t>
        </is>
      </c>
      <c r="S586" t="inlineStr">
        <is>
          <t>ACTIVE</t>
        </is>
      </c>
      <c r="T586" t="inlineStr">
        <is>
          <t>(04/28/2026 top offenders): 29/04/2026 Team is in the way ETA = 11h UTC
28.04.26: Suite investigations avec le BO TX sur le site d'Okolo, CDS activé pour investiguer sur le lien AOF CTR_799_Z_Pont-Emana-MTN&lt;&gt;Okolo, update ASAP
28/042026 FME sur site travaux en cours avec le BO TX 
28.04.2026: FME Sur site intervention retardee par la pluie. Update sera partage ASAP ||(04/28/2026 ocm ran 19h): 28/042026 FME sur site traavaux en cours avec le BO TX 
28.04.2026: FME Sur site intervention retardee par la pluie. Update sera partage ASAP
27.04.26: Besoin d'un FME sur CTR_213_Z_Okolo pour investigations conjointes avec le BO TX; CM-20260427-00004269; FME Totat activé pour investigations, update ASAP..;..;(04/28/2026 ocm ran 14h): 28/042026 FME sur site traavaux en cours avec le BO TX 
28.04.2026: FME Sur site intervention retardee par la pluie. Update sera partage ASAP
27.04.26: Besoin d'un FME sur CTR_213_Z_Okolo pour investigations conjointes avec le BO TX; CM-20260427-00004269; FME Totat activé pour investigations, update ASAP..;..;(04/28/2026 com ran 10h): 28.04.2026: FME Sur site intervention retardee par la pluie. Update sera partage ASAP
27.04.26: Besoin d'un FME sur CTR_213_Z_Okolo pour investigations conjointes avec le BO TX; CM-20260427-00004269; FME Totat activé pour investigations, update ASAP..;..;(04/28/2026 ocm ran 00h): 27.04.26: Besoin d'un FME sur CTR_213_Z_Okolo pour investigations conjointes avec le BO TX; CM-20260427-00004269; FME Totat activé pour investigations, update ASAP</t>
        </is>
      </c>
      <c r="U586" t="inlineStr">
        <is>
          <t>04/28/2026 top offenders) : 29/04/2026 Team is in the way ETA = 11h UTC 28.04.26 : Suite investigations avec le BO TX sur le site d'Okolo, CDS activé pour investiguer sur le lien AOF CTR_799_Z_Pont-Emana-MTN&lt;&gt;Okolo, update ASAP 28/042026 FME sur site travaux en cours avec le BO TX 28.04.2026 : FME Sur site intervention retardee par la pluie. Update sera partage ASAP || : 28/042026 FME sur site traavaux en cours avec le BO TX 28.04.2026 : FME Sur site intervention retardee par la pluie. Update sera partage ASAP 27.04.26 : Besoin d'un FME sur CTR_213_Z_Okolo pour investigations conjointes avec le BO TX; ; FME Totat activé pour investigations, update ASAP.;.; : 28/042026 FME sur site traavaux en cours avec le BO TX 28.04.2026 : FME Sur site intervention retardee par la pluie. Update sera partage ASAP 27.04.26 : Besoin d'un FME sur CTR_213_Z_Okolo pour investigations conjointes avec le BO TX; ; FME Totat activé pour investigations, update ASAP.;.;(04/28/2026 com ran 10h) : 28.04.2026 : FME Sur site intervention retardee par la pluie. Update sera partage ASAP 27.04.26 : Besoin d'un FME sur CTR_213_Z_Okolo pour investigations conjointes avec le BO TX; ; FME Totat activé pour investigations, update ASAP.;.; : 27.04.26 : Besoin d'un FME sur CTR_213_Z_Okolo pour investigations conjointes avec le BO TX; ; FME Totat activé pour investigations, update ASAP</t>
        </is>
      </c>
    </row>
    <row r="587">
      <c r="A587" s="96" t="n">
        <v>46140</v>
      </c>
      <c r="B587" t="inlineStr">
        <is>
          <t>KOUSSERI-Douane-MTN</t>
        </is>
      </c>
      <c r="C587" t="inlineStr">
        <is>
          <t>EXN_246</t>
        </is>
      </c>
      <c r="D587" t="inlineStr"/>
      <c r="E587" t="inlineStr">
        <is>
          <t>MTN sharing</t>
        </is>
      </c>
      <c r="F587" t="inlineStr"/>
      <c r="G587" t="inlineStr">
        <is>
          <t>EXTREME-NORD</t>
        </is>
      </c>
      <c r="H587" t="inlineStr">
        <is>
          <t>Kousseri</t>
        </is>
      </c>
      <c r="I587" t="inlineStr"/>
      <c r="J587" t="n">
        <v>18.70124076272236</v>
      </c>
      <c r="K587" t="n">
        <v>29.69807742654984</v>
      </c>
      <c r="L587" t="n">
        <v>0.5472052041403734</v>
      </c>
      <c r="M587" t="n">
        <v>12.9258838351411</v>
      </c>
      <c r="N587" t="inlineStr"/>
      <c r="O587" t="inlineStr"/>
      <c r="P587" t="inlineStr">
        <is>
          <t>Partners</t>
        </is>
      </c>
      <c r="Q587" t="inlineStr">
        <is>
          <t>POWER ISSUE</t>
        </is>
      </c>
      <c r="R587" t="inlineStr">
        <is>
          <t>Sharing</t>
        </is>
      </c>
      <c r="S587" t="inlineStr">
        <is>
          <t>PASSIVE</t>
        </is>
      </c>
      <c r="T587" t="inlineStr">
        <is>
          <t>(04/28/2026 ocm ran 19h): 27.04.26: Power alarms; MTN is activated to check, escalated to L2..;..;(04/28/2026 ocm ran 14h): 27.04.26: Power alarms; MTN is activated to check, escalated to L2..;..;(04/28/2026 com ran 10h): 27.04.26: Power alarms; MTN is activated to check, escalated to L2..;..;(04/28/2026 ocm ran 00h): 27.04.26: Power alarms; MTN is activated to check, escalated to L2</t>
        </is>
      </c>
      <c r="U587" t="inlineStr">
        <is>
          <t>: 27.04.26 : Power alarms; MTN is activated to check, escalated to L2.;.; : 27.04.26 : Power alarms; MTN is activated to check, escalated to L2.;.;(04/28/2026 com ran 10h) : 27.04.26 : Power alarms; MTN is activated to check, escalated to L2.;.; : 27.04.26 : Power alarms; MTN is activated to check, escalated to L2</t>
        </is>
      </c>
    </row>
    <row r="588">
      <c r="A588" s="96" t="n">
        <v>46140</v>
      </c>
      <c r="B588" t="inlineStr">
        <is>
          <t>Dumbu</t>
        </is>
      </c>
      <c r="C588" t="inlineStr">
        <is>
          <t>NRO_046</t>
        </is>
      </c>
      <c r="D588" t="inlineStr"/>
      <c r="E588" t="inlineStr">
        <is>
          <t>IHS</t>
        </is>
      </c>
      <c r="F588" t="inlineStr">
        <is>
          <t>Hybrid-Gen</t>
        </is>
      </c>
      <c r="G588" t="inlineStr">
        <is>
          <t>NORD-OUEST</t>
        </is>
      </c>
      <c r="H588" t="inlineStr">
        <is>
          <t>Dumbu</t>
        </is>
      </c>
      <c r="I588" t="inlineStr"/>
      <c r="J588" t="n">
        <v>54.00772454228266</v>
      </c>
      <c r="K588" t="n">
        <v>13.77031120903332</v>
      </c>
      <c r="L588" t="n">
        <v>0</v>
      </c>
      <c r="M588" t="n">
        <v>12.33515037111231</v>
      </c>
      <c r="N588" t="inlineStr"/>
      <c r="O588" t="inlineStr"/>
      <c r="P588" t="inlineStr">
        <is>
          <t>ACCESS-ISSUE</t>
        </is>
      </c>
      <c r="Q588" t="inlineStr">
        <is>
          <t>ACCESS-ISSUE</t>
        </is>
      </c>
      <c r="R588" t="inlineStr">
        <is>
          <t>ACCESS-ISSUE</t>
        </is>
      </c>
      <c r="S588" t="inlineStr">
        <is>
          <t>ACCESS-ISSUE</t>
        </is>
      </c>
      <c r="T588" t="inlineStr">
        <is>
          <t>(04/28/2026 cell nokia): 28/04/2026 : En attente d'analyse BO RAN ..;..;(04/28/2026 ocm ran 19h): 28/04/2026 |access negotiation ongoing
27/04/2026 |access negotiation ongoing
26/04/2026 Need FME on site to check ODU 4.2 and entenna chain / FME Donald manage with L0..;..;(04/28/2026 ocm ran 14h): 28/04/2026 |access negotiation ongoing
27/04/2026 |access negotiation ongoing
26/04/2026 Need FME on site to check ODU 4.2 and entenna chain / FME Donald manage with L0..;..;(04/28/2026 com ran 10h): Power status check ongoing..;..;(04/28/2026 ocm ran 00h): 27/04/2026 Road blocked No traffic if we can Go as planned on 29.04.2026
26/04/2026 Need FME on site to check ODU 4.2 and entenna chain / FME Donald manage with L0..;..;(04/28/2026 ticket): INC-20260428-00019164…2026-04-29 03:31:58…No Power Issue on Site U = 54V and site is on Gen. TX FME Donald 673152841 / Huawei is informed.…Others Transmission equipement fault</t>
        </is>
      </c>
      <c r="U588" t="inlineStr">
        <is>
          <t>04/28/2026 cell nokia) : 28/04/2026 : En attente d'analyse BO RAN .;.; : 28/04/2026 |access negotiation ongoing 27/04/2026 |access negotiation ongoing 26/04/2026 Need FME on site to check ODU 4.2 and entenna chain / FME Donald manage with L0.;.; : 28/04/2026 |access negotiation ongoing 27/04/2026 |access negotiation ongoing 26/04/2026 Need FME on site to check ODU 4.2 and entenna chain / FME Donald manage with L0.;.;(04/28/2026 com ran 10h) : ; : 27/04/2026 Road blocked No traffic if we can Go as planned on 29.04.2026 26/04/2026 Need FME on site to check ODU 4.2 and entenna chain / FME Donald manage with L0.;.; : …2026-04-29 03 : 31 : 58…No Power Issue on Site U = 54V and site is on Gen. TX FME Donald 673152841 / Huawei is informed.…</t>
        </is>
      </c>
    </row>
    <row r="589">
      <c r="A589" s="96" t="n">
        <v>46140</v>
      </c>
      <c r="B589" t="inlineStr">
        <is>
          <t>Ekekam-MTN-IHS</t>
        </is>
      </c>
      <c r="C589" t="inlineStr">
        <is>
          <t>CTR_694</t>
        </is>
      </c>
      <c r="D589" t="inlineStr"/>
      <c r="E589" t="inlineStr">
        <is>
          <t>IHS</t>
        </is>
      </c>
      <c r="F589" t="inlineStr">
        <is>
          <t>Gen-Lithium</t>
        </is>
      </c>
      <c r="G589" t="inlineStr">
        <is>
          <t>CENTRE</t>
        </is>
      </c>
      <c r="H589" t="inlineStr">
        <is>
          <t>Yaounde</t>
        </is>
      </c>
      <c r="I589" t="inlineStr"/>
      <c r="J589" t="n">
        <v>0</v>
      </c>
      <c r="K589" t="n">
        <v>36.72082989075553</v>
      </c>
      <c r="L589" t="n">
        <v>0</v>
      </c>
      <c r="M589" t="n">
        <v>12.32760613298405</v>
      </c>
      <c r="N589" t="inlineStr"/>
      <c r="O589" t="inlineStr"/>
      <c r="P589" t="inlineStr">
        <is>
          <t>PDH</t>
        </is>
      </c>
      <c r="Q589" t="inlineStr">
        <is>
          <t>TX ISSUE</t>
        </is>
      </c>
      <c r="R589" t="inlineStr">
        <is>
          <t>ODU HS</t>
        </is>
      </c>
      <c r="S589" t="inlineStr">
        <is>
          <t>ACTIVE</t>
        </is>
      </c>
      <c r="T589" t="inlineStr">
        <is>
          <t>(04/28/2026 ocm ran 19h): 28.04.2026: FME Sur site intervention retardee par la pluie. Update ASAP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CM-20260421-00002876; FME Brice activé pour investigations, ETA=18H UTC..;..;(04/28/2026 ocm ran 14h): 28.04.2026: FME Sur site intervention retardee par la pluie. Update ASAP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CM-20260421-00002876; FME Brice activé pour investigations, ETA=18H UTC..;..;(04/28/2026 com ran 10h): 28.04.2026: FME Sur site intervention retardee par la pluie. Update ASAP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CM-20260421-00002876; FME Brice activé pour investigations, ETA=18H UTC..;..;(04/28/2026 ocm ran 00h):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CM-20260421-00002876; FME Brice activé pour investigations, ETA=18H UTC</t>
        </is>
      </c>
      <c r="U589" t="inlineStr">
        <is>
          <t>: 28.04.2026 : FME Sur site intervention retardee par la pluie. Update ASAP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 FME Brice activé pour investigations, ETA=18H UTC.;.; : 28.04.2026 : FME Sur site intervention retardee par la pluie. Update ASAP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 FME Brice activé pour investigations, ETA=18H UTC.;.;(04/28/2026 com ran 10h) : 28.04.2026 : FME Sur site intervention retardee par la pluie. Update ASAP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 FME Brice activé pour investigations, ETA=18H UTC.;.; : 27/04/2026 ODU en cours de dementelement 22.04.26; ODU MPT 7-8G 3DB20859AC faulty and not available, order done to customer 21/04/2026 Après avoir resertir le connecteur RJ45 côté IDU , L'ODU ne s'allume pas. Les check vont continuer demain en aérien il fait déjà nuit. 21.04.26; Besoin d'un FME sur CTR_006_Mbankolo pour vérifier la chaine antennaire de l'ODU 6.2 sur le 10G_MPR_2; ; FME Brice activé pour investigations, ETA=18H UTC</t>
        </is>
      </c>
    </row>
    <row r="590">
      <c r="A590" s="96" t="n">
        <v>46140</v>
      </c>
      <c r="B590" t="inlineStr">
        <is>
          <t>Balissa-MTN-IHS</t>
        </is>
      </c>
      <c r="C590" t="inlineStr">
        <is>
          <t>CTR_170</t>
        </is>
      </c>
      <c r="D590" t="inlineStr"/>
      <c r="E590" t="inlineStr">
        <is>
          <t>IHS</t>
        </is>
      </c>
      <c r="F590" t="inlineStr">
        <is>
          <t>Solar-Gen</t>
        </is>
      </c>
      <c r="G590" t="inlineStr">
        <is>
          <t>CENTRE</t>
        </is>
      </c>
      <c r="H590" t="inlineStr">
        <is>
          <t>Balissa</t>
        </is>
      </c>
      <c r="I590" t="inlineStr"/>
      <c r="J590" t="n">
        <v>21.57621228652846</v>
      </c>
      <c r="K590" t="n">
        <v>27.54062241806665</v>
      </c>
      <c r="L590" t="n">
        <v>0</v>
      </c>
      <c r="M590" t="n">
        <v>12.32678571938145</v>
      </c>
      <c r="N590" t="inlineStr"/>
      <c r="O590" t="inlineStr"/>
      <c r="P590" t="inlineStr">
        <is>
          <t>IHS</t>
        </is>
      </c>
      <c r="Q590" t="inlineStr">
        <is>
          <t>POWER ISSUE</t>
        </is>
      </c>
      <c r="R590" t="inlineStr">
        <is>
          <t>Defaut GE &amp; Power Cabinet</t>
        </is>
      </c>
      <c r="S590" t="inlineStr">
        <is>
          <t>PASSIVE</t>
        </is>
      </c>
      <c r="T590" t="inlineStr">
        <is>
          <t>(04/28/2026 retour IHS ): Power issue NUR to be checked   ||  (04/28/2026 ocm ran 19h): 
02.04.2026: ODU3DB20859AC (MPT-7-8Ghz) Recu faulty nouvelle commande en cours chez OCM car spare pas dispo chez Huawei
02.04.2026: FME en route ETA=30 MIN
01/04/2026 FME  a la Gare pour la recuperation du Materiel ETA=15H UTC 
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0..;..;(04/28/2026 ocm ran 14h): 
02.04.2026: ODU3DB20859AC (MPT-7-8Ghz) Recu faulty nouvelle commande en cours chez OCM car spare pas dispo chez Huawei
02.04.2026: FME en route ETA=30 MIN
01/04/2026 FME  a la Gare pour la recuperation du Materiel ETA=15H UTC 
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0..;..;(04/28/2026 com ran 10h): 21.04.26; Dementellement des ODUs en cours pour MAD à Huawei, update ASAP
02.04.2026: ODU3DB20859AC (MPT-7-8Ghz) Recu faulty nouvelle commande en cours chez OCM car spare pas dispo chez Huawei
02.04.2026: FME en route ETA=30 MIN
01/04/2026 FME  a la Gare pour la recuperation du Materiel ETA=15H UTC 
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0..;..;(04/28/2026 ocm ran 00h): 21.04.26; Dementellement des ODUs en cours pour MAD à Huawei, update ASAP
02.04.2026: ODU3DB20859AC (MPT-7-8Ghz) Recu faulty nouvelle commande en cours chez OCM car spare pas dispo chez Huawei
02.04.2026: FME en route ETA=30 MIN
01/04/2026 FME  a la Gare pour la recuperation du Materiel ETA=15H UTC 
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c r="U590" t="inlineStr">
        <is>
          <t>04/28/2026 retour IHS ) : Power issue NUR to be checked || : 02.04.2026 : ODU3DB20859AC (MPT-7-8Ghz) Recu faulty nouvelle commande en cours chez OCM car spare pas dispo chez Huawei 02.04.2026 : FME en route ETA=30 MIN 01/04/2026 FME a la Gare pour la recuperation du Materiel ETA=15H UTC 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 : 02.04.2026 : ODU3DB20859AC (MPT-7-8Ghz) Recu faulty nouvelle commande en cours chez OCM car spare pas dispo chez Huawei 02.04.2026 : FME en route ETA=30 MIN 01/04/2026 FME a la Gare pour la recuperation du Materiel ETA=15H UTC 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0.;.;(04/28/2026 com ran 10h) : 21.04.26; Dementellement des ODUs en cours pour MAD à Huawei, update ASAP 02.04.2026 : ODU3DB20859AC (MPT-7-8Ghz) Recu faulty nouvelle commande en cours chez OCM car spare pas dispo chez Huawei 02.04.2026 : FME en route ETA=30 MIN 01/04/2026 FME a la Gare pour la recuperation du Materiel ETA=15H UTC 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 : 21.04.26; Dementellement des ODUs en cours pour MAD à Huawei, update ASAP 02.04.2026 : ODU3DB20859AC (MPT-7-8Ghz) Recu faulty nouvelle commande en cours chez OCM car spare pas dispo chez Huawei 02.04.2026 : FME en route ETA=30 MIN 01/04/2026 FME a la Gare pour la recuperation du Materiel ETA=15H UTC 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row>
    <row r="591">
      <c r="A591" s="96" t="n">
        <v>46140</v>
      </c>
      <c r="B591" t="inlineStr">
        <is>
          <t>Mini-Ferme</t>
        </is>
      </c>
      <c r="C591" t="inlineStr">
        <is>
          <t>CTR_050</t>
        </is>
      </c>
      <c r="D591" t="inlineStr"/>
      <c r="E591" t="inlineStr">
        <is>
          <t>IHS</t>
        </is>
      </c>
      <c r="F591" t="inlineStr">
        <is>
          <t>GridOnly</t>
        </is>
      </c>
      <c r="G591" t="inlineStr">
        <is>
          <t>CENTRE</t>
        </is>
      </c>
      <c r="H591" t="inlineStr">
        <is>
          <t>Yaounde</t>
        </is>
      </c>
      <c r="I591" t="inlineStr"/>
      <c r="J591" t="n">
        <v>3.651447389981975</v>
      </c>
      <c r="K591" t="n">
        <v>3.862487292212804</v>
      </c>
      <c r="L591" t="n">
        <v>20.09132307651899</v>
      </c>
      <c r="M591" t="n">
        <v>12.29550299201274</v>
      </c>
      <c r="N591" t="inlineStr"/>
      <c r="O591" t="inlineStr"/>
      <c r="P591" t="inlineStr">
        <is>
          <t>IHS GRID ONLY</t>
        </is>
      </c>
      <c r="Q591" t="inlineStr">
        <is>
          <t>POWER ISSUE</t>
        </is>
      </c>
      <c r="R591" t="inlineStr">
        <is>
          <t>Coupure ENEO &amp; Baisse de tension</t>
        </is>
      </c>
      <c r="S591" t="inlineStr">
        <is>
          <t>PASSIVE</t>
        </is>
      </c>
      <c r="T591" t="inlineStr">
        <is>
          <t>(04/28/2026 retour IHS ): Power issue NUR to be checked   ||  (04/28/2026 cell zte): 28/04/2026 : Power issue || Mail sent to HIS || Feedback HIS 4/28/2026 The fme will reach the site after raining..;..;(04/28/2026 com ran 10h): Power status check ongoing..;..;(04/28/2026 ticket): INC-20260428-00006479</t>
        </is>
      </c>
      <c r="U591" t="inlineStr">
        <is>
          <t>04/28/2026 retour IHS ) : Power issue NUR to be checked || (04/28/2026 cell zte) : 28/04/2026 : Power issue || Mail sent to HIS || Feedback HIS 4/28/2026 The fme will reach the site after raining.;.;(04/28/2026 com ran 10h) : ; :</t>
        </is>
      </c>
    </row>
    <row r="592">
      <c r="A592" s="96" t="n">
        <v>46140</v>
      </c>
      <c r="B592" t="inlineStr">
        <is>
          <t>Mazera-IHS</t>
        </is>
      </c>
      <c r="C592" t="inlineStr">
        <is>
          <t>EXN_226</t>
        </is>
      </c>
      <c r="D592" t="inlineStr"/>
      <c r="E592" t="inlineStr">
        <is>
          <t>IHS</t>
        </is>
      </c>
      <c r="F592" t="inlineStr">
        <is>
          <t>Hybrid-Gen</t>
        </is>
      </c>
      <c r="G592" t="inlineStr">
        <is>
          <t>EXTREME-NORD</t>
        </is>
      </c>
      <c r="H592" t="inlineStr">
        <is>
          <t>Mazera</t>
        </is>
      </c>
      <c r="I592" t="inlineStr"/>
      <c r="J592" t="n">
        <v>20.55806345894832</v>
      </c>
      <c r="K592" t="n">
        <v>26.42118858827584</v>
      </c>
      <c r="L592" t="n">
        <v>0</v>
      </c>
      <c r="M592" t="n">
        <v>11.80558731270901</v>
      </c>
      <c r="N592" t="inlineStr"/>
      <c r="O592" t="inlineStr"/>
      <c r="P592" t="inlineStr">
        <is>
          <t>ACCESS-ISSUE</t>
        </is>
      </c>
      <c r="Q592" t="inlineStr">
        <is>
          <t>ACCESS-ISSUE</t>
        </is>
      </c>
      <c r="R592" t="inlineStr">
        <is>
          <t>ACCESS-ISSUE</t>
        </is>
      </c>
      <c r="S592" t="inlineStr">
        <is>
          <t>ACCESS-ISSUE</t>
        </is>
      </c>
      <c r="T592" t="inlineStr">
        <is>
          <t xml:space="preserve">(04/28/2026 cell nokia): 28/04/2026 : Need BO RAN analysis ..;..;(04/28/2026 ocm ran 14h): 28.04.2026: FME en intervention en ce moment sur PETTE, intervention sur Mazera programmée pour ce 30/04/2026(Pour Arriver sur site il faut deux jours. Route mauvaise et il faudra prendre la moto et pirogue)
27/04/2026 FME eric activé manage avec level 0 
Besoin d'un fme sur site pour verifier le status du MPR et la chaine antennaire de l ODU 3/1 ..;..;(04/28/2026 com ran 10h): 28.04.2026: FME en intervention en ce moment sur PETTE, intervention sur Mazera programmée pour ce 30/04/2026(Pour Arriver sur site il faut deux jours. Route mauvaise et il faudra prendre la moto et pirogue)
27/04/2026 FME eric activé manage avec level 0 
Besoin d'un fme sur site pour verifier le status du MPR et la chaine antennaire de l ODU 3/1 ..;..;(04/28/2026 ocm ran 00h): 27/04/2026 FME eric activé manage avec level 0 
Besoin d'un fme sur site pour verifier le status du MPR et la chaine antennaire de l ODU 3/1 </t>
        </is>
      </c>
      <c r="U592" t="inlineStr">
        <is>
          <t>04/28/2026 cell nokia) : 28/04/2026 : Need BO RAN analysis .;.; : 28.04.2026 : FME en intervention en ce moment sur PETTE, intervention sur Mazera programmée pour ce 30/04/2026(Pour Arriver sur site il faut deux jours. Route mauvaise et il faudra prendre la moto et pirogue) 27/04/2026 FME eric activé manage avec level 0 Besoin d'un fme sur site pour verifier le status du MPR et la chaine antennaire de l ODU 3/1 .;.;(04/28/2026 com ran 10h) : 28.04.2026 : FME en intervention en ce moment sur PETTE, intervention sur Mazera programmée pour ce 30/04/2026(Pour Arriver sur site il faut deux jours. Route mauvaise et il faudra prendre la moto et pirogue) 27/04/2026 FME eric activé manage avec level 0 Besoin d'un fme sur site pour verifier le status du MPR et la chaine antennaire de l ODU 3/1 .;.; : 27/04/2026 FME eric activé manage avec level 0 Besoin d'un fme sur site pour verifier le status du MPR et la chaine antennaire de l ODU 3/1</t>
        </is>
      </c>
    </row>
    <row r="593">
      <c r="A593" s="96" t="n">
        <v>46140</v>
      </c>
      <c r="B593" t="inlineStr">
        <is>
          <t>Garoua-Nigeriare-II</t>
        </is>
      </c>
      <c r="C593" t="inlineStr">
        <is>
          <t>NRD_140</t>
        </is>
      </c>
      <c r="D593" t="inlineStr"/>
      <c r="E593" t="inlineStr">
        <is>
          <t>CAMUSAT</t>
        </is>
      </c>
      <c r="F593" t="inlineStr">
        <is>
          <t>Medium Grid + GE</t>
        </is>
      </c>
      <c r="G593" t="inlineStr">
        <is>
          <t>NORD</t>
        </is>
      </c>
      <c r="H593" t="inlineStr">
        <is>
          <t>Garoua</t>
        </is>
      </c>
      <c r="I593" t="inlineStr"/>
      <c r="J593" t="n">
        <v>9.520790619042481</v>
      </c>
      <c r="K593" t="n">
        <v>12.14895269133082</v>
      </c>
      <c r="L593" t="n">
        <v>11.98464897880564</v>
      </c>
      <c r="M593" t="n">
        <v>11.68796888420896</v>
      </c>
      <c r="N593" t="inlineStr"/>
      <c r="O593" t="inlineStr"/>
      <c r="P593" t="inlineStr">
        <is>
          <t>AKTIVCO</t>
        </is>
      </c>
      <c r="Q593" t="inlineStr">
        <is>
          <t>POWER ISSUE</t>
        </is>
      </c>
      <c r="R593" t="inlineStr">
        <is>
          <t>AKTIVCO Defaut GE &amp; Power Cabinet</t>
        </is>
      </c>
      <c r="S593" t="inlineStr">
        <is>
          <t>PASSIVE</t>
        </is>
      </c>
      <c r="T593" t="inlineStr">
        <is>
          <t xml:space="preserve">(04/28/2026 ocm ran 14h): Power status check ongoing || power issue , la tension est a 44.3V et il ya une coupure sur la courbe power </t>
        </is>
      </c>
      <c r="U593" t="inlineStr">
        <is>
          <t>: Power status check ongoing || power issue , la tension est a 44.3V et il ya une coupure sur la courbe power</t>
        </is>
      </c>
    </row>
    <row r="594">
      <c r="A594" s="96" t="n">
        <v>46140</v>
      </c>
      <c r="B594" t="inlineStr">
        <is>
          <t>Ancienne-Mairie-Dla-V</t>
        </is>
      </c>
      <c r="C594" t="inlineStr">
        <is>
          <t>LIT_771</t>
        </is>
      </c>
      <c r="D594" t="inlineStr"/>
      <c r="E594" t="inlineStr">
        <is>
          <t>CAMUSAT</t>
        </is>
      </c>
      <c r="F594" t="inlineStr">
        <is>
          <t>Good Grid + GE</t>
        </is>
      </c>
      <c r="G594" t="inlineStr">
        <is>
          <t>LITTORAL</t>
        </is>
      </c>
      <c r="H594" t="inlineStr">
        <is>
          <t>Douala</t>
        </is>
      </c>
      <c r="I594" t="inlineStr"/>
      <c r="J594" t="n">
        <v>8.984988549572556</v>
      </c>
      <c r="K594" t="n">
        <v>7.648260350683924</v>
      </c>
      <c r="L594" t="n">
        <v>14.95922226818745</v>
      </c>
      <c r="M594" t="n">
        <v>11.65172800506801</v>
      </c>
      <c r="N594" t="inlineStr"/>
      <c r="O594" t="inlineStr"/>
      <c r="P594" t="inlineStr">
        <is>
          <t>AKTIVCO</t>
        </is>
      </c>
      <c r="Q594" t="inlineStr">
        <is>
          <t>POWER ISSUE</t>
        </is>
      </c>
      <c r="R594" t="inlineStr">
        <is>
          <t>AKTIVCO Defaut GE &amp; Power Cabinet</t>
        </is>
      </c>
      <c r="S594" t="inlineStr">
        <is>
          <t>PASSIVE</t>
        </is>
      </c>
      <c r="T594" t="inlineStr">
        <is>
          <t>(04/28/2026 ocm ran 19h): Power status check ongoing..;..;(04/28/2026 ticket): INC-20260428-00012644…2026-04-28 19:28:41…unknow / investigation ongoing by our FME</t>
        </is>
      </c>
      <c r="U594" t="inlineStr">
        <is>
          <t>: ; : …2026-04-28 19 : 28 : 41…unknow / investigation ongoing by our FME</t>
        </is>
      </c>
    </row>
    <row r="595">
      <c r="A595" s="96" t="n">
        <v>46140</v>
      </c>
      <c r="B595" t="inlineStr">
        <is>
          <t>Buea-Boduma-IHS</t>
        </is>
      </c>
      <c r="C595" t="inlineStr">
        <is>
          <t>SUO_186</t>
        </is>
      </c>
      <c r="D595" t="inlineStr"/>
      <c r="E595" t="inlineStr">
        <is>
          <t>IHS</t>
        </is>
      </c>
      <c r="F595" t="inlineStr">
        <is>
          <t>Grid-Gen</t>
        </is>
      </c>
      <c r="G595" t="inlineStr">
        <is>
          <t>SUD-OUEST</t>
        </is>
      </c>
      <c r="H595" t="inlineStr">
        <is>
          <t>Buea</t>
        </is>
      </c>
      <c r="I595" t="inlineStr"/>
      <c r="J595" t="n">
        <v>8.702100044362911</v>
      </c>
      <c r="K595" t="n">
        <v>11.1031103052929</v>
      </c>
      <c r="L595" t="n">
        <v>12.32442921025157</v>
      </c>
      <c r="M595" t="n">
        <v>11.39715009716551</v>
      </c>
      <c r="N595" t="inlineStr"/>
      <c r="O595" t="inlineStr"/>
      <c r="P595" t="inlineStr">
        <is>
          <t>IHS</t>
        </is>
      </c>
      <c r="Q595" t="inlineStr">
        <is>
          <t>POWER ISSUE</t>
        </is>
      </c>
      <c r="R595" t="inlineStr">
        <is>
          <t>Defaut GE &amp; Power Cabinet</t>
        </is>
      </c>
      <c r="S595" t="inlineStr">
        <is>
          <t>PASSIVE</t>
        </is>
      </c>
      <c r="T595" t="inlineStr">
        <is>
          <t>(04/28/2026 ocm ran 19h): Power status check ongoing || (groupe whatsapp ): @~FoSocTeam please check power
SUO_186_H_Buea_Boduma-HIS</t>
        </is>
      </c>
      <c r="U595" t="inlineStr">
        <is>
          <t>: Power status check ongoing || (groupe whatsapp ) : @~FoSocTeam please check power SUO_186_H_Buea_Boduma-HIS</t>
        </is>
      </c>
    </row>
    <row r="596">
      <c r="A596" s="96" t="n">
        <v>46140</v>
      </c>
      <c r="B596" t="inlineStr">
        <is>
          <t>Bobongo-II</t>
        </is>
      </c>
      <c r="C596" t="inlineStr">
        <is>
          <t>LIT_568</t>
        </is>
      </c>
      <c r="D596" t="inlineStr"/>
      <c r="E596" t="inlineStr">
        <is>
          <t>CAMUSAT</t>
        </is>
      </c>
      <c r="F596" t="inlineStr">
        <is>
          <t>Good Grid + GE</t>
        </is>
      </c>
      <c r="G596" t="inlineStr">
        <is>
          <t>LITTORAL</t>
        </is>
      </c>
      <c r="H596" t="inlineStr">
        <is>
          <t>Douala</t>
        </is>
      </c>
      <c r="I596" t="inlineStr"/>
      <c r="J596" t="n">
        <v>6.644570139363492</v>
      </c>
      <c r="K596" t="n">
        <v>5.70697585265427</v>
      </c>
      <c r="L596" t="n">
        <v>14.9552892307827</v>
      </c>
      <c r="M596" t="n">
        <v>10.66375384167587</v>
      </c>
      <c r="N596" t="inlineStr"/>
      <c r="O596" t="inlineStr"/>
      <c r="P596" t="inlineStr">
        <is>
          <t>AKTIVCO</t>
        </is>
      </c>
      <c r="Q596" t="inlineStr">
        <is>
          <t>POWER ISSUE</t>
        </is>
      </c>
      <c r="R596" t="inlineStr">
        <is>
          <t>AKTIVCO Defaut GE &amp; Power Cabinet</t>
        </is>
      </c>
      <c r="S596" t="inlineStr">
        <is>
          <t>PASSIVE</t>
        </is>
      </c>
      <c r="T596" t="inlineStr">
        <is>
          <t>(04/28/2026 ocm ran 19h): Power status check ongoing..;..;(04/28/2026 ticket): INC-20260428-00014666…2026-04-28 20:19:27…Our is trying to manage the point , by join the guard</t>
        </is>
      </c>
      <c r="U596" t="inlineStr">
        <is>
          <t>: ; : …2026-04-28 20 : 19 : 27…Our is trying to manage the point , by join the guard</t>
        </is>
      </c>
    </row>
    <row r="597">
      <c r="A597" s="96" t="n">
        <v>46140</v>
      </c>
      <c r="B597" t="inlineStr">
        <is>
          <t>Yao+C649unde</t>
        </is>
      </c>
      <c r="C597" t="inlineStr">
        <is>
          <t>CTR_375</t>
        </is>
      </c>
      <c r="D597" t="inlineStr"/>
      <c r="E597" t="inlineStr">
        <is>
          <t>IHS</t>
        </is>
      </c>
      <c r="F597" t="inlineStr">
        <is>
          <t>grid only</t>
        </is>
      </c>
      <c r="G597" t="inlineStr">
        <is>
          <t>CENTRE</t>
        </is>
      </c>
      <c r="H597" t="inlineStr">
        <is>
          <t>Yaounde</t>
        </is>
      </c>
      <c r="I597" t="inlineStr"/>
      <c r="J597" t="n">
        <v>5.161060353544437</v>
      </c>
      <c r="K597" t="n">
        <v>4.487517042885168</v>
      </c>
      <c r="L597" t="n">
        <v>15.69794929377697</v>
      </c>
      <c r="M597" t="n">
        <v>10.42981111938659</v>
      </c>
      <c r="N597" t="inlineStr"/>
      <c r="O597" t="inlineStr"/>
      <c r="P597" t="inlineStr">
        <is>
          <t>IHS GRID ONLY</t>
        </is>
      </c>
      <c r="Q597" t="inlineStr">
        <is>
          <t>POWER ISSUE</t>
        </is>
      </c>
      <c r="R597" t="inlineStr">
        <is>
          <t>Coupure ENEO &amp; Baisse de tension</t>
        </is>
      </c>
      <c r="S597" t="inlineStr">
        <is>
          <t>PASSIVE</t>
        </is>
      </c>
      <c r="T597" t="inlineStr">
        <is>
          <t>(04/28/2026 retour IHS ): Power issue NUR to be checked   ||  (04/28/2026 hourly IHS): Grid outage, No space to deploy MDG // awaiting grid return..;..;(04/28/2026 ocm ran 14h): Power status check ongoing..;..;(04/28/2026 ticket): INC-20260428-00008413</t>
        </is>
      </c>
      <c r="U597" t="inlineStr">
        <is>
          <t>04/28/2026 retour IHS ) : Power issue NUR to be checked || : Grid outage, No space to deploy MDG // awaiting grid return.;.; : ; :</t>
        </is>
      </c>
    </row>
    <row r="598">
      <c r="A598" s="96" t="n">
        <v>46140</v>
      </c>
      <c r="B598" t="inlineStr">
        <is>
          <t>PK19</t>
        </is>
      </c>
      <c r="C598" t="inlineStr">
        <is>
          <t>LIT_584</t>
        </is>
      </c>
      <c r="D598" t="inlineStr"/>
      <c r="E598" t="inlineStr">
        <is>
          <t>CAMUSAT</t>
        </is>
      </c>
      <c r="F598" t="inlineStr">
        <is>
          <t>HGB</t>
        </is>
      </c>
      <c r="G598" t="inlineStr">
        <is>
          <t>LITTORAL</t>
        </is>
      </c>
      <c r="H598" t="inlineStr">
        <is>
          <t>Douala</t>
        </is>
      </c>
      <c r="I598" t="inlineStr"/>
      <c r="J598" t="n">
        <v>4.501611652658378</v>
      </c>
      <c r="K598" t="n">
        <v>3.989883921376622</v>
      </c>
      <c r="L598" t="n">
        <v>15.57773515049238</v>
      </c>
      <c r="M598" t="n">
        <v>10.10589042698604</v>
      </c>
      <c r="N598" t="inlineStr"/>
      <c r="O598" t="inlineStr"/>
      <c r="P598" t="inlineStr">
        <is>
          <t>AKTIVCO</t>
        </is>
      </c>
      <c r="Q598" t="inlineStr">
        <is>
          <t>POWER ISSUE</t>
        </is>
      </c>
      <c r="R598" t="inlineStr">
        <is>
          <t>AKTIVCO Defaut GE &amp; Power Cabinet</t>
        </is>
      </c>
      <c r="S598" t="inlineStr">
        <is>
          <t>PASSIVE</t>
        </is>
      </c>
      <c r="T598" t="inlineStr">
        <is>
          <t xml:space="preserve">(04/28/2026 ocm ran 19h): Power status check ongoing  || Presence l'alarm power et il ya une coupure sur la courbe power </t>
        </is>
      </c>
      <c r="U598" t="inlineStr">
        <is>
          <t>: Power status check ongoing || Presence l'alarm power et il ya une coupure sur la courbe power</t>
        </is>
      </c>
    </row>
    <row r="599">
      <c r="A599" s="96" t="n">
        <v>46140</v>
      </c>
      <c r="B599" t="inlineStr">
        <is>
          <t>Pain-Magique</t>
        </is>
      </c>
      <c r="C599" t="inlineStr">
        <is>
          <t>LIT_381</t>
        </is>
      </c>
      <c r="D599" t="inlineStr"/>
      <c r="E599" t="inlineStr">
        <is>
          <t>IHS</t>
        </is>
      </c>
      <c r="F599" t="inlineStr">
        <is>
          <t>GridOnly</t>
        </is>
      </c>
      <c r="G599" t="inlineStr">
        <is>
          <t>LITTORAL</t>
        </is>
      </c>
      <c r="H599" t="inlineStr">
        <is>
          <t>Douala</t>
        </is>
      </c>
      <c r="I599" t="inlineStr"/>
      <c r="J599" t="n">
        <v>5.508894564144375</v>
      </c>
      <c r="K599" t="n">
        <v>4.752457405537365</v>
      </c>
      <c r="L599" t="n">
        <v>14.77057327406007</v>
      </c>
      <c r="M599" t="n">
        <v>10.08480936441488</v>
      </c>
      <c r="N599" t="inlineStr"/>
      <c r="O599" t="inlineStr"/>
      <c r="P599" t="inlineStr">
        <is>
          <t>IHS GRID ONLY</t>
        </is>
      </c>
      <c r="Q599" t="inlineStr">
        <is>
          <t>POWER ISSUE</t>
        </is>
      </c>
      <c r="R599" t="inlineStr">
        <is>
          <t>Coupure ENEO &amp; Baisse de tension</t>
        </is>
      </c>
      <c r="S599" t="inlineStr">
        <is>
          <t>PASSIVE</t>
        </is>
      </c>
      <c r="T599" t="inlineStr">
        <is>
          <t>(04/28/2026 retour IHS ): Power issue NUR to be checked   ||  (04/28/2026 hourly IHS): Grid only no space // awaiting grid return..;..;(04/28/2026 cell zte): 28/04/2026 : Power issue || Mail sent to IHS..;..;(04/28/2026 ocm ran 14h): Power status check ongoing..;..;(04/28/2026 ticket): INC-20260428-00008788</t>
        </is>
      </c>
      <c r="U599" t="inlineStr">
        <is>
          <t>04/28/2026 retour IHS ) : Power issue NUR to be checked || : Grid only no space // awaiting grid return.;.;(04/28/2026 cell zte) : 28/04/2026 : Power issue || Mail sent to IHS.;.; : ; :</t>
        </is>
      </c>
    </row>
    <row r="600">
      <c r="A600" s="96" t="n">
        <v>46140</v>
      </c>
      <c r="B600" t="inlineStr">
        <is>
          <t>White-Star-Hotel</t>
        </is>
      </c>
      <c r="C600" t="inlineStr">
        <is>
          <t>SUO_236</t>
        </is>
      </c>
      <c r="D600" t="inlineStr"/>
      <c r="E600" t="inlineStr">
        <is>
          <t>CAMUSAT</t>
        </is>
      </c>
      <c r="F600" t="inlineStr">
        <is>
          <t>Medium Grid + GE</t>
        </is>
      </c>
      <c r="G600" t="inlineStr">
        <is>
          <t>SUD-OUEST</t>
        </is>
      </c>
      <c r="H600" t="inlineStr">
        <is>
          <t>Limbe</t>
        </is>
      </c>
      <c r="I600" t="inlineStr"/>
      <c r="J600" t="n">
        <v>21.52388103545436</v>
      </c>
      <c r="K600" t="n">
        <v>18.32598916735518</v>
      </c>
      <c r="L600" t="n">
        <v>1.12108666198259</v>
      </c>
      <c r="M600" t="n">
        <v>9.810488024815013</v>
      </c>
      <c r="N600" t="inlineStr"/>
      <c r="O600" t="inlineStr"/>
      <c r="P600" t="inlineStr">
        <is>
          <t>AKTIVCO GRID ONLY</t>
        </is>
      </c>
      <c r="Q600" t="inlineStr">
        <is>
          <t>POWER ISSUE</t>
        </is>
      </c>
      <c r="R600" t="inlineStr">
        <is>
          <t>AKTIVCO Coupure ENEO &amp; Baisse de tension</t>
        </is>
      </c>
      <c r="S600" t="inlineStr">
        <is>
          <t>PASSIVE</t>
        </is>
      </c>
      <c r="T600" t="inlineStr">
        <is>
          <t>(04/28/2026 ocm ran 14h): 28.04.26 Technicien sur site travaux sur le GE en cours 
27.04.26: Camusat: innvestigation ongoing / Our FME is trying to reach the level 0..;..;(04/28/2026 com ran 10h): 27.04.26: Camusat: innvestigation ongoing / Our FME is trying to reach the level 0..;..;(04/28/2026 ocm ran 00h): 27.04.26: Camusat: innvestigation ongoing / Our FME is trying to reach the level 0</t>
        </is>
      </c>
      <c r="U600" t="inlineStr">
        <is>
          <t>: 28.04.26 Technicien sur site travaux sur le GE en cours 27.04.26 : Camusat : innvestigation ongoing / Our FME is trying to reach the level 0.;.;(04/28/2026 com ran 10h) : 27.04.26 : Camusat : innvestigation ongoing / Our FME is trying to reach the level 0.;.; : 27.04.26 : Camusat : innvestigation ongoing / Our FME is trying to reach the level 0</t>
        </is>
      </c>
    </row>
    <row r="601">
      <c r="A601" s="96" t="n">
        <v>46140</v>
      </c>
      <c r="B601" t="inlineStr">
        <is>
          <t>Mimboman-Chapelle</t>
        </is>
      </c>
      <c r="C601" t="inlineStr">
        <is>
          <t>CTR_772</t>
        </is>
      </c>
      <c r="D601" t="inlineStr"/>
      <c r="E601" t="inlineStr">
        <is>
          <t>CAMUSAT</t>
        </is>
      </c>
      <c r="F601" t="inlineStr">
        <is>
          <t>Good Grid no GE - 8h</t>
        </is>
      </c>
      <c r="G601" t="inlineStr">
        <is>
          <t>CENTRE</t>
        </is>
      </c>
      <c r="H601" t="inlineStr">
        <is>
          <t>Yaounde</t>
        </is>
      </c>
      <c r="I601" t="inlineStr"/>
      <c r="J601" t="n">
        <v>10.6120033651867</v>
      </c>
      <c r="K601" t="n">
        <v>9.77617719160453</v>
      </c>
      <c r="L601" t="n">
        <v>9.515590697073765</v>
      </c>
      <c r="M601" t="n">
        <v>9.759640216532119</v>
      </c>
      <c r="N601" t="inlineStr"/>
      <c r="O601" t="inlineStr"/>
      <c r="P601" t="inlineStr">
        <is>
          <t>AKTIVCO GRID ONLY</t>
        </is>
      </c>
      <c r="Q601" t="inlineStr">
        <is>
          <t>POWER ISSUE</t>
        </is>
      </c>
      <c r="R601" t="inlineStr">
        <is>
          <t>AKTIVCO Coupure ENEO &amp; Baisse de tension</t>
        </is>
      </c>
      <c r="S601" t="inlineStr">
        <is>
          <t>PASSIVE</t>
        </is>
      </c>
      <c r="T601" t="inlineStr">
        <is>
          <t>(04/28/2026 cell zte): 28/04/2026 : Power issue || Mail sent to Camusat..;..;(04/28/2026 com ran 10h): Power status check ongoing..;..;(04/28/2026 ticket): INC-20260428-00006340…2026-04-28 10:26:10…GRID OUTAGE GRID ONLY SITE / AWATING GRID RETURN…GRID OUTAGE GRID ONLY SITE / AWATING GRID RETURN…Coupure Secteur…GRID OUTAGE GRID ONLY SITE / AWATING GRID RETURN</t>
        </is>
      </c>
      <c r="U601" t="inlineStr">
        <is>
          <t>04/28/2026 cell zte) : 28/04/2026 : Power issue || Mail sent to Camusat.;.;(04/28/2026 com ran 10h) : ; : …2026-04-28 10 : 26 : 10…GRID OUTAGE GRID ONLY SITE / AWATING GRID RETURN…GRID OUTAGE GRID ONLY SITE / AWATING GRID RETURN…Coupure Secteur…GRID OUTAGE GRID ONLY SITE / AWATING GRID RETURN</t>
        </is>
      </c>
    </row>
    <row r="602">
      <c r="A602" s="96" t="n">
        <v>46140</v>
      </c>
      <c r="B602" t="inlineStr">
        <is>
          <t>Mbankolo-Camtel-II</t>
        </is>
      </c>
      <c r="C602" t="inlineStr">
        <is>
          <t>CTR_680</t>
        </is>
      </c>
      <c r="D602" t="inlineStr"/>
      <c r="E602" t="inlineStr">
        <is>
          <t>CAMUSAT</t>
        </is>
      </c>
      <c r="F602" t="inlineStr">
        <is>
          <t>Medium Grid + GE</t>
        </is>
      </c>
      <c r="G602" t="inlineStr">
        <is>
          <t>CENTRE</t>
        </is>
      </c>
      <c r="H602" t="inlineStr">
        <is>
          <t>Yaounde</t>
        </is>
      </c>
      <c r="I602" t="inlineStr"/>
      <c r="J602" t="n">
        <v>7.790112465978442</v>
      </c>
      <c r="K602" t="n">
        <v>7.025090017034385</v>
      </c>
      <c r="L602" t="n">
        <v>12.00431416582944</v>
      </c>
      <c r="M602" t="n">
        <v>9.730943575519429</v>
      </c>
      <c r="N602" t="inlineStr"/>
      <c r="O602" t="inlineStr"/>
      <c r="P602" t="inlineStr">
        <is>
          <t>AKTIVCO</t>
        </is>
      </c>
      <c r="Q602" t="inlineStr">
        <is>
          <t>POWER ISSUE</t>
        </is>
      </c>
      <c r="R602" t="inlineStr">
        <is>
          <t>AKTIVCO Defaut GE &amp; Power Cabinet</t>
        </is>
      </c>
      <c r="S602" t="inlineStr">
        <is>
          <t>PASSIVE</t>
        </is>
      </c>
      <c r="T602" t="inlineStr">
        <is>
          <t>(04/28/2026 com ran 10h): Power status check ongoing..;..;(04/28/2026 ticket): INC-20260428-00006433…2026-04-28 10:23:26…grid outage and gen failed to start because the gen was in manual mode / ok after gen put in AUTO…grid outage and gen failed to start because the gen was in manual mode / ok after gen put in AUTO…Others…grid outage and gen failed to start because the gen was in manual mode / ok after gen put in AUTO</t>
        </is>
      </c>
      <c r="U602" t="inlineStr">
        <is>
          <t>04/28/2026 com ran 10h) : ; : …2026-04-28 10 : 23 : 26…grid outage and gen failed to start because the gen was in manual mode / ok after gen put in AUTO…grid outage and gen failed to start because the gen was in manual mode / ok after gen put in AUTO…Others…grid outage and gen failed to start because the gen was in manual mode / ok after gen put in AUTO</t>
        </is>
      </c>
    </row>
    <row r="603">
      <c r="A603" s="96" t="n">
        <v>46140</v>
      </c>
      <c r="B603" t="inlineStr">
        <is>
          <t>Danfili-MTN-IHS</t>
        </is>
      </c>
      <c r="C603" t="inlineStr">
        <is>
          <t>ADM_122</t>
        </is>
      </c>
      <c r="D603" t="inlineStr"/>
      <c r="E603" t="inlineStr">
        <is>
          <t>IHS</t>
        </is>
      </c>
      <c r="F603" t="inlineStr">
        <is>
          <t>Gen-Solar AER</t>
        </is>
      </c>
      <c r="G603" t="inlineStr">
        <is>
          <t>ADAMAOUA</t>
        </is>
      </c>
      <c r="H603" t="inlineStr">
        <is>
          <t>Danfili</t>
        </is>
      </c>
      <c r="I603" t="inlineStr"/>
      <c r="J603" t="n">
        <v>17.22197742687113</v>
      </c>
      <c r="K603" t="n">
        <v>21.33292771476368</v>
      </c>
      <c r="L603" t="n">
        <v>0</v>
      </c>
      <c r="M603" t="n">
        <v>9.621006672450209</v>
      </c>
      <c r="N603" t="inlineStr"/>
      <c r="O603" t="inlineStr"/>
      <c r="P603" t="inlineStr">
        <is>
          <t>BSS</t>
        </is>
      </c>
      <c r="Q603" t="inlineStr">
        <is>
          <t>RAN ISSUE</t>
        </is>
      </c>
      <c r="R603" t="inlineStr">
        <is>
          <t>BSS Hardware issue</t>
        </is>
      </c>
      <c r="S603" t="inlineStr">
        <is>
          <t>ACTIVE</t>
        </is>
      </c>
      <c r="T603" t="inlineStr">
        <is>
          <t xml:space="preserve">(04/28/2026 ocm ran 19h): 28/08/2026 fme wily activé ETA=17H28 UTC 
Bo tx: activer le FME sur le site de Danfili-MTN-IHS-ADM_122 pour vérifier le statut du MPR et de la radio et des connectiques...;..;(04/28/2026 ocm ran 14h): 28.04.2026: FME Willy activated is managing ETA=13H
27/04/2026 BTS 4G down fme manage avec le level 0..;..;(04/28/2026 com ran 10h): 28.04.2026: FME Willy activated is managing ETA=13H
27/04/2026 BTS 4G down fme manage avec le level 0..;..;(04/28/2026 ocm ran 00h): 27/04/2026 BTS 4G down fme manage avec le level 0..;..;(04/28/2026 ticket): INC-20260428-00007106…2026-04-28 17:28:02…
28.04.2026: FME Willy actuellement sur site nous remonte que la carte core ne demarre pas commande en cours…carte core faulty </t>
        </is>
      </c>
      <c r="U603" t="inlineStr">
        <is>
          <t>: 28/08/2026 fme wily activé ETA=17H28 UTC Bo tx : activer le FME sur le site de Danfili-MTN-IHS-ADM_122 pour vérifier le statut du MPR et de la radio et des connectiques.;.; : 28.04.2026 : FME Willy activated is managing ETA=13H 27/04/2026 BTS 4G down fme manage avec le level 0.;.;(04/28/2026 com ran 10h) : 28.04.2026 : FME Willy activated is managing ETA=13H 27/04/2026 BTS 4G down fme manage avec le level 0.;.; : 27/04/2026 BTS 4G down fme manage avec le level 0.;.; : …2026-04-28 17 : 28 : 02… 28.04.2026 : FME Willy actuellement sur site nous remonte que la carte core ne demarre pas commande en cours…carte core faulty</t>
        </is>
      </c>
    </row>
    <row r="604">
      <c r="A604" s="96" t="n">
        <v>46140</v>
      </c>
      <c r="B604" t="inlineStr">
        <is>
          <t>H-Franco</t>
        </is>
      </c>
      <c r="C604" t="inlineStr">
        <is>
          <t>CTR_102</t>
        </is>
      </c>
      <c r="D604" t="inlineStr"/>
      <c r="E604" t="inlineStr">
        <is>
          <t>IHS</t>
        </is>
      </c>
      <c r="F604" t="inlineStr">
        <is>
          <t>Grid-Gen</t>
        </is>
      </c>
      <c r="G604" t="inlineStr">
        <is>
          <t>CENTRE</t>
        </is>
      </c>
      <c r="H604" t="inlineStr">
        <is>
          <t>Yaounde</t>
        </is>
      </c>
      <c r="I604" t="inlineStr"/>
      <c r="J604" t="n">
        <v>0.002997494094936633</v>
      </c>
      <c r="K604" t="n">
        <v>0.004462600854777977</v>
      </c>
      <c r="L604" t="n">
        <v>17.7768160646315</v>
      </c>
      <c r="M604" t="n">
        <v>9.272332371665911</v>
      </c>
      <c r="N604" t="inlineStr"/>
      <c r="O604" t="inlineStr"/>
      <c r="P604" t="inlineStr">
        <is>
          <t>BSS</t>
        </is>
      </c>
      <c r="Q604" t="inlineStr">
        <is>
          <t>RAN ISSUE</t>
        </is>
      </c>
      <c r="R604" t="inlineStr">
        <is>
          <t>BSS Hardware issue</t>
        </is>
      </c>
      <c r="S604" t="inlineStr">
        <is>
          <t>ACTIVE</t>
        </is>
      </c>
      <c r="T604" t="inlineStr">
        <is>
          <t xml:space="preserve">  04/28/2026: hardware issue,  site with GPS issue (alarm : TDD down 09Apr 02pm)</t>
        </is>
      </c>
      <c r="U604" t="inlineStr">
        <is>
          <t>04/28/2026 : hardware issue, site with GPS issue (alarm : TDD down 09Apr 02pm)</t>
        </is>
      </c>
    </row>
    <row r="605">
      <c r="A605" s="96" t="n">
        <v>46140</v>
      </c>
      <c r="B605" t="inlineStr">
        <is>
          <t>Bastos-BAT</t>
        </is>
      </c>
      <c r="C605" t="inlineStr">
        <is>
          <t>CTR_200</t>
        </is>
      </c>
      <c r="D605" t="inlineStr"/>
      <c r="E605" t="inlineStr">
        <is>
          <t>IHS</t>
        </is>
      </c>
      <c r="F605" t="inlineStr">
        <is>
          <t>Grid-Gen</t>
        </is>
      </c>
      <c r="G605" t="inlineStr">
        <is>
          <t>CENTRE</t>
        </is>
      </c>
      <c r="H605" t="inlineStr">
        <is>
          <t>Yaounde</t>
        </is>
      </c>
      <c r="I605" t="inlineStr"/>
      <c r="J605" t="n">
        <v>0</v>
      </c>
      <c r="K605" t="n">
        <v>0</v>
      </c>
      <c r="L605" t="n">
        <v>17.7294486141481</v>
      </c>
      <c r="M605" t="n">
        <v>9.245704599738039</v>
      </c>
      <c r="N605" t="inlineStr"/>
      <c r="O605" t="inlineStr"/>
      <c r="P605" t="inlineStr">
        <is>
          <t>BSS</t>
        </is>
      </c>
      <c r="Q605" t="inlineStr">
        <is>
          <t>RAN ISSUE</t>
        </is>
      </c>
      <c r="R605" t="inlineStr">
        <is>
          <t>BSS Hardware issue</t>
        </is>
      </c>
      <c r="S605" t="inlineStr">
        <is>
          <t>ACTIVE</t>
        </is>
      </c>
      <c r="T605" t="inlineStr">
        <is>
          <t xml:space="preserve">  04/28/2026: hardware issue,  site with GPS issue (alarm : TDD down 09Apr 02pm)</t>
        </is>
      </c>
      <c r="U605" t="inlineStr">
        <is>
          <t>04/28/2026 : hardware issue, site with GPS issue (alarm : TDD down 09Apr 02pm)</t>
        </is>
      </c>
    </row>
    <row r="606">
      <c r="A606" s="96" t="n">
        <v>46140</v>
      </c>
      <c r="B606" t="inlineStr">
        <is>
          <t>PDC</t>
        </is>
      </c>
      <c r="C606" t="inlineStr">
        <is>
          <t>CTR_011</t>
        </is>
      </c>
      <c r="D606" t="inlineStr"/>
      <c r="E606" t="inlineStr">
        <is>
          <t>IHS</t>
        </is>
      </c>
      <c r="F606" t="inlineStr">
        <is>
          <t>Grid-Gen</t>
        </is>
      </c>
      <c r="G606" t="inlineStr">
        <is>
          <t>CENTRE</t>
        </is>
      </c>
      <c r="H606" t="inlineStr">
        <is>
          <t>Yaounde</t>
        </is>
      </c>
      <c r="I606" t="inlineStr"/>
      <c r="J606" t="n">
        <v>0</v>
      </c>
      <c r="K606" t="n">
        <v>0</v>
      </c>
      <c r="L606" t="n">
        <v>17.7294486141481</v>
      </c>
      <c r="M606" t="n">
        <v>9.245704599738039</v>
      </c>
      <c r="N606" t="inlineStr"/>
      <c r="O606" t="inlineStr"/>
      <c r="P606" t="inlineStr">
        <is>
          <t>BSS</t>
        </is>
      </c>
      <c r="Q606" t="inlineStr">
        <is>
          <t>RAN ISSUE</t>
        </is>
      </c>
      <c r="R606" t="inlineStr">
        <is>
          <t>BSS Hardware issue</t>
        </is>
      </c>
      <c r="S606" t="inlineStr">
        <is>
          <t>ACTIVE</t>
        </is>
      </c>
      <c r="T606" t="inlineStr">
        <is>
          <t xml:space="preserve">  04/28/2026: hardware issue,  site with GPS issue (alarm : TDD down 09Apr 02pm)</t>
        </is>
      </c>
      <c r="U606" t="inlineStr">
        <is>
          <t>04/28/2026 : hardware issue, site with GPS issue (alarm : TDD down 09Apr 02pm)</t>
        </is>
      </c>
    </row>
    <row r="607">
      <c r="A607" s="96" t="n">
        <v>46140</v>
      </c>
      <c r="B607" t="inlineStr">
        <is>
          <t>CNR</t>
        </is>
      </c>
      <c r="C607" t="inlineStr">
        <is>
          <t>CTR_002</t>
        </is>
      </c>
      <c r="D607" t="inlineStr"/>
      <c r="E607" t="inlineStr">
        <is>
          <t>IHS</t>
        </is>
      </c>
      <c r="F607" t="inlineStr">
        <is>
          <t>Grid-Gen</t>
        </is>
      </c>
      <c r="G607" t="inlineStr">
        <is>
          <t>CENTRE</t>
        </is>
      </c>
      <c r="H607" t="inlineStr">
        <is>
          <t>Yaounde</t>
        </is>
      </c>
      <c r="I607" t="inlineStr"/>
      <c r="J607" t="n">
        <v>0</v>
      </c>
      <c r="K607" t="n">
        <v>0</v>
      </c>
      <c r="L607" t="n">
        <v>17.7294486141481</v>
      </c>
      <c r="M607" t="n">
        <v>9.245704599738039</v>
      </c>
      <c r="N607" t="inlineStr"/>
      <c r="O607" t="inlineStr"/>
      <c r="P607" t="inlineStr">
        <is>
          <t>BSS</t>
        </is>
      </c>
      <c r="Q607" t="inlineStr">
        <is>
          <t>RAN ISSUE</t>
        </is>
      </c>
      <c r="R607" t="inlineStr">
        <is>
          <t>BSS Hardware issue</t>
        </is>
      </c>
      <c r="S607" t="inlineStr">
        <is>
          <t>ACTIVE</t>
        </is>
      </c>
      <c r="T607" t="inlineStr">
        <is>
          <t xml:space="preserve">  04/28/2026: hardware issue,  site with GPS issue (alarm : TDD down 09Apr 02pm)</t>
        </is>
      </c>
      <c r="U607" t="inlineStr">
        <is>
          <t>04/28/2026 : hardware issue, site with GPS issue (alarm : TDD down 09Apr 02pm)</t>
        </is>
      </c>
    </row>
    <row r="608">
      <c r="A608" s="96" t="n">
        <v>46140</v>
      </c>
      <c r="B608" t="inlineStr">
        <is>
          <t>Betare-Oya</t>
        </is>
      </c>
      <c r="C608" t="inlineStr">
        <is>
          <t>EST_014</t>
        </is>
      </c>
      <c r="D608" t="inlineStr"/>
      <c r="E608" t="inlineStr">
        <is>
          <t>IHS</t>
        </is>
      </c>
      <c r="F608" t="inlineStr">
        <is>
          <t>Solar-Gen-Lithium</t>
        </is>
      </c>
      <c r="G608" t="inlineStr">
        <is>
          <t>EST</t>
        </is>
      </c>
      <c r="H608" t="inlineStr">
        <is>
          <t>Betare-oya</t>
        </is>
      </c>
      <c r="I608" t="inlineStr"/>
      <c r="J608" t="n">
        <v>0</v>
      </c>
      <c r="K608" t="n">
        <v>27.54062241806665</v>
      </c>
      <c r="L608" t="n">
        <v>0</v>
      </c>
      <c r="M608" t="n">
        <v>9.245704599738039</v>
      </c>
      <c r="N608" t="inlineStr"/>
      <c r="O608" t="inlineStr"/>
      <c r="P608" t="inlineStr">
        <is>
          <t>ENVTECH</t>
        </is>
      </c>
      <c r="Q608" t="inlineStr">
        <is>
          <t>ENVTECH</t>
        </is>
      </c>
      <c r="R608" t="inlineStr">
        <is>
          <t>Sites strategiques, MLL, Pylone, etc.</t>
        </is>
      </c>
      <c r="S608" t="inlineStr">
        <is>
          <t>PASSIVE</t>
        </is>
      </c>
      <c r="T608" t="inlineStr">
        <is>
          <t xml:space="preserve">(04/28/2026 cell nokia): 28/04/2026 : Forte pluie dans la zone de bertoua || Intervention a faire est sur le pylone ||ETA : 29/04/2026 
27/04/2026 : Check breaker and  interconnection FRGU (sfp, optical fiber) between system and radio module, swap its if needed ||ME Mezazem activer || Action non aboutti avec le vel 0 || FME ira sur site demain 28/04/2026 ..;..;(04/28/2026 cell nokia): 28/04/2026 : Forte pluie dans la zone de bertoua || Intervention a faire est sur le pylone ||ETA : 29/04/2026 
27/04/2026 : Check breaker and  interconnection FRGU (sfp, optical fiber) between system and radio module, swap its if needed ||ME Mezazem activer || Action non aboutti avec le vel 0 || FME ira sur site demain 28/04/2026 ..;..;(04/28/2026 cell nokia): 28/04/2026 : Forte pluie dans la zone de bertoua || Intervention a faire est sur le pylone ||ETA : 29/04/2026 
27/04/2026 : Check breaker and  interconnection FRGU (sfp, optical fiber) between system and radio module, swap its if needed ||ME Mezazem activer || Action non aboutti avec le vel 0 || FME ira sur site demain 28/04/2026 </t>
        </is>
      </c>
      <c r="U608" t="inlineStr">
        <is>
          <t>04/28/2026 cell nokia) : 28/04/2026 : Forte pluie dans la zone de bertoua || Intervention a faire est sur le pylone || ETA : 29/04/2026 27/04/2026 : Check breaker and interconnection FRGU (sfp, optical fiber) between system and radio module, swap its if needed || ME Mezazem activer || Action non aboutti avec le vel 0 || FME ira sur site demain 28/04/2026 .;.;(04/28/2026 cell nokia) : 28/04/2026 : Forte pluie dans la zone de bertoua || Intervention a faire est sur le pylone || ETA : 29/04/2026 27/04/2026 : Check breaker and interconnection FRGU (sfp, optical fiber) between system and radio module, swap its if needed || ME Mezazem activer || Action non aboutti avec le vel 0 || FME ira sur site demain 28/04/2026 .;.;(04/28/2026 cell nokia) : 28/04/2026 : Forte pluie dans la zone de bertoua || Intervention a faire est sur le pylone || ETA : 29/04/2026 27/04/2026 : Check breaker and interconnection FRGU (sfp, optical fiber) between system and radio module, swap its if needed || ME Mezazem activer || Action non aboutti avec le vel 0 || FME ira sur site demain 28/04/2026</t>
        </is>
      </c>
    </row>
    <row r="609">
      <c r="A609" s="96" t="n">
        <v>46140</v>
      </c>
      <c r="B609" t="inlineStr">
        <is>
          <t>Etoudi</t>
        </is>
      </c>
      <c r="C609" t="inlineStr">
        <is>
          <t>CTR_086</t>
        </is>
      </c>
      <c r="D609" t="inlineStr"/>
      <c r="E609" t="inlineStr">
        <is>
          <t>IHS</t>
        </is>
      </c>
      <c r="F609" t="inlineStr">
        <is>
          <t>Grid-Gen</t>
        </is>
      </c>
      <c r="G609" t="inlineStr">
        <is>
          <t>CENTRE</t>
        </is>
      </c>
      <c r="H609" t="inlineStr">
        <is>
          <t>Yaounde</t>
        </is>
      </c>
      <c r="I609" t="inlineStr"/>
      <c r="J609" t="n">
        <v>0</v>
      </c>
      <c r="K609" t="n">
        <v>0</v>
      </c>
      <c r="L609" t="n">
        <v>17.7294486141481</v>
      </c>
      <c r="M609" t="n">
        <v>9.245704599738039</v>
      </c>
      <c r="N609" t="inlineStr"/>
      <c r="O609" t="inlineStr"/>
      <c r="P609" t="inlineStr">
        <is>
          <t>BSS</t>
        </is>
      </c>
      <c r="Q609" t="inlineStr">
        <is>
          <t>RAN ISSUE</t>
        </is>
      </c>
      <c r="R609" t="inlineStr">
        <is>
          <t>BSS Hardware issue</t>
        </is>
      </c>
      <c r="S609" t="inlineStr">
        <is>
          <t>ACTIVE</t>
        </is>
      </c>
      <c r="T609" t="inlineStr">
        <is>
          <t xml:space="preserve">  04/28/2026: hardware issue,  site with GPS issue (alarm : TDD down 09Apr 02pm)</t>
        </is>
      </c>
      <c r="U609" t="inlineStr">
        <is>
          <t>04/28/2026 : hardware issue, site with GPS issue (alarm : TDD down 09Apr 02pm)</t>
        </is>
      </c>
    </row>
    <row r="610">
      <c r="A610" s="96" t="n">
        <v>46140</v>
      </c>
      <c r="B610" t="inlineStr">
        <is>
          <t>Emia</t>
        </is>
      </c>
      <c r="C610" t="inlineStr">
        <is>
          <t>CTR_323</t>
        </is>
      </c>
      <c r="D610" t="inlineStr"/>
      <c r="E610" t="inlineStr">
        <is>
          <t>IHS</t>
        </is>
      </c>
      <c r="F610" t="inlineStr">
        <is>
          <t>Grid-Lithium</t>
        </is>
      </c>
      <c r="G610" t="inlineStr">
        <is>
          <t>CENTRE</t>
        </is>
      </c>
      <c r="H610" t="inlineStr">
        <is>
          <t>Yaounde</t>
        </is>
      </c>
      <c r="I610" t="inlineStr"/>
      <c r="J610" t="n">
        <v>0</v>
      </c>
      <c r="K610" t="n">
        <v>0</v>
      </c>
      <c r="L610" t="n">
        <v>17.7294486141481</v>
      </c>
      <c r="M610" t="n">
        <v>9.245704599738039</v>
      </c>
      <c r="N610" t="inlineStr"/>
      <c r="O610" t="inlineStr"/>
      <c r="P610" t="inlineStr">
        <is>
          <t>BSS</t>
        </is>
      </c>
      <c r="Q610" t="inlineStr">
        <is>
          <t>RAN ISSUE</t>
        </is>
      </c>
      <c r="R610" t="inlineStr">
        <is>
          <t>BSS Hardware issue</t>
        </is>
      </c>
      <c r="S610" t="inlineStr">
        <is>
          <t>ACTIVE</t>
        </is>
      </c>
      <c r="T610" t="inlineStr">
        <is>
          <t xml:space="preserve">  04/28/2026: hardware issue,  site with GPS issue (alarm : TDD down 09Apr 02pm)</t>
        </is>
      </c>
      <c r="U610" t="inlineStr">
        <is>
          <t>04/28/2026 : hardware issue, site with GPS issue (alarm : TDD down 09Apr 02pm)</t>
        </is>
      </c>
    </row>
    <row r="611">
      <c r="A611" s="96" t="n">
        <v>46140</v>
      </c>
      <c r="B611" t="inlineStr">
        <is>
          <t>Elig-Edzoa</t>
        </is>
      </c>
      <c r="C611" t="inlineStr">
        <is>
          <t>CTR_075</t>
        </is>
      </c>
      <c r="D611" t="inlineStr"/>
      <c r="E611" t="inlineStr">
        <is>
          <t>IHS</t>
        </is>
      </c>
      <c r="F611" t="inlineStr">
        <is>
          <t>GridOnly</t>
        </is>
      </c>
      <c r="G611" t="inlineStr">
        <is>
          <t>CENTRE</t>
        </is>
      </c>
      <c r="H611" t="inlineStr">
        <is>
          <t>Yaounde</t>
        </is>
      </c>
      <c r="I611" t="inlineStr"/>
      <c r="J611" t="n">
        <v>0</v>
      </c>
      <c r="K611" t="n">
        <v>0</v>
      </c>
      <c r="L611" t="n">
        <v>17.7294486141481</v>
      </c>
      <c r="M611" t="n">
        <v>9.245704599738039</v>
      </c>
      <c r="N611" t="inlineStr"/>
      <c r="O611" t="inlineStr"/>
      <c r="P611" t="inlineStr">
        <is>
          <t>BSS</t>
        </is>
      </c>
      <c r="Q611" t="inlineStr">
        <is>
          <t>RAN ISSUE</t>
        </is>
      </c>
      <c r="R611" t="inlineStr">
        <is>
          <t>BSS Hardware issue</t>
        </is>
      </c>
      <c r="S611" t="inlineStr">
        <is>
          <t>ACTIVE</t>
        </is>
      </c>
      <c r="T611" t="inlineStr">
        <is>
          <t xml:space="preserve">  04/28/2026: hardware issue,  site with GPS issue (alarm : TDD down 09Apr 02pm)</t>
        </is>
      </c>
      <c r="U611" t="inlineStr">
        <is>
          <t>04/28/2026 : hardware issue, site with GPS issue (alarm : TDD down 09Apr 02pm)</t>
        </is>
      </c>
    </row>
    <row r="612">
      <c r="A612" s="96" t="n">
        <v>46140</v>
      </c>
      <c r="B612" t="inlineStr">
        <is>
          <t>Mballa-II</t>
        </is>
      </c>
      <c r="C612" t="inlineStr">
        <is>
          <t>CTR_824</t>
        </is>
      </c>
      <c r="D612" t="inlineStr"/>
      <c r="E612" t="inlineStr">
        <is>
          <t>CAMUSAT</t>
        </is>
      </c>
      <c r="F612" t="inlineStr">
        <is>
          <t>Good Grid no GE - 8h</t>
        </is>
      </c>
      <c r="G612" t="inlineStr">
        <is>
          <t>CENTRE</t>
        </is>
      </c>
      <c r="H612" t="inlineStr">
        <is>
          <t>Yaounde</t>
        </is>
      </c>
      <c r="I612" t="inlineStr"/>
      <c r="J612" t="n">
        <v>0</v>
      </c>
      <c r="K612" t="n">
        <v>0</v>
      </c>
      <c r="L612" t="n">
        <v>17.7294486141481</v>
      </c>
      <c r="M612" t="n">
        <v>9.245704599738039</v>
      </c>
      <c r="N612" t="inlineStr"/>
      <c r="O612" t="inlineStr"/>
      <c r="P612" t="inlineStr">
        <is>
          <t>BSS</t>
        </is>
      </c>
      <c r="Q612" t="inlineStr">
        <is>
          <t>RAN ISSUE</t>
        </is>
      </c>
      <c r="R612" t="inlineStr">
        <is>
          <t>BSS Hardware issue</t>
        </is>
      </c>
      <c r="S612" t="inlineStr">
        <is>
          <t>ACTIVE</t>
        </is>
      </c>
      <c r="T612" t="inlineStr">
        <is>
          <t xml:space="preserve">  04/28/2026: hardware issue,  site with GPS issue (alarm : TDD down 09Apr 02pm)</t>
        </is>
      </c>
      <c r="U612" t="inlineStr">
        <is>
          <t>04/28/2026 : hardware issue, site with GPS issue (alarm : TDD down 09Apr 02pm)</t>
        </is>
      </c>
    </row>
    <row r="613">
      <c r="A613" s="96" t="n">
        <v>46140</v>
      </c>
      <c r="B613" t="inlineStr">
        <is>
          <t>Etoudi-II-IHS</t>
        </is>
      </c>
      <c r="C613" t="inlineStr">
        <is>
          <t>CTR_633</t>
        </is>
      </c>
      <c r="D613" t="inlineStr"/>
      <c r="E613" t="inlineStr">
        <is>
          <t>IHS</t>
        </is>
      </c>
      <c r="F613" t="inlineStr">
        <is>
          <t>Grid-Gen</t>
        </is>
      </c>
      <c r="G613" t="inlineStr">
        <is>
          <t>CENTRE</t>
        </is>
      </c>
      <c r="H613" t="inlineStr">
        <is>
          <t>Yaounde</t>
        </is>
      </c>
      <c r="I613" t="inlineStr"/>
      <c r="J613" t="n">
        <v>0</v>
      </c>
      <c r="K613" t="n">
        <v>0</v>
      </c>
      <c r="L613" t="n">
        <v>17.7294486141481</v>
      </c>
      <c r="M613" t="n">
        <v>9.245704599738039</v>
      </c>
      <c r="N613" t="inlineStr"/>
      <c r="O613" t="inlineStr"/>
      <c r="P613" t="inlineStr">
        <is>
          <t>BSS</t>
        </is>
      </c>
      <c r="Q613" t="inlineStr">
        <is>
          <t>RAN ISSUE</t>
        </is>
      </c>
      <c r="R613" t="inlineStr">
        <is>
          <t>BSS Hardware issue</t>
        </is>
      </c>
      <c r="S613" t="inlineStr">
        <is>
          <t>ACTIVE</t>
        </is>
      </c>
      <c r="T613" t="inlineStr">
        <is>
          <t xml:space="preserve">  04/28/2026: hardware issue,  site with GPS issue (alarm : TDD down 09Apr 02pm)</t>
        </is>
      </c>
      <c r="U613" t="inlineStr">
        <is>
          <t>04/28/2026 : hardware issue, site with GPS issue (alarm : TDD down 09Apr 02pm)</t>
        </is>
      </c>
    </row>
    <row r="614">
      <c r="A614" s="96" t="n">
        <v>46140</v>
      </c>
      <c r="B614" t="inlineStr">
        <is>
          <t>Manguier</t>
        </is>
      </c>
      <c r="C614" t="inlineStr">
        <is>
          <t>CTR_049</t>
        </is>
      </c>
      <c r="D614" t="inlineStr"/>
      <c r="E614" t="inlineStr">
        <is>
          <t>IHS</t>
        </is>
      </c>
      <c r="F614" t="inlineStr">
        <is>
          <t>Grid-Gen</t>
        </is>
      </c>
      <c r="G614" t="inlineStr">
        <is>
          <t>CENTRE</t>
        </is>
      </c>
      <c r="H614" t="inlineStr">
        <is>
          <t>Yaounde</t>
        </is>
      </c>
      <c r="I614" t="inlineStr"/>
      <c r="J614" t="n">
        <v>0</v>
      </c>
      <c r="K614" t="n">
        <v>0</v>
      </c>
      <c r="L614" t="n">
        <v>17.7294486141481</v>
      </c>
      <c r="M614" t="n">
        <v>9.245704599738039</v>
      </c>
      <c r="N614" t="inlineStr"/>
      <c r="O614" t="inlineStr"/>
      <c r="P614" t="inlineStr">
        <is>
          <t>BSS</t>
        </is>
      </c>
      <c r="Q614" t="inlineStr">
        <is>
          <t>RAN ISSUE</t>
        </is>
      </c>
      <c r="R614" t="inlineStr">
        <is>
          <t>BSS Hardware issue</t>
        </is>
      </c>
      <c r="S614" t="inlineStr">
        <is>
          <t>ACTIVE</t>
        </is>
      </c>
      <c r="T614" t="inlineStr">
        <is>
          <t xml:space="preserve">  04/28/2026: hardware issue,  site with GPS issue (alarm : TDD down 09Apr 02pm)</t>
        </is>
      </c>
      <c r="U614" t="inlineStr">
        <is>
          <t>04/28/2026 : hardware issue, site with GPS issue (alarm : TDD down 09Apr 02pm)</t>
        </is>
      </c>
    </row>
    <row r="615">
      <c r="A615" s="96" t="n">
        <v>46140</v>
      </c>
      <c r="B615" t="inlineStr">
        <is>
          <t>CTR_064_Z_Etoa-Meki</t>
        </is>
      </c>
      <c r="C615" t="inlineStr">
        <is>
          <t>CTR_064</t>
        </is>
      </c>
      <c r="D615" t="inlineStr"/>
      <c r="E615" t="inlineStr"/>
      <c r="F615" t="inlineStr"/>
      <c r="G615" t="inlineStr">
        <is>
          <t>CENTRE</t>
        </is>
      </c>
      <c r="H615" t="inlineStr">
        <is>
          <t>Yaounde</t>
        </is>
      </c>
      <c r="I615" t="inlineStr"/>
      <c r="J615" t="n">
        <v>0</v>
      </c>
      <c r="K615" t="n">
        <v>0</v>
      </c>
      <c r="L615" t="n">
        <v>17.7294486141481</v>
      </c>
      <c r="M615" t="n">
        <v>9.245704599738039</v>
      </c>
      <c r="N615" t="inlineStr"/>
      <c r="O615" t="inlineStr"/>
      <c r="P615" t="inlineStr">
        <is>
          <t>BSS</t>
        </is>
      </c>
      <c r="Q615" t="inlineStr">
        <is>
          <t>RAN ISSUE</t>
        </is>
      </c>
      <c r="R615" t="inlineStr">
        <is>
          <t>BSS Hardware issue</t>
        </is>
      </c>
      <c r="S615" t="inlineStr">
        <is>
          <t>ACTIVE</t>
        </is>
      </c>
      <c r="T615" t="inlineStr">
        <is>
          <t xml:space="preserve">  04/28/2026: hardware issue,  site with GPS issue (alarm : TDD down 09Apr 02pm)</t>
        </is>
      </c>
      <c r="U615" t="inlineStr">
        <is>
          <t>04/28/2026 : hardware issue, site with GPS issue (alarm : TDD down 09Apr 02pm)</t>
        </is>
      </c>
    </row>
    <row r="616">
      <c r="A616" s="96" t="n">
        <v>46140</v>
      </c>
      <c r="B616" t="inlineStr">
        <is>
          <t>H-Paradis</t>
        </is>
      </c>
      <c r="C616" t="inlineStr">
        <is>
          <t>CTR_093</t>
        </is>
      </c>
      <c r="D616" t="inlineStr"/>
      <c r="E616" t="inlineStr">
        <is>
          <t>IHS</t>
        </is>
      </c>
      <c r="F616" t="inlineStr">
        <is>
          <t>GridOnly</t>
        </is>
      </c>
      <c r="G616" t="inlineStr">
        <is>
          <t>CENTRE</t>
        </is>
      </c>
      <c r="H616" t="inlineStr">
        <is>
          <t>Yaounde</t>
        </is>
      </c>
      <c r="I616" t="inlineStr"/>
      <c r="J616" t="n">
        <v>0</v>
      </c>
      <c r="K616" t="n">
        <v>0</v>
      </c>
      <c r="L616" t="n">
        <v>17.7294486141481</v>
      </c>
      <c r="M616" t="n">
        <v>9.245704599738039</v>
      </c>
      <c r="N616" t="inlineStr"/>
      <c r="O616" t="inlineStr"/>
      <c r="P616" t="inlineStr">
        <is>
          <t>BSS</t>
        </is>
      </c>
      <c r="Q616" t="inlineStr">
        <is>
          <t>RAN ISSUE</t>
        </is>
      </c>
      <c r="R616" t="inlineStr">
        <is>
          <t>BSS Hardware issue</t>
        </is>
      </c>
      <c r="S616" t="inlineStr">
        <is>
          <t>ACTIVE</t>
        </is>
      </c>
      <c r="T616" t="inlineStr">
        <is>
          <t>04/28/2026: hardware issue,  site with GPS issue (alarm : TDD down 09Apr 02pm)</t>
        </is>
      </c>
      <c r="U616" t="inlineStr">
        <is>
          <t>04/28/2026 : hardware issue, site with GPS issue (alarm : TDD down 09Apr 02pm)</t>
        </is>
      </c>
    </row>
    <row r="617">
      <c r="A617" s="96" t="n">
        <v>46140</v>
      </c>
      <c r="B617" t="inlineStr">
        <is>
          <t>ARMP</t>
        </is>
      </c>
      <c r="C617" t="inlineStr">
        <is>
          <t>CTR_124</t>
        </is>
      </c>
      <c r="D617" t="inlineStr"/>
      <c r="E617" t="inlineStr">
        <is>
          <t>IHS</t>
        </is>
      </c>
      <c r="F617" t="inlineStr">
        <is>
          <t>GridOnly</t>
        </is>
      </c>
      <c r="G617" t="inlineStr">
        <is>
          <t>CENTRE</t>
        </is>
      </c>
      <c r="H617" t="inlineStr">
        <is>
          <t>Yaounde</t>
        </is>
      </c>
      <c r="I617" t="inlineStr"/>
      <c r="J617" t="n">
        <v>0</v>
      </c>
      <c r="K617" t="n">
        <v>0</v>
      </c>
      <c r="L617" t="n">
        <v>17.7294486141481</v>
      </c>
      <c r="M617" t="n">
        <v>9.245704599738039</v>
      </c>
      <c r="N617" t="inlineStr"/>
      <c r="O617" t="inlineStr"/>
      <c r="P617" t="inlineStr">
        <is>
          <t>BSS</t>
        </is>
      </c>
      <c r="Q617" t="inlineStr">
        <is>
          <t>RAN ISSUE</t>
        </is>
      </c>
      <c r="R617" t="inlineStr">
        <is>
          <t>BSS Hardware issue</t>
        </is>
      </c>
      <c r="S617" t="inlineStr">
        <is>
          <t>ACTIVE</t>
        </is>
      </c>
      <c r="T617" t="inlineStr">
        <is>
          <t>04/28/2026: hardware issue,  site with GPS issue (alarm : TDD down 09Apr 02pm)</t>
        </is>
      </c>
      <c r="U617" t="inlineStr">
        <is>
          <t>04/28/2026 : hardware issue, site with GPS issue (alarm : TDD down 09Apr 02pm)</t>
        </is>
      </c>
    </row>
    <row r="618">
      <c r="A618" s="96" t="n">
        <v>46140</v>
      </c>
      <c r="B618" t="inlineStr">
        <is>
          <t>Bardake-IHS</t>
        </is>
      </c>
      <c r="C618" t="inlineStr">
        <is>
          <t>NRD_110</t>
        </is>
      </c>
      <c r="D618" t="inlineStr"/>
      <c r="E618" t="inlineStr">
        <is>
          <t>IHS</t>
        </is>
      </c>
      <c r="F618" t="inlineStr">
        <is>
          <t>Gen Only</t>
        </is>
      </c>
      <c r="G618" t="inlineStr">
        <is>
          <t>NORD</t>
        </is>
      </c>
      <c r="H618" t="inlineStr">
        <is>
          <t>Bardake</t>
        </is>
      </c>
      <c r="I618" t="inlineStr"/>
      <c r="J618" t="n">
        <v>0</v>
      </c>
      <c r="K618" t="n">
        <v>27.54062241806665</v>
      </c>
      <c r="L618" t="n">
        <v>0</v>
      </c>
      <c r="M618" t="n">
        <v>9.245704599738039</v>
      </c>
      <c r="N618" t="inlineStr"/>
      <c r="O618" t="inlineStr"/>
      <c r="P618" t="inlineStr">
        <is>
          <t>Exclu</t>
        </is>
      </c>
      <c r="Q618" t="inlineStr">
        <is>
          <t>Exclu</t>
        </is>
      </c>
      <c r="R618" t="inlineStr">
        <is>
          <t>EXCLU</t>
        </is>
      </c>
      <c r="S618" t="inlineStr">
        <is>
          <t>Exclu</t>
        </is>
      </c>
      <c r="T618" t="inlineStr">
        <is>
          <t>(04/28/2026 ocm ran 14h): 27/04/2026  Nouvel ETR=28.04.26
23.04.26: En attente d'un nouvel ETR de l'ing OCM
20.04.26; Nouvel ETR=22.04.26
13/04/2026 Relance OCM en attente de retour
10.04.26; Nouvel ETR=12.04.26
07.04.26; Site UE relay, nouvel ETR=09.04.26..;..;(04/28/2026 com ran 10h): 27/04/2026  Nouvel ETR=28.04.26
23.04.26: En attente d'un nouvel ETR de l'ing OCM
20.04.26; Nouvel ETR=22.04.26
13/04/2026 Relance OCM en attente de retour
10.04.26; Nouvel ETR=12.04.26
07.04.26; Site UE relay, nouvel ETR=09.04.26..;..;(04/28/2026 ocm ran 00h): 27/04/2026  Nouvel ETR=28.04.26
23.04.26: En attente d'un nouvel ETR de l'ing OCM
20.04.26; Nouvel ETR=22.04.26
13/04/2026 Relance OCM en attente de retour
10.04.26; Nouvel ETR=12.04.26
07.04.26; Site UE relay, nouvel ETR=09.04.26</t>
        </is>
      </c>
      <c r="U618" t="inlineStr">
        <is>
          <t>: 27/04/2026 Nouvel ETR=28.04.26 23.04.26 : En attente d'un nouvel ETR de l'ing OCM 20.04.26; Nouvel ETR=22.04.26 13/04/2026 Relance OCM en attente de retour 10.04.26; Nouvel ETR=12.04.26 07.04.26; Site UE relay, nouvel ETR=09.04.26.;.;(04/28/2026 com ran 10h) : 27/04/2026 Nouvel ETR=28.04.26 23.04.26 : En attente d'un nouvel ETR de l'ing OCM 20.04.26; Nouvel ETR=22.04.26 13/04/2026 Relance OCM en attente de retour 10.04.26; Nouvel ETR=12.04.26 07.04.26; Site UE relay, nouvel ETR=09.04.26.;.; : 27/04/2026 Nouvel ETR=28.04.26 23.04.26 : En attente d'un nouvel ETR de l'ing OCM 20.04.26; Nouvel ETR=22.04.26 13/04/2026 Relance OCM en attente de retour 10.04.26; Nouvel ETR=12.04.26 07.04.26; Site UE relay, nouvel ETR=09.04.26</t>
        </is>
      </c>
    </row>
    <row r="619">
      <c r="A619" s="96" t="n">
        <v>46140</v>
      </c>
      <c r="B619" t="inlineStr">
        <is>
          <t>SongLoulou-IHS</t>
        </is>
      </c>
      <c r="C619" t="inlineStr">
        <is>
          <t>LIT_200</t>
        </is>
      </c>
      <c r="D619" t="inlineStr"/>
      <c r="E619" t="inlineStr">
        <is>
          <t>IHS</t>
        </is>
      </c>
      <c r="F619" t="inlineStr">
        <is>
          <t>Grid-Gen</t>
        </is>
      </c>
      <c r="G619" t="inlineStr">
        <is>
          <t>LITTORAL</t>
        </is>
      </c>
      <c r="H619" t="inlineStr">
        <is>
          <t>Songloulou</t>
        </is>
      </c>
      <c r="I619" t="inlineStr"/>
      <c r="J619" t="n">
        <v>32.36881467093509</v>
      </c>
      <c r="K619" t="n">
        <v>13.77031120903332</v>
      </c>
      <c r="L619" t="n">
        <v>0</v>
      </c>
      <c r="M619" t="n">
        <v>9.245116042153564</v>
      </c>
      <c r="N619" t="inlineStr"/>
      <c r="O619" t="inlineStr"/>
      <c r="P619" t="inlineStr">
        <is>
          <t>SPARE-ISSUE</t>
        </is>
      </c>
      <c r="Q619" t="inlineStr">
        <is>
          <t>SPARE-ISSUE</t>
        </is>
      </c>
      <c r="R619" t="inlineStr">
        <is>
          <t>Warehouse HUAWEI</t>
        </is>
      </c>
      <c r="S619" t="inlineStr">
        <is>
          <t>SPARE-ISSUE</t>
        </is>
      </c>
      <c r="T619" t="inlineStr">
        <is>
          <t>(04/28/2026 ocm ran 19h): 28.04.2026: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ODU MPT 7-8 G pas disponible et commande en cours vers OCM. Cable Eth, carte MPT et chassis en cours d'expédition de Douala pour Edea, ETD=24.04.26, ETR=25.04.26
23.04.26: ODU MPT 7-8G 3DB20858AC faulty, cable Eth faulty, carte MPT faulty, commande passée et vérifications du SPM en cours
23.04.26: FME sur site et investigations en cours, update ASAP
22.04.26: Check en cours avec le level 0 qui est sur site actuellement et si NOK, suite des investigations en hauteur ce 23.04.26
22.04.26; Besoin d'un FME sur site pour vérifier la chaine antennaire de l'ODU 3.1; FME Charly activé pour investigations, ETA=14H UTC..;..;(04/28/2026 ocm ran 14h): 28.04.2026: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ODU MPT 7-8 G pas disponible et commande en cours vers OCM. Cable Eth, carte MPT et chassis en cours d'expédition de Douala pour Edea, ETD=24.04.26, ETR=25.04.26
23.04.26: ODU MPT 7-8G 3DB20858AC faulty, cable Eth faulty, carte MPT faulty, commande passée et vérifications du SPM en cours
23.04.26: FME sur site et investigations en cours, update ASAP
22.04.26: Check en cours avec le level 0 qui est sur site actuellement et si NOK, suite des investigations en hauteur ce 23.04.26
22.04.26; Besoin d'un FME sur site pour vérifier la chaine antennaire de l'ODU 3.1; FME Charly activé pour investigations, ETA=14H UTC..;..;(04/28/2026 com ran 10h): 28.04.2026: Spare dementelee et Expedition en cours vers EDEA ETD=28.04.2026
27/04/2026 ODU en cours de dementelement
27/04/2026 ODU MPT 7-8G 3DB20858AC faulty en attente de retour OCM 
26/04/2026 Feedback RM Honore : Faulty spare part to be replaced/SPM is managing
25/04/2026 FME en route ETA=12H UTC // FME sur site travaux en cours 
24.04.26: ODU MPT 7-8 G pas disponible et commande en cours vers OCM. Cable Eth, carte MPT et chassis en cours d'expédition de Douala pour Edea, ETD=24.04.26, ETR=25.04.26
23.04.26: ODU MPT 7-8G 3DB20858AC faulty, cable Eth faulty, carte MPT faulty, commande passée et vérifications du SPM en cours
23.04.26: FME sur site et investigations en cours, update ASAP
22.04.26: Check en cours avec le level 0 qui est sur site actuellement et si NOK, suite des investigations en hauteur ce 23.04.26
22.04.26; Besoin d'un FME sur site pour vérifier la chaine antennaire de l'ODU 3.1; FME Charly activé pour investigations, ETA=14H UTC..;..;(04/28/2026 ocm ran 00h): 27/04/2026 ODU en cours de dementelement
27/04/2026 ODU MPT 7-8G 3DB20858AC faulty en attente de retour OCM 
26/04/2026 Feedback RM Honore : Faulty spare part to be replaced/SPM is managing
25/04/2026 FME en route ETA=12H UTC // FME sur site travaux en cours 
24.04.26: ODU MPT 7-8 G pas disponible et commande en cours vers OCM. Cable Eth, carte MPT et chassis en cours d'expédition de Douala pour Edea, ETD=24.04.26, ETR=25.04.26
23.04.26: ODU MPT 7-8G 3DB20858AC faulty, cable Eth faulty, carte MPT faulty, commande passée et vérifications du SPM en cours
23.04.26: FME sur site et investigations en cours, update ASAP
22.04.26: Check en cours avec le level 0 qui est sur site actuellement et si NOK, suite des investigations en hauteur ce 23.04.26
22.04.26; Besoin d'un FME sur site pour vérifier la chaine antennaire de l'ODU 3.1; FME Charly activé pour investigations, ETA=14H UTC</t>
        </is>
      </c>
      <c r="U619" t="inlineStr">
        <is>
          <t>: 28.04.2026 :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 ODU MPT 7-8 G pas disponible et commande en cours vers OCM. Cable Eth, carte MPT et chassis en cours d'expédition de Douala pour Edea, ETD=24.04.26, ETR=25.04.26 23.04.26 : ODU MPT 7-8G 3DB20858AC faulty, cable Eth faulty, carte MPT faulty, commande passée et vérifications du SPM en cours 23.04.26 : FME sur site et investigations en cours, update ASAP 22.04.26 : Check en cours avec le level 0 qui est sur site actuellement et si NOK, suite des investigations en hauteur ce 23.04.26 22.04.26; Besoin d'un FME sur site pour vérifier la chaine antennaire de l'ODU 3.1; FME Charly activé pour investigations, ETA=14H UTC.;.; : 28.04.2026 : Spare dementelee et Expedition en cours vers EDEA ETD=28.04.2026 ETR=29/04/2026 27/04/2026 ODU en cours de dementelement 27/04/2026 ODU MPT 7-8G 3DB20858AC faulty en attente de retour OCM 26/04/2026 Feedback RM Honore : Faulty spare part to be replaced/SPM is managing 25/04/2026 FME en route ETA=12H UTC // FME sur site travaux en cours 24.04.26 : ODU MPT 7-8 G pas disponible et commande en cours vers OCM. Cable Eth, carte MPT et chassis en cours d'expédition de Douala pour Edea, ETD=24.04.26, ETR=25.04.26 23.04.26 : ODU MPT 7-8G 3DB20858AC faulty, cable Eth faulty, carte MPT faulty, commande passée et vérifications du SPM en cours 23.04.26 : FME sur site et investigations en cours, update ASAP 22.04.26 : Check en cours avec le level 0 qui est sur site actuellement et si NOK, suite des investigations en hauteur ce 23.04.26 22.04.26; Besoin d'un FME sur site pour vérifier la chaine antennaire de l'ODU 3.1; FME Charly activé pour investigations, ETA=14H UTC.;.;(04/28/2026 com ran 10h) : 28.04.2026 : Spare dementelee et Expedition en cours vers EDEA ETD=28.04.2026 27/04/2026 ODU en cours de dementelement 27/04/2026 ODU MPT 7-8G 3DB20858AC faulty en attente de retour OCM 26/04/2026 Feedback RM Honore : Faulty spare part to be replaced/SPM is managing 25/04/2026 FME en route ETA=12H UTC // FME sur site travaux en cours 24.04.26 : ODU MPT 7-8 G pas disponible et commande en cours vers OCM. Cable Eth, carte MPT et chassis en cours d'expédition de Douala pour Edea, ETD=24.04.26, ETR=25.04.26 23.04.26 : ODU MPT 7-8G 3DB20858AC faulty, cable Eth faulty, carte MPT faulty, commande passée et vérifications du SPM en cours 23.04.26 : FME sur site et investigations en cours, update ASAP 22.04.26 : Check en cours avec le level 0 qui est sur site actuellement et si NOK, suite des investigations en hauteur ce 23.04.26 22.04.26; Besoin d'un FME sur site pour vérifier la chaine antennaire de l'ODU 3.1; FME Charly activé pour investigations, ETA=14H UTC.;.; : 27/04/2026 ODU en cours de dementelement 27/04/2026 ODU MPT 7-8G 3DB20858AC faulty en attente de retour OCM 26/04/2026 Feedback RM Honore : Faulty spare part to be replaced/SPM is managing 25/04/2026 FME en route ETA=12H UTC // FME sur site travaux en cours 24.04.26 : ODU MPT 7-8 G pas disponible et commande en cours vers OCM. Cable Eth, carte MPT et chassis en cours d'expédition de Douala pour Edea, ETD=24.04.26, ETR=25.04.26 23.04.26 : ODU MPT 7-8G 3DB20858AC faulty, cable Eth faulty, carte MPT faulty, commande passée et vérifications du SPM en cours 23.04.26 : FME sur site et investigations en cours, update ASAP 22.04.26 : Check en cours avec le level 0 qui est sur site actuellement et si NOK, suite des investigations en hauteur ce 23.04.26 22.04.26; Besoin d'un FME sur site pour vérifier la chaine antennaire de l'ODU 3.1; FME Charly activé pour investigations, ETA=14H UTC</t>
        </is>
      </c>
    </row>
    <row r="620">
      <c r="A620" s="96" t="n">
        <v>46140</v>
      </c>
      <c r="B620" t="inlineStr">
        <is>
          <t>Darrack-MTN-IHS</t>
        </is>
      </c>
      <c r="C620" t="inlineStr">
        <is>
          <t>EXN_133</t>
        </is>
      </c>
      <c r="D620" t="inlineStr"/>
      <c r="E620" t="inlineStr">
        <is>
          <t>IHS</t>
        </is>
      </c>
      <c r="F620" t="inlineStr">
        <is>
          <t>Solar-Gen</t>
        </is>
      </c>
      <c r="G620" t="inlineStr">
        <is>
          <t>EXTREME-NORD</t>
        </is>
      </c>
      <c r="H620" t="inlineStr">
        <is>
          <t>Darrack</t>
        </is>
      </c>
      <c r="I620" t="inlineStr"/>
      <c r="J620" t="n">
        <v>32.36806529741136</v>
      </c>
      <c r="K620" t="n">
        <v>13.77031120903332</v>
      </c>
      <c r="L620" t="n">
        <v>0</v>
      </c>
      <c r="M620" t="n">
        <v>9.24500903168366</v>
      </c>
      <c r="N620" t="inlineStr"/>
      <c r="O620" t="inlineStr"/>
      <c r="P620" t="inlineStr">
        <is>
          <t>ACCESS-ISSUE</t>
        </is>
      </c>
      <c r="Q620" t="inlineStr">
        <is>
          <t>ACCESS-ISSUE</t>
        </is>
      </c>
      <c r="R620" t="inlineStr">
        <is>
          <t>ACCESS-ISSUE</t>
        </is>
      </c>
      <c r="S620" t="inlineStr">
        <is>
          <t>ACCESS-ISSUE</t>
        </is>
      </c>
      <c r="T620" t="inlineStr">
        <is>
          <t>(04/28/2026 hourly IHS): Area attaqued by Boko Haram. No one can reach the site now. Awaiting updates. The site no longer appears in the client app</t>
        </is>
      </c>
      <c r="U620" t="inlineStr">
        <is>
          <t>: Area attaqued by Boko Haram. No one can reach the site now. Awaiting updates. The site no longer appears in the client app</t>
        </is>
      </c>
    </row>
    <row r="621">
      <c r="A621" s="96" t="n">
        <v>46140</v>
      </c>
      <c r="B621" t="inlineStr">
        <is>
          <t>TCHEVI-IHS</t>
        </is>
      </c>
      <c r="C621" t="inlineStr">
        <is>
          <t>EXN_227</t>
        </is>
      </c>
      <c r="D621" t="inlineStr"/>
      <c r="E621" t="inlineStr">
        <is>
          <t>IHS</t>
        </is>
      </c>
      <c r="F621" t="inlineStr">
        <is>
          <t>Grid-Gen</t>
        </is>
      </c>
      <c r="G621" t="inlineStr">
        <is>
          <t>EXTREME-NORD</t>
        </is>
      </c>
      <c r="H621" t="inlineStr">
        <is>
          <t>Tchevi</t>
        </is>
      </c>
      <c r="I621" t="inlineStr"/>
      <c r="J621" t="n">
        <v>32.36806529741136</v>
      </c>
      <c r="K621" t="n">
        <v>13.77031120903332</v>
      </c>
      <c r="L621" t="n">
        <v>0</v>
      </c>
      <c r="M621" t="n">
        <v>9.24500903168366</v>
      </c>
      <c r="N621" t="inlineStr">
        <is>
          <t>EXCLU</t>
        </is>
      </c>
      <c r="O621" t="inlineStr">
        <is>
          <t>site vandalise</t>
        </is>
      </c>
      <c r="P621" t="inlineStr">
        <is>
          <t>Exclu</t>
        </is>
      </c>
      <c r="Q621" t="inlineStr">
        <is>
          <t>Exclu</t>
        </is>
      </c>
      <c r="R621" t="inlineStr">
        <is>
          <t>EXCLU</t>
        </is>
      </c>
      <c r="S621" t="inlineStr">
        <is>
          <t>Exclu</t>
        </is>
      </c>
      <c r="T621" t="inlineStr">
        <is>
          <t>(04/28/2026 cell nokia): 23/04/2026 : Relance faite hier 
22/04/2026 : Cable d'alimentation SPM vandaliser
21/04/2026 : Check breaker and  interconnection FXED, FXDB, FRMF (sfp, optical fiber) between system and radio module, swap its if needed || FME Tsafack ervis activer..;..;(04/28/2026 cell nokia): 23/04/2026 : Relance faite hier 
22/04/2026 : Cable d'alimentation SPM vandaliser
21/04/2026 : Check breaker and  interconnection FXED, FXDB, FRMF (sfp, optical fiber) between system and radio module, swap its if needed || FME Tsafack ervis activer..;..;(04/28/2026 cell nokia): 23/04/2026 : Relance faite hier 
22/04/2026 : Cable d'alimentation SPM vandaliser
21/04/2026 : Check breaker and  interconnection FXED, FXDB, FRMF (sfp, optical fiber) between system and radio module, swap its if needed || FME Tsafack ervis activer</t>
        </is>
      </c>
      <c r="U621" t="inlineStr">
        <is>
          <t>04/28/2026 cell nokia) : 23/04/2026 : Relance faite hier 22/04/2026 : Cable d'alimentation SPM vandaliser 21/04/2026 : Check breaker and interconnection FXED, FXDB, FRMF (sfp, optical fiber) between system and radio module, swap its if needed || FME Tsafack ervis activer.;.;(04/28/2026 cell nokia) : 23/04/2026 : Relance faite hier 22/04/2026 : Cable d'alimentation SPM vandaliser 21/04/2026 : Check breaker and interconnection FXED, FXDB, FRMF (sfp, optical fiber) between system and radio module, swap its if needed || FME Tsafack ervis activer.;.;(04/28/2026 cell nokia) : 23/04/2026 : Relance faite hier 22/04/2026 : Cable d'alimentation SPM vandaliser 21/04/2026 : Check breaker and interconnection FXED, FXDB, FRMF (sfp, optical fiber) between system and radio module, swap its if needed || FME Tsafack ervis activer</t>
        </is>
      </c>
    </row>
    <row r="622">
      <c r="A622" s="96" t="n">
        <v>46140</v>
      </c>
      <c r="B622" t="inlineStr">
        <is>
          <t>Alou-IHS</t>
        </is>
      </c>
      <c r="C622" t="inlineStr">
        <is>
          <t>SUO_133</t>
        </is>
      </c>
      <c r="D622" t="inlineStr"/>
      <c r="E622" t="inlineStr">
        <is>
          <t>IHS</t>
        </is>
      </c>
      <c r="F622" t="inlineStr">
        <is>
          <t>Grid-Gen</t>
        </is>
      </c>
      <c r="G622" t="inlineStr">
        <is>
          <t>SUD-OUEST</t>
        </is>
      </c>
      <c r="H622" t="inlineStr">
        <is>
          <t>Alou</t>
        </is>
      </c>
      <c r="I622" t="inlineStr"/>
      <c r="J622" t="n">
        <v>32.36356905626896</v>
      </c>
      <c r="K622" t="n">
        <v>13.77031120903332</v>
      </c>
      <c r="L622" t="n">
        <v>0</v>
      </c>
      <c r="M622" t="n">
        <v>9.244366968864234</v>
      </c>
      <c r="N622" t="inlineStr"/>
      <c r="O622" t="inlineStr"/>
      <c r="P622" t="inlineStr">
        <is>
          <t>ACCESS-ISSUE</t>
        </is>
      </c>
      <c r="Q622" t="inlineStr">
        <is>
          <t>ACCESS-ISSUE</t>
        </is>
      </c>
      <c r="R622" t="inlineStr">
        <is>
          <t>ACCESS-ISSUE</t>
        </is>
      </c>
      <c r="S622" t="inlineStr">
        <is>
          <t>ACCESS-ISSUE</t>
        </is>
      </c>
      <c r="T622" t="inlineStr">
        <is>
          <t>(04/28/2026 ocm ran 19h): 28.04.2026: Site to be visited 30/04/2026 if access possible 
27/06/2026 Access banned by Separatists
24.04.26; Access banned by Separatist
23.04.26: FME en route pour le site, ETA=13H UTC // Red zone 
22.04.26; Besoin d'un FME sur site pour vérifier l'état du FAN du MPR et le remplacer au besoin, PN: 3DB18134BBAD01 FME activé eta asap "..;..;(04/28/2026 ocm ran 14h): 28.04.2026: Site to be visited 30/04/2026 if access possible 
27/06/2026 Access banned by Separatists
24.04.26; Access banned by Separatist
23.04.26: FME en route pour le site, ETA=13H UTC // Red zone 
22.04.26; Besoin d'un FME sur site pour vérifier l'état du FAN du MPR et le remplacer au besoin, PN: 3DB18134BBAD01 FME activé eta asap "..;..;(04/28/2026 com ran 10h): 28.04.2026: Site to be visited 30/04/2026 if access possible 
27/06/2026 Access banned by Separatists
24.04.26; Access banned by Separatist
23.04.26: FME en route pour le site, ETA=13H UTC // Red zone 
22.04.26; Besoin d'un FME sur site pour vérifier l'état du FAN du MPR et le remplacer au besoin, PN: 3DB18134BBAD01 FME activé eta asap "..;..;(04/28/2026 ocm ran 00h): 27/06/2026 Access banned by Separatists
24.04.26; Access banned by Separatist
23.04.26: FME en route pour le site, ETA=13H UTC // Red zone 
22.04.26; Besoin d'un FME sur site pour vérifier l'état du FAN du MPR et le remplacer au besoin, PN: 3DB18134BBAD01 FME activé eta asap "</t>
        </is>
      </c>
      <c r="U622" t="inlineStr">
        <is>
          <t>: 28.04.2026 : Site to be visited 30/04/2026 if access possible 27/06/2026 Access banned by Separatists 24.04.26; Access banned by Separatist 23.04.26 : FME en route pour le site, ETA=13H UTC // Red zone 22.04.26; Besoin d'un FME sur site pour vérifier l'état du FAN du MPR et le remplacer au besoin, PN : 3DB18134BBAD01 FME activé eta asap ".;.; : 28.04.2026 : Site to be visited 30/04/2026 if access possible 27/06/2026 Access banned by Separatists 24.04.26; Access banned by Separatist 23.04.26 : FME en route pour le site, ETA=13H UTC // Red zone 22.04.26; Besoin d'un FME sur site pour vérifier l'état du FAN du MPR et le remplacer au besoin, PN : 3DB18134BBAD01 FME activé eta asap ".;.;(04/28/2026 com ran 10h) : 28.04.2026 : Site to be visited 30/04/2026 if access possible 27/06/2026 Access banned by Separatists 24.04.26; Access banned by Separatist 23.04.26 : FME en route pour le site, ETA=13H UTC // Red zone 22.04.26; Besoin d'un FME sur site pour vérifier l'état du FAN du MPR et le remplacer au besoin, PN : 3DB18134BBAD01 FME activé eta asap ".;.; : 27/06/2026 Access banned by Separatists 24.04.26; Access banned by Separatist 23.04.26 : FME en route pour le site, ETA=13H UTC // Red zone 22.04.26; Besoin d'un FME sur site pour vérifier l'état du FAN du MPR et le remplacer au besoin, PN : 3DB18134BBAD01 FME activé eta asap "</t>
        </is>
      </c>
    </row>
    <row r="623">
      <c r="A623" s="96" t="n">
        <v>46140</v>
      </c>
      <c r="B623" t="inlineStr">
        <is>
          <t>Baba-Babungo-IHS</t>
        </is>
      </c>
      <c r="C623" t="inlineStr">
        <is>
          <t>NRO_085</t>
        </is>
      </c>
      <c r="D623" t="inlineStr"/>
      <c r="E623" t="inlineStr">
        <is>
          <t>IHS</t>
        </is>
      </c>
      <c r="F623" t="inlineStr">
        <is>
          <t>Grid-Hybrid-Gen</t>
        </is>
      </c>
      <c r="G623" t="inlineStr">
        <is>
          <t>NORD-OUEST</t>
        </is>
      </c>
      <c r="H623" t="inlineStr">
        <is>
          <t>Baba-Babungo</t>
        </is>
      </c>
      <c r="I623" t="inlineStr"/>
      <c r="J623" t="n">
        <v>32.36356905626896</v>
      </c>
      <c r="K623" t="n">
        <v>13.77031120903332</v>
      </c>
      <c r="L623" t="n">
        <v>0</v>
      </c>
      <c r="M623" t="n">
        <v>9.244366968864234</v>
      </c>
      <c r="N623" t="inlineStr"/>
      <c r="O623" t="inlineStr"/>
      <c r="P623" t="inlineStr">
        <is>
          <t>ACCESS-ISSUE</t>
        </is>
      </c>
      <c r="Q623" t="inlineStr">
        <is>
          <t>ACCESS-ISSUE</t>
        </is>
      </c>
      <c r="R623" t="inlineStr">
        <is>
          <t>ACCESS-ISSUE</t>
        </is>
      </c>
      <c r="S623" t="inlineStr">
        <is>
          <t>ACCESS-ISSUE</t>
        </is>
      </c>
      <c r="T623" t="inlineStr">
        <is>
          <t>(04/28/2026 ocm ran 19h): 28.04.2026: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Feedback MTN, Restoration team faces access issue due to insecurity, escalated to L5
10.04.26: Feedback MTN, Restoration team faces access issue due to insecurity, escalated to L5..;..;(04/28/2026 ocm ran 14h): 28.04.2026: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Feedback MTN, Restoration team faces access issue due to insecurity, escalated to L5
10.04.26: Feedback MTN, Restoration team faces access issue due to insecurity, escalated to L5..;..;(04/28/2026 com ran 10h): 28.04.2026: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Feedback MTN, Restoration team faces access issue due to insecurity, escalated to L5
10.04.26: Feedback MTN, Restoration team faces access issue due to insecurity, escalated to L5..;..;(04/28/2026 ocm ran 00h):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Feedback MTN, Restoration team faces access issue due to insecurity, escalated to L5
10.04.26: Feedback MTN, Restoration team faces access issue due to insecurity, escalated to L5</t>
        </is>
      </c>
      <c r="U623" t="inlineStr">
        <is>
          <t>: 28.04.2026 :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 Feedback MTN, Restoration team faces access issue due to insecurity, escalated to L5 10.04.26 : Feedback MTN, Restoration team faces access issue due to insecurity, escalated to L5.;.; : 28.04.2026 :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 Feedback MTN, Restoration team faces access issue due to insecurity, escalated to L5 10.04.26 : Feedback MTN, Restoration team faces access issue due to insecurity, escalated to L5.;.;(04/28/2026 com ran 10h) : 28.04.2026 : Site to be visited this weekend depending on access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 Feedback MTN, Restoration team faces access issue due to insecurity, escalated to L5 10.04.26 : Feedback MTN, Restoration team faces access issue due to insecurity, escalated to L5.;.; : 27.04.26; Access banned by separatists 25.04.26; Access banned by Separatist 24.04.26; Access banned by Separatist 23.04.26; Access banned by Separatist 22.04.26; Access banned by Separatist 21.04.26; Access banned by Separatist 25.04.26; Access banned by Separatist 20.04.26; Site difficult to access this week we keep trying to grant access New Update this afternoon 19.04.26; Site difficult to access this week we keep trying to grant access New Update this afternoon 18.04.26; Access negotiations ongoing, red zone 17/04/2026 |Access not granted for now we keep trying 16/04/2026 access not granted for this site for now we keep trying || escalade FM THEOPHILE PLAN TO 17/04/2026 15/04/2026 FME maange avec le level 0 // escalade PM HAMMER PHILIPE 14.04.26; FME activated to check locally on site, managing with level 0, red zone 13.04.26 : Feedback MTN, Restoration team faces access issue due to insecurity, escalated to L5 10.04.26 : Feedback MTN, Restoration team faces access issue due to insecurity, escalated to L5</t>
        </is>
      </c>
    </row>
    <row r="624">
      <c r="A624" s="96" t="n">
        <v>46140</v>
      </c>
      <c r="B624" t="inlineStr">
        <is>
          <t>Edea-Ville</t>
        </is>
      </c>
      <c r="C624" t="inlineStr">
        <is>
          <t>LIT_078</t>
        </is>
      </c>
      <c r="D624" t="inlineStr"/>
      <c r="E624" t="inlineStr">
        <is>
          <t>IHS</t>
        </is>
      </c>
      <c r="F624" t="inlineStr">
        <is>
          <t>Grid-Gen</t>
        </is>
      </c>
      <c r="G624" t="inlineStr">
        <is>
          <t>LITTORAL</t>
        </is>
      </c>
      <c r="H624" t="inlineStr">
        <is>
          <t>Edea</t>
        </is>
      </c>
      <c r="I624" t="inlineStr"/>
      <c r="J624" t="n">
        <v>9.07191587832572</v>
      </c>
      <c r="K624" t="n">
        <v>3.889156644940175</v>
      </c>
      <c r="L624" t="n">
        <v>12.68920987946164</v>
      </c>
      <c r="M624" t="n">
        <v>9.218381259755789</v>
      </c>
      <c r="N624" t="inlineStr"/>
      <c r="O624" t="inlineStr"/>
      <c r="P624" t="inlineStr">
        <is>
          <t>IHS</t>
        </is>
      </c>
      <c r="Q624" t="inlineStr">
        <is>
          <t>POWER ISSUE</t>
        </is>
      </c>
      <c r="R624" t="inlineStr">
        <is>
          <t>Defaut GE &amp; Power Cabinet</t>
        </is>
      </c>
      <c r="S624" t="inlineStr">
        <is>
          <t>PASSIVE</t>
        </is>
      </c>
      <c r="T624" t="inlineStr">
        <is>
          <t>(04/28/2026 retour IHS ): Power issue NUR to be checked   ||  (04/28/2026 hourly IHS): FME is on the way ETA 10:15 PM Benoit informed Escalation done to Vensa..;..;(04/28/2026 cell zte): 28/04/2026 : Power issue || Mail sent to IHS..;..;(04/28/2026 ocm ran 19h): 28/04/2026 IHS: FME is on the way ETA 07:20 PM Benoit informed..;..;(04/28/2026 ticket): INC-20260428-00011477…2026-04-28 23:16:43…Grid outage,  Grid return but site still down due to bad voltage phase // He bypassed ATS</t>
        </is>
      </c>
      <c r="U624" t="inlineStr">
        <is>
          <t>04/28/2026 retour IHS ) : Power issue NUR to be checked || : FME is on the way ETA 10 : 15 PM Benoit informed Escalation done to Vensa.;.;(04/28/2026 cell zte) : 28/04/2026 : Power issue || Mail sent to IHS.;.; : 28/04/2026 IHS : FME is on the way ETA 07 : 20 PM Benoit informed.;.; : …2026-04-28 23 : 16 : 43…Grid outage, Grid return but site still down due to bad voltage phase // He bypassed ATS</t>
        </is>
      </c>
    </row>
    <row r="625">
      <c r="A625" s="96" t="n">
        <v>46140</v>
      </c>
      <c r="B625" t="inlineStr">
        <is>
          <t>Garoua-Ray-Re</t>
        </is>
      </c>
      <c r="C625" t="inlineStr">
        <is>
          <t>NRD_062</t>
        </is>
      </c>
      <c r="D625" t="inlineStr"/>
      <c r="E625" t="inlineStr">
        <is>
          <t>IHS</t>
        </is>
      </c>
      <c r="F625" t="inlineStr">
        <is>
          <t>Grid-Gen</t>
        </is>
      </c>
      <c r="G625" t="inlineStr">
        <is>
          <t>NORD</t>
        </is>
      </c>
      <c r="H625" t="inlineStr">
        <is>
          <t>Garoua</t>
        </is>
      </c>
      <c r="I625" t="inlineStr"/>
      <c r="J625" t="n">
        <v>8.71646303690115</v>
      </c>
      <c r="K625" t="n">
        <v>11.11942004889311</v>
      </c>
      <c r="L625" t="n">
        <v>7.849658653393657</v>
      </c>
      <c r="M625" t="n">
        <v>9.071134853167369</v>
      </c>
      <c r="N625" t="inlineStr"/>
      <c r="O625" t="inlineStr"/>
      <c r="P625" t="inlineStr">
        <is>
          <t>IHS</t>
        </is>
      </c>
      <c r="Q625" t="inlineStr">
        <is>
          <t>POWER ISSUE</t>
        </is>
      </c>
      <c r="R625" t="inlineStr">
        <is>
          <t>Defaut GE &amp; Power Cabinet</t>
        </is>
      </c>
      <c r="S625" t="inlineStr">
        <is>
          <t>PASSIVE</t>
        </is>
      </c>
      <c r="T625" t="inlineStr">
        <is>
          <t xml:space="preserve"> (04/28/2026 retour IHS ): Power issue NUR to be checked   ||  checker la courbe power sur Imaster , il ya eu une coupure le 28 et il la presence des alarms power </t>
        </is>
      </c>
      <c r="U625" t="inlineStr">
        <is>
          <t>04/28/2026 retour IHS ) : Power issue NUR to be checked || checker la courbe power sur Imaster , il ya eu une coupure le 28 et il la presence des alarms power</t>
        </is>
      </c>
    </row>
    <row r="626">
      <c r="A626" s="96" t="n">
        <v>46140</v>
      </c>
      <c r="B626" t="inlineStr">
        <is>
          <t>Maroua-Makabaye</t>
        </is>
      </c>
      <c r="C626" t="inlineStr">
        <is>
          <t>EXN_234</t>
        </is>
      </c>
      <c r="D626" t="inlineStr"/>
      <c r="E626" t="inlineStr">
        <is>
          <t>CAMUSAT</t>
        </is>
      </c>
      <c r="F626" t="inlineStr">
        <is>
          <t>Medium Grid + GE</t>
        </is>
      </c>
      <c r="G626" t="inlineStr">
        <is>
          <t>EXTREME-NORD</t>
        </is>
      </c>
      <c r="H626" t="inlineStr">
        <is>
          <t>Maroua</t>
        </is>
      </c>
      <c r="I626" t="inlineStr"/>
      <c r="J626" t="n">
        <v>14.61340819075253</v>
      </c>
      <c r="K626" t="n">
        <v>18.64703079789603</v>
      </c>
      <c r="L626" t="n">
        <v>0.1292772294781632</v>
      </c>
      <c r="M626" t="n">
        <v>8.414233248581041</v>
      </c>
      <c r="N626" t="inlineStr"/>
      <c r="O626" t="inlineStr"/>
      <c r="P626" t="inlineStr">
        <is>
          <t>AKTIVCO</t>
        </is>
      </c>
      <c r="Q626" t="inlineStr">
        <is>
          <t>POWER ISSUE</t>
        </is>
      </c>
      <c r="R626" t="inlineStr">
        <is>
          <t>AKTIVCO Defaut GE &amp; Power Cabinet</t>
        </is>
      </c>
      <c r="S626" t="inlineStr">
        <is>
          <t>PASSIVE</t>
        </is>
      </c>
      <c r="T626" t="inlineStr">
        <is>
          <t>(04/28/2026 com ran 10h): 28.04.2026: FME try to get level 0
28.04.2026: Power Issue observed from efms view(U=46V). CAMUSAT Activated to share ETR</t>
        </is>
      </c>
      <c r="U626" t="inlineStr">
        <is>
          <t>04/28/2026 com ran 10h) : 28.04.2026 : FME try to get level 0 28.04.2026 : Power Issue observed from efms view(U=46V). CAMUSAT Activated to share ETR</t>
        </is>
      </c>
    </row>
    <row r="627">
      <c r="A627" s="96" t="n">
        <v>46140</v>
      </c>
      <c r="B627" t="inlineStr">
        <is>
          <t>Garoua-Foulbere-IV</t>
        </is>
      </c>
      <c r="C627" t="inlineStr">
        <is>
          <t>NRD_067</t>
        </is>
      </c>
      <c r="D627" t="inlineStr"/>
      <c r="E627" t="inlineStr">
        <is>
          <t>IHS</t>
        </is>
      </c>
      <c r="F627" t="inlineStr">
        <is>
          <t>Grid-Gen</t>
        </is>
      </c>
      <c r="G627" t="inlineStr">
        <is>
          <t>NORD</t>
        </is>
      </c>
      <c r="H627" t="inlineStr">
        <is>
          <t>Garoua</t>
        </is>
      </c>
      <c r="I627" t="inlineStr"/>
      <c r="J627" t="n">
        <v>8.740193198486066</v>
      </c>
      <c r="K627" t="n">
        <v>10.99765479699841</v>
      </c>
      <c r="L627" t="n">
        <v>6.157255557963259</v>
      </c>
      <c r="M627" t="n">
        <v>8.151076668007866</v>
      </c>
      <c r="N627" t="inlineStr"/>
      <c r="O627" t="inlineStr"/>
      <c r="P627" t="inlineStr">
        <is>
          <t>IHS</t>
        </is>
      </c>
      <c r="Q627" t="inlineStr">
        <is>
          <t>POWER ISSUE</t>
        </is>
      </c>
      <c r="R627" t="inlineStr">
        <is>
          <t>Defaut GE &amp; Power Cabinet</t>
        </is>
      </c>
      <c r="S627" t="inlineStr">
        <is>
          <t>PASSIVE</t>
        </is>
      </c>
      <c r="T627" t="inlineStr">
        <is>
          <t>(04/28/2026 retour IHS ): Power issue NUR to be checked   ||  (04/28/2026 hourly IHS): technician is manged with level zero</t>
        </is>
      </c>
      <c r="U627" t="inlineStr">
        <is>
          <t>04/28/2026 retour IHS ) : Power issue NUR to be checked || : technician is manged with level zero</t>
        </is>
      </c>
    </row>
    <row r="628">
      <c r="A628" s="96" t="n">
        <v>46140</v>
      </c>
      <c r="B628" t="inlineStr">
        <is>
          <t>Ngomedzap</t>
        </is>
      </c>
      <c r="C628" t="inlineStr">
        <is>
          <t>CTR_188</t>
        </is>
      </c>
      <c r="D628" t="inlineStr"/>
      <c r="E628" t="inlineStr">
        <is>
          <t>IHS</t>
        </is>
      </c>
      <c r="F628" t="inlineStr">
        <is>
          <t>Grid-Gen</t>
        </is>
      </c>
      <c r="G628" t="inlineStr">
        <is>
          <t>CENTRE</t>
        </is>
      </c>
      <c r="H628" t="inlineStr">
        <is>
          <t>Ngomedzap</t>
        </is>
      </c>
      <c r="I628" t="inlineStr"/>
      <c r="J628" t="n">
        <v>14.91390697376993</v>
      </c>
      <c r="K628" t="n">
        <v>17.81820894152208</v>
      </c>
      <c r="L628" t="n">
        <v>0</v>
      </c>
      <c r="M628" t="n">
        <v>8.111482794143246</v>
      </c>
      <c r="N628" t="inlineStr"/>
      <c r="O628" t="inlineStr"/>
      <c r="P628" t="inlineStr">
        <is>
          <t>ENVTECH</t>
        </is>
      </c>
      <c r="Q628" t="inlineStr">
        <is>
          <t>ENVTECH</t>
        </is>
      </c>
      <c r="R628" t="inlineStr">
        <is>
          <t>Sites strategiques, MLL, Pylone, etc.</t>
        </is>
      </c>
      <c r="S628" t="inlineStr">
        <is>
          <t>PASSIVE</t>
        </is>
      </c>
      <c r="T628" t="inlineStr">
        <is>
          <t>(04/28/2026 ocm ran 19h): 28/04/2026 Site urelay point transmis a OCM ..;..;(04/28/2026 ocm ran 14h): Power status check ongoing..;..;(04/28/2026 ticket): INC-20260428-00008405…2026-04-28 19:25:04…Site U-relay…Site Ue-relay, niveau 0 activé pour effectuer un power reset sur la technologie.</t>
        </is>
      </c>
      <c r="U628" t="inlineStr">
        <is>
          <t>: 28/04/2026 Site urelay point transmis a OCM .;.; : ; : …2026-04-28 19 : 25 : 04…Site U-relay…Site Ue-relay, niveau 0 activé pour effectuer un power reset sur la technologie.</t>
        </is>
      </c>
    </row>
    <row r="629">
      <c r="A629" s="96" t="n">
        <v>46140</v>
      </c>
      <c r="B629" t="inlineStr">
        <is>
          <t>Pette</t>
        </is>
      </c>
      <c r="C629" t="inlineStr">
        <is>
          <t>EXN_039</t>
        </is>
      </c>
      <c r="D629" t="inlineStr"/>
      <c r="E629" t="inlineStr">
        <is>
          <t>CAMUSAT</t>
        </is>
      </c>
      <c r="F629" t="inlineStr">
        <is>
          <t>Hybrid Solar - S3</t>
        </is>
      </c>
      <c r="G629" t="inlineStr">
        <is>
          <t>EXTREME-NORD</t>
        </is>
      </c>
      <c r="H629" t="inlineStr">
        <is>
          <t>Pette</t>
        </is>
      </c>
      <c r="I629" t="inlineStr"/>
      <c r="J629" t="n">
        <v>0</v>
      </c>
      <c r="K629" t="n">
        <v>23.73784897538685</v>
      </c>
      <c r="L629" t="n">
        <v>0</v>
      </c>
      <c r="M629" t="n">
        <v>7.969069693778842</v>
      </c>
      <c r="N629" t="inlineStr"/>
      <c r="O629" t="inlineStr"/>
      <c r="P629" t="inlineStr">
        <is>
          <t>PDH</t>
        </is>
      </c>
      <c r="Q629" t="inlineStr">
        <is>
          <t>TX ISSUE</t>
        </is>
      </c>
      <c r="R629" t="inlineStr">
        <is>
          <t>ODU HS</t>
        </is>
      </c>
      <c r="S629" t="inlineStr">
        <is>
          <t>ACTIVE</t>
        </is>
      </c>
      <c r="T629" t="inlineStr">
        <is>
          <t>(04/28/2026 ocm ran 00h): 27/04/2026 FME sur site travaux en cours ETR=14H30 // FME SUR SITE TRAVAUX TOUJOURS EN COURS 
27/04/2026 Le FME est en route pour le site ETA 10h15
26/04/2026 ODU expedié de douala ETD= 25/04/2026
20.04.26; ODU available in Douala and will be shipped today, ETD= 25/04/2026
19.04.26; FME sur site et le BO recommande également le remplacement de l'ODU, commande en cours
18.04.26; MPR FAN is faulty, replacement planned for this 19.04.26</t>
        </is>
      </c>
      <c r="U629" t="inlineStr">
        <is>
          <t>: 27/04/2026 FME sur site travaux en cours ETR=14H30 // FME SUR SITE TRAVAUX TOUJOURS EN COURS 27/04/2026 Le FME est en route pour le site ETA 10h15 26/04/2026 ODU expedié de douala ETD= 25/04/2026 20.04.26; ODU available in Douala and will be shipped today, ETD= 25/04/2026 19.04.26; FME sur site et le BO recommande également le remplacement de l'ODU, commande en cours 18.04.26; MPR FAN is faulty, replacement planned for this 19.04.26</t>
        </is>
      </c>
    </row>
    <row r="630">
      <c r="A630" s="96" t="n">
        <v>46140</v>
      </c>
      <c r="B630" t="inlineStr">
        <is>
          <t>Bonamatoumbe-II</t>
        </is>
      </c>
      <c r="C630" t="inlineStr">
        <is>
          <t>LIT_364</t>
        </is>
      </c>
      <c r="D630" t="inlineStr"/>
      <c r="E630" t="inlineStr">
        <is>
          <t>IHS</t>
        </is>
      </c>
      <c r="F630" t="inlineStr">
        <is>
          <t>Grid-Gen</t>
        </is>
      </c>
      <c r="G630" t="inlineStr">
        <is>
          <t>LITTORAL</t>
        </is>
      </c>
      <c r="H630" t="inlineStr">
        <is>
          <t>Douala</t>
        </is>
      </c>
      <c r="I630" t="inlineStr"/>
      <c r="J630" t="n">
        <v>10.7132936864781</v>
      </c>
      <c r="K630" t="n">
        <v>9.22068963758581</v>
      </c>
      <c r="L630" t="n">
        <v>6.094497961113409</v>
      </c>
      <c r="M630" t="n">
        <v>7.803560166993406</v>
      </c>
      <c r="N630" t="inlineStr"/>
      <c r="O630" t="inlineStr"/>
      <c r="P630" t="inlineStr">
        <is>
          <t>IHS</t>
        </is>
      </c>
      <c r="Q630" t="inlineStr">
        <is>
          <t>POWER ISSUE</t>
        </is>
      </c>
      <c r="R630" t="inlineStr">
        <is>
          <t>Defaut GE &amp; Power Cabinet</t>
        </is>
      </c>
      <c r="S630" t="inlineStr">
        <is>
          <t>PASSIVE</t>
        </is>
      </c>
      <c r="T630" t="inlineStr">
        <is>
          <t>(04/28/2026 retour IHS ): Power issue NUR to be checked   ||  (04/28/2026 hourly IHS): FME is on thenway ETA 08:45 PM// Maxime is informed..;..;(04/28/2026 ocm ran 19h): 28/04/2026 FME is on site// Maxime is informed..;..;(04/28/2026 ocm ran 14h): Power status check ongoing..;..;(04/28/2026 ticket): INC-20260428-00009268…2026-04-28 23:12:13…Grid outage,site went down because Gen is faulty//Deployement of another Gen on site</t>
        </is>
      </c>
      <c r="U630" t="inlineStr">
        <is>
          <t>04/28/2026 retour IHS ) : Power issue NUR to be checked || : FME is on thenway ETA 08 : 45 PM// Maxime is informed.;.; : 28/04/2026 FME is on site// Maxime is informed.;.; : ; : …2026-04-28 23 : 12 : 13…Grid outage,site went down because Gen is faulty//Deployement of another Gen on site</t>
        </is>
      </c>
    </row>
    <row r="631">
      <c r="A631" s="96" t="n">
        <v>46140</v>
      </c>
      <c r="B631" t="inlineStr">
        <is>
          <t>Garoua-Ngalbidje-II</t>
        </is>
      </c>
      <c r="C631" t="inlineStr">
        <is>
          <t>NRD_158</t>
        </is>
      </c>
      <c r="D631" t="inlineStr"/>
      <c r="E631" t="inlineStr">
        <is>
          <t>CAMUSAT</t>
        </is>
      </c>
      <c r="F631" t="inlineStr">
        <is>
          <t>Good Grid + Solar + GE</t>
        </is>
      </c>
      <c r="G631" t="inlineStr">
        <is>
          <t>NORD</t>
        </is>
      </c>
      <c r="H631" t="inlineStr">
        <is>
          <t>Garoua</t>
        </is>
      </c>
      <c r="I631" t="inlineStr"/>
      <c r="J631" t="n">
        <v>17.6889620277448</v>
      </c>
      <c r="K631" t="n">
        <v>15.15010489237057</v>
      </c>
      <c r="L631" t="n">
        <v>0</v>
      </c>
      <c r="M631" t="n">
        <v>7.612047096021208</v>
      </c>
      <c r="N631" t="inlineStr"/>
      <c r="O631" t="inlineStr"/>
      <c r="P631" t="inlineStr">
        <is>
          <t>AKTIVCO</t>
        </is>
      </c>
      <c r="Q631" t="inlineStr">
        <is>
          <t>POWER ISSUE</t>
        </is>
      </c>
      <c r="R631" t="inlineStr">
        <is>
          <t>AKTIVCO Defaut GE &amp; Power Cabinet</t>
        </is>
      </c>
      <c r="S631" t="inlineStr">
        <is>
          <t>PASSIVE</t>
        </is>
      </c>
      <c r="T631" t="inlineStr">
        <is>
          <t>(04/28/2026 ocm ran 19h): 28/04/2026 CAMUSAT: grid outage and gen failed to start due to gen card alarming gen failed to start..;..;(04/28/2026 ocm ran 14h): Power status check ongoing</t>
        </is>
      </c>
      <c r="U631" t="inlineStr">
        <is>
          <t>: 28/04/2026 CAMUSAT : grid outage and gen failed to start due to gen card alarming gen failed to start.;.; : Power status check ongoing</t>
        </is>
      </c>
    </row>
    <row r="632">
      <c r="A632" s="96" t="n">
        <v>46140</v>
      </c>
      <c r="B632" t="inlineStr">
        <is>
          <t>Eloumdem</t>
        </is>
      </c>
      <c r="C632" t="inlineStr">
        <is>
          <t>CTR_630</t>
        </is>
      </c>
      <c r="D632" t="inlineStr"/>
      <c r="E632" t="inlineStr">
        <is>
          <t>CAMUSAT</t>
        </is>
      </c>
      <c r="F632" t="inlineStr">
        <is>
          <t>HGB</t>
        </is>
      </c>
      <c r="G632" t="inlineStr">
        <is>
          <t>CENTRE</t>
        </is>
      </c>
      <c r="H632" t="inlineStr">
        <is>
          <t>Yaounde</t>
        </is>
      </c>
      <c r="I632" t="inlineStr"/>
      <c r="J632" t="n">
        <v>6.409017061736388</v>
      </c>
      <c r="K632" t="n">
        <v>5.457760845395105</v>
      </c>
      <c r="L632" t="n">
        <v>9.103921381933914</v>
      </c>
      <c r="M632" t="n">
        <v>7.495031147180774</v>
      </c>
      <c r="N632" t="inlineStr"/>
      <c r="O632" t="inlineStr"/>
      <c r="P632" t="inlineStr">
        <is>
          <t>AKTIVCO</t>
        </is>
      </c>
      <c r="Q632" t="inlineStr">
        <is>
          <t>POWER ISSUE</t>
        </is>
      </c>
      <c r="R632" t="inlineStr">
        <is>
          <t>AKTIVCO Defaut GE &amp; Power Cabinet</t>
        </is>
      </c>
      <c r="S632" t="inlineStr">
        <is>
          <t>PASSIVE</t>
        </is>
      </c>
      <c r="T632" t="inlineStr">
        <is>
          <t>(04/28/2026 ocm ran 14h): Power status check ongoing..;..;(04/28/2026 ticket): INC-20260428-00018200…2026-04-28 22:48:44…FME try to get level 0</t>
        </is>
      </c>
      <c r="U632" t="inlineStr">
        <is>
          <t>: ; : …2026-04-28 22 : 48 : 44…FME try to get level 0</t>
        </is>
      </c>
    </row>
    <row r="633">
      <c r="A633" s="96" t="n">
        <v>46140</v>
      </c>
      <c r="B633" t="inlineStr">
        <is>
          <t>Japoma-I</t>
        </is>
      </c>
      <c r="C633" t="inlineStr">
        <is>
          <t>LIT_725</t>
        </is>
      </c>
      <c r="D633" t="inlineStr"/>
      <c r="E633" t="inlineStr">
        <is>
          <t>CAMUSAT</t>
        </is>
      </c>
      <c r="F633" t="inlineStr">
        <is>
          <t>Good Grid no GE - 8h</t>
        </is>
      </c>
      <c r="G633" t="inlineStr">
        <is>
          <t>LITTORAL</t>
        </is>
      </c>
      <c r="H633" t="inlineStr">
        <is>
          <t>Douala</t>
        </is>
      </c>
      <c r="I633" t="inlineStr"/>
      <c r="J633" t="n">
        <v>4.14728287151941</v>
      </c>
      <c r="K633" t="n">
        <v>3.565139947162804</v>
      </c>
      <c r="L633" t="n">
        <v>10.83343183027008</v>
      </c>
      <c r="M633" t="n">
        <v>7.438600959384532</v>
      </c>
      <c r="N633" t="inlineStr"/>
      <c r="O633" t="inlineStr"/>
      <c r="P633" t="inlineStr">
        <is>
          <t>AKTIVCO GRID ONLY</t>
        </is>
      </c>
      <c r="Q633" t="inlineStr">
        <is>
          <t>POWER ISSUE</t>
        </is>
      </c>
      <c r="R633" t="inlineStr">
        <is>
          <t>AKTIVCO Coupure ENEO &amp; Baisse de tension</t>
        </is>
      </c>
      <c r="S633" t="inlineStr">
        <is>
          <t>PASSIVE</t>
        </is>
      </c>
      <c r="T633" t="inlineStr">
        <is>
          <t>(04/28/2026 ocm ran 14h): Power status check ongoing..;..;(04/28/2026 ticket): INC-20260428-00008527…2026-04-28 13:43:13…grid outage and gen failed to start /technician is managing</t>
        </is>
      </c>
      <c r="U633" t="inlineStr">
        <is>
          <t>: ; : …2026-04-28 13 : 43 : 13…grid outage and gen failed to start /technician is managing</t>
        </is>
      </c>
    </row>
    <row r="634">
      <c r="A634" s="96" t="n">
        <v>46140</v>
      </c>
      <c r="B634" t="inlineStr">
        <is>
          <t>Bastos-ART</t>
        </is>
      </c>
      <c r="C634" t="inlineStr">
        <is>
          <t>CTR_722</t>
        </is>
      </c>
      <c r="D634" t="inlineStr"/>
      <c r="E634" t="inlineStr">
        <is>
          <t>CAMUSAT</t>
        </is>
      </c>
      <c r="F634" t="inlineStr">
        <is>
          <t>Good Grid + GE</t>
        </is>
      </c>
      <c r="G634" t="inlineStr">
        <is>
          <t>CENTRE</t>
        </is>
      </c>
      <c r="H634" t="inlineStr">
        <is>
          <t>Yaounde</t>
        </is>
      </c>
      <c r="I634" t="inlineStr"/>
      <c r="J634" t="n">
        <v>0</v>
      </c>
      <c r="K634" t="n">
        <v>12.01496841328614</v>
      </c>
      <c r="L634" t="n">
        <v>6.09047093563175</v>
      </c>
      <c r="M634" t="n">
        <v>7.209674385630657</v>
      </c>
      <c r="N634" t="inlineStr"/>
      <c r="O634" t="inlineStr"/>
      <c r="P634" t="inlineStr">
        <is>
          <t>Exclu</t>
        </is>
      </c>
      <c r="Q634" t="inlineStr">
        <is>
          <t>Exclu</t>
        </is>
      </c>
      <c r="R634" t="inlineStr">
        <is>
          <t>EXCLU</t>
        </is>
      </c>
      <c r="S634" t="inlineStr">
        <is>
          <t>Exclu</t>
        </is>
      </c>
      <c r="T634" t="inlineStr">
        <is>
          <t>(04/28/2026 ocm ran 14h): Power status check ongoing</t>
        </is>
      </c>
      <c r="U634" t="inlineStr">
        <is>
          <t>: Power status check ongoing</t>
        </is>
      </c>
    </row>
    <row r="635">
      <c r="A635" s="96" t="n">
        <v>46140</v>
      </c>
      <c r="B635" t="inlineStr">
        <is>
          <t>Obobogo-Paloma</t>
        </is>
      </c>
      <c r="C635" t="inlineStr">
        <is>
          <t>CTR_598</t>
        </is>
      </c>
      <c r="D635" t="inlineStr"/>
      <c r="E635" t="inlineStr">
        <is>
          <t>CAMUSAT</t>
        </is>
      </c>
      <c r="F635" t="inlineStr">
        <is>
          <t>Good Grid no GE - 8h</t>
        </is>
      </c>
      <c r="G635" t="inlineStr">
        <is>
          <t>CENTRE</t>
        </is>
      </c>
      <c r="H635" t="inlineStr">
        <is>
          <t>Yaounde</t>
        </is>
      </c>
      <c r="I635" t="inlineStr"/>
      <c r="J635" t="n">
        <v>3.29424601033536</v>
      </c>
      <c r="K635" t="n">
        <v>2.813351081734447</v>
      </c>
      <c r="L635" t="n">
        <v>11.08090538384255</v>
      </c>
      <c r="M635" t="n">
        <v>7.193457807911919</v>
      </c>
      <c r="N635" t="inlineStr"/>
      <c r="O635" t="inlineStr"/>
      <c r="P635" t="inlineStr">
        <is>
          <t>AKTIVCO GRID ONLY</t>
        </is>
      </c>
      <c r="Q635" t="inlineStr">
        <is>
          <t>POWER ISSUE</t>
        </is>
      </c>
      <c r="R635" t="inlineStr">
        <is>
          <t>AKTIVCO Coupure ENEO &amp; Baisse de tension</t>
        </is>
      </c>
      <c r="S635" t="inlineStr">
        <is>
          <t>PASSIVE</t>
        </is>
      </c>
      <c r="T635" t="inlineStr">
        <is>
          <t>(04/28/2026 ticket): INC-20260428-00016579…2026-04-28 22:17:01…investigations ongoing / FME is trying to get level0</t>
        </is>
      </c>
      <c r="U635" t="inlineStr">
        <is>
          <t>: …2026-04-28 22 : 17 : 01…investigations ongoing / FME is trying to get level0</t>
        </is>
      </c>
    </row>
    <row r="636">
      <c r="A636" s="96" t="n">
        <v>46140</v>
      </c>
      <c r="B636" t="inlineStr">
        <is>
          <t>Bertoua-Dabadi</t>
        </is>
      </c>
      <c r="C636" t="inlineStr">
        <is>
          <t>EST_087</t>
        </is>
      </c>
      <c r="D636" t="inlineStr"/>
      <c r="E636" t="inlineStr">
        <is>
          <t>IHS</t>
        </is>
      </c>
      <c r="F636" t="inlineStr">
        <is>
          <t>Grid-Gen</t>
        </is>
      </c>
      <c r="G636" t="inlineStr">
        <is>
          <t>EST</t>
        </is>
      </c>
      <c r="H636" t="inlineStr">
        <is>
          <t>Bertoua</t>
        </is>
      </c>
      <c r="I636" t="inlineStr"/>
      <c r="J636" t="n">
        <v>0.1772268383631284</v>
      </c>
      <c r="K636" t="n">
        <v>0.4555571705920551</v>
      </c>
      <c r="L636" t="n">
        <v>13.37732042366816</v>
      </c>
      <c r="M636" t="n">
        <v>7.154363316240194</v>
      </c>
      <c r="N636" t="inlineStr"/>
      <c r="O636" t="inlineStr"/>
      <c r="P636" t="inlineStr">
        <is>
          <t>BSS</t>
        </is>
      </c>
      <c r="Q636" t="inlineStr">
        <is>
          <t>RAN ISSUE</t>
        </is>
      </c>
      <c r="R636" t="inlineStr">
        <is>
          <t>BSS Hardware issue</t>
        </is>
      </c>
      <c r="S636" t="inlineStr">
        <is>
          <t>ACTIVE</t>
        </is>
      </c>
      <c r="T636" t="inlineStr">
        <is>
          <t xml:space="preserve">(04/28/2026 cell zte): 28/04/2026 : Escalade faite au RM || feedback RM attendu
27/04/2026 : Fme a recu la spare ce jour et actuellement pas en sante || Intervention reportee
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 ..;..;(04/28/2026 cell zte): 28/04/2026 : Escalade faite au RM || Feedback RM : programmé pour aujourd'hui après la pluie on va essayer de remplacer les connecteurs
27/04/2026 : Fme a recu la spare ce jour et actuellement pas en sante || Intervention reportee
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 ..;..;(04/28/2026 cell zte): 
28/04/2026 : Escalade faite au RM || Feedback RM : programmé pour aujourd'hui après la pluie on va essayer de remplacer les connecteurs || Up apres remplacement du GPS
27/04/2026 : Fme a recu la spare ce jour et actuellement pas en sante || Intervention reportee
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 </t>
        </is>
      </c>
      <c r="U636" t="inlineStr">
        <is>
          <t>04/28/2026 cell zte) : 28/04/2026 : Escalade faite au RM || feedback RM attendu 27/04/2026 : Fme a recu la spare ce jour et actuellement pas en sante || Intervention reportee 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 .;.;(04/28/2026 cell zte) : 28/04/2026 : Escalade faite au RM || Feedback RM : programmé pour aujourd'hui après la pluie on va essayer de remplacer les connecteurs 27/04/2026 : Fme a recu la spare ce jour et actuellement pas en sante || Intervention reportee 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 .;.;(04/28/2026 cell zte) : 28/04/2026 : Escalade faite au RM || Feedback RM : programmé pour aujourd'hui après la pluie on va essayer de remplacer les connecteurs || Up apres remplacement du GPS 27/04/2026 : Fme a recu la spare ce jour et actuellement pas en sante || Intervention reportee 24/03/2026 : Fme en route pour le site ETA 10H || Apres troubleshooting entre le fme sur site et le support ZTE , il a ete demande de commander un GPS complet || Commande en cours 23/04/2026 : Test de troobleshooting entre le Fme et le suport ZTE planifie pour demain 22/04/2026 : RI en cours de redaction pour envoye a ZTE 21/04/2026 : Fme actuellement sur site || Intervention en cours || Cables remplace mais probleme pas resolu ; check en cours 16/04/2026 : Pas de spare disponible au HW SPMS || Commande passee a OCM SPMS 15/04/2026 : SPARE non disponible au WH du SBC || Cde du RM passee a HW SPMS || Feedback HW SPMS attendu 14/04/2026 : Fme active || ETA 12h || Intervention en cours || Feedback Fme : les actions demandes par le BO RAN ont ete effectuees , Prochaine etape remplacement du cable || commande en cours 13/04/2026 : Besoin d'analyse BO RAN || Cell was down due to GPS instability || Check GPS status</t>
        </is>
      </c>
    </row>
    <row r="637">
      <c r="A637" s="96" t="n">
        <v>46140</v>
      </c>
      <c r="B637" t="inlineStr">
        <is>
          <t>laboratorie-T.Bella</t>
        </is>
      </c>
      <c r="C637" t="inlineStr">
        <is>
          <t>CTR_937</t>
        </is>
      </c>
      <c r="D637" t="inlineStr"/>
      <c r="E637" t="inlineStr">
        <is>
          <t>ESCO</t>
        </is>
      </c>
      <c r="F637" t="inlineStr"/>
      <c r="G637" t="inlineStr">
        <is>
          <t>CENTRE</t>
        </is>
      </c>
      <c r="H637" t="inlineStr">
        <is>
          <t>Yaounde</t>
        </is>
      </c>
      <c r="I637" t="inlineStr"/>
      <c r="J637" t="n">
        <v>0</v>
      </c>
      <c r="K637" t="n">
        <v>0.1402531697216342</v>
      </c>
      <c r="L637" t="n">
        <v>13.50526384046123</v>
      </c>
      <c r="M637" t="n">
        <v>7.089925178279443</v>
      </c>
      <c r="N637" t="inlineStr"/>
      <c r="O637" t="inlineStr"/>
      <c r="P637" t="inlineStr">
        <is>
          <t>BSS</t>
        </is>
      </c>
      <c r="Q637" t="inlineStr">
        <is>
          <t>RAN ISSUE</t>
        </is>
      </c>
      <c r="R637" t="inlineStr">
        <is>
          <t>BSS Hardware issue</t>
        </is>
      </c>
      <c r="S637" t="inlineStr">
        <is>
          <t>ACTIVE</t>
        </is>
      </c>
      <c r="T637" t="inlineStr">
        <is>
          <t xml:space="preserve">  04/28/2026: hardware issue,  site with GPS issue (alarm : TDD down 09Apr 02pm)</t>
        </is>
      </c>
      <c r="U637" t="inlineStr">
        <is>
          <t>04/28/2026 : hardware issue, site with GPS issue (alarm : TDD down 09Apr 02pm)</t>
        </is>
      </c>
    </row>
    <row r="638">
      <c r="A638" s="96" t="n">
        <v>46140</v>
      </c>
      <c r="B638" t="inlineStr">
        <is>
          <t>Oyomabang-II</t>
        </is>
      </c>
      <c r="C638" t="inlineStr">
        <is>
          <t>CTR_865</t>
        </is>
      </c>
      <c r="D638" t="inlineStr"/>
      <c r="E638" t="inlineStr">
        <is>
          <t>CAMUSAT</t>
        </is>
      </c>
      <c r="F638" t="inlineStr">
        <is>
          <t>Good Grid + GE</t>
        </is>
      </c>
      <c r="G638" t="inlineStr">
        <is>
          <t>CENTRE</t>
        </is>
      </c>
      <c r="H638" t="inlineStr">
        <is>
          <t>Yaounde</t>
        </is>
      </c>
      <c r="I638" t="inlineStr"/>
      <c r="J638" t="n">
        <v>3.281131973670012</v>
      </c>
      <c r="K638" t="n">
        <v>2.861005283719412</v>
      </c>
      <c r="L638" t="n">
        <v>10.20229902794468</v>
      </c>
      <c r="M638" t="n">
        <v>6.749400027965407</v>
      </c>
      <c r="N638" t="inlineStr"/>
      <c r="O638" t="inlineStr"/>
      <c r="P638" t="inlineStr">
        <is>
          <t>AKTIVCO</t>
        </is>
      </c>
      <c r="Q638" t="inlineStr">
        <is>
          <t>POWER ISSUE</t>
        </is>
      </c>
      <c r="R638" t="inlineStr">
        <is>
          <t>AKTIVCO Defaut GE &amp; Power Cabinet</t>
        </is>
      </c>
      <c r="S638" t="inlineStr">
        <is>
          <t>PASSIVE</t>
        </is>
      </c>
      <c r="T638" t="inlineStr">
        <is>
          <t>(04/28/2026 com ran 10h): Power status check ongoing..;..;(04/28/2026 ticket): INC-20260428-00006459…2026-04-28 11:12:17…grid outage grid only site /awaiting grid return…grid outage grid only site /awaiting grid return…Coupure Secteur…grid outage grid only site /awaiting grid return</t>
        </is>
      </c>
      <c r="U638" t="inlineStr">
        <is>
          <t>04/28/2026 com ran 10h) : ; : …2026-04-28 11 : 12 : 17…grid outage grid only site /awaiting grid return…grid outage grid only site /awaiting grid return…Coupure Secteur…grid outage grid only site /awaiting grid return</t>
        </is>
      </c>
    </row>
    <row r="639">
      <c r="A639" s="96" t="n">
        <v>46140</v>
      </c>
      <c r="B639" t="inlineStr">
        <is>
          <t>Limbon-IHS</t>
        </is>
      </c>
      <c r="C639" t="inlineStr">
        <is>
          <t>ADM_080</t>
        </is>
      </c>
      <c r="D639" t="inlineStr"/>
      <c r="E639" t="inlineStr">
        <is>
          <t>IHS</t>
        </is>
      </c>
      <c r="F639" t="inlineStr">
        <is>
          <t>Grid-Gen</t>
        </is>
      </c>
      <c r="G639" t="inlineStr">
        <is>
          <t>ADAMAOUA</t>
        </is>
      </c>
      <c r="H639" t="inlineStr">
        <is>
          <t>Limbon</t>
        </is>
      </c>
      <c r="I639" t="inlineStr"/>
      <c r="J639" t="n">
        <v>9.226411719802245</v>
      </c>
      <c r="K639" t="n">
        <v>11.79898692103913</v>
      </c>
      <c r="L639" t="n">
        <v>2.528498447031631</v>
      </c>
      <c r="M639" t="n">
        <v>6.597169749805228</v>
      </c>
      <c r="N639" t="inlineStr"/>
      <c r="O639" t="inlineStr"/>
      <c r="P639" t="inlineStr">
        <is>
          <t>PDH</t>
        </is>
      </c>
      <c r="Q639" t="inlineStr">
        <is>
          <t>TX ISSUE</t>
        </is>
      </c>
      <c r="R639" t="inlineStr">
        <is>
          <t>MPR ISSUE</t>
        </is>
      </c>
      <c r="S639" t="inlineStr">
        <is>
          <t>ACTIVE</t>
        </is>
      </c>
      <c r="T639" t="inlineStr">
        <is>
          <t xml:space="preserve">(04/28/2026 hourly IHS): Idriss is informed and managing with L0...;..;(04/28/2026 ocm ran 00h): 27/04/2026 fme hipolite actvé eta asap 
Besoin d'un fme sur site pour verifier le le status du MPR et la chaine antennaire de l ODU 3/1 </t>
        </is>
      </c>
      <c r="U639" t="inlineStr">
        <is>
          <t>: Idriss is informed and managing with L0.;.; : 27/04/2026 fme hipolite actvé eta asap Besoin d'un fme sur site pour verifier le le status du MPR et la chaine antennaire de l ODU 3/1</t>
        </is>
      </c>
    </row>
    <row r="640">
      <c r="A640" s="96" t="n">
        <v>46140</v>
      </c>
      <c r="B640" t="inlineStr">
        <is>
          <t>Ndokoti-Carrefour-MTN</t>
        </is>
      </c>
      <c r="C640" t="inlineStr">
        <is>
          <t>LIT_684</t>
        </is>
      </c>
      <c r="D640" t="inlineStr"/>
      <c r="E640" t="inlineStr">
        <is>
          <t>MTN sharing</t>
        </is>
      </c>
      <c r="F640" t="inlineStr">
        <is>
          <t>MTN sharing</t>
        </is>
      </c>
      <c r="G640" t="inlineStr">
        <is>
          <t>LITTORAL</t>
        </is>
      </c>
      <c r="H640" t="inlineStr">
        <is>
          <t>Douala</t>
        </is>
      </c>
      <c r="I640" t="inlineStr"/>
      <c r="J640" t="n">
        <v>6.653312830473724</v>
      </c>
      <c r="K640" t="n">
        <v>6.00065748985927</v>
      </c>
      <c r="L640" t="n">
        <v>6.770809393105652</v>
      </c>
      <c r="M640" t="n">
        <v>6.495482017960637</v>
      </c>
      <c r="N640" t="inlineStr"/>
      <c r="O640" t="inlineStr"/>
      <c r="P640" t="inlineStr">
        <is>
          <t>Partners</t>
        </is>
      </c>
      <c r="Q640" t="inlineStr">
        <is>
          <t>POWER ISSUE</t>
        </is>
      </c>
      <c r="R640" t="inlineStr">
        <is>
          <t>Sharing</t>
        </is>
      </c>
      <c r="S640" t="inlineStr">
        <is>
          <t>PASSIVE</t>
        </is>
      </c>
      <c r="T640" t="inlineStr">
        <is>
          <t>(04/28/2026 ocm ran 19h): Power status check ongoing..;..;(04/28/2026 ticket): INC-20260428-00011937…2026-04-28 18:29:29…Power issue on site</t>
        </is>
      </c>
      <c r="U640" t="inlineStr">
        <is>
          <t>: ; : …2026-04-28 18 : 29 : 29…Power issue on site</t>
        </is>
      </c>
    </row>
    <row r="641">
      <c r="A641" s="96" t="n">
        <v>46140</v>
      </c>
      <c r="B641" t="inlineStr">
        <is>
          <t>Newb-Srce-Quartier</t>
        </is>
      </c>
      <c r="C641" t="inlineStr">
        <is>
          <t>LIT_095</t>
        </is>
      </c>
      <c r="D641" t="inlineStr"/>
      <c r="E641" t="inlineStr">
        <is>
          <t>IHS</t>
        </is>
      </c>
      <c r="F641" t="inlineStr">
        <is>
          <t>GridOnly</t>
        </is>
      </c>
      <c r="G641" t="inlineStr">
        <is>
          <t>LITTORAL</t>
        </is>
      </c>
      <c r="H641" t="inlineStr">
        <is>
          <t>Douala</t>
        </is>
      </c>
      <c r="I641" t="inlineStr"/>
      <c r="J641" t="n">
        <v>2.759568001151038</v>
      </c>
      <c r="K641" t="n">
        <v>2.464205691048618</v>
      </c>
      <c r="L641" t="n">
        <v>9.972814845458304</v>
      </c>
      <c r="M641" t="n">
        <v>6.4220371654496</v>
      </c>
      <c r="N641" t="inlineStr"/>
      <c r="O641" t="inlineStr"/>
      <c r="P641" t="inlineStr">
        <is>
          <t>IHS GRID ONLY</t>
        </is>
      </c>
      <c r="Q641" t="inlineStr">
        <is>
          <t>POWER ISSUE</t>
        </is>
      </c>
      <c r="R641" t="inlineStr">
        <is>
          <t>Coupure ENEO &amp; Baisse de tension</t>
        </is>
      </c>
      <c r="S641" t="inlineStr">
        <is>
          <t>PASSIVE</t>
        </is>
      </c>
      <c r="T641" t="inlineStr">
        <is>
          <t>(04/28/2026 retour IHS ): Power issue NUR to be checked   ||  (04/28/2026 hourly IHS): Grid only no space // awaiting grid return..;..;(04/28/2026 ocm ran 14h): Power status check ongoing..;..;(04/28/2026 ticket): INC-20260428-00008691</t>
        </is>
      </c>
      <c r="U641" t="inlineStr">
        <is>
          <t>04/28/2026 retour IHS ) : Power issue NUR to be checked || : Grid only no space // awaiting grid return.;.; : ; :</t>
        </is>
      </c>
    </row>
    <row r="642">
      <c r="A642" s="96" t="n">
        <v>46140</v>
      </c>
      <c r="B642" t="inlineStr">
        <is>
          <t>Tagawa-IHS</t>
        </is>
      </c>
      <c r="C642" t="inlineStr">
        <is>
          <t>EXN_274</t>
        </is>
      </c>
      <c r="D642" t="inlineStr"/>
      <c r="E642" t="inlineStr">
        <is>
          <t>IHS</t>
        </is>
      </c>
      <c r="F642" t="inlineStr">
        <is>
          <t>Gen Only</t>
        </is>
      </c>
      <c r="G642" t="inlineStr">
        <is>
          <t>EXTREME-NORD</t>
        </is>
      </c>
      <c r="H642" t="inlineStr">
        <is>
          <t>Tagawa</t>
        </is>
      </c>
      <c r="I642" t="inlineStr"/>
      <c r="J642" t="n">
        <v>13.97893860732428</v>
      </c>
      <c r="K642" t="n">
        <v>6.535166503721836</v>
      </c>
      <c r="L642" t="n">
        <v>4.128458063287566</v>
      </c>
      <c r="M642" t="n">
        <v>6.343065556698294</v>
      </c>
      <c r="N642" t="inlineStr"/>
      <c r="O642" t="inlineStr"/>
      <c r="P642" t="inlineStr">
        <is>
          <t>PDH</t>
        </is>
      </c>
      <c r="Q642" t="inlineStr">
        <is>
          <t>TX ISSUE</t>
        </is>
      </c>
      <c r="R642" t="inlineStr">
        <is>
          <t>ODU HS</t>
        </is>
      </c>
      <c r="S642" t="inlineStr">
        <is>
          <t>ACTIVE</t>
        </is>
      </c>
      <c r="T642" t="inlineStr">
        <is>
          <t>(04/28/2026 ocm ran 14h): Power status check ongoing..;..;(04/28/2026 com ran 10h): Power status check ongoing..;..;(04/28/2026 ocm ran 00h): power status check ongoing..;..;(04/28/2026 ticket): INC-20260428-00005133…2026-04-28 11:17:04…28.04.2025: Action en remote cote FE(WAZA) Pour remonter le site. Notons egalement qu'il y'a un defaut ODU sur le site. Le FME devra le remplace une fois la spare receptionnee…Others Transmission equipement fault</t>
        </is>
      </c>
      <c r="U642" t="inlineStr">
        <is>
          <t>: ;(04/28/2026 com ran 10h) : ; : ; : …2026-04-28 11 : 17 : 04…28.04.2025 : Action en remote cote FE(WAZA) Pour remonter le site. Notons egalement qu'il y'a un defaut ODU sur le site. Le FME devra le remplace une fois la spare receptionnee…</t>
        </is>
      </c>
    </row>
    <row r="643">
      <c r="A643" s="96" t="n">
        <v>46140</v>
      </c>
      <c r="B643" t="inlineStr">
        <is>
          <t>Garoua-Ngalbidje-IHS</t>
        </is>
      </c>
      <c r="C643" t="inlineStr">
        <is>
          <t>NRD_085</t>
        </is>
      </c>
      <c r="D643" t="inlineStr"/>
      <c r="E643" t="inlineStr">
        <is>
          <t>IHS</t>
        </is>
      </c>
      <c r="F643" t="inlineStr">
        <is>
          <t>Grid-Gen</t>
        </is>
      </c>
      <c r="G643" t="inlineStr">
        <is>
          <t>NORD</t>
        </is>
      </c>
      <c r="H643" t="inlineStr">
        <is>
          <t>Garoua</t>
        </is>
      </c>
      <c r="I643" t="inlineStr"/>
      <c r="J643" t="n">
        <v>9.811797337425912</v>
      </c>
      <c r="K643" t="n">
        <v>12.51531097102794</v>
      </c>
      <c r="L643" t="n">
        <v>1.264728028069438</v>
      </c>
      <c r="M643" t="n">
        <v>6.262199193569098</v>
      </c>
      <c r="N643" t="inlineStr"/>
      <c r="O643" t="inlineStr"/>
      <c r="P643" t="inlineStr">
        <is>
          <t>IHS</t>
        </is>
      </c>
      <c r="Q643" t="inlineStr">
        <is>
          <t>POWER ISSUE</t>
        </is>
      </c>
      <c r="R643" t="inlineStr">
        <is>
          <t>Defaut GE &amp; Power Cabinet</t>
        </is>
      </c>
      <c r="S643" t="inlineStr">
        <is>
          <t>PASSIVE</t>
        </is>
      </c>
      <c r="T643" t="inlineStr">
        <is>
          <t>(04/28/2026 retour IHS ): Power issue NUR to be checked   ||  (04/28/2026 hourly IHS): Fme is informed and managing with L0..;..;(04/28/2026 ocm ran 14h): Power status check ongoing..;..;(04/28/2026 ticket): INC-20260428-00011346…Rectifiers hanging due to MPR faulty. // Rectifiers reset and 1 rectifier added.…Rectifiers hanging due to MPR faulty. // Rectifiers reset and 1 rectifier added.…GE Fault</t>
        </is>
      </c>
      <c r="U643" t="inlineStr">
        <is>
          <t>04/28/2026 retour IHS ) : Power issue NUR to be checked || : Fme is informed and managing with L0.;.; : ; : …Rectifiers hanging due to MPR faulty. Rectifiers reset and 1 rectifier added.…Rectifiers hanging due to MPR faulty. Rectifiers reset and 1 rectifier added.…GE Fault</t>
        </is>
      </c>
    </row>
    <row r="644">
      <c r="A644" s="96" t="n">
        <v>46140</v>
      </c>
      <c r="B644" t="inlineStr">
        <is>
          <t>Nkoambang</t>
        </is>
      </c>
      <c r="C644" t="inlineStr">
        <is>
          <t>CTR_891</t>
        </is>
      </c>
      <c r="D644" t="inlineStr"/>
      <c r="E644" t="inlineStr">
        <is>
          <t>ESCO</t>
        </is>
      </c>
      <c r="F644" t="inlineStr">
        <is>
          <t>HGB</t>
        </is>
      </c>
      <c r="G644" t="inlineStr">
        <is>
          <t>CENTRE</t>
        </is>
      </c>
      <c r="H644" t="inlineStr">
        <is>
          <t>Nkoambang</t>
        </is>
      </c>
      <c r="I644" t="inlineStr"/>
      <c r="J644" t="n">
        <v>15.06977666670663</v>
      </c>
      <c r="K644" t="n">
        <v>0</v>
      </c>
      <c r="L644" t="n">
        <v>7.817784726617463</v>
      </c>
      <c r="M644" t="n">
        <v>6.228848001981024</v>
      </c>
      <c r="N644" t="inlineStr"/>
      <c r="O644" t="inlineStr"/>
      <c r="P644" t="inlineStr">
        <is>
          <t>AKTIVCO</t>
        </is>
      </c>
      <c r="Q644" t="inlineStr">
        <is>
          <t>POWER ISSUE</t>
        </is>
      </c>
      <c r="R644" t="inlineStr">
        <is>
          <t>AKTIVCO Defaut GE &amp; Power Cabinet</t>
        </is>
      </c>
      <c r="S644" t="inlineStr">
        <is>
          <t>PASSIVE</t>
        </is>
      </c>
      <c r="T644" t="inlineStr">
        <is>
          <t>(04/28/2026 com ran 10h): Power status check ongoing..;..;(04/28/2026 ticket): INC-20260428-00011467…probleme d energie Sur le site, Les equipments ne sont Pas alimentés …Others Transmission equipement fault</t>
        </is>
      </c>
      <c r="U644" t="inlineStr">
        <is>
          <t>04/28/2026 com ran 10h) : ; : …probleme d energie Sur le site, Les equipments ne sont Pas alimentés …</t>
        </is>
      </c>
    </row>
    <row r="645">
      <c r="A645" s="96" t="n">
        <v>46140</v>
      </c>
      <c r="B645" t="inlineStr">
        <is>
          <t>Tchollire-Centre</t>
        </is>
      </c>
      <c r="C645" t="inlineStr">
        <is>
          <t>NRD_180</t>
        </is>
      </c>
      <c r="D645" t="inlineStr"/>
      <c r="E645" t="inlineStr">
        <is>
          <t>CAMUSAT</t>
        </is>
      </c>
      <c r="F645" t="inlineStr">
        <is>
          <t>HGB</t>
        </is>
      </c>
      <c r="G645" t="inlineStr">
        <is>
          <t>NORD</t>
        </is>
      </c>
      <c r="H645" t="inlineStr">
        <is>
          <t>Tchollire</t>
        </is>
      </c>
      <c r="I645" t="inlineStr"/>
      <c r="J645" t="n">
        <v>0</v>
      </c>
      <c r="K645" t="n">
        <v>18.38639365749666</v>
      </c>
      <c r="L645" t="n">
        <v>0</v>
      </c>
      <c r="M645" t="n">
        <v>6.172524419789232</v>
      </c>
      <c r="N645" t="inlineStr"/>
      <c r="O645" t="inlineStr"/>
      <c r="P645" t="inlineStr">
        <is>
          <t>AKTIVCO</t>
        </is>
      </c>
      <c r="Q645" t="inlineStr">
        <is>
          <t>POWER ISSUE</t>
        </is>
      </c>
      <c r="R645" t="inlineStr">
        <is>
          <t>AKTIVCO Defaut GE &amp; Power Cabinet</t>
        </is>
      </c>
      <c r="S645" t="inlineStr">
        <is>
          <t>PASSIVE</t>
        </is>
      </c>
      <c r="T645" t="inlineStr">
        <is>
          <t>(04/28/2026 ocm ran 00h): 27.04.26: Camusat:  Our FME is trying to reach the level 0</t>
        </is>
      </c>
      <c r="U645" t="inlineStr">
        <is>
          <t>: 27.04.26 : Camusat : Our FME is trying to reach the level 0</t>
        </is>
      </c>
    </row>
    <row r="646">
      <c r="A646" s="96" t="n">
        <v>46140</v>
      </c>
      <c r="B646" t="inlineStr">
        <is>
          <t>Nkol-Mbanda</t>
        </is>
      </c>
      <c r="C646" t="inlineStr">
        <is>
          <t>CTR_262</t>
        </is>
      </c>
      <c r="D646" t="inlineStr"/>
      <c r="E646" t="inlineStr">
        <is>
          <t>IHS</t>
        </is>
      </c>
      <c r="F646" t="inlineStr">
        <is>
          <t>Grid-Gen</t>
        </is>
      </c>
      <c r="G646" t="inlineStr">
        <is>
          <t>CENTRE</t>
        </is>
      </c>
      <c r="H646" t="inlineStr">
        <is>
          <t>Yaounde</t>
        </is>
      </c>
      <c r="I646" t="inlineStr"/>
      <c r="J646" t="n">
        <v>0</v>
      </c>
      <c r="K646" t="n">
        <v>0</v>
      </c>
      <c r="L646" t="n">
        <v>11.81963240943207</v>
      </c>
      <c r="M646" t="n">
        <v>6.163803066492026</v>
      </c>
      <c r="N646" t="inlineStr"/>
      <c r="O646" t="inlineStr"/>
      <c r="P646" t="inlineStr">
        <is>
          <t>BSS</t>
        </is>
      </c>
      <c r="Q646" t="inlineStr">
        <is>
          <t>RAN ISSUE</t>
        </is>
      </c>
      <c r="R646" t="inlineStr">
        <is>
          <t>BSS Hardware issue</t>
        </is>
      </c>
      <c r="S646" t="inlineStr">
        <is>
          <t>ACTIVE</t>
        </is>
      </c>
      <c r="T646" t="inlineStr">
        <is>
          <t>04/28/2026: hardware issue,  site with GPS issue (alarm : TDD down 09Apr 02pm)</t>
        </is>
      </c>
      <c r="U646" t="inlineStr">
        <is>
          <t>04/28/2026 : hardware issue, site with GPS issue (alarm : TDD down 09Apr 02pm)</t>
        </is>
      </c>
    </row>
    <row r="647">
      <c r="A647" s="96" t="n">
        <v>46140</v>
      </c>
      <c r="B647" t="inlineStr">
        <is>
          <t>Bafut-Swie-Hill-IHS</t>
        </is>
      </c>
      <c r="C647" t="inlineStr">
        <is>
          <t>NRO_102</t>
        </is>
      </c>
      <c r="D647" t="inlineStr"/>
      <c r="E647" t="inlineStr">
        <is>
          <t>IHS</t>
        </is>
      </c>
      <c r="F647" t="inlineStr">
        <is>
          <t>Gen Only</t>
        </is>
      </c>
      <c r="G647" t="inlineStr">
        <is>
          <t>NORD-OUEST</t>
        </is>
      </c>
      <c r="H647" t="inlineStr">
        <is>
          <t>Bafut</t>
        </is>
      </c>
      <c r="I647" t="inlineStr"/>
      <c r="J647" t="n">
        <v>0</v>
      </c>
      <c r="K647" t="n">
        <v>17.81534012668686</v>
      </c>
      <c r="L647" t="n">
        <v>0</v>
      </c>
      <c r="M647" t="n">
        <v>5.980815162955544</v>
      </c>
      <c r="N647" t="inlineStr"/>
      <c r="O647" t="inlineStr"/>
      <c r="P647" t="inlineStr">
        <is>
          <t>IHS</t>
        </is>
      </c>
      <c r="Q647" t="inlineStr">
        <is>
          <t>POWER ISSUE</t>
        </is>
      </c>
      <c r="R647" t="inlineStr">
        <is>
          <t>Defaut GE &amp; Power Cabinet</t>
        </is>
      </c>
      <c r="S647" t="inlineStr">
        <is>
          <t>PASSIVE</t>
        </is>
      </c>
      <c r="T647" t="inlineStr">
        <is>
          <t>(04/28/2026 hourly IHS): FME Moses managing with level 0 due to insecurity..;..;(04/28/2026 ocm ran 00h): 27.04.26: IHS: FME Moses is managing with level 0</t>
        </is>
      </c>
      <c r="U647" t="inlineStr">
        <is>
          <t>: FME Moses managing with level 0 due to insecurity.;.; : 27.04.26 : IHS : FME Moses is managing with level 0</t>
        </is>
      </c>
    </row>
    <row r="648">
      <c r="A648" s="96" t="n">
        <v>46140</v>
      </c>
      <c r="B648" t="inlineStr">
        <is>
          <t>Bouba-Ndjida-Park</t>
        </is>
      </c>
      <c r="C648" t="inlineStr">
        <is>
          <t>NRD_167</t>
        </is>
      </c>
      <c r="D648" t="inlineStr"/>
      <c r="E648" t="inlineStr">
        <is>
          <t>CAMUSAT</t>
        </is>
      </c>
      <c r="F648" t="inlineStr">
        <is>
          <t>Hybrid Solar - S3</t>
        </is>
      </c>
      <c r="G648" t="inlineStr">
        <is>
          <t>NORD</t>
        </is>
      </c>
      <c r="H648" t="inlineStr">
        <is>
          <t>Bouba-Ndjida</t>
        </is>
      </c>
      <c r="I648" t="inlineStr"/>
      <c r="J648" t="n">
        <v>0</v>
      </c>
      <c r="K648" t="n">
        <v>17.51570835500882</v>
      </c>
      <c r="L648" t="n">
        <v>0</v>
      </c>
      <c r="M648" t="n">
        <v>5.880225321245431</v>
      </c>
      <c r="N648" t="inlineStr"/>
      <c r="O648" t="inlineStr"/>
      <c r="P648" t="inlineStr">
        <is>
          <t>Exclu</t>
        </is>
      </c>
      <c r="Q648" t="inlineStr">
        <is>
          <t>Exclu</t>
        </is>
      </c>
      <c r="R648" t="inlineStr">
        <is>
          <t>EXCLU</t>
        </is>
      </c>
      <c r="S648" t="inlineStr">
        <is>
          <t>Exclu</t>
        </is>
      </c>
      <c r="T648" t="inlineStr">
        <is>
          <t>(04/28/2026 ocm ran 19h): Power status check ongoing</t>
        </is>
      </c>
      <c r="U648" t="inlineStr">
        <is>
          <t>: Power status check ongoing</t>
        </is>
      </c>
    </row>
    <row r="649">
      <c r="A649" s="96" t="n">
        <v>46140</v>
      </c>
      <c r="B649" t="inlineStr">
        <is>
          <t>Bfsam-Baleng</t>
        </is>
      </c>
      <c r="C649" t="inlineStr">
        <is>
          <t>OST_063</t>
        </is>
      </c>
      <c r="D649" t="inlineStr"/>
      <c r="E649" t="inlineStr">
        <is>
          <t>IHS</t>
        </is>
      </c>
      <c r="F649" t="inlineStr">
        <is>
          <t>Grid-Gen</t>
        </is>
      </c>
      <c r="G649" t="inlineStr">
        <is>
          <t>OUEST</t>
        </is>
      </c>
      <c r="H649" t="inlineStr">
        <is>
          <t>Bafoussam</t>
        </is>
      </c>
      <c r="I649" t="inlineStr"/>
      <c r="J649" t="n">
        <v>0.0668191391996291</v>
      </c>
      <c r="K649" t="n">
        <v>12.53363951025293</v>
      </c>
      <c r="L649" t="n">
        <v>2.758598235372658</v>
      </c>
      <c r="M649" t="n">
        <v>5.655806530777638</v>
      </c>
      <c r="N649" t="inlineStr"/>
      <c r="O649" t="inlineStr"/>
      <c r="P649" t="inlineStr">
        <is>
          <t>SPARE-ISSUE</t>
        </is>
      </c>
      <c r="Q649" t="inlineStr">
        <is>
          <t>SPARE-ISSUE</t>
        </is>
      </c>
      <c r="R649" t="inlineStr">
        <is>
          <t>Warehouse HUAWEI</t>
        </is>
      </c>
      <c r="S649" t="inlineStr">
        <is>
          <t>SPARE-ISSUE</t>
        </is>
      </c>
      <c r="T649" t="inlineStr">
        <is>
          <t>(04/28/2026 cell huawei): 28/04/2026 : ETA 12H || Connecteur d'alimentation faulty || Pas dispo au WH. Cde passee au SPMS HW
27/04/2026 : Besoin d'analyse BO RAN || RRU 71 faulty : RF Unit DC Input Power Failure. Verifier l'alimentation de la RRU 71..;..;(04/28/2026 cell huawei): 28/04/2026 : ETA 12H || Connecteur d'alimentation faulty || Pas dispo au WH. Cde passee au SPMS HW
27/04/2026 : Besoin d'analyse BO RAN || RRU 71 faulty : RF Unit DC Input Power Failure. Verifier l'alimentation de la RRU 71</t>
        </is>
      </c>
      <c r="U649" t="inlineStr">
        <is>
          <t>04/28/2026 cell huawei) : 28/04/2026 : ETA 12H || Connecteur d'alimentation faulty || Pas dispo au WH. Cde passee au SPMS HW 27/04/2026 : Besoin d'analyse BO RAN || RRU 71 faulty : RF Unit DC Input Power Failure. Verifier l'alimentation de la RRU 71.;.;(04/28/2026 cell huawei) : 28/04/2026 : ETA 12H || Connecteur d'alimentation faulty || Pas dispo au WH. Cde passee au SPMS HW 27/04/2026 : Besoin d'analyse BO RAN || RRU 71 faulty : RF Unit DC Input Power Failure. Verifier l'alimentation de la RRU 71</t>
        </is>
      </c>
    </row>
    <row r="650">
      <c r="A650" s="96" t="n">
        <v>46140</v>
      </c>
      <c r="B650" t="inlineStr">
        <is>
          <t>Kaladi-MTN-IHS</t>
        </is>
      </c>
      <c r="C650" t="inlineStr">
        <is>
          <t>ADM_100</t>
        </is>
      </c>
      <c r="D650" t="inlineStr"/>
      <c r="E650" t="inlineStr">
        <is>
          <t>IHS</t>
        </is>
      </c>
      <c r="F650" t="inlineStr">
        <is>
          <t>Solar-Gen</t>
        </is>
      </c>
      <c r="G650" t="inlineStr">
        <is>
          <t>ADAMAOUA</t>
        </is>
      </c>
      <c r="H650" t="inlineStr">
        <is>
          <t>Kaladi</t>
        </is>
      </c>
      <c r="I650" t="inlineStr"/>
      <c r="J650" t="n">
        <v>19.61385281904328</v>
      </c>
      <c r="K650" t="n">
        <v>4.236487479293191</v>
      </c>
      <c r="L650" t="n">
        <v>2.718925858072481</v>
      </c>
      <c r="M650" t="n">
        <v>5.640982805868624</v>
      </c>
      <c r="N650" t="inlineStr"/>
      <c r="O650" t="inlineStr"/>
      <c r="P650" t="inlineStr">
        <is>
          <t>PDH</t>
        </is>
      </c>
      <c r="Q650" t="inlineStr">
        <is>
          <t>TX ISSUE</t>
        </is>
      </c>
      <c r="R650" t="inlineStr">
        <is>
          <t>ODU HS</t>
        </is>
      </c>
      <c r="S650" t="inlineStr">
        <is>
          <t>ACTIVE</t>
        </is>
      </c>
      <c r="T650" t="inlineStr">
        <is>
          <t>(04/28/2026 ocm ran 00h): 27/04/2026 FME HIPOLITE activé eta asap 
Besoin d'un fme sur site de  MPR_GALE  pour verifier le status de L ODU 5/2 ..;..;(04/28/2026 ticket): INC-20260428-00007473…Others Transmission equipement fault</t>
        </is>
      </c>
      <c r="U650" t="inlineStr">
        <is>
          <t>: 27/04/2026 FME HIPOLITE activé eta asap Besoin d'un fme sur site de MPR_GALE pour verifier le status de L ODU 5/2 .;.; : …</t>
        </is>
      </c>
    </row>
    <row r="651">
      <c r="A651" s="96" t="n">
        <v>46140</v>
      </c>
      <c r="B651" t="inlineStr">
        <is>
          <t>Hopital-de-La-Cass</t>
        </is>
      </c>
      <c r="C651" t="inlineStr">
        <is>
          <t>CTR_652</t>
        </is>
      </c>
      <c r="D651" t="inlineStr"/>
      <c r="E651" t="inlineStr">
        <is>
          <t>CAMUSAT</t>
        </is>
      </c>
      <c r="F651" t="inlineStr">
        <is>
          <t>Good Grid no GE - 8h</t>
        </is>
      </c>
      <c r="G651" t="inlineStr">
        <is>
          <t>CENTRE</t>
        </is>
      </c>
      <c r="H651" t="inlineStr">
        <is>
          <t>Yaounde</t>
        </is>
      </c>
      <c r="I651" t="inlineStr"/>
      <c r="J651" t="n">
        <v>1.216607915782406</v>
      </c>
      <c r="K651" t="n">
        <v>1.290169782837093</v>
      </c>
      <c r="L651" t="n">
        <v>9.492334475897801</v>
      </c>
      <c r="M651" t="n">
        <v>5.557000196899265</v>
      </c>
      <c r="N651" t="inlineStr"/>
      <c r="O651" t="inlineStr"/>
      <c r="P651" t="inlineStr">
        <is>
          <t>BSS</t>
        </is>
      </c>
      <c r="Q651" t="inlineStr">
        <is>
          <t>RAN ISSUE</t>
        </is>
      </c>
      <c r="R651" t="inlineStr">
        <is>
          <t>BSS Hardware issue</t>
        </is>
      </c>
      <c r="S651" t="inlineStr">
        <is>
          <t>ACTIVE</t>
        </is>
      </c>
      <c r="T651" t="inlineStr">
        <is>
          <t>(04/28/2026 com ran 10h): Power status check ongoing..;..;(04/28/2026 ticket): INC-20260428-00006409  | |   04/28/2026: hardware issue,  site with GPS issue (alarm : TDD down 09Apr 02pm)</t>
        </is>
      </c>
      <c r="U651" t="inlineStr">
        <is>
          <t>04/28/2026 com ran 10h) : ; : | | 04/28/2026 : hardware issue, site with GPS issue (alarm : TDD down 09Apr 02pm)</t>
        </is>
      </c>
    </row>
    <row r="652">
      <c r="A652" s="96" t="n">
        <v>46140</v>
      </c>
      <c r="B652" t="inlineStr">
        <is>
          <t>Batoua-Godole-IHS</t>
        </is>
      </c>
      <c r="C652" t="inlineStr">
        <is>
          <t>ADM_141</t>
        </is>
      </c>
      <c r="D652" t="inlineStr"/>
      <c r="E652" t="inlineStr">
        <is>
          <t>IHS</t>
        </is>
      </c>
      <c r="F652" t="inlineStr">
        <is>
          <t>Solar-Gen</t>
        </is>
      </c>
      <c r="G652" t="inlineStr">
        <is>
          <t>ADAMAOUA</t>
        </is>
      </c>
      <c r="H652" t="inlineStr">
        <is>
          <t>Batoua-Godole</t>
        </is>
      </c>
      <c r="I652" t="inlineStr"/>
      <c r="J652" t="n">
        <v>0</v>
      </c>
      <c r="K652" t="n">
        <v>15.98198843779457</v>
      </c>
      <c r="L652" t="n">
        <v>0</v>
      </c>
      <c r="M652" t="n">
        <v>5.365337855085793</v>
      </c>
      <c r="N652" t="inlineStr"/>
      <c r="O652" t="inlineStr"/>
      <c r="P652" t="inlineStr">
        <is>
          <t>BSS</t>
        </is>
      </c>
      <c r="Q652" t="inlineStr">
        <is>
          <t>RAN ISSUE</t>
        </is>
      </c>
      <c r="R652" t="inlineStr">
        <is>
          <t>BSS Hardware issue</t>
        </is>
      </c>
      <c r="S652" t="inlineStr">
        <is>
          <t>ACTIVE</t>
        </is>
      </c>
      <c r="T652" t="inlineStr">
        <is>
          <t>(04/28/2026 cell nokia): 28/04/206 : FME presentement a GALLE
27/04/2026 : Check breaker and  interconnection FRMF (sfp, optical fiber) between system and radio module, swap its if needed..;..;(04/28/2026 cell nokia): 28/04/206 : FME presentement a GALLE
27/04/2026 : Check breaker and  interconnection FRMF (sfp, optical fiber) between system and radio module, swap its if needed..;..;(04/28/2026 cell nokia): 28/04/206 : Feedback PM : Because this site is too far, and we are using the canoe to reach the site at this period, we should move with spare but actually no spare available at Ngaoundere WH. Command made at Maroua WH and should move tomorrow (with Esico) ETA to reach Ngaoundere 03/05/2026, ETA to reach Meingaga 04/05/2026
27/04/2026 : Check breaker and  interconnection FRMF (sfp, optical fiber) between system and radio module, swap its if needed</t>
        </is>
      </c>
      <c r="U652" t="inlineStr">
        <is>
          <t>04/28/2026 cell nokia) : 28/04/206 : FME presentement a GALLE 27/04/2026 : Check breaker and interconnection FRMF (sfp, optical fiber) between system and radio module, swap its if needed.;.;(04/28/2026 cell nokia) : 28/04/206 : FME presentement a GALLE 27/04/2026 : Check breaker and interconnection FRMF (sfp, optical fiber) between system and radio module, swap its if needed.;.;(04/28/2026 cell nokia) : 28/04/206 : Feedback PM : Because this site is too far, and we are using the canoe to reach the site at this period, we should move with spare but actually no spare available at Ngaoundere WH. Command made at Maroua WH and should move tomorrow (with Esico) ETA to reach Ngaoundere 03/05/2026, ETA to reach Meingaga 04/05/2026 27/04/2026 : Check breaker and interconnection FRMF (sfp, optical fiber) between system and radio module, swap its if needed</t>
        </is>
      </c>
    </row>
    <row r="653">
      <c r="A653" s="96" t="n">
        <v>46140</v>
      </c>
      <c r="B653" t="inlineStr">
        <is>
          <t>Mayo-Oulo</t>
        </is>
      </c>
      <c r="C653" t="inlineStr">
        <is>
          <t>NRD_010</t>
        </is>
      </c>
      <c r="D653" t="inlineStr"/>
      <c r="E653" t="inlineStr">
        <is>
          <t>IHS</t>
        </is>
      </c>
      <c r="F653" t="inlineStr">
        <is>
          <t>Grid-Gen</t>
        </is>
      </c>
      <c r="G653" t="inlineStr">
        <is>
          <t>NORD</t>
        </is>
      </c>
      <c r="H653" t="inlineStr">
        <is>
          <t>Mayo-Oulo</t>
        </is>
      </c>
      <c r="I653" t="inlineStr"/>
      <c r="J653" t="n">
        <v>0</v>
      </c>
      <c r="K653" t="n">
        <v>15.33647160425826</v>
      </c>
      <c r="L653" t="n">
        <v>0</v>
      </c>
      <c r="M653" t="n">
        <v>5.148630408665851</v>
      </c>
      <c r="N653" t="inlineStr"/>
      <c r="O653" t="inlineStr"/>
      <c r="P653" t="inlineStr">
        <is>
          <t>IHS</t>
        </is>
      </c>
      <c r="Q653" t="inlineStr">
        <is>
          <t>POWER ISSUE</t>
        </is>
      </c>
      <c r="R653" t="inlineStr">
        <is>
          <t>Defaut GE &amp; Power Cabinet</t>
        </is>
      </c>
      <c r="S653" t="inlineStr">
        <is>
          <t>PASSIVE</t>
        </is>
      </c>
      <c r="T653" t="inlineStr">
        <is>
          <t>(04/28/2026 retour IHS ): Power issue NUR to be checked   ||  (04/28/2026 hourly IHS): Team is on site for work (Refuelling)...;..;(04/28/2026 ocm ran 19h): Power status check ongoing</t>
        </is>
      </c>
      <c r="U653" t="inlineStr">
        <is>
          <t>04/28/2026 retour IHS ) : Power issue NUR to be checked || : Team is on site for work (Refuelling).;.; : Power status check ongoing</t>
        </is>
      </c>
    </row>
    <row r="654">
      <c r="A654" s="96" t="n">
        <v>46140</v>
      </c>
      <c r="B654" t="inlineStr">
        <is>
          <t>Marche-Congo</t>
        </is>
      </c>
      <c r="C654" t="inlineStr">
        <is>
          <t>LIT_547</t>
        </is>
      </c>
      <c r="D654" t="inlineStr"/>
      <c r="E654" t="inlineStr">
        <is>
          <t>CAMUSAT</t>
        </is>
      </c>
      <c r="F654" t="inlineStr">
        <is>
          <t>Good Grid no GE - 8h</t>
        </is>
      </c>
      <c r="G654" t="inlineStr">
        <is>
          <t>LITTORAL</t>
        </is>
      </c>
      <c r="H654" t="inlineStr">
        <is>
          <t>Douala</t>
        </is>
      </c>
      <c r="I654" t="inlineStr"/>
      <c r="J654" t="n">
        <v>2.139336514673733</v>
      </c>
      <c r="K654" t="n">
        <v>1.854476286164067</v>
      </c>
      <c r="L654" t="n">
        <v>7.889912436223229</v>
      </c>
      <c r="M654" t="n">
        <v>5.042565197912294</v>
      </c>
      <c r="N654" t="inlineStr"/>
      <c r="O654" t="inlineStr"/>
      <c r="P654" t="inlineStr">
        <is>
          <t>AKTIVCO GRID ONLY</t>
        </is>
      </c>
      <c r="Q654" t="inlineStr">
        <is>
          <t>POWER ISSUE</t>
        </is>
      </c>
      <c r="R654" t="inlineStr">
        <is>
          <t>AKTIVCO Coupure ENEO &amp; Baisse de tension</t>
        </is>
      </c>
      <c r="S654" t="inlineStr">
        <is>
          <t>PASSIVE</t>
        </is>
      </c>
      <c r="T654" t="inlineStr">
        <is>
          <t>(04/28/2026 cell zte): 28/04/2026 : Power issue || Mail sent to Camusat..;..;(04/28/2026 ticket): INC-20260428-00011318</t>
        </is>
      </c>
      <c r="U654" t="inlineStr">
        <is>
          <t>04/28/2026 cell zte) : 28/04/2026 : Power issue || Mail sent to Camusat.;.; :</t>
        </is>
      </c>
    </row>
    <row r="655">
      <c r="A655" s="96" t="n">
        <v>46140</v>
      </c>
      <c r="B655" t="inlineStr">
        <is>
          <t>Nyom-Sud</t>
        </is>
      </c>
      <c r="C655" t="inlineStr">
        <is>
          <t>CTR_707</t>
        </is>
      </c>
      <c r="D655" t="inlineStr"/>
      <c r="E655" t="inlineStr">
        <is>
          <t>CAMUSAT</t>
        </is>
      </c>
      <c r="F655" t="inlineStr">
        <is>
          <t>Good Grid + GE</t>
        </is>
      </c>
      <c r="G655" t="inlineStr">
        <is>
          <t>CENTRE</t>
        </is>
      </c>
      <c r="H655" t="inlineStr">
        <is>
          <t>Yaounde</t>
        </is>
      </c>
      <c r="I655" t="inlineStr"/>
      <c r="J655" t="n">
        <v>2.259860756407643</v>
      </c>
      <c r="K655" t="n">
        <v>1.971513306200721</v>
      </c>
      <c r="L655" t="n">
        <v>7.756633768689789</v>
      </c>
      <c r="M655" t="n">
        <v>5.029563425818913</v>
      </c>
      <c r="N655" t="inlineStr"/>
      <c r="O655" t="inlineStr"/>
      <c r="P655" t="inlineStr">
        <is>
          <t>AKTIVCO</t>
        </is>
      </c>
      <c r="Q655" t="inlineStr">
        <is>
          <t>POWER ISSUE</t>
        </is>
      </c>
      <c r="R655" t="inlineStr">
        <is>
          <t>AKTIVCO Defaut GE &amp; Power Cabinet</t>
        </is>
      </c>
      <c r="S655" t="inlineStr">
        <is>
          <t>PASSIVE</t>
        </is>
      </c>
      <c r="T655" t="inlineStr">
        <is>
          <t>(04/28/2026 cell zte): 28/04/2026 : Power issue || Mail sent to camusat || Feedback Camusat : Merci de vérifier à nouveau. Le power est résolu. U=51V Iload=115A.
..;..;(04/28/2026 ticket): INC-20260428-00008055…2026-04-28 12:16:21…The technician is managing with the level 0</t>
        </is>
      </c>
      <c r="U655" t="inlineStr">
        <is>
          <t>04/28/2026 cell zte) : 28/04/2026 : Power issue || Mail sent to camusat || Feedback Camusat : Merci de vérifier à nouveau. Le power est résolu. U=51V Iload=115A. : …2026-04-28 12 : 16 : 21…The technician is managing with the level 0</t>
        </is>
      </c>
    </row>
    <row r="656">
      <c r="A656" s="96" t="n">
        <v>46140</v>
      </c>
      <c r="B656" t="inlineStr">
        <is>
          <t>Mansouen</t>
        </is>
      </c>
      <c r="C656" t="inlineStr">
        <is>
          <t>OST_293</t>
        </is>
      </c>
      <c r="D656" t="inlineStr"/>
      <c r="E656" t="inlineStr">
        <is>
          <t>CAMUSAT</t>
        </is>
      </c>
      <c r="F656" t="inlineStr">
        <is>
          <t>Hybrid Solar - S3</t>
        </is>
      </c>
      <c r="G656" t="inlineStr">
        <is>
          <t>OUEST</t>
        </is>
      </c>
      <c r="H656" t="inlineStr">
        <is>
          <t>Mansouen</t>
        </is>
      </c>
      <c r="I656" t="inlineStr"/>
      <c r="J656" t="n">
        <v>32.36356905626896</v>
      </c>
      <c r="K656" t="n">
        <v>0.9408650135493064</v>
      </c>
      <c r="L656" t="n">
        <v>0</v>
      </c>
      <c r="M656" t="n">
        <v>4.937373905996296</v>
      </c>
      <c r="N656" t="inlineStr"/>
      <c r="O656" t="inlineStr"/>
      <c r="P656" t="inlineStr">
        <is>
          <t>SAT</t>
        </is>
      </c>
      <c r="Q656" t="inlineStr">
        <is>
          <t>TX ISSUE</t>
        </is>
      </c>
      <c r="R656" t="inlineStr">
        <is>
          <t>SAT</t>
        </is>
      </c>
      <c r="S656" t="inlineStr">
        <is>
          <t>ACTIVE</t>
        </is>
      </c>
      <c r="T656" t="inlineStr">
        <is>
          <t>(04/28/2026 ticket): INC-20260428-00004008…2026-04-28 08:08:45…No power issue Willy  (687714695) of tx is working with the level 0…Site up after physical reset of V-sat Modem…Others Transmission equipement fault</t>
        </is>
      </c>
      <c r="U656" t="inlineStr">
        <is>
          <t>: …2026-04-28 08 : 08 : 45…No power issue Willy (687714695) of tx is working with the level 0…Site up after physical reset of V-sat Modem…</t>
        </is>
      </c>
    </row>
    <row r="657">
      <c r="A657" s="96" t="n">
        <v>46140</v>
      </c>
      <c r="B657" t="inlineStr">
        <is>
          <t>Tsinga-Village2</t>
        </is>
      </c>
      <c r="C657" t="inlineStr">
        <is>
          <t>CTR_675</t>
        </is>
      </c>
      <c r="D657" t="inlineStr"/>
      <c r="E657" t="inlineStr">
        <is>
          <t>IHS</t>
        </is>
      </c>
      <c r="F657" t="inlineStr">
        <is>
          <t>Hybrid-Gen-Lithium</t>
        </is>
      </c>
      <c r="G657" t="inlineStr">
        <is>
          <t>CENTRE</t>
        </is>
      </c>
      <c r="H657" t="inlineStr">
        <is>
          <t>Yaounde</t>
        </is>
      </c>
      <c r="I657" t="inlineStr"/>
      <c r="J657" t="n">
        <v>0.3796825853586402</v>
      </c>
      <c r="K657" t="n">
        <v>0.382083635090153</v>
      </c>
      <c r="L657" t="n">
        <v>9.030424882952806</v>
      </c>
      <c r="M657" t="n">
        <v>4.891751775660397</v>
      </c>
      <c r="N657" t="inlineStr"/>
      <c r="O657" t="inlineStr"/>
      <c r="P657" t="inlineStr">
        <is>
          <t>BSS</t>
        </is>
      </c>
      <c r="Q657" t="inlineStr">
        <is>
          <t>RAN ISSUE</t>
        </is>
      </c>
      <c r="R657" t="inlineStr">
        <is>
          <t>BSS Hardware issue</t>
        </is>
      </c>
      <c r="S657" t="inlineStr">
        <is>
          <t>ACTIVE</t>
        </is>
      </c>
      <c r="T657" t="inlineStr">
        <is>
          <t xml:space="preserve">  04/28/2026: hardware issue,  site with GPS issue (alarm : TDD down 09Apr 02pm)</t>
        </is>
      </c>
      <c r="U657" t="inlineStr">
        <is>
          <t>04/28/2026 : hardware issue, site with GPS issue (alarm : TDD down 09Apr 02pm)</t>
        </is>
      </c>
    </row>
    <row r="658">
      <c r="A658" s="96" t="n">
        <v>46140</v>
      </c>
      <c r="B658" t="inlineStr">
        <is>
          <t>Mankon-II</t>
        </is>
      </c>
      <c r="C658" t="inlineStr">
        <is>
          <t>NRO_141</t>
        </is>
      </c>
      <c r="D658" t="inlineStr"/>
      <c r="E658" t="inlineStr">
        <is>
          <t>CAMUSAT</t>
        </is>
      </c>
      <c r="F658" t="inlineStr">
        <is>
          <t>HGB</t>
        </is>
      </c>
      <c r="G658" t="inlineStr">
        <is>
          <t>NORD-OUEST</t>
        </is>
      </c>
      <c r="H658" t="inlineStr">
        <is>
          <t>Bamenda</t>
        </is>
      </c>
      <c r="I658" t="inlineStr"/>
      <c r="J658" t="n">
        <v>0</v>
      </c>
      <c r="K658" t="n">
        <v>14.17189215976281</v>
      </c>
      <c r="L658" t="n">
        <v>0</v>
      </c>
      <c r="M658" t="n">
        <v>4.757667656870215</v>
      </c>
      <c r="N658" t="inlineStr"/>
      <c r="O658" t="inlineStr"/>
      <c r="P658" t="inlineStr">
        <is>
          <t>AKTIVCO</t>
        </is>
      </c>
      <c r="Q658" t="inlineStr">
        <is>
          <t>POWER ISSUE</t>
        </is>
      </c>
      <c r="R658" t="inlineStr">
        <is>
          <t>AKTIVCO Defaut GE &amp; Power Cabinet</t>
        </is>
      </c>
      <c r="S658" t="inlineStr">
        <is>
          <t>PASSIVE</t>
        </is>
      </c>
      <c r="T658" t="inlineStr">
        <is>
          <t>(04/28/2026 ocm ran 19h): Power status check ongoing || (04/28/2026 top offenders): 28.04.26: Camusat: unknown / Our FME is managing with the level 0 - Escalated to L2</t>
        </is>
      </c>
      <c r="U658" t="inlineStr">
        <is>
          <t>: Power status check ongoing || (04/28/2026 top offenders) : 28.04.26 : Camusat : unknown / Our FME is managing with the level 0 - Escalated to L2</t>
        </is>
      </c>
    </row>
    <row r="659">
      <c r="A659" s="96" t="n">
        <v>46140</v>
      </c>
      <c r="B659" t="inlineStr">
        <is>
          <t>Mbam</t>
        </is>
      </c>
      <c r="C659" t="inlineStr">
        <is>
          <t>CTR_303</t>
        </is>
      </c>
      <c r="D659" t="inlineStr"/>
      <c r="E659" t="inlineStr">
        <is>
          <t>IHS</t>
        </is>
      </c>
      <c r="F659" t="inlineStr">
        <is>
          <t>Hybrid-Gen</t>
        </is>
      </c>
      <c r="G659" t="inlineStr">
        <is>
          <t>CENTRE</t>
        </is>
      </c>
      <c r="H659" t="inlineStr">
        <is>
          <t>Mbam</t>
        </is>
      </c>
      <c r="I659" t="inlineStr"/>
      <c r="J659" t="n">
        <v>0</v>
      </c>
      <c r="K659" t="n">
        <v>13.77031120903332</v>
      </c>
      <c r="L659" t="n">
        <v>0</v>
      </c>
      <c r="M659" t="n">
        <v>4.622852299869019</v>
      </c>
      <c r="N659" t="inlineStr"/>
      <c r="O659" t="inlineStr"/>
      <c r="P659" t="inlineStr">
        <is>
          <t>SPARE-ISSUE</t>
        </is>
      </c>
      <c r="Q659" t="inlineStr">
        <is>
          <t>SPARE-ISSUE</t>
        </is>
      </c>
      <c r="R659" t="inlineStr">
        <is>
          <t>Warehouse HUAWEI</t>
        </is>
      </c>
      <c r="S659" t="inlineStr">
        <is>
          <t>SPARE-ISSUE</t>
        </is>
      </c>
      <c r="T659" t="inlineStr">
        <is>
          <t xml:space="preserve">(04/28/2026 ocm ran 19h): 28.04.2026: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..;..;(04/28/2026 ocm ran 14h): 28.04.2026: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..;..;(04/28/2026 com ran 10h): 28.04.2026: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..;..;(04/28/2026 ocm ran 00h):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t>
        </is>
      </c>
      <c r="U659" t="inlineStr">
        <is>
          <t>: 28.04.2026 :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 : 28.04.2026 :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.;.;(04/28/2026 com ran 10h) : 28.04.2026 : Spare FSMF Faulty Commande passee au WH de Garoua et Expediee a Ngaoundere Nouvelle ETD communiques par le SPM 28.04.2026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 .;.; : 27/04/2026 Relance SPMS en attente de retour 26/04/2026 Apres conf call effectuer avec THEO et Kingsley. Les spare seront expediee par ESICO ce Jours De Garoua pour Ngaoundere ETD=26.04.2025 25/04/2026 Apres conf call effectuer avec THEO et Kingsley. Les spare seront expediee par ESICO ce Jours De Garoua pour Ngaoundere ETD=25.04.2025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19.04.26; FSMF expédié de Garoua pour Ngaoundéré mais pas encore reçu, escalade faite à M. Théo et à M. Essode 18.04.26; En attente du FSMF ce jour à Tibati 17/04/2026 FSMF FAULTY expedition de Garoua vers NGAOUNDERE ETD=16/04/2026 et expedition a TIBATI ETD=17/04/2026 16/04/2026 FSMF FAULTY expedition de Garoua vers NGAOUNDERE ETD=16/04/2026 et expedition a TIBATI ETD=17/04/2026 15/04/2026 fme wili active eta asap besoin d'un fme sur site pour verifier l'interco entr ele MPR et la BTS S1P1</t>
        </is>
      </c>
    </row>
    <row r="660">
      <c r="A660" s="96" t="n">
        <v>46140</v>
      </c>
      <c r="B660" t="inlineStr">
        <is>
          <t>Nwa</t>
        </is>
      </c>
      <c r="C660" t="inlineStr">
        <is>
          <t>NRO_012</t>
        </is>
      </c>
      <c r="D660" t="inlineStr"/>
      <c r="E660" t="inlineStr">
        <is>
          <t>IHS</t>
        </is>
      </c>
      <c r="F660" t="inlineStr">
        <is>
          <t>Solar-Gen</t>
        </is>
      </c>
      <c r="G660" t="inlineStr">
        <is>
          <t>NORD-OUEST</t>
        </is>
      </c>
      <c r="H660" t="inlineStr">
        <is>
          <t>Mwa</t>
        </is>
      </c>
      <c r="I660" t="inlineStr"/>
      <c r="J660" t="n">
        <v>0</v>
      </c>
      <c r="K660" t="n">
        <v>13.77031120903332</v>
      </c>
      <c r="L660" t="n">
        <v>0</v>
      </c>
      <c r="M660" t="n">
        <v>4.622852299869019</v>
      </c>
      <c r="N660" t="inlineStr"/>
      <c r="O660" t="inlineStr"/>
      <c r="P660" t="inlineStr">
        <is>
          <t>ACCESS-ISSUE</t>
        </is>
      </c>
      <c r="Q660" t="inlineStr">
        <is>
          <t>ACCESS-ISSUE</t>
        </is>
      </c>
      <c r="R660" t="inlineStr">
        <is>
          <t>ACCESS-ISSUE</t>
        </is>
      </c>
      <c r="S660" t="inlineStr">
        <is>
          <t>ACCESS-ISSUE</t>
        </is>
      </c>
      <c r="T660" t="inlineStr">
        <is>
          <t>(04/28/2026 ocm ran 19h): 28.04.2026: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Team is on site to swap DG - Escalated to L4
20.04.26; IHS: Team is on site to swap DG - Escalated to L4
19.04.26; IHS; Team is on site to swap DG - Escalated to L4
18.04.26; IHS; Team is on site to swap DG - Escalated to L3
17.04.26; IHS; Team is on site to swap DG..;..;(04/28/2026 ocm ran 14h): 28.04.2026: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Team is on site to swap DG - Escalated to L4
20.04.26; IHS: Team is on site to swap DG - Escalated to L4
19.04.26; IHS; Team is on site to swap DG - Escalated to L4
18.04.26; IHS; Team is on site to swap DG - Escalated to L3
17.04.26; IHS; Team is on site to swap DG..;..;(04/28/2026 com ran 10h): 28.04.2026: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Team is on site to swap DG - Escalated to L4
20.04.26; IHS: Team is on site to swap DG - Escalated to L4
19.04.26; IHS; Team is on site to swap DG - Escalated to L4
18.04.26; IHS; Team is on site to swap DG - Escalated to L3
17.04.26; IHS; Team is on site to swap DG..;..;(04/28/2026 ocm ran 00h): 27.04.26; Access banned by Separatists
24.04.26; Access banned by Separatist
23.04.26; Access banned by Separatist
22.04.26; Access banned by Separatist
21.04.26; Need FME on site to check BUC, and modem status; Access negociations ongoing, red zone
21.04.26; IHS: Team is on site to swap DG - Escalated to L4
20.04.26; IHS: Team is on site to swap DG - Escalated to L4
19.04.26; IHS; Team is on site to swap DG - Escalated to L4
18.04.26; IHS; Team is on site to swap DG - Escalated to L3
17.04.26; IHS; Team is on site to swap DG</t>
        </is>
      </c>
      <c r="U660" t="inlineStr">
        <is>
          <t>: 28.04.2026 :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 Team is on site to swap DG - Escalated to L4 20.04.26; IHS : Team is on site to swap DG - Escalated to L4 19.04.26; IHS; Team is on site to swap DG - Escalated to L4 18.04.26; IHS; Team is on site to swap DG - Escalated to L3 17.04.26; IHS; Team is on site to swap DG.;.; : 28.04.2026 :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 Team is on site to swap DG - Escalated to L4 20.04.26; IHS : Team is on site to swap DG - Escalated to L4 19.04.26; IHS; Team is on site to swap DG - Escalated to L4 18.04.26; IHS; Team is on site to swap DG - Escalated to L3 17.04.26; IHS; Team is on site to swap DG.;.;(04/28/2026 com ran 10h) : 28.04.2026 : No way to access this site for now . Site Under Insecurity AREA 27.04.26; Access banned by Separatists 24.04.26; Access banned by Separatist 23.04.26; Access banned by Separatist 22.04.26; Access banned by Separatist 21.04.26; Need FME on site to check BUC, and modem status; Access negociations ongoing, red zone 21.04.26; IHS : Team is on site to swap DG - Escalated to L4 20.04.26; IHS : Team is on site to swap DG - Escalated to L4 19.04.26; IHS; Team is on site to swap DG - Escalated to L4 18.04.26; IHS; Team is on site to swap DG - Escalated to L3 17.04.26; IHS; Team is on site to swap DG.;.; : 27.04.26; Access banned by Separatists 24.04.26; Access banned by Separatist 23.04.26; Access banned by Separatist 22.04.26; Access banned by Separatist 21.04.26; Need FME on site to check BUC, and modem status; Access negociations ongoing, red zone 21.04.26; IHS : Team is on site to swap DG - Escalated to L4 20.04.26; IHS : Team is on site to swap DG - Escalated to L4 19.04.26; IHS; Team is on site to swap DG - Escalated to L4 18.04.26; IHS; Team is on site to swap DG - Escalated to L3 17.04.26; IHS; Team is on site to swap DG</t>
        </is>
      </c>
    </row>
    <row r="661">
      <c r="A661" s="96" t="n">
        <v>46140</v>
      </c>
      <c r="B661" t="inlineStr">
        <is>
          <t>Mvam-Yetom</t>
        </is>
      </c>
      <c r="C661" t="inlineStr">
        <is>
          <t>CTR_860</t>
        </is>
      </c>
      <c r="D661" t="inlineStr"/>
      <c r="E661" t="inlineStr">
        <is>
          <t>ESCO</t>
        </is>
      </c>
      <c r="F661" t="inlineStr">
        <is>
          <t>Hybrid Solar - S2</t>
        </is>
      </c>
      <c r="G661" t="inlineStr">
        <is>
          <t>CTR</t>
        </is>
      </c>
      <c r="H661" t="inlineStr">
        <is>
          <t>Mvam-Yetom</t>
        </is>
      </c>
      <c r="I661" t="inlineStr"/>
      <c r="J661" t="n">
        <v>32.36394374303083</v>
      </c>
      <c r="K661" t="n">
        <v>0</v>
      </c>
      <c r="L661" t="n">
        <v>0</v>
      </c>
      <c r="M661" t="n">
        <v>4.621568174230167</v>
      </c>
      <c r="N661" t="inlineStr"/>
      <c r="O661" t="inlineStr"/>
      <c r="P661" t="inlineStr">
        <is>
          <t>SPARE-ISSUE</t>
        </is>
      </c>
      <c r="Q661" t="inlineStr">
        <is>
          <t>SPARE-ISSUE</t>
        </is>
      </c>
      <c r="R661" t="inlineStr">
        <is>
          <t>Warehouse HUAWEI</t>
        </is>
      </c>
      <c r="S661" t="inlineStr">
        <is>
          <t>SPARE-ISSUE</t>
        </is>
      </c>
      <c r="T661" t="inlineStr">
        <is>
          <t xml:space="preserve">(04/28/2026 ocm ran 19h): 28.04.2026: Spare pas disponible dans les WH Afro Commande effectuee au SPM. Update dans 20 minutes
27/04/2026 ODU UBT-T 3DB29211ACAA02 faulty commande en cours 
24/04/2026 Besoin d'un fme sur biba pour verifier le status de L ODU 5/1 ..;..;(04/28/2026 ocm ran 14h): 28.04.2026: Spare pas disponible dans les WH Afro Commande effectuee au SPM. Update dans 20 minutes
27/04/2026 ODU UBT-T 3DB29211ACAA02 faulty commande en cours 
24/04/2026 Besoin d'un fme sur biba pour verifier le status de L ODU 5/1 ..;..;(04/28/2026 com ran 10h): 28.04.2026: Spare pas disponible dans les WH Afro Commande effectuee au SPM. Update dans 20 minutes
27/04/2026 ODU UBT-T 3DB29211ACAA02 faulty commande en cours 
24/04/2026 Besoin d'un fme sur biba pour verifier le status de L ODU 5/1 ..;..;(04/28/2026 ocm ran 00h): 27/04/2026 ODU UBT-T 3DB29211ACAA02 faulty commande en cours 
24/04/2026 Besoin d'un fme sur biba pour verifier le status de L ODU 5/1 </t>
        </is>
      </c>
      <c r="U661" t="inlineStr">
        <is>
          <t>: 28.04.2026 : Spare pas disponible dans les WH Afro Commande effectuee au SPM. Update dans 20 minutes 27/04/2026 ODU UBT-T 3DB29211ACAA02 faulty commande en cours 24/04/2026 Besoin d'un fme sur biba pour verifier le status de L ODU 5/1 .;.; : 28.04.2026 : Spare pas disponible dans les WH Afro Commande effectuee au SPM. Update dans 20 minutes 27/04/2026 ODU UBT-T 3DB29211ACAA02 faulty commande en cours 24/04/2026 Besoin d'un fme sur biba pour verifier le status de L ODU 5/1 .;.;(04/28/2026 com ran 10h) : 28.04.2026 : Spare pas disponible dans les WH Afro Commande effectuee au SPM. Update dans 20 minutes 27/04/2026 ODU UBT-T 3DB29211ACAA02 faulty commande en cours 24/04/2026 Besoin d'un fme sur biba pour verifier le status de L ODU 5/1 .;.; : 27/04/2026 ODU UBT-T 3DB29211ACAA02 faulty commande en cours 24/04/2026 Besoin d'un fme sur biba pour verifier le status de L ODU 5/1</t>
        </is>
      </c>
    </row>
    <row r="662">
      <c r="A662" s="96" t="n">
        <v>46140</v>
      </c>
      <c r="B662" t="inlineStr">
        <is>
          <t>Limbe-Mile_1</t>
        </is>
      </c>
      <c r="C662" t="inlineStr">
        <is>
          <t>SUO_234</t>
        </is>
      </c>
      <c r="D662" t="inlineStr"/>
      <c r="E662" t="inlineStr">
        <is>
          <t>ESCO</t>
        </is>
      </c>
      <c r="F662" t="inlineStr">
        <is>
          <t>medium Grid + GE</t>
        </is>
      </c>
      <c r="G662" t="inlineStr">
        <is>
          <t>SUD-OUEST</t>
        </is>
      </c>
      <c r="H662" t="inlineStr">
        <is>
          <t>Limbe</t>
        </is>
      </c>
      <c r="I662" t="inlineStr"/>
      <c r="J662" t="n">
        <v>10.07095568105064</v>
      </c>
      <c r="K662" t="n">
        <v>8.581634569941281</v>
      </c>
      <c r="L662" t="n">
        <v>0.3568803940752998</v>
      </c>
      <c r="M662" t="n">
        <v>4.505194288209159</v>
      </c>
      <c r="N662" t="inlineStr"/>
      <c r="O662" t="inlineStr"/>
      <c r="P662" t="inlineStr">
        <is>
          <t>AKTIVCO</t>
        </is>
      </c>
      <c r="Q662" t="inlineStr">
        <is>
          <t>POWER ISSUE</t>
        </is>
      </c>
      <c r="R662" t="inlineStr">
        <is>
          <t>AKTIVCO Defaut GE &amp; Power Cabinet</t>
        </is>
      </c>
      <c r="S662" t="inlineStr">
        <is>
          <t>PASSIVE</t>
        </is>
      </c>
      <c r="T662" t="inlineStr">
        <is>
          <t>(04/28/2026 ocm ran 19h): Power status check ongoing..;..;(04/28/2026 ocm ran 14h): Power status check ongoing || (04/28/2026 top offenders): 28.04.26: Camusat: Our technician is managing with the level 0 - Escalated to L2</t>
        </is>
      </c>
      <c r="U662" t="inlineStr">
        <is>
          <t>: ; : Power status check ongoing || (04/28/2026 top offenders) : 28.04.26 : Camusat : Our technician is managing with the level 0 - Escalated to L2</t>
        </is>
      </c>
    </row>
    <row r="663">
      <c r="A663" s="96" t="n">
        <v>46140</v>
      </c>
      <c r="B663" t="inlineStr">
        <is>
          <t>Sodibanga</t>
        </is>
      </c>
      <c r="C663" t="inlineStr">
        <is>
          <t>LIT_515</t>
        </is>
      </c>
      <c r="D663" t="inlineStr"/>
      <c r="E663" t="inlineStr">
        <is>
          <t>IHS</t>
        </is>
      </c>
      <c r="F663" t="inlineStr">
        <is>
          <t>Hybrid-Gen</t>
        </is>
      </c>
      <c r="G663" t="inlineStr">
        <is>
          <t>LITTORAL</t>
        </is>
      </c>
      <c r="H663" t="inlineStr">
        <is>
          <t>Sodibanga</t>
        </is>
      </c>
      <c r="I663" t="inlineStr"/>
      <c r="J663" t="n">
        <v>15.41873493759217</v>
      </c>
      <c r="K663" t="n">
        <v>6.561617042545161</v>
      </c>
      <c r="L663" t="n">
        <v>0</v>
      </c>
      <c r="M663" t="n">
        <v>4.404604446499045</v>
      </c>
      <c r="N663" t="inlineStr"/>
      <c r="O663" t="inlineStr"/>
      <c r="P663" t="inlineStr">
        <is>
          <t>BSS</t>
        </is>
      </c>
      <c r="Q663" t="inlineStr">
        <is>
          <t>RAN ISSUE</t>
        </is>
      </c>
      <c r="R663" t="inlineStr">
        <is>
          <t>BSS Hardware issue</t>
        </is>
      </c>
      <c r="S663" t="inlineStr">
        <is>
          <t>ACTIVE</t>
        </is>
      </c>
      <c r="T663" t="inlineStr">
        <is>
          <t xml:space="preserve">(04/28/2026 cell nokia): 27/04/2026 : Need BO RAN analysis || Check and clean jumper, port 2 of FRGU ||..;..;(04/28/2026 cell nokia): 28/04/2026: || Forte pluie  dans la zone||Intervention pour demain 29/04/2026
27/04/2026 : Need BO RAN analysis || Check and clean jumper, port 2 of FRGU ..;..;(04/28/2026 cell nokia): 28/04/2026: || Forte pluie  dans la zone||Intervention pour demain 29/04/2026
27/04/2026 : Need BO RAN analysis || Check and clean jumper, port 2 of FRGU </t>
        </is>
      </c>
      <c r="U663" t="inlineStr">
        <is>
          <t>04/28/2026 cell nokia) : 27/04/2026 : Need BO RAN analysis || Check and clean jumper, port 2 of FRGU || .;.;(04/28/2026 cell nokia) : 28/04/2026 : || Forte pluie dans la zone || Intervention pour demain 29/04/2026 27/04/2026 : Need BO RAN analysis || Check and clean jumper, port 2 of FRGU .;.;(04/28/2026 cell nokia) : 28/04/2026 : || Forte pluie dans la zone || Intervention pour demain 29/04/2026 27/04/2026 : Need BO RAN analysis || Check and clean jumper, port 2 of FRGU</t>
        </is>
      </c>
    </row>
    <row r="664">
      <c r="A664" s="96" t="n">
        <v>46140</v>
      </c>
      <c r="B664" t="inlineStr">
        <is>
          <t>Logpom-New</t>
        </is>
      </c>
      <c r="C664" t="inlineStr">
        <is>
          <t>LIT_737</t>
        </is>
      </c>
      <c r="D664" t="inlineStr"/>
      <c r="E664" t="inlineStr">
        <is>
          <t>CAMUSAT</t>
        </is>
      </c>
      <c r="F664" t="inlineStr">
        <is>
          <t>Good Grid no GE - 8h</t>
        </is>
      </c>
      <c r="G664" t="inlineStr">
        <is>
          <t>LITTORAL</t>
        </is>
      </c>
      <c r="H664" t="inlineStr">
        <is>
          <t>Douala</t>
        </is>
      </c>
      <c r="I664" t="inlineStr"/>
      <c r="J664" t="n">
        <v>1.802118428993361</v>
      </c>
      <c r="K664" t="n">
        <v>1.570410491277102</v>
      </c>
      <c r="L664" t="n">
        <v>6.648543230305541</v>
      </c>
      <c r="M664" t="n">
        <v>4.251686485005695</v>
      </c>
      <c r="N664" t="inlineStr"/>
      <c r="O664" t="inlineStr"/>
      <c r="P664" t="inlineStr">
        <is>
          <t>AKTIVCO GRID ONLY</t>
        </is>
      </c>
      <c r="Q664" t="inlineStr">
        <is>
          <t>POWER ISSUE</t>
        </is>
      </c>
      <c r="R664" t="inlineStr">
        <is>
          <t>AKTIVCO Coupure ENEO &amp; Baisse de tension</t>
        </is>
      </c>
      <c r="S664" t="inlineStr">
        <is>
          <t>PASSIVE</t>
        </is>
      </c>
      <c r="T664" t="inlineStr">
        <is>
          <t>(04/28/2026 ocm ran 00h): 27/04/2026 Grid outage grid only site /Grid return awaited</t>
        </is>
      </c>
      <c r="U664" t="inlineStr">
        <is>
          <t>: 27/04/2026 Grid outage grid only site /Grid return awaited</t>
        </is>
      </c>
    </row>
    <row r="665">
      <c r="A665" s="96" t="n">
        <v>46140</v>
      </c>
      <c r="B665" t="inlineStr">
        <is>
          <t>OST_342_H_Foumban-New</t>
        </is>
      </c>
      <c r="C665" t="inlineStr">
        <is>
          <t>OST_342</t>
        </is>
      </c>
      <c r="D665" t="inlineStr"/>
      <c r="E665" t="inlineStr">
        <is>
          <t>ESCO</t>
        </is>
      </c>
      <c r="F665" t="inlineStr">
        <is>
          <t>Medium Grid + Solar + GE</t>
        </is>
      </c>
      <c r="G665" t="inlineStr">
        <is>
          <t>OST</t>
        </is>
      </c>
      <c r="H665" t="inlineStr">
        <is>
          <t>Foumban</t>
        </is>
      </c>
      <c r="I665" t="inlineStr"/>
      <c r="J665" t="n">
        <v>0</v>
      </c>
      <c r="K665" t="n">
        <v>11.6631667125677</v>
      </c>
      <c r="L665" t="n">
        <v>0</v>
      </c>
      <c r="M665" t="n">
        <v>3.915459588566145</v>
      </c>
      <c r="N665" t="inlineStr"/>
      <c r="O665" t="inlineStr"/>
      <c r="P665" t="inlineStr">
        <is>
          <t>Exclu</t>
        </is>
      </c>
      <c r="Q665" t="inlineStr">
        <is>
          <t>Exclu</t>
        </is>
      </c>
      <c r="R665" t="inlineStr">
        <is>
          <t>EXCLU</t>
        </is>
      </c>
      <c r="S665" t="inlineStr">
        <is>
          <t>Exclu</t>
        </is>
      </c>
      <c r="T665" t="inlineStr">
        <is>
          <t>(04/28/2026 ocm ran 14h): Power status check ongoing..;..;(04/28/2026 com ran 10h): Power status check ongoing</t>
        </is>
      </c>
      <c r="U665" t="inlineStr">
        <is>
          <t>: ;(04/28/2026 com ran 10h) : Power status check ongoing</t>
        </is>
      </c>
    </row>
    <row r="666">
      <c r="A666" s="96" t="n">
        <v>46140</v>
      </c>
      <c r="B666" t="inlineStr">
        <is>
          <t>Ndu-Mbakfu-IHS</t>
        </is>
      </c>
      <c r="C666" t="inlineStr">
        <is>
          <t>NRO_089</t>
        </is>
      </c>
      <c r="D666" t="inlineStr"/>
      <c r="E666" t="inlineStr">
        <is>
          <t>IHS</t>
        </is>
      </c>
      <c r="F666" t="inlineStr">
        <is>
          <t>Hybrid-Gen</t>
        </is>
      </c>
      <c r="G666" t="inlineStr">
        <is>
          <t>NORD-OUEST</t>
        </is>
      </c>
      <c r="H666" t="inlineStr">
        <is>
          <t>Ndu-Mbakfu</t>
        </is>
      </c>
      <c r="I666" t="inlineStr"/>
      <c r="J666" t="n">
        <v>13.68018836252893</v>
      </c>
      <c r="K666" t="n">
        <v>5.822365960470707</v>
      </c>
      <c r="L666" t="n">
        <v>0</v>
      </c>
      <c r="M666" t="n">
        <v>3.90816504153433</v>
      </c>
      <c r="N666" t="inlineStr"/>
      <c r="O666" t="inlineStr"/>
      <c r="P666" t="inlineStr">
        <is>
          <t>ACCESS-ISSUE</t>
        </is>
      </c>
      <c r="Q666" t="inlineStr">
        <is>
          <t>ACCESS-ISSUE</t>
        </is>
      </c>
      <c r="R666" t="inlineStr">
        <is>
          <t>ACCESS-ISSUE</t>
        </is>
      </c>
      <c r="S666" t="inlineStr">
        <is>
          <t>ACCESS-ISSUE</t>
        </is>
      </c>
      <c r="T666" t="inlineStr">
        <is>
          <t>(04/28/2026 cell nokia): 28/04/2026 : Acess issue 
27/04/2026 : Road blocked No traffic 
24/04/2026 : Road blocked No traffic 
23/04/2026 : Feedback RM : Road blocked No traffic 
21/04/2026 : Feedback RM: Road blocked No traffic || Access issue  
20/04/2026 : Ghost town 
18/04/2026 : Check breaker and  interconnection FXDB (sfp, optical fiber) between system and radio module, swap its if neede</t>
        </is>
      </c>
      <c r="U666" t="inlineStr">
        <is>
          <t>04/28/2026 cell nokia) : 28/04/2026 : Acess issue 27/04/2026 : Road blocked No traffic 24/04/2026 : Road blocked No traffic 23/04/2026 : Feedback RM : Road blocked No traffic 21/04/2026 : Feedback RM : Road blocked No traffic || Access issue 20/04/2026 : Ghost town 18/04/2026 : Check breaker and interconnection FXDB (sfp, optical fiber) between system and radio module, swap its if neede</t>
        </is>
      </c>
    </row>
    <row r="667">
      <c r="A667" s="96" t="n">
        <v>46140</v>
      </c>
      <c r="B667" t="inlineStr">
        <is>
          <t>Kotto-Denver</t>
        </is>
      </c>
      <c r="C667" t="inlineStr">
        <is>
          <t>LIT_657</t>
        </is>
      </c>
      <c r="D667" t="inlineStr"/>
      <c r="E667" t="inlineStr">
        <is>
          <t>CAMUSAT</t>
        </is>
      </c>
      <c r="F667" t="inlineStr">
        <is>
          <t>Good Grid no GE - 12h</t>
        </is>
      </c>
      <c r="G667" t="inlineStr">
        <is>
          <t>LITTORAL</t>
        </is>
      </c>
      <c r="H667" t="inlineStr">
        <is>
          <t>Douala</t>
        </is>
      </c>
      <c r="I667" t="inlineStr"/>
      <c r="J667" t="n">
        <v>3.285378423637839</v>
      </c>
      <c r="K667" t="n">
        <v>2.887940267450044</v>
      </c>
      <c r="L667" t="n">
        <v>4.691121814444904</v>
      </c>
      <c r="M667" t="n">
        <v>3.885032944956668</v>
      </c>
      <c r="N667" t="inlineStr"/>
      <c r="O667" t="inlineStr"/>
      <c r="P667" t="inlineStr">
        <is>
          <t>AKTIVCO GRID ONLY</t>
        </is>
      </c>
      <c r="Q667" t="inlineStr">
        <is>
          <t>POWER ISSUE</t>
        </is>
      </c>
      <c r="R667" t="inlineStr">
        <is>
          <t>AKTIVCO Coupure ENEO &amp; Baisse de tension</t>
        </is>
      </c>
      <c r="S667" t="inlineStr">
        <is>
          <t>PASSIVE</t>
        </is>
      </c>
      <c r="T667" t="inlineStr">
        <is>
          <t>(04/28/2026 ocm ran 00h): 27.04.26: Camusat: grid only site probable grid outage / FME will check</t>
        </is>
      </c>
      <c r="U667" t="inlineStr">
        <is>
          <t>: 27.04.26 : Camusat : grid only site probable grid outage / FME will check</t>
        </is>
      </c>
    </row>
    <row r="668">
      <c r="A668" s="96" t="n">
        <v>46140</v>
      </c>
      <c r="B668" t="inlineStr">
        <is>
          <t>Bonassama</t>
        </is>
      </c>
      <c r="C668" t="inlineStr">
        <is>
          <t>LIT_435</t>
        </is>
      </c>
      <c r="D668" t="inlineStr"/>
      <c r="E668" t="inlineStr">
        <is>
          <t>IHS</t>
        </is>
      </c>
      <c r="F668" t="inlineStr">
        <is>
          <t>Grid-Gen</t>
        </is>
      </c>
      <c r="G668" t="inlineStr">
        <is>
          <t>LITTORAL</t>
        </is>
      </c>
      <c r="H668" t="inlineStr">
        <is>
          <t>Douala</t>
        </is>
      </c>
      <c r="I668" t="inlineStr"/>
      <c r="J668" t="n">
        <v>1.843708659560607</v>
      </c>
      <c r="K668" t="n">
        <v>1.617374052653591</v>
      </c>
      <c r="L668" t="n">
        <v>5.540452691921284</v>
      </c>
      <c r="M668" t="n">
        <v>3.695535237834338</v>
      </c>
      <c r="N668" t="inlineStr"/>
      <c r="O668" t="inlineStr"/>
      <c r="P668" t="inlineStr">
        <is>
          <t>IHS</t>
        </is>
      </c>
      <c r="Q668" t="inlineStr">
        <is>
          <t>POWER ISSUE</t>
        </is>
      </c>
      <c r="R668" t="inlineStr">
        <is>
          <t>Defaut GE &amp; Power Cabinet</t>
        </is>
      </c>
      <c r="S668" t="inlineStr">
        <is>
          <t>PASSIVE</t>
        </is>
      </c>
      <c r="T668" t="inlineStr">
        <is>
          <t>(04/28/2026 retour IHS ): Power issue NUR to be checked   ||  (04/28/2026 com ran 10h): Power status check ongoing..;..;(04/28/2026 ticket): INC-20260428-00006271</t>
        </is>
      </c>
      <c r="U668" t="inlineStr">
        <is>
          <t>04/28/2026 retour IHS ) : Power issue NUR to be checked || (04/28/2026 com ran 10h) : ; :</t>
        </is>
      </c>
    </row>
    <row r="669">
      <c r="A669" s="96" t="n">
        <v>46140</v>
      </c>
      <c r="B669" t="inlineStr">
        <is>
          <t>MELEN-MINTOM</t>
        </is>
      </c>
      <c r="C669" t="inlineStr">
        <is>
          <t>SUD_163</t>
        </is>
      </c>
      <c r="D669" t="inlineStr"/>
      <c r="E669" t="inlineStr">
        <is>
          <t>CAMUSAT</t>
        </is>
      </c>
      <c r="F669" t="inlineStr"/>
      <c r="G669" t="inlineStr">
        <is>
          <t>SUD</t>
        </is>
      </c>
      <c r="H669" t="inlineStr">
        <is>
          <t>Melen-Mintom</t>
        </is>
      </c>
      <c r="I669" t="inlineStr"/>
      <c r="J669" t="n">
        <v>9.952554664300644</v>
      </c>
      <c r="K669" t="n">
        <v>4.262846340327291</v>
      </c>
      <c r="L669" t="n">
        <v>1.563007708149807</v>
      </c>
      <c r="M669" t="n">
        <v>3.667401206620698</v>
      </c>
      <c r="N669" t="inlineStr"/>
      <c r="O669" t="inlineStr"/>
      <c r="P669" t="inlineStr">
        <is>
          <t>Exclu</t>
        </is>
      </c>
      <c r="Q669" t="inlineStr">
        <is>
          <t>Exclu</t>
        </is>
      </c>
      <c r="R669" t="inlineStr">
        <is>
          <t>EXCLU</t>
        </is>
      </c>
      <c r="S669" t="inlineStr">
        <is>
          <t>Exclu</t>
        </is>
      </c>
      <c r="T669" t="inlineStr">
        <is>
          <t xml:space="preserve">(04/28/2026 cell nokia): 28/04/2026 : FME en route pour le site ETA: 13h
27/04/2026 : Need BO RAN analysis || Check and clean jumper, port 2 &amp; 3 of AHPMDA || FME dominique activer || ETA : 28/04/2026 ..;..;(04/28/2026 cell nokia): 28/04/2026 : FME en route pour le site ETA: 13h
27/04/2026 : Need BO RAN analysis || Check and clean jumper, port 2 &amp; 3 of AHPMDA || FME dominique activer || ETA : 28/04/2026 ..;..;(04/28/2026 cell nokia): 28/04/2026 : FME en route pour le site ETA: 13h || FME Toujours sur site || il travaille avec le BO RAN 
27/04/2026 : Need BO RAN analysis || Check and clean jumper, port 2 &amp; 3 of AHPMDA || FME dominique activer || ETA : 28/04/2026 </t>
        </is>
      </c>
      <c r="U669" t="inlineStr">
        <is>
          <t>04/28/2026 cell nokia) : 28/04/2026 : FME en route pour le site ETA : 13h 27/04/2026 : Need BO RAN analysis || Check and clean jumper, port 2 &amp; 3 of AHPMDA || ETA : 28/04/2026 .;.;(04/28/2026 cell nokia) : 28/04/2026 : FME en route pour le site ETA : 13h 27/04/2026 : Need BO RAN analysis || Check and clean jumper, port 2 &amp; 3 of AHPMDA || ETA : 28/04/2026 .;.;(04/28/2026 cell nokia) : 28/04/2026 : FME en route pour le site ETA : 13h || FME Toujours sur site || il travaille avec le BO RAN 27/04/2026 : Need BO RAN analysis || Check and clean jumper, port 2 &amp; 3 of AHPMDA || ETA : 28/04/2026</t>
        </is>
      </c>
    </row>
    <row r="670">
      <c r="A670" s="96" t="n">
        <v>46140</v>
      </c>
      <c r="B670" t="inlineStr">
        <is>
          <t>Okolo</t>
        </is>
      </c>
      <c r="C670" t="inlineStr">
        <is>
          <t>CTR_213</t>
        </is>
      </c>
      <c r="D670" t="inlineStr"/>
      <c r="E670" t="inlineStr">
        <is>
          <t>IHS</t>
        </is>
      </c>
      <c r="F670" t="inlineStr">
        <is>
          <t>Grid-Gen</t>
        </is>
      </c>
      <c r="G670" t="inlineStr">
        <is>
          <t>CENTRE</t>
        </is>
      </c>
      <c r="H670" t="inlineStr">
        <is>
          <t>Yaounde</t>
        </is>
      </c>
      <c r="I670" t="inlineStr"/>
      <c r="J670" t="n">
        <v>2.512649425080633</v>
      </c>
      <c r="K670" t="n">
        <v>3.929638809837102</v>
      </c>
      <c r="L670" t="n">
        <v>3.758957749191779</v>
      </c>
      <c r="M670" t="n">
        <v>3.638284636435496</v>
      </c>
      <c r="N670" t="inlineStr"/>
      <c r="O670" t="inlineStr"/>
      <c r="P670" t="inlineStr">
        <is>
          <t>IHS</t>
        </is>
      </c>
      <c r="Q670" t="inlineStr">
        <is>
          <t>POWER ISSUE</t>
        </is>
      </c>
      <c r="R670" t="inlineStr">
        <is>
          <t>Defaut GE &amp; Power Cabinet</t>
        </is>
      </c>
      <c r="S670" t="inlineStr">
        <is>
          <t>PASSIVE</t>
        </is>
      </c>
      <c r="T670" t="inlineStr">
        <is>
          <t>(04/28/2026 retour IHS ): Power issue NUR to be checked   ||  (04/28/2026 hourly IHS): fme Justin is on site (Gen Faulty)..;..;(04/28/2026 ocm ran 14h): Power status check ongoing..;..;(04/28/2026 ticket): INC-20260428-00008528</t>
        </is>
      </c>
      <c r="U670" t="inlineStr">
        <is>
          <t>04/28/2026 retour IHS ) : Power issue NUR to be checked || : fme Justin is on site (Gen Faulty).;.; : ; :</t>
        </is>
      </c>
    </row>
    <row r="671">
      <c r="A671" s="96" t="n">
        <v>46140</v>
      </c>
      <c r="B671" t="inlineStr">
        <is>
          <t>Yokadouma</t>
        </is>
      </c>
      <c r="C671" t="inlineStr">
        <is>
          <t>EST_013</t>
        </is>
      </c>
      <c r="D671" t="inlineStr"/>
      <c r="E671" t="inlineStr">
        <is>
          <t>CAMUSAT</t>
        </is>
      </c>
      <c r="F671" t="inlineStr">
        <is>
          <t>Medium Grid + Solar + GE</t>
        </is>
      </c>
      <c r="G671" t="inlineStr">
        <is>
          <t>EST</t>
        </is>
      </c>
      <c r="H671" t="inlineStr">
        <is>
          <t>Yokadouma</t>
        </is>
      </c>
      <c r="I671" t="inlineStr"/>
      <c r="J671" t="n">
        <v>24.48278239391869</v>
      </c>
      <c r="K671" t="n">
        <v>0</v>
      </c>
      <c r="L671" t="n">
        <v>0.1635799917899507</v>
      </c>
      <c r="M671" t="n">
        <v>3.58144415635411</v>
      </c>
      <c r="N671" t="inlineStr"/>
      <c r="O671" t="inlineStr"/>
      <c r="P671" t="inlineStr">
        <is>
          <t>Fiber AOF</t>
        </is>
      </c>
      <c r="Q671" t="inlineStr">
        <is>
          <t>TX ISSUE</t>
        </is>
      </c>
      <c r="R671" t="inlineStr">
        <is>
          <t>fiber AOF</t>
        </is>
      </c>
      <c r="S671" t="inlineStr">
        <is>
          <t>ACTIVE</t>
        </is>
      </c>
      <c r="T671" t="inlineStr">
        <is>
          <t xml:space="preserve">(04/28/2026 cell nokia): 28/04/2026 : FME en route pour le site || ETA : 12h 
27/04/2026 : FME a recu la SFP ce jour || Intervention prevue pour demain 27/04/2026 
24/04/2026 : Tickets creer au FME pour la commande de la SFP et la F.O
23/04/2026 : Check and replace SFP on FSMF &lt;&gt;FXDB connection || FME activer 
22/04/2026 : Closed after reset but check and replace SFP on FSMF&lt;&gt;FXDB connection
22/04/2026 : FME a remplacer la ABIA hier mais l'alarme  persiste. Le point a ete transmis a lexpert MOHAN pour une analyse plus appronfondie 
21/04/2026 : Intervention ce jour apres YOLA || FME presentement a YOLA || FME sur site ||mIntervention en cours 
20/04/2026: Intervention apres YOLA   || ETA : 21042026 
17/04/2026 : Tickets creer au FME pour la commande de la ABIA || ABIA faulty 
16/04/2026 : Interventon ce jour || FME etait sur Tikondi il a finit tres tard il interviendra demain sur Yokadouma
15/04/2026 : Check breaker and  interconnection FXED (sfp, optical fiber) between system and radio module, swap its if needed || Action avec le level 0 en cours  || Action avec le Level 0 non abouttis || Le FME se rendrs sur site demain matin || ETA : 16/04/2026 ..;..;(04/28/2026 cell nokia): 28/04/2026 : FME en route pour le site || ETA : 12h || Intervention en cours
27/04/2026 : FME a recu la SFP ce jour || Intervention prevue pour demain 27/04/2026 
24/04/2026 : Tickets creer au FME pour la commande de la SFP et la F.O
23/04/2026 : Check and replace SFP on FSMF &lt;&gt;FXDB connection || FME activer 
22/04/2026 : Closed after reset but check and replace SFP on FSMF&lt;&gt;FXDB connection
22/04/2026 : FME a remplacer la ABIA hier mais l'alarme  persiste. Le point a ete transmis a lexpert MOHAN pour une analyse plus appronfondie 
21/04/2026 : Intervention ce jour apres YOLA || FME presentement a YOLA || FME sur site ||mIntervention en cours 
20/04/2026: Intervention apres YOLA   || ETA : 21042026 
17/04/2026 : Tickets creer au FME pour la commande de la ABIA || ABIA faulty 
16/04/2026 : Interventon ce jour || FME etait sur Tikondi il a finit tres tard il interviendra demain sur Yokadouma
15/04/2026 : Check breaker and  interconnection FXED (sfp, optical fiber) between system and radio module, swap its if needed || Action avec le level 0 en cours  || Action avec le Level 0 non abouttis || Le FME se rendrs sur site demain matin || ETA : 16/04/2026 </t>
        </is>
      </c>
      <c r="U671" t="inlineStr">
        <is>
          <t>04/28/2026 cell nokia) : 28/04/2026 : FME en route pour le site || ETA : 12h 27/04/2026 : FME a recu la SFP ce jour || Intervention prevue pour demain 27/04/2026 24/04/2026 : Tickets creer au FME pour la commande de la SFP et la F.O 23/04/2026 : Check and replace SFP on FSMF &lt;&gt;FXDB connection || FME activer 22/04/2026 : Closed after reset but check and replace SFP on FSMF&lt;&gt;FXDB connection 22/04/2026 : FME a remplacer la ABIA hier mais l'alarme persiste. Le point a ete transmis a lexpert MOHAN pour une analyse plus appronfondie 21/04/2026 : Intervention ce jour apres YOLA || FME presentement a YOLA || FME sur site || mIntervention en cours 20/04/2026 : Intervention apres YOLA || ETA : 21042026 17/04/2026 : Tickets creer au FME pour la commande de la ABIA || ABIA faulty 16/04/2026 : Interventon ce jour || FME etait sur Tikondi il a finit tres tard il interviendra demain sur Yokadouma 15/04/2026 : Check breaker and interconnection FXED (sfp, optical fiber) between system and radio module, swap its if needed || Action avec le level 0 en cours || Action avec le Level 0 non abouttis || Le FME se rendrs sur site demain matin || ETA : 16/04/2026 .;.;(04/28/2026 cell nokia) : 28/04/2026 : FME en route pour le site || ETA : 12h || Intervention en cours 27/04/2026 : FME a recu la SFP ce jour || Intervention prevue pour demain 27/04/2026 24/04/2026 : Tickets creer au FME pour la commande de la SFP et la F.O 23/04/2026 : Check and replace SFP on FSMF &lt;&gt;FXDB connection || FME activer 22/04/2026 : Closed after reset but check and replace SFP on FSMF&lt;&gt;FXDB connection 22/04/2026 : FME a remplacer la ABIA hier mais l'alarme persiste. Le point a ete transmis a lexpert MOHAN pour une analyse plus appronfondie 21/04/2026 : Intervention ce jour apres YOLA || FME presentement a YOLA || FME sur site || mIntervention en cours 20/04/2026 : Intervention apres YOLA || ETA : 21042026 17/04/2026 : Tickets creer au FME pour la commande de la ABIA || ABIA faulty 16/04/2026 : Interventon ce jour || FME etait sur Tikondi il a finit tres tard il interviendra demain sur Yokadouma 15/04/2026 : Check breaker and interconnection FXED (sfp, optical fiber) between system and radio module, swap its if needed || Action avec le level 0 en cours || Action avec le Level 0 non abouttis || Le FME se rendrs sur site demain matin || ETA : 16/04/2026</t>
        </is>
      </c>
    </row>
    <row r="672">
      <c r="A672" s="96" t="n">
        <v>46140</v>
      </c>
      <c r="B672" t="inlineStr">
        <is>
          <t>Lende-Kribi</t>
        </is>
      </c>
      <c r="C672" t="inlineStr">
        <is>
          <t>SUD_086</t>
        </is>
      </c>
      <c r="D672" t="inlineStr"/>
      <c r="E672" t="inlineStr">
        <is>
          <t>CAMUSAT</t>
        </is>
      </c>
      <c r="F672" t="inlineStr">
        <is>
          <t>HGB</t>
        </is>
      </c>
      <c r="G672" t="inlineStr">
        <is>
          <t>SUD</t>
        </is>
      </c>
      <c r="H672" t="inlineStr">
        <is>
          <t>Kribi</t>
        </is>
      </c>
      <c r="I672" t="inlineStr"/>
      <c r="J672" t="n">
        <v>1.94087742647147</v>
      </c>
      <c r="K672" t="n">
        <v>3.385520262757938</v>
      </c>
      <c r="L672" t="n">
        <v>3.878316884344895</v>
      </c>
      <c r="M672" t="n">
        <v>3.436213199099398</v>
      </c>
      <c r="N672" t="inlineStr"/>
      <c r="O672" t="inlineStr"/>
      <c r="P672" t="inlineStr">
        <is>
          <t>AKTIVCO</t>
        </is>
      </c>
      <c r="Q672" t="inlineStr">
        <is>
          <t>POWER ISSUE</t>
        </is>
      </c>
      <c r="R672" t="inlineStr">
        <is>
          <t>AKTIVCO Defaut GE &amp; Power Cabinet</t>
        </is>
      </c>
      <c r="S672" t="inlineStr">
        <is>
          <t>PASSIVE</t>
        </is>
      </c>
      <c r="T672" t="inlineStr">
        <is>
          <t>(04/28/2026 ticket): INC-20260428-00016999…2026-04-28 22:18:37…FME is managing with level0</t>
        </is>
      </c>
      <c r="U672" t="inlineStr">
        <is>
          <t>: …2026-04-28 22 : 18 : 37…FME is managing with level0</t>
        </is>
      </c>
    </row>
    <row r="673">
      <c r="A673" s="96" t="n">
        <v>46140</v>
      </c>
      <c r="B673" t="inlineStr">
        <is>
          <t>Salapoumbe-Ville-MTN-IHS</t>
        </is>
      </c>
      <c r="C673" t="inlineStr">
        <is>
          <t>EST_103</t>
        </is>
      </c>
      <c r="D673" t="inlineStr"/>
      <c r="E673" t="inlineStr">
        <is>
          <t>IHS</t>
        </is>
      </c>
      <c r="F673" t="inlineStr">
        <is>
          <t>Hybrid-Gen</t>
        </is>
      </c>
      <c r="G673" t="inlineStr">
        <is>
          <t>EST</t>
        </is>
      </c>
      <c r="H673" t="inlineStr">
        <is>
          <t>SALAPOUMBE</t>
        </is>
      </c>
      <c r="I673" t="inlineStr"/>
      <c r="J673" t="n">
        <v>22.77608419361414</v>
      </c>
      <c r="K673" t="n">
        <v>0</v>
      </c>
      <c r="L673" t="n">
        <v>0</v>
      </c>
      <c r="M673" t="n">
        <v>3.252422717038635</v>
      </c>
      <c r="N673" t="inlineStr"/>
      <c r="O673" t="inlineStr"/>
      <c r="P673" t="inlineStr">
        <is>
          <t>BSS</t>
        </is>
      </c>
      <c r="Q673" t="inlineStr">
        <is>
          <t>RAN ISSUE</t>
        </is>
      </c>
      <c r="R673" t="inlineStr">
        <is>
          <t>BSS Hardware issue</t>
        </is>
      </c>
      <c r="S673" t="inlineStr">
        <is>
          <t>ACTIVE</t>
        </is>
      </c>
      <c r="T673" t="inlineStr">
        <is>
          <t xml:space="preserve">(04/28/2026 cell nokia): 28/04/2026 : FME se rend sur le site de  Yokadouma 
27/04/2026 : Need BO RAN analysis || Check and replace FXDB || FME Hugues activer || Un reset a ete effectuer mais les cellules demeures down || FME ira sur site demain 28/04/2026 ..;..;(04/28/2026 cell nokia): 28/04/2026 : FME se rend sur le site de  Yokadouma || FME a fini tard sur le site de yokadouma || Intervention demain 29/04/2026 
27/04/2026 : Need BO RAN analysis || Check and replace FXDB || FME Hugues activer || Un reset a ete effectuer mais les cellules demeures down || FME ira sur site demain 28/04/2026 </t>
        </is>
      </c>
      <c r="U673" t="inlineStr">
        <is>
          <t>04/28/2026 cell nokia) : 28/04/2026 : FME se rend sur le site de Yokadouma 27/04/2026 : Need BO RAN analysis || Check and replace FXDB || Un reset a ete effectuer mais les cellules demeures down || FME ira sur site demain 28/04/2026 .;.;(04/28/2026 cell nokia) : 28/04/2026 : FME se rend sur le site de Yokadouma || FME a fini tard sur le site de yokadouma || Intervention demain 29/04/2026 27/04/2026 : Need BO RAN analysis || Check and replace FXDB || Un reset a ete effectuer mais les cellules demeures down || FME ira sur site demain 28/04/2026</t>
        </is>
      </c>
    </row>
    <row r="674">
      <c r="A674" s="96" t="n">
        <v>46140</v>
      </c>
      <c r="B674" t="inlineStr">
        <is>
          <t>Port-SUD</t>
        </is>
      </c>
      <c r="C674" t="inlineStr">
        <is>
          <t>LIT_640</t>
        </is>
      </c>
      <c r="D674" t="inlineStr"/>
      <c r="E674" t="inlineStr">
        <is>
          <t>CAMUSAT</t>
        </is>
      </c>
      <c r="F674" t="inlineStr">
        <is>
          <t>Good Grid + GE</t>
        </is>
      </c>
      <c r="G674" t="inlineStr">
        <is>
          <t>LITTORAL</t>
        </is>
      </c>
      <c r="H674" t="inlineStr">
        <is>
          <t>Douala</t>
        </is>
      </c>
      <c r="I674" t="inlineStr"/>
      <c r="J674" t="n">
        <v>2.283216231230691</v>
      </c>
      <c r="K674" t="n">
        <v>2.149379825984068</v>
      </c>
      <c r="L674" t="n">
        <v>4.155339518940962</v>
      </c>
      <c r="M674" t="n">
        <v>3.214576680849122</v>
      </c>
      <c r="N674" t="inlineStr"/>
      <c r="O674" t="inlineStr"/>
      <c r="P674" t="inlineStr">
        <is>
          <t>AKTIVCO</t>
        </is>
      </c>
      <c r="Q674" t="inlineStr">
        <is>
          <t>POWER ISSUE</t>
        </is>
      </c>
      <c r="R674" t="inlineStr">
        <is>
          <t>AKTIVCO Defaut GE &amp; Power Cabinet</t>
        </is>
      </c>
      <c r="S674" t="inlineStr">
        <is>
          <t>PASSIVE</t>
        </is>
      </c>
      <c r="T674" t="inlineStr">
        <is>
          <t>(04/28/2026 ticket): INC-20260428-00004790…2026-04-28 09:15:25…technician on site</t>
        </is>
      </c>
      <c r="U674" t="inlineStr">
        <is>
          <t>: …2026-04-28 09 : 15 : 25…technician on site</t>
        </is>
      </c>
    </row>
    <row r="675">
      <c r="A675" s="96" t="n">
        <v>46140</v>
      </c>
      <c r="B675" t="inlineStr">
        <is>
          <t>Gueme</t>
        </is>
      </c>
      <c r="C675" t="inlineStr">
        <is>
          <t>EXN_049</t>
        </is>
      </c>
      <c r="D675" t="inlineStr"/>
      <c r="E675" t="inlineStr">
        <is>
          <t>IHS</t>
        </is>
      </c>
      <c r="F675" t="inlineStr">
        <is>
          <t>Solar-Gen</t>
        </is>
      </c>
      <c r="G675" t="inlineStr">
        <is>
          <t>EXTREME-NORD</t>
        </is>
      </c>
      <c r="H675" t="inlineStr">
        <is>
          <t>Gueme</t>
        </is>
      </c>
      <c r="I675" t="inlineStr"/>
      <c r="J675" t="n">
        <v>9.185445967171445</v>
      </c>
      <c r="K675" t="n">
        <v>5.580550062608335</v>
      </c>
      <c r="L675" t="n">
        <v>0</v>
      </c>
      <c r="M675" t="n">
        <v>3.185135857026935</v>
      </c>
      <c r="N675" t="inlineStr"/>
      <c r="O675" t="inlineStr"/>
      <c r="P675" t="inlineStr">
        <is>
          <t>IHS</t>
        </is>
      </c>
      <c r="Q675" t="inlineStr">
        <is>
          <t>POWER ISSUE</t>
        </is>
      </c>
      <c r="R675" t="inlineStr">
        <is>
          <t>Defaut GE &amp; Power Cabinet</t>
        </is>
      </c>
      <c r="S675" t="inlineStr">
        <is>
          <t>PASSIVE</t>
        </is>
      </c>
      <c r="T675" t="inlineStr">
        <is>
          <t>(04/28/2026 hourly IHS): FME Mamoudou is on site, Escalation done until Alphonse T..;..;(04/28/2026 com ran 10h): Power status check ongoing..;..;(04/28/2026 ticket): INC-20260428-00004691…2026-04-28 09:47:35</t>
        </is>
      </c>
      <c r="U675" t="inlineStr">
        <is>
          <t>: FME Mamoudou is on site, Escalation done until Alphonse T.;.;(04/28/2026 com ran 10h) : ; : …2026-04-28 09 : 47 : 35</t>
        </is>
      </c>
    </row>
    <row r="676">
      <c r="A676" s="96" t="n">
        <v>46140</v>
      </c>
      <c r="B676" t="inlineStr">
        <is>
          <t>PK15-Auberge</t>
        </is>
      </c>
      <c r="C676" t="inlineStr">
        <is>
          <t>LIT_728</t>
        </is>
      </c>
      <c r="D676" t="inlineStr"/>
      <c r="E676" t="inlineStr">
        <is>
          <t>CAMUSAT</t>
        </is>
      </c>
      <c r="F676" t="inlineStr">
        <is>
          <t>Good Grid no GE - 8h</t>
        </is>
      </c>
      <c r="G676" t="inlineStr">
        <is>
          <t>LITTORAL</t>
        </is>
      </c>
      <c r="H676" t="inlineStr">
        <is>
          <t>Douala</t>
        </is>
      </c>
      <c r="I676" t="inlineStr"/>
      <c r="J676" t="n">
        <v>1.389588304177708</v>
      </c>
      <c r="K676" t="n">
        <v>1.440995066488503</v>
      </c>
      <c r="L676" t="n">
        <v>4.781752676380654</v>
      </c>
      <c r="M676" t="n">
        <v>3.17582105566542</v>
      </c>
      <c r="N676" t="inlineStr"/>
      <c r="O676" t="inlineStr"/>
      <c r="P676" t="inlineStr">
        <is>
          <t>AKTIVCO GRID ONLY</t>
        </is>
      </c>
      <c r="Q676" t="inlineStr">
        <is>
          <t>POWER ISSUE</t>
        </is>
      </c>
      <c r="R676" t="inlineStr">
        <is>
          <t>AKTIVCO Coupure ENEO &amp; Baisse de tension</t>
        </is>
      </c>
      <c r="S676" t="inlineStr">
        <is>
          <t>PASSIVE</t>
        </is>
      </c>
      <c r="T676" t="inlineStr">
        <is>
          <t>(04/28/2026 ticket): INC-20260428-00008821…2026-04-28 13:17:38…grid outage grid only site /awaiting grid return…grid outage grid only site /awaiting grid return…Coupure Secteur…grid outage grid only site /awaiting grid return</t>
        </is>
      </c>
      <c r="U676" t="inlineStr">
        <is>
          <t>: …2026-04-28 13 : 17 : 38…grid outage grid only site /awaiting grid return…grid outage grid only site /awaiting grid return…Coupure Secteur…grid outage grid only site /awaiting grid return</t>
        </is>
      </c>
    </row>
    <row r="677">
      <c r="A677" s="96" t="n">
        <v>46140</v>
      </c>
      <c r="B677" t="inlineStr">
        <is>
          <t>Logpom-II</t>
        </is>
      </c>
      <c r="C677" t="inlineStr">
        <is>
          <t>LIT_274</t>
        </is>
      </c>
      <c r="D677" t="inlineStr"/>
      <c r="E677" t="inlineStr">
        <is>
          <t>IHS</t>
        </is>
      </c>
      <c r="F677" t="inlineStr">
        <is>
          <t>Grid-Gen</t>
        </is>
      </c>
      <c r="G677" t="inlineStr">
        <is>
          <t>LITTORAL</t>
        </is>
      </c>
      <c r="H677" t="inlineStr">
        <is>
          <t>Douala</t>
        </is>
      </c>
      <c r="I677" t="inlineStr"/>
      <c r="J677" t="n">
        <v>1.045001378847284</v>
      </c>
      <c r="K677" t="n">
        <v>1.107787535998313</v>
      </c>
      <c r="L677" t="n">
        <v>5.039212724928701</v>
      </c>
      <c r="M677" t="n">
        <v>3.149014932954374</v>
      </c>
      <c r="N677" t="inlineStr"/>
      <c r="O677" t="inlineStr"/>
      <c r="P677" t="inlineStr">
        <is>
          <t>IHS</t>
        </is>
      </c>
      <c r="Q677" t="inlineStr">
        <is>
          <t>POWER ISSUE</t>
        </is>
      </c>
      <c r="R677" t="inlineStr">
        <is>
          <t>Defaut GE &amp; Power Cabinet</t>
        </is>
      </c>
      <c r="S677" t="inlineStr">
        <is>
          <t>PASSIVE</t>
        </is>
      </c>
      <c r="T677" t="inlineStr">
        <is>
          <t>(04/28/2026 retour IHS ): Power issue NUR to be checked   ||  (04/28/2026 ticket): INC-20260428-00001036…GE Fault</t>
        </is>
      </c>
      <c r="U677" t="inlineStr">
        <is>
          <t>04/28/2026 retour IHS ) : Power issue NUR to be checked || : …GE Fault</t>
        </is>
      </c>
    </row>
    <row r="678">
      <c r="A678" s="96" t="n">
        <v>46140</v>
      </c>
      <c r="B678" t="inlineStr">
        <is>
          <t>Ndoumbi</t>
        </is>
      </c>
      <c r="C678" t="inlineStr">
        <is>
          <t>EST_185</t>
        </is>
      </c>
      <c r="D678" t="inlineStr"/>
      <c r="E678" t="inlineStr">
        <is>
          <t>ESCO</t>
        </is>
      </c>
      <c r="F678" t="inlineStr">
        <is>
          <t>Hybrid Solar - S3</t>
        </is>
      </c>
      <c r="G678" t="inlineStr">
        <is>
          <t>EST</t>
        </is>
      </c>
      <c r="H678" t="inlineStr">
        <is>
          <t>Ndoumbi</t>
        </is>
      </c>
      <c r="I678" t="inlineStr"/>
      <c r="J678" t="n">
        <v>0</v>
      </c>
      <c r="K678" t="n">
        <v>0</v>
      </c>
      <c r="L678" t="n">
        <v>5.909816204716034</v>
      </c>
      <c r="M678" t="n">
        <v>3.081901533246013</v>
      </c>
      <c r="N678" t="inlineStr"/>
      <c r="O678" t="inlineStr"/>
      <c r="P678" t="inlineStr">
        <is>
          <t>BSS</t>
        </is>
      </c>
      <c r="Q678" t="inlineStr">
        <is>
          <t>RAN ISSUE</t>
        </is>
      </c>
      <c r="R678" t="inlineStr">
        <is>
          <t>BSS Hardware issue</t>
        </is>
      </c>
      <c r="S678" t="inlineStr">
        <is>
          <t>ACTIVE</t>
        </is>
      </c>
      <c r="T678" t="inlineStr">
        <is>
          <t>(04/28/2026 cell nokia):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,5,6..;..;(04/28/2026 cell nokia):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,5,6..;..;(04/28/2026 cell nokia):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t>
        </is>
      </c>
      <c r="U678" t="inlineStr">
        <is>
          <t>04/28/2026 cell nokia) :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,5,6.;.;(04/28/2026 cell nokia) :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,5,6.;.;(04/28/2026 cell nokia) : 20/04/2026 : Check and clean ARPA ant 2,3,4,5,6 09/04/2026 : Relance de Jose Penda a l'equipe deploiement OCM || ETR attendu du Deploiement OCM 07/04/2026 : Feedback deployement OCM : J'active le sous-traitant pour corrections En effet nous sommes sur un projet de swap des antennes sur les axes routiers. Je te reviens avec plus de détails 02/04/2026 : Feedback FME : Il y a eu des travaux sur ce Site (les antennes ont été changées et certains port ne sont plus connectés sur recommandation de ORANGE selon le technicien). Essaye de voir avec le client pour que nous soyons fixés stp 01/04/2026 : Check and clean jumper on ARPA antenna port 3, 4 ,5,6</t>
        </is>
      </c>
    </row>
    <row r="679">
      <c r="A679" s="96" t="n">
        <v>46140</v>
      </c>
      <c r="B679" t="inlineStr">
        <is>
          <t>NTENYING1</t>
        </is>
      </c>
      <c r="C679" t="inlineStr">
        <is>
          <t>SUD_161</t>
        </is>
      </c>
      <c r="D679" t="inlineStr"/>
      <c r="E679" t="inlineStr">
        <is>
          <t>ESCO</t>
        </is>
      </c>
      <c r="F679" t="inlineStr">
        <is>
          <t>Hybrid Solar - S3</t>
        </is>
      </c>
      <c r="G679" t="inlineStr">
        <is>
          <t>SUD</t>
        </is>
      </c>
      <c r="H679" t="inlineStr">
        <is>
          <t>Ntenying</t>
        </is>
      </c>
      <c r="I679" t="inlineStr"/>
      <c r="J679" t="n">
        <v>0</v>
      </c>
      <c r="K679" t="n">
        <v>9.180207472688883</v>
      </c>
      <c r="L679" t="n">
        <v>0</v>
      </c>
      <c r="M679" t="n">
        <v>3.081901533246013</v>
      </c>
      <c r="N679" t="inlineStr"/>
      <c r="O679" t="inlineStr"/>
      <c r="P679" t="inlineStr">
        <is>
          <t>BSS</t>
        </is>
      </c>
      <c r="Q679" t="inlineStr">
        <is>
          <t>RAN ISSUE</t>
        </is>
      </c>
      <c r="R679" t="inlineStr">
        <is>
          <t>BSS Hardware issue</t>
        </is>
      </c>
      <c r="S679" t="inlineStr">
        <is>
          <t>ACTIVE</t>
        </is>
      </c>
      <c r="T679" t="inlineStr">
        <is>
          <t>(04/28/2026 ocm ran 19h):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managing..;..;(04/28/2026 ocm ran 14h):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managing..;..;(04/28/2026 com ran 10h):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managing..;..;(04/28/2026 ocm ran 00h):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t>
        </is>
      </c>
      <c r="U679" t="inlineStr">
        <is>
          <t>: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 :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managing.;.;(04/28/2026 com ran 10h) :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 : 27/04/2026 Carte core disponible à Ngaoundéré utilisée pour restaurer le site de Mbideng-II, nouvelle commande passée à OCM 22.04.26; Carte core disponible à Ngaoundéré utilisée pour restaurer le site de Mbideng-II, nouvelle commande passée à OCM 19.04.26; Carte core disponible à Ngaoundéré et sera expédiée sur Yaoundé, ETD à préciser, escalade faite à M. Théo et M. Essode 19.04.26; Carte core EVO 1G faulty, commande passée au SPM et vérifications en cours 18.04.26; Carte core EVO 1G faulty, commande en cours 18.04.26; Need FME on site to check MPR status and antenna chain of ODU 3.1; FME Dominique is informed, ETA=12H UTC 17.04.26; Camusat FME is managing</t>
        </is>
      </c>
    </row>
    <row r="680">
      <c r="A680" s="96" t="n">
        <v>46140</v>
      </c>
      <c r="B680" t="inlineStr">
        <is>
          <t>Zouvoul-IHS</t>
        </is>
      </c>
      <c r="C680" t="inlineStr">
        <is>
          <t>EXN_172</t>
        </is>
      </c>
      <c r="D680" t="inlineStr"/>
      <c r="E680" t="inlineStr">
        <is>
          <t>IHS</t>
        </is>
      </c>
      <c r="F680" t="inlineStr">
        <is>
          <t>Hybrid-Gen</t>
        </is>
      </c>
      <c r="G680" t="inlineStr">
        <is>
          <t>EXTREME-NORD</t>
        </is>
      </c>
      <c r="H680" t="inlineStr">
        <is>
          <t>Zouvoul</t>
        </is>
      </c>
      <c r="I680" t="inlineStr"/>
      <c r="J680" t="n">
        <v>21.57871019827424</v>
      </c>
      <c r="K680" t="n">
        <v>0</v>
      </c>
      <c r="L680" t="n">
        <v>0</v>
      </c>
      <c r="M680" t="n">
        <v>3.081437821209761</v>
      </c>
      <c r="N680" t="inlineStr"/>
      <c r="O680" t="inlineStr"/>
      <c r="P680" t="inlineStr">
        <is>
          <t>ACCESS-ISSUE</t>
        </is>
      </c>
      <c r="Q680" t="inlineStr">
        <is>
          <t>ACCESS-ISSUE</t>
        </is>
      </c>
      <c r="R680" t="inlineStr">
        <is>
          <t>ACCESS-ISSUE</t>
        </is>
      </c>
      <c r="S680" t="inlineStr">
        <is>
          <t>ACCESS-ISSUE</t>
        </is>
      </c>
      <c r="T680" t="inlineStr">
        <is>
          <t>(04/28/2026 cell nokia): 
21/04/2026 : Relance faite 
15/04/2026 : Relance faite par Chief SEKA 
10/04/2026 : Relance faite ce jour a IHS
08/04/2026 : Access issue  ||Negociation en cours  
07/04/2026: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||Mail enviye a IHS 
04/04/2026 : Probleme d'access || Negociation en cours 
30/03/2026 : Feedback du P.M : FME not available intervention postponed to 01/04/2026
29/03/2026: spare disponible au niveau du FME, FME on another point
27/03/2026 : Cde en cours 
26/03/2026 : Spare pas recu 
25/03/2026 : Spare quitter Douala pour Maroua 
23/03/2026 : Fiber faulty || cde en cours
21/03/2026 : Check SFP, Optical fiber if issue persit
20/03/2026 : need BO RAN analysis..;..;(04/28/2026 cell nokia):  
21/04/2026 : Relance faite 
15/04/2026 : Relance faite par Chief SEKA 
10/04/2026 : Relance faite ce jour a IHS
08/04/2026 : Access issue  ||Negociation en cours  
07/04/2026: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||Mail enviye a IHS 
04/04/2026 : Probleme d'access || Negociation en cours 
30/03/2026 : Feedback du P.M : FME not available intervention postponed to 01/04/2026
29/03/2026: spare disponible au niveau du FME, FME on another point
27/03/2026 : Cde en cours 
26/03/2026 : Spare pas recu 
25/03/2026 : Spare quitter Douala pour Maroua 
23/03/2026 : Fiber faulty || cde en cours
21/03/2026 : Check SFP, Optical fiber if issue persit
20/03/2026 : need BO RAN analysis..;..;(04/28/2026 cell nokia):  
21/04/2026 : Relance faite 
15/04/2026 : Relance faite par Chief SEKA 
10/04/2026 : Relance faite ce jour a IHS
08/04/2026 : Access issue  ||Negociation en cours  
07/04/2026: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||Mail enviye a IHS 
04/04/2026 : Probleme d'access || Negociation en cours 
30/03/2026 : Feedback du P.M : FME not available intervention postponed to 01/04/2026
29/03/2026: spare disponible au niveau du FME, FME on another point
27/03/2026 : Cde en cours 
26/03/2026 : Spare pas recu 
25/03/2026 : Spare quitter Douala pour Maroua 
23/03/2026 : Fiber faulty || cde en cours
21/03/2026 : Check SFP, Optical fiber if issue persit
20/03/2026 : need BO RAN analysis</t>
        </is>
      </c>
      <c r="U680" t="inlineStr">
        <is>
          <t>04/28/2026 cell nokia) : 21/04/2026 : Relance faite 15/04/2026 : Relance faite par Chief SEKA 10/04/2026 : Relance faite ce jour a IHS 08/04/2026 : Access issue || Negociation en cours 07/04/2026 :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 Mail enviye a IHS 04/04/2026 : Probleme d'access || Negociation en cours 30/03/2026 : Feedback du P.M : FME not available intervention postponed to 01/04/2026 29/03/2026 : spare disponible au niveau du FME, FME on another point 27/03/2026 : Cde en cours 26/03/2026 : Spare pas recu 25/03/2026 : Spare quitter Douala pour Maroua 23/03/2026 : Fiber faulty || cde en cours 21/03/2026 : Check SFP, Optical fiber if issue persit 20/03/2026 : need BO RAN analysis.;.;(04/28/2026 cell nokia) : 21/04/2026 : Relance faite 15/04/2026 : Relance faite par Chief SEKA 10/04/2026 : Relance faite ce jour a IHS 08/04/2026 : Access issue || Negociation en cours 07/04/2026 :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 Mail enviye a IHS 04/04/2026 : Probleme d'access || Negociation en cours 30/03/2026 : Feedback du P.M : FME not available intervention postponed to 01/04/2026 29/03/2026 : spare disponible au niveau du FME, FME on another point 27/03/2026 : Cde en cours 26/03/2026 : Spare pas recu 25/03/2026 : Spare quitter Douala pour Maroua 23/03/2026 : Fiber faulty || cde en cours 21/03/2026 : Check SFP, Optical fiber if issue persit 20/03/2026 : need BO RAN analysis.;.;(04/28/2026 cell nokia) : 21/04/2026 : Relance faite 15/04/2026 : Relance faite par Chief SEKA 10/04/2026 : Relance faite ce jour a IHS 08/04/2026 : Access issue || Negociation en cours 07/04/2026 : feedback RM Miachael envoye a IHS : S'il vous plait nous avons des cellules down sur le site de Zouvoul-IHS_EXN_172 qui necessitent une intervention sur le pylône. Malheureusement nous sommes confrontés à la présence des abeilles sur ce pylône et donc l'intervention ne peut avoir lieu jusqu'a présent. 06/04/2026 : Presence d'abeille sur le site || Mail enviye a IHS 04/04/2026 : Probleme d'access || Negociation en cours 30/03/2026 : Feedback du P.M : FME not available intervention postponed to 01/04/2026 29/03/2026 : spare disponible au niveau du FME, FME on another point 27/03/2026 : Cde en cours 26/03/2026 : Spare pas recu 25/03/2026 : Spare quitter Douala pour Maroua 23/03/2026 : Fiber faulty || cde en cours 21/03/2026 : Check SFP, Optical fiber if issue persit 20/03/2026 : need BO RAN analysis</t>
        </is>
      </c>
    </row>
    <row r="681">
      <c r="A681" s="96" t="n">
        <v>46140</v>
      </c>
      <c r="B681" t="inlineStr">
        <is>
          <t>Fonfuka</t>
        </is>
      </c>
      <c r="C681" t="inlineStr">
        <is>
          <t>NRO_043</t>
        </is>
      </c>
      <c r="D681" t="inlineStr"/>
      <c r="E681" t="inlineStr">
        <is>
          <t>IHS</t>
        </is>
      </c>
      <c r="F681" t="inlineStr">
        <is>
          <t>Hybrid-Gen</t>
        </is>
      </c>
      <c r="G681" t="inlineStr">
        <is>
          <t>NORD-OUEST</t>
        </is>
      </c>
      <c r="H681" t="inlineStr">
        <is>
          <t>Fonfuka</t>
        </is>
      </c>
      <c r="I681" t="inlineStr"/>
      <c r="J681" t="n">
        <v>2.694747191348033</v>
      </c>
      <c r="K681" t="n">
        <v>7.626531734617203</v>
      </c>
      <c r="L681" t="n">
        <v>0</v>
      </c>
      <c r="M681" t="n">
        <v>2.945124317629904</v>
      </c>
      <c r="N681" t="inlineStr"/>
      <c r="O681" t="inlineStr"/>
      <c r="P681" t="inlineStr">
        <is>
          <t>BSS</t>
        </is>
      </c>
      <c r="Q681" t="inlineStr">
        <is>
          <t>RAN ISSUE</t>
        </is>
      </c>
      <c r="R681" t="inlineStr">
        <is>
          <t>BSS Hardware issue</t>
        </is>
      </c>
      <c r="S681" t="inlineStr">
        <is>
          <t>ACTIVE</t>
        </is>
      </c>
      <c r="T681" t="inlineStr">
        <is>
          <t>(04/28/2026 cell nokia): 28/04/2026 : En attente d'analyse BO RAN 
27/04/2027 : Need BO RAN analysis..;..;(04/28/2026 cell nokia): 28/04/2026 : En attente d'analyse BO RAN || Plan on 02.05.2027 ||Closed after reset (unitName=ABIA)
27/04/2027 : Need BO RAN analysis</t>
        </is>
      </c>
      <c r="U681" t="inlineStr">
        <is>
          <t>04/28/2026 cell nokia) : 28/04/2026 : En attente d'analyse BO RAN 27/04/2027 : Need BO RAN analysis.;.;(04/28/2026 cell nokia) : 28/04/2026 : En attente d'analyse BO RAN || Plan on 02.05.2027 || Closed after reset (unitName=ABIA) 27/04/2027 : Need BO RAN analysis</t>
        </is>
      </c>
    </row>
    <row r="682">
      <c r="A682" s="96" t="n">
        <v>46140</v>
      </c>
      <c r="B682" t="inlineStr">
        <is>
          <t>Limbe-Bimbia-CRTV</t>
        </is>
      </c>
      <c r="C682" t="inlineStr">
        <is>
          <t>SUO_081</t>
        </is>
      </c>
      <c r="D682" t="inlineStr"/>
      <c r="E682" t="inlineStr">
        <is>
          <t>CAMUSAT</t>
        </is>
      </c>
      <c r="F682" t="inlineStr">
        <is>
          <t>Bad Grid solar + SE</t>
        </is>
      </c>
      <c r="G682" t="inlineStr">
        <is>
          <t>SUD-OUEST</t>
        </is>
      </c>
      <c r="H682" t="inlineStr">
        <is>
          <t>Limbe</t>
        </is>
      </c>
      <c r="I682" t="inlineStr"/>
      <c r="J682" t="n">
        <v>0</v>
      </c>
      <c r="K682" t="n">
        <v>8.630510674541245</v>
      </c>
      <c r="L682" t="n">
        <v>0</v>
      </c>
      <c r="M682" t="n">
        <v>2.897361977895918</v>
      </c>
      <c r="N682" t="inlineStr"/>
      <c r="O682" t="inlineStr"/>
      <c r="P682" t="inlineStr">
        <is>
          <t>AKTIVCO</t>
        </is>
      </c>
      <c r="Q682" t="inlineStr">
        <is>
          <t>POWER ISSUE</t>
        </is>
      </c>
      <c r="R682" t="inlineStr">
        <is>
          <t>AKTIVCO Defaut GE &amp; Power Cabinet</t>
        </is>
      </c>
      <c r="S682" t="inlineStr">
        <is>
          <t>PASSIVE</t>
        </is>
      </c>
      <c r="T682" t="inlineStr">
        <is>
          <t>(groupe whatsapp ): @+237 6 93 58 87 20 merci de stabiliser l énergie sur le site de SUO_235_H_Limbe-Ngueme
INC-20260428-00019053 
SUO_081_H_Limbe-Bimbia
INC-20260428-00019430</t>
        </is>
      </c>
      <c r="U682" t="inlineStr">
        <is>
          <t>groupe whatsapp ) : @+237 6 93 58 87 20 merci de stabiliser l énergie sur le site de SUO_235_H_Limbe-Ngueme SUO_081_H_Limbe-Bimbia</t>
        </is>
      </c>
    </row>
    <row r="683">
      <c r="A683" s="96" t="n">
        <v>46140</v>
      </c>
      <c r="B683" t="inlineStr">
        <is>
          <t>Mobil-Kondengui</t>
        </is>
      </c>
      <c r="C683" t="inlineStr">
        <is>
          <t>CTR_125</t>
        </is>
      </c>
      <c r="D683" t="inlineStr"/>
      <c r="E683" t="inlineStr">
        <is>
          <t>IHS</t>
        </is>
      </c>
      <c r="F683" t="inlineStr">
        <is>
          <t>GridOnly</t>
        </is>
      </c>
      <c r="G683" t="inlineStr">
        <is>
          <t>CENTRE</t>
        </is>
      </c>
      <c r="H683" t="inlineStr">
        <is>
          <t>Yaounde</t>
        </is>
      </c>
      <c r="I683" t="inlineStr"/>
      <c r="J683" t="n">
        <v>0</v>
      </c>
      <c r="K683" t="n">
        <v>0</v>
      </c>
      <c r="L683" t="n">
        <v>5.547874162502435</v>
      </c>
      <c r="M683" t="n">
        <v>2.893152899413012</v>
      </c>
      <c r="N683" t="inlineStr"/>
      <c r="O683" t="inlineStr"/>
      <c r="P683" t="inlineStr">
        <is>
          <t>BSS</t>
        </is>
      </c>
      <c r="Q683" t="inlineStr">
        <is>
          <t>RAN ISSUE</t>
        </is>
      </c>
      <c r="R683" t="inlineStr">
        <is>
          <t>BSS Hardware issue</t>
        </is>
      </c>
      <c r="S683" t="inlineStr">
        <is>
          <t>ACTIVE</t>
        </is>
      </c>
      <c r="T683" t="inlineStr">
        <is>
          <t xml:space="preserve">  04/28/2026: hardware issue,  site with GPS issue (alarm : TDD down 09Apr 02pm)</t>
        </is>
      </c>
      <c r="U683" t="inlineStr">
        <is>
          <t>04/28/2026 : hardware issue, site with GPS issue (alarm : TDD down 09Apr 02pm)</t>
        </is>
      </c>
    </row>
    <row r="684">
      <c r="A684" s="96" t="n">
        <v>46140</v>
      </c>
      <c r="B684" t="inlineStr">
        <is>
          <t>Tinto</t>
        </is>
      </c>
      <c r="C684" t="inlineStr">
        <is>
          <t>SUO_040</t>
        </is>
      </c>
      <c r="D684" t="inlineStr"/>
      <c r="E684" t="inlineStr">
        <is>
          <t>IHS</t>
        </is>
      </c>
      <c r="F684" t="inlineStr">
        <is>
          <t>Gen Only</t>
        </is>
      </c>
      <c r="G684" t="inlineStr">
        <is>
          <t>SUD-OUEST</t>
        </is>
      </c>
      <c r="H684" t="inlineStr">
        <is>
          <t>Tinto</t>
        </is>
      </c>
      <c r="I684" t="inlineStr"/>
      <c r="J684" t="n">
        <v>0</v>
      </c>
      <c r="K684" t="n">
        <v>8.539664871426094</v>
      </c>
      <c r="L684" t="n">
        <v>0</v>
      </c>
      <c r="M684" t="n">
        <v>2.86686399397317</v>
      </c>
      <c r="N684" t="inlineStr"/>
      <c r="O684" t="inlineStr"/>
      <c r="P684" t="inlineStr">
        <is>
          <t>BSS</t>
        </is>
      </c>
      <c r="Q684" t="inlineStr">
        <is>
          <t>RAN ISSUE</t>
        </is>
      </c>
      <c r="R684" t="inlineStr">
        <is>
          <t>BSS Hardware issue</t>
        </is>
      </c>
      <c r="S684" t="inlineStr">
        <is>
          <t>ACTIVE</t>
        </is>
      </c>
      <c r="T684" t="inlineStr">
        <is>
          <t xml:space="preserve">(04/28/2026 com ran 10h): 28.04.2026: To be check by FME 28/04/2026 
27/04/2026 FME stanley activé manage avec le level 0, red zone
Besoi d'un fme pour verifier le status de RTN ..;..;(04/28/2026 ocm ran 00h): 27/04/2026 FME stanley activé manage avec le level 0, red zone
Besoi d'un fme pour verifier le status de RTN </t>
        </is>
      </c>
      <c r="U684" t="inlineStr">
        <is>
          <t>04/28/2026 com ran 10h) : 28.04.2026 : To be check by FME 28/04/2026 27/04/2026 FME stanley activé manage avec le level 0, red zone Besoi d'un fme pour verifier le status de RTN .;.; : 27/04/2026 FME stanley activé manage avec le level 0, red zone Besoi d'un fme pour verifier le status de RTN</t>
        </is>
      </c>
    </row>
    <row r="685">
      <c r="A685" s="96" t="n">
        <v>46140</v>
      </c>
      <c r="B685" t="inlineStr">
        <is>
          <t>Fundong</t>
        </is>
      </c>
      <c r="C685" t="inlineStr">
        <is>
          <t>NRO_015</t>
        </is>
      </c>
      <c r="D685" t="inlineStr"/>
      <c r="E685" t="inlineStr">
        <is>
          <t>IHS</t>
        </is>
      </c>
      <c r="F685" t="inlineStr">
        <is>
          <t>Grid-Gen</t>
        </is>
      </c>
      <c r="G685" t="inlineStr">
        <is>
          <t>NORD-OUEST</t>
        </is>
      </c>
      <c r="H685" t="inlineStr">
        <is>
          <t>Fundong</t>
        </is>
      </c>
      <c r="I685" t="inlineStr"/>
      <c r="J685" t="n">
        <v>4.590162624046297</v>
      </c>
      <c r="K685" t="n">
        <v>2.00710786063765</v>
      </c>
      <c r="L685" t="n">
        <v>2.906314446590279</v>
      </c>
      <c r="M685" t="n">
        <v>2.844893788279483</v>
      </c>
      <c r="N685" t="inlineStr"/>
      <c r="O685" t="inlineStr"/>
      <c r="P685" t="inlineStr">
        <is>
          <t>BSS</t>
        </is>
      </c>
      <c r="Q685" t="inlineStr">
        <is>
          <t>RAN ISSUE</t>
        </is>
      </c>
      <c r="R685" t="inlineStr">
        <is>
          <t>BSS Hardware issue</t>
        </is>
      </c>
      <c r="S685" t="inlineStr">
        <is>
          <t>ACTIVE</t>
        </is>
      </c>
      <c r="T685" t="inlineStr">
        <is>
          <t>(04/28/2026 cell nokia): 28/04/2026 : Check breaker and  interconnection FRGU,FXDB,FRMF,FXED(sfp, optical fiber) between system and radio module, swap its if needed || Feedback RM : Plan on 05.05.2027 || Power issue mail send to HIS</t>
        </is>
      </c>
      <c r="U685" t="inlineStr">
        <is>
          <t>04/28/2026 cell nokia) : 28/04/2026 : Check breaker and interconnection FRGU,FXDB,FRMF,FXED(sfp, optical fiber) between system and radio module, swap its if needed || Feedback RM : Plan on 05.05.2027 || Power issue mail send to HIS</t>
        </is>
      </c>
    </row>
    <row r="686">
      <c r="A686" s="96" t="n">
        <v>46140</v>
      </c>
      <c r="B686" t="inlineStr">
        <is>
          <t>Bda-Bus-Station-IHS</t>
        </is>
      </c>
      <c r="C686" t="inlineStr">
        <is>
          <t>NRO_066</t>
        </is>
      </c>
      <c r="D686" t="inlineStr"/>
      <c r="E686" t="inlineStr">
        <is>
          <t>IHS</t>
        </is>
      </c>
      <c r="F686" t="inlineStr">
        <is>
          <t>Grid-Gen</t>
        </is>
      </c>
      <c r="G686" t="inlineStr">
        <is>
          <t>NORD-OUEST</t>
        </is>
      </c>
      <c r="H686" t="inlineStr">
        <is>
          <t>Bamenda</t>
        </is>
      </c>
      <c r="I686" t="inlineStr"/>
      <c r="J686" t="n">
        <v>4.40381840781107</v>
      </c>
      <c r="K686" t="n">
        <v>5.720894917225131</v>
      </c>
      <c r="L686" t="n">
        <v>0.3454232851136109</v>
      </c>
      <c r="M686" t="n">
        <v>2.729569561085857</v>
      </c>
      <c r="N686" t="inlineStr"/>
      <c r="O686" t="inlineStr"/>
      <c r="P686" t="inlineStr">
        <is>
          <t>IHS</t>
        </is>
      </c>
      <c r="Q686" t="inlineStr">
        <is>
          <t>POWER ISSUE</t>
        </is>
      </c>
      <c r="R686" t="inlineStr">
        <is>
          <t>Defaut GE &amp; Power Cabinet</t>
        </is>
      </c>
      <c r="S686" t="inlineStr">
        <is>
          <t>PASSIVE</t>
        </is>
      </c>
      <c r="T686" t="inlineStr">
        <is>
          <t>(04/28/2026 hourly IHS): Our FME PETER is managing with level zero, Smuel EKOUELLE is informed</t>
        </is>
      </c>
      <c r="U686" t="inlineStr">
        <is>
          <t>: Our FME PETER is managing with level zero, Smuel EKOUELLE is informed</t>
        </is>
      </c>
    </row>
    <row r="687">
      <c r="A687" s="96" t="n">
        <v>46140</v>
      </c>
      <c r="B687" t="inlineStr">
        <is>
          <t>CTR_181_N_Nanga-Eboko-CRTV</t>
        </is>
      </c>
      <c r="C687" t="inlineStr">
        <is>
          <t>CTR_181</t>
        </is>
      </c>
      <c r="D687" t="inlineStr"/>
      <c r="E687" t="inlineStr">
        <is>
          <t>CAMUSAT</t>
        </is>
      </c>
      <c r="F687" t="inlineStr">
        <is>
          <t>Bad Grid + GE</t>
        </is>
      </c>
      <c r="G687" t="inlineStr">
        <is>
          <t>CENTRE</t>
        </is>
      </c>
      <c r="H687" t="inlineStr">
        <is>
          <t>Nanga-Eboko</t>
        </is>
      </c>
      <c r="I687" t="inlineStr"/>
      <c r="J687" t="n">
        <v>3.982545591885184</v>
      </c>
      <c r="K687" t="n">
        <v>1.694991431806359</v>
      </c>
      <c r="L687" t="n">
        <v>2.748491857589349</v>
      </c>
      <c r="M687" t="n">
        <v>2.571042372723201</v>
      </c>
      <c r="N687" t="inlineStr"/>
      <c r="O687" t="inlineStr"/>
      <c r="P687" t="inlineStr">
        <is>
          <t>AKTIVCO</t>
        </is>
      </c>
      <c r="Q687" t="inlineStr">
        <is>
          <t>POWER ISSUE</t>
        </is>
      </c>
      <c r="R687" t="inlineStr">
        <is>
          <t>AKTIVCO Defaut GE &amp; Power Cabinet</t>
        </is>
      </c>
      <c r="S687" t="inlineStr">
        <is>
          <t>PASSIVE</t>
        </is>
      </c>
      <c r="T687" t="inlineStr">
        <is>
          <t>(04/28/2026 com ran 10h): Power status check ongoing..;..;(04/28/2026 ticket): INC-20260428-00006445…probleme d energie Sur Le site Les equipments ne sont Pas alimentés …Others Transmission equipement fault</t>
        </is>
      </c>
      <c r="U687" t="inlineStr">
        <is>
          <t>04/28/2026 com ran 10h) : ; : …probleme d energie Sur Le site Les equipments ne sont Pas alimentés …</t>
        </is>
      </c>
    </row>
    <row r="688">
      <c r="A688" s="96" t="n">
        <v>46140</v>
      </c>
      <c r="B688" t="inlineStr">
        <is>
          <t>Yelwa-MTN-IHS</t>
        </is>
      </c>
      <c r="C688" t="inlineStr">
        <is>
          <t>NRD_097</t>
        </is>
      </c>
      <c r="D688" t="inlineStr"/>
      <c r="E688" t="inlineStr">
        <is>
          <t>IHS</t>
        </is>
      </c>
      <c r="F688" t="inlineStr">
        <is>
          <t>Grid-Gen</t>
        </is>
      </c>
      <c r="G688" t="inlineStr">
        <is>
          <t>NORD</t>
        </is>
      </c>
      <c r="H688" t="inlineStr">
        <is>
          <t>Garoua</t>
        </is>
      </c>
      <c r="I688" t="inlineStr"/>
      <c r="J688" t="n">
        <v>0</v>
      </c>
      <c r="K688" t="n">
        <v>7.588546501150926</v>
      </c>
      <c r="L688" t="n">
        <v>0.0143641366086848</v>
      </c>
      <c r="M688" t="n">
        <v>2.555053319750138</v>
      </c>
      <c r="N688" t="inlineStr"/>
      <c r="O688" t="inlineStr"/>
      <c r="P688" t="inlineStr">
        <is>
          <t>BSS</t>
        </is>
      </c>
      <c r="Q688" t="inlineStr">
        <is>
          <t>RAN ISSUE</t>
        </is>
      </c>
      <c r="R688" t="inlineStr">
        <is>
          <t>BSS Hardware issue</t>
        </is>
      </c>
      <c r="S688" t="inlineStr">
        <is>
          <t>ACTIVE</t>
        </is>
      </c>
      <c r="T688" t="inlineStr">
        <is>
          <t>(04/28/2026 cell huawei): 28/04/2026 : ETA 10H
27/04/2026 : Besoin d'analyse BO RAN || UBBP in slot 5 : need a reset on site</t>
        </is>
      </c>
      <c r="U688" t="inlineStr">
        <is>
          <t>04/28/2026 cell huawei) : 28/04/2026 : ETA 10H 27/04/2026 : Besoin d'analyse BO RAN || UBBP in slot 5 : need a reset on site</t>
        </is>
      </c>
    </row>
    <row r="689">
      <c r="A689" s="96" t="n">
        <v>46140</v>
      </c>
      <c r="B689" t="inlineStr">
        <is>
          <t>Balikumbat-Ville</t>
        </is>
      </c>
      <c r="C689" t="inlineStr">
        <is>
          <t>NRO_033</t>
        </is>
      </c>
      <c r="D689" t="inlineStr"/>
      <c r="E689" t="inlineStr">
        <is>
          <t>IHS</t>
        </is>
      </c>
      <c r="F689" t="inlineStr">
        <is>
          <t>Grid-Gen</t>
        </is>
      </c>
      <c r="G689" t="inlineStr">
        <is>
          <t>NORD-OUEST</t>
        </is>
      </c>
      <c r="H689" t="inlineStr">
        <is>
          <t>Balikumbat</t>
        </is>
      </c>
      <c r="I689" t="inlineStr"/>
      <c r="J689" t="n">
        <v>1.210737823179822</v>
      </c>
      <c r="K689" t="n">
        <v>6.693370020162456</v>
      </c>
      <c r="L689" t="n">
        <v>0</v>
      </c>
      <c r="M689" t="n">
        <v>2.419934766417547</v>
      </c>
      <c r="N689" t="inlineStr"/>
      <c r="O689" t="inlineStr"/>
      <c r="P689" t="inlineStr">
        <is>
          <t>BSS</t>
        </is>
      </c>
      <c r="Q689" t="inlineStr">
        <is>
          <t>RAN ISSUE</t>
        </is>
      </c>
      <c r="R689" t="inlineStr">
        <is>
          <t>BSS Hardware issue</t>
        </is>
      </c>
      <c r="S689" t="inlineStr">
        <is>
          <t>ACTIVE</t>
        </is>
      </c>
      <c r="T689" t="inlineStr">
        <is>
          <t>(04/28/2026 cell nokia): 28/04/2026 : En attente d'analyse BO RAN ..;..;(04/28/2026 cell nokia): 28/04/2026 : En attente d'analyse BO RAN || Check and replace ABIA || Feedback RM : Plan on 30.04.2027</t>
        </is>
      </c>
      <c r="U689" t="inlineStr">
        <is>
          <t>04/28/2026 cell nokia) : 28/04/2026 : En attente d'analyse BO RAN .;.;(04/28/2026 cell nokia) : 28/04/2026 : En attente d'analyse BO RAN || Check and replace ABIA || Feedback RM : Plan on 30.04.2027</t>
        </is>
      </c>
    </row>
    <row r="690">
      <c r="A690" s="96" t="n">
        <v>46140</v>
      </c>
      <c r="B690" t="inlineStr">
        <is>
          <t>Ange-raphael-II</t>
        </is>
      </c>
      <c r="C690" t="inlineStr">
        <is>
          <t>LIT_696</t>
        </is>
      </c>
      <c r="D690" t="inlineStr"/>
      <c r="E690" t="inlineStr">
        <is>
          <t>CAMUSAT</t>
        </is>
      </c>
      <c r="F690" t="inlineStr">
        <is>
          <t>Good Grid no GE - 8h</t>
        </is>
      </c>
      <c r="G690" t="inlineStr">
        <is>
          <t>LITTORAL</t>
        </is>
      </c>
      <c r="H690" t="inlineStr">
        <is>
          <t>Douala</t>
        </is>
      </c>
      <c r="I690" t="inlineStr"/>
      <c r="J690" t="n">
        <v>0.6851771918675986</v>
      </c>
      <c r="K690" t="n">
        <v>0.9079798953456351</v>
      </c>
      <c r="L690" t="n">
        <v>3.817884909612646</v>
      </c>
      <c r="M690" t="n">
        <v>2.393645860977705</v>
      </c>
      <c r="N690" t="inlineStr"/>
      <c r="O690" t="inlineStr"/>
      <c r="P690" t="inlineStr">
        <is>
          <t>AKTIVCO GRID ONLY</t>
        </is>
      </c>
      <c r="Q690" t="inlineStr">
        <is>
          <t>POWER ISSUE</t>
        </is>
      </c>
      <c r="R690" t="inlineStr">
        <is>
          <t>AKTIVCO Coupure ENEO &amp; Baisse de tension</t>
        </is>
      </c>
      <c r="S690" t="inlineStr">
        <is>
          <t>PASSIVE</t>
        </is>
      </c>
      <c r="T690" t="inlineStr">
        <is>
          <t xml:space="preserve">(04/28/2026 cell zte): 28/04/2026 : Power issue ||  Mail sent to camusat || Nous avons une insuffisance de redresseurs sur site, besoin de rajouter 2 redresseurs.
ETR 29/04/2026.
</t>
        </is>
      </c>
      <c r="U690" t="inlineStr">
        <is>
          <t>04/28/2026 cell zte) : 28/04/2026 : Power issue || Mail sent to camusat || Nous avons une insuffisance de redresseurs sur site, besoin de rajouter 2 redresseurs. ETR 29/04/2026.</t>
        </is>
      </c>
    </row>
    <row r="691">
      <c r="A691" s="96" t="n">
        <v>46140</v>
      </c>
      <c r="B691" t="inlineStr">
        <is>
          <t>Oku</t>
        </is>
      </c>
      <c r="C691" t="inlineStr">
        <is>
          <t>NRO_013</t>
        </is>
      </c>
      <c r="D691" t="inlineStr"/>
      <c r="E691" t="inlineStr">
        <is>
          <t>IHS</t>
        </is>
      </c>
      <c r="F691" t="inlineStr">
        <is>
          <t>Grid-Gen</t>
        </is>
      </c>
      <c r="G691" t="inlineStr">
        <is>
          <t>NORD-OUEST</t>
        </is>
      </c>
      <c r="H691" t="inlineStr">
        <is>
          <t>Oku</t>
        </is>
      </c>
      <c r="I691" t="inlineStr"/>
      <c r="J691" t="n">
        <v>0.3941704734841672</v>
      </c>
      <c r="K691" t="n">
        <v>0.3346950641084492</v>
      </c>
      <c r="L691" t="n">
        <v>3.762993387572314</v>
      </c>
      <c r="M691" t="n">
        <v>2.131006497675733</v>
      </c>
      <c r="N691" t="inlineStr"/>
      <c r="O691" t="inlineStr"/>
      <c r="P691" t="inlineStr">
        <is>
          <t>IHS</t>
        </is>
      </c>
      <c r="Q691" t="inlineStr">
        <is>
          <t>POWER ISSUE</t>
        </is>
      </c>
      <c r="R691" t="inlineStr">
        <is>
          <t>Defaut GE &amp; Power Cabinet</t>
        </is>
      </c>
      <c r="S691" t="inlineStr">
        <is>
          <t>PASSIVE</t>
        </is>
      </c>
      <c r="T691" t="inlineStr">
        <is>
          <t>(04/28/2026 hourly IHS): FME is informed and managing</t>
        </is>
      </c>
      <c r="U691" t="inlineStr">
        <is>
          <t>: FME is informed and managing</t>
        </is>
      </c>
    </row>
    <row r="692">
      <c r="A692" s="96" t="n">
        <v>46140</v>
      </c>
      <c r="B692" t="inlineStr">
        <is>
          <t>Mendong-Vallee2-MTN-IHS</t>
        </is>
      </c>
      <c r="C692" t="inlineStr">
        <is>
          <t>CTR_521</t>
        </is>
      </c>
      <c r="D692" t="inlineStr"/>
      <c r="E692" t="inlineStr">
        <is>
          <t>IHS</t>
        </is>
      </c>
      <c r="F692" t="inlineStr">
        <is>
          <t>Grid-Gen</t>
        </is>
      </c>
      <c r="G692" t="inlineStr">
        <is>
          <t>CENTRE</t>
        </is>
      </c>
      <c r="H692" t="inlineStr">
        <is>
          <t>Yaounde</t>
        </is>
      </c>
      <c r="I692" t="inlineStr"/>
      <c r="J692" t="n">
        <v>1.506490573880236</v>
      </c>
      <c r="K692" t="n">
        <v>1.545600555572555</v>
      </c>
      <c r="L692" t="n">
        <v>2.462423418631682</v>
      </c>
      <c r="M692" t="n">
        <v>2.018128287004934</v>
      </c>
      <c r="N692" t="inlineStr"/>
      <c r="O692" t="inlineStr"/>
      <c r="P692" t="inlineStr">
        <is>
          <t>IHS</t>
        </is>
      </c>
      <c r="Q692" t="inlineStr">
        <is>
          <t>POWER ISSUE</t>
        </is>
      </c>
      <c r="R692" t="inlineStr">
        <is>
          <t>Defaut GE &amp; Power Cabinet</t>
        </is>
      </c>
      <c r="S692" t="inlineStr">
        <is>
          <t>PASSIVE</t>
        </is>
      </c>
      <c r="T692" t="inlineStr">
        <is>
          <t>(04/28/2026 hourly IHS): Fme Maxime is informed ETA 04:30 PM ZAMBE informed..;..;(04/28/2026 ticket): INC-20260428-00010933…power issues …Others Transmission equipement fault</t>
        </is>
      </c>
      <c r="U692" t="inlineStr">
        <is>
          <t>: Fme Maxime is informed ETA 04 : 30 PM ZAMBE informed.;.; : …power issues …</t>
        </is>
      </c>
    </row>
    <row r="693">
      <c r="A693" s="96" t="n">
        <v>46140</v>
      </c>
      <c r="B693" t="inlineStr">
        <is>
          <t>Kondengui</t>
        </is>
      </c>
      <c r="C693" t="inlineStr">
        <is>
          <t>CTR_040</t>
        </is>
      </c>
      <c r="D693" t="inlineStr"/>
      <c r="E693" t="inlineStr">
        <is>
          <t>IHS</t>
        </is>
      </c>
      <c r="F693" t="inlineStr">
        <is>
          <t>Grid-Gen</t>
        </is>
      </c>
      <c r="G693" t="inlineStr">
        <is>
          <t>CENTRE</t>
        </is>
      </c>
      <c r="H693" t="inlineStr">
        <is>
          <t>Yaounde</t>
        </is>
      </c>
      <c r="I693" t="inlineStr"/>
      <c r="J693" t="n">
        <v>1.065234463988106</v>
      </c>
      <c r="K693" t="n">
        <v>0.9017641298693354</v>
      </c>
      <c r="L693" t="n">
        <v>2.941296372905025</v>
      </c>
      <c r="M693" t="n">
        <v>1.988700407781231</v>
      </c>
      <c r="N693" t="inlineStr"/>
      <c r="O693" t="inlineStr"/>
      <c r="P693" t="inlineStr">
        <is>
          <t>IHS</t>
        </is>
      </c>
      <c r="Q693" t="inlineStr">
        <is>
          <t>POWER ISSUE</t>
        </is>
      </c>
      <c r="R693" t="inlineStr">
        <is>
          <t>Defaut GE &amp; Power Cabinet</t>
        </is>
      </c>
      <c r="S693" t="inlineStr">
        <is>
          <t>PASSIVE</t>
        </is>
      </c>
      <c r="T693" t="inlineStr">
        <is>
          <t>(04/28/2026 com ran 10h): Power status check ongoing..;..;(04/28/2026 ticket): INC-20260428-00006488…Power issue …Others Transmission equipement fault</t>
        </is>
      </c>
      <c r="U693" t="inlineStr">
        <is>
          <t>04/28/2026 com ran 10h) : ; : …Power issue …</t>
        </is>
      </c>
    </row>
    <row r="694">
      <c r="A694" s="96" t="n">
        <v>46140</v>
      </c>
      <c r="B694" t="inlineStr">
        <is>
          <t>Nkolfoulou-II-IHS</t>
        </is>
      </c>
      <c r="C694" t="inlineStr">
        <is>
          <t>CTR_621</t>
        </is>
      </c>
      <c r="D694" t="inlineStr"/>
      <c r="E694" t="inlineStr">
        <is>
          <t>IHS</t>
        </is>
      </c>
      <c r="F694" t="inlineStr">
        <is>
          <t>Grid-Gen</t>
        </is>
      </c>
      <c r="G694" t="inlineStr">
        <is>
          <t>CENTRE</t>
        </is>
      </c>
      <c r="H694" t="inlineStr">
        <is>
          <t>Yaounde</t>
        </is>
      </c>
      <c r="I694" t="inlineStr"/>
      <c r="J694" t="n">
        <v>0.8823873241969713</v>
      </c>
      <c r="K694" t="n">
        <v>0.7943429521507184</v>
      </c>
      <c r="L694" t="n">
        <v>3.046872776978859</v>
      </c>
      <c r="M694" t="n">
        <v>1.98158421153259</v>
      </c>
      <c r="N694" t="inlineStr"/>
      <c r="O694" t="inlineStr"/>
      <c r="P694" t="inlineStr">
        <is>
          <t>IHS</t>
        </is>
      </c>
      <c r="Q694" t="inlineStr">
        <is>
          <t>POWER ISSUE</t>
        </is>
      </c>
      <c r="R694" t="inlineStr">
        <is>
          <t>Defaut GE &amp; Power Cabinet</t>
        </is>
      </c>
      <c r="S694" t="inlineStr">
        <is>
          <t>PASSIVE</t>
        </is>
      </c>
      <c r="T694" t="inlineStr">
        <is>
          <t>(04/28/2026 hourly IHS): SS Giresse is on site..;..;(04/28/2026 ticket): INC-20260428-00009196</t>
        </is>
      </c>
      <c r="U694" t="inlineStr">
        <is>
          <t>: SS Giresse is on site.;.; :</t>
        </is>
      </c>
    </row>
    <row r="695">
      <c r="A695" s="96" t="n">
        <v>46140</v>
      </c>
      <c r="B695" t="inlineStr">
        <is>
          <t>Meguia</t>
        </is>
      </c>
      <c r="C695" t="inlineStr">
        <is>
          <t>OST_029</t>
        </is>
      </c>
      <c r="D695" t="inlineStr"/>
      <c r="E695" t="inlineStr">
        <is>
          <t>IHS</t>
        </is>
      </c>
      <c r="F695" t="inlineStr">
        <is>
          <t>Gen Only</t>
        </is>
      </c>
      <c r="G695" t="inlineStr">
        <is>
          <t>OUEST</t>
        </is>
      </c>
      <c r="H695" t="inlineStr">
        <is>
          <t>Meguia</t>
        </is>
      </c>
      <c r="I695" t="inlineStr"/>
      <c r="J695" t="n">
        <v>6.864761059754045</v>
      </c>
      <c r="K695" t="n">
        <v>2.929378703958709</v>
      </c>
      <c r="L695" t="n">
        <v>0</v>
      </c>
      <c r="M695" t="n">
        <v>1.963713463058559</v>
      </c>
      <c r="N695" t="inlineStr"/>
      <c r="O695" t="inlineStr"/>
      <c r="P695" t="inlineStr">
        <is>
          <t>IHS</t>
        </is>
      </c>
      <c r="Q695" t="inlineStr">
        <is>
          <t>POWER ISSUE</t>
        </is>
      </c>
      <c r="R695" t="inlineStr">
        <is>
          <t>Defaut GE &amp; Power Cabinet</t>
        </is>
      </c>
      <c r="S695" t="inlineStr">
        <is>
          <t>PASSIVE</t>
        </is>
      </c>
      <c r="T695" t="inlineStr">
        <is>
          <t>(04/28/2026 ticket): INC-20260428-00002587…power issue on site due to GE. Power team on their way to site …Others Transmission equipement fault</t>
        </is>
      </c>
      <c r="U695" t="inlineStr">
        <is>
          <t>: …power issue on site due to GE. Power team on their way to site …</t>
        </is>
      </c>
    </row>
    <row r="696">
      <c r="A696" s="96" t="n">
        <v>46140</v>
      </c>
      <c r="B696" t="inlineStr">
        <is>
          <t>Garoua-Bockle-IHS</t>
        </is>
      </c>
      <c r="C696" t="inlineStr">
        <is>
          <t>NRD_094</t>
        </is>
      </c>
      <c r="D696" t="inlineStr"/>
      <c r="E696" t="inlineStr">
        <is>
          <t>IHS</t>
        </is>
      </c>
      <c r="F696" t="inlineStr">
        <is>
          <t>Grid-Gen</t>
        </is>
      </c>
      <c r="G696" t="inlineStr">
        <is>
          <t>NORD</t>
        </is>
      </c>
      <c r="H696" t="inlineStr">
        <is>
          <t>Garoua</t>
        </is>
      </c>
      <c r="I696" t="inlineStr"/>
      <c r="J696" t="n">
        <v>1.296416196060094</v>
      </c>
      <c r="K696" t="n">
        <v>2.211112471141848</v>
      </c>
      <c r="L696" t="n">
        <v>1.822193329787444</v>
      </c>
      <c r="M696" t="n">
        <v>1.877677045255441</v>
      </c>
      <c r="N696" t="inlineStr"/>
      <c r="O696" t="inlineStr"/>
      <c r="P696" t="inlineStr">
        <is>
          <t>IHS</t>
        </is>
      </c>
      <c r="Q696" t="inlineStr">
        <is>
          <t>POWER ISSUE</t>
        </is>
      </c>
      <c r="R696" t="inlineStr">
        <is>
          <t>Defaut GE &amp; Power Cabinet</t>
        </is>
      </c>
      <c r="S696" t="inlineStr">
        <is>
          <t>PASSIVE</t>
        </is>
      </c>
      <c r="T696" t="inlineStr">
        <is>
          <t>(04/28/2026 hourly IHS): Armel is going to site ETA ASAP.</t>
        </is>
      </c>
      <c r="U696" t="inlineStr">
        <is>
          <t>: Armel is going to site ETA ASAP.</t>
        </is>
      </c>
    </row>
    <row r="697">
      <c r="A697" s="96" t="n">
        <v>46140</v>
      </c>
      <c r="B697" t="inlineStr">
        <is>
          <t>Darassalam-IHS</t>
        </is>
      </c>
      <c r="C697" t="inlineStr">
        <is>
          <t>ADM_153</t>
        </is>
      </c>
      <c r="D697" t="inlineStr"/>
      <c r="E697" t="inlineStr">
        <is>
          <t>IHS</t>
        </is>
      </c>
      <c r="F697" t="inlineStr">
        <is>
          <t>Hybrid-Gen</t>
        </is>
      </c>
      <c r="G697" t="inlineStr">
        <is>
          <t>ADAMAOUA</t>
        </is>
      </c>
      <c r="H697" t="inlineStr">
        <is>
          <t>Darra Salam</t>
        </is>
      </c>
      <c r="I697" t="inlineStr"/>
      <c r="J697" t="n">
        <v>0.1463776283027389</v>
      </c>
      <c r="K697" t="n">
        <v>0.07678068992322445</v>
      </c>
      <c r="L697" t="n">
        <v>3.398623122265342</v>
      </c>
      <c r="M697" t="n">
        <v>1.819021947697859</v>
      </c>
      <c r="N697" t="inlineStr"/>
      <c r="O697" t="inlineStr"/>
      <c r="P697" t="inlineStr">
        <is>
          <t>PDH</t>
        </is>
      </c>
      <c r="Q697" t="inlineStr">
        <is>
          <t>TX ISSUE</t>
        </is>
      </c>
      <c r="R697" t="inlineStr">
        <is>
          <t>ODU HS</t>
        </is>
      </c>
      <c r="S697" t="inlineStr">
        <is>
          <t>ACTIVE</t>
        </is>
      </c>
      <c r="T697" t="inlineStr">
        <is>
          <t>(04/28/2026 ocm ran 19h): Power status check ongoing..;..;(04/28/2026 ocm ran 14h): Power status check ongoing..;..;(04/28/2026 ticket): INC-20260428-00014279…2026-04-28 21:18:18…28.04.26: Besoin d'un FME sur site pour vérifier le statut de la MRBTS2 et son interco avec le MPR; FME Willy activé pour investigations, update ASAP…plantage de l’odu…Others Transmission equipement fault</t>
        </is>
      </c>
      <c r="U697" t="inlineStr">
        <is>
          <t>: ; : ; : …2026-04-28 21 : 18 : 18…28.04.26 : Besoin d'un FME sur site pour vérifier le statut de la MRBTS2 et son interco avec le MPR; FME Willy activé pour investigations, update ASAP…plantage de l’odu…</t>
        </is>
      </c>
    </row>
    <row r="698">
      <c r="A698" s="96" t="n">
        <v>46140</v>
      </c>
      <c r="B698" t="inlineStr">
        <is>
          <t>Fontem</t>
        </is>
      </c>
      <c r="C698" t="inlineStr">
        <is>
          <t>SUO_017</t>
        </is>
      </c>
      <c r="D698" t="inlineStr"/>
      <c r="E698" t="inlineStr">
        <is>
          <t>IHS</t>
        </is>
      </c>
      <c r="F698" t="inlineStr">
        <is>
          <t>Grid-Gen</t>
        </is>
      </c>
      <c r="G698" t="inlineStr">
        <is>
          <t>SUD-OUEST</t>
        </is>
      </c>
      <c r="H698" t="inlineStr">
        <is>
          <t>Fontem</t>
        </is>
      </c>
      <c r="I698" t="inlineStr"/>
      <c r="J698" t="n">
        <v>6.089659045038347</v>
      </c>
      <c r="K698" t="n">
        <v>2.613809072085029</v>
      </c>
      <c r="L698" t="n">
        <v>0</v>
      </c>
      <c r="M698" t="n">
        <v>1.747088601815468</v>
      </c>
      <c r="N698" t="inlineStr"/>
      <c r="O698" t="inlineStr"/>
      <c r="P698" t="inlineStr">
        <is>
          <t>IHS</t>
        </is>
      </c>
      <c r="Q698" t="inlineStr">
        <is>
          <t>POWER ISSUE</t>
        </is>
      </c>
      <c r="R698" t="inlineStr">
        <is>
          <t>Defaut GE &amp; Power Cabinet</t>
        </is>
      </c>
      <c r="S698" t="inlineStr">
        <is>
          <t>PASSIVE</t>
        </is>
      </c>
      <c r="T698" t="inlineStr">
        <is>
          <t>(04/28/2026 ticket): INC-20260428-00002847…power instability …Others Transmission equipement fault</t>
        </is>
      </c>
      <c r="U698" t="inlineStr">
        <is>
          <t>: …power instability …</t>
        </is>
      </c>
    </row>
    <row r="699">
      <c r="A699" s="96" t="n">
        <v>46140</v>
      </c>
      <c r="B699" t="inlineStr">
        <is>
          <t>Mendji-IHS</t>
        </is>
      </c>
      <c r="C699" t="inlineStr">
        <is>
          <t>NRO_087</t>
        </is>
      </c>
      <c r="D699" t="inlineStr"/>
      <c r="E699" t="inlineStr">
        <is>
          <t>IHS</t>
        </is>
      </c>
      <c r="F699" t="inlineStr">
        <is>
          <t>Hybrid-Gen</t>
        </is>
      </c>
      <c r="G699" t="inlineStr">
        <is>
          <t>NORD-OUEST</t>
        </is>
      </c>
      <c r="H699" t="inlineStr">
        <is>
          <t>Mendji</t>
        </is>
      </c>
      <c r="I699" t="inlineStr"/>
      <c r="J699" t="n">
        <v>6.09078310532395</v>
      </c>
      <c r="K699" t="n">
        <v>2.610621500045901</v>
      </c>
      <c r="L699" t="n">
        <v>0</v>
      </c>
      <c r="M699" t="n">
        <v>1.746179012821281</v>
      </c>
      <c r="N699" t="inlineStr"/>
      <c r="O699" t="inlineStr"/>
      <c r="P699" t="inlineStr">
        <is>
          <t>IHS</t>
        </is>
      </c>
      <c r="Q699" t="inlineStr">
        <is>
          <t>POWER ISSUE</t>
        </is>
      </c>
      <c r="R699" t="inlineStr">
        <is>
          <t>Defaut GE &amp; Power Cabinet</t>
        </is>
      </c>
      <c r="S699" t="inlineStr">
        <is>
          <t>PASSIVE</t>
        </is>
      </c>
      <c r="T699" t="inlineStr">
        <is>
          <t>(04/28/2026 ticket): INC-20260428-00002751…GE Fault</t>
        </is>
      </c>
      <c r="U699" t="inlineStr">
        <is>
          <t>: …GE Fault</t>
        </is>
      </c>
    </row>
    <row r="700">
      <c r="A700" s="96" t="n">
        <v>46140</v>
      </c>
      <c r="B700" t="inlineStr">
        <is>
          <t>Meyo</t>
        </is>
      </c>
      <c r="C700" t="inlineStr">
        <is>
          <t>CTR_320</t>
        </is>
      </c>
      <c r="D700" t="inlineStr"/>
      <c r="E700" t="inlineStr">
        <is>
          <t>IHS</t>
        </is>
      </c>
      <c r="F700" t="inlineStr">
        <is>
          <t>Grid-Gen</t>
        </is>
      </c>
      <c r="G700" t="inlineStr">
        <is>
          <t>CENTRE</t>
        </is>
      </c>
      <c r="H700" t="inlineStr">
        <is>
          <t>Yaounde</t>
        </is>
      </c>
      <c r="I700" t="inlineStr"/>
      <c r="J700" t="n">
        <v>1.096333465223073</v>
      </c>
      <c r="K700" t="n">
        <v>1.025282546385547</v>
      </c>
      <c r="L700" t="n">
        <v>2.21618107676851</v>
      </c>
      <c r="M700" t="n">
        <v>1.656468568884778</v>
      </c>
      <c r="N700" t="inlineStr"/>
      <c r="O700" t="inlineStr"/>
      <c r="P700" t="inlineStr">
        <is>
          <t>IHS</t>
        </is>
      </c>
      <c r="Q700" t="inlineStr">
        <is>
          <t>POWER ISSUE</t>
        </is>
      </c>
      <c r="R700" t="inlineStr">
        <is>
          <t>Defaut GE &amp; Power Cabinet</t>
        </is>
      </c>
      <c r="S700" t="inlineStr">
        <is>
          <t>PASSIVE</t>
        </is>
      </c>
      <c r="T700" t="inlineStr">
        <is>
          <t>(04/28/2026 hourly IHS): FME is on the way ETA 15:30 Zambe is informed..;..;(04/28/2026 ticket): INC-20260428-00010099</t>
        </is>
      </c>
      <c r="U700" t="inlineStr">
        <is>
          <t>: FME is on the way ETA 15 : 30 Zambe is informed.;.; :</t>
        </is>
      </c>
    </row>
    <row r="701">
      <c r="A701" s="96" t="n">
        <v>46140</v>
      </c>
      <c r="B701" t="inlineStr">
        <is>
          <t>Bagodo</t>
        </is>
      </c>
      <c r="C701" t="inlineStr">
        <is>
          <t>ADM_052</t>
        </is>
      </c>
      <c r="D701" t="inlineStr"/>
      <c r="E701" t="inlineStr">
        <is>
          <t>IHS</t>
        </is>
      </c>
      <c r="F701" t="inlineStr">
        <is>
          <t>Gen-Solar AER</t>
        </is>
      </c>
      <c r="G701" t="inlineStr">
        <is>
          <t>ADAMAOUA</t>
        </is>
      </c>
      <c r="H701" t="inlineStr">
        <is>
          <t>Bagodo</t>
        </is>
      </c>
      <c r="I701" t="inlineStr"/>
      <c r="J701" t="n">
        <v>0.002622807333069554</v>
      </c>
      <c r="K701" t="n">
        <v>4.729052874163979</v>
      </c>
      <c r="L701" t="n">
        <v>0.004514390684266202</v>
      </c>
      <c r="M701" t="n">
        <v>1.590326334565512</v>
      </c>
      <c r="N701" t="inlineStr"/>
      <c r="O701" t="inlineStr"/>
      <c r="P701" t="inlineStr">
        <is>
          <t>BSS</t>
        </is>
      </c>
      <c r="Q701" t="inlineStr">
        <is>
          <t>RAN ISSUE</t>
        </is>
      </c>
      <c r="R701" t="inlineStr">
        <is>
          <t>BSS Hardware issue</t>
        </is>
      </c>
      <c r="S701" t="inlineStr">
        <is>
          <t>ACTIVE</t>
        </is>
      </c>
      <c r="T701" t="inlineStr">
        <is>
          <t>(04/28/2026 cell nokia): 28/04206 : FME bernard activer 
27/04/2026 : Need BO RAN analysis || Check and clean jumper, port 1 of FRGU || ETA : 28/04/2026 ..;..;(04/28/2026 cell nokia): 28/04206 : FME bernard activer ||Ticket creer pour la commande du jumper
27/04/2026 : Need BO RAN analysis || Check and clean jumper, port 1 of FRGU || ETA : 28/04/2026 ..;..;(04/28/2026 cell nokia): 28/04/2026: FME currently on another point for the other operator, intervention planned tomorrow ETA 10H
28/04206 : FME bernard activer ||Ticket creer pour la commande du jumper
27/04/2026 : Need BO RAN analysis || Check and clean jumper, port 1 of FRGU || ETA : 28/04/2026 ..;..;(04/28/2026 ticket): INC-20260428-00014008…Others Transmission equipement fault</t>
        </is>
      </c>
      <c r="U701" t="inlineStr">
        <is>
          <t>04/28/2026 cell nokia) : 28/04206 : 27/04/2026 : Need BO RAN analysis || Check and clean jumper, port 1 of FRGU || ETA : 28/04/2026 .;.;(04/28/2026 cell nokia) : 28/04206 : || Ticket creer pour la commande du jumper 27/04/2026 : Need BO RAN analysis || Check and clean jumper, port 1 of FRGU || ETA : 28/04/2026 .;.;(04/28/2026 cell nokia) : 28/04/2026 : FME currently on another point for the other operator, intervention planned tomorrow ETA 10H 28/04206 : || Ticket creer pour la commande du jumper 27/04/2026 : Need BO RAN analysis || Check and clean jumper, port 1 of FRGU || ETA : 28/04/2026 .;.; : …</t>
        </is>
      </c>
    </row>
    <row r="702">
      <c r="A702" s="96" t="n">
        <v>46140</v>
      </c>
      <c r="B702" t="inlineStr">
        <is>
          <t>Mabanda-New</t>
        </is>
      </c>
      <c r="C702" t="inlineStr">
        <is>
          <t>LIT_791</t>
        </is>
      </c>
      <c r="D702" t="inlineStr"/>
      <c r="E702" t="inlineStr">
        <is>
          <t>CAMUSAT</t>
        </is>
      </c>
      <c r="F702" t="inlineStr">
        <is>
          <t>Good Grid no GE - 8h</t>
        </is>
      </c>
      <c r="G702" t="inlineStr">
        <is>
          <t>LITTORAL</t>
        </is>
      </c>
      <c r="H702" t="inlineStr">
        <is>
          <t>Douala</t>
        </is>
      </c>
      <c r="I702" t="inlineStr"/>
      <c r="J702" t="n">
        <v>1.365358560243636</v>
      </c>
      <c r="K702" t="n">
        <v>1.159957465038711</v>
      </c>
      <c r="L702" t="n">
        <v>1.877461055405621</v>
      </c>
      <c r="M702" t="n">
        <v>1.563458635459561</v>
      </c>
      <c r="N702" t="inlineStr"/>
      <c r="O702" t="inlineStr"/>
      <c r="P702" t="inlineStr">
        <is>
          <t>AKTIVCO GRID ONLY</t>
        </is>
      </c>
      <c r="Q702" t="inlineStr">
        <is>
          <t>POWER ISSUE</t>
        </is>
      </c>
      <c r="R702" t="inlineStr">
        <is>
          <t>AKTIVCO Coupure ENEO &amp; Baisse de tension</t>
        </is>
      </c>
      <c r="S702" t="inlineStr">
        <is>
          <t>PASSIVE</t>
        </is>
      </c>
      <c r="T702" t="inlineStr">
        <is>
          <t>(04/28/2026 ticket): INC-20260428-00009087…power Grid outage here the site is only on Grid …Others Transmission equipement fault</t>
        </is>
      </c>
      <c r="U702" t="inlineStr">
        <is>
          <t>: …power Grid outage here the site is only on Grid …</t>
        </is>
      </c>
    </row>
    <row r="703">
      <c r="A703" s="96" t="n">
        <v>46140</v>
      </c>
      <c r="B703" t="inlineStr">
        <is>
          <t>Dogba-Ngd-IHS</t>
        </is>
      </c>
      <c r="C703" t="inlineStr">
        <is>
          <t>ADM_128</t>
        </is>
      </c>
      <c r="D703" t="inlineStr"/>
      <c r="E703" t="inlineStr">
        <is>
          <t>IHS</t>
        </is>
      </c>
      <c r="F703" t="inlineStr">
        <is>
          <t>Hybrid-Gen</t>
        </is>
      </c>
      <c r="G703" t="inlineStr">
        <is>
          <t>ADAMAOUA</t>
        </is>
      </c>
      <c r="H703" t="inlineStr">
        <is>
          <t>Dogba</t>
        </is>
      </c>
      <c r="I703" t="inlineStr"/>
      <c r="J703" t="n">
        <v>10.90251050122098</v>
      </c>
      <c r="K703" t="n">
        <v>0</v>
      </c>
      <c r="L703" t="n">
        <v>0</v>
      </c>
      <c r="M703" t="n">
        <v>1.556877491560441</v>
      </c>
      <c r="N703" t="inlineStr"/>
      <c r="O703" t="inlineStr"/>
      <c r="P703" t="inlineStr">
        <is>
          <t>ACCESS-ISSUE</t>
        </is>
      </c>
      <c r="Q703" t="inlineStr">
        <is>
          <t>ACCESS-ISSUE</t>
        </is>
      </c>
      <c r="R703" t="inlineStr">
        <is>
          <t>ACCESS-ISSUE</t>
        </is>
      </c>
      <c r="S703" t="inlineStr">
        <is>
          <t>ACCESS-ISSUE</t>
        </is>
      </c>
      <c r="T703" t="inlineStr">
        <is>
          <t xml:space="preserve">(04/28/2026 cell nokia): 27/04/2026 : Need BO RAN analysis || Check and clean jumper, port 1 of FXDB || Access issue ..;..;(04/28/2026 cell nokia): 
28/04/2026 : Probleme d'acces au site 
27/04/2026 : Need BO RAN analysis || Check and clean jumper, port 1 of FXDB || Access issue ..;..;(04/28/2026 cell nokia): 
28/04/2026 : Feedback RM : because the site is too far, we should move with spare part, but actually No FXDB at Ngaoundere WH. Command made at Maroua WH and should move tomorrow (with Esico) ETA to reach Ngaoundere 03/05/2026, ETA to reach the site W19  (05/05/2026)
27/04/2026 : Need BO RAN analysis || Check and clean jumper, port 1 of FXDB || Access issue </t>
        </is>
      </c>
      <c r="U703" t="inlineStr">
        <is>
          <t>04/28/2026 cell nokia) : 27/04/2026 : Need BO RAN analysis || Check and clean jumper, port 1 of FXDB || Access issue .;.;(04/28/2026 cell nokia) : 28/04/2026 : Probleme d'acces au site 27/04/2026 : Need BO RAN analysis || Check and clean jumper, port 1 of FXDB || Access issue .;.;(04/28/2026 cell nokia) : 28/04/2026 : Feedback RM : because the site is too far, we should move with spare part, but actually No FXDB at Ngaoundere WH. Command made at Maroua WH and should move tomorrow (with Esico) ETA to reach Ngaoundere 03/05/2026, ETA to reach the site W19 (05/05/2026) 27/04/2026 : Need BO RAN analysis || Check and clean jumper, port 1 of FXDB || Access issue</t>
        </is>
      </c>
    </row>
    <row r="704">
      <c r="A704" s="96" t="n">
        <v>46140</v>
      </c>
      <c r="B704" t="inlineStr">
        <is>
          <t>Mboulai-MTN</t>
        </is>
      </c>
      <c r="C704" t="inlineStr">
        <is>
          <t>ADM_029</t>
        </is>
      </c>
      <c r="D704" t="inlineStr"/>
      <c r="E704" t="inlineStr">
        <is>
          <t>IHS</t>
        </is>
      </c>
      <c r="F704" t="inlineStr">
        <is>
          <t>Gen Only</t>
        </is>
      </c>
      <c r="G704" t="inlineStr">
        <is>
          <t>ADAMAOUA</t>
        </is>
      </c>
      <c r="H704" t="inlineStr">
        <is>
          <t>Mboulai</t>
        </is>
      </c>
      <c r="I704" t="inlineStr"/>
      <c r="J704" t="n">
        <v>0</v>
      </c>
      <c r="K704" t="n">
        <v>4.590103736344441</v>
      </c>
      <c r="L704" t="n">
        <v>0</v>
      </c>
      <c r="M704" t="n">
        <v>1.540950766623006</v>
      </c>
      <c r="N704" t="inlineStr"/>
      <c r="O704" t="inlineStr"/>
      <c r="P704" t="inlineStr">
        <is>
          <t>BSS</t>
        </is>
      </c>
      <c r="Q704" t="inlineStr">
        <is>
          <t>RAN ISSUE</t>
        </is>
      </c>
      <c r="R704" t="inlineStr">
        <is>
          <t>BSS Hardware issue</t>
        </is>
      </c>
      <c r="S704" t="inlineStr">
        <is>
          <t>ACTIVE</t>
        </is>
      </c>
      <c r="T704" t="inlineStr">
        <is>
          <t>(04/28/2026 cell nokia): 28/04/206 : FME Hyppolite presentement sur GALLE 
27/04/2026 : Need BO RAN analysis || Check and clean jumper, port 2 of FRGU..;..;(04/28/2026 cell nokia): 28/04/206 : FME Hyppolite presentement sur GALLE 
27/04/2026 : Need BO RAN analysis || Check and clean jumper, port 2 of FRGU..;..;(04/28/2026 cell nokia): 28/04/206 : FME Hyppolite presentement sur GALLE || Feedback RM : FME activé, ETA 29/04/2026 14H apres intervention sur Soukounga 
27/04/2026 : Need BO RAN analysis || Check and clean jumper, port 2 of FRGU</t>
        </is>
      </c>
      <c r="U704" t="inlineStr">
        <is>
          <t>04/28/2026 cell nokia) : 28/04/206 : FME Hyppolite presentement sur GALLE 27/04/2026 : Need BO RAN analysis || Check and clean jumper, port 2 of FRGU.;.;(04/28/2026 cell nokia) : 28/04/206 : FME Hyppolite presentement sur GALLE 27/04/2026 : Need BO RAN analysis || Check and clean jumper, port 2 of FRGU.;.;(04/28/2026 cell nokia) : 28/04/206 : FME Hyppolite presentement sur GALLE || Feedback RM : FME activé, ETA 29/04/2026 14H apres intervention sur Soukounga 27/04/2026 : Need BO RAN analysis || Check and clean jumper, port 2 of FRGU</t>
        </is>
      </c>
    </row>
    <row r="705">
      <c r="A705" s="96" t="n">
        <v>46140</v>
      </c>
      <c r="B705" t="inlineStr">
        <is>
          <t>Ngd-Yarban</t>
        </is>
      </c>
      <c r="C705" t="inlineStr">
        <is>
          <t>ADM_073</t>
        </is>
      </c>
      <c r="D705" t="inlineStr"/>
      <c r="E705" t="inlineStr">
        <is>
          <t>IHS</t>
        </is>
      </c>
      <c r="F705" t="inlineStr">
        <is>
          <t>Grid-Gen</t>
        </is>
      </c>
      <c r="G705" t="inlineStr">
        <is>
          <t>ADAMAOUA</t>
        </is>
      </c>
      <c r="H705" t="inlineStr">
        <is>
          <t>Ngaoundere</t>
        </is>
      </c>
      <c r="I705" t="inlineStr"/>
      <c r="J705" t="n">
        <v>2.104490645820094</v>
      </c>
      <c r="K705" t="n">
        <v>2.520147580335315</v>
      </c>
      <c r="L705" t="n">
        <v>0.7298349410222231</v>
      </c>
      <c r="M705" t="n">
        <v>1.527164251083659</v>
      </c>
      <c r="N705" t="inlineStr"/>
      <c r="O705" t="inlineStr"/>
      <c r="P705" t="inlineStr">
        <is>
          <t>IHS</t>
        </is>
      </c>
      <c r="Q705" t="inlineStr">
        <is>
          <t>POWER ISSUE</t>
        </is>
      </c>
      <c r="R705" t="inlineStr">
        <is>
          <t>Defaut GE &amp; Power Cabinet</t>
        </is>
      </c>
      <c r="S705" t="inlineStr">
        <is>
          <t>PASSIVE</t>
        </is>
      </c>
      <c r="T705" t="inlineStr">
        <is>
          <t>(04/28/2026 hourly IHS): FME is on the way after Champ de Pierre..;..;(04/28/2026 cell huawei): 28/04/2026 : Power instability || Mail sent to HIS</t>
        </is>
      </c>
      <c r="U705" t="inlineStr">
        <is>
          <t>: FME is on the way after Champ de Pierre.;.;(04/28/2026 cell huawei) : 28/04/2026 : Power instability || Mail sent to HIS</t>
        </is>
      </c>
    </row>
    <row r="706">
      <c r="A706" s="96" t="n">
        <v>46140</v>
      </c>
      <c r="B706" t="inlineStr">
        <is>
          <t>H-Princes</t>
        </is>
      </c>
      <c r="C706" t="inlineStr">
        <is>
          <t>CTR_044</t>
        </is>
      </c>
      <c r="D706" t="inlineStr"/>
      <c r="E706" t="inlineStr">
        <is>
          <t>IHS</t>
        </is>
      </c>
      <c r="F706" t="inlineStr">
        <is>
          <t>Grid-Gen</t>
        </is>
      </c>
      <c r="G706" t="inlineStr">
        <is>
          <t>CENTRE</t>
        </is>
      </c>
      <c r="H706" t="inlineStr">
        <is>
          <t>Yaounde</t>
        </is>
      </c>
      <c r="I706" t="inlineStr"/>
      <c r="J706" t="n">
        <v>1.186133392483883</v>
      </c>
      <c r="K706" t="n">
        <v>1.10768128359701</v>
      </c>
      <c r="L706" t="n">
        <v>1.776433294591205</v>
      </c>
      <c r="M706" t="n">
        <v>1.467630759660192</v>
      </c>
      <c r="N706" t="inlineStr"/>
      <c r="O706" t="inlineStr"/>
      <c r="P706" t="inlineStr">
        <is>
          <t>IHS</t>
        </is>
      </c>
      <c r="Q706" t="inlineStr">
        <is>
          <t>POWER ISSUE</t>
        </is>
      </c>
      <c r="R706" t="inlineStr">
        <is>
          <t>Defaut GE &amp; Power Cabinet</t>
        </is>
      </c>
      <c r="S706" t="inlineStr">
        <is>
          <t>PASSIVE</t>
        </is>
      </c>
      <c r="T706" t="inlineStr">
        <is>
          <t>(04/28/2026 hourly IHS): fme Mboua is informed ETA 02:40 PM..;..;(04/28/2026 ticket): INC-20260428-00008931</t>
        </is>
      </c>
      <c r="U706" t="inlineStr">
        <is>
          <t>: fme Mboua is informed ETA 02 : 40 PM.;.; :</t>
        </is>
      </c>
    </row>
    <row r="707">
      <c r="A707" s="96" t="n">
        <v>46140</v>
      </c>
      <c r="B707" t="inlineStr">
        <is>
          <t>Bitoto</t>
        </is>
      </c>
      <c r="C707" t="inlineStr">
        <is>
          <t>CTR_315</t>
        </is>
      </c>
      <c r="D707" t="inlineStr"/>
      <c r="E707" t="inlineStr">
        <is>
          <t>IHS</t>
        </is>
      </c>
      <c r="F707" t="inlineStr">
        <is>
          <t>Grid-Gen</t>
        </is>
      </c>
      <c r="G707" t="inlineStr">
        <is>
          <t>CENTRE</t>
        </is>
      </c>
      <c r="H707" t="inlineStr">
        <is>
          <t>Yaounde</t>
        </is>
      </c>
      <c r="I707" t="inlineStr"/>
      <c r="J707" t="n">
        <v>0.5667761751176017</v>
      </c>
      <c r="K707" t="n">
        <v>0.4949236852752865</v>
      </c>
      <c r="L707" t="n">
        <v>2.329384153375053</v>
      </c>
      <c r="M707" t="n">
        <v>1.461834359207038</v>
      </c>
      <c r="N707" t="inlineStr"/>
      <c r="O707" t="inlineStr"/>
      <c r="P707" t="inlineStr">
        <is>
          <t>IHS</t>
        </is>
      </c>
      <c r="Q707" t="inlineStr">
        <is>
          <t>POWER ISSUE</t>
        </is>
      </c>
      <c r="R707" t="inlineStr">
        <is>
          <t>Defaut GE &amp; Power Cabinet</t>
        </is>
      </c>
      <c r="S707" t="inlineStr">
        <is>
          <t>PASSIVE</t>
        </is>
      </c>
      <c r="T707" t="inlineStr">
        <is>
          <t>(04/28/2026 ticket): INC-20260428-00017026…Grid outage, site went down because due to Gen (30kva, 370A) overload// He reduced the load and start Gen manualy…GE Fault</t>
        </is>
      </c>
      <c r="U707" t="inlineStr">
        <is>
          <t>: …Grid outage, site went down because due to Gen (30kva, 370A) overload// He reduced the load and start Gen manualy…GE Fault</t>
        </is>
      </c>
    </row>
    <row r="708">
      <c r="A708" s="96" t="n">
        <v>46140</v>
      </c>
      <c r="B708" t="inlineStr">
        <is>
          <t>NR-Carrossel</t>
        </is>
      </c>
      <c r="C708" t="inlineStr">
        <is>
          <t>CTR_565</t>
        </is>
      </c>
      <c r="D708" t="inlineStr"/>
      <c r="E708" t="inlineStr">
        <is>
          <t>CAMUSAT</t>
        </is>
      </c>
      <c r="F708" t="inlineStr">
        <is>
          <t>Good Grid no GE - 8h</t>
        </is>
      </c>
      <c r="G708" t="inlineStr">
        <is>
          <t>CENTRE</t>
        </is>
      </c>
      <c r="H708" t="inlineStr">
        <is>
          <t>Yaounde</t>
        </is>
      </c>
      <c r="I708" t="inlineStr"/>
      <c r="J708" t="n">
        <v>1.063735716940638</v>
      </c>
      <c r="K708" t="n">
        <v>0.9014453726654235</v>
      </c>
      <c r="L708" t="n">
        <v>1.893979812505608</v>
      </c>
      <c r="M708" t="n">
        <v>1.442215773057903</v>
      </c>
      <c r="N708" t="inlineStr"/>
      <c r="O708" t="inlineStr"/>
      <c r="P708" t="inlineStr">
        <is>
          <t>AKTIVCO GRID ONLY</t>
        </is>
      </c>
      <c r="Q708" t="inlineStr">
        <is>
          <t>POWER ISSUE</t>
        </is>
      </c>
      <c r="R708" t="inlineStr">
        <is>
          <t>AKTIVCO Coupure ENEO &amp; Baisse de tension</t>
        </is>
      </c>
      <c r="S708" t="inlineStr">
        <is>
          <t>PASSIVE</t>
        </is>
      </c>
      <c r="T708" t="inlineStr">
        <is>
          <t>(04/28/2026 com ran 10h): Power status check ongoing..;..;(04/28/2026 ticket): INC-20260428-00006685…power issue …Others Transmission equipement fault</t>
        </is>
      </c>
      <c r="U708" t="inlineStr">
        <is>
          <t>04/28/2026 com ran 10h) : ; : …power issue …</t>
        </is>
      </c>
    </row>
    <row r="709">
      <c r="A709" s="96" t="n">
        <v>46140</v>
      </c>
      <c r="B709" t="inlineStr">
        <is>
          <t>Foubarka</t>
        </is>
      </c>
      <c r="C709" t="inlineStr">
        <is>
          <t>NRD_153</t>
        </is>
      </c>
      <c r="D709" t="inlineStr"/>
      <c r="E709" t="inlineStr">
        <is>
          <t>CAMUSAT</t>
        </is>
      </c>
      <c r="F709" t="inlineStr">
        <is>
          <t>Hybrid Solar - S3</t>
        </is>
      </c>
      <c r="G709" t="inlineStr">
        <is>
          <t>NORD</t>
        </is>
      </c>
      <c r="H709" t="inlineStr">
        <is>
          <t>Foubarka</t>
        </is>
      </c>
      <c r="I709" t="inlineStr"/>
      <c r="J709" t="n">
        <v>9.927575546842839</v>
      </c>
      <c r="K709" t="n">
        <v>0</v>
      </c>
      <c r="L709" t="n">
        <v>0</v>
      </c>
      <c r="M709" t="n">
        <v>1.417656870214848</v>
      </c>
      <c r="N709" t="inlineStr"/>
      <c r="O709" t="inlineStr"/>
      <c r="P709" t="inlineStr">
        <is>
          <t>BSS</t>
        </is>
      </c>
      <c r="Q709" t="inlineStr">
        <is>
          <t>RAN ISSUE</t>
        </is>
      </c>
      <c r="R709" t="inlineStr">
        <is>
          <t>BSS Hardware issue</t>
        </is>
      </c>
      <c r="S709" t="inlineStr">
        <is>
          <t>ACTIVE</t>
        </is>
      </c>
      <c r="T709" t="inlineStr">
        <is>
          <t>(04/28/2026 cell nokia): 
28/04/2026 : Check breaker and  interconnection FXDB (sfp, optical fiber) between system and radio module, swap its if needed || FME bello activer pour investiguation ..;..;(04/28/2026 ticket): INC-20260428-00018664…2026-04-28 23:53:50…Red zone, intervention on the morning</t>
        </is>
      </c>
      <c r="U709" t="inlineStr">
        <is>
          <t>04/28/2026 cell nokia) : 28/04/2026 : Check breaker and interconnection FXDB (sfp, optical fiber) between system and radio module, swap its if needed || pour investiguation .;.; : …2026-04-28 23 : 53 : 50…Red zone, intervention on the morning</t>
        </is>
      </c>
    </row>
    <row r="710">
      <c r="A710" s="96" t="n">
        <v>46140</v>
      </c>
      <c r="B710" t="inlineStr">
        <is>
          <t>Bamenda-Mile8-IHS</t>
        </is>
      </c>
      <c r="C710" t="inlineStr">
        <is>
          <t>NRO_135</t>
        </is>
      </c>
      <c r="D710" t="inlineStr"/>
      <c r="E710" t="inlineStr">
        <is>
          <t>IHS</t>
        </is>
      </c>
      <c r="F710" t="inlineStr">
        <is>
          <t>Grid-Gen</t>
        </is>
      </c>
      <c r="G710" t="inlineStr">
        <is>
          <t>NORD-OUEST</t>
        </is>
      </c>
      <c r="H710" t="inlineStr">
        <is>
          <t>Bamenda</t>
        </is>
      </c>
      <c r="I710" t="inlineStr"/>
      <c r="J710" t="n">
        <v>1.900286360602536</v>
      </c>
      <c r="K710" t="n">
        <v>3.236713774731309</v>
      </c>
      <c r="L710" t="n">
        <v>0.09815493349267951</v>
      </c>
      <c r="M710" t="n">
        <v>1.409149537857451</v>
      </c>
      <c r="N710" t="inlineStr"/>
      <c r="O710" t="inlineStr"/>
      <c r="P710" t="inlineStr">
        <is>
          <t>IHS</t>
        </is>
      </c>
      <c r="Q710" t="inlineStr">
        <is>
          <t>POWER ISSUE</t>
        </is>
      </c>
      <c r="R710" t="inlineStr">
        <is>
          <t>Defaut GE &amp; Power Cabinet</t>
        </is>
      </c>
      <c r="S710" t="inlineStr">
        <is>
          <t>PASSIVE</t>
        </is>
      </c>
      <c r="T710" t="inlineStr">
        <is>
          <t>(04/28/2026 hourly IHS): Moses is informed and managing with L0.</t>
        </is>
      </c>
      <c r="U710" t="inlineStr">
        <is>
          <t>: Moses is informed and managing with L0.</t>
        </is>
      </c>
    </row>
    <row r="711">
      <c r="A711" s="96" t="n">
        <v>46140</v>
      </c>
      <c r="B711" t="inlineStr">
        <is>
          <t>Ouro-Kessoun</t>
        </is>
      </c>
      <c r="C711" t="inlineStr">
        <is>
          <t>NRD_040</t>
        </is>
      </c>
      <c r="D711" t="inlineStr"/>
      <c r="E711" t="inlineStr">
        <is>
          <t>IHS</t>
        </is>
      </c>
      <c r="F711" t="inlineStr">
        <is>
          <t>Grid-Gen</t>
        </is>
      </c>
      <c r="G711" t="inlineStr">
        <is>
          <t>NORD</t>
        </is>
      </c>
      <c r="H711" t="inlineStr">
        <is>
          <t>Garoua</t>
        </is>
      </c>
      <c r="I711" t="inlineStr"/>
      <c r="J711" t="n">
        <v>2.256238784376261</v>
      </c>
      <c r="K711" t="n">
        <v>2.877261901118966</v>
      </c>
      <c r="L711" t="n">
        <v>0.2260641499604918</v>
      </c>
      <c r="M711" t="n">
        <v>1.406010564073589</v>
      </c>
      <c r="N711" t="inlineStr"/>
      <c r="O711" t="inlineStr"/>
      <c r="P711" t="inlineStr">
        <is>
          <t>IHS</t>
        </is>
      </c>
      <c r="Q711" t="inlineStr">
        <is>
          <t>POWER ISSUE</t>
        </is>
      </c>
      <c r="R711" t="inlineStr">
        <is>
          <t>Defaut GE &amp; Power Cabinet</t>
        </is>
      </c>
      <c r="S711" t="inlineStr">
        <is>
          <t>PASSIVE</t>
        </is>
      </c>
      <c r="T711" t="inlineStr">
        <is>
          <t>(04/28/2026 hourly IHS): Merlin is on his way ETA 02:15 PM.</t>
        </is>
      </c>
      <c r="U711" t="inlineStr">
        <is>
          <t>: Merlin is on his way ETA 02 : 15 PM.</t>
        </is>
      </c>
    </row>
    <row r="712">
      <c r="A712" s="96" t="n">
        <v>46140</v>
      </c>
      <c r="B712" t="inlineStr">
        <is>
          <t>Zhoa</t>
        </is>
      </c>
      <c r="C712" t="inlineStr">
        <is>
          <t>NRO_030</t>
        </is>
      </c>
      <c r="D712" t="inlineStr"/>
      <c r="E712" t="inlineStr">
        <is>
          <t>IHS</t>
        </is>
      </c>
      <c r="F712" t="inlineStr">
        <is>
          <t>Hybrid-Gen</t>
        </is>
      </c>
      <c r="G712" t="inlineStr">
        <is>
          <t>NORD-OUEST</t>
        </is>
      </c>
      <c r="H712" t="inlineStr">
        <is>
          <t>Fungom</t>
        </is>
      </c>
      <c r="I712" t="inlineStr"/>
      <c r="J712" t="n">
        <v>8.992482284809901</v>
      </c>
      <c r="K712" t="n">
        <v>0.03851649547279776</v>
      </c>
      <c r="L712" t="n">
        <v>0</v>
      </c>
      <c r="M712" t="n">
        <v>1.297056070632618</v>
      </c>
      <c r="N712" t="inlineStr"/>
      <c r="O712" t="inlineStr"/>
      <c r="P712" t="inlineStr">
        <is>
          <t>BSS</t>
        </is>
      </c>
      <c r="Q712" t="inlineStr">
        <is>
          <t>RAN ISSUE</t>
        </is>
      </c>
      <c r="R712" t="inlineStr">
        <is>
          <t>BSS Hardware issue</t>
        </is>
      </c>
      <c r="S712" t="inlineStr">
        <is>
          <t>ACTIVE</t>
        </is>
      </c>
      <c r="T712" t="inlineStr">
        <is>
          <t>(04/28/2026 cell nokia): 28/04/2026 : Escalade faite au RM 
23/04/2026 : Check and replace ABIA || Acess issue || UP After remote reset..;..;(04/28/2026 cell nokia): 28/04/2026 : Escalade faite au RM || Up after remote but we will visited the site tomorrow 29.04.2026 if acces garanted
23/04/2026 : Check and replace ABIA || Acess issue || UP After remote reset..;..;(04/28/2026 ocm ran 14h): Power status check ongoing</t>
        </is>
      </c>
      <c r="U712" t="inlineStr">
        <is>
          <t>04/28/2026 cell nokia) : 28/04/2026 : Escalade faite au RM 23/04/2026 : Check and replace ABIA || Acess issue || UP After remote reset.;.;(04/28/2026 cell nokia) : 28/04/2026 : Escalade faite au RM || Up after remote but we will visited the site tomorrow 29.04.2026 if acces garanted 23/04/2026 : Check and replace ABIA || Acess issue || UP After remote reset.;.; : Power status check ongoing</t>
        </is>
      </c>
    </row>
    <row r="713">
      <c r="A713" s="96" t="n">
        <v>46140</v>
      </c>
      <c r="B713" t="inlineStr">
        <is>
          <t>Berore-IHS</t>
        </is>
      </c>
      <c r="C713" t="inlineStr">
        <is>
          <t>NRO_086</t>
        </is>
      </c>
      <c r="D713" t="inlineStr"/>
      <c r="E713" t="inlineStr">
        <is>
          <t>IHS</t>
        </is>
      </c>
      <c r="F713" t="inlineStr">
        <is>
          <t>Gen Only</t>
        </is>
      </c>
      <c r="G713" t="inlineStr">
        <is>
          <t>NORD-OUEST</t>
        </is>
      </c>
      <c r="H713" t="inlineStr">
        <is>
          <t>Berore</t>
        </is>
      </c>
      <c r="I713" t="inlineStr"/>
      <c r="J713" t="n">
        <v>0</v>
      </c>
      <c r="K713" t="n">
        <v>3.859459098775632</v>
      </c>
      <c r="L713" t="n">
        <v>0</v>
      </c>
      <c r="M713" t="n">
        <v>1.29566493452386</v>
      </c>
      <c r="N713" t="inlineStr"/>
      <c r="O713" t="inlineStr"/>
      <c r="P713" t="inlineStr">
        <is>
          <t>IHS</t>
        </is>
      </c>
      <c r="Q713" t="inlineStr">
        <is>
          <t>POWER ISSUE</t>
        </is>
      </c>
      <c r="R713" t="inlineStr">
        <is>
          <t>Defaut GE &amp; Power Cabinet</t>
        </is>
      </c>
      <c r="S713" t="inlineStr">
        <is>
          <t>PASSIVE</t>
        </is>
      </c>
      <c r="T713" t="inlineStr">
        <is>
          <t>(04/28/2026 hourly IHS): FME is informed and managing</t>
        </is>
      </c>
      <c r="U713" t="inlineStr">
        <is>
          <t>: FME is informed and managing</t>
        </is>
      </c>
    </row>
    <row r="714">
      <c r="A714" s="96" t="n">
        <v>46140</v>
      </c>
      <c r="B714" t="inlineStr">
        <is>
          <t>CDC-Delmonte-IHS</t>
        </is>
      </c>
      <c r="C714" t="inlineStr">
        <is>
          <t>LIT_173</t>
        </is>
      </c>
      <c r="D714" t="inlineStr"/>
      <c r="E714" t="inlineStr">
        <is>
          <t>IHS</t>
        </is>
      </c>
      <c r="F714" t="inlineStr">
        <is>
          <t>Grid-Gen</t>
        </is>
      </c>
      <c r="G714" t="inlineStr">
        <is>
          <t>LITTORAL</t>
        </is>
      </c>
      <c r="H714" t="inlineStr">
        <is>
          <t>CDC-Delmonte</t>
        </is>
      </c>
      <c r="I714" t="inlineStr"/>
      <c r="J714" t="n">
        <v>0</v>
      </c>
      <c r="K714" t="n">
        <v>3.767232014443526</v>
      </c>
      <c r="L714" t="n">
        <v>0</v>
      </c>
      <c r="M714" t="n">
        <v>1.264703238564861</v>
      </c>
      <c r="N714" t="inlineStr"/>
      <c r="O714" t="inlineStr"/>
      <c r="P714" t="inlineStr">
        <is>
          <t>SPARE-ISSUE</t>
        </is>
      </c>
      <c r="Q714" t="inlineStr">
        <is>
          <t>SPARE-ISSUE</t>
        </is>
      </c>
      <c r="R714" t="inlineStr">
        <is>
          <t>Warehouse HUAWEI</t>
        </is>
      </c>
      <c r="S714" t="inlineStr">
        <is>
          <t>SPARE-ISSUE</t>
        </is>
      </c>
      <c r="T714" t="inlineStr">
        <is>
          <t>(04/28/2026 cell huawei): 28/04/2028 : Check Connectivite entre BBU &amp; RRU/Check FO ou SFP || ETA 13H || FO faulty || Cde en cours..;..;(04/28/2026 cell huawei): 28/04/2028 : Check Connectivite entre BBU &amp; RRU/Check FO ou SFP || ETA 13H || FO faulty || Cde en cours..;..;(04/28/2026 cell huawei): 28/04/2028 : Check Connectivite entre BBU &amp; RRU/Check FO ou SFP || ETA 13H || FO faulty || Cde en cours</t>
        </is>
      </c>
      <c r="U714" t="inlineStr">
        <is>
          <t>04/28/2026 cell huawei) : 28/04/2028 : Check Connectivite entre BBU &amp; RRU/Check FO ou SFP || ETA 13H || FO faulty || Cde en cours.;.;(04/28/2026 cell huawei) : 28/04/2028 : Check Connectivite entre BBU &amp; RRU/Check FO ou SFP || ETA 13H || FO faulty || Cde en cours.;.;(04/28/2026 cell huawei) : 28/04/2028 : Check Connectivite entre BBU &amp; RRU/Check FO ou SFP || ETA 13H || FO faulty || Cde en cours</t>
        </is>
      </c>
    </row>
    <row r="715">
      <c r="A715" s="96" t="n">
        <v>46140</v>
      </c>
      <c r="B715" t="inlineStr">
        <is>
          <t>Maroua-Marche-Abattoir</t>
        </is>
      </c>
      <c r="C715" t="inlineStr">
        <is>
          <t>EXN_085</t>
        </is>
      </c>
      <c r="D715" t="inlineStr"/>
      <c r="E715" t="inlineStr">
        <is>
          <t>IHS</t>
        </is>
      </c>
      <c r="F715" t="inlineStr">
        <is>
          <t>Grid-Gen</t>
        </is>
      </c>
      <c r="G715" t="inlineStr">
        <is>
          <t>EXTREME-NORD</t>
        </is>
      </c>
      <c r="H715" t="inlineStr">
        <is>
          <t>Maroua</t>
        </is>
      </c>
      <c r="I715" t="inlineStr"/>
      <c r="J715" t="n">
        <v>1.796623023152644</v>
      </c>
      <c r="K715" t="n">
        <v>1.621411643903152</v>
      </c>
      <c r="L715" t="n">
        <v>0.7630092565232334</v>
      </c>
      <c r="M715" t="n">
        <v>1.198784789103766</v>
      </c>
      <c r="N715" t="inlineStr"/>
      <c r="O715" t="inlineStr"/>
      <c r="P715" t="inlineStr">
        <is>
          <t>IHS</t>
        </is>
      </c>
      <c r="Q715" t="inlineStr">
        <is>
          <t>POWER ISSUE</t>
        </is>
      </c>
      <c r="R715" t="inlineStr">
        <is>
          <t>Defaut GE &amp; Power Cabinet</t>
        </is>
      </c>
      <c r="S715" t="inlineStr">
        <is>
          <t>PASSIVE</t>
        </is>
      </c>
      <c r="T715" t="inlineStr">
        <is>
          <t>(04/28/2026 hourly IHS): Ieng FME , is heading to site ETA 05:20 pm, Francklin is informed..;..;(04/28/2026 cell huawei): 28/04/2026 : Power instability || Escalade envoye au L4 de HIS..;..;(04/28/2026 cell huawei): 28/04/2026 : Power instability || Escalade envoye au L4 de HIS..;..;(04/28/2026 ticket): INC-20260428-00011290…Grid outage, Gen took false low oil pressure alarm. // Grid return.…Grid outage, Gen took false low oil pressure alarm. // Grid return.…GE Fault</t>
        </is>
      </c>
      <c r="U715" t="inlineStr">
        <is>
          <t>: Ieng FME , is heading to site ETA 05 : 20 pm, Francklin is informed.;.;(04/28/2026 cell huawei) : 28/04/2026 : Power instability || Escalade envoye au L4 de HIS.;.;(04/28/2026 cell huawei) : 28/04/2026 : Power instability || Escalade envoye au L4 de HIS.;.; : …Grid outage, Gen took false low oil pressure alarm. Grid return.…Grid outage, Gen took false low oil pressure alarm. Grid return.…GE Fault</t>
        </is>
      </c>
    </row>
    <row r="716">
      <c r="A716" s="96" t="n">
        <v>46140</v>
      </c>
      <c r="B716" t="inlineStr">
        <is>
          <t>ADM_238_H_NGD-MARZA</t>
        </is>
      </c>
      <c r="C716" t="inlineStr">
        <is>
          <t>ADM_238</t>
        </is>
      </c>
      <c r="D716" t="inlineStr"/>
      <c r="E716" t="inlineStr">
        <is>
          <t>ESCO</t>
        </is>
      </c>
      <c r="F716" t="inlineStr">
        <is>
          <t>Hybrid Solar - S1</t>
        </is>
      </c>
      <c r="G716" t="inlineStr">
        <is>
          <t>ADM</t>
        </is>
      </c>
      <c r="H716" t="inlineStr">
        <is>
          <t>Ngaoundere</t>
        </is>
      </c>
      <c r="I716" t="inlineStr"/>
      <c r="J716" t="n">
        <v>1.72917940601657</v>
      </c>
      <c r="K716" t="n">
        <v>2.210049947128805</v>
      </c>
      <c r="L716" t="n">
        <v>0.08327779200511308</v>
      </c>
      <c r="M716" t="n">
        <v>1.032294333010875</v>
      </c>
      <c r="N716" t="inlineStr"/>
      <c r="O716" t="inlineStr">
        <is>
          <t>not accepted</t>
        </is>
      </c>
      <c r="P716" t="inlineStr">
        <is>
          <t>Exclu</t>
        </is>
      </c>
      <c r="Q716" t="inlineStr">
        <is>
          <t>Exclu</t>
        </is>
      </c>
      <c r="R716" t="inlineStr">
        <is>
          <t>EXCLU</t>
        </is>
      </c>
      <c r="S716" t="inlineStr">
        <is>
          <t>Exclu</t>
        </is>
      </c>
      <c r="T716" t="inlineStr">
        <is>
          <t>(04/28/2026 ocm ran 19h): Power status check ongoing</t>
        </is>
      </c>
      <c r="U716" t="inlineStr">
        <is>
          <t>: Power status check ongoing</t>
        </is>
      </c>
    </row>
    <row r="717">
      <c r="A717" s="96" t="n">
        <v>46140</v>
      </c>
      <c r="B717" t="inlineStr">
        <is>
          <t>Ngd-Madagascar-MTN-IHS</t>
        </is>
      </c>
      <c r="C717" t="inlineStr">
        <is>
          <t>ADM_084</t>
        </is>
      </c>
      <c r="D717" t="inlineStr"/>
      <c r="E717" t="inlineStr">
        <is>
          <t>IHS</t>
        </is>
      </c>
      <c r="F717" t="inlineStr">
        <is>
          <t>Grid-Gen</t>
        </is>
      </c>
      <c r="G717" t="inlineStr">
        <is>
          <t>ADAMAOUA</t>
        </is>
      </c>
      <c r="H717" t="inlineStr">
        <is>
          <t>Ngaoundere</t>
        </is>
      </c>
      <c r="I717" t="inlineStr"/>
      <c r="J717" t="n">
        <v>1.20836480702133</v>
      </c>
      <c r="K717" t="n">
        <v>1.546609953384946</v>
      </c>
      <c r="L717" t="n">
        <v>0.5800375163887959</v>
      </c>
      <c r="M717" t="n">
        <v>0.9942521109598695</v>
      </c>
      <c r="N717" t="inlineStr"/>
      <c r="O717" t="inlineStr"/>
      <c r="P717" t="inlineStr">
        <is>
          <t>IHS</t>
        </is>
      </c>
      <c r="Q717" t="inlineStr">
        <is>
          <t>POWER ISSUE</t>
        </is>
      </c>
      <c r="R717" t="inlineStr">
        <is>
          <t>Defaut GE &amp; Power Cabinet</t>
        </is>
      </c>
      <c r="S717" t="inlineStr">
        <is>
          <t>PASSIVE</t>
        </is>
      </c>
      <c r="T717" t="inlineStr">
        <is>
          <t>(04/28/2026 hourly IHS): fme yannick is managing with the level zero Richard is informed</t>
        </is>
      </c>
      <c r="U717" t="inlineStr">
        <is>
          <t>: fme yannick is managing with the level zero Richard is informed</t>
        </is>
      </c>
    </row>
    <row r="718">
      <c r="A718" s="96" t="n">
        <v>46140</v>
      </c>
      <c r="B718" t="inlineStr">
        <is>
          <t>Ndoumkain</t>
        </is>
      </c>
      <c r="C718" t="inlineStr">
        <is>
          <t>OST_207</t>
        </is>
      </c>
      <c r="D718" t="inlineStr"/>
      <c r="E718" t="inlineStr">
        <is>
          <t>IHS</t>
        </is>
      </c>
      <c r="F718" t="inlineStr">
        <is>
          <t>Grid-Gen</t>
        </is>
      </c>
      <c r="G718" t="inlineStr">
        <is>
          <t>OUEST</t>
        </is>
      </c>
      <c r="H718" t="inlineStr">
        <is>
          <t>Ndoumkain</t>
        </is>
      </c>
      <c r="I718" t="inlineStr"/>
      <c r="J718" t="n">
        <v>0</v>
      </c>
      <c r="K718" t="n">
        <v>2.59468363985026</v>
      </c>
      <c r="L718" t="n">
        <v>0</v>
      </c>
      <c r="M718" t="n">
        <v>0.871065225021616</v>
      </c>
      <c r="N718" t="inlineStr"/>
      <c r="O718" t="inlineStr"/>
      <c r="P718" t="inlineStr">
        <is>
          <t>IHS</t>
        </is>
      </c>
      <c r="Q718" t="inlineStr">
        <is>
          <t>POWER ISSUE</t>
        </is>
      </c>
      <c r="R718" t="inlineStr">
        <is>
          <t>Defaut GE &amp; Power Cabinet</t>
        </is>
      </c>
      <c r="S718" t="inlineStr">
        <is>
          <t>PASSIVE</t>
        </is>
      </c>
      <c r="T718" t="inlineStr">
        <is>
          <t>(04/28/2026 hourly IHS): FME Eric is on site. Thibault informed..;..;(04/28/2026 ocm ran 14h): Power status check ongoing</t>
        </is>
      </c>
      <c r="U718" t="inlineStr">
        <is>
          <t>: FME Eric is on site. Thibault informed.;.; : Power status check ongoing</t>
        </is>
      </c>
    </row>
    <row r="719">
      <c r="A719" s="96" t="n">
        <v>46140</v>
      </c>
      <c r="B719" t="inlineStr">
        <is>
          <t>Buea-Wokoko-IHS</t>
        </is>
      </c>
      <c r="C719" t="inlineStr">
        <is>
          <t>SUO_185</t>
        </is>
      </c>
      <c r="D719" t="inlineStr"/>
      <c r="E719" t="inlineStr">
        <is>
          <t>IHS</t>
        </is>
      </c>
      <c r="F719" t="inlineStr">
        <is>
          <t>Grid-Gen</t>
        </is>
      </c>
      <c r="G719" t="inlineStr">
        <is>
          <t>SUD-OUEST</t>
        </is>
      </c>
      <c r="H719" t="inlineStr">
        <is>
          <t>Buea</t>
        </is>
      </c>
      <c r="I719" t="inlineStr"/>
      <c r="J719" t="n">
        <v>1.320770835581454</v>
      </c>
      <c r="K719" t="n">
        <v>1.689731937941797</v>
      </c>
      <c r="L719" t="n">
        <v>0.212897024735864</v>
      </c>
      <c r="M719" t="n">
        <v>0.8668918166953453</v>
      </c>
      <c r="N719" t="inlineStr"/>
      <c r="O719" t="inlineStr"/>
      <c r="P719" t="inlineStr">
        <is>
          <t>IHS</t>
        </is>
      </c>
      <c r="Q719" t="inlineStr">
        <is>
          <t>POWER ISSUE</t>
        </is>
      </c>
      <c r="R719" t="inlineStr">
        <is>
          <t>Defaut GE &amp; Power Cabinet</t>
        </is>
      </c>
      <c r="S719" t="inlineStr">
        <is>
          <t>PASSIVE</t>
        </is>
      </c>
      <c r="T719" t="inlineStr">
        <is>
          <t>(04/28/2026 hourly IHS): FME ABDEL is managing with the level zero ETA ASAP currently he is on site of buea ocm wich is alarming..;..;(04/28/2026 ocm ran 19h): Power status check ongoing</t>
        </is>
      </c>
      <c r="U719" t="inlineStr">
        <is>
          <t>: FME ABDEL is managing with the level zero ETA ASAP currently he is on site of buea ocm wich is alarming.;.; : Power status check ongoing</t>
        </is>
      </c>
    </row>
    <row r="720">
      <c r="A720" s="96" t="n">
        <v>46140</v>
      </c>
      <c r="B720" t="inlineStr">
        <is>
          <t>Ngd-Universite</t>
        </is>
      </c>
      <c r="C720" t="inlineStr">
        <is>
          <t>ADM_003</t>
        </is>
      </c>
      <c r="D720" t="inlineStr"/>
      <c r="E720" t="inlineStr">
        <is>
          <t>IHS</t>
        </is>
      </c>
      <c r="F720" t="inlineStr">
        <is>
          <t>Grid-Gen</t>
        </is>
      </c>
      <c r="G720" t="inlineStr">
        <is>
          <t>ADAMAOUA</t>
        </is>
      </c>
      <c r="H720" t="inlineStr">
        <is>
          <t>Ngaoundere</t>
        </is>
      </c>
      <c r="I720" t="inlineStr"/>
      <c r="J720" t="n">
        <v>1.418189393666895</v>
      </c>
      <c r="K720" t="n">
        <v>1.824513108996263</v>
      </c>
      <c r="L720" t="n">
        <v>0.0492484683726336</v>
      </c>
      <c r="M720" t="n">
        <v>0.8407099217254081</v>
      </c>
      <c r="N720" t="inlineStr"/>
      <c r="O720" t="inlineStr"/>
      <c r="P720" t="inlineStr">
        <is>
          <t>IHS</t>
        </is>
      </c>
      <c r="Q720" t="inlineStr">
        <is>
          <t>POWER ISSUE</t>
        </is>
      </c>
      <c r="R720" t="inlineStr">
        <is>
          <t>Defaut GE &amp; Power Cabinet</t>
        </is>
      </c>
      <c r="S720" t="inlineStr">
        <is>
          <t>PASSIVE</t>
        </is>
      </c>
      <c r="T720" t="inlineStr">
        <is>
          <t>(04/28/2026 hourly IHS): FME Yannick is managing with level 0, Richard is informed</t>
        </is>
      </c>
      <c r="U720" t="inlineStr">
        <is>
          <t>: FME Yannick is managing with level 0, Richard is informed</t>
        </is>
      </c>
    </row>
    <row r="721">
      <c r="A721" s="96" t="n">
        <v>46140</v>
      </c>
      <c r="B721" t="inlineStr">
        <is>
          <t>Poli-Ville-IHS</t>
        </is>
      </c>
      <c r="C721" t="inlineStr">
        <is>
          <t>NRD_119</t>
        </is>
      </c>
      <c r="D721" t="inlineStr"/>
      <c r="E721" t="inlineStr">
        <is>
          <t>IHS</t>
        </is>
      </c>
      <c r="F721" t="inlineStr">
        <is>
          <t>Grid-Gen</t>
        </is>
      </c>
      <c r="G721" t="inlineStr">
        <is>
          <t>NORD</t>
        </is>
      </c>
      <c r="H721" t="inlineStr">
        <is>
          <t>Poli</t>
        </is>
      </c>
      <c r="I721" t="inlineStr"/>
      <c r="J721" t="n">
        <v>0</v>
      </c>
      <c r="K721" t="n">
        <v>2.488324986144687</v>
      </c>
      <c r="L721" t="n">
        <v>0</v>
      </c>
      <c r="M721" t="n">
        <v>0.8353593982301896</v>
      </c>
      <c r="N721" t="inlineStr"/>
      <c r="O721" t="inlineStr"/>
      <c r="P721" t="inlineStr">
        <is>
          <t>IHS</t>
        </is>
      </c>
      <c r="Q721" t="inlineStr">
        <is>
          <t>POWER ISSUE</t>
        </is>
      </c>
      <c r="R721" t="inlineStr">
        <is>
          <t>Defaut GE &amp; Power Cabinet</t>
        </is>
      </c>
      <c r="S721" t="inlineStr">
        <is>
          <t>PASSIVE</t>
        </is>
      </c>
      <c r="T721" t="inlineStr">
        <is>
          <t>(04/28/2026 hourly IHS): Level 0 is on site.</t>
        </is>
      </c>
      <c r="U721" t="inlineStr">
        <is>
          <t>: Level 0 is on site.</t>
        </is>
      </c>
    </row>
    <row r="722">
      <c r="A722" s="96" t="n">
        <v>46140</v>
      </c>
      <c r="B722" t="inlineStr">
        <is>
          <t>Maroua-Djoudandou</t>
        </is>
      </c>
      <c r="C722" t="inlineStr">
        <is>
          <t>EXN_090</t>
        </is>
      </c>
      <c r="D722" t="inlineStr"/>
      <c r="E722" t="inlineStr">
        <is>
          <t>IHS</t>
        </is>
      </c>
      <c r="F722" t="inlineStr">
        <is>
          <t>Grid-Gen</t>
        </is>
      </c>
      <c r="G722" t="inlineStr">
        <is>
          <t>EXTREME-NORD</t>
        </is>
      </c>
      <c r="H722" t="inlineStr">
        <is>
          <t>Maroua</t>
        </is>
      </c>
      <c r="I722" t="inlineStr"/>
      <c r="J722" t="n">
        <v>0.6413388407291505</v>
      </c>
      <c r="K722" t="n">
        <v>0.5482092645293785</v>
      </c>
      <c r="L722" t="n">
        <v>1.017630678074801</v>
      </c>
      <c r="M722" t="n">
        <v>0.8063060556511517</v>
      </c>
      <c r="N722" t="inlineStr"/>
      <c r="O722" t="inlineStr"/>
      <c r="P722" t="inlineStr">
        <is>
          <t>IHS</t>
        </is>
      </c>
      <c r="Q722" t="inlineStr">
        <is>
          <t>POWER ISSUE</t>
        </is>
      </c>
      <c r="R722" t="inlineStr">
        <is>
          <t>Defaut GE &amp; Power Cabinet</t>
        </is>
      </c>
      <c r="S722" t="inlineStr">
        <is>
          <t>PASSIVE</t>
        </is>
      </c>
      <c r="T722" t="inlineStr">
        <is>
          <t>(04/28/2026 hourly IHS): Emmanuel is going to site ETA ASAP.</t>
        </is>
      </c>
      <c r="U722" t="inlineStr">
        <is>
          <t>: Emmanuel is going to site ETA ASAP.</t>
        </is>
      </c>
    </row>
    <row r="723">
      <c r="A723" s="96" t="n">
        <v>46140</v>
      </c>
      <c r="B723" t="inlineStr">
        <is>
          <t>Kambolepi-IHS</t>
        </is>
      </c>
      <c r="C723" t="inlineStr">
        <is>
          <t>EST_028</t>
        </is>
      </c>
      <c r="D723" t="inlineStr"/>
      <c r="E723" t="inlineStr">
        <is>
          <t>IHS</t>
        </is>
      </c>
      <c r="F723" t="inlineStr">
        <is>
          <t>Solar-Gen</t>
        </is>
      </c>
      <c r="G723" t="inlineStr">
        <is>
          <t>EST</t>
        </is>
      </c>
      <c r="H723" t="inlineStr">
        <is>
          <t>Kambolepi</t>
        </is>
      </c>
      <c r="I723" t="inlineStr"/>
      <c r="J723" t="n">
        <v>1.321520209105188</v>
      </c>
      <c r="K723" t="n">
        <v>0.5647315129321921</v>
      </c>
      <c r="L723" t="n">
        <v>0.7260045045932404</v>
      </c>
      <c r="M723" t="n">
        <v>0.7569028887119648</v>
      </c>
      <c r="N723" t="inlineStr"/>
      <c r="O723" t="inlineStr"/>
      <c r="P723" t="inlineStr">
        <is>
          <t>BSS</t>
        </is>
      </c>
      <c r="Q723" t="inlineStr">
        <is>
          <t>RAN ISSUE</t>
        </is>
      </c>
      <c r="R723" t="inlineStr">
        <is>
          <t>BSS Hardware issue</t>
        </is>
      </c>
      <c r="S723" t="inlineStr">
        <is>
          <t>ACTIVE</t>
        </is>
      </c>
      <c r="T723" t="inlineStr">
        <is>
          <t xml:space="preserve">(04/28/2026 cell nokia): 
28/04/2026 : Check breaker and  interconnection AHPMDA (sfp, optical fiber) between system and radio module, swap its if needed || FME Hugues en route presentement pour Yokadouma </t>
        </is>
      </c>
      <c r="U723" t="inlineStr">
        <is>
          <t>04/28/2026 cell nokia) : 28/04/2026 : Check breaker and interconnection AHPMDA (sfp, optical fiber) between system and radio module, swap its if needed || FME Hugues en route presentement pour Yokadouma</t>
        </is>
      </c>
    </row>
    <row r="724">
      <c r="A724" s="96" t="n">
        <v>46140</v>
      </c>
      <c r="B724" t="inlineStr">
        <is>
          <t>Ngousso-IHS</t>
        </is>
      </c>
      <c r="C724" t="inlineStr">
        <is>
          <t>CTR_130</t>
        </is>
      </c>
      <c r="D724" t="inlineStr"/>
      <c r="E724" t="inlineStr">
        <is>
          <t>IHS</t>
        </is>
      </c>
      <c r="F724" t="inlineStr">
        <is>
          <t>Grid-Gen</t>
        </is>
      </c>
      <c r="G724" t="inlineStr">
        <is>
          <t>CENTRE</t>
        </is>
      </c>
      <c r="H724" t="inlineStr">
        <is>
          <t>Yaounde</t>
        </is>
      </c>
      <c r="I724" t="inlineStr"/>
      <c r="J724" t="n">
        <v>0.132639113700946</v>
      </c>
      <c r="K724" t="n">
        <v>0.2182424322789683</v>
      </c>
      <c r="L724" t="n">
        <v>0.9305224496407011</v>
      </c>
      <c r="M724" t="n">
        <v>0.5774641657606422</v>
      </c>
      <c r="N724" t="inlineStr"/>
      <c r="O724" t="inlineStr"/>
      <c r="P724" t="inlineStr">
        <is>
          <t>IHS</t>
        </is>
      </c>
      <c r="Q724" t="inlineStr">
        <is>
          <t>POWER ISSUE</t>
        </is>
      </c>
      <c r="R724" t="inlineStr">
        <is>
          <t>Defaut GE &amp; Power Cabinet</t>
        </is>
      </c>
      <c r="S724" t="inlineStr">
        <is>
          <t>PASSIVE</t>
        </is>
      </c>
      <c r="T724" t="inlineStr">
        <is>
          <t>(04/28/2026 cell zte): 28/04/2026 : Power issue || Mail sent to IHS</t>
        </is>
      </c>
      <c r="U724" t="inlineStr">
        <is>
          <t>04/28/2026 cell zte) : 28/04/2026 : Power issue || Mail sent to IHS</t>
        </is>
      </c>
    </row>
    <row r="725">
      <c r="A725" s="96" t="n">
        <v>46140</v>
      </c>
      <c r="B725" t="inlineStr">
        <is>
          <t>Mbidou-IHS</t>
        </is>
      </c>
      <c r="C725" t="inlineStr">
        <is>
          <t>ADM_079</t>
        </is>
      </c>
      <c r="D725" t="inlineStr"/>
      <c r="E725" t="inlineStr">
        <is>
          <t>IHS</t>
        </is>
      </c>
      <c r="F725" t="inlineStr">
        <is>
          <t>Grid-Gen</t>
        </is>
      </c>
      <c r="G725" t="inlineStr">
        <is>
          <t>ADAMAOUA</t>
        </is>
      </c>
      <c r="H725" t="inlineStr">
        <is>
          <t>Mbidou</t>
        </is>
      </c>
      <c r="I725" t="inlineStr"/>
      <c r="J725" t="n">
        <v>1.573184817492576</v>
      </c>
      <c r="K725" t="n">
        <v>0.8596203113615614</v>
      </c>
      <c r="L725" t="n">
        <v>0.05294390271713346</v>
      </c>
      <c r="M725" t="n">
        <v>0.540844739391015</v>
      </c>
      <c r="N725" t="inlineStr"/>
      <c r="O725" t="inlineStr"/>
      <c r="P725" t="inlineStr">
        <is>
          <t>IHS</t>
        </is>
      </c>
      <c r="Q725" t="inlineStr">
        <is>
          <t>POWER ISSUE</t>
        </is>
      </c>
      <c r="R725" t="inlineStr">
        <is>
          <t>Defaut GE &amp; Power Cabinet</t>
        </is>
      </c>
      <c r="S725" t="inlineStr">
        <is>
          <t>PASSIVE</t>
        </is>
      </c>
      <c r="T725" t="inlineStr">
        <is>
          <t>(04/28/2026 ticket): INC-20260428-00017182…GRID outage, GEN failed to start for an unknown reason // GRID return ( FME will reach site in the morning for further investigation )…GE Fault</t>
        </is>
      </c>
      <c r="U725" t="inlineStr">
        <is>
          <t>: …GRID outage, GEN failed to start for an unknown reason // GRID return ( FME will reach site in the morning for further investigation )…GE Fault</t>
        </is>
      </c>
    </row>
    <row r="726">
      <c r="A726" s="96" t="n">
        <v>46140</v>
      </c>
      <c r="B726" t="inlineStr">
        <is>
          <t>Minisite-Dubai</t>
        </is>
      </c>
      <c r="C726" t="inlineStr">
        <is>
          <t>LIT_662</t>
        </is>
      </c>
      <c r="D726" t="inlineStr"/>
      <c r="E726" t="inlineStr">
        <is>
          <t>CAMUSAT</t>
        </is>
      </c>
      <c r="F726" t="inlineStr">
        <is>
          <t>Good Grid no GE - 8h</t>
        </is>
      </c>
      <c r="G726" t="inlineStr">
        <is>
          <t>LITTORAL</t>
        </is>
      </c>
      <c r="H726" t="inlineStr">
        <is>
          <t>Douala</t>
        </is>
      </c>
      <c r="I726" t="inlineStr"/>
      <c r="J726" t="n">
        <v>0</v>
      </c>
      <c r="K726" t="n">
        <v>0.9241833865445364</v>
      </c>
      <c r="L726" t="n">
        <v>0.3235350769479958</v>
      </c>
      <c r="M726" t="n">
        <v>0.4789788632919846</v>
      </c>
      <c r="N726" t="inlineStr"/>
      <c r="O726" t="inlineStr"/>
      <c r="P726" t="inlineStr">
        <is>
          <t>AKTIVCO GRID ONLY</t>
        </is>
      </c>
      <c r="Q726" t="inlineStr">
        <is>
          <t>POWER ISSUE</t>
        </is>
      </c>
      <c r="R726" t="inlineStr">
        <is>
          <t>AKTIVCO Coupure ENEO &amp; Baisse de tension</t>
        </is>
      </c>
      <c r="S726" t="inlineStr">
        <is>
          <t>PASSIVE</t>
        </is>
      </c>
      <c r="T726" t="inlineStr">
        <is>
          <t>(04/28/2026 ticket): INC-20260428-00015805…2026-04-28 20:39:20…Grid outage and grid only site / Grid return awaited</t>
        </is>
      </c>
      <c r="U726" t="inlineStr">
        <is>
          <t>: …2026-04-28 20 : 39 : 20…Grid outage and grid only site / Grid return awaited</t>
        </is>
      </c>
    </row>
    <row r="727">
      <c r="A727" s="96" t="n">
        <v>46140</v>
      </c>
      <c r="B727" t="inlineStr">
        <is>
          <t>Ngbetnsouen</t>
        </is>
      </c>
      <c r="C727" t="inlineStr">
        <is>
          <t>OST_219</t>
        </is>
      </c>
      <c r="D727" t="inlineStr"/>
      <c r="E727" t="inlineStr">
        <is>
          <t>IHS</t>
        </is>
      </c>
      <c r="F727" t="inlineStr">
        <is>
          <t>Grid-Gen</t>
        </is>
      </c>
      <c r="G727" t="inlineStr">
        <is>
          <t>OUEST</t>
        </is>
      </c>
      <c r="H727" t="inlineStr">
        <is>
          <t>Ngbetnsouen</t>
        </is>
      </c>
      <c r="I727" t="inlineStr"/>
      <c r="J727" t="n">
        <v>1.501869437150542</v>
      </c>
      <c r="K727" t="n">
        <v>0.6739058552723289</v>
      </c>
      <c r="L727" t="n">
        <v>0</v>
      </c>
      <c r="M727" t="n">
        <v>0.4407047852228527</v>
      </c>
      <c r="N727" t="inlineStr"/>
      <c r="O727" t="inlineStr"/>
      <c r="P727" t="inlineStr">
        <is>
          <t>IHS</t>
        </is>
      </c>
      <c r="Q727" t="inlineStr">
        <is>
          <t>POWER ISSUE</t>
        </is>
      </c>
      <c r="R727" t="inlineStr">
        <is>
          <t>Defaut GE &amp; Power Cabinet</t>
        </is>
      </c>
      <c r="S727" t="inlineStr">
        <is>
          <t>PASSIVE</t>
        </is>
      </c>
      <c r="T727" t="inlineStr">
        <is>
          <t>(04/28/2026 ocm ran 14h): Power status check ongoing..;..;(04/28/2026 ticket): INC-20260428-00009994…power issue, gen fail to start.…Others Transmission equipement fault</t>
        </is>
      </c>
      <c r="U727" t="inlineStr">
        <is>
          <t>: ; : …power issue, gen fail to start.…</t>
        </is>
      </c>
    </row>
    <row r="728">
      <c r="A728" s="96" t="n">
        <v>46140</v>
      </c>
      <c r="B728" t="inlineStr">
        <is>
          <t>Messondo</t>
        </is>
      </c>
      <c r="C728" t="inlineStr">
        <is>
          <t>LIT_134</t>
        </is>
      </c>
      <c r="D728" t="inlineStr"/>
      <c r="E728" t="inlineStr">
        <is>
          <t>CAMUSAT</t>
        </is>
      </c>
      <c r="F728" t="inlineStr">
        <is>
          <t>HGB</t>
        </is>
      </c>
      <c r="G728" t="inlineStr">
        <is>
          <t>LITTORAL</t>
        </is>
      </c>
      <c r="H728" t="inlineStr">
        <is>
          <t>Messondo</t>
        </is>
      </c>
      <c r="I728" t="inlineStr"/>
      <c r="J728" t="n">
        <v>1.199622115911098</v>
      </c>
      <c r="K728" t="n">
        <v>0.6157326655582414</v>
      </c>
      <c r="L728" t="n">
        <v>0</v>
      </c>
      <c r="M728" t="n">
        <v>0.3780144849372061</v>
      </c>
      <c r="N728" t="inlineStr"/>
      <c r="O728" t="inlineStr"/>
      <c r="P728" t="inlineStr">
        <is>
          <t>BSS</t>
        </is>
      </c>
      <c r="Q728" t="inlineStr">
        <is>
          <t>RAN ISSUE</t>
        </is>
      </c>
      <c r="R728" t="inlineStr">
        <is>
          <t>BSS Hardware issue</t>
        </is>
      </c>
      <c r="S728" t="inlineStr">
        <is>
          <t>ACTIVE</t>
        </is>
      </c>
      <c r="T728" t="inlineStr">
        <is>
          <t>(04/28/2026 cell nokia): 27/04/2026 : Intervention plan for 29/04/2026 
24/04/2026 : Check and clean FRGU ant 5  || FME charlie activer ||Attende du Work Permis ..;..;(04/28/2026 cell nokia): 27/04/2026 : Intervention plan for 29/04/2026 
24/04/2026 : Check and clean FRGU ant 5  || FME charlie activer ||Attende du Work Permis ..;..;(04/28/2026 ticket): INC-20260428-00018967…Others Transmission equipement fault</t>
        </is>
      </c>
      <c r="U728" t="inlineStr">
        <is>
          <t>04/28/2026 cell nokia) : 27/04/2026 : Intervention plan for 29/04/2026 24/04/2026 : Check and clean FRGU ant 5 || Attende du Work Permis .;.;(04/28/2026 cell nokia) : 27/04/2026 : Intervention plan for 29/04/2026 24/04/2026 : Check and clean FRGU ant 5 || Attende du Work Permis .;.; : …</t>
        </is>
      </c>
    </row>
    <row r="729">
      <c r="A729" s="96" t="n">
        <v>46140</v>
      </c>
      <c r="B729" t="inlineStr">
        <is>
          <t>Boko-Hospital-IHS</t>
        </is>
      </c>
      <c r="C729" t="inlineStr">
        <is>
          <t>LIT_632</t>
        </is>
      </c>
      <c r="D729" t="inlineStr"/>
      <c r="E729" t="inlineStr">
        <is>
          <t>IHS</t>
        </is>
      </c>
      <c r="F729" t="inlineStr">
        <is>
          <t>Grid-Gen</t>
        </is>
      </c>
      <c r="G729" t="inlineStr">
        <is>
          <t>LITTORAL</t>
        </is>
      </c>
      <c r="H729" t="inlineStr">
        <is>
          <t>Douala</t>
        </is>
      </c>
      <c r="I729" t="inlineStr"/>
      <c r="J729" t="n">
        <v>0.1694833119512088</v>
      </c>
      <c r="K729" t="n">
        <v>0.1434407417607648</v>
      </c>
      <c r="L729" t="n">
        <v>0.5568838961886065</v>
      </c>
      <c r="M729" t="n">
        <v>0.3627654929758332</v>
      </c>
      <c r="N729" t="inlineStr"/>
      <c r="O729" t="inlineStr"/>
      <c r="P729" t="inlineStr">
        <is>
          <t>IHS</t>
        </is>
      </c>
      <c r="Q729" t="inlineStr">
        <is>
          <t>POWER ISSUE</t>
        </is>
      </c>
      <c r="R729" t="inlineStr">
        <is>
          <t>Defaut GE &amp; Power Cabinet</t>
        </is>
      </c>
      <c r="S729" t="inlineStr">
        <is>
          <t>PASSIVE</t>
        </is>
      </c>
      <c r="T729" t="inlineStr">
        <is>
          <t>(04/28/2026 hourly IHS): FME manage ETA ASAP</t>
        </is>
      </c>
      <c r="U729" t="inlineStr">
        <is>
          <t>: FME manage ETA ASAP</t>
        </is>
      </c>
    </row>
    <row r="730">
      <c r="A730" s="96" t="n">
        <v>46140</v>
      </c>
      <c r="B730" t="inlineStr">
        <is>
          <t>Widikum</t>
        </is>
      </c>
      <c r="C730" t="inlineStr">
        <is>
          <t>NRO_219</t>
        </is>
      </c>
      <c r="D730" t="inlineStr"/>
      <c r="E730" t="inlineStr">
        <is>
          <t>IHS</t>
        </is>
      </c>
      <c r="F730" t="inlineStr">
        <is>
          <t>Gen Only</t>
        </is>
      </c>
      <c r="G730" t="inlineStr">
        <is>
          <t>NORD-OUEST</t>
        </is>
      </c>
      <c r="H730" t="inlineStr">
        <is>
          <t>Widikum</t>
        </is>
      </c>
      <c r="I730" t="inlineStr"/>
      <c r="J730" t="n">
        <v>1.138922860488631</v>
      </c>
      <c r="K730" t="n">
        <v>0.4972612381039809</v>
      </c>
      <c r="L730" t="n">
        <v>0</v>
      </c>
      <c r="M730" t="n">
        <v>0.3295744122271589</v>
      </c>
      <c r="N730" t="inlineStr"/>
      <c r="O730" t="inlineStr"/>
      <c r="P730" t="inlineStr">
        <is>
          <t>IHS</t>
        </is>
      </c>
      <c r="Q730" t="inlineStr">
        <is>
          <t>POWER ISSUE</t>
        </is>
      </c>
      <c r="R730" t="inlineStr">
        <is>
          <t>Defaut GE &amp; Power Cabinet</t>
        </is>
      </c>
      <c r="S730" t="inlineStr">
        <is>
          <t>PASSIVE</t>
        </is>
      </c>
      <c r="T730" t="inlineStr">
        <is>
          <t>(04/28/2026 hourly IHS): FME is informed and managing with L0.</t>
        </is>
      </c>
      <c r="U730" t="inlineStr">
        <is>
          <t>: FME is informed and managing with L0.</t>
        </is>
      </c>
    </row>
    <row r="731">
      <c r="A731" s="96" t="n">
        <v>46140</v>
      </c>
      <c r="B731" t="inlineStr">
        <is>
          <t>Pangari-MTN</t>
        </is>
      </c>
      <c r="C731" t="inlineStr">
        <is>
          <t>OST_115</t>
        </is>
      </c>
      <c r="D731" t="inlineStr"/>
      <c r="E731" t="inlineStr">
        <is>
          <t>IHS</t>
        </is>
      </c>
      <c r="F731" t="inlineStr">
        <is>
          <t>Solar-Gen</t>
        </is>
      </c>
      <c r="G731" t="inlineStr">
        <is>
          <t>OUEST</t>
        </is>
      </c>
      <c r="H731" t="inlineStr">
        <is>
          <t>Pangari</t>
        </is>
      </c>
      <c r="I731" t="inlineStr"/>
      <c r="J731" t="n">
        <v>1.025517667230196</v>
      </c>
      <c r="K731" t="n">
        <v>0.4452748661291478</v>
      </c>
      <c r="L731" t="n">
        <v>0.02054123308883305</v>
      </c>
      <c r="M731" t="n">
        <v>0.3066397544634274</v>
      </c>
      <c r="N731" t="inlineStr"/>
      <c r="O731" t="inlineStr"/>
      <c r="P731" t="inlineStr">
        <is>
          <t>IHS</t>
        </is>
      </c>
      <c r="Q731" t="inlineStr">
        <is>
          <t>POWER ISSUE</t>
        </is>
      </c>
      <c r="R731" t="inlineStr">
        <is>
          <t>Defaut GE &amp; Power Cabinet</t>
        </is>
      </c>
      <c r="S731" t="inlineStr">
        <is>
          <t>PASSIVE</t>
        </is>
      </c>
      <c r="T731" t="inlineStr">
        <is>
          <t>(04/28/2026 ticket): INC-20260428-00001432…j'ai échangé avec la ressource iEng à 21h, le site a besoin d'être ravitaillé.
soucis de Power. …Others Transmission equipement fault</t>
        </is>
      </c>
      <c r="U731" t="inlineStr">
        <is>
          <t>: …j'ai échangé avec la ressource iEng à 21h, le site a besoin d'être ravitaillé. soucis de Power.</t>
        </is>
      </c>
    </row>
    <row r="732">
      <c r="A732" s="96" t="n">
        <v>46140</v>
      </c>
      <c r="B732" t="inlineStr">
        <is>
          <t>Muyengue-IHS</t>
        </is>
      </c>
      <c r="C732" t="inlineStr">
        <is>
          <t>LIT_175</t>
        </is>
      </c>
      <c r="D732" t="inlineStr"/>
      <c r="E732" t="inlineStr">
        <is>
          <t>IHS</t>
        </is>
      </c>
      <c r="F732" t="inlineStr">
        <is>
          <t>Gen only</t>
        </is>
      </c>
      <c r="G732" t="inlineStr">
        <is>
          <t>LITTORAL</t>
        </is>
      </c>
      <c r="H732" t="inlineStr">
        <is>
          <t>Muyengue</t>
        </is>
      </c>
      <c r="I732" t="inlineStr"/>
      <c r="J732" t="n">
        <v>0</v>
      </c>
      <c r="K732" t="n">
        <v>0.8619726055808862</v>
      </c>
      <c r="L732" t="n">
        <v>0</v>
      </c>
      <c r="M732" t="n">
        <v>0.2893741456997486</v>
      </c>
      <c r="N732" t="inlineStr"/>
      <c r="O732" t="inlineStr"/>
      <c r="P732" t="inlineStr">
        <is>
          <t>IHS</t>
        </is>
      </c>
      <c r="Q732" t="inlineStr">
        <is>
          <t>POWER ISSUE</t>
        </is>
      </c>
      <c r="R732" t="inlineStr">
        <is>
          <t>Defaut GE &amp; Power Cabinet</t>
        </is>
      </c>
      <c r="S732" t="inlineStr">
        <is>
          <t>PASSIVE</t>
        </is>
      </c>
      <c r="T732" t="inlineStr">
        <is>
          <t>(04/28/2026 ticket): INC-20260428-00004154…Power issue managed by third party SBC …Others Transmission equipement fault</t>
        </is>
      </c>
      <c r="U732" t="inlineStr">
        <is>
          <t>: …Power issue managed by third party SBC …</t>
        </is>
      </c>
    </row>
    <row r="733">
      <c r="A733" s="96" t="n">
        <v>46140</v>
      </c>
      <c r="B733" t="inlineStr">
        <is>
          <t>Mora-Technical-School-MTN-IHS</t>
        </is>
      </c>
      <c r="C733" t="inlineStr">
        <is>
          <t>EXN_134</t>
        </is>
      </c>
      <c r="D733" t="inlineStr"/>
      <c r="E733" t="inlineStr">
        <is>
          <t>IHS</t>
        </is>
      </c>
      <c r="F733" t="inlineStr">
        <is>
          <t>Grid-Gen</t>
        </is>
      </c>
      <c r="G733" t="inlineStr">
        <is>
          <t>EXTREME-NORD</t>
        </is>
      </c>
      <c r="H733" t="inlineStr">
        <is>
          <t>Mora</t>
        </is>
      </c>
      <c r="I733" t="inlineStr"/>
      <c r="J733" t="n">
        <v>0.2922556742563217</v>
      </c>
      <c r="K733" t="n">
        <v>0.4749482338300845</v>
      </c>
      <c r="L733" t="n">
        <v>0.1357752912773302</v>
      </c>
      <c r="M733" t="n">
        <v>0.2719849443402876</v>
      </c>
      <c r="N733" t="inlineStr"/>
      <c r="O733" t="inlineStr"/>
      <c r="P733" t="inlineStr">
        <is>
          <t>IHS</t>
        </is>
      </c>
      <c r="Q733" t="inlineStr">
        <is>
          <t>POWER ISSUE</t>
        </is>
      </c>
      <c r="R733" t="inlineStr">
        <is>
          <t>Defaut GE &amp; Power Cabinet</t>
        </is>
      </c>
      <c r="S733" t="inlineStr">
        <is>
          <t>PASSIVE</t>
        </is>
      </c>
      <c r="T733" t="inlineStr">
        <is>
          <t>(04/28/2026 hourly IHS): FME Brice is managing with level 0,Idrissou is informed</t>
        </is>
      </c>
      <c r="U733" t="inlineStr">
        <is>
          <t>: FME Brice is managing with level 0,Idrissou is informed</t>
        </is>
      </c>
    </row>
    <row r="734">
      <c r="A734" s="96" t="n">
        <v>46140</v>
      </c>
      <c r="B734" t="inlineStr">
        <is>
          <t>Bonga</t>
        </is>
      </c>
      <c r="C734" t="inlineStr">
        <is>
          <t>EST_073</t>
        </is>
      </c>
      <c r="D734" t="inlineStr"/>
      <c r="E734" t="inlineStr">
        <is>
          <t>IHS</t>
        </is>
      </c>
      <c r="F734" t="inlineStr">
        <is>
          <t>Hybrid-Gen</t>
        </is>
      </c>
      <c r="G734" t="inlineStr">
        <is>
          <t>EST</t>
        </is>
      </c>
      <c r="H734" t="inlineStr">
        <is>
          <t>Bonga</t>
        </is>
      </c>
      <c r="I734" t="inlineStr"/>
      <c r="J734" t="n">
        <v>0.4292661335123836</v>
      </c>
      <c r="K734" t="n">
        <v>0.2093172305694108</v>
      </c>
      <c r="L734" t="n">
        <v>0.2632399035167783</v>
      </c>
      <c r="M734" t="n">
        <v>0.2688459705564258</v>
      </c>
      <c r="N734" t="inlineStr"/>
      <c r="O734" t="inlineStr"/>
      <c r="P734" t="inlineStr">
        <is>
          <t>IHS</t>
        </is>
      </c>
      <c r="Q734" t="inlineStr">
        <is>
          <t>POWER ISSUE</t>
        </is>
      </c>
      <c r="R734" t="inlineStr">
        <is>
          <t>Defaut GE &amp; Power Cabinet</t>
        </is>
      </c>
      <c r="S734" t="inlineStr">
        <is>
          <t>PASSIVE</t>
        </is>
      </c>
      <c r="T734" t="inlineStr">
        <is>
          <t>(04/28/2026 hourly IHS): Our stephane is managing with level zero</t>
        </is>
      </c>
      <c r="U734" t="inlineStr">
        <is>
          <t>: Our stephane is managing with level zero</t>
        </is>
      </c>
    </row>
    <row r="735">
      <c r="A735" s="96" t="n">
        <v>46140</v>
      </c>
      <c r="B735" t="inlineStr">
        <is>
          <t>Santa-Barbara-Yde-IHS</t>
        </is>
      </c>
      <c r="C735" t="inlineStr">
        <is>
          <t>CTR_163</t>
        </is>
      </c>
      <c r="D735" t="inlineStr"/>
      <c r="E735" t="inlineStr">
        <is>
          <t>IHS</t>
        </is>
      </c>
      <c r="F735" t="inlineStr">
        <is>
          <t>Grid-Gen</t>
        </is>
      </c>
      <c r="G735" t="inlineStr">
        <is>
          <t>CENTRE</t>
        </is>
      </c>
      <c r="H735" t="inlineStr">
        <is>
          <t>Yaounde</t>
        </is>
      </c>
      <c r="I735" t="inlineStr"/>
      <c r="J735" t="n">
        <v>0.1131554020838579</v>
      </c>
      <c r="K735" t="n">
        <v>0.09562716117384218</v>
      </c>
      <c r="L735" t="n">
        <v>0.4030850334999031</v>
      </c>
      <c r="M735" t="n">
        <v>0.2584659549757016</v>
      </c>
      <c r="N735" t="inlineStr"/>
      <c r="O735" t="inlineStr"/>
      <c r="P735" t="inlineStr">
        <is>
          <t>BSS</t>
        </is>
      </c>
      <c r="Q735" t="inlineStr">
        <is>
          <t>RAN ISSUE</t>
        </is>
      </c>
      <c r="R735" t="inlineStr">
        <is>
          <t>BSS Hardware issue</t>
        </is>
      </c>
      <c r="S735" t="inlineStr">
        <is>
          <t>ACTIVE</t>
        </is>
      </c>
      <c r="T735" t="inlineStr">
        <is>
          <t xml:space="preserve">  04/28/2026: hardware issue,  site with GPS issue (alarm : TDD down 09Apr 02pm)</t>
        </is>
      </c>
      <c r="U735" t="inlineStr">
        <is>
          <t>04/28/2026 : hardware issue, site with GPS issue (alarm : TDD down 09Apr 02pm)</t>
        </is>
      </c>
    </row>
    <row r="736">
      <c r="A736" s="96" t="n">
        <v>46140</v>
      </c>
      <c r="B736" t="inlineStr">
        <is>
          <t>Gamoko-Hill-IHS</t>
        </is>
      </c>
      <c r="C736" t="inlineStr">
        <is>
          <t>SUO_097</t>
        </is>
      </c>
      <c r="D736" t="inlineStr"/>
      <c r="E736" t="inlineStr">
        <is>
          <t>IHS</t>
        </is>
      </c>
      <c r="F736" t="inlineStr">
        <is>
          <t>Gen Only</t>
        </is>
      </c>
      <c r="G736" t="inlineStr">
        <is>
          <t>SUD-OUEST</t>
        </is>
      </c>
      <c r="H736" t="inlineStr">
        <is>
          <t>Gamoko</t>
        </is>
      </c>
      <c r="I736" t="inlineStr"/>
      <c r="J736" t="n">
        <v>0.7160264019279882</v>
      </c>
      <c r="K736" t="n">
        <v>0.3123820598345516</v>
      </c>
      <c r="L736" t="n">
        <v>0</v>
      </c>
      <c r="M736" t="n">
        <v>0.2071187644999185</v>
      </c>
      <c r="N736" t="inlineStr"/>
      <c r="O736" t="inlineStr"/>
      <c r="P736" t="inlineStr">
        <is>
          <t>SPARE-ISSUE</t>
        </is>
      </c>
      <c r="Q736" t="inlineStr">
        <is>
          <t>SPARE-ISSUE</t>
        </is>
      </c>
      <c r="R736" t="inlineStr">
        <is>
          <t>SPARE-ISSUE</t>
        </is>
      </c>
      <c r="S736" t="inlineStr">
        <is>
          <t>SPARE-ISSUE</t>
        </is>
      </c>
      <c r="T736" t="inlineStr">
        <is>
          <t xml:space="preserve">(04/28/2026 cell nokia):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..;..;(04/28/2026 cell nokia):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..;..;(04/28/2026 cell nokia):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t>
        </is>
      </c>
      <c r="U736" t="inlineStr">
        <is>
          <t>04/28/2026 cell nokia) :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.;.;(04/28/2026 cell nokia) :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 .;.;(04/28/2026 cell nokia) : 23/04/2026 : Jumpeurs pas encore disponible 21/04/2026 : Feedback : Spare Jumper Not available waiting Update from Huawei team 17/04/2026 : Intervention planed today 16/04/2026 : FME presentement a Bekondo . Il interviendra sur le site Gamokill hill juste apres || FME a fini tard sur Bekondo il interviendra demain sur Gamoko 15/04/2026 : Intervention prevue pour ce jour || Access issue || Negociation access en cours 14/04/2026 : Intervention ce jour || ETA : 12H || Acees isuue || Intervention demain 15042026 13/04/2026 : Check and clean jumper ARGA ant 1 || Ghost town</t>
        </is>
      </c>
    </row>
    <row r="737">
      <c r="A737" s="96" t="n">
        <v>46140</v>
      </c>
      <c r="B737" t="inlineStr">
        <is>
          <t>Bai-Panya-IHS</t>
        </is>
      </c>
      <c r="C737" t="inlineStr">
        <is>
          <t>SUO_093</t>
        </is>
      </c>
      <c r="D737" t="inlineStr"/>
      <c r="E737" t="inlineStr">
        <is>
          <t>IHS</t>
        </is>
      </c>
      <c r="F737" t="inlineStr">
        <is>
          <t>Gen Only</t>
        </is>
      </c>
      <c r="G737" t="inlineStr">
        <is>
          <t>SUD-OUEST</t>
        </is>
      </c>
      <c r="H737" t="inlineStr">
        <is>
          <t>Mbongue</t>
        </is>
      </c>
      <c r="I737" t="inlineStr"/>
      <c r="J737" t="n">
        <v>0</v>
      </c>
      <c r="K737" t="n">
        <v>0.6093575214799855</v>
      </c>
      <c r="L737" t="n">
        <v>0</v>
      </c>
      <c r="M737" t="n">
        <v>0.2045683483005311</v>
      </c>
      <c r="N737" t="inlineStr"/>
      <c r="O737" t="inlineStr"/>
      <c r="P737" t="inlineStr">
        <is>
          <t>IHS</t>
        </is>
      </c>
      <c r="Q737" t="inlineStr">
        <is>
          <t>POWER ISSUE</t>
        </is>
      </c>
      <c r="R737" t="inlineStr">
        <is>
          <t>Defaut GE &amp; Power Cabinet</t>
        </is>
      </c>
      <c r="S737" t="inlineStr">
        <is>
          <t>PASSIVE</t>
        </is>
      </c>
      <c r="T737" t="inlineStr">
        <is>
          <t>(04/28/2026 hourly IHS): Team is on site for works (PM)</t>
        </is>
      </c>
      <c r="U737" t="inlineStr">
        <is>
          <t>: Team is on site for works (PM)</t>
        </is>
      </c>
    </row>
    <row r="738">
      <c r="A738" s="96" t="n">
        <v>46140</v>
      </c>
      <c r="B738" t="inlineStr">
        <is>
          <t>Andek</t>
        </is>
      </c>
      <c r="C738" t="inlineStr">
        <is>
          <t>NRO_218</t>
        </is>
      </c>
      <c r="D738" t="inlineStr"/>
      <c r="E738" t="inlineStr">
        <is>
          <t>IHS</t>
        </is>
      </c>
      <c r="F738" t="inlineStr">
        <is>
          <t>solar + Gen</t>
        </is>
      </c>
      <c r="G738" t="inlineStr">
        <is>
          <t>NORD-OUEST</t>
        </is>
      </c>
      <c r="H738" t="inlineStr">
        <is>
          <t>Andek</t>
        </is>
      </c>
      <c r="I738" t="inlineStr"/>
      <c r="J738" t="n">
        <v>0</v>
      </c>
      <c r="K738" t="n">
        <v>0.5052301682018013</v>
      </c>
      <c r="L738" t="n">
        <v>0</v>
      </c>
      <c r="M738" t="n">
        <v>0.1696115947984351</v>
      </c>
      <c r="N738" t="inlineStr"/>
      <c r="O738" t="inlineStr"/>
      <c r="P738" t="inlineStr">
        <is>
          <t>BSS</t>
        </is>
      </c>
      <c r="Q738" t="inlineStr">
        <is>
          <t>RAN ISSUE</t>
        </is>
      </c>
      <c r="R738" t="inlineStr">
        <is>
          <t>BSS Hardware issue</t>
        </is>
      </c>
      <c r="S738" t="inlineStr">
        <is>
          <t>ACTIVE</t>
        </is>
      </c>
      <c r="T738" t="inlineStr">
        <is>
          <t>(04/28/2026 cell nokia): 28/04/2026 : Escalade faite au RM 
27/04/2026 : Check breaker and  interconnection AREA(sfp, optical fiber) between system and radio module, swap its if needed..;..;(04/28/2026 cell nokia): 28/04/2026 : Check breaker and  interconnection AREA(sfp, optical fiber) between system and radio module, swap its if needed || Feedback RM : Plan on 30.04.2028..;..;(04/28/2026 ticket): INC-20260428-00008460…Others Transmission equipement fault</t>
        </is>
      </c>
      <c r="U738" t="inlineStr">
        <is>
          <t>04/28/2026 cell nokia) : 28/04/2026 : Escalade faite au RM 27/04/2026 : Check breaker and interconnection AREA(sfp, optical fiber) between system and radio module, swap its if needed.;.;(04/28/2026 cell nokia) : 28/04/2026 : Check breaker and interconnection AREA(sfp, optical fiber) between system and radio module, swap its if needed || Feedback RM : Plan on 30.04.2028.;.; : …</t>
        </is>
      </c>
    </row>
    <row r="739">
      <c r="A739" s="96" t="n">
        <v>46140</v>
      </c>
      <c r="B739" t="inlineStr">
        <is>
          <t>Garoua-Djalingo-IHS</t>
        </is>
      </c>
      <c r="C739" t="inlineStr">
        <is>
          <t>NRD_095</t>
        </is>
      </c>
      <c r="D739" t="inlineStr"/>
      <c r="E739" t="inlineStr">
        <is>
          <t>IHS</t>
        </is>
      </c>
      <c r="F739" t="inlineStr">
        <is>
          <t>Grid-Gen</t>
        </is>
      </c>
      <c r="G739" t="inlineStr">
        <is>
          <t>NORD</t>
        </is>
      </c>
      <c r="H739" t="inlineStr">
        <is>
          <t>Garoua</t>
        </is>
      </c>
      <c r="I739" t="inlineStr"/>
      <c r="J739" t="n">
        <v>0.1461278371281609</v>
      </c>
      <c r="K739" t="n">
        <v>0.2295051868172221</v>
      </c>
      <c r="L739" t="n">
        <v>0.1356042896510363</v>
      </c>
      <c r="M739" t="n">
        <v>0.1686306654909783</v>
      </c>
      <c r="N739" t="inlineStr"/>
      <c r="O739" t="inlineStr"/>
      <c r="P739" t="inlineStr">
        <is>
          <t>IHS</t>
        </is>
      </c>
      <c r="Q739" t="inlineStr">
        <is>
          <t>POWER ISSUE</t>
        </is>
      </c>
      <c r="R739" t="inlineStr">
        <is>
          <t>Defaut GE &amp; Power Cabinet</t>
        </is>
      </c>
      <c r="S739" t="inlineStr">
        <is>
          <t>PASSIVE</t>
        </is>
      </c>
      <c r="T739" t="inlineStr">
        <is>
          <t>(04/28/2026 hourly IHS): Armel is informed and managing.</t>
        </is>
      </c>
      <c r="U739" t="inlineStr">
        <is>
          <t>: Armel is informed and managing.</t>
        </is>
      </c>
    </row>
    <row r="740">
      <c r="A740" s="96" t="n">
        <v>46140</v>
      </c>
      <c r="B740" t="inlineStr">
        <is>
          <t>Mandama-IHS</t>
        </is>
      </c>
      <c r="C740" t="inlineStr">
        <is>
          <t>NRD_123</t>
        </is>
      </c>
      <c r="D740" t="inlineStr"/>
      <c r="E740" t="inlineStr">
        <is>
          <t>IHS</t>
        </is>
      </c>
      <c r="F740" t="inlineStr">
        <is>
          <t>Grid-Hybrid-Gen</t>
        </is>
      </c>
      <c r="G740" t="inlineStr">
        <is>
          <t>NORD</t>
        </is>
      </c>
      <c r="H740" t="inlineStr">
        <is>
          <t>Mandama</t>
        </is>
      </c>
      <c r="I740" t="inlineStr"/>
      <c r="J740" t="n">
        <v>0.3942953690714562</v>
      </c>
      <c r="K740" t="n">
        <v>0.1779830721309558</v>
      </c>
      <c r="L740" t="n">
        <v>0</v>
      </c>
      <c r="M740" t="n">
        <v>0.1160563124220693</v>
      </c>
      <c r="N740" t="inlineStr"/>
      <c r="O740" t="inlineStr"/>
      <c r="P740" t="inlineStr">
        <is>
          <t>IHS</t>
        </is>
      </c>
      <c r="Q740" t="inlineStr">
        <is>
          <t>POWER ISSUE</t>
        </is>
      </c>
      <c r="R740" t="inlineStr">
        <is>
          <t>Defaut GE &amp; Power Cabinet</t>
        </is>
      </c>
      <c r="S740" t="inlineStr">
        <is>
          <t>PASSIVE</t>
        </is>
      </c>
      <c r="T740" t="inlineStr">
        <is>
          <t>(04/28/2026 hourly IHS): FME is managing with level 0 franklin is informed informed</t>
        </is>
      </c>
      <c r="U740" t="inlineStr">
        <is>
          <t>: FME is managing with level 0 franklin is informed informed</t>
        </is>
      </c>
    </row>
    <row r="741">
      <c r="A741" s="96" t="n">
        <v>46140</v>
      </c>
      <c r="B741" t="inlineStr">
        <is>
          <t>Benakuma</t>
        </is>
      </c>
      <c r="C741" t="inlineStr">
        <is>
          <t>NRO_233</t>
        </is>
      </c>
      <c r="D741" t="inlineStr"/>
      <c r="E741" t="inlineStr">
        <is>
          <t>IHS</t>
        </is>
      </c>
      <c r="F741" t="inlineStr">
        <is>
          <t>Gen Only</t>
        </is>
      </c>
      <c r="G741" t="inlineStr">
        <is>
          <t>NORD-OUEST</t>
        </is>
      </c>
      <c r="H741" t="inlineStr">
        <is>
          <t>Benakuma</t>
        </is>
      </c>
      <c r="I741" t="inlineStr"/>
      <c r="J741" t="n">
        <v>0.2239377880092243</v>
      </c>
      <c r="K741" t="n">
        <v>0.09589279217710306</v>
      </c>
      <c r="L741" t="n">
        <v>0</v>
      </c>
      <c r="M741" t="n">
        <v>0.06417061178599043</v>
      </c>
      <c r="N741" t="inlineStr"/>
      <c r="O741" t="inlineStr"/>
      <c r="P741" t="inlineStr">
        <is>
          <t>IHS</t>
        </is>
      </c>
      <c r="Q741" t="inlineStr">
        <is>
          <t>POWER ISSUE</t>
        </is>
      </c>
      <c r="R741" t="inlineStr">
        <is>
          <t>Defaut GE &amp; Power Cabinet</t>
        </is>
      </c>
      <c r="S741" t="inlineStr">
        <is>
          <t>PASSIVE</t>
        </is>
      </c>
      <c r="T741" t="inlineStr">
        <is>
          <t>(04/28/2026 hourly IHS): Our FME MOSES is managing with level zero</t>
        </is>
      </c>
      <c r="U741" t="inlineStr">
        <is>
          <t>: Our FME MOSES is managing with level zero</t>
        </is>
      </c>
    </row>
    <row r="742">
      <c r="A742" s="96" t="n">
        <v>46140</v>
      </c>
      <c r="B742" t="inlineStr">
        <is>
          <t>Omeng</t>
        </is>
      </c>
      <c r="C742" t="inlineStr">
        <is>
          <t>LIT_136</t>
        </is>
      </c>
      <c r="D742" t="inlineStr"/>
      <c r="E742" t="inlineStr">
        <is>
          <t>IHS</t>
        </is>
      </c>
      <c r="F742" t="inlineStr">
        <is>
          <t>Grid-Gen</t>
        </is>
      </c>
      <c r="G742" t="inlineStr">
        <is>
          <t>LITTORAL</t>
        </is>
      </c>
      <c r="H742" t="inlineStr">
        <is>
          <t>Omeng</t>
        </is>
      </c>
      <c r="I742" t="inlineStr"/>
      <c r="J742" t="n">
        <v>0.1947122205835921</v>
      </c>
      <c r="K742" t="n">
        <v>0.1014769157522758</v>
      </c>
      <c r="L742" t="n">
        <v>0</v>
      </c>
      <c r="M742" t="n">
        <v>0.06187185815127866</v>
      </c>
      <c r="N742" t="inlineStr"/>
      <c r="O742" t="inlineStr"/>
      <c r="P742" t="inlineStr">
        <is>
          <t>BSS</t>
        </is>
      </c>
      <c r="Q742" t="inlineStr">
        <is>
          <t>RAN ISSUE</t>
        </is>
      </c>
      <c r="R742" t="inlineStr">
        <is>
          <t>BSS Hardware issue</t>
        </is>
      </c>
      <c r="S742" t="inlineStr">
        <is>
          <t>ACTIVE</t>
        </is>
      </c>
      <c r="T742" t="inlineStr">
        <is>
          <t xml:space="preserve">(04/28/2026 cell nokia): 28/04/2026 : Check breaker and  interconnection FRGU(sfp, optical fiber) between system and radio module, swap its if needed || ..;..;(04/28/2026 cell nokia): 28/04/2026 : Check breaker and  interconnection FRGU(sfp, optical fiber) between system and radio module, swap its if needed || </t>
        </is>
      </c>
      <c r="U742" t="inlineStr">
        <is>
          <t>04/28/2026 cell nokia) : 28/04/2026 : Check breaker and interconnection FRGU(sfp, optical fiber) between system and radio module, swap its if needed || .;.;(04/28/2026 cell nokia) : 28/04/2026 : Check breaker and interconnection FRGU(sfp, optical fiber) between system and radio module, swap its if needed ||</t>
        </is>
      </c>
    </row>
    <row r="743">
      <c r="A743" s="96" t="n">
        <v>46140</v>
      </c>
      <c r="B743" t="inlineStr">
        <is>
          <t>Mbonso</t>
        </is>
      </c>
      <c r="C743" t="inlineStr">
        <is>
          <t>NRO_057</t>
        </is>
      </c>
      <c r="D743" t="inlineStr"/>
      <c r="E743" t="inlineStr">
        <is>
          <t>IHS</t>
        </is>
      </c>
      <c r="F743" t="inlineStr">
        <is>
          <t>Gen Only</t>
        </is>
      </c>
      <c r="G743" t="inlineStr">
        <is>
          <t>NORD-OUEST</t>
        </is>
      </c>
      <c r="H743" t="inlineStr">
        <is>
          <t>Mbonso</t>
        </is>
      </c>
      <c r="I743" t="inlineStr"/>
      <c r="J743" t="n">
        <v>0.05895071720042044</v>
      </c>
      <c r="K743" t="n">
        <v>0.03825086446953739</v>
      </c>
      <c r="L743" t="n">
        <v>0</v>
      </c>
      <c r="M743" t="n">
        <v>0.02125941335433605</v>
      </c>
      <c r="N743" t="inlineStr"/>
      <c r="O743" t="inlineStr"/>
      <c r="P743" t="inlineStr">
        <is>
          <t>Fiber AOF</t>
        </is>
      </c>
      <c r="Q743" t="inlineStr">
        <is>
          <t>TX ISSUE</t>
        </is>
      </c>
      <c r="R743" t="inlineStr">
        <is>
          <t>fiber AOF</t>
        </is>
      </c>
      <c r="S743" t="inlineStr">
        <is>
          <t>ACTIVE</t>
        </is>
      </c>
      <c r="T743" t="inlineStr">
        <is>
          <t>(04/28/2026 cell nokia): 
28/04/2026 : Escalade faite au RM 
27/04/2026 : Need BO RAN analysis || Closed after reset but check and replace SFP..;..;(04/28/2026 cell nokia): 
28/04/2026 : Escalade faite au RM || FME donald || Plan for 30//04/2026 
27/04/2026 : Need BO RAN analysis || Closed after reset but check and replace SFP..;..;(04/28/2026 cell nokia): 
28/04/2026 : Escalade faite au RM || FME donald || Plan for 30//04/2026 
27/04/2026 : Need BO RAN analysis || Closed after reset but check and replace SFP</t>
        </is>
      </c>
      <c r="U743" t="inlineStr">
        <is>
          <t>04/28/2026 cell nokia) : 28/04/2026 : Escalade faite au RM 27/04/2026 : Need BO RAN analysis || Closed after reset but check and replace SFP.;.;(04/28/2026 cell nokia) : 28/04/2026 : Escalade faite au RM || FME donald || Plan for 30//04/2026 27/04/2026 : Need BO RAN analysis || Closed after reset but check and replace SFP.;.;(04/28/2026 cell nokia) : 28/04/2026 : Escalade faite au RM || FME donald || Plan for 30//04/2026 27/04/2026 : Need BO RAN analysis || Closed after reset but check and replace SFP</t>
        </is>
      </c>
    </row>
    <row r="744">
      <c r="A744" s="96" t="n">
        <v>46140</v>
      </c>
      <c r="B744" t="inlineStr">
        <is>
          <t>Bonjongo</t>
        </is>
      </c>
      <c r="C744" t="inlineStr">
        <is>
          <t>SUO_131</t>
        </is>
      </c>
      <c r="D744" t="inlineStr"/>
      <c r="E744" t="inlineStr">
        <is>
          <t>IHS</t>
        </is>
      </c>
      <c r="F744" t="inlineStr">
        <is>
          <t>Grid-Gen</t>
        </is>
      </c>
      <c r="G744" t="inlineStr">
        <is>
          <t>SUD-OUEST</t>
        </is>
      </c>
      <c r="H744" t="inlineStr">
        <is>
          <t>Bonjongo</t>
        </is>
      </c>
      <c r="I744" t="inlineStr"/>
      <c r="J744" t="n">
        <v>0.02735213361629678</v>
      </c>
      <c r="K744" t="n">
        <v>0.02071921825433273</v>
      </c>
      <c r="L744" t="n">
        <v>0</v>
      </c>
      <c r="M744" t="n">
        <v>0.01086156269529417</v>
      </c>
      <c r="N744" t="inlineStr"/>
      <c r="O744" t="inlineStr"/>
      <c r="P744" t="inlineStr">
        <is>
          <t>IHS</t>
        </is>
      </c>
      <c r="Q744" t="inlineStr">
        <is>
          <t>POWER ISSUE</t>
        </is>
      </c>
      <c r="R744" t="inlineStr">
        <is>
          <t>Defaut GE &amp; Power Cabinet</t>
        </is>
      </c>
      <c r="S744" t="inlineStr">
        <is>
          <t>PASSIVE</t>
        </is>
      </c>
      <c r="T744" t="inlineStr">
        <is>
          <t>(04/28/2026 cell nokia): 28/04/2026 : Power issue || Mail sent to IHS ..;..;(04/28/2026 cell nokia): 28/04/2026 : Power issue || Mail sent to HIS || Feedback HIS :|| Team on the Way ||..;..;(04/28/2026 cell nokia): 28/04/2026 : Power issue || Mail sent to ihs || Feedback HIS :|| Team on the Way ||Please Track the Site From 12AM 
RCA : rectifier faulty // Rectifier replaced</t>
        </is>
      </c>
      <c r="U744" t="inlineStr">
        <is>
          <t>04/28/2026 cell nokia) : 28/04/2026 : Power issue || Mail sent to IHS .;.;(04/28/2026 cell nokia) : 28/04/2026 : Power issue || Mail sent to HIS || Feedback HIS : || Team on the Way || .;.;(04/28/2026 cell nokia) : 28/04/2026 : Power issue || Mail sent to ihs || Feedback HIS : || Team on the Way || Please Track the Site From 12AM RCA : rectifier faulty // Rectifier replaced</t>
        </is>
      </c>
    </row>
    <row r="745">
      <c r="A745" s="96" t="n">
        <v>46140</v>
      </c>
      <c r="B745" t="inlineStr">
        <is>
          <t>Ngong-Marche</t>
        </is>
      </c>
      <c r="C745" t="inlineStr">
        <is>
          <t>NRD_132</t>
        </is>
      </c>
      <c r="D745" t="inlineStr"/>
      <c r="E745" t="inlineStr">
        <is>
          <t>CAMUSAT</t>
        </is>
      </c>
      <c r="F745" t="inlineStr">
        <is>
          <t>Good Grid + GE</t>
        </is>
      </c>
      <c r="G745" t="inlineStr">
        <is>
          <t>NORD</t>
        </is>
      </c>
      <c r="H745" t="inlineStr">
        <is>
          <t>Ngong</t>
        </is>
      </c>
      <c r="I745" t="inlineStr"/>
      <c r="J745" t="n">
        <v>0</v>
      </c>
      <c r="K745" t="n">
        <v>0</v>
      </c>
      <c r="L745" t="n">
        <v>0.01350912847721547</v>
      </c>
      <c r="M745" t="n">
        <v>0.007044855935371385</v>
      </c>
      <c r="N745" t="inlineStr"/>
      <c r="O745" t="inlineStr"/>
      <c r="P745" t="inlineStr">
        <is>
          <t>Fiber AOF</t>
        </is>
      </c>
      <c r="Q745" t="inlineStr">
        <is>
          <t>TX ISSUE</t>
        </is>
      </c>
      <c r="R745" t="inlineStr">
        <is>
          <t>fiber AOF</t>
        </is>
      </c>
      <c r="S745" t="inlineStr">
        <is>
          <t>ACTIVE</t>
        </is>
      </c>
      <c r="T745" t="inlineStr">
        <is>
          <t>(04/28/2026 cell huawei): 28/04/2026 : ETA 11H || UP after SFP replacement
27/04/2026 :  Check Connectivite entre BBU &amp; RRU/Check FO ou SFP</t>
        </is>
      </c>
      <c r="U745" t="inlineStr">
        <is>
          <t>04/28/2026 cell huawei) : 28/04/2026 : ETA 11H || UP after SFP replacement 27/04/2026 : Check Connectivite entre BBU &amp; RRU/Check FO ou SFP</t>
        </is>
      </c>
    </row>
    <row r="746">
      <c r="A746" s="96" t="n">
        <v>46140</v>
      </c>
      <c r="B746" t="inlineStr">
        <is>
          <t>LAF-CAMTEL</t>
        </is>
      </c>
      <c r="C746" t="inlineStr">
        <is>
          <t>EXN_107</t>
        </is>
      </c>
      <c r="D746" t="inlineStr"/>
      <c r="E746" t="inlineStr">
        <is>
          <t>CAMUSAT</t>
        </is>
      </c>
      <c r="F746" t="inlineStr">
        <is>
          <t>Bad Grid + Solar + GE</t>
        </is>
      </c>
      <c r="G746" t="inlineStr">
        <is>
          <t>EXTREME-NORD</t>
        </is>
      </c>
      <c r="H746" t="inlineStr">
        <is>
          <t>Laf</t>
        </is>
      </c>
      <c r="I746" t="inlineStr"/>
      <c r="J746" t="n">
        <v>0</v>
      </c>
      <c r="K746" t="n">
        <v>0.01673572170783594</v>
      </c>
      <c r="L746" t="n">
        <v>0</v>
      </c>
      <c r="M746" t="n">
        <v>0.005618374807410645</v>
      </c>
      <c r="N746" t="inlineStr"/>
      <c r="O746" t="inlineStr"/>
      <c r="P746" t="inlineStr">
        <is>
          <t>ACCESS-ISSUE</t>
        </is>
      </c>
      <c r="Q746" t="inlineStr">
        <is>
          <t>ACCESS-ISSUE</t>
        </is>
      </c>
      <c r="R746" t="inlineStr">
        <is>
          <t>ACCESS-ISSUE</t>
        </is>
      </c>
      <c r="S746" t="inlineStr">
        <is>
          <t>ACCESS-ISSUE</t>
        </is>
      </c>
      <c r="T746" t="inlineStr">
        <is>
          <t xml:space="preserve">(04/28/2026 cell nokia): 28/04/2026 : Access issue 
27/04/2026 : Access issue || Negociation en cours 
23/04/2026 : Intervention ce jour || Acees issue || Negociation en cours 
22/04/2026 :  Fibre pas recue || ETD: Ce soir || Intervention demain 23/04/2026 
21/04/2026 : Expedition F.O Ce jour de Garoua 
20/04/2026 : Check and clean FRGU ant 1 || FME Eli ACTIVER pour investigation || Investigation en cours avec le level 0 || Investigation non aboutti FME ira sur site demain || ETA: 21042026 ..;..;(04/28/2026 cell nokia): 28/04/2026 : Access issue 
27/04/2026 : Access issue || Negociation en cours 
23/04/2026 : Intervention ce jour || Acees issue || Negociation en cours 
22/04/2026 :  Fibre pas recue || ETD: Ce soir || Intervention demain 23/04/2026 
21/04/2026 : Expedition F.O Ce jour de Garoua 
20/04/2026 : Check and clean FRGU ant 1 || FME Eli ACTIVER pour investigation || Investigation en cours avec le level 0 || Investigation non aboutti FME ira sur site demain || ETA: 21042026 ..;..;(04/28/2026 cell nokia): 28/04/2026 : Access issue 
27/04/2026 : Access issue || Negociation en cours 
23/04/2026 : Intervention ce jour || Acees issue || Negociation en cours 
22/04/2026 :  Fibre pas recue || ETD: Ce soir || Intervention demain 23/04/2026 
21/04/2026 : Expedition F.O Ce jour de Garoua 
20/04/2026 : Check and clean FRGU ant 1 || FME Eli ACTIVER pour investigation || Investigation en cours avec le level 0 || Investigation non aboutti FME ira sur site demain || ETA: 21042026 </t>
        </is>
      </c>
      <c r="U746" t="inlineStr">
        <is>
          <t>04/28/2026 cell nokia) : 28/04/2026 : Access issue 27/04/2026 : Access issue || Negociation en cours 23/04/2026 : Intervention ce jour || Acees issue || Negociation en cours 22/04/2026 : Fibre pas recue || ETD : Ce soir || Intervention demain 23/04/2026 21/04/2026 : Expedition F.O Ce jour de Garoua 20/04/2026 : Check and clean FRGU ant 1 || pour investigation || Investigation en cours avec le level 0 || Investigation non aboutti FME ira sur site demain || ETA : 21042026 .;.;(04/28/2026 cell nokia) : 28/04/2026 : Access issue 27/04/2026 : Access issue || Negociation en cours 23/04/2026 : Intervention ce jour || Acees issue || Negociation en cours 22/04/2026 : Fibre pas recue || ETD : Ce soir || Intervention demain 23/04/2026 21/04/2026 : Expedition F.O Ce jour de Garoua 20/04/2026 : Check and clean FRGU ant 1 || pour investigation || Investigation en cours avec le level 0 || Investigation non aboutti FME ira sur site demain || ETA : 21042026 .;.;(04/28/2026 cell nokia) : 28/04/2026 : Access issue 27/04/2026 : Access issue || Negociation en cours 23/04/2026 : Intervention ce jour || Acees issue || Negociation en cours 22/04/2026 : Fibre pas recue || ETD : Ce soir || Intervention demain 23/04/2026 21/04/2026 : Expedition F.O Ce jour de Garoua 20/04/2026 : Check and clean FRGU ant 1 || pour investigation || Investigation en cours avec le level 0 || Investigation non aboutti FME ira sur site demain || ETA : 21042026</t>
        </is>
      </c>
    </row>
    <row r="747">
      <c r="A747" s="96" t="n">
        <v>46140</v>
      </c>
      <c r="B747" t="inlineStr">
        <is>
          <t>Bariki-IHS</t>
        </is>
      </c>
      <c r="C747" t="inlineStr">
        <is>
          <t>EXN_167</t>
        </is>
      </c>
      <c r="D747" t="inlineStr"/>
      <c r="E747" t="inlineStr">
        <is>
          <t>IHS</t>
        </is>
      </c>
      <c r="F747" t="inlineStr">
        <is>
          <t>Solar-Gen</t>
        </is>
      </c>
      <c r="G747" t="inlineStr">
        <is>
          <t>EXTREME-NORD</t>
        </is>
      </c>
      <c r="H747" t="inlineStr">
        <is>
          <t>Bariki</t>
        </is>
      </c>
      <c r="I747" t="inlineStr"/>
      <c r="J747" t="n">
        <v>0</v>
      </c>
      <c r="K747" t="n">
        <v>0.008235037665760388</v>
      </c>
      <c r="L747" t="n">
        <v>0</v>
      </c>
      <c r="M747" t="n">
        <v>0.00276459712745598</v>
      </c>
      <c r="N747" t="inlineStr"/>
      <c r="O747" t="inlineStr"/>
      <c r="P747" t="inlineStr">
        <is>
          <t>IHS</t>
        </is>
      </c>
      <c r="Q747" t="inlineStr">
        <is>
          <t>POWER ISSUE</t>
        </is>
      </c>
      <c r="R747" t="inlineStr">
        <is>
          <t>Defaut GE &amp; Power Cabinet</t>
        </is>
      </c>
      <c r="S747" t="inlineStr">
        <is>
          <t>PASSIVE</t>
        </is>
      </c>
      <c r="T747" t="inlineStr">
        <is>
          <t>(04/28/2026 hourly IHS): fme ROBERT is managing with level 0</t>
        </is>
      </c>
      <c r="U747" t="inlineStr">
        <is>
          <t>: fme ROBERT is managing with level 0</t>
        </is>
      </c>
    </row>
    <row r="748">
      <c r="A748" s="96" t="n">
        <v>46140</v>
      </c>
      <c r="B748" t="inlineStr">
        <is>
          <t>Foyemtcha</t>
        </is>
      </c>
      <c r="C748" t="inlineStr">
        <is>
          <t>OST_156</t>
        </is>
      </c>
      <c r="D748" t="inlineStr"/>
      <c r="E748" t="inlineStr">
        <is>
          <t>IHS</t>
        </is>
      </c>
      <c r="F748" t="inlineStr">
        <is>
          <t>Grid-Gen</t>
        </is>
      </c>
      <c r="G748" t="inlineStr">
        <is>
          <t>OUEST</t>
        </is>
      </c>
      <c r="H748" t="inlineStr">
        <is>
          <t>Foyemtcha</t>
        </is>
      </c>
      <c r="I748" t="inlineStr"/>
      <c r="J748" t="n">
        <v>0</v>
      </c>
      <c r="K748" t="n">
        <v>0.002921941035867188</v>
      </c>
      <c r="L748" t="n">
        <v>0</v>
      </c>
      <c r="M748" t="n">
        <v>0.0009809293074567</v>
      </c>
      <c r="N748" t="inlineStr"/>
      <c r="O748" t="inlineStr"/>
      <c r="P748" t="inlineStr">
        <is>
          <t>SPARE-ISSUE</t>
        </is>
      </c>
      <c r="Q748" t="inlineStr">
        <is>
          <t>SPARE-ISSUE</t>
        </is>
      </c>
      <c r="R748" t="inlineStr">
        <is>
          <t>Warehouse HUAWEI</t>
        </is>
      </c>
      <c r="S748" t="inlineStr">
        <is>
          <t>SPARE-ISSUE</t>
        </is>
      </c>
      <c r="T748" t="inlineStr">
        <is>
          <t>(04/28/2026 cell nokia): 27/04/2026 : Commande de la FBBC passe || ETA: 29/04/2026 
24/05/2026 : FBBC faulty spare request Ongoing. Planned to be replace on 25.04.2026
23/04/2026 : Access issue 
22/04/2026 : Need BO RAN analysis || Check and replace FBBC if needed..;..;(04/28/2026 cell nokia): 27/04/2026 : Commande de la FBBC passe || ETA: 29/04/2026 
24/05/2026 : FBBC faulty spare request Ongoing. Planned to be replace on 25.04.2026
23/04/2026 : Access issue 
22/04/2026 : Need BO RAN analysis || Check and replace FBBC if needed..;..;(04/28/2026 cell nokia): 27/04/2026 : Commande de la FBBC passe || ETA: 29/04/2026 
24/05/2026 : FBBC faulty spare request Ongoing. Planned to be replace on 25.04.2026
23/04/2026 : Access issue 
22/04/2026 : Need BO RAN analysis || Check and replace FBBC if needed</t>
        </is>
      </c>
      <c r="U748" t="inlineStr">
        <is>
          <t>04/28/2026 cell nokia) : 27/04/2026 : Commande de la FBBC passe || ETA : 29/04/2026 24/05/2026 : FBBC faulty spare request Ongoing. Planned to be replace on 25.04.2026 23/04/2026 : Access issue 22/04/2026 : Need BO RAN analysis || Check and replace FBBC if needed.;.;(04/28/2026 cell nokia) : 27/04/2026 : Commande de la FBBC passe || ETA : 29/04/2026 24/05/2026 : FBBC faulty spare request Ongoing. Planned to be replace on 25.04.2026 23/04/2026 : Access issue 22/04/2026 : Need BO RAN analysis || Check and replace FBBC if needed.;.;(04/28/2026 cell nokia) : 27/04/2026 : Commande de la FBBC passe || ETA : 29/04/2026 24/05/2026 : FBBC faulty spare request Ongoing. Planned to be replace on 25.04.2026 23/04/2026 : Access issue 22/04/2026 : Need BO RAN analysis || Check and replace FBBC if needed</t>
        </is>
      </c>
    </row>
    <row r="749">
      <c r="A749" s="96" t="n">
        <v>46140</v>
      </c>
      <c r="B749" t="inlineStr">
        <is>
          <t>Nkololoun</t>
        </is>
      </c>
      <c r="C749" t="inlineStr">
        <is>
          <t>LIT_183</t>
        </is>
      </c>
      <c r="D749" t="inlineStr"/>
      <c r="E749" t="inlineStr">
        <is>
          <t>IHS</t>
        </is>
      </c>
      <c r="F749" t="inlineStr">
        <is>
          <t>GridOnly</t>
        </is>
      </c>
      <c r="G749" t="inlineStr">
        <is>
          <t>LITTORAL</t>
        </is>
      </c>
      <c r="H749" t="inlineStr">
        <is>
          <t>Douala</t>
        </is>
      </c>
      <c r="I749" t="inlineStr"/>
      <c r="J749" t="n">
        <v>0</v>
      </c>
      <c r="K749" t="n">
        <v>0</v>
      </c>
      <c r="L749" t="n">
        <v>0</v>
      </c>
      <c r="M749" t="n">
        <v>0</v>
      </c>
      <c r="N749" t="inlineStr"/>
      <c r="O749" t="inlineStr"/>
      <c r="P749" t="inlineStr">
        <is>
          <t>IHS GRID ONLY</t>
        </is>
      </c>
      <c r="Q749" t="inlineStr">
        <is>
          <t>POWER ISSUE</t>
        </is>
      </c>
      <c r="R749" t="inlineStr">
        <is>
          <t>Coupure ENEO &amp; Baisse de tension</t>
        </is>
      </c>
      <c r="S749" t="inlineStr">
        <is>
          <t>PASSIVE</t>
        </is>
      </c>
      <c r="T749" t="inlineStr">
        <is>
          <t>(04/28/2026 hourly IHS): Grid outage, No space to deploy MDG // awaiting grid return Abdul is informed</t>
        </is>
      </c>
      <c r="U749" t="inlineStr">
        <is>
          <t>: Grid outage, No space to deploy MDG // awaiting grid return Abdul is informed</t>
        </is>
      </c>
    </row>
    <row r="750">
      <c r="A750" s="96" t="n">
        <v>46140</v>
      </c>
      <c r="B750" t="inlineStr">
        <is>
          <t>Newb-Ancien-Etage-New</t>
        </is>
      </c>
      <c r="C750" t="inlineStr">
        <is>
          <t>LIT_528</t>
        </is>
      </c>
      <c r="D750" t="inlineStr"/>
      <c r="E750" t="inlineStr">
        <is>
          <t>IHS</t>
        </is>
      </c>
      <c r="F750" t="inlineStr">
        <is>
          <t>GridOnly</t>
        </is>
      </c>
      <c r="G750" t="inlineStr">
        <is>
          <t>LITTORAL</t>
        </is>
      </c>
      <c r="H750" t="inlineStr">
        <is>
          <t>Douala</t>
        </is>
      </c>
      <c r="I750" t="inlineStr"/>
      <c r="J750" t="n">
        <v>0</v>
      </c>
      <c r="K750" t="n">
        <v>0</v>
      </c>
      <c r="L750" t="n">
        <v>0</v>
      </c>
      <c r="M750" t="n">
        <v>0</v>
      </c>
      <c r="N750" t="inlineStr"/>
      <c r="O750" t="inlineStr"/>
      <c r="P750" t="inlineStr">
        <is>
          <t>IHS GRID ONLY</t>
        </is>
      </c>
      <c r="Q750" t="inlineStr">
        <is>
          <t>POWER ISSUE</t>
        </is>
      </c>
      <c r="R750" t="inlineStr">
        <is>
          <t>Coupure ENEO &amp; Baisse de tension</t>
        </is>
      </c>
      <c r="S750" t="inlineStr">
        <is>
          <t>PASSIVE</t>
        </is>
      </c>
      <c r="T750" t="inlineStr">
        <is>
          <t>(04/28/2026 hourly IHS): Grid outage, No space to deploy MDG // awaiting grid return Abdul is informed</t>
        </is>
      </c>
      <c r="U750" t="inlineStr">
        <is>
          <t>: Grid outage, No space to deploy MDG // awaiting grid return Abdul is informed</t>
        </is>
      </c>
    </row>
    <row r="751">
      <c r="A751" s="96" t="n">
        <v>46140</v>
      </c>
      <c r="B751" t="inlineStr">
        <is>
          <t>Cinema-ABC</t>
        </is>
      </c>
      <c r="C751" t="inlineStr">
        <is>
          <t>LIT_061</t>
        </is>
      </c>
      <c r="D751" t="inlineStr"/>
      <c r="E751" t="inlineStr">
        <is>
          <t>IHS</t>
        </is>
      </c>
      <c r="F751" t="inlineStr">
        <is>
          <t>Grid-Lithium</t>
        </is>
      </c>
      <c r="G751" t="inlineStr">
        <is>
          <t>LITTORAL</t>
        </is>
      </c>
      <c r="H751" t="inlineStr">
        <is>
          <t>Douala</t>
        </is>
      </c>
      <c r="I751" t="inlineStr"/>
      <c r="J751" t="n">
        <v>0</v>
      </c>
      <c r="K751" t="n">
        <v>0</v>
      </c>
      <c r="L751" t="n">
        <v>0</v>
      </c>
      <c r="M751" t="n">
        <v>0</v>
      </c>
      <c r="N751" t="inlineStr"/>
      <c r="O751" t="inlineStr"/>
      <c r="P751" t="inlineStr">
        <is>
          <t>IHS</t>
        </is>
      </c>
      <c r="Q751" t="inlineStr">
        <is>
          <t>POWER ISSUE</t>
        </is>
      </c>
      <c r="R751" t="inlineStr">
        <is>
          <t>Defaut GE &amp; Power Cabinet</t>
        </is>
      </c>
      <c r="S751" t="inlineStr">
        <is>
          <t>PASSIVE</t>
        </is>
      </c>
      <c r="T751" t="inlineStr">
        <is>
          <t>(04/28/2026 hourly IHS): Grid outage, No space to deploy MDG // awaiting grid return Abdul is informed</t>
        </is>
      </c>
      <c r="U751" t="inlineStr">
        <is>
          <t>: Grid outage, No space to deploy MDG // awaiting grid return Abdul is informed</t>
        </is>
      </c>
    </row>
    <row r="752">
      <c r="A752" s="96" t="n">
        <v>46140</v>
      </c>
      <c r="B752" t="inlineStr">
        <is>
          <t>Babylone-IHS</t>
        </is>
      </c>
      <c r="C752" t="inlineStr">
        <is>
          <t>LIT_153</t>
        </is>
      </c>
      <c r="D752" t="inlineStr"/>
      <c r="E752" t="inlineStr">
        <is>
          <t>IHS</t>
        </is>
      </c>
      <c r="F752" t="inlineStr">
        <is>
          <t>Grid-Gen</t>
        </is>
      </c>
      <c r="G752" t="inlineStr">
        <is>
          <t>LITTORAL</t>
        </is>
      </c>
      <c r="H752" t="inlineStr">
        <is>
          <t>Douala</t>
        </is>
      </c>
      <c r="I752" t="inlineStr"/>
      <c r="J752" t="n">
        <v>0</v>
      </c>
      <c r="K752" t="n">
        <v>0</v>
      </c>
      <c r="L752" t="n">
        <v>0</v>
      </c>
      <c r="M752" t="n">
        <v>0</v>
      </c>
      <c r="N752" t="inlineStr"/>
      <c r="O752" t="inlineStr"/>
      <c r="P752" t="inlineStr">
        <is>
          <t>IHS</t>
        </is>
      </c>
      <c r="Q752" t="inlineStr">
        <is>
          <t>POWER ISSUE</t>
        </is>
      </c>
      <c r="R752" t="inlineStr">
        <is>
          <t>Defaut GE &amp; Power Cabinet</t>
        </is>
      </c>
      <c r="S752" t="inlineStr">
        <is>
          <t>PASSIVE</t>
        </is>
      </c>
      <c r="T752" t="inlineStr">
        <is>
          <t>(04/28/2026 hourly IHS): Bodouin is on the site and reported ATS issue</t>
        </is>
      </c>
      <c r="U752" t="inlineStr">
        <is>
          <t>: Bodouin is on the site and reported ATS issue</t>
        </is>
      </c>
    </row>
    <row r="753">
      <c r="A753" s="96" t="n">
        <v>46140</v>
      </c>
      <c r="B753" t="inlineStr">
        <is>
          <t>Bastos-Bethesda</t>
        </is>
      </c>
      <c r="C753" t="inlineStr">
        <is>
          <t>CTR_474</t>
        </is>
      </c>
      <c r="D753" t="inlineStr"/>
      <c r="E753" t="inlineStr">
        <is>
          <t>IHS</t>
        </is>
      </c>
      <c r="F753" t="inlineStr">
        <is>
          <t>Grid-Gen</t>
        </is>
      </c>
      <c r="G753" t="inlineStr">
        <is>
          <t>CENTRE</t>
        </is>
      </c>
      <c r="H753" t="inlineStr">
        <is>
          <t>Yaounde</t>
        </is>
      </c>
      <c r="I753" t="inlineStr"/>
      <c r="J753" t="n">
        <v>0</v>
      </c>
      <c r="K753" t="n">
        <v>0</v>
      </c>
      <c r="L753" t="n">
        <v>0</v>
      </c>
      <c r="M753" t="n">
        <v>0</v>
      </c>
      <c r="N753" t="inlineStr"/>
      <c r="O753" t="inlineStr"/>
      <c r="P753" t="inlineStr">
        <is>
          <t>IHS</t>
        </is>
      </c>
      <c r="Q753" t="inlineStr">
        <is>
          <t>POWER ISSUE</t>
        </is>
      </c>
      <c r="R753" t="inlineStr">
        <is>
          <t>Defaut GE &amp; Power Cabinet</t>
        </is>
      </c>
      <c r="S753" t="inlineStr">
        <is>
          <t>PASSIVE</t>
        </is>
      </c>
      <c r="T753" t="inlineStr">
        <is>
          <t>(04/28/2026 hourly IHS): FME is on the way ETA 09:15 AM</t>
        </is>
      </c>
      <c r="U753" t="inlineStr">
        <is>
          <t>: FME is on the way ETA 09 : 15 AM</t>
        </is>
      </c>
    </row>
    <row r="754">
      <c r="A754" s="96" t="n">
        <v>46140</v>
      </c>
      <c r="B754" t="inlineStr">
        <is>
          <t>Kumba-CCAS-IHS</t>
        </is>
      </c>
      <c r="C754" t="inlineStr">
        <is>
          <t>SUO_109</t>
        </is>
      </c>
      <c r="D754" t="inlineStr"/>
      <c r="E754" t="inlineStr">
        <is>
          <t>IHS</t>
        </is>
      </c>
      <c r="F754" t="inlineStr">
        <is>
          <t>Grid-Gen</t>
        </is>
      </c>
      <c r="G754" t="inlineStr">
        <is>
          <t>SUD-OUEST</t>
        </is>
      </c>
      <c r="H754" t="inlineStr">
        <is>
          <t>Kumba</t>
        </is>
      </c>
      <c r="I754" t="inlineStr"/>
      <c r="J754" t="n">
        <v>0</v>
      </c>
      <c r="K754" t="n">
        <v>0</v>
      </c>
      <c r="L754" t="n">
        <v>0</v>
      </c>
      <c r="M754" t="n">
        <v>0</v>
      </c>
      <c r="N754" t="inlineStr"/>
      <c r="O754" t="inlineStr"/>
      <c r="P754" t="inlineStr">
        <is>
          <t>IHS</t>
        </is>
      </c>
      <c r="Q754" t="inlineStr">
        <is>
          <t>POWER ISSUE</t>
        </is>
      </c>
      <c r="R754" t="inlineStr">
        <is>
          <t>Defaut GE &amp; Power Cabinet</t>
        </is>
      </c>
      <c r="S754" t="inlineStr">
        <is>
          <t>PASSIVE</t>
        </is>
      </c>
      <c r="T754" t="inlineStr">
        <is>
          <t>(04/28/2026 hourly IHS): FME is informed and managing</t>
        </is>
      </c>
      <c r="U754" t="inlineStr">
        <is>
          <t>: FME is informed and managing</t>
        </is>
      </c>
    </row>
    <row r="755">
      <c r="A755" s="96" t="n">
        <v>46140</v>
      </c>
      <c r="B755" t="inlineStr">
        <is>
          <t>Kye-Ossi-MTN-IHS</t>
        </is>
      </c>
      <c r="C755" t="inlineStr">
        <is>
          <t>SUD_026</t>
        </is>
      </c>
      <c r="D755" t="inlineStr"/>
      <c r="E755" t="inlineStr">
        <is>
          <t>IHS</t>
        </is>
      </c>
      <c r="F755" t="inlineStr">
        <is>
          <t>Grid-Gen-Lithium</t>
        </is>
      </c>
      <c r="G755" t="inlineStr">
        <is>
          <t>SUD</t>
        </is>
      </c>
      <c r="H755" t="inlineStr">
        <is>
          <t>Kye-Ossi</t>
        </is>
      </c>
      <c r="I755" t="inlineStr"/>
      <c r="J755" t="n">
        <v>0</v>
      </c>
      <c r="K755" t="n">
        <v>0</v>
      </c>
      <c r="L755" t="n">
        <v>0</v>
      </c>
      <c r="M755" t="n">
        <v>0</v>
      </c>
      <c r="N755" t="inlineStr"/>
      <c r="O755" t="inlineStr"/>
      <c r="P755" t="inlineStr">
        <is>
          <t>IHS</t>
        </is>
      </c>
      <c r="Q755" t="inlineStr">
        <is>
          <t>POWER ISSUE</t>
        </is>
      </c>
      <c r="R755" t="inlineStr">
        <is>
          <t>Defaut GE &amp; Power Cabinet</t>
        </is>
      </c>
      <c r="S755" t="inlineStr">
        <is>
          <t>PASSIVE</t>
        </is>
      </c>
      <c r="T755" t="inlineStr">
        <is>
          <t>(04/28/2026 hourly IHS): Jean Paul is informed and manage with level zero, ETA 05:20 AM</t>
        </is>
      </c>
      <c r="U755" t="inlineStr">
        <is>
          <t>: Jean Paul is informed and manage with level zero, ETA 05 : 20 AM</t>
        </is>
      </c>
    </row>
    <row r="756">
      <c r="A756" s="96" t="n">
        <v>46140</v>
      </c>
      <c r="B756" t="inlineStr">
        <is>
          <t>Djottin</t>
        </is>
      </c>
      <c r="C756" t="inlineStr">
        <is>
          <t>NRO_098</t>
        </is>
      </c>
      <c r="D756" t="inlineStr"/>
      <c r="E756" t="inlineStr">
        <is>
          <t>IHS</t>
        </is>
      </c>
      <c r="F756" t="inlineStr">
        <is>
          <t>Gen Only</t>
        </is>
      </c>
      <c r="G756" t="inlineStr">
        <is>
          <t>NORD-OUEST</t>
        </is>
      </c>
      <c r="H756" t="inlineStr">
        <is>
          <t>Djottin</t>
        </is>
      </c>
      <c r="I756" t="inlineStr"/>
      <c r="J756" t="n">
        <v>0</v>
      </c>
      <c r="K756" t="n">
        <v>0</v>
      </c>
      <c r="L756" t="n">
        <v>0</v>
      </c>
      <c r="M756" t="n">
        <v>0</v>
      </c>
      <c r="N756" t="inlineStr"/>
      <c r="O756" t="inlineStr"/>
      <c r="P756" t="inlineStr">
        <is>
          <t>BSS</t>
        </is>
      </c>
      <c r="Q756" t="inlineStr">
        <is>
          <t>RAN ISSUE</t>
        </is>
      </c>
      <c r="R756" t="inlineStr">
        <is>
          <t>BSS Hardware issue</t>
        </is>
      </c>
      <c r="S756" t="inlineStr">
        <is>
          <t>ACTIVE</t>
        </is>
      </c>
      <c r="T756" t="inlineStr">
        <is>
          <t>(04/28/2026 hourly IHS): FME is informed and managing..;..;(04/28/2026 cell nokia): 28/04/2026 : Escalade faite au RM 
23/04/2026 : Check breaker and  interconnection AREA(sfp, optical fiber) between system and radio module, swap its if needed|| ETA : 24/04/2026 || UP After remote reset..;..;(04/28/2026 cell nokia): 28/04/2026 : Escalade faite au RM || Plan for 30/04/2026  || FME donald 
23/04/2026 : Check breaker and  interconnection AREA(sfp, optical fiber) between system and radio module, swap its if needed|| ETA : 24/04/2026 || UP After remote reset..;..;(04/28/2026 cell nokia): 28/04/2026 : Escalade faite au RM || Plan for 30/04/2026  || FME donald || Feedback RM : Road blocked No traffic if we can Go as planned on 30.04.2027
23/04/2026 : Check breaker and  interconnection AREA(sfp, optical fiber) between system and radio module, swap its if needed|| ETA : 24/04/2026 || UP After remote reset</t>
        </is>
      </c>
      <c r="U756" t="inlineStr">
        <is>
          <t>: FME is informed and managing.;.;(04/28/2026 cell nokia) : 28/04/2026 : Escalade faite au RM 23/04/2026 : Check breaker and interconnection AREA(sfp, optical fiber) between system and radio module, swap its if needed || ETA : 24/04/2026 || UP After remote reset.;.;(04/28/2026 cell nokia) : 28/04/2026 : Escalade faite au RM || Plan for 30/04/2026 || FME donald 23/04/2026 : Check breaker and interconnection AREA(sfp, optical fiber) between system and radio module, swap its if needed || ETA : 24/04/2026 || UP After remote reset.;.;(04/28/2026 cell nokia) : 28/04/2026 : Escalade faite au RM || Plan for 30/04/2026 || FME donald || Feedback RM : Road blocked No traffic if we can Go as planned on 30.04.2027 23/04/2026 : Check breaker and interconnection AREA(sfp, optical fiber) between system and radio module, swap its if needed || ETA : 24/04/2026 || UP After remote reset</t>
        </is>
      </c>
    </row>
    <row r="757">
      <c r="A757" s="96" t="n">
        <v>46140</v>
      </c>
      <c r="B757" t="inlineStr">
        <is>
          <t>Masque</t>
        </is>
      </c>
      <c r="C757" t="inlineStr">
        <is>
          <t>CTR_020</t>
        </is>
      </c>
      <c r="D757" t="inlineStr"/>
      <c r="E757" t="inlineStr">
        <is>
          <t>IHS</t>
        </is>
      </c>
      <c r="F757" t="inlineStr">
        <is>
          <t>Grid-Gen</t>
        </is>
      </c>
      <c r="G757" t="inlineStr">
        <is>
          <t>CENTRE</t>
        </is>
      </c>
      <c r="H757" t="inlineStr">
        <is>
          <t>Yaounde</t>
        </is>
      </c>
      <c r="I757" t="inlineStr"/>
      <c r="J757" t="n">
        <v>0</v>
      </c>
      <c r="K757" t="n">
        <v>0</v>
      </c>
      <c r="L757" t="n">
        <v>0</v>
      </c>
      <c r="M757" t="n">
        <v>0</v>
      </c>
      <c r="N757" t="inlineStr"/>
      <c r="O757" t="inlineStr"/>
      <c r="P757" t="inlineStr">
        <is>
          <t>BSS</t>
        </is>
      </c>
      <c r="Q757" t="inlineStr">
        <is>
          <t>RAN ISSUE</t>
        </is>
      </c>
      <c r="R757" t="inlineStr">
        <is>
          <t>BSS Hardware issue</t>
        </is>
      </c>
      <c r="S757" t="inlineStr">
        <is>
          <t>ACTIVE</t>
        </is>
      </c>
      <c r="T757" t="inlineStr">
        <is>
          <t xml:space="preserve">  04/28/2026: hardware issue,  site with GPS issue (alarm : TDD down 09Apr 02pm)</t>
        </is>
      </c>
      <c r="U757" t="inlineStr">
        <is>
          <t>04/28/2026 : hardware issue, site with GPS issue (alarm : TDD down 09Apr 02pm)</t>
        </is>
      </c>
    </row>
    <row r="758">
      <c r="A758" s="96" t="n">
        <v>46140</v>
      </c>
      <c r="B758" t="inlineStr">
        <is>
          <t>Ngd-Stade</t>
        </is>
      </c>
      <c r="C758" t="inlineStr">
        <is>
          <t>ADM_057</t>
        </is>
      </c>
      <c r="D758" t="inlineStr"/>
      <c r="E758" t="inlineStr">
        <is>
          <t>IHS</t>
        </is>
      </c>
      <c r="F758" t="inlineStr">
        <is>
          <t>Grid-Gen</t>
        </is>
      </c>
      <c r="G758" t="inlineStr">
        <is>
          <t>ADAMAOUA</t>
        </is>
      </c>
      <c r="H758" t="inlineStr">
        <is>
          <t>Ngaoundere</t>
        </is>
      </c>
      <c r="I758" t="inlineStr"/>
      <c r="J758" t="n">
        <v>0</v>
      </c>
      <c r="K758" t="n">
        <v>0</v>
      </c>
      <c r="L758" t="n">
        <v>0</v>
      </c>
      <c r="M758" t="n">
        <v>0</v>
      </c>
      <c r="N758" t="inlineStr"/>
      <c r="O758" t="inlineStr"/>
      <c r="P758" t="inlineStr">
        <is>
          <t>IHS</t>
        </is>
      </c>
      <c r="Q758" t="inlineStr">
        <is>
          <t>POWER ISSUE</t>
        </is>
      </c>
      <c r="R758" t="inlineStr">
        <is>
          <t>Defaut GE &amp; Power Cabinet</t>
        </is>
      </c>
      <c r="S758" t="inlineStr">
        <is>
          <t>PASSIVE</t>
        </is>
      </c>
      <c r="T758" t="inlineStr">
        <is>
          <t>(04/28/2026 hourly IHS): Fme is informed and managing</t>
        </is>
      </c>
      <c r="U758" t="inlineStr">
        <is>
          <t>: Fme is informed and managing</t>
        </is>
      </c>
    </row>
    <row r="759">
      <c r="A759" s="96" t="n">
        <v>46140</v>
      </c>
      <c r="B759" t="inlineStr">
        <is>
          <t>Garoua-Kolbives</t>
        </is>
      </c>
      <c r="C759" t="inlineStr">
        <is>
          <t>NRD_049</t>
        </is>
      </c>
      <c r="D759" t="inlineStr"/>
      <c r="E759" t="inlineStr">
        <is>
          <t>IHS</t>
        </is>
      </c>
      <c r="F759" t="inlineStr">
        <is>
          <t>Grid-Gen</t>
        </is>
      </c>
      <c r="G759" t="inlineStr">
        <is>
          <t>NORD</t>
        </is>
      </c>
      <c r="H759" t="inlineStr">
        <is>
          <t>Garoua</t>
        </is>
      </c>
      <c r="I759" t="inlineStr"/>
      <c r="J759" t="n">
        <v>0</v>
      </c>
      <c r="K759" t="n">
        <v>0</v>
      </c>
      <c r="L759" t="n">
        <v>0</v>
      </c>
      <c r="M759" t="n">
        <v>0</v>
      </c>
      <c r="N759" t="inlineStr"/>
      <c r="O759" t="inlineStr"/>
      <c r="P759" t="inlineStr">
        <is>
          <t>IHS</t>
        </is>
      </c>
      <c r="Q759" t="inlineStr">
        <is>
          <t>POWER ISSUE</t>
        </is>
      </c>
      <c r="R759" t="inlineStr">
        <is>
          <t>Defaut GE &amp; Power Cabinet</t>
        </is>
      </c>
      <c r="S759" t="inlineStr">
        <is>
          <t>PASSIVE</t>
        </is>
      </c>
      <c r="T759" t="inlineStr">
        <is>
          <t>(04/28/2026 hourly IHS): Armel is going to site ETA ASAP.</t>
        </is>
      </c>
      <c r="U759" t="inlineStr">
        <is>
          <t>: Armel is going to site ETA ASAP.</t>
        </is>
      </c>
    </row>
    <row r="760">
      <c r="A760" s="96" t="n">
        <v>46140</v>
      </c>
      <c r="B760" t="inlineStr">
        <is>
          <t>Maroua-Lougol</t>
        </is>
      </c>
      <c r="C760" t="inlineStr">
        <is>
          <t>EXN_084</t>
        </is>
      </c>
      <c r="D760" t="inlineStr"/>
      <c r="E760" t="inlineStr">
        <is>
          <t>IHS</t>
        </is>
      </c>
      <c r="F760" t="inlineStr">
        <is>
          <t>Grid-Gen</t>
        </is>
      </c>
      <c r="G760" t="inlineStr">
        <is>
          <t>EXTREME-NORD</t>
        </is>
      </c>
      <c r="H760" t="inlineStr">
        <is>
          <t>Maroua</t>
        </is>
      </c>
      <c r="I760" t="inlineStr"/>
      <c r="J760" t="n">
        <v>0</v>
      </c>
      <c r="K760" t="n">
        <v>0</v>
      </c>
      <c r="L760" t="n">
        <v>0</v>
      </c>
      <c r="M760" t="n">
        <v>0</v>
      </c>
      <c r="N760" t="inlineStr"/>
      <c r="O760" t="inlineStr"/>
      <c r="P760" t="inlineStr">
        <is>
          <t>IHS</t>
        </is>
      </c>
      <c r="Q760" t="inlineStr">
        <is>
          <t>POWER ISSUE</t>
        </is>
      </c>
      <c r="R760" t="inlineStr">
        <is>
          <t>Defaut GE &amp; Power Cabinet</t>
        </is>
      </c>
      <c r="S760" t="inlineStr">
        <is>
          <t>PASSIVE</t>
        </is>
      </c>
      <c r="T760" t="inlineStr">
        <is>
          <t>(04/28/2026 hourly IHS): Emmanuel is going to site ETA 10:30.</t>
        </is>
      </c>
      <c r="U760" t="inlineStr">
        <is>
          <t>: Emmanuel is going to site ETA 10 : 30.</t>
        </is>
      </c>
    </row>
    <row r="761">
      <c r="A761" s="96" t="n">
        <v>46140</v>
      </c>
      <c r="B761" t="inlineStr">
        <is>
          <t>Garoua-Foulbere</t>
        </is>
      </c>
      <c r="C761" t="inlineStr">
        <is>
          <t>NRD_045</t>
        </is>
      </c>
      <c r="D761" t="inlineStr"/>
      <c r="E761" t="inlineStr">
        <is>
          <t>IHS</t>
        </is>
      </c>
      <c r="F761" t="inlineStr">
        <is>
          <t>Grid-Gen</t>
        </is>
      </c>
      <c r="G761" t="inlineStr">
        <is>
          <t>NORD</t>
        </is>
      </c>
      <c r="H761" t="inlineStr">
        <is>
          <t>Garoua</t>
        </is>
      </c>
      <c r="I761" t="inlineStr"/>
      <c r="J761" t="n">
        <v>0</v>
      </c>
      <c r="K761" t="n">
        <v>0</v>
      </c>
      <c r="L761" t="n">
        <v>0</v>
      </c>
      <c r="M761" t="n">
        <v>0</v>
      </c>
      <c r="N761" t="inlineStr"/>
      <c r="O761" t="inlineStr"/>
      <c r="P761" t="inlineStr">
        <is>
          <t>IHS</t>
        </is>
      </c>
      <c r="Q761" t="inlineStr">
        <is>
          <t>POWER ISSUE</t>
        </is>
      </c>
      <c r="R761" t="inlineStr">
        <is>
          <t>Defaut GE &amp; Power Cabinet</t>
        </is>
      </c>
      <c r="S761" t="inlineStr">
        <is>
          <t>PASSIVE</t>
        </is>
      </c>
      <c r="T761" t="inlineStr">
        <is>
          <t>(04/28/2026 hourly IHS): Armel is going to site ETA 12:20</t>
        </is>
      </c>
      <c r="U761" t="inlineStr">
        <is>
          <t>: Armel is going to site ETA 12 : 20</t>
        </is>
      </c>
    </row>
    <row r="762">
      <c r="A762" s="96" t="n">
        <v>46140</v>
      </c>
      <c r="B762" t="inlineStr">
        <is>
          <t>Nkolmekong-YDE-HIS</t>
        </is>
      </c>
      <c r="C762" t="inlineStr">
        <is>
          <t>CTR_523</t>
        </is>
      </c>
      <c r="D762" t="inlineStr"/>
      <c r="E762" t="inlineStr">
        <is>
          <t>IHS</t>
        </is>
      </c>
      <c r="F762" t="inlineStr">
        <is>
          <t>Grid-Gen</t>
        </is>
      </c>
      <c r="G762" t="inlineStr">
        <is>
          <t>CENTRE</t>
        </is>
      </c>
      <c r="H762" t="inlineStr">
        <is>
          <t>Yaounde</t>
        </is>
      </c>
      <c r="I762" t="inlineStr"/>
      <c r="J762" t="n">
        <v>0</v>
      </c>
      <c r="K762" t="n">
        <v>0</v>
      </c>
      <c r="L762" t="n">
        <v>0</v>
      </c>
      <c r="M762" t="n">
        <v>0</v>
      </c>
      <c r="N762" t="inlineStr"/>
      <c r="O762" t="inlineStr"/>
      <c r="P762" t="inlineStr">
        <is>
          <t>BSS</t>
        </is>
      </c>
      <c r="Q762" t="inlineStr">
        <is>
          <t>RAN ISSUE</t>
        </is>
      </c>
      <c r="R762" t="inlineStr">
        <is>
          <t>BSS Hardware issue</t>
        </is>
      </c>
      <c r="S762" t="inlineStr">
        <is>
          <t>ACTIVE</t>
        </is>
      </c>
      <c r="T762" t="inlineStr">
        <is>
          <t>(04/28/2026 cell zte): 28/04/2026 : Escalade faite au RM || feedback RM attendu
27/04/2026 : Besoin d'analyse BO RAN || Fme should check and clean port 4 on RRU 52..;..;(04/28/2026 cell zte): 28/04/2026 : Escalade faite au RM || Feedback RM : plusieurs sont bloqués à cause de la pluie après la pluie on verra si c'est possible de travailler dans le cas contraire demain matin
27/04/2026 : Besoin d'analyse BO RAN || Fme should check and clean port 4 on RRU 52..;..;(04/28/2026 cell zte): 28/04/2026 : Escalade faite au RM || Feedback RM : plusieurs sont bloqués à cause de la pluie après la pluie on verra si c'est possible de travailler dans le cas contraire demain matin || Intervention reportee a demain
27/04/2026 : Besoin d'analyse BO RAN || Fme should check and clean port 4 on RRU 52</t>
        </is>
      </c>
      <c r="U762" t="inlineStr">
        <is>
          <t>04/28/2026 cell zte) : 28/04/2026 : Escalade faite au RM || feedback RM attendu 27/04/2026 : Besoin d'analyse BO RAN || Fme should check and clean port 4 on RRU 52.;.;(04/28/2026 cell zte) : 28/04/2026 : Escalade faite au RM || Feedback RM : plusieurs sont bloqués à cause de la pluie après la pluie on verra si c'est possible de travailler dans le cas contraire demain matin 27/04/2026 : Besoin d'analyse BO RAN || Fme should check and clean port 4 on RRU 52.;.;(04/28/2026 cell zte) : 28/04/2026 : Escalade faite au RM || Feedback RM : plusieurs sont bloqués à cause de la pluie après la pluie on verra si c'est possible de travailler dans le cas contraire demain matin || Intervention reportee a demain 27/04/2026 : Besoin d'analyse BO RAN || Fme should check and clean port 4 on RRU 52</t>
        </is>
      </c>
    </row>
    <row r="763">
      <c r="A763" s="96" t="n">
        <v>46140</v>
      </c>
      <c r="B763" t="inlineStr">
        <is>
          <t>Logbong</t>
        </is>
      </c>
      <c r="C763" t="inlineStr">
        <is>
          <t>LIT_508</t>
        </is>
      </c>
      <c r="D763" t="inlineStr"/>
      <c r="E763" t="inlineStr">
        <is>
          <t>IHS</t>
        </is>
      </c>
      <c r="F763" t="inlineStr">
        <is>
          <t>Grid-Gen</t>
        </is>
      </c>
      <c r="G763" t="inlineStr">
        <is>
          <t>LITTORAL</t>
        </is>
      </c>
      <c r="H763" t="inlineStr">
        <is>
          <t>Logbong</t>
        </is>
      </c>
      <c r="I763" t="inlineStr"/>
      <c r="J763" t="n">
        <v>0</v>
      </c>
      <c r="K763" t="n">
        <v>0</v>
      </c>
      <c r="L763" t="n">
        <v>0</v>
      </c>
      <c r="M763" t="n">
        <v>0</v>
      </c>
      <c r="N763" t="inlineStr"/>
      <c r="O763" t="inlineStr"/>
      <c r="P763" t="inlineStr">
        <is>
          <t>BSS</t>
        </is>
      </c>
      <c r="Q763" t="inlineStr">
        <is>
          <t>RAN ISSUE</t>
        </is>
      </c>
      <c r="R763" t="inlineStr">
        <is>
          <t>BSS Hardware issue</t>
        </is>
      </c>
      <c r="S763" t="inlineStr">
        <is>
          <t>ACTIVE</t>
        </is>
      </c>
      <c r="T763" t="inlineStr">
        <is>
          <t xml:space="preserve">(04/28/2026 cell nokia): 28/04/2026 : FME en route pour le site || ETA : 12h
27/04/2026 : Check and replace FRGU || ETA : 28/04/2026 ..;..;(04/28/2026 cell nokia): 28/04/2026 : FME en route pour le site || ETA : 12h||FME sur sokelle||Forte pluie dans la zone|| Intervention renvoyer pour demain 29/04/2026
27/04/2026 : Check and replace FRGU || ETA : 28/04/2026 ..;..;(04/28/2026 cell nokia): 28/04/2026 : FME en route pour le site || ETA : 12h||FME sur sokelle||Forte pluie dans la zone|| Intervention renvoyer pour demain 29/04/2026
27/04/2026 : Check and replace FRGU || ETA : 28/04/2026 </t>
        </is>
      </c>
      <c r="U763" t="inlineStr">
        <is>
          <t>04/28/2026 cell nokia) : 28/04/2026 : FME en route pour le site || ETA : 12h 27/04/2026 : Check and replace FRGU || ETA : 28/04/2026 .;.;(04/28/2026 cell nokia) : 28/04/2026 : FME en route pour le site || ETA : 12h || FME sur sokelle || Forte pluie dans la zone || Intervention renvoyer pour demain 29/04/2026 27/04/2026 : Check and replace FRGU || ETA : 28/04/2026 .;.;(04/28/2026 cell nokia) : 28/04/2026 : FME en route pour le site || ETA : 12h || FME sur sokelle || Forte pluie dans la zone || Intervention renvoyer pour demain 29/04/2026 27/04/2026 : Check and replace FRGU || ETA : 28/04/2026</t>
        </is>
      </c>
    </row>
    <row r="764">
      <c r="A764" s="96" t="n">
        <v>46140</v>
      </c>
      <c r="B764" t="inlineStr">
        <is>
          <t>Kousseri-Ville</t>
        </is>
      </c>
      <c r="C764" t="inlineStr">
        <is>
          <t>EXN_064</t>
        </is>
      </c>
      <c r="D764" t="inlineStr"/>
      <c r="E764" t="inlineStr">
        <is>
          <t>IHS</t>
        </is>
      </c>
      <c r="F764" t="inlineStr">
        <is>
          <t>GenOnly</t>
        </is>
      </c>
      <c r="G764" t="inlineStr">
        <is>
          <t>EXTREME-NORD</t>
        </is>
      </c>
      <c r="H764" t="inlineStr">
        <is>
          <t>Kousseri</t>
        </is>
      </c>
      <c r="I764" t="inlineStr"/>
      <c r="J764" t="n">
        <v>0</v>
      </c>
      <c r="K764" t="n">
        <v>0</v>
      </c>
      <c r="L764" t="n">
        <v>0</v>
      </c>
      <c r="M764" t="n">
        <v>0</v>
      </c>
      <c r="N764" t="inlineStr"/>
      <c r="O764" t="inlineStr"/>
      <c r="P764" t="inlineStr">
        <is>
          <t>IHS</t>
        </is>
      </c>
      <c r="Q764" t="inlineStr">
        <is>
          <t>POWER ISSUE</t>
        </is>
      </c>
      <c r="R764" t="inlineStr">
        <is>
          <t>Defaut GE &amp; Power Cabinet</t>
        </is>
      </c>
      <c r="S764" t="inlineStr">
        <is>
          <t>PASSIVE</t>
        </is>
      </c>
      <c r="T764" t="inlineStr">
        <is>
          <t>(04/28/2026 hourly IHS): FME Yannick is on way. ETA = 02:15 PM IDrissou informed</t>
        </is>
      </c>
      <c r="U764" t="inlineStr">
        <is>
          <t>: FME Yannick is on way. ETA = 02 : 15 PM IDrissou informed</t>
        </is>
      </c>
    </row>
    <row r="765">
      <c r="A765" s="96" t="n">
        <v>46140</v>
      </c>
      <c r="B765" t="inlineStr">
        <is>
          <t>Bafou-Zinkop</t>
        </is>
      </c>
      <c r="C765" t="inlineStr">
        <is>
          <t>OST_069</t>
        </is>
      </c>
      <c r="D765" t="inlineStr"/>
      <c r="E765" t="inlineStr">
        <is>
          <t>IHS</t>
        </is>
      </c>
      <c r="F765" t="inlineStr">
        <is>
          <t>Grid-Gen</t>
        </is>
      </c>
      <c r="G765" t="inlineStr">
        <is>
          <t>OUEST</t>
        </is>
      </c>
      <c r="H765" t="inlineStr">
        <is>
          <t>Bafou</t>
        </is>
      </c>
      <c r="I765" t="inlineStr"/>
      <c r="J765" t="n">
        <v>0</v>
      </c>
      <c r="K765" t="n">
        <v>0</v>
      </c>
      <c r="L765" t="n">
        <v>0</v>
      </c>
      <c r="M765" t="n">
        <v>0</v>
      </c>
      <c r="N765" t="inlineStr"/>
      <c r="O765" t="inlineStr"/>
      <c r="P765" t="inlineStr">
        <is>
          <t>IHS</t>
        </is>
      </c>
      <c r="Q765" t="inlineStr">
        <is>
          <t>POWER ISSUE</t>
        </is>
      </c>
      <c r="R765" t="inlineStr">
        <is>
          <t>Defaut GE &amp; Power Cabinet</t>
        </is>
      </c>
      <c r="S765" t="inlineStr">
        <is>
          <t>PASSIVE</t>
        </is>
      </c>
      <c r="T765" t="inlineStr">
        <is>
          <t>(04/28/2026 hourly IHS): FME Brice is informed and managing</t>
        </is>
      </c>
      <c r="U765" t="inlineStr">
        <is>
          <t>: FME Brice is informed and managing</t>
        </is>
      </c>
    </row>
    <row r="766">
      <c r="A766" s="96" t="n">
        <v>46140</v>
      </c>
      <c r="B766" t="inlineStr">
        <is>
          <t>Maroua-Ouro-Bah</t>
        </is>
      </c>
      <c r="C766" t="inlineStr">
        <is>
          <t>EXN_083</t>
        </is>
      </c>
      <c r="D766" t="inlineStr"/>
      <c r="E766" t="inlineStr">
        <is>
          <t>IHS</t>
        </is>
      </c>
      <c r="F766" t="inlineStr">
        <is>
          <t>Grid-Gen</t>
        </is>
      </c>
      <c r="G766" t="inlineStr">
        <is>
          <t>EXTREME-NORD</t>
        </is>
      </c>
      <c r="H766" t="inlineStr">
        <is>
          <t>Maroua</t>
        </is>
      </c>
      <c r="I766" t="inlineStr"/>
      <c r="J766" t="n">
        <v>0</v>
      </c>
      <c r="K766" t="n">
        <v>0</v>
      </c>
      <c r="L766" t="n">
        <v>0</v>
      </c>
      <c r="M766" t="n">
        <v>0</v>
      </c>
      <c r="N766" t="inlineStr"/>
      <c r="O766" t="inlineStr"/>
      <c r="P766" t="inlineStr">
        <is>
          <t>IHS</t>
        </is>
      </c>
      <c r="Q766" t="inlineStr">
        <is>
          <t>POWER ISSUE</t>
        </is>
      </c>
      <c r="R766" t="inlineStr">
        <is>
          <t>Defaut GE &amp; Power Cabinet</t>
        </is>
      </c>
      <c r="S766" t="inlineStr">
        <is>
          <t>PASSIVE</t>
        </is>
      </c>
      <c r="T766" t="inlineStr">
        <is>
          <t>(04/28/2026 hourly IHS): FME Albran is on way. ETA = 11:30 PM</t>
        </is>
      </c>
      <c r="U766" t="inlineStr">
        <is>
          <t>: FME Albran is on way. ETA = 11 : 30 PM</t>
        </is>
      </c>
    </row>
    <row r="767">
      <c r="A767" s="96" t="n">
        <v>46140</v>
      </c>
      <c r="B767" t="inlineStr">
        <is>
          <t>Limbe-Semme-Beach-MTN</t>
        </is>
      </c>
      <c r="C767" t="inlineStr">
        <is>
          <t>SUO_082</t>
        </is>
      </c>
      <c r="D767" t="inlineStr"/>
      <c r="E767" t="inlineStr">
        <is>
          <t>IHS</t>
        </is>
      </c>
      <c r="F767" t="inlineStr">
        <is>
          <t>Grid-Gen</t>
        </is>
      </c>
      <c r="G767" t="inlineStr">
        <is>
          <t>SUD-OUEST</t>
        </is>
      </c>
      <c r="H767" t="inlineStr">
        <is>
          <t>Limbe</t>
        </is>
      </c>
      <c r="I767" t="inlineStr"/>
      <c r="J767" t="n">
        <v>0</v>
      </c>
      <c r="K767" t="n">
        <v>0</v>
      </c>
      <c r="L767" t="n">
        <v>0</v>
      </c>
      <c r="M767" t="n">
        <v>0</v>
      </c>
      <c r="N767" t="inlineStr"/>
      <c r="O767" t="inlineStr"/>
      <c r="P767" t="inlineStr">
        <is>
          <t>IHS</t>
        </is>
      </c>
      <c r="Q767" t="inlineStr">
        <is>
          <t>POWER ISSUE</t>
        </is>
      </c>
      <c r="R767" t="inlineStr">
        <is>
          <t>Defaut GE &amp; Power Cabinet</t>
        </is>
      </c>
      <c r="S767" t="inlineStr">
        <is>
          <t>PASSIVE</t>
        </is>
      </c>
      <c r="T767" t="inlineStr">
        <is>
          <t>(04/28/2026 hourly IHS): Ulrich is going to site ETA 09:30.</t>
        </is>
      </c>
      <c r="U767" t="inlineStr">
        <is>
          <t>: Ulrich is going to site ETA 09 : 30.</t>
        </is>
      </c>
    </row>
    <row r="768">
      <c r="A768" s="96" t="n">
        <v>46140</v>
      </c>
      <c r="B768" t="inlineStr">
        <is>
          <t>Kouba-MTN-IHS</t>
        </is>
      </c>
      <c r="C768" t="inlineStr">
        <is>
          <t>EST_094</t>
        </is>
      </c>
      <c r="D768" t="inlineStr"/>
      <c r="E768" t="inlineStr">
        <is>
          <t>IHS</t>
        </is>
      </c>
      <c r="F768" t="inlineStr">
        <is>
          <t>Hybrid-Gen</t>
        </is>
      </c>
      <c r="G768" t="inlineStr">
        <is>
          <t>EST</t>
        </is>
      </c>
      <c r="H768" t="inlineStr">
        <is>
          <t>Kouba</t>
        </is>
      </c>
      <c r="I768" t="inlineStr"/>
      <c r="J768" t="n">
        <v>0</v>
      </c>
      <c r="K768" t="n">
        <v>0</v>
      </c>
      <c r="L768" t="n">
        <v>0</v>
      </c>
      <c r="M768" t="n">
        <v>0</v>
      </c>
      <c r="N768" t="inlineStr"/>
      <c r="O768" t="inlineStr"/>
      <c r="P768" t="inlineStr">
        <is>
          <t>IHS</t>
        </is>
      </c>
      <c r="Q768" t="inlineStr">
        <is>
          <t>POWER ISSUE</t>
        </is>
      </c>
      <c r="R768" t="inlineStr">
        <is>
          <t>Defaut GE &amp; Power Cabinet</t>
        </is>
      </c>
      <c r="S768" t="inlineStr">
        <is>
          <t>PASSIVE</t>
        </is>
      </c>
      <c r="T768" t="inlineStr">
        <is>
          <t>(04/28/2026 hourly IHS): FME is managing with level 0,</t>
        </is>
      </c>
      <c r="U768" t="inlineStr">
        <is>
          <t>: FME is managing with level 0,</t>
        </is>
      </c>
    </row>
    <row r="769">
      <c r="A769" s="96" t="n">
        <v>46140</v>
      </c>
      <c r="B769" t="inlineStr">
        <is>
          <t>Kousseri-Lacka</t>
        </is>
      </c>
      <c r="C769" t="inlineStr">
        <is>
          <t>EXN_094</t>
        </is>
      </c>
      <c r="D769" t="inlineStr"/>
      <c r="E769" t="inlineStr">
        <is>
          <t>IHS</t>
        </is>
      </c>
      <c r="F769" t="inlineStr">
        <is>
          <t>Grid-Gen</t>
        </is>
      </c>
      <c r="G769" t="inlineStr">
        <is>
          <t>EXTREME-NORD</t>
        </is>
      </c>
      <c r="H769" t="inlineStr">
        <is>
          <t>Kousseri</t>
        </is>
      </c>
      <c r="I769" t="inlineStr"/>
      <c r="J769" t="n">
        <v>0</v>
      </c>
      <c r="K769" t="n">
        <v>0</v>
      </c>
      <c r="L769" t="n">
        <v>0</v>
      </c>
      <c r="M769" t="n">
        <v>0</v>
      </c>
      <c r="N769" t="inlineStr"/>
      <c r="O769" t="inlineStr"/>
      <c r="P769" t="inlineStr">
        <is>
          <t>IHS</t>
        </is>
      </c>
      <c r="Q769" t="inlineStr">
        <is>
          <t>POWER ISSUE</t>
        </is>
      </c>
      <c r="R769" t="inlineStr">
        <is>
          <t>Defaut GE &amp; Power Cabinet</t>
        </is>
      </c>
      <c r="S769" t="inlineStr">
        <is>
          <t>PASSIVE</t>
        </is>
      </c>
      <c r="T769" t="inlineStr">
        <is>
          <t>(04/28/2026 hourly IHS): FME Yannick is managing with level 0, Idrissou is informed</t>
        </is>
      </c>
      <c r="U769" t="inlineStr">
        <is>
          <t>: FME Yannick is managing with level 0, Idrissou is informed</t>
        </is>
      </c>
    </row>
    <row r="770">
      <c r="A770" s="96" t="n">
        <v>46140</v>
      </c>
      <c r="B770" t="inlineStr">
        <is>
          <t>Meidougou-MTN</t>
        </is>
      </c>
      <c r="C770" t="inlineStr">
        <is>
          <t>ADM_062</t>
        </is>
      </c>
      <c r="D770" t="inlineStr"/>
      <c r="E770" t="inlineStr">
        <is>
          <t>IHS</t>
        </is>
      </c>
      <c r="F770" t="inlineStr">
        <is>
          <t>Grid-Gen</t>
        </is>
      </c>
      <c r="G770" t="inlineStr">
        <is>
          <t>ADAMAOUA</t>
        </is>
      </c>
      <c r="H770" t="inlineStr">
        <is>
          <t>Meidougou</t>
        </is>
      </c>
      <c r="I770" t="inlineStr"/>
      <c r="J770" t="n">
        <v>0</v>
      </c>
      <c r="K770" t="n">
        <v>0</v>
      </c>
      <c r="L770" t="n">
        <v>0</v>
      </c>
      <c r="M770" t="n">
        <v>0</v>
      </c>
      <c r="N770" t="inlineStr"/>
      <c r="O770" t="inlineStr"/>
      <c r="P770" t="inlineStr">
        <is>
          <t>SPARE-ISSUE</t>
        </is>
      </c>
      <c r="Q770" t="inlineStr">
        <is>
          <t>SPARE-ISSUE</t>
        </is>
      </c>
      <c r="R770" t="inlineStr">
        <is>
          <t>Warehouse HUAWEI</t>
        </is>
      </c>
      <c r="S770" t="inlineStr">
        <is>
          <t>SPARE-ISSUE</t>
        </is>
      </c>
      <c r="T770" t="inlineStr">
        <is>
          <t>(04/28/2026 hourly IHS): fme Bassirou is managing with level 0..;..;(04/28/2026 ocm ran 19h): 28.04.2026: Spare FSMF Faulty Commande passee au WH de Garoua et Expediee a Ngaoundere Nouvelle ETD communiques par le SPM 28.04.2026
26/04/2026 FSMF expedié de GAROUA ETD=27.04.2025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Site foudroyé les deux FSMF en défaut ils redémarre en continu nécessaire en remplacement.Commande en cours. Update ASAP
20.04.2026: FME activé, ETA 12H
19.04.26; Besoin d'un FME sur site pour vérifier le statut des 2 BTS, leur alimentation et leur interco avec le MPR S1P1&amp;2; FME Hippolite activé pour investigations, update ASAP..;..;(04/28/2026 ocm ran 14h): 28.04.2026: Spare FSMF Faulty Commande passee au WH de Garoua et Expediee a Ngaoundere Nouvelle ETD communiques par le SPM 28.04.2026
26/04/2026 FSMF expedié de GAROUA ETD=27.04.2025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Site foudroyé les deux FSMF en défaut ils redémarre en continu nécessaire en remplacement.Commande en cours. Update ASAP
20.04.2026: FME activé, ETA 12H
19.04.26; Besoin d'un FME sur site pour vérifier le statut des 2 BTS, leur alimentation et leur interco avec le MPR S1P1&amp;2; FME Hippolite activé pour investigations, update ASAP..;..;(04/28/2026 com ran 10h): 28.04.2026: Spare FSMF Faulty Commande passee au WH de Garoua et Expediee a Ngaoundere Nouvelle ETD communiques par le SPM 28.04.2026
26/04/2026 FSMF expedié de GAROUA ETD=27.04.2025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Site foudroyé les deux FSMF en défaut ils redémarre en continu nécessaire en remplacement.Commande en cours. Update ASAP
20.04.2026: FME activé, ETA 12H
19.04.26; Besoin d'un FME sur site pour vérifier le statut des 2 BTS, leur alimentation et leur interco avec le MPR S1P1&amp;2; FME Hippolite activé pour investigations, update ASAP..;..;(04/28/2026 ocm ran 00h): 26/04/2026 FSMF expedié de GAROUA ETD=27.04.2025
24.04.2026: Apres conf call effectuer avec THEO et Kingsley. Les spare seront expediee par ESICO ce Jours  De Garoua pour Ngaoundere ETD=24.04.2025
22.04.2026: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Site foudroyé les deux FSMF en défaut ils redémarre en continu nécessaire en remplacement.Commande en cours. Update ASAP
20.04.2026: FME activé, ETA 12H
19.04.26; Besoin d'un FME sur site pour vérifier le statut des 2 BTS, leur alimentation et leur interco avec le MPR S1P1&amp;2; FME Hippolite activé pour investigations, update ASAP</t>
        </is>
      </c>
      <c r="U770" t="inlineStr">
        <is>
          <t>: fme Bassirou is managing with level 0.;.; : 28.04.2026 : Spare FSMF Faulty Commande passee au WH de Garoua et Expediee a Ngaoundere Nouvelle ETD communiques par le SPM 28.04.2026 26/04/2026 FSMF expedié de GAROUA ETD=27.04.2025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 Site foudroyé les deux FSMF en défaut ils redémarre en continu nécessaire en remplacement.Commande en cours. Update ASAP 20.04.2026 : FME activé, ETA 12H 19.04.26; Besoin d'un FME sur site pour vérifier le statut des 2 BTS, leur alimentation et leur interco avec le MPR S1P1&amp;2; FME Hippolite activé pour investigations, update ASAP.;.; : 28.04.2026 : Spare FSMF Faulty Commande passee au WH de Garoua et Expediee a Ngaoundere Nouvelle ETD communiques par le SPM 28.04.2026 26/04/2026 FSMF expedié de GAROUA ETD=27.04.2025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 Site foudroyé les deux FSMF en défaut ils redémarre en continu nécessaire en remplacement.Commande en cours. Update ASAP 20.04.2026 : FME activé, ETA 12H 19.04.26; Besoin d'un FME sur site pour vérifier le statut des 2 BTS, leur alimentation et leur interco avec le MPR S1P1&amp;2; FME Hippolite activé pour investigations, update ASAP.;.;(04/28/2026 com ran 10h) : 28.04.2026 : Spare FSMF Faulty Commande passee au WH de Garoua et Expediee a Ngaoundere Nouvelle ETD communiques par le SPM 28.04.2026 26/04/2026 FSMF expedié de GAROUA ETD=27.04.2025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 Site foudroyé les deux FSMF en défaut ils redémarre en continu nécessaire en remplacement.Commande en cours. Update ASAP 20.04.2026 : FME activé, ETA 12H 19.04.26; Besoin d'un FME sur site pour vérifier le statut des 2 BTS, leur alimentation et leur interco avec le MPR S1P1&amp;2; FME Hippolite activé pour investigations, update ASAP.;.; : 26/04/2026 FSMF expedié de GAROUA ETD=27.04.2025 24.04.2026 : Apres conf call effectuer avec THEO et Kingsley. Les spare seront expediee par ESICO ce Jours De Garoua pour Ngaoundere ETD=24.04.2025 22.04.2026 : Apres conf call effectuer avec THEO et Kingsley. Les spare seront expediee par ESICO ce Jours De Garoua pour Ngaoundere ETD=23.04.2025 21.04.26; Site foudroyé les deux FSMF en défaut ils redémarre en continu nécessaire en remplacement.Pièces de rechange disponible à GAROUA, en attente update SPM pour l'ETD 20.04.2026 : Site foudroyé les deux FSMF en défaut ils redémarre en continu nécessaire en remplacement.Commande en cours. Update ASAP 20.04.2026 : FME activé, ETA 12H 19.04.26; Besoin d'un FME sur site pour vérifier le statut des 2 BTS, leur alimentation et leur interco avec le MPR S1P1&amp;2; FME Hippolite activé pour investigations, update ASAP</t>
        </is>
      </c>
    </row>
    <row r="771">
      <c r="A771" s="96" t="n">
        <v>46140</v>
      </c>
      <c r="B771" t="inlineStr">
        <is>
          <t>Sop-MTN</t>
        </is>
      </c>
      <c r="C771" t="inlineStr">
        <is>
          <t>NRO_258</t>
        </is>
      </c>
      <c r="D771" t="inlineStr"/>
      <c r="E771" t="inlineStr">
        <is>
          <t>IHS</t>
        </is>
      </c>
      <c r="F771" t="inlineStr">
        <is>
          <t>Grid-Gen</t>
        </is>
      </c>
      <c r="G771" t="inlineStr">
        <is>
          <t>NORD-OUEST</t>
        </is>
      </c>
      <c r="H771" t="inlineStr">
        <is>
          <t>Sop</t>
        </is>
      </c>
      <c r="I771" t="inlineStr"/>
      <c r="J771" t="n">
        <v>0</v>
      </c>
      <c r="K771" t="n">
        <v>0</v>
      </c>
      <c r="L771" t="n">
        <v>0</v>
      </c>
      <c r="M771" t="n">
        <v>0</v>
      </c>
      <c r="N771" t="inlineStr"/>
      <c r="O771" t="inlineStr"/>
      <c r="P771" t="inlineStr">
        <is>
          <t>BSS</t>
        </is>
      </c>
      <c r="Q771" t="inlineStr">
        <is>
          <t>RAN ISSUE</t>
        </is>
      </c>
      <c r="R771" t="inlineStr">
        <is>
          <t>BSS Hardware issue</t>
        </is>
      </c>
      <c r="S771" t="inlineStr">
        <is>
          <t>ACTIVE</t>
        </is>
      </c>
      <c r="T771" t="inlineStr">
        <is>
          <t>(04/28/2026 cell nokia): 28/04/2026 : Escalade faite au RM|| FME Derick Sofor 
27/04/2026 : Need BO RAN analysis || Check and clean jumper, port 4 of ARGA..;..;(04/28/2026 cell nokia): 28/04/2026 : Escalade faite au RM|| FME Donald 
27/04/2026 : Need BO RAN analysis || Check and clean jumper, port 4 of ARGA..;..;(04/28/2026 cell nokia): 28/04/2026 : Escalade faite au RM|| FME Donald 
27/04/2026 : Need BO RAN analysis || Check and clean jumper, port 4 of ARGA</t>
        </is>
      </c>
      <c r="U771" t="inlineStr">
        <is>
          <t>04/28/2026 cell nokia) : 28/04/2026 : Escalade faite au RM || FME Derick Sofor 27/04/2026 : Need BO RAN analysis || Check and clean jumper, port 4 of ARGA.;.;(04/28/2026 cell nokia) : 28/04/2026 : Escalade faite au RM || FME Donald 27/04/2026 : Need BO RAN analysis || Check and clean jumper, port 4 of ARGA.;.;(04/28/2026 cell nokia) : 28/04/2026 : Escalade faite au RM || FME Donald 27/04/2026 : Need BO RAN analysis || Check and clean jumper, port 4 of ARGA</t>
        </is>
      </c>
    </row>
    <row r="772">
      <c r="A772" s="96" t="n">
        <v>46140</v>
      </c>
      <c r="B772" t="inlineStr">
        <is>
          <t>Bogo-Marche</t>
        </is>
      </c>
      <c r="C772" t="inlineStr">
        <is>
          <t>EXN_191</t>
        </is>
      </c>
      <c r="D772" t="inlineStr"/>
      <c r="E772" t="inlineStr">
        <is>
          <t>CAMUSAT</t>
        </is>
      </c>
      <c r="F772" t="inlineStr">
        <is>
          <t>Bad Grid + GE</t>
        </is>
      </c>
      <c r="G772" t="inlineStr">
        <is>
          <t>EXTREME-NORD</t>
        </is>
      </c>
      <c r="H772" t="inlineStr">
        <is>
          <t>Bogo</t>
        </is>
      </c>
      <c r="I772" t="inlineStr"/>
      <c r="J772" t="n">
        <v>0</v>
      </c>
      <c r="K772" t="n">
        <v>0</v>
      </c>
      <c r="L772" t="n">
        <v>0</v>
      </c>
      <c r="M772" t="n">
        <v>0</v>
      </c>
      <c r="N772" t="inlineStr"/>
      <c r="O772" t="inlineStr"/>
      <c r="P772" t="inlineStr">
        <is>
          <t>BSS</t>
        </is>
      </c>
      <c r="Q772" t="inlineStr">
        <is>
          <t>RAN ISSUE</t>
        </is>
      </c>
      <c r="R772" t="inlineStr">
        <is>
          <t>BSS Hardware issue</t>
        </is>
      </c>
      <c r="S772" t="inlineStr">
        <is>
          <t>ACTIVE</t>
        </is>
      </c>
      <c r="T772" t="inlineStr">
        <is>
          <t>(04/28/2026 cell huawei): 28/04/2026 : Check Connectivite entre BBU &amp; RRU/Check FO ou SFP</t>
        </is>
      </c>
      <c r="U772" t="inlineStr">
        <is>
          <t>04/28/2026 cell huawei) : 28/04/2026 : Check Connectivite entre BBU &amp; RRU/Check FO ou SFP</t>
        </is>
      </c>
    </row>
    <row r="773">
      <c r="A773" s="96" t="n">
        <v>46140</v>
      </c>
      <c r="B773" t="inlineStr">
        <is>
          <t>Anguissa-IHS</t>
        </is>
      </c>
      <c r="C773" t="inlineStr">
        <is>
          <t>CTR_478</t>
        </is>
      </c>
      <c r="D773" t="inlineStr"/>
      <c r="E773" t="inlineStr">
        <is>
          <t>IHS</t>
        </is>
      </c>
      <c r="F773" t="inlineStr">
        <is>
          <t>Grid-Gen</t>
        </is>
      </c>
      <c r="G773" t="inlineStr">
        <is>
          <t>CENTRE</t>
        </is>
      </c>
      <c r="H773" t="inlineStr">
        <is>
          <t>Yaounde</t>
        </is>
      </c>
      <c r="I773" t="inlineStr"/>
      <c r="J773" t="n">
        <v>0</v>
      </c>
      <c r="K773" t="n">
        <v>0</v>
      </c>
      <c r="L773" t="n">
        <v>0</v>
      </c>
      <c r="M773" t="n">
        <v>0</v>
      </c>
      <c r="N773" t="inlineStr"/>
      <c r="O773" t="inlineStr"/>
      <c r="P773" t="inlineStr">
        <is>
          <t>BSS</t>
        </is>
      </c>
      <c r="Q773" t="inlineStr">
        <is>
          <t>RAN ISSUE</t>
        </is>
      </c>
      <c r="R773" t="inlineStr">
        <is>
          <t>BSS Hardware issue</t>
        </is>
      </c>
      <c r="S773" t="inlineStr">
        <is>
          <t>ACTIVE</t>
        </is>
      </c>
      <c r="T773" t="inlineStr">
        <is>
          <t xml:space="preserve">  04/28/2026: hardware issue,  site with GPS issue (alarm : TDD down 09Apr 02pm)</t>
        </is>
      </c>
      <c r="U773" t="inlineStr">
        <is>
          <t>04/28/2026 : hardware issue, site with GPS issue (alarm : TDD down 09Apr 02pm)</t>
        </is>
      </c>
    </row>
    <row r="774">
      <c r="A774" s="96" t="n">
        <v>46140</v>
      </c>
      <c r="B774" t="inlineStr">
        <is>
          <t>Makepe-Decharge2-IHS</t>
        </is>
      </c>
      <c r="C774" t="inlineStr">
        <is>
          <t>LIT_490</t>
        </is>
      </c>
      <c r="D774" t="inlineStr"/>
      <c r="E774" t="inlineStr">
        <is>
          <t>IHS</t>
        </is>
      </c>
      <c r="F774" t="inlineStr">
        <is>
          <t>Grid-Gen</t>
        </is>
      </c>
      <c r="G774" t="inlineStr">
        <is>
          <t>LITTORAL</t>
        </is>
      </c>
      <c r="H774" t="inlineStr">
        <is>
          <t>Douala</t>
        </is>
      </c>
      <c r="I774" t="inlineStr"/>
      <c r="J774" t="n">
        <v>0</v>
      </c>
      <c r="K774" t="n">
        <v>0</v>
      </c>
      <c r="L774" t="n">
        <v>0</v>
      </c>
      <c r="M774" t="n">
        <v>0</v>
      </c>
      <c r="N774" t="inlineStr"/>
      <c r="O774" t="inlineStr"/>
      <c r="P774" t="inlineStr">
        <is>
          <t>IHS</t>
        </is>
      </c>
      <c r="Q774" t="inlineStr">
        <is>
          <t>POWER ISSUE</t>
        </is>
      </c>
      <c r="R774" t="inlineStr">
        <is>
          <t>Defaut GE &amp; Power Cabinet</t>
        </is>
      </c>
      <c r="S774" t="inlineStr">
        <is>
          <t>PASSIVE</t>
        </is>
      </c>
      <c r="T774" t="inlineStr">
        <is>
          <t>(04/28/2026 hourly IHS): Fme will be on site after casmando</t>
        </is>
      </c>
      <c r="U774" t="inlineStr">
        <is>
          <t>: Fme will be on site after casmando</t>
        </is>
      </c>
    </row>
    <row r="775">
      <c r="A775" s="96" t="n">
        <v>46140</v>
      </c>
      <c r="B775" t="inlineStr">
        <is>
          <t>Bekondo-IHS</t>
        </is>
      </c>
      <c r="C775" t="inlineStr">
        <is>
          <t>SUO_096</t>
        </is>
      </c>
      <c r="D775" t="inlineStr"/>
      <c r="E775" t="inlineStr">
        <is>
          <t>IHS</t>
        </is>
      </c>
      <c r="F775" t="inlineStr">
        <is>
          <t>Hybrid-Gen</t>
        </is>
      </c>
      <c r="G775" t="inlineStr">
        <is>
          <t>SUD-OUEST</t>
        </is>
      </c>
      <c r="H775" t="inlineStr">
        <is>
          <t>Bekondo</t>
        </is>
      </c>
      <c r="I775" t="inlineStr"/>
      <c r="J775" t="n">
        <v>0</v>
      </c>
      <c r="K775" t="n">
        <v>0</v>
      </c>
      <c r="L775" t="n">
        <v>0</v>
      </c>
      <c r="M775" t="n">
        <v>0</v>
      </c>
      <c r="N775" t="inlineStr"/>
      <c r="O775" t="inlineStr"/>
      <c r="P775" t="inlineStr">
        <is>
          <t>BSS</t>
        </is>
      </c>
      <c r="Q775" t="inlineStr">
        <is>
          <t>RAN ISSUE</t>
        </is>
      </c>
      <c r="R775" t="inlineStr">
        <is>
          <t>BSS Hardware issue</t>
        </is>
      </c>
      <c r="S775" t="inlineStr">
        <is>
          <t>ACTIVE</t>
        </is>
      </c>
      <c r="T775" t="inlineStr">
        <is>
          <t xml:space="preserve">(04/28/2026 cell nokia): 27/04/2026 : Intervention plan for 29/04/2026 || La FXED quitte ce jour pour KOUMA 
24/04/2026 : Cde la FXED en cours 
23/04/2026 : Need BO RAN analysis ||Closed after reset but check and replace FXED ||FME  Andre activer ..;..;(04/28/2026 cell nokia): 27/04/2026 : Intervention plan for 29/04/2026 || La FXED quitte ce jour pour KOUMA 
24/04/2026 : Cde la FXED en cours 
23/04/2026 : Need BO RAN analysis ||Closed after reset but check and replace FXED ||FME  Andre activer ..;..;(04/28/2026 cell nokia): 27/04/2026 : Intervention plan for 29/04/2026 || La FXED quitte ce jour pour KOUMA 
24/04/2026 : Cde la FXED en cours 
23/04/2026 : Need BO RAN analysis ||Closed after reset but check and replace FXED ||FME  Andre activer </t>
        </is>
      </c>
      <c r="U775" t="inlineStr">
        <is>
          <t>04/28/2026 cell nokia) : 27/04/2026 : Intervention plan for 29/04/2026 || La FXED quitte ce jour pour KOUMA 24/04/2026 : Cde la FXED en cours 23/04/2026 : Need BO RAN analysis || Closed after reset but check and replace FXED || .;.;(04/28/2026 cell nokia) : 27/04/2026 : Intervention plan for 29/04/2026 || La FXED quitte ce jour pour KOUMA 24/04/2026 : Cde la FXED en cours 23/04/2026 : Need BO RAN analysis || Closed after reset but check and replace FXED || .;.;(04/28/2026 cell nokia) : 27/04/2026 : Intervention plan for 29/04/2026 || La FXED quitte ce jour pour KOUMA 24/04/2026 : Cde la FXED en cours 23/04/2026 : Need BO RAN analysis || Closed after reset but check and replace FXED ||</t>
        </is>
      </c>
    </row>
    <row r="776">
      <c r="A776" s="96" t="n">
        <v>46140</v>
      </c>
      <c r="B776" t="inlineStr">
        <is>
          <t>Baikwa-Bere</t>
        </is>
      </c>
      <c r="C776" t="inlineStr">
        <is>
          <t>NRD_056</t>
        </is>
      </c>
      <c r="D776" t="inlineStr"/>
      <c r="E776" t="inlineStr">
        <is>
          <t>IHS</t>
        </is>
      </c>
      <c r="F776" t="inlineStr">
        <is>
          <t>Solar-Gen</t>
        </is>
      </c>
      <c r="G776" t="inlineStr">
        <is>
          <t>NORD</t>
        </is>
      </c>
      <c r="H776" t="inlineStr">
        <is>
          <t>Baikwa-Bere</t>
        </is>
      </c>
      <c r="I776" t="inlineStr"/>
      <c r="J776" t="n">
        <v>0</v>
      </c>
      <c r="K776" t="n">
        <v>0</v>
      </c>
      <c r="L776" t="n">
        <v>0</v>
      </c>
      <c r="M776" t="n">
        <v>0</v>
      </c>
      <c r="N776" t="inlineStr"/>
      <c r="O776" t="inlineStr"/>
      <c r="P776" t="inlineStr">
        <is>
          <t>PDH</t>
        </is>
      </c>
      <c r="Q776" t="inlineStr">
        <is>
          <t>TX ISSUE</t>
        </is>
      </c>
      <c r="R776" t="inlineStr">
        <is>
          <t>MPR ISSUE</t>
        </is>
      </c>
      <c r="S776" t="inlineStr">
        <is>
          <t>ACTIVE</t>
        </is>
      </c>
      <c r="T776" t="inlineStr">
        <is>
          <t xml:space="preserve">(04/28/2026 ocm ran 19h): 28.04.2026: FME Seydou is currently at Basheo will be on the site at 16H
27/04/2026 Besoin d'un fme sur site pour verifier l'interco entre le MPR et la BTS S1P1 FME seydou bachirou activé manage avec le levle 0 ..;..;(04/28/2026 ocm ran 14h): 28.04.2026: FME Seydou is currently at Basheo will be on the site at 16H
27/04/2026 Besoin d'un fme sur site pour verifier l'interco entre le MPR et la BTS S1P1 FME seydou bachirou activé manage avec le levle 0 ..;..;(04/28/2026 com ran 10h): 28.04.2026: FME Seydou is currently at Basheo will be on the site at 16H
27/04/2026 Besoin d'un fme sur site pour verifier l'interco entre le MPR et la BTS S1P1 FME seydou bachirou activé manage avec le levle 0 ..;..;(04/28/2026 ocm ran 00h): 27/04/2026 Besoin d'un fme sur site pour verifier l'interco entre le MPR et la BTS S1P1 FME seydou bachirou activé manage avec le levle 0 </t>
        </is>
      </c>
      <c r="U776" t="inlineStr">
        <is>
          <t>: 28.04.2026 : FME Seydou is currently at Basheo will be on the site at 16H 27/04/2026 Besoin d'un fme sur site pour verifier l'interco entre le MPR et la BTS S1P1 FME seydou bachirou activé manage avec le levle 0 .;.; : 28.04.2026 : FME Seydou is currently at Basheo will be on the site at 16H 27/04/2026 Besoin d'un fme sur site pour verifier l'interco entre le MPR et la BTS S1P1 FME seydou bachirou activé manage avec le levle 0 .;.;(04/28/2026 com ran 10h) : 28.04.2026 : FME Seydou is currently at Basheo will be on the site at 16H 27/04/2026 Besoin d'un fme sur site pour verifier l'interco entre le MPR et la BTS S1P1 FME seydou bachirou activé manage avec le levle 0 .;.; : 27/04/2026 Besoin d'un fme sur site pour verifier l'interco entre le MPR et la BTS S1P1 FME seydou bachirou activé manage avec le levle 0</t>
        </is>
      </c>
    </row>
    <row r="777">
      <c r="A777" s="96" t="n">
        <v>46140</v>
      </c>
      <c r="B777" t="inlineStr">
        <is>
          <t>Mvog-Atangana-Mballa</t>
        </is>
      </c>
      <c r="C777" t="inlineStr">
        <is>
          <t>CTR_728</t>
        </is>
      </c>
      <c r="D777" t="inlineStr"/>
      <c r="E777" t="inlineStr">
        <is>
          <t>CAMUSAT</t>
        </is>
      </c>
      <c r="F777" t="inlineStr">
        <is>
          <t>Good Grid no GE - 8h</t>
        </is>
      </c>
      <c r="G777" t="inlineStr">
        <is>
          <t>CENTRE</t>
        </is>
      </c>
      <c r="H777" t="inlineStr">
        <is>
          <t>Yaounde</t>
        </is>
      </c>
      <c r="I777" t="inlineStr"/>
      <c r="J777" t="n">
        <v>0</v>
      </c>
      <c r="K777" t="n">
        <v>0</v>
      </c>
      <c r="L777" t="n">
        <v>0</v>
      </c>
      <c r="M777" t="n">
        <v>0</v>
      </c>
      <c r="N777" t="inlineStr"/>
      <c r="O777" t="inlineStr"/>
      <c r="P777" t="inlineStr">
        <is>
          <t>BSS</t>
        </is>
      </c>
      <c r="Q777" t="inlineStr">
        <is>
          <t>RAN ISSUE</t>
        </is>
      </c>
      <c r="R777" t="inlineStr">
        <is>
          <t>BSS Hardware issue</t>
        </is>
      </c>
      <c r="S777" t="inlineStr">
        <is>
          <t>ACTIVE</t>
        </is>
      </c>
      <c r="T777" t="inlineStr">
        <is>
          <t xml:space="preserve">  04/28/2026: hardware issue,  site with GPS issue (alarm : TDD down 09Apr 02pm)</t>
        </is>
      </c>
      <c r="U777" t="inlineStr">
        <is>
          <t>04/28/2026 : hardware issue, site with GPS issue (alarm : TDD down 09Apr 02pm)</t>
        </is>
      </c>
    </row>
    <row r="778">
      <c r="A778" s="96" t="n">
        <v>46140</v>
      </c>
      <c r="B778" t="inlineStr">
        <is>
          <t>Madjap</t>
        </is>
      </c>
      <c r="C778" t="inlineStr">
        <is>
          <t>LIT_519</t>
        </is>
      </c>
      <c r="D778" t="inlineStr"/>
      <c r="E778" t="inlineStr">
        <is>
          <t>IHS</t>
        </is>
      </c>
      <c r="F778" t="inlineStr">
        <is>
          <t>Hybrid-Gen</t>
        </is>
      </c>
      <c r="G778" t="inlineStr">
        <is>
          <t>LITTORAL</t>
        </is>
      </c>
      <c r="H778" t="inlineStr">
        <is>
          <t>Mandjap</t>
        </is>
      </c>
      <c r="I778" t="inlineStr"/>
      <c r="J778" t="n">
        <v>0</v>
      </c>
      <c r="K778" t="n">
        <v>0</v>
      </c>
      <c r="L778" t="n">
        <v>0</v>
      </c>
      <c r="M778" t="n">
        <v>0</v>
      </c>
      <c r="N778" t="inlineStr"/>
      <c r="O778" t="inlineStr"/>
      <c r="P778" t="inlineStr">
        <is>
          <t>BSS</t>
        </is>
      </c>
      <c r="Q778" t="inlineStr">
        <is>
          <t>RAN ISSUE</t>
        </is>
      </c>
      <c r="R778" t="inlineStr">
        <is>
          <t>BSS Hardware issue</t>
        </is>
      </c>
      <c r="S778" t="inlineStr">
        <is>
          <t>ACTIVE</t>
        </is>
      </c>
      <c r="T778" t="inlineStr">
        <is>
          <t xml:space="preserve">(04/28/2026 cell nokia): 28/04/2026 : Check breaker and  interconnection FRMF (sfp, optical fiber) between system and radio module, swap its if needed || FME yannick  presentement en route pour le site de logbong ..;..;(04/28/2026 cell nokia): 28/04/2026 : Check breaker and  interconnection FRMF (sfp, optical fiber) between system and radio module, swap its if needed || FME yannick  presentement en route pour le site de logbong|| Forte pluie  dans la zone||Intervention pour demain..;..;(04/28/2026 cell nokia): 28/04/2026 : Check breaker and  interconnection FRMF (sfp, optical fiber) between system and radio module, swap its if needed || FME yannick  presentement en route pour le site de logbong|| Forte pluie  dans la zone||Intervention pour demain 29/04/2026 </t>
        </is>
      </c>
      <c r="U778" t="inlineStr">
        <is>
          <t>04/28/2026 cell nokia) : 28/04/2026 : Check breaker and interconnection FRMF (sfp, optical fiber) between system and radio module, swap its if needed || FME yannick presentement en route pour le site de logbong .;.;(04/28/2026 cell nokia) : 28/04/2026 : Check breaker and interconnection FRMF (sfp, optical fiber) between system and radio module, swap its if needed || FME yannick presentement en route pour le site de logbong || Forte pluie dans la zone || Intervention pour demain.;.;(04/28/2026 cell nokia) : 28/04/2026 : Check breaker and interconnection FRMF (sfp, optical fiber) between system and radio module, swap its if needed || FME yannick presentement en route pour le site de logbong || Forte pluie dans la zone || Intervention pour demain 29/04/2026</t>
        </is>
      </c>
    </row>
    <row r="779">
      <c r="A779" s="96" t="n">
        <v>46140</v>
      </c>
      <c r="B779" t="inlineStr">
        <is>
          <t>Nkolmeyang-IHS</t>
        </is>
      </c>
      <c r="C779" t="inlineStr">
        <is>
          <t>CTR_442</t>
        </is>
      </c>
      <c r="D779" t="inlineStr"/>
      <c r="E779" t="inlineStr">
        <is>
          <t>IHS</t>
        </is>
      </c>
      <c r="F779" t="inlineStr">
        <is>
          <t>Grid-Gen</t>
        </is>
      </c>
      <c r="G779" t="inlineStr">
        <is>
          <t>CENTRE</t>
        </is>
      </c>
      <c r="H779" t="inlineStr">
        <is>
          <t>Nkolmeyang</t>
        </is>
      </c>
      <c r="I779" t="inlineStr"/>
      <c r="J779" t="n">
        <v>0</v>
      </c>
      <c r="K779" t="n">
        <v>0</v>
      </c>
      <c r="L779" t="n">
        <v>0</v>
      </c>
      <c r="M779" t="n">
        <v>0</v>
      </c>
      <c r="N779" t="inlineStr"/>
      <c r="O779" t="inlineStr"/>
      <c r="P779" t="inlineStr">
        <is>
          <t>ENVTECH</t>
        </is>
      </c>
      <c r="Q779" t="inlineStr">
        <is>
          <t>ENVTECH</t>
        </is>
      </c>
      <c r="R779" t="inlineStr">
        <is>
          <t>Sites strategiques, MLL, Pylone, etc.</t>
        </is>
      </c>
      <c r="S779" t="inlineStr">
        <is>
          <t>PASSIVE</t>
        </is>
      </c>
      <c r="T779" t="inlineStr">
        <is>
          <t>(04/28/2026 ocm ran 19h): 13/04/2026 ETR mi-juin
07/04/2026 Ce site prendra aussi sa transmission sur Tiga. Finalisation du site de Tiga  ETR:09/04/2026
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reconnection)..;..;(04/28/2026 ocm ran 14h): 13/04/2026 ETR mi-juin
07/04/2026 Ce site prendra aussi sa transmission sur Tiga. Finalisation du site de Tiga  ETR:09/04/2026
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reconnection)..;..;(04/28/2026 com ran 10h): 13/04/2026 ETR mi-juin
07/04/2026 Ce site prendra aussi sa transmission sur Tiga. Finalisation du site de Tiga  ETR:09/04/2026
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reconnection)..;..;(04/28/2026 ocm ran 00h): 13/04/2026 ETR mi-juin
07/04/2026 Ce site prendra aussi sa transmission sur Tiga. Finalisation du site de Tiga  ETR:09/04/2026
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t>
        </is>
      </c>
      <c r="U779" t="inlineStr">
        <is>
          <t>: 13/04/2026 ETR mi-juin 07/04/2026 Ce site prendra aussi sa transmission sur Tiga. Finalisation du site de Tiga ETR : 09/04/2026 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 : 13/04/2026 ETR mi-juin 07/04/2026 Ce site prendra aussi sa transmission sur Tiga. Finalisation du site de Tiga ETR : 09/04/2026 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reconnection).;.;(04/28/2026 com ran 10h) : 13/04/2026 ETR mi-juin 07/04/2026 Ce site prendra aussi sa transmission sur Tiga. Finalisation du site de Tiga ETR : 09/04/2026 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 : 13/04/2026 ETR mi-juin 07/04/2026 Ce site prendra aussi sa transmission sur Tiga. Finalisation du site de Tiga ETR : 09/04/2026 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t>
        </is>
      </c>
    </row>
    <row r="780">
      <c r="A780" s="96" t="n">
        <v>46140</v>
      </c>
      <c r="B780" t="inlineStr">
        <is>
          <t>Ouro-Dara</t>
        </is>
      </c>
      <c r="C780" t="inlineStr">
        <is>
          <t>ADM_148</t>
        </is>
      </c>
      <c r="D780" t="inlineStr"/>
      <c r="E780" t="inlineStr">
        <is>
          <t>CAMUSAT</t>
        </is>
      </c>
      <c r="F780" t="inlineStr">
        <is>
          <t>Hybrid Solar - S3</t>
        </is>
      </c>
      <c r="G780" t="inlineStr">
        <is>
          <t>ADAMAOUA</t>
        </is>
      </c>
      <c r="H780" t="inlineStr">
        <is>
          <t>Oura-Dara</t>
        </is>
      </c>
      <c r="I780" t="inlineStr"/>
      <c r="J780" t="n">
        <v>0</v>
      </c>
      <c r="K780" t="n">
        <v>0</v>
      </c>
      <c r="L780" t="n">
        <v>0</v>
      </c>
      <c r="M780" t="n">
        <v>0</v>
      </c>
      <c r="N780" t="inlineStr"/>
      <c r="O780" t="inlineStr"/>
      <c r="P780" t="inlineStr">
        <is>
          <t>SPARE-ISSUE</t>
        </is>
      </c>
      <c r="Q780" t="inlineStr">
        <is>
          <t>SPARE-ISSUE</t>
        </is>
      </c>
      <c r="R780" t="inlineStr">
        <is>
          <t>Warehouse HUAWEI</t>
        </is>
      </c>
      <c r="S780" t="inlineStr">
        <is>
          <t>SPARE-ISSUE</t>
        </is>
      </c>
      <c r="T780" t="inlineStr">
        <is>
          <t>(04/28/2026 ocm ran 19h):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status..;..;(04/28/2026 ocm ran 14h):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status..;..;(04/28/2026 com ran 10h):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status..;..;(04/28/2026 ocm ran 00h):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t>
        </is>
      </c>
      <c r="U780" t="inlineStr">
        <is>
          <t>: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 : 28/04/2026 Verification en cours de la disponibilité du modem en cours update asap 27.04.26 GO pour utilisation du MODEM X7 update asap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status.;.;(04/28/2026 com ran 10h) :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 : 21.04.26; Commande du modem passée à OCM, en attente de la MAD 14/04/2026 Nous avons recu le modem ce jour sur Ngaoundere du SPM HUAWEI (vous pouvez verifier aupres de Kingsley) et le modem recu est incompatible (Modem Newtech-Idirect) avec ce qui est utilisé au cameroun sur le réseau OCM (Modem Newtech-Idirect Evolution). Apres connexion sur le dit modem, l'interface est differente; Nous avons informé le BO TX @BENOIT NYOBE qui a confirmé qu'on ne peut utiliser ce modem sur le réseau OCM; ce dernier (le BO TX @BENOIT NYOBE ) a dit qu'il contacterait l'ingenieurie OCM a ce propos; nous restons en attente. 14.04.2026 : Nouveau modem I-direct en cours de configuration avant expédition sur Touboro ce 14/04/2026 13/04/2026 Nouveau modem I-direct en cours de configuration avant expédition sur Touboro ce 13/04/2026 09.04.26; Modem faulty et expédition en cours Ngaoundéré pour Touboro, ETD=12.04.26 09.04.26; FME sur site mais intervention retardée par la pluie - Modem faulty, commande en cours et update ASAP 08.04.26; FME en route pour le site, ETA=13H UTC - FME sur site mais plus en cours 07.04.26; LNB en cours d'expédition de Ngaoundéré pour Touboro, ETD=07.04.26 06.04.26; LNB en cours d'expédition de Ngaoundéré pour Touboro, ETD=06.04.26 04/04/2026 LNB en transport de Garoua pour Ngaoundere. ETD= 05.Avril.2026 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t>
        </is>
      </c>
    </row>
    <row r="781">
      <c r="A781" s="96" t="n">
        <v>46140</v>
      </c>
      <c r="B781" t="inlineStr">
        <is>
          <t>Bastos-Bir-IHS</t>
        </is>
      </c>
      <c r="C781" t="inlineStr">
        <is>
          <t>CTR_640</t>
        </is>
      </c>
      <c r="D781" t="inlineStr"/>
      <c r="E781" t="inlineStr">
        <is>
          <t>IHS</t>
        </is>
      </c>
      <c r="F781" t="inlineStr">
        <is>
          <t>Grid-Gen</t>
        </is>
      </c>
      <c r="G781" t="inlineStr">
        <is>
          <t>CENTRE</t>
        </is>
      </c>
      <c r="H781" t="inlineStr">
        <is>
          <t>Yaounde</t>
        </is>
      </c>
      <c r="I781" t="inlineStr"/>
      <c r="J781" t="n">
        <v>0</v>
      </c>
      <c r="K781" t="n">
        <v>0</v>
      </c>
      <c r="L781" t="n">
        <v>0</v>
      </c>
      <c r="M781" t="n">
        <v>0</v>
      </c>
      <c r="N781" t="inlineStr"/>
      <c r="O781" t="inlineStr"/>
      <c r="P781" t="inlineStr">
        <is>
          <t>BSS</t>
        </is>
      </c>
      <c r="Q781" t="inlineStr">
        <is>
          <t>RAN ISSUE</t>
        </is>
      </c>
      <c r="R781" t="inlineStr">
        <is>
          <t>BSS Hardware issue</t>
        </is>
      </c>
      <c r="S781" t="inlineStr">
        <is>
          <t>ACTIVE</t>
        </is>
      </c>
      <c r="T781" t="inlineStr">
        <is>
          <t xml:space="preserve">  04/28/2026: hardware issue,  site with GPS issue (alarm : TDD down 09Apr 02pm)</t>
        </is>
      </c>
      <c r="U781" t="inlineStr">
        <is>
          <t>04/28/2026 : hardware issue, site with GPS issue (alarm : TDD down 09Apr 02pm)</t>
        </is>
      </c>
    </row>
    <row r="782">
      <c r="A782" s="96" t="n">
        <v>46140</v>
      </c>
      <c r="B782" t="inlineStr">
        <is>
          <t>Mvog-Ebanda</t>
        </is>
      </c>
      <c r="C782" t="inlineStr">
        <is>
          <t>CTR_341</t>
        </is>
      </c>
      <c r="D782" t="inlineStr"/>
      <c r="E782" t="inlineStr">
        <is>
          <t>IHS</t>
        </is>
      </c>
      <c r="F782" t="inlineStr">
        <is>
          <t>Grid-Gen</t>
        </is>
      </c>
      <c r="G782" t="inlineStr">
        <is>
          <t>CENTRE</t>
        </is>
      </c>
      <c r="H782" t="inlineStr">
        <is>
          <t>Yaounde</t>
        </is>
      </c>
      <c r="I782" t="inlineStr"/>
      <c r="J782" t="n">
        <v>0</v>
      </c>
      <c r="K782" t="n">
        <v>0</v>
      </c>
      <c r="L782" t="n">
        <v>0</v>
      </c>
      <c r="M782" t="n">
        <v>0</v>
      </c>
      <c r="N782" t="inlineStr"/>
      <c r="O782" t="inlineStr"/>
      <c r="P782" t="inlineStr">
        <is>
          <t>BSS</t>
        </is>
      </c>
      <c r="Q782" t="inlineStr">
        <is>
          <t>RAN ISSUE</t>
        </is>
      </c>
      <c r="R782" t="inlineStr">
        <is>
          <t>BSS Hardware issue</t>
        </is>
      </c>
      <c r="S782" t="inlineStr">
        <is>
          <t>ACTIVE</t>
        </is>
      </c>
      <c r="T782" t="inlineStr">
        <is>
          <t xml:space="preserve">  04/28/2026: hardware issue,  site with GPS issue (alarm : TDD down 09Apr 02pm)</t>
        </is>
      </c>
      <c r="U782" t="inlineStr">
        <is>
          <t>04/28/2026 : hardware issue, site with GPS issue (alarm : TDD down 09Apr 02pm)</t>
        </is>
      </c>
    </row>
    <row r="783">
      <c r="A783" s="96" t="n">
        <v>46140</v>
      </c>
      <c r="B783" t="inlineStr">
        <is>
          <t>Mvog-Ebanda-II</t>
        </is>
      </c>
      <c r="C783" t="inlineStr">
        <is>
          <t>CTR_668</t>
        </is>
      </c>
      <c r="D783" t="inlineStr"/>
      <c r="E783" t="inlineStr">
        <is>
          <t>CAMUSAT</t>
        </is>
      </c>
      <c r="F783" t="inlineStr">
        <is>
          <t>Medium Grid + Solar + GE</t>
        </is>
      </c>
      <c r="G783" t="inlineStr">
        <is>
          <t>CENTRE</t>
        </is>
      </c>
      <c r="H783" t="inlineStr">
        <is>
          <t>Yaounde</t>
        </is>
      </c>
      <c r="I783" t="inlineStr"/>
      <c r="J783" t="n">
        <v>0</v>
      </c>
      <c r="K783" t="n">
        <v>0</v>
      </c>
      <c r="L783" t="n">
        <v>0</v>
      </c>
      <c r="M783" t="n">
        <v>0</v>
      </c>
      <c r="N783" t="inlineStr"/>
      <c r="O783" t="inlineStr"/>
      <c r="P783" t="inlineStr">
        <is>
          <t>BSS</t>
        </is>
      </c>
      <c r="Q783" t="inlineStr">
        <is>
          <t>RAN ISSUE</t>
        </is>
      </c>
      <c r="R783" t="inlineStr">
        <is>
          <t>BSS Hardware issue</t>
        </is>
      </c>
      <c r="S783" t="inlineStr">
        <is>
          <t>ACTIVE</t>
        </is>
      </c>
      <c r="T783" t="inlineStr">
        <is>
          <t xml:space="preserve">  04/28/2026: hardware issue,  site with GPS issue (alarm : TDD down 09Apr 02pm)</t>
        </is>
      </c>
      <c r="U783" t="inlineStr">
        <is>
          <t>04/28/2026 : hardware issue, site with GPS issue (alarm : TDD down 09Apr 02pm)</t>
        </is>
      </c>
    </row>
    <row r="784">
      <c r="A784" s="96" t="n">
        <v>46140</v>
      </c>
      <c r="B784" t="inlineStr">
        <is>
          <t>Soa-Town-IHS</t>
        </is>
      </c>
      <c r="C784" t="inlineStr">
        <is>
          <t>CTR_649</t>
        </is>
      </c>
      <c r="D784" t="inlineStr"/>
      <c r="E784" t="inlineStr">
        <is>
          <t>IHS</t>
        </is>
      </c>
      <c r="F784" t="inlineStr">
        <is>
          <t>Grid-Gen</t>
        </is>
      </c>
      <c r="G784" t="inlineStr">
        <is>
          <t>CENTRE</t>
        </is>
      </c>
      <c r="H784" t="inlineStr">
        <is>
          <t>Yaounde</t>
        </is>
      </c>
      <c r="I784" t="inlineStr"/>
      <c r="J784" t="n">
        <v>0</v>
      </c>
      <c r="K784" t="n">
        <v>0</v>
      </c>
      <c r="L784" t="n">
        <v>0</v>
      </c>
      <c r="M784" t="n">
        <v>0</v>
      </c>
      <c r="N784" t="inlineStr"/>
      <c r="O784" t="inlineStr"/>
      <c r="P784" t="inlineStr">
        <is>
          <t>SPARE-ISSUE</t>
        </is>
      </c>
      <c r="Q784" t="inlineStr">
        <is>
          <t>SPARE-ISSUE</t>
        </is>
      </c>
      <c r="R784" t="inlineStr">
        <is>
          <t>Warehouse HUAWEI</t>
        </is>
      </c>
      <c r="S784" t="inlineStr">
        <is>
          <t>SPARE-ISSUE</t>
        </is>
      </c>
      <c r="T784" t="inlineStr">
        <is>
          <t>(04/28/2026 cell zte):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10042026..;..;(04/28/2026 cell zte):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10042026..;..;(04/28/2026 cell zte):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t>
        </is>
      </c>
      <c r="U784" t="inlineStr">
        <is>
          <t>04/28/2026 cell zte) :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10042026.;.;(04/28/2026 cell zte) :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10042026.;.;(04/28/2026 cell zte) : 27/04/2026 : Images spare toujours attendu du RM 24/04/2026 : Le RM a partage les images de spare attendu || Feedback HW SPMS attendu 23/04/2026 : Commande en cours || Spare pas disponible au magasin || Mail envoye a HW SPMS 22/04/2026 : Test de trubleshooting ce jour entre le fme sur site et le support ZTE ; conclusion jumper faulty || Validation remplacement jumper attendu de ZTE pour commande de spare || Go de ZTE recu || commande de spare attendu du Fme 18/04/2026 : Relance faite a ZTE ce jour 17/04/2026 : Fme sur site ce jour pour effectuer certains tests demandes par ZTE afin de donner le GO pour le remplacement de la RRU 15/04/2026 : Relance faite a ZTE ce jour || Validation remplacement SPARE toujours attendu de ZTE 14/04/2026 : RI envoye a ZTE en attendant le GO pour le remplacement de la RRU 13/03/2026 : Commande passe || attente validation 11/04/2026 : Relance du Fme ce jour ETA attendu || Feedback Fme : "le port 1 de le RRU est faulty || Commande en cours 10/04/2026 : Fme en route pour le site ETA 11h || Feedback Fme : jumpers faulty || commande en cours || Intervention en cours || Intervention interrompue pour urgence de restauration d'un site down (SOA_Eglise _Catholigue) || Suite remplacement de RF Jumper le 11042026 09/04/2026 : Besoin d'analyse BO RAN || Check and clean jumper, port 1 of RRU 51 || Fme active || Feedback Fme : Noté Les vérifications seront faites demain Il pleut dans la ville ETA 10042026</t>
        </is>
      </c>
    </row>
    <row r="785">
      <c r="A785" s="96" t="n">
        <v>46140</v>
      </c>
      <c r="B785" t="inlineStr">
        <is>
          <t>Madingring</t>
        </is>
      </c>
      <c r="C785" t="inlineStr">
        <is>
          <t>NRD_036</t>
        </is>
      </c>
      <c r="D785" t="inlineStr"/>
      <c r="E785" t="inlineStr">
        <is>
          <t>IHS</t>
        </is>
      </c>
      <c r="F785" t="inlineStr">
        <is>
          <t>Solar-Gen</t>
        </is>
      </c>
      <c r="G785" t="inlineStr">
        <is>
          <t>NORD</t>
        </is>
      </c>
      <c r="H785" t="inlineStr">
        <is>
          <t>Madingring</t>
        </is>
      </c>
      <c r="I785" t="inlineStr"/>
      <c r="J785" t="n">
        <v>0</v>
      </c>
      <c r="K785" t="n">
        <v>0</v>
      </c>
      <c r="L785" t="n">
        <v>0</v>
      </c>
      <c r="M785" t="n">
        <v>0</v>
      </c>
      <c r="N785" t="inlineStr"/>
      <c r="O785" t="inlineStr"/>
      <c r="P785" t="inlineStr">
        <is>
          <t>TRAVAUX OCM</t>
        </is>
      </c>
      <c r="Q785" t="inlineStr">
        <is>
          <t>TRAVAUX OCM</t>
        </is>
      </c>
      <c r="R785" t="inlineStr">
        <is>
          <t>Projet OCM (ZTE, NOKIA, autres projets)</t>
        </is>
      </c>
      <c r="S785" t="inlineStr">
        <is>
          <t>PLANNED WORKS</t>
        </is>
      </c>
      <c r="T785" t="inlineStr">
        <is>
          <t>(04/28/2026 ocm ran 19h): New BTS installed and not yet accepted..;..;(04/28/2026 ocm ran 14h): New BTS installed and not yet accepted..;..;(04/28/2026 com ran 10h): New BTS installed and not yet accepted..;..;(04/28/2026 ocm ran 00h): New BTS installed and not yet accepted</t>
        </is>
      </c>
      <c r="U785" t="inlineStr">
        <is>
          <t>: New BTS installed and not yet accepted.;.; : New BTS installed and not yet accepted.;.;(04/28/2026 com ran 10h) : New BTS installed and not yet accepted.;.; : New BTS installed and not yet accepted</t>
        </is>
      </c>
    </row>
    <row r="786">
      <c r="A786" s="96" t="n">
        <v>46140</v>
      </c>
      <c r="B786" t="inlineStr">
        <is>
          <t>Mamfe-Town-IHS</t>
        </is>
      </c>
      <c r="C786" t="inlineStr">
        <is>
          <t>SUO_107</t>
        </is>
      </c>
      <c r="D786" t="inlineStr"/>
      <c r="E786" t="inlineStr">
        <is>
          <t>IHS</t>
        </is>
      </c>
      <c r="F786" t="inlineStr">
        <is>
          <t>Gen Only</t>
        </is>
      </c>
      <c r="G786" t="inlineStr">
        <is>
          <t>SUD-OUEST</t>
        </is>
      </c>
      <c r="H786" t="inlineStr">
        <is>
          <t>Mamfe</t>
        </is>
      </c>
      <c r="I786" t="inlineStr"/>
      <c r="J786" t="n">
        <v>0</v>
      </c>
      <c r="K786" t="n">
        <v>0</v>
      </c>
      <c r="L786" t="n">
        <v>0</v>
      </c>
      <c r="M786" t="n">
        <v>0</v>
      </c>
      <c r="N786" t="inlineStr"/>
      <c r="O786" t="inlineStr"/>
      <c r="P786" t="inlineStr">
        <is>
          <t>IHS</t>
        </is>
      </c>
      <c r="Q786" t="inlineStr">
        <is>
          <t>POWER ISSUE</t>
        </is>
      </c>
      <c r="R786" t="inlineStr">
        <is>
          <t>Defaut GE &amp; Power Cabinet</t>
        </is>
      </c>
      <c r="S786" t="inlineStr">
        <is>
          <t>PASSIVE</t>
        </is>
      </c>
      <c r="T786" t="inlineStr">
        <is>
          <t>(04/28/2026 hourly IHS): DG FAULTY.</t>
        </is>
      </c>
      <c r="U786" t="inlineStr">
        <is>
          <t>: DG FAULTY.</t>
        </is>
      </c>
    </row>
    <row r="787">
      <c r="A787" s="96" t="n">
        <v>46140</v>
      </c>
      <c r="B787" t="inlineStr">
        <is>
          <t>BTS-Mobile-Tagidor-Hotel</t>
        </is>
      </c>
      <c r="C787" t="inlineStr">
        <is>
          <t>OST_306</t>
        </is>
      </c>
      <c r="D787" t="inlineStr"/>
      <c r="E787" t="inlineStr">
        <is>
          <t>CAMUSAT</t>
        </is>
      </c>
      <c r="F787" t="inlineStr">
        <is>
          <t>Medium Grid + GE</t>
        </is>
      </c>
      <c r="G787" t="inlineStr">
        <is>
          <t>OUEST</t>
        </is>
      </c>
      <c r="H787" t="inlineStr">
        <is>
          <t>Bafoussam</t>
        </is>
      </c>
      <c r="I787" t="inlineStr"/>
      <c r="J787" t="n">
        <v>0</v>
      </c>
      <c r="K787" t="n">
        <v>0</v>
      </c>
      <c r="L787" t="n">
        <v>0</v>
      </c>
      <c r="M787" t="n">
        <v>0</v>
      </c>
      <c r="N787" t="inlineStr"/>
      <c r="O787" t="inlineStr"/>
      <c r="P787" t="inlineStr">
        <is>
          <t>TRAVAUX-HUAWEI</t>
        </is>
      </c>
      <c r="Q787" t="inlineStr">
        <is>
          <t>TRAVAUX-HUAWEI</t>
        </is>
      </c>
      <c r="R787" t="inlineStr">
        <is>
          <t>Projet OCM (HUAWEI)</t>
        </is>
      </c>
      <c r="S787" t="inlineStr">
        <is>
          <t>PLANNED WORKS</t>
        </is>
      </c>
      <c r="T787" t="inlineStr">
        <is>
          <t>(04/28/2026 ocm ran 19h): Site en cours de démentelement..;..;(04/28/2026 ocm ran 14h): Site en cours de démentelement..;..;(04/28/2026 com ran 10h): Site en cours de démentelement..;..;(04/28/2026 ocm ran 00h): Site en cours de démentelement</t>
        </is>
      </c>
      <c r="U787" t="inlineStr">
        <is>
          <t>: Site en cours de démentelement.;.; : Site en cours de démentelement.;.;(04/28/2026 com ran 10h) : Site en cours de démentelement.;.; : Site en cours de démentelement</t>
        </is>
      </c>
    </row>
    <row r="788">
      <c r="A788" s="96" t="n">
        <v>46140</v>
      </c>
      <c r="B788" t="inlineStr">
        <is>
          <t>Minisite-Tradex-Village</t>
        </is>
      </c>
      <c r="C788" t="inlineStr">
        <is>
          <t>LIT_663</t>
        </is>
      </c>
      <c r="D788" t="inlineStr"/>
      <c r="E788" t="inlineStr">
        <is>
          <t>CAMUSAT</t>
        </is>
      </c>
      <c r="F788" t="inlineStr">
        <is>
          <t>Good Grid no GE - 8h</t>
        </is>
      </c>
      <c r="G788" t="inlineStr">
        <is>
          <t>LITTORAL</t>
        </is>
      </c>
      <c r="H788" t="inlineStr">
        <is>
          <t>Douala</t>
        </is>
      </c>
      <c r="I788" t="inlineStr"/>
      <c r="J788" t="n">
        <v>0</v>
      </c>
      <c r="K788" t="n">
        <v>0</v>
      </c>
      <c r="L788" t="n">
        <v>0</v>
      </c>
      <c r="M788" t="n">
        <v>0</v>
      </c>
      <c r="N788" t="inlineStr"/>
      <c r="O788" t="inlineStr"/>
      <c r="P788" t="inlineStr">
        <is>
          <t>AKTIVCO GRID ONLY</t>
        </is>
      </c>
      <c r="Q788" t="inlineStr">
        <is>
          <t>POWER ISSUE</t>
        </is>
      </c>
      <c r="R788" t="inlineStr">
        <is>
          <t>AKTIVCO Coupure ENEO &amp; Baisse de tension</t>
        </is>
      </c>
      <c r="S788" t="inlineStr">
        <is>
          <t>PASSIVE</t>
        </is>
      </c>
      <c r="T788" t="inlineStr">
        <is>
          <t xml:space="preserve">(04/28/2026 ocm ran 19h): 28/04/2026 Camusat: Grid outage grid only site / grid return awaited..;..;(04/28/2026 ocm ran 14h): Power status check ongoing..;..;(04/28/2026 ocm ran 00h): 27/04/2026 Bad grid voltage, low solar/ Solar return awaited ESCALADE L3 CAMUSAT
26/04/2026 CAMUSAT feedback : team en route pour verification 
25/04/2026 Bad grid voltage, low solar/ Solar return awaited..;..;(04/28/2026 ticket): INC-20260428-00008704…2026-04-28 12:59:44…Grid outage grid only site / grid return awaited…grid only power issue on site </t>
        </is>
      </c>
      <c r="U788" t="inlineStr">
        <is>
          <t>: 28/04/2026 Camusat : Grid outage grid only site / grid return awaited.;.; : ; : 27/04/2026 Bad grid voltage, low solar/ Solar return awaited ESCALADE L3 CAMUSAT 26/04/2026 CAMUSAT feedback : team en route pour verification 25/04/2026 Bad grid voltage, low solar/ Solar return awaited.;.; : …2026-04-28 12 : 59 : 44…Grid outage grid only site / grid return awaited…grid only power issue on site</t>
        </is>
      </c>
    </row>
    <row r="789">
      <c r="A789" s="96" t="n">
        <v>46140</v>
      </c>
      <c r="B789" t="inlineStr">
        <is>
          <t>Zili-Nkoteng-IHS</t>
        </is>
      </c>
      <c r="C789" t="inlineStr">
        <is>
          <t>CTR_910</t>
        </is>
      </c>
      <c r="D789" t="inlineStr"/>
      <c r="E789" t="inlineStr">
        <is>
          <t>IHS</t>
        </is>
      </c>
      <c r="F789" t="inlineStr">
        <is>
          <t>Hybrid-Gen</t>
        </is>
      </c>
      <c r="G789" t="inlineStr">
        <is>
          <t>CENTRE</t>
        </is>
      </c>
      <c r="H789" t="inlineStr">
        <is>
          <t>Nkoteng</t>
        </is>
      </c>
      <c r="I789" t="inlineStr"/>
      <c r="J789" t="n">
        <v>0</v>
      </c>
      <c r="K789" t="n">
        <v>0</v>
      </c>
      <c r="L789" t="n">
        <v>0</v>
      </c>
      <c r="M789" t="n">
        <v>0</v>
      </c>
      <c r="N789" t="inlineStr"/>
      <c r="O789" t="inlineStr"/>
      <c r="P789" t="inlineStr">
        <is>
          <t>Exclu</t>
        </is>
      </c>
      <c r="Q789" t="inlineStr">
        <is>
          <t>Exclu</t>
        </is>
      </c>
      <c r="R789" t="inlineStr">
        <is>
          <t>EXCLU</t>
        </is>
      </c>
      <c r="S789" t="inlineStr">
        <is>
          <t>Exclu</t>
        </is>
      </c>
      <c r="T789" t="inlineStr">
        <is>
          <t>(04/28/2026 hourly IHS): Francis (Dowen // 679332223) is on site for work (swap de la MPR) BATEU and Alphonse DEFFO informed..;..;(04/28/2026 ocm ran 19h): Power status check ongoing..;..;(04/28/2026 ocm ran 00h): 27.04.26: IHS: 42.8 V: MPR Faulty, Escalation done until Bate</t>
        </is>
      </c>
      <c r="U789" t="inlineStr">
        <is>
          <t>: Francis (Dowen // 679332223) is on site for work (swap de la MPR) BATEU and Alphonse DEFFO informed.;.; : ; : 27.04.26 : IHS : 42.8 V : MPR Faulty, Escalation done until Bate</t>
        </is>
      </c>
    </row>
    <row r="790">
      <c r="A790" s="96" t="n">
        <v>46140</v>
      </c>
      <c r="B790" t="inlineStr">
        <is>
          <t>Menloh-Maloume-Camrail</t>
        </is>
      </c>
      <c r="C790" t="inlineStr">
        <is>
          <t>CTR_451</t>
        </is>
      </c>
      <c r="D790" t="inlineStr"/>
      <c r="E790" t="inlineStr">
        <is>
          <t>CAMUSAT</t>
        </is>
      </c>
      <c r="F790" t="inlineStr">
        <is>
          <t>Hybrid Solar - S3</t>
        </is>
      </c>
      <c r="G790" t="inlineStr">
        <is>
          <t>CENTRE</t>
        </is>
      </c>
      <c r="H790" t="inlineStr">
        <is>
          <t>Eseka</t>
        </is>
      </c>
      <c r="I790" t="inlineStr"/>
      <c r="J790" t="n">
        <v>0</v>
      </c>
      <c r="K790" t="n">
        <v>0</v>
      </c>
      <c r="L790" t="n">
        <v>0</v>
      </c>
      <c r="M790" t="n">
        <v>0</v>
      </c>
      <c r="N790" t="inlineStr"/>
      <c r="O790" t="inlineStr"/>
      <c r="P790" t="inlineStr">
        <is>
          <t>PDH</t>
        </is>
      </c>
      <c r="Q790" t="inlineStr">
        <is>
          <t>TX ISSUE</t>
        </is>
      </c>
      <c r="R790" t="inlineStr">
        <is>
          <t>ODU HS</t>
        </is>
      </c>
      <c r="S790" t="inlineStr">
        <is>
          <t>ACTIVE</t>
        </is>
      </c>
      <c r="T790" t="inlineStr">
        <is>
          <t>(04/28/2026 ocm ran 19h): 28/04/2026  Site down with no power alarms; Need FME on site to check antenna chain of ODU 3.1 FME activé ETA asap ..;..;(04/28/2026 ocm ran 14h): Power status check ongoing</t>
        </is>
      </c>
      <c r="U790" t="inlineStr">
        <is>
          <t>: 28/04/2026 Site down with no power alarms; Need FME on site to check antenna chain of ODU 3.1 FME activé ETA asap .;.; : Power status check ongoing</t>
        </is>
      </c>
    </row>
    <row r="791">
      <c r="A791" s="96" t="n">
        <v>46140</v>
      </c>
      <c r="B791" t="inlineStr">
        <is>
          <t>Ndom</t>
        </is>
      </c>
      <c r="C791" t="inlineStr">
        <is>
          <t>SUO_028</t>
        </is>
      </c>
      <c r="D791" t="inlineStr"/>
      <c r="E791" t="inlineStr">
        <is>
          <t>IHS</t>
        </is>
      </c>
      <c r="F791" t="inlineStr">
        <is>
          <t>Grid Gen</t>
        </is>
      </c>
      <c r="G791" t="inlineStr">
        <is>
          <t>SUD-OUEST</t>
        </is>
      </c>
      <c r="H791" t="inlineStr">
        <is>
          <t>Ndom</t>
        </is>
      </c>
      <c r="I791" t="inlineStr"/>
      <c r="J791" t="n">
        <v>0</v>
      </c>
      <c r="K791" t="n">
        <v>0</v>
      </c>
      <c r="L791" t="n">
        <v>0</v>
      </c>
      <c r="M791" t="n">
        <v>0</v>
      </c>
      <c r="N791" t="inlineStr"/>
      <c r="O791" t="inlineStr"/>
      <c r="P791" t="inlineStr">
        <is>
          <t>IHS</t>
        </is>
      </c>
      <c r="Q791" t="inlineStr">
        <is>
          <t>POWER ISSUE</t>
        </is>
      </c>
      <c r="R791" t="inlineStr">
        <is>
          <t>Defaut GE &amp; Power Cabinet</t>
        </is>
      </c>
      <c r="S791" t="inlineStr">
        <is>
          <t>PASSIVE</t>
        </is>
      </c>
      <c r="T791" t="inlineStr">
        <is>
          <t>(04/28/2026 hourly IHS): Fme is on yhe way ETA, 02:30 AM</t>
        </is>
      </c>
      <c r="U791" t="inlineStr">
        <is>
          <t>: Fme is on yhe way ETA, 02 : 30 AM</t>
        </is>
      </c>
    </row>
    <row r="792">
      <c r="A792" s="96" t="n">
        <v>46140</v>
      </c>
      <c r="B792" t="inlineStr">
        <is>
          <t>Sokelle-IHS</t>
        </is>
      </c>
      <c r="C792" t="inlineStr">
        <is>
          <t>LIT_506</t>
        </is>
      </c>
      <c r="D792" t="inlineStr"/>
      <c r="E792" t="inlineStr">
        <is>
          <t>IHS</t>
        </is>
      </c>
      <c r="F792" t="inlineStr">
        <is>
          <t>Gen Only</t>
        </is>
      </c>
      <c r="G792" t="inlineStr">
        <is>
          <t>LITTORAL</t>
        </is>
      </c>
      <c r="H792" t="inlineStr">
        <is>
          <t>Sokelle</t>
        </is>
      </c>
      <c r="I792" t="inlineStr"/>
      <c r="J792" t="n">
        <v>0</v>
      </c>
      <c r="K792" t="n">
        <v>0</v>
      </c>
      <c r="L792" t="n">
        <v>0</v>
      </c>
      <c r="M792" t="n">
        <v>0</v>
      </c>
      <c r="N792" t="inlineStr"/>
      <c r="O792" t="inlineStr"/>
      <c r="P792" t="inlineStr">
        <is>
          <t>BSS</t>
        </is>
      </c>
      <c r="Q792" t="inlineStr">
        <is>
          <t>RAN ISSUE</t>
        </is>
      </c>
      <c r="R792" t="inlineStr">
        <is>
          <t>BSS Hardware issue</t>
        </is>
      </c>
      <c r="S792" t="inlineStr">
        <is>
          <t>ACTIVE</t>
        </is>
      </c>
      <c r="T792" t="inlineStr">
        <is>
          <t xml:space="preserve">(04/28/2026 cell nokia): 28/04/2026 : Intervention apres logbong
27/04/2026 : Intervention plan for tomorrow : 28/04/2026 
24/04/2026 : Intervention prevue pour ce jour || Feedback FME :  FRMF faulty || Cde de la FRMF passer
23/04/2026 : Check breaker and  interconnection FRMF (sfp, optical fiber) between system and radio module, swap its if needed || FME Charlie activer || ETA : deain 24042026 ..;..;(04/28/2026 cell nokia): 28/04/2026 : Intervention apres logbong||Feedback FME : nous toujours sur sokelle et la pluie ne cesse de freiner dans l’avancement avec le remplacement du module FRMF nous avons fais presque deux abritée dans la voiture car il pleut ici exagérément et le site est à 2km ||  Intervention renvoyer a demain 29/04/2026 
27/04/2026 : Intervention plan for tomorrow : 28/04/2026 
24/04/2026 : Intervention prevue pour ce jour || Feedback FME :  FRMF faulty || Cde de la FRMF passer
23/04/2026 : Check breaker and  interconnection FRMF (sfp, optical fiber) between system and radio module, swap its if needed || FME Charlie activer || ETA : deain 24042026 ..;..;(04/28/2026 cell nokia): 28/04/2026 : Intervention apres logbong||Feedback FME : nous toujours sur sokelle et la pluie ne cesse de freiner dans l’avancement avec le remplacement du module FRMF nous avons fais presque deux abritée dans la voiture car il pleut ici exagérément et le site est à 2km ||  Intervention renvoyer a demain 29/04/2026 
27/04/2026 : Intervention plan for tomorrow : 28/04/2026 
24/04/2026 : Intervention prevue pour ce jour || Feedback FME :  FRMF faulty || Cde de la FRMF passer
23/04/2026 : Check breaker and  interconnection FRMF (sfp, optical fiber) between system and radio module, swap its if needed || FME Charlie activer || ETA : deain 24042026 </t>
        </is>
      </c>
      <c r="U792" t="inlineStr">
        <is>
          <t>04/28/2026 cell nokia) : 28/04/2026 : Intervention apres logbong 27/04/2026 : Intervention plan for tomorrow : 28/04/2026 24/04/2026 : Intervention prevue pour ce jour || Feedback FME : FRMF faulty || Cde de la FRMF passer 23/04/2026 : Check breaker and interconnection FRMF (sfp, optical fiber) between system and radio module, swap its if needed || ETA : deain 24042026 .;.;(04/28/2026 cell nokia) : 28/04/2026 : Intervention apres logbong || Feedback FME : nous toujours sur sokelle et la pluie ne cesse de freiner dans l’avancement avec le remplacement du module FRMF nous avons fais presque deux abritée dans la voiture car il pleut ici exagérément et le site est à 2km || Intervention renvoyer a demain 29/04/2026 27/04/2026 : Intervention plan for tomorrow : 28/04/2026 24/04/2026 : Intervention prevue pour ce jour || Feedback FME : FRMF faulty || Cde de la FRMF passer 23/04/2026 : Check breaker and interconnection FRMF (sfp, optical fiber) between system and radio module, swap its if needed || ETA : deain 24042026 .;.;(04/28/2026 cell nokia) : 28/04/2026 : Intervention apres logbong || Feedback FME : nous toujours sur sokelle et la pluie ne cesse de freiner dans l’avancement avec le remplacement du module FRMF nous avons fais presque deux abritée dans la voiture car il pleut ici exagérément et le site est à 2km || Intervention renvoyer a demain 29/04/2026 27/04/2026 : Intervention plan for tomorrow : 28/04/2026 24/04/2026 : Intervention prevue pour ce jour || Feedback FME : FRMF faulty || Cde de la FRMF passer 23/04/2026 : Check breaker and interconnection FRMF (sfp, optical fiber) between system and radio module, swap its if needed || ETA : deain 24042026</t>
        </is>
      </c>
    </row>
    <row r="793">
      <c r="A793" s="96" t="n">
        <v>46140</v>
      </c>
      <c r="B793" t="inlineStr">
        <is>
          <t>Ngoung</t>
        </is>
      </c>
      <c r="C793" t="inlineStr">
        <is>
          <t>CTR_115</t>
        </is>
      </c>
      <c r="D793" t="inlineStr"/>
      <c r="E793" t="inlineStr">
        <is>
          <t>IHS</t>
        </is>
      </c>
      <c r="F793" t="inlineStr">
        <is>
          <t>Grid-Gen</t>
        </is>
      </c>
      <c r="G793" t="inlineStr">
        <is>
          <t>CENTRE</t>
        </is>
      </c>
      <c r="H793" t="inlineStr">
        <is>
          <t>Ngoung</t>
        </is>
      </c>
      <c r="I793" t="inlineStr"/>
      <c r="J793" t="n">
        <v>0</v>
      </c>
      <c r="K793" t="n">
        <v>0</v>
      </c>
      <c r="L793" t="n">
        <v>0</v>
      </c>
      <c r="M793" t="n">
        <v>0</v>
      </c>
      <c r="N793" t="inlineStr"/>
      <c r="O793" t="inlineStr"/>
      <c r="P793" t="inlineStr">
        <is>
          <t>IHS</t>
        </is>
      </c>
      <c r="Q793" t="inlineStr">
        <is>
          <t>POWER ISSUE</t>
        </is>
      </c>
      <c r="R793" t="inlineStr">
        <is>
          <t>Defaut GE &amp; Power Cabinet</t>
        </is>
      </c>
      <c r="S793" t="inlineStr">
        <is>
          <t>PASSIVE</t>
        </is>
      </c>
      <c r="T793" t="inlineStr">
        <is>
          <t>(04/28/2026 hourly IHS): Fme Francklin is informed ETA 05:30 PM ZAMBE informed..;..;(04/28/2026 cell zte): 28/04/2026 : Power issue || Mail sent to IHS</t>
        </is>
      </c>
      <c r="U793" t="inlineStr">
        <is>
          <t>: Fme Francklin is informed ETA 05 : 30 PM ZAMBE informed.;.;(04/28/2026 cell zte) : 28/04/2026 : Power issue || Mail sent to IHS</t>
        </is>
      </c>
    </row>
    <row r="794">
      <c r="A794" s="96" t="n">
        <v>46140</v>
      </c>
      <c r="B794" t="inlineStr">
        <is>
          <t>Jabane</t>
        </is>
      </c>
      <c r="C794" t="inlineStr">
        <is>
          <t>SUO_173</t>
        </is>
      </c>
      <c r="D794" t="inlineStr"/>
      <c r="E794" t="inlineStr">
        <is>
          <t>CAMUSAT</t>
        </is>
      </c>
      <c r="F794" t="inlineStr">
        <is>
          <t>Good Grid no GE - 8h</t>
        </is>
      </c>
      <c r="G794" t="inlineStr">
        <is>
          <t>SUD-OUEST</t>
        </is>
      </c>
      <c r="H794" t="inlineStr">
        <is>
          <t>Jabane</t>
        </is>
      </c>
      <c r="I794" t="inlineStr"/>
      <c r="J794" t="n">
        <v>0</v>
      </c>
      <c r="K794" t="n">
        <v>0</v>
      </c>
      <c r="L794" t="n">
        <v>0</v>
      </c>
      <c r="M794" t="n">
        <v>0</v>
      </c>
      <c r="N794" t="inlineStr"/>
      <c r="O794" t="inlineStr"/>
      <c r="P794" t="inlineStr">
        <is>
          <t>ACCESS-ISSUE</t>
        </is>
      </c>
      <c r="Q794" t="inlineStr">
        <is>
          <t>ACCESS-ISSUE</t>
        </is>
      </c>
      <c r="R794" t="inlineStr">
        <is>
          <t>ACCESS-ISSUE</t>
        </is>
      </c>
      <c r="S794" t="inlineStr">
        <is>
          <t>ACCESS-ISSUE</t>
        </is>
      </c>
      <c r="T794" t="inlineStr">
        <is>
          <t>(gROUPE WHATSAPP ): SUO_173_H_Jabane -{ 28.04.26: Probable arrêt du site par le BIR, investigations en cours }  ||(04/28/2026 cell huawei): 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Note also that config are ok, and ping test from BTS to Gateway is not okay as you can see: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 Prochaine tentative le 02042026
31/03/2026 : Feedback BO TX : Probable faulty ODU at Jabane || Check antenna line and change ODU AT MPR LIMBE-BIMBA-CRTV if necesarry PN: 3DB29108AAAAC04
29/03/2026 : need BO RAN analysis || 3G and 4G cells down =&gt; Transmission investigation needed..;..;(04/28/2026 cell huawei): 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Note also that config are ok, and ping test from BTS to Gateway is not okay as you can see: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 Prochaine tentative le 02042026
31/03/2026 : Feedback BO TX : Probable faulty ODU at Jabane || Check antenna line and change ODU AT MPR LIMBE-BIMBA-CRTV if necesarry PN: 3DB29108AAAAC04
29/03/2026 : need BO RAN analysis || 3G and 4G cells down =&gt; Transmission investigation needed..;..;(04/28/2026 cell huawei): 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Note also that config are ok, and ping test from BTS to Gateway is not okay as you can see: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 Prochaine tentative le 02042026
31/03/2026 : Feedback BO TX : Probable faulty ODU at Jabane || Check antenna line and change ODU AT MPR LIMBE-BIMBA-CRTV if necesarry PN: 3DB29108AAAAC04
29/03/2026 : need BO RAN analysis || 3G and 4G cells down =&gt; Transmission investigation needed..;..;(04/28/2026 ocm ran 19h): Power status check ongoing..;..;(04/28/2026 com ran 10h): Power status check ongoing..;..;(04/28/2026 ocm ran 00h): 27.04.26: Site probablement en arrêt par le BIR, investigations en cours</t>
        </is>
      </c>
      <c r="U794" t="inlineStr">
        <is>
          <t>gROUPE WHATSAPP ) : SUO_173_H_Jabane -{ 28.04.26 : Probable arrêt du site par le BIR, investigations en cours } || (04/28/2026 cell huawei) : 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 Note also that config are ok, and ping test from BTS to Gateway is not okay as you can see :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Prochaine tentative le 02042026 31/03/2026 : Feedback BO TX : Probable faulty ODU at Jabane || Check antenna line and change ODU AT MPR LIMBE-BIMBA-CRTV if necesarry PN : 3DB29108AAAAC04 29/03/2026 : need BO RAN analysis || 3G and 4G cells down =&gt; Transmission investigation needed.;.;(04/28/2026 cell huawei) : 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 Note also that config are ok, and ping test from BTS to Gateway is not okay as you can see :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Prochaine tentative le 02042026 31/03/2026 : Feedback BO TX : Probable faulty ODU at Jabane || Check antenna line and change ODU AT MPR LIMBE-BIMBA-CRTV if necesarry PN : 3DB29108AAAAC04 29/03/2026 : need BO RAN analysis || 3G and 4G cells down =&gt; Transmission investigation needed.;.;(04/28/2026 cell huawei) : 22/04/2026 : Feeddback BO TX : Please could plan a session with all the stakeholders? I mean : BIR IT Engineer, BO TX Engineer, BO IP Engineer &amp; BO RAN Engineer. During that session, we will be troubleshooting together at the same time 09/04/2026 : Analyse de la chaine de routage toujours encours cote BO RAN Projet Huawei 07/04/2026 : Feedback BO RAN Projet || As check, kindly find below 3G/4G config : || Note also that config are ok, and ping test from BTS to Gateway is not okay as you can see : || Please @YENE TONER GILLES HENRI, to confirm the root site (cluster) of this site and then we need involve IP team to check base on TX feedback if below IP address use for 3G and 4G are correct or not. Suspecting a reparenting done here with misalignment 06/04/2026 : Support du BO PRojet Huawei attendu || Site down 06/04/2026 : Le FME a ete active pour Salle des Fetes d'AKWA pour redemarrer le MPR || ETA 11h30 || Feedback bo tx apres les actions de ce jour : les Vlan 1847,1851,1855,1859 sont tagues sur les ports 1/4 et 1/2 MPR Jabane, ces derniers arrivent a Salle-Des Fetes et sont tagues sur les ports 1/3 et 1/1. A Ngodi, ils sont tagues sur les ports 7/4 et 1/6. A Larose, ils sont tagues sur les ports 1/5 et 8/7. Seule, la 2G est up, meme routage. bien vouloir verifier si leur GW sont bien sur larose. 01/04/2026 : Cmdant du BIR non joignable pour les acces. Prochaine tentative le 02042026 31/03/2026 : Feedback BO TX : Probable faulty ODU at Jabane || Check antenna line and change ODU AT MPR LIMBE-BIMBA-CRTV if necesarry PN : 3DB29108AAAAC04 29/03/2026 : need BO RAN analysis || 3G and 4G cells down =&gt; Transmission investigation needed.;.; : ;(04/28/2026 com ran 10h) : ; : 27.04.26 : Site probablement en arrêt par le BIR, investigations en cours</t>
        </is>
      </c>
    </row>
    <row r="795">
      <c r="A795" s="96" t="n">
        <v>46140</v>
      </c>
      <c r="B795" t="inlineStr">
        <is>
          <t>NR-PK5</t>
        </is>
      </c>
      <c r="C795" t="inlineStr">
        <is>
          <t>LIT_096</t>
        </is>
      </c>
      <c r="D795" t="inlineStr"/>
      <c r="E795" t="inlineStr">
        <is>
          <t>IHS</t>
        </is>
      </c>
      <c r="F795" t="inlineStr">
        <is>
          <t>Grid-Gen</t>
        </is>
      </c>
      <c r="G795" t="inlineStr">
        <is>
          <t>LITTORAL</t>
        </is>
      </c>
      <c r="H795" t="inlineStr">
        <is>
          <t>Douala</t>
        </is>
      </c>
      <c r="I795" t="inlineStr"/>
      <c r="J795" t="n">
        <v>0</v>
      </c>
      <c r="K795" t="n">
        <v>0</v>
      </c>
      <c r="L795" t="n">
        <v>0</v>
      </c>
      <c r="M795" t="n">
        <v>0</v>
      </c>
      <c r="N795" t="inlineStr"/>
      <c r="O795" t="inlineStr"/>
      <c r="P795" t="inlineStr">
        <is>
          <t>IHS</t>
        </is>
      </c>
      <c r="Q795" t="inlineStr">
        <is>
          <t>POWER ISSUE</t>
        </is>
      </c>
      <c r="R795" t="inlineStr">
        <is>
          <t>Defaut GE &amp; Power Cabinet</t>
        </is>
      </c>
      <c r="S795" t="inlineStr">
        <is>
          <t>PASSIVE</t>
        </is>
      </c>
      <c r="T795" t="inlineStr">
        <is>
          <t>(04/28/2026 ticket): INC-20260428-00002455…power issu coupure d'électricité dans la zone défaut démarrage GE les équipes power Camusat suivent le point …Others Transmission equipement fault</t>
        </is>
      </c>
      <c r="U795" t="inlineStr">
        <is>
          <t>: …power issu coupure d'électricité dans la zone défaut démarrage GE les équipes power Camusat suivent le point …</t>
        </is>
      </c>
    </row>
    <row r="796">
      <c r="A796" s="96" t="n">
        <v>46140</v>
      </c>
      <c r="B796" t="inlineStr">
        <is>
          <t>Nomayos-IHS</t>
        </is>
      </c>
      <c r="C796" t="inlineStr">
        <is>
          <t>CTR_527</t>
        </is>
      </c>
      <c r="D796" t="inlineStr"/>
      <c r="E796" t="inlineStr">
        <is>
          <t>IHS</t>
        </is>
      </c>
      <c r="F796" t="inlineStr">
        <is>
          <t>Grid-Gen</t>
        </is>
      </c>
      <c r="G796" t="inlineStr">
        <is>
          <t>CENTRE</t>
        </is>
      </c>
      <c r="H796" t="inlineStr">
        <is>
          <t>Nomayos</t>
        </is>
      </c>
      <c r="I796" t="inlineStr"/>
      <c r="J796" t="n">
        <v>0</v>
      </c>
      <c r="K796" t="n">
        <v>0</v>
      </c>
      <c r="L796" t="n">
        <v>0</v>
      </c>
      <c r="M796" t="n">
        <v>0</v>
      </c>
      <c r="N796" t="inlineStr"/>
      <c r="O796" t="inlineStr"/>
      <c r="P796" t="inlineStr">
        <is>
          <t>IHS</t>
        </is>
      </c>
      <c r="Q796" t="inlineStr">
        <is>
          <t>POWER ISSUE</t>
        </is>
      </c>
      <c r="R796" t="inlineStr">
        <is>
          <t>Defaut GE &amp; Power Cabinet</t>
        </is>
      </c>
      <c r="S796" t="inlineStr">
        <is>
          <t>PASSIVE</t>
        </is>
      </c>
      <c r="T796" t="inlineStr">
        <is>
          <t>(04/28/2026 cell zte): 28/04/2026 : Malgres les actions du Fme sur site hier l'alarme persiste || Fme ative pour continuer les checks || Feedback RM : le FME ira sur site après la pluie faire le constat nous savons que c'est un problème d'énergie
27/04/2026 : Intervention sur site ce jour || Up apres rearmement des breakers..;..;(04/28/2026 cell zte): 28/04/2026 : Malgres les actions du Fme sur site hier l'alarme persiste || Fme ative pour continuer les checks || Feedback RM : le FME ira sur site après la pluie faire le constat nous savons que c'est un problème d'énergie || Fme en chemin pour le site || Disjoction des breakers, up apres rearmement des breakers
27/04/2026 : Intervention sur site ce jour || Up apres rearmement des breakers</t>
        </is>
      </c>
      <c r="U796" t="inlineStr">
        <is>
          <t>04/28/2026 cell zte) : 28/04/2026 : Malgres les actions du Fme sur site hier l'alarme persiste || Fme ative pour continuer les checks || Feedback RM : le FME ira sur site après la pluie faire le constat nous savons que c'est un problème d'énergie 27/04/2026 : Intervention sur site ce jour || Up apres rearmement des breakers.;.;(04/28/2026 cell zte) : 28/04/2026 : Malgres les actions du Fme sur site hier l'alarme persiste || Fme ative pour continuer les checks || Feedback RM : le FME ira sur site après la pluie faire le constat nous savons que c'est un problème d'énergie || Fme en chemin pour le site || Disjoction des breakers, up apres rearmement des breakers 27/04/2026 : Intervention sur site ce jour || Up apres rearmement des breakers</t>
        </is>
      </c>
    </row>
    <row r="797">
      <c r="A797" s="96" t="n">
        <v>46140</v>
      </c>
      <c r="B797" t="inlineStr">
        <is>
          <t>Loum-Camtel</t>
        </is>
      </c>
      <c r="C797" t="inlineStr">
        <is>
          <t>LIT_086</t>
        </is>
      </c>
      <c r="D797" t="inlineStr"/>
      <c r="E797" t="inlineStr">
        <is>
          <t>CAMUSAT</t>
        </is>
      </c>
      <c r="F797" t="inlineStr">
        <is>
          <t>Medium Grid + Solar + GE</t>
        </is>
      </c>
      <c r="G797" t="inlineStr">
        <is>
          <t>LITTORAL</t>
        </is>
      </c>
      <c r="H797" t="inlineStr">
        <is>
          <t>Loum</t>
        </is>
      </c>
      <c r="I797" t="inlineStr"/>
      <c r="J797" t="n">
        <v>0</v>
      </c>
      <c r="K797" t="n">
        <v>0</v>
      </c>
      <c r="L797" t="n">
        <v>0</v>
      </c>
      <c r="M797" t="n">
        <v>0</v>
      </c>
      <c r="N797" t="inlineStr"/>
      <c r="O797" t="inlineStr"/>
      <c r="P797" t="inlineStr">
        <is>
          <t>Exclu</t>
        </is>
      </c>
      <c r="Q797" t="inlineStr">
        <is>
          <t>Exclu</t>
        </is>
      </c>
      <c r="R797" t="inlineStr">
        <is>
          <t>EXCLU</t>
        </is>
      </c>
      <c r="S797" t="inlineStr">
        <is>
          <t>Exclu</t>
        </is>
      </c>
      <c r="T797" t="inlineStr">
        <is>
          <t>(04/28/2026 com ran 10h): 27.04.26: Camusat: FME is managing with level0..;..;(04/28/2026 ocm ran 00h): 27.04.26: Camusat: FME is managing with level0</t>
        </is>
      </c>
      <c r="U797" t="inlineStr">
        <is>
          <t>04/28/2026 com ran 10h) : 27.04.26 : Camusat : FME is managing with level0.;.; : 27.04.26 : Camusat : FME is managing with level0</t>
        </is>
      </c>
    </row>
    <row r="798">
      <c r="A798" s="96" t="n">
        <v>46140</v>
      </c>
      <c r="B798" t="inlineStr">
        <is>
          <t>H-ville</t>
        </is>
      </c>
      <c r="C798" t="inlineStr">
        <is>
          <t>CTR_077</t>
        </is>
      </c>
      <c r="D798" t="inlineStr"/>
      <c r="E798" t="inlineStr">
        <is>
          <t>IHS</t>
        </is>
      </c>
      <c r="F798" t="inlineStr">
        <is>
          <t>Grid Only</t>
        </is>
      </c>
      <c r="G798" t="inlineStr">
        <is>
          <t>CENTRE</t>
        </is>
      </c>
      <c r="H798" t="inlineStr">
        <is>
          <t>Yaounde</t>
        </is>
      </c>
      <c r="I798" t="inlineStr"/>
      <c r="J798" t="n">
        <v>0</v>
      </c>
      <c r="K798" t="n">
        <v>0</v>
      </c>
      <c r="L798" t="n">
        <v>0</v>
      </c>
      <c r="M798" t="n">
        <v>0</v>
      </c>
      <c r="N798" t="inlineStr"/>
      <c r="O798" t="inlineStr"/>
      <c r="P798" t="inlineStr">
        <is>
          <t>Exclu</t>
        </is>
      </c>
      <c r="Q798" t="inlineStr">
        <is>
          <t>Exclu</t>
        </is>
      </c>
      <c r="R798" t="inlineStr">
        <is>
          <t>EXCLU</t>
        </is>
      </c>
      <c r="S798" t="inlineStr">
        <is>
          <t>Exclu</t>
        </is>
      </c>
      <c r="T798" t="inlineStr">
        <is>
          <t>(04/28/2026 ocm ran 00h): 23.04.26; BTS en plan sur Netact. Travaux ing en cours</t>
        </is>
      </c>
      <c r="U798" t="inlineStr">
        <is>
          <t>: 23.04.26; BTS en plan sur Netact. Travaux ing en cours</t>
        </is>
      </c>
    </row>
    <row r="799">
      <c r="A799" s="96" t="n">
        <v>46140</v>
      </c>
      <c r="B799" t="inlineStr">
        <is>
          <t>Koupa-Matapit-IHS</t>
        </is>
      </c>
      <c r="C799" t="inlineStr">
        <is>
          <t>OST_209</t>
        </is>
      </c>
      <c r="D799" t="inlineStr"/>
      <c r="E799" t="inlineStr">
        <is>
          <t>IHS</t>
        </is>
      </c>
      <c r="F799" t="inlineStr">
        <is>
          <t>Hybrid-Gen</t>
        </is>
      </c>
      <c r="G799" t="inlineStr">
        <is>
          <t>OUEST</t>
        </is>
      </c>
      <c r="H799" t="inlineStr">
        <is>
          <t>Koupa-Matapit</t>
        </is>
      </c>
      <c r="I799" t="inlineStr"/>
      <c r="J799" t="n">
        <v>0</v>
      </c>
      <c r="K799" t="n">
        <v>0</v>
      </c>
      <c r="L799" t="n">
        <v>0</v>
      </c>
      <c r="M799" t="n">
        <v>0</v>
      </c>
      <c r="N799" t="inlineStr"/>
      <c r="O799" t="inlineStr"/>
      <c r="P799" t="inlineStr">
        <is>
          <t>BSS</t>
        </is>
      </c>
      <c r="Q799" t="inlineStr">
        <is>
          <t>RAN ISSUE</t>
        </is>
      </c>
      <c r="R799" t="inlineStr">
        <is>
          <t>BSS Hardware issue</t>
        </is>
      </c>
      <c r="S799" t="inlineStr">
        <is>
          <t>ACTIVE</t>
        </is>
      </c>
      <c r="T799" t="inlineStr">
        <is>
          <t>(04/28/2026 cell huawei): 28/04/2028 :  Check Connectivite entre BBU &amp; RRU/Check FO ou SFP</t>
        </is>
      </c>
      <c r="U799" t="inlineStr">
        <is>
          <t>04/28/2026 cell huawei) : 28/04/2028 : Check Connectivite entre BBU &amp; RRU/Check FO ou SFP</t>
        </is>
      </c>
    </row>
    <row r="800">
      <c r="A800" s="96" t="n">
        <v>46140</v>
      </c>
      <c r="B800" t="inlineStr">
        <is>
          <t>Nsimalene-Yemwak</t>
        </is>
      </c>
      <c r="C800" t="inlineStr">
        <is>
          <t>SUD_122</t>
        </is>
      </c>
      <c r="D800" t="inlineStr"/>
      <c r="E800" t="inlineStr">
        <is>
          <t>CAMUSAT</t>
        </is>
      </c>
      <c r="F800" t="inlineStr">
        <is>
          <t>Hybrid Solar - S3</t>
        </is>
      </c>
      <c r="G800" t="inlineStr">
        <is>
          <t>SUD</t>
        </is>
      </c>
      <c r="H800" t="inlineStr">
        <is>
          <t>Nsimalene-Yemwak</t>
        </is>
      </c>
      <c r="I800" t="inlineStr"/>
      <c r="J800" t="n">
        <v>0</v>
      </c>
      <c r="K800" t="n">
        <v>0</v>
      </c>
      <c r="L800" t="n">
        <v>0</v>
      </c>
      <c r="M800" t="n">
        <v>0</v>
      </c>
      <c r="N800" t="inlineStr"/>
      <c r="O800" t="inlineStr"/>
      <c r="P800" t="inlineStr">
        <is>
          <t>AKTIVCO</t>
        </is>
      </c>
      <c r="Q800" t="inlineStr">
        <is>
          <t>POWER ISSUE</t>
        </is>
      </c>
      <c r="R800" t="inlineStr">
        <is>
          <t>AKTIVCO Defaut GE &amp; Power Cabinet</t>
        </is>
      </c>
      <c r="S800" t="inlineStr">
        <is>
          <t>PASSIVE</t>
        </is>
      </c>
      <c r="T800" t="inlineStr">
        <is>
          <t>(04/28/2026 cell zte):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down..;..;(04/28/2026 cell zte): 28/04/2026 : Relance faite a camusat ce jour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down..;..;(04/28/2026 cell zte): 28/04/2026 : Relance faite a camusat ce jour || Feedback camusat attendu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t>
        </is>
      </c>
      <c r="U800" t="inlineStr">
        <is>
          <t>04/28/2026 cell zte) :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down.;.;(04/28/2026 cell zte) : 28/04/2026 : Relance faite a camusat ce jour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down.;.;(04/28/2026 cell zte) : 28/04/2026 : Relance faite a camusat ce jour || Feedback camusat attendu 27/04/2026 : Retour camusat attendu 23/04/2026 : Relance faite a camusat ce jour 22/04/2026 : Feedback camusat attendu 21/04/2026 : Le RM a partage les evidences des guepes sur Nsimalene || Mail envoye a camusat pour support 20/04/2026 : Fme actuellement sur esambout pour remplacement de la fibre et sera sur Nsimalene dans l'apres midi ETA 15h || Feedback Fme : Presence des gepes sur le site 19/04/2026 : Check and clean RRU 51,52 18/04/2026 : Site down</t>
        </is>
      </c>
    </row>
    <row r="801">
      <c r="A801" s="96" t="n">
        <v>46140</v>
      </c>
      <c r="B801" t="inlineStr">
        <is>
          <t>Manjo-PHP</t>
        </is>
      </c>
      <c r="C801" t="inlineStr">
        <is>
          <t>LIT_592</t>
        </is>
      </c>
      <c r="D801" t="inlineStr"/>
      <c r="E801" t="inlineStr">
        <is>
          <t>CAMUSAT</t>
        </is>
      </c>
      <c r="F801" t="inlineStr">
        <is>
          <t>Good Grid no GE - 8h</t>
        </is>
      </c>
      <c r="G801" t="inlineStr">
        <is>
          <t>LITTORAL</t>
        </is>
      </c>
      <c r="H801" t="inlineStr">
        <is>
          <t>Manjo</t>
        </is>
      </c>
      <c r="I801" t="inlineStr"/>
      <c r="J801" t="n">
        <v>0</v>
      </c>
      <c r="K801" t="n">
        <v>0</v>
      </c>
      <c r="L801" t="n">
        <v>0</v>
      </c>
      <c r="M801" t="n">
        <v>0</v>
      </c>
      <c r="N801" t="inlineStr"/>
      <c r="O801" t="inlineStr"/>
      <c r="P801" t="inlineStr">
        <is>
          <t>AKTIVCO GRID ONLY</t>
        </is>
      </c>
      <c r="Q801" t="inlineStr">
        <is>
          <t>POWER ISSUE</t>
        </is>
      </c>
      <c r="R801" t="inlineStr">
        <is>
          <t>AKTIVCO Coupure ENEO &amp; Baisse de tension</t>
        </is>
      </c>
      <c r="S801" t="inlineStr">
        <is>
          <t>PASSIVE</t>
        </is>
      </c>
      <c r="T801" t="inlineStr">
        <is>
          <t>(04/28/2026 ocm ran 14h): 28/04/2026 FME actuellement à loum camtel et il s'y rendra après ETA=15H UTC 
28.04.26:  ETA = 12H UTC pour vérification du powercore
27.04.26: Camusat: Our technician is managing the issue with the level 0..;..;(04/28/2026 com ran 10h): 27.04.26: Camusat: Our technician is managing the issue with the level 0..;..;(04/28/2026 ocm ran 00h): 27.04.26: Camusat: Our technician is managing the issue with the level 0</t>
        </is>
      </c>
      <c r="U801" t="inlineStr">
        <is>
          <t>: 28/04/2026 FME actuellement à loum camtel et il s'y rendra après ETA=15H UTC 28.04.26 : ETA = 12H UTC pour vérification du powercore 27.04.26 : Camusat : Our technician is managing the issue with the level 0.;.;(04/28/2026 com ran 10h) : 27.04.26 : Camusat : Our technician is managing the issue with the level 0.;.; : 27.04.26 : Camusat : Our technician is managing the issue with the level 0</t>
        </is>
      </c>
    </row>
    <row r="802">
      <c r="A802" s="96" t="n">
        <v>46140</v>
      </c>
      <c r="B802" t="inlineStr">
        <is>
          <t>Missole</t>
        </is>
      </c>
      <c r="C802" t="inlineStr">
        <is>
          <t>LIT_227</t>
        </is>
      </c>
      <c r="D802" t="inlineStr"/>
      <c r="E802" t="inlineStr">
        <is>
          <t>IHS</t>
        </is>
      </c>
      <c r="F802" t="inlineStr">
        <is>
          <t>Hybrid-Gen</t>
        </is>
      </c>
      <c r="G802" t="inlineStr">
        <is>
          <t>LITTORAL</t>
        </is>
      </c>
      <c r="H802" t="inlineStr">
        <is>
          <t>Missole</t>
        </is>
      </c>
      <c r="I802" t="inlineStr"/>
      <c r="J802" t="n">
        <v>0</v>
      </c>
      <c r="K802" t="n">
        <v>0</v>
      </c>
      <c r="L802" t="n">
        <v>0</v>
      </c>
      <c r="M802" t="n">
        <v>0</v>
      </c>
      <c r="N802" t="inlineStr"/>
      <c r="O802" t="inlineStr"/>
      <c r="P802" t="inlineStr">
        <is>
          <t>BSS</t>
        </is>
      </c>
      <c r="Q802" t="inlineStr">
        <is>
          <t>RAN ISSUE</t>
        </is>
      </c>
      <c r="R802" t="inlineStr">
        <is>
          <t>BSS Hardware issue</t>
        </is>
      </c>
      <c r="S802" t="inlineStr">
        <is>
          <t>ACTIVE</t>
        </is>
      </c>
      <c r="T802" t="inlineStr">
        <is>
          <t>(04/28/2026 cell zte): 28/04/2026 : Besoin d'analyse BO RAN || Site unstble Activate FME to Check and clean jumper, port 3 of RRU61..;..;(04/28/2026 cell zte): 28/04/2026 : Besoin d'analyse BO RAN || Site unstble Activate FME to Check and clean jumper, port 3 of RRU61 || Fme actuellement sur Mbonguoen MTN et se rendra sur Missole demain ETA 29042026</t>
        </is>
      </c>
      <c r="U802" t="inlineStr">
        <is>
          <t>04/28/2026 cell zte) : 28/04/2026 : Besoin d'analyse BO RAN || Site unstble Activate FME to Check and clean jumper, port 3 of RRU61.;.;(04/28/2026 cell zte) : 28/04/2026 : Besoin d'analyse BO RAN || Site unstble Activate FME to Check and clean jumper, port 3 of RRU61 || Fme actuellement sur Mbonguoen MTN et se rendra sur Missole demain ETA 29042026</t>
        </is>
      </c>
    </row>
    <row r="803">
      <c r="A803" s="96" t="n">
        <v>46140</v>
      </c>
      <c r="B803" t="inlineStr">
        <is>
          <t>Bare</t>
        </is>
      </c>
      <c r="C803" t="inlineStr">
        <is>
          <t>LIT_112</t>
        </is>
      </c>
      <c r="D803" t="inlineStr"/>
      <c r="E803" t="inlineStr">
        <is>
          <t>IHS</t>
        </is>
      </c>
      <c r="F803" t="inlineStr">
        <is>
          <t>Grid-Gen</t>
        </is>
      </c>
      <c r="G803" t="inlineStr">
        <is>
          <t>LITTORAL</t>
        </is>
      </c>
      <c r="H803" t="inlineStr">
        <is>
          <t>Bare</t>
        </is>
      </c>
      <c r="I803" t="inlineStr"/>
      <c r="J803" t="n">
        <v>0</v>
      </c>
      <c r="K803" t="n">
        <v>0</v>
      </c>
      <c r="L803" t="n">
        <v>0</v>
      </c>
      <c r="M803" t="n">
        <v>0</v>
      </c>
      <c r="N803" t="inlineStr"/>
      <c r="O803" t="inlineStr"/>
      <c r="P803" t="inlineStr">
        <is>
          <t>BSS</t>
        </is>
      </c>
      <c r="Q803" t="inlineStr">
        <is>
          <t>RAN ISSUE</t>
        </is>
      </c>
      <c r="R803" t="inlineStr">
        <is>
          <t>BSS Hardware issue</t>
        </is>
      </c>
      <c r="S803" t="inlineStr">
        <is>
          <t>ACTIVE</t>
        </is>
      </c>
      <c r="T803" t="inlineStr">
        <is>
          <t>(04/28/2026 cell zte): 28/04/2026 : Fme active ETA attendu
27/04/2026 : Besoin d'analyse BO RAN || Check and clean jumper, port 2 of RRU 61..;..;(04/28/2026 cell zte): 28/04/2026 : Fme active ETA attendu
27/04/2026 : Besoin d'analyse BO RAN || Check and clean jumper, port 2 of RRU 61..;..;(04/28/2026 cell zte): 28/04/2026 : Fme active ETA attendu || Intervention prevu pour demain
27/04/2026 : Besoin d'analyse BO RAN || Check and clean jumper, port 2 of RRU 61</t>
        </is>
      </c>
      <c r="U803" t="inlineStr">
        <is>
          <t>04/28/2026 cell zte) : 28/04/2026 : Fme active ETA attendu 27/04/2026 : Besoin d'analyse BO RAN || Check and clean jumper, port 2 of RRU 61.;.;(04/28/2026 cell zte) : 28/04/2026 : Fme active ETA attendu 27/04/2026 : Besoin d'analyse BO RAN || Check and clean jumper, port 2 of RRU 61.;.;(04/28/2026 cell zte) : 28/04/2026 : Fme active ETA attendu || Intervention prevu pour demain 27/04/2026 : Besoin d'analyse BO RAN || Check and clean jumper, port 2 of RRU 61</t>
        </is>
      </c>
    </row>
    <row r="804">
      <c r="A804" s="96" t="n">
        <v>46140</v>
      </c>
      <c r="B804" t="inlineStr">
        <is>
          <t>Apouh</t>
        </is>
      </c>
      <c r="C804" t="inlineStr">
        <is>
          <t>LIT_512</t>
        </is>
      </c>
      <c r="D804" t="inlineStr"/>
      <c r="E804" t="inlineStr">
        <is>
          <t>IHS</t>
        </is>
      </c>
      <c r="F804" t="inlineStr">
        <is>
          <t>Grid-Gen</t>
        </is>
      </c>
      <c r="G804" t="inlineStr">
        <is>
          <t>LITTORAL</t>
        </is>
      </c>
      <c r="H804" t="inlineStr">
        <is>
          <t>Apouh</t>
        </is>
      </c>
      <c r="I804" t="inlineStr"/>
      <c r="J804" t="n">
        <v>0</v>
      </c>
      <c r="K804" t="n">
        <v>0</v>
      </c>
      <c r="L804" t="n">
        <v>0</v>
      </c>
      <c r="M804" t="n">
        <v>0</v>
      </c>
      <c r="N804" t="inlineStr"/>
      <c r="O804" t="inlineStr"/>
      <c r="P804" t="inlineStr">
        <is>
          <t>SPARE-ISSUE</t>
        </is>
      </c>
      <c r="Q804" t="inlineStr">
        <is>
          <t>SPARE-ISSUE</t>
        </is>
      </c>
      <c r="R804" t="inlineStr">
        <is>
          <t>SPARE-ISSUE</t>
        </is>
      </c>
      <c r="S804" t="inlineStr">
        <is>
          <t>SPARE-ISSUE</t>
        </is>
      </c>
      <c r="T804" t="inlineStr">
        <is>
          <t>(04/28/2026 ocm ran 19h): 28/04/2026 Odu fautlty pas disponible au WH  commande passé a OCM ..;..;(04/28/2026 ocm ran 14h): Power status check ongoing..;..;(04/28/2026 ocm ran 00h): 27.04.26: ODU 7-8 G faulty et commande passée à OCM</t>
        </is>
      </c>
      <c r="U804" t="inlineStr">
        <is>
          <t>: 28/04/2026 Odu fautlty pas disponible au WH commande passé a OCM .;.; : ; : 27.04.26 : ODU 7-8 G faulty et commande passée à OCM</t>
        </is>
      </c>
    </row>
    <row r="805">
      <c r="A805" s="96" t="n">
        <v>46140</v>
      </c>
      <c r="B805" t="inlineStr">
        <is>
          <t>Mokom-IHS</t>
        </is>
      </c>
      <c r="C805" t="inlineStr">
        <is>
          <t>SUD_113</t>
        </is>
      </c>
      <c r="D805" t="inlineStr"/>
      <c r="E805" t="inlineStr">
        <is>
          <t>IHS</t>
        </is>
      </c>
      <c r="F805" t="inlineStr">
        <is>
          <t>Gen-Lithium</t>
        </is>
      </c>
      <c r="G805" t="inlineStr">
        <is>
          <t>SUD</t>
        </is>
      </c>
      <c r="H805" t="inlineStr">
        <is>
          <t>Mintom</t>
        </is>
      </c>
      <c r="I805" t="inlineStr"/>
      <c r="J805" t="n">
        <v>0</v>
      </c>
      <c r="K805" t="n">
        <v>0</v>
      </c>
      <c r="L805" t="n">
        <v>0</v>
      </c>
      <c r="M805" t="n">
        <v>0</v>
      </c>
      <c r="N805" t="inlineStr"/>
      <c r="O805" t="inlineStr"/>
      <c r="P805" t="inlineStr">
        <is>
          <t>BSS</t>
        </is>
      </c>
      <c r="Q805" t="inlineStr">
        <is>
          <t>RAN ISSUE</t>
        </is>
      </c>
      <c r="R805" t="inlineStr">
        <is>
          <t>BSS Hardware issue</t>
        </is>
      </c>
      <c r="S805" t="inlineStr">
        <is>
          <t>ACTIVE</t>
        </is>
      </c>
      <c r="T805" t="inlineStr">
        <is>
          <t>(04/28/2026 cell zte): 28/04/2026 : Escalade faite au RM || feedback RM attendu
27/04/2026 : Besoin d'analyse BO RAN || Fme should check connectivity(SFP, Optical fiber) of RRU 51..;..;(04/28/2026 cell zte): 28/04/2026 : Escalade faite au RM || Feedback RM : le FME en route notons qu'il pleut dans la zone || Fme actuellement sur Melem et se rendra sur  Mokom  ETA 17H
27/04/2026 : Besoin d'analyse BO RAN || Fme should check connectivity(SFP, Optical fiber) of RRU 51 || Fme active..;..;(04/28/2026 cell zte): 28/04/2026 : Escalade faite au RM || Feedback RM : le FME en route notons qu'il pleut dans la zone || Fme actuellement sur Melem et se rendra sur  Mokom  ETA 17H
27/04/2026 : Besoin d'analyse BO RAN || Fme should check connectivity(SFP, Optical fiber) of RRU 51 || Fme active</t>
        </is>
      </c>
      <c r="U805" t="inlineStr">
        <is>
          <t>04/28/2026 cell zte) : 28/04/2026 : Escalade faite au RM || feedback RM attendu 27/04/2026 : Besoin d'analyse BO RAN || Fme should check connectivity(SFP, Optical fiber) of RRU 51.;.;(04/28/2026 cell zte) : 28/04/2026 : Escalade faite au RM || Feedback RM : le FME en route notons qu'il pleut dans la zone || Fme actuellement sur Melem et se rendra sur Mokom ETA 17H 27/04/2026 : Besoin d'analyse BO RAN || Fme should check connectivity(SFP, Optical fiber) of RRU 51 || Fme active.;.;(04/28/2026 cell zte) : 28/04/2026 : Escalade faite au RM || Feedback RM : le FME en route notons qu'il pleut dans la zone || Fme actuellement sur Melem et se rendra sur Mokom ETA 17H 27/04/2026 : Besoin d'analyse BO RAN || Fme should check connectivity(SFP, Optical fiber) of RRU 51 || Fme active</t>
        </is>
      </c>
    </row>
    <row r="806">
      <c r="A806" s="96" t="n">
        <v>46140</v>
      </c>
      <c r="B806" t="inlineStr">
        <is>
          <t>Bafmeng</t>
        </is>
      </c>
      <c r="C806" t="inlineStr">
        <is>
          <t>NRO_047</t>
        </is>
      </c>
      <c r="D806" t="inlineStr"/>
      <c r="E806" t="inlineStr">
        <is>
          <t>IHS</t>
        </is>
      </c>
      <c r="F806" t="inlineStr">
        <is>
          <t>Hybrid-Gen</t>
        </is>
      </c>
      <c r="G806" t="inlineStr">
        <is>
          <t>NORD-OUEST</t>
        </is>
      </c>
      <c r="H806" t="inlineStr">
        <is>
          <t>Bafmeng</t>
        </is>
      </c>
      <c r="I806" t="inlineStr"/>
      <c r="J806" t="n">
        <v>0</v>
      </c>
      <c r="K806" t="n">
        <v>0</v>
      </c>
      <c r="L806" t="n">
        <v>0</v>
      </c>
      <c r="M806" t="n">
        <v>0</v>
      </c>
      <c r="N806" t="inlineStr"/>
      <c r="O806" t="inlineStr"/>
      <c r="P806" t="inlineStr">
        <is>
          <t>ACCESS-ISSUE</t>
        </is>
      </c>
      <c r="Q806" t="inlineStr">
        <is>
          <t>ACCESS-ISSUE</t>
        </is>
      </c>
      <c r="R806" t="inlineStr">
        <is>
          <t>ACCESS-ISSUE</t>
        </is>
      </c>
      <c r="S806" t="inlineStr">
        <is>
          <t>ACCESS-ISSUE</t>
        </is>
      </c>
      <c r="T806" t="inlineStr">
        <is>
          <t>(04/28/2026 ocm ran 19h):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site..;..;(04/28/2026 ocm ran 14h):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site..;..;(04/28/2026 com ran 10h):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site..;..;(04/28/2026 ocm ran 00h):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t>
        </is>
      </c>
      <c r="U806" t="inlineStr">
        <is>
          <t>: 28.04.2026 :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 : 28.04.2026 :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site.;.;(04/28/2026 com ran 10h) : 28.04.2026 :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 : 27.04.26; Road blocked No traffic if we can Go as planned on 28.04.2026 25/04/2026 Retour fme : Je suis bloqué à Fundong depuis ce matin. Les routes qui mènent hors de Fundong sont bloquées, je ne peux donc pas continuer. 24.04.26; MRBTS2 down. FME Jeremiah will be on site this 25.04.26 22.04.26; Access banned by Separatist 21.04.26; Access banned by Separatist 20.04.26; No traffic blocked by transporters We iwll check On 21.04.2026 if team can Move 19.04.26; Road blocked by separatists. No traffic 18.04.26; Road blocked, access negociation ongoing 16/04/2026 access not granted for this site for now we keep trying ESCLADE FM THEOPHILE PLAN TO 18/04/2026 15/04/2026 access not granted for this site for now we keep trying 14/04/2026 RED ZONE negociation d'accès en cours 13/04/2026 MRBTS2 DWON fme activé red zone manage avec le level 0 12/04/2026 IHS Feedback : Joseph is managing with level 0, on site / escalated to L3 IHS 12/04/2026 IHS Feedback : Joseph is managing with level 0, on site</t>
        </is>
      </c>
    </row>
    <row r="807">
      <c r="A807" s="96" t="n">
        <v>46140</v>
      </c>
      <c r="B807" t="inlineStr">
        <is>
          <t>Lom-Pangar-MTN</t>
        </is>
      </c>
      <c r="C807" t="inlineStr">
        <is>
          <t>EST_083</t>
        </is>
      </c>
      <c r="D807" t="inlineStr"/>
      <c r="E807" t="inlineStr">
        <is>
          <t>IHS</t>
        </is>
      </c>
      <c r="F807" t="inlineStr">
        <is>
          <t>Grid-Gen-Lithium</t>
        </is>
      </c>
      <c r="G807" t="inlineStr">
        <is>
          <t>EST</t>
        </is>
      </c>
      <c r="H807" t="inlineStr">
        <is>
          <t>Lom-Pangar</t>
        </is>
      </c>
      <c r="I807" t="inlineStr"/>
      <c r="J807" t="n">
        <v>0</v>
      </c>
      <c r="K807" t="n">
        <v>0</v>
      </c>
      <c r="L807" t="n">
        <v>0</v>
      </c>
      <c r="M807" t="n">
        <v>0</v>
      </c>
      <c r="N807" t="inlineStr"/>
      <c r="O807" t="inlineStr"/>
      <c r="P807" t="inlineStr">
        <is>
          <t>IHS</t>
        </is>
      </c>
      <c r="Q807" t="inlineStr">
        <is>
          <t>POWER ISSUE</t>
        </is>
      </c>
      <c r="R807" t="inlineStr">
        <is>
          <t>Defaut GE &amp; Power Cabinet</t>
        </is>
      </c>
      <c r="S807" t="inlineStr">
        <is>
          <t>PASSIVE</t>
        </is>
      </c>
      <c r="T807" t="inlineStr">
        <is>
          <t>(04/28/2026 hourly IHS): FME is on the way ETA 11:40 AM</t>
        </is>
      </c>
      <c r="U807" t="inlineStr">
        <is>
          <t>: FME is on the way ETA 11 : 40 AM</t>
        </is>
      </c>
    </row>
    <row r="808">
      <c r="A808" s="96" t="n">
        <v>46140</v>
      </c>
      <c r="B808" t="inlineStr">
        <is>
          <t>Saa</t>
        </is>
      </c>
      <c r="C808" t="inlineStr">
        <is>
          <t>CTR_192</t>
        </is>
      </c>
      <c r="D808" t="inlineStr"/>
      <c r="E808" t="inlineStr">
        <is>
          <t>IHS</t>
        </is>
      </c>
      <c r="F808" t="inlineStr">
        <is>
          <t>Grid-Gen</t>
        </is>
      </c>
      <c r="G808" t="inlineStr">
        <is>
          <t>CENTRE</t>
        </is>
      </c>
      <c r="H808" t="inlineStr">
        <is>
          <t>Saa</t>
        </is>
      </c>
      <c r="I808" t="inlineStr"/>
      <c r="J808" t="n">
        <v>0</v>
      </c>
      <c r="K808" t="n">
        <v>0</v>
      </c>
      <c r="L808" t="n">
        <v>0</v>
      </c>
      <c r="M808" t="n">
        <v>0</v>
      </c>
      <c r="N808" t="inlineStr"/>
      <c r="O808" t="inlineStr"/>
      <c r="P808" t="inlineStr">
        <is>
          <t>IHS</t>
        </is>
      </c>
      <c r="Q808" t="inlineStr">
        <is>
          <t>POWER ISSUE</t>
        </is>
      </c>
      <c r="R808" t="inlineStr">
        <is>
          <t>Defaut GE &amp; Power Cabinet</t>
        </is>
      </c>
      <c r="S808" t="inlineStr">
        <is>
          <t>PASSIVE</t>
        </is>
      </c>
      <c r="T808" t="inlineStr">
        <is>
          <t>(04/28/2026 hourly IHS): (Unstable site) Site went down because rectifier issue Felix BATEU is on site..;..;(04/28/2026 cell zte): 28/04/2026 : Power issue || Mail sent to IHS..;..;(04/28/2026 com ran 10h): Power status check ongoing</t>
        </is>
      </c>
      <c r="U808" t="inlineStr">
        <is>
          <t>: (Unstable site) Site went down because rectifier issue Felix BATEU is on site.;.;(04/28/2026 cell zte) : 28/04/2026 : Power issue || Mail sent to IHS.;.;(04/28/2026 com ran 10h) : Power status check ongoing</t>
        </is>
      </c>
    </row>
    <row r="809">
      <c r="A809" s="96" t="n">
        <v>46140</v>
      </c>
      <c r="B809" t="inlineStr">
        <is>
          <t>Mengue-Bibey-Camrail</t>
        </is>
      </c>
      <c r="C809" t="inlineStr">
        <is>
          <t>CTR_455</t>
        </is>
      </c>
      <c r="D809" t="inlineStr"/>
      <c r="E809" t="inlineStr">
        <is>
          <t>CAMUSAT</t>
        </is>
      </c>
      <c r="F809" t="inlineStr"/>
      <c r="G809" t="inlineStr">
        <is>
          <t>CENTRE</t>
        </is>
      </c>
      <c r="H809" t="inlineStr">
        <is>
          <t>Mengue-Bibey</t>
        </is>
      </c>
      <c r="I809" t="inlineStr"/>
      <c r="J809" t="n">
        <v>0</v>
      </c>
      <c r="K809" t="n">
        <v>0</v>
      </c>
      <c r="L809" t="n">
        <v>0</v>
      </c>
      <c r="M809" t="n">
        <v>0</v>
      </c>
      <c r="N809" t="inlineStr"/>
      <c r="O809" t="inlineStr"/>
      <c r="P809" t="inlineStr">
        <is>
          <t>ACCESS-ISSUE</t>
        </is>
      </c>
      <c r="Q809" t="inlineStr">
        <is>
          <t>ACCESS-ISSUE</t>
        </is>
      </c>
      <c r="R809" t="inlineStr">
        <is>
          <t>ACCESS-ISSUE</t>
        </is>
      </c>
      <c r="S809" t="inlineStr">
        <is>
          <t>ACCESS-ISSUE</t>
        </is>
      </c>
      <c r="T809" t="inlineStr">
        <is>
          <t>(04/28/2026 cell zte): 
28/04/2026 : Demande de Work_permit par OCM a Camrail || Feedback attendu
27/04/2026 : Besoin d'analyse BO RAN || FME should check Antenna Fider status..;..;(04/28/2026 cell zte): 28/04/2026 : Demande de Work_permit par OCM a Camrail || Feedback camrail attendu attendu
27/04/2026 : Besoin d'analyse BO RAN || FME should check Antenna Fider status..;..;(04/28/2026 cell zte): 28/04/2026 : Demande de Work_permit par OCM a Camrail || Feedback camrail attendu attendu
27/04/2026 : Besoin d'analyse BO RAN || FME should check Antenna Fider status..;..;(04/28/2026 ocm ran 19h): Power status check ongoing</t>
        </is>
      </c>
      <c r="U809" t="inlineStr">
        <is>
          <t>04/28/2026 cell zte) : 28/04/2026 : Demande de Work_permit par OCM a Camrail || Feedback attendu 27/04/2026 : Besoin d'analyse BO RAN || FME should check Antenna Fider status.;.;(04/28/2026 cell zte) : 28/04/2026 : Demande de Work_permit par OCM a Camrail || Feedback camrail attendu attendu 27/04/2026 : Besoin d'analyse BO RAN || FME should check Antenna Fider status.;.;(04/28/2026 cell zte) : 28/04/2026 : Demande de Work_permit par OCM a Camrail || Feedback camrail attendu attendu 27/04/2026 : Besoin d'analyse BO RAN || FME should check Antenna Fider status.;.; : Power status check ongoing</t>
        </is>
      </c>
    </row>
    <row r="810">
      <c r="A810" s="96" t="n">
        <v>46140</v>
      </c>
      <c r="B810" t="inlineStr">
        <is>
          <t>Batibo</t>
        </is>
      </c>
      <c r="C810" t="inlineStr">
        <is>
          <t>NRO_010</t>
        </is>
      </c>
      <c r="D810" t="inlineStr"/>
      <c r="E810" t="inlineStr">
        <is>
          <t>IHS</t>
        </is>
      </c>
      <c r="F810" t="inlineStr">
        <is>
          <t>Grid-Gen</t>
        </is>
      </c>
      <c r="G810" t="inlineStr">
        <is>
          <t>NORD-OUEST</t>
        </is>
      </c>
      <c r="H810" t="inlineStr">
        <is>
          <t>Batibo</t>
        </is>
      </c>
      <c r="I810" t="inlineStr"/>
      <c r="J810" t="n">
        <v>0</v>
      </c>
      <c r="K810" t="n">
        <v>0</v>
      </c>
      <c r="L810" t="n">
        <v>0</v>
      </c>
      <c r="M810" t="n">
        <v>0</v>
      </c>
      <c r="N810" t="inlineStr"/>
      <c r="O810" t="inlineStr"/>
      <c r="P810" t="inlineStr">
        <is>
          <t>ACCESS-ISSUE</t>
        </is>
      </c>
      <c r="Q810" t="inlineStr">
        <is>
          <t>ACCESS-ISSUE</t>
        </is>
      </c>
      <c r="R810" t="inlineStr">
        <is>
          <t>ACCESS-ISSUE</t>
        </is>
      </c>
      <c r="S810" t="inlineStr">
        <is>
          <t>ACCESS-ISSUE</t>
        </is>
      </c>
      <c r="T810" t="inlineStr">
        <is>
          <t xml:space="preserve">(04/28/2026 cell nokia): 28/04/2026 : Escalade faite au RM 
27/04/2026 : Need BO RAN analysis ||FME should reload software || Ghost town ..;..;(04/28/2026 cell nokia): 28/04/2026 : Escalade faite au RM || FME 
27/04/2026 : Need BO RAN analysis ||FME seydou should reload software || Ghost town ..;..;(04/28/2026 cell nokia): 28/04/2026 : Escalade faite au RM || FME 
27/04/2026 : Need BO RAN analysis ||FME seydou should reload software || Ghost town </t>
        </is>
      </c>
      <c r="U810" t="inlineStr">
        <is>
          <t>04/28/2026 cell nokia) : 28/04/2026 : Escalade faite au RM 27/04/2026 : Need BO RAN analysis || FME should reload software || Ghost town .;.;(04/28/2026 cell nokia) : 28/04/2026 : Escalade faite au RM || FME 27/04/2026 : Need BO RAN analysis || FME seydou should reload software || Ghost town .;.;(04/28/2026 cell nokia) : 28/04/2026 : Escalade faite au RM || FME 27/04/2026 : Need BO RAN analysis || FME seydou should reload software || Ghost town</t>
        </is>
      </c>
    </row>
    <row r="811">
      <c r="A811" s="96" t="n">
        <v>46140</v>
      </c>
      <c r="B811" t="inlineStr">
        <is>
          <t>Lolodorf</t>
        </is>
      </c>
      <c r="C811" t="inlineStr">
        <is>
          <t>SUD_024</t>
        </is>
      </c>
      <c r="D811" t="inlineStr"/>
      <c r="E811" t="inlineStr">
        <is>
          <t>IHS</t>
        </is>
      </c>
      <c r="F811" t="inlineStr">
        <is>
          <t>Solar-Gen</t>
        </is>
      </c>
      <c r="G811" t="inlineStr">
        <is>
          <t>SUD</t>
        </is>
      </c>
      <c r="H811" t="inlineStr">
        <is>
          <t>Lolodorf</t>
        </is>
      </c>
      <c r="I811" t="inlineStr"/>
      <c r="J811" t="n">
        <v>0</v>
      </c>
      <c r="K811" t="n">
        <v>0</v>
      </c>
      <c r="L811" t="n">
        <v>0</v>
      </c>
      <c r="M811" t="n">
        <v>0</v>
      </c>
      <c r="N811" t="inlineStr"/>
      <c r="O811" t="inlineStr"/>
      <c r="P811" t="inlineStr">
        <is>
          <t>IHS</t>
        </is>
      </c>
      <c r="Q811" t="inlineStr">
        <is>
          <t>POWER ISSUE</t>
        </is>
      </c>
      <c r="R811" t="inlineStr">
        <is>
          <t>Defaut GE &amp; Power Cabinet</t>
        </is>
      </c>
      <c r="S811" t="inlineStr">
        <is>
          <t>PASSIVE</t>
        </is>
      </c>
      <c r="T811" t="inlineStr">
        <is>
          <t>(04/28/2026 hourly IHS): FME manage..;..;(04/28/2026 ocm ran 14h): Power status check ongoing</t>
        </is>
      </c>
      <c r="U811" t="inlineStr">
        <is>
          <t>: FME manage.;.; : Power status check ongoing</t>
        </is>
      </c>
    </row>
    <row r="812">
      <c r="A812" s="96" t="n">
        <v>46140</v>
      </c>
      <c r="B812" t="inlineStr">
        <is>
          <t>Niete-DG</t>
        </is>
      </c>
      <c r="C812" t="inlineStr">
        <is>
          <t>SUD_011</t>
        </is>
      </c>
      <c r="D812" t="inlineStr"/>
      <c r="E812" t="inlineStr">
        <is>
          <t>IHS</t>
        </is>
      </c>
      <c r="F812" t="inlineStr">
        <is>
          <t>Grid-Gen</t>
        </is>
      </c>
      <c r="G812" t="inlineStr">
        <is>
          <t>SUD</t>
        </is>
      </c>
      <c r="H812" t="inlineStr">
        <is>
          <t>Niete</t>
        </is>
      </c>
      <c r="I812" t="inlineStr"/>
      <c r="J812" t="n">
        <v>0</v>
      </c>
      <c r="K812" t="n">
        <v>0</v>
      </c>
      <c r="L812" t="n">
        <v>0</v>
      </c>
      <c r="M812" t="n">
        <v>0</v>
      </c>
      <c r="N812" t="inlineStr"/>
      <c r="O812" t="inlineStr"/>
      <c r="P812" t="inlineStr">
        <is>
          <t>IHS</t>
        </is>
      </c>
      <c r="Q812" t="inlineStr">
        <is>
          <t>POWER ISSUE</t>
        </is>
      </c>
      <c r="R812" t="inlineStr">
        <is>
          <t>Defaut GE &amp; Power Cabinet</t>
        </is>
      </c>
      <c r="S812" t="inlineStr">
        <is>
          <t>PASSIVE</t>
        </is>
      </c>
      <c r="T812" t="inlineStr">
        <is>
          <t>(04/28/2026 hourly IHS): FME manage ETA ASAP</t>
        </is>
      </c>
      <c r="U812" t="inlineStr">
        <is>
          <t>: FME manage ETA ASAP</t>
        </is>
      </c>
    </row>
    <row r="813">
      <c r="A813" s="96" t="n">
        <v>46140</v>
      </c>
      <c r="B813" t="inlineStr">
        <is>
          <t>Zamakoe-MTN</t>
        </is>
      </c>
      <c r="C813" t="inlineStr">
        <is>
          <t>CTR_366</t>
        </is>
      </c>
      <c r="D813" t="inlineStr"/>
      <c r="E813" t="inlineStr">
        <is>
          <t>IHS</t>
        </is>
      </c>
      <c r="F813" t="inlineStr">
        <is>
          <t>Grid-Gen</t>
        </is>
      </c>
      <c r="G813" t="inlineStr">
        <is>
          <t>CENTRE</t>
        </is>
      </c>
      <c r="H813" t="inlineStr">
        <is>
          <t>Zamakoe</t>
        </is>
      </c>
      <c r="I813" t="inlineStr"/>
      <c r="J813" t="n">
        <v>0</v>
      </c>
      <c r="K813" t="n">
        <v>0</v>
      </c>
      <c r="L813" t="n">
        <v>0</v>
      </c>
      <c r="M813" t="n">
        <v>0</v>
      </c>
      <c r="N813" t="inlineStr"/>
      <c r="O813" t="inlineStr"/>
      <c r="P813" t="inlineStr">
        <is>
          <t>SPARE-ISSUE</t>
        </is>
      </c>
      <c r="Q813" t="inlineStr">
        <is>
          <t>SPARE-ISSUE</t>
        </is>
      </c>
      <c r="R813" t="inlineStr">
        <is>
          <t>SPARE-ISSUE</t>
        </is>
      </c>
      <c r="S813" t="inlineStr">
        <is>
          <t>SPARE-ISSUE</t>
        </is>
      </c>
      <c r="T813" t="inlineStr">
        <is>
          <t>(04/28/2026 ocm ran 19h):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CM-20260408-00002730; FME Rodrigue activé pour investigations, update ASAP..;..;(04/28/2026 ocm ran 14h):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CM-20260408-00002730; FME Rodrigue activé pour investigations, update ASAP..;..;(04/28/2026 com ran 10h): 27/04/2026 ODU en cours de dementelement
21.04.26; Dementellement des ODUs en cours pour MAD à Huawei, update ASAP
08.04.26; ODU MPT 7-8 GHz 3DB20859AB faulty et commande passée à OCM
08.04.26; Besoin d'un FME sur site pour vérifier la chaine antennaire de l'ODU 3.1; CM-20260408-00002730; FME Rodrigue activé pour investigations, update ASAP..;..;(04/28/2026 ocm ran 00h): 27/04/2026 ODU en cours de dementelement
21.04.26; Dementellement des ODUs en cours pour MAD à Huawei, update ASAP
08.04.26; ODU MPT 7-8 GHz 3DB20859AB faulty et commande passée à OCM
08.04.26; Besoin d'un FME sur site pour vérifier la chaine antennaire de l'ODU 3.1; CM-20260408-00002730; FME Rodrigue activé pour investigations, update ASAP</t>
        </is>
      </c>
      <c r="U813" t="inlineStr">
        <is>
          <t>: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 FME Rodrigue activé pour investigations, update ASAP.;.; : 28/04/2026 ODU MPT 7-8 GHz 3DB20859AB faulty en attente de MAD 27/04/2026 ODU en cours de dementelement 21.04.26; Dementellement des ODUs en cours pour MAD à Huawei, update ASAP 08.04.26; ODU MPT 7-8 GHz 3DB20859AB faulty et commande passée à OCM 08.04.26; Besoin d'un FME sur site pour vérifier la chaine antennaire de l'ODU 3.1; ; FME Rodrigue activé pour investigations, update ASAP.;.;(04/28/2026 com ran 10h) : 27/04/2026 ODU en cours de dementelement 21.04.26; Dementellement des ODUs en cours pour MAD à Huawei, update ASAP 08.04.26; ODU MPT 7-8 GHz 3DB20859AB faulty et commande passée à OCM 08.04.26; Besoin d'un FME sur site pour vérifier la chaine antennaire de l'ODU 3.1; ; FME Rodrigue activé pour investigations, update ASAP.;.; : 27/04/2026 ODU en cours de dementelement 21.04.26; Dementellement des ODUs en cours pour MAD à Huawei, update ASAP 08.04.26; ODU MPT 7-8 GHz 3DB20859AB faulty et commande passée à OCM 08.04.26; Besoin d'un FME sur site pour vérifier la chaine antennaire de l'ODU 3.1; ; FME Rodrigue activé pour investigations, update ASAP</t>
        </is>
      </c>
    </row>
    <row r="814">
      <c r="A814" s="96" t="n">
        <v>46140</v>
      </c>
      <c r="B814" t="inlineStr">
        <is>
          <t>Ntui-Ecole-Publique</t>
        </is>
      </c>
      <c r="C814" t="inlineStr">
        <is>
          <t>CTR_826</t>
        </is>
      </c>
      <c r="D814" t="inlineStr"/>
      <c r="E814" t="inlineStr">
        <is>
          <t>CAMUSAT</t>
        </is>
      </c>
      <c r="F814" t="inlineStr">
        <is>
          <t>HGB</t>
        </is>
      </c>
      <c r="G814" t="inlineStr">
        <is>
          <t>CENTRE</t>
        </is>
      </c>
      <c r="H814" t="inlineStr">
        <is>
          <t>Ntui</t>
        </is>
      </c>
      <c r="I814" t="inlineStr"/>
      <c r="J814" t="n">
        <v>0</v>
      </c>
      <c r="K814" t="n">
        <v>0</v>
      </c>
      <c r="L814" t="n">
        <v>0</v>
      </c>
      <c r="M814" t="n">
        <v>0</v>
      </c>
      <c r="N814" t="inlineStr"/>
      <c r="O814" t="inlineStr"/>
      <c r="P814" t="inlineStr">
        <is>
          <t>SPARE-ISSUE</t>
        </is>
      </c>
      <c r="Q814" t="inlineStr">
        <is>
          <t>SPARE-ISSUE</t>
        </is>
      </c>
      <c r="R814" t="inlineStr">
        <is>
          <t>SPARE-ISSUE</t>
        </is>
      </c>
      <c r="S814" t="inlineStr">
        <is>
          <t>SPARE-ISSUE</t>
        </is>
      </c>
      <c r="T814" t="inlineStr">
        <is>
          <t>(04/28/2026 ocm ran 19h):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UTC..;..;(04/28/2026 ocm ran 14h):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UTC..;..;(04/28/2026 com ran 10h):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UTC..;..;(04/28/2026 ocm ran 00h):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t>
        </is>
      </c>
      <c r="U814" t="inlineStr">
        <is>
          <t>: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 :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UTC.;.;(04/28/2026 com ran 10h) :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 : 22.04.26; Carte EAC disponible et transfert en cours de Bafousssam, ETD=22.04.26 mais chassis MSS8 pas disponible, commande faite à OCM 21/04/2026 Chassi MSS8, FAN et carte EAC de MPR_NTUI_2 commande en cours 20/04/2026 Besoin d'un fme sur site de MPR_NTUI_1 pour verifier le stacking entre les MPR S1P1; FME Apiang activé pour, pour investigations, ETA=18H UTC</t>
        </is>
      </c>
    </row>
    <row r="815">
      <c r="A815" s="96" t="n">
        <v>46140</v>
      </c>
      <c r="B815" t="inlineStr">
        <is>
          <t>Mamb</t>
        </is>
      </c>
      <c r="C815" t="inlineStr">
        <is>
          <t>CTR_356</t>
        </is>
      </c>
      <c r="D815" t="inlineStr"/>
      <c r="E815" t="inlineStr">
        <is>
          <t>IHS</t>
        </is>
      </c>
      <c r="F815" t="inlineStr">
        <is>
          <t>Grid-Gen</t>
        </is>
      </c>
      <c r="G815" t="inlineStr">
        <is>
          <t>CENTRE</t>
        </is>
      </c>
      <c r="H815" t="inlineStr">
        <is>
          <t>Mamb</t>
        </is>
      </c>
      <c r="I815" t="inlineStr"/>
      <c r="J815" t="n">
        <v>0</v>
      </c>
      <c r="K815" t="n">
        <v>0</v>
      </c>
      <c r="L815" t="n">
        <v>0</v>
      </c>
      <c r="M815" t="n">
        <v>0</v>
      </c>
      <c r="N815" t="inlineStr"/>
      <c r="O815" t="inlineStr"/>
      <c r="P815" t="inlineStr">
        <is>
          <t>PDH</t>
        </is>
      </c>
      <c r="Q815" t="inlineStr">
        <is>
          <t>TX ISSUE</t>
        </is>
      </c>
      <c r="R815" t="inlineStr">
        <is>
          <t>MPR ISSUE</t>
        </is>
      </c>
      <c r="S815" t="inlineStr">
        <is>
          <t>ACTIVE</t>
        </is>
      </c>
      <c r="T815" t="inlineStr">
        <is>
          <t>(04/28/2026 ocm ran 19h): 28/04/2026 Besoin d'un fme sur site pour verifier le status du MPR fme etiente activé ETA=ASAP ..;..;(04/28/2026 ocm ran 14h): Power status check ongoing</t>
        </is>
      </c>
      <c r="U815" t="inlineStr">
        <is>
          <t>: 28/04/2026 Besoin d'un fme sur site pour verifier le status du MPR fme etiente activé ETA=ASAP .;.; : Power status check ongoing</t>
        </is>
      </c>
    </row>
    <row r="816">
      <c r="A816" s="96" t="n">
        <v>46140</v>
      </c>
      <c r="B816" t="inlineStr">
        <is>
          <t>Mbambou-IHS</t>
        </is>
      </c>
      <c r="C816" t="inlineStr">
        <is>
          <t>LIT_143</t>
        </is>
      </c>
      <c r="D816" t="inlineStr"/>
      <c r="E816" t="inlineStr">
        <is>
          <t>IHS</t>
        </is>
      </c>
      <c r="F816" t="inlineStr">
        <is>
          <t>Gen-Lithium</t>
        </is>
      </c>
      <c r="G816" t="inlineStr">
        <is>
          <t>LITTORAL</t>
        </is>
      </c>
      <c r="H816" t="inlineStr">
        <is>
          <t>Mbambou</t>
        </is>
      </c>
      <c r="I816" t="inlineStr"/>
      <c r="J816" t="n">
        <v>0</v>
      </c>
      <c r="K816" t="n">
        <v>0</v>
      </c>
      <c r="L816" t="n">
        <v>0</v>
      </c>
      <c r="M816" t="n">
        <v>0</v>
      </c>
      <c r="N816" t="inlineStr"/>
      <c r="O816" t="inlineStr"/>
      <c r="P816" t="inlineStr">
        <is>
          <t>IHS</t>
        </is>
      </c>
      <c r="Q816" t="inlineStr">
        <is>
          <t>POWER ISSUE</t>
        </is>
      </c>
      <c r="R816" t="inlineStr">
        <is>
          <t>Defaut GE &amp; Power Cabinet</t>
        </is>
      </c>
      <c r="S816" t="inlineStr">
        <is>
          <t>PASSIVE</t>
        </is>
      </c>
      <c r="T816" t="inlineStr">
        <is>
          <t>(04/28/2026 hourly IHS): FME manage ETA ASAP</t>
        </is>
      </c>
      <c r="U816" t="inlineStr">
        <is>
          <t>: FME manage ETA ASAP</t>
        </is>
      </c>
    </row>
    <row r="817">
      <c r="A817" s="96" t="n">
        <v>46140</v>
      </c>
      <c r="B817" t="inlineStr">
        <is>
          <t>Fifinda-MTN</t>
        </is>
      </c>
      <c r="C817" t="inlineStr">
        <is>
          <t>SUD_215</t>
        </is>
      </c>
      <c r="D817" t="inlineStr"/>
      <c r="E817" t="inlineStr">
        <is>
          <t>IHS</t>
        </is>
      </c>
      <c r="F817" t="inlineStr">
        <is>
          <t>Grid-Gen</t>
        </is>
      </c>
      <c r="G817" t="inlineStr">
        <is>
          <t>SUD</t>
        </is>
      </c>
      <c r="H817" t="inlineStr">
        <is>
          <t>Fifinda</t>
        </is>
      </c>
      <c r="I817" t="inlineStr"/>
      <c r="J817" t="n">
        <v>0</v>
      </c>
      <c r="K817" t="n">
        <v>0</v>
      </c>
      <c r="L817" t="n">
        <v>0</v>
      </c>
      <c r="M817" t="n">
        <v>0</v>
      </c>
      <c r="N817" t="inlineStr"/>
      <c r="O817" t="inlineStr"/>
      <c r="P817" t="inlineStr">
        <is>
          <t>SPARE-ISSUE</t>
        </is>
      </c>
      <c r="Q817" t="inlineStr">
        <is>
          <t>SPARE-ISSUE</t>
        </is>
      </c>
      <c r="R817" t="inlineStr">
        <is>
          <t>Warehouse HUAWEI</t>
        </is>
      </c>
      <c r="S817" t="inlineStr">
        <is>
          <t>SPARE-ISSUE</t>
        </is>
      </c>
      <c r="T817" t="inlineStr">
        <is>
          <t>(04/28/2026 ocm ran 19h):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ASAP..;..;(04/28/2026 ocm ran 14h):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ASAP..;..;(04/28/2026 com ran 10h):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ASAP..;..;(04/28/2026 ocm ran 00h):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t>
        </is>
      </c>
      <c r="U817" t="inlineStr">
        <is>
          <t>: 22.04.26 :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 : 22.04.26 :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ASAP.;.;(04/28/2026 com ran 10h) :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 : 22.04.26; Expédition de la carte flash en cours de Douala, ETD=22.04.26. Par ailleurs, FO MPR&lt;&gt;ODU pas disponible, commande passée à OCM 21.04.26; Expédition du matériel en cours de Douala, ETD=22.04.26 20.04.26; Carte flash et FO MPR&lt;&gt;ODU faulty, commande en cours 20.04.26; Carte flash faulty, commande en cours, en parrallèle, FME en route pour le site de Pama pour vérifier la chaine antennaire de l'ODU, ETA=11H UTC 19.04.26; Besoin d'un FME sur SUD_004_Pama pour vérifier la chaine antennaire de l'ODU 5.3; FME Lucien activé pour investigations, update ASAP</t>
        </is>
      </c>
    </row>
    <row r="818">
      <c r="A818" s="96" t="n">
        <v>46140</v>
      </c>
      <c r="B818" t="inlineStr">
        <is>
          <t>Loum-Nkombi-II-IHS</t>
        </is>
      </c>
      <c r="C818" t="inlineStr">
        <is>
          <t>LIT_520</t>
        </is>
      </c>
      <c r="D818" t="inlineStr"/>
      <c r="E818" t="inlineStr">
        <is>
          <t>IHS</t>
        </is>
      </c>
      <c r="F818" t="inlineStr">
        <is>
          <t>Grid-Gen</t>
        </is>
      </c>
      <c r="G818" t="inlineStr">
        <is>
          <t>LITTORAL</t>
        </is>
      </c>
      <c r="H818" t="inlineStr">
        <is>
          <t>Loum</t>
        </is>
      </c>
      <c r="I818" t="inlineStr"/>
      <c r="J818" t="n">
        <v>0</v>
      </c>
      <c r="K818" t="n">
        <v>0</v>
      </c>
      <c r="L818" t="n">
        <v>0</v>
      </c>
      <c r="M818" t="n">
        <v>0</v>
      </c>
      <c r="N818" t="inlineStr"/>
      <c r="O818" t="inlineStr"/>
      <c r="P818" t="inlineStr">
        <is>
          <t>PDH</t>
        </is>
      </c>
      <c r="Q818" t="inlineStr">
        <is>
          <t>TX ISSUE</t>
        </is>
      </c>
      <c r="R818" t="inlineStr">
        <is>
          <t>ODU HS</t>
        </is>
      </c>
      <c r="S818" t="inlineStr">
        <is>
          <t>ACTIVE</t>
        </is>
      </c>
      <c r="T818" t="inlineStr">
        <is>
          <t>(04/28/2026 ocm ran 19h): 28/04/2026 Activate FME at Loum-Camtel to check ODU 5/2..;..;(04/28/2026 ocm ran 14h): Power status check ongoing</t>
        </is>
      </c>
      <c r="U818" t="inlineStr">
        <is>
          <t>: 28/04/2026 Activate FME at Loum-Camtel to check ODU 5/2.;.; : Power status check ongoing</t>
        </is>
      </c>
    </row>
    <row r="819">
      <c r="A819" s="96" t="n">
        <v>46142</v>
      </c>
      <c r="B819" t="inlineStr">
        <is>
          <t>Logbessou-II</t>
        </is>
      </c>
      <c r="C819" t="inlineStr">
        <is>
          <t>LIT_669</t>
        </is>
      </c>
      <c r="D819" t="inlineStr"/>
      <c r="E819" t="inlineStr">
        <is>
          <t>CAMUSAT</t>
        </is>
      </c>
      <c r="F819" t="inlineStr">
        <is>
          <t>Good Grid + GE</t>
        </is>
      </c>
      <c r="G819" t="inlineStr">
        <is>
          <t>LITTORAL</t>
        </is>
      </c>
      <c r="H819" t="inlineStr">
        <is>
          <t>Douala</t>
        </is>
      </c>
      <c r="I819" t="inlineStr"/>
      <c r="J819" t="n">
        <v>0.2133216630896571</v>
      </c>
      <c r="K819" t="n">
        <v>0.2616996644124148</v>
      </c>
      <c r="L819" t="n">
        <v>106.3766916848887</v>
      </c>
      <c r="M819" t="n">
        <v>55.59254550798586</v>
      </c>
      <c r="N819" t="inlineStr">
        <is>
          <t>Operationnel</t>
        </is>
      </c>
      <c r="O819" t="inlineStr"/>
      <c r="P819" t="inlineStr">
        <is>
          <t>PDH</t>
        </is>
      </c>
      <c r="Q819" t="inlineStr">
        <is>
          <t>TX ISSUE</t>
        </is>
      </c>
      <c r="R819" t="inlineStr">
        <is>
          <t>MPR issue</t>
        </is>
      </c>
      <c r="S819" t="inlineStr">
        <is>
          <t>ACTIVE</t>
        </is>
      </c>
      <c r="T819" t="inlineStr">
        <is>
          <t>28/03/2026 : Besoin d'analyse BO RAN || Transmission investrigation neeeded….28/03/2026 : Besoin d'analyse BO RAN || Transmission investrigation neeeded….28/03/2026 : Besoin d'analyse BO RAN || Transmission investrigation neeeded</t>
        </is>
      </c>
      <c r="U819" t="inlineStr">
        <is>
          <t>28/03/2026 : Besoin d'analyse BO RAN || Transmission investrigation neeeded….28/03/2026 : Besoin d'analyse BO RAN || Transmission investrigation neeeded….28/03/2026 : Besoin d'analyse BO RAN || Transmission investrigation neeeded</t>
        </is>
      </c>
    </row>
    <row r="820">
      <c r="A820" s="96" t="n">
        <v>46142</v>
      </c>
      <c r="B820" t="inlineStr">
        <is>
          <t>Etam-Bafia</t>
        </is>
      </c>
      <c r="C820" t="inlineStr">
        <is>
          <t>CTR_721</t>
        </is>
      </c>
      <c r="D820" t="inlineStr"/>
      <c r="E820" t="inlineStr">
        <is>
          <t>CAMUSAT</t>
        </is>
      </c>
      <c r="F820" t="inlineStr">
        <is>
          <t>Good Grid no GE - 8h</t>
        </is>
      </c>
      <c r="G820" t="inlineStr">
        <is>
          <t>CENTRE</t>
        </is>
      </c>
      <c r="H820" t="inlineStr">
        <is>
          <t>Yaounde</t>
        </is>
      </c>
      <c r="I820" t="inlineStr"/>
      <c r="J820" t="n">
        <v>30.55170877146706</v>
      </c>
      <c r="K820" t="n">
        <v>26.01632546895559</v>
      </c>
      <c r="L820" t="n">
        <v>75.62717924472548</v>
      </c>
      <c r="M820" t="n">
        <v>52.53547040375764</v>
      </c>
      <c r="N820" t="inlineStr">
        <is>
          <t>Operationnel</t>
        </is>
      </c>
      <c r="O820" t="inlineStr"/>
      <c r="P820" t="inlineStr">
        <is>
          <t>AKTIVCO GRID ONLY</t>
        </is>
      </c>
      <c r="Q820" t="inlineStr">
        <is>
          <t>POWER ISSUE</t>
        </is>
      </c>
      <c r="R820" t="inlineStr">
        <is>
          <t>AKTIVCO Coupure ENEO &amp; Baisse de tension</t>
        </is>
      </c>
      <c r="S820" t="inlineStr">
        <is>
          <t>PASSIVE</t>
        </is>
      </c>
      <c r="T820" t="inlineStr">
        <is>
          <t>site down….site down….site down….30/03/2026 Grid outage grid only site /awaiting grid return escalade L3 camusat 
30/03/2026 Grid outage grid only site /awaiting grid return escalade L2 camusat ….30/03/2026 Grid outage grid only site /awaiting grid return….30/03/2026 Grid outage grid only site /awaiting grid return</t>
        </is>
      </c>
      <c r="U820" t="inlineStr">
        <is>
          <t>site down….site down….site down….30/03/2026 Grid outage grid only site /awaiting grid return escalade L3 camusat 30/03/2026 Grid outage grid only site /awaiting grid return escalade L2 camusat ….30/03/2026 Grid outage grid only site /awaiting grid return….30/03/2026 Grid outage grid only site /awaiting grid return</t>
        </is>
      </c>
    </row>
    <row r="821">
      <c r="A821" s="96" t="n">
        <v>46142</v>
      </c>
      <c r="B821" t="inlineStr">
        <is>
          <t>PK5-Auberge</t>
        </is>
      </c>
      <c r="C821" t="inlineStr">
        <is>
          <t>LIT_647</t>
        </is>
      </c>
      <c r="D821" t="inlineStr"/>
      <c r="E821" t="inlineStr">
        <is>
          <t>CAMUSAT</t>
        </is>
      </c>
      <c r="F821" t="inlineStr">
        <is>
          <t>Good Grid no GE - 12h</t>
        </is>
      </c>
      <c r="G821" t="inlineStr">
        <is>
          <t>LITTORAL</t>
        </is>
      </c>
      <c r="H821" t="inlineStr">
        <is>
          <t>Douala</t>
        </is>
      </c>
      <c r="I821" t="inlineStr"/>
      <c r="J821" t="n">
        <v>28.12248959869549</v>
      </c>
      <c r="K821" t="n">
        <v>23.92910329773453</v>
      </c>
      <c r="L821" t="n">
        <v>77.56633768689794</v>
      </c>
      <c r="M821" t="n">
        <v>52.49912251414678</v>
      </c>
      <c r="N821" t="inlineStr">
        <is>
          <t>Operationnel</t>
        </is>
      </c>
      <c r="O821" t="inlineStr"/>
      <c r="P821" t="inlineStr">
        <is>
          <t>AKTIVCO GRID ONLY</t>
        </is>
      </c>
      <c r="Q821" t="inlineStr">
        <is>
          <t>POWER ISSUE</t>
        </is>
      </c>
      <c r="R821" t="inlineStr">
        <is>
          <t>AKTIVCO Coupure ENEO &amp; Baisse de tension</t>
        </is>
      </c>
      <c r="S821" t="inlineStr">
        <is>
          <t>PASSIVE</t>
        </is>
      </c>
      <c r="T821" t="inlineStr">
        <is>
          <t xml:space="preserve">30/03/2026 30/03/2026 Grid outage grid only site /awaiting grid return escalade L3 camusat 
30/03/2026 Grid outage grid only site /awaiting grid return escalade L2 camusat ….Grid outage grid only site /awaiting grid return….Grid outage grid only site /awaiting grid return….INC-20260330-00001857.,,2026-03-31 06:22:33.,,Transmission Issue U=52,80V, I=51,19A/No Action Done.,,power issu coupure d'électricité dans la zone en attente du retour secteur site Grid Only </t>
        </is>
      </c>
      <c r="U821" t="inlineStr">
        <is>
          <t>30/03/2026 30/03/2026 Grid outage grid only site /awaiting grid return escalade L3 camusat 30/03/2026 Grid outage grid only site /awaiting grid return escalade L2 camusat ….Grid outage grid only site /awaiting grid return….Grid outage grid only site /awaiting grid return….,,2026-03-31 06 : 22 : 33.,,Transmission Issue U=52,80V, I=51,19A/No Action Done.,,power issu coupure d'électricité dans la zone en attente du retour secteur site Grid Only</t>
        </is>
      </c>
    </row>
    <row r="822">
      <c r="A822" s="96" t="n">
        <v>46142</v>
      </c>
      <c r="B822" t="inlineStr">
        <is>
          <t>Edea-Entree</t>
        </is>
      </c>
      <c r="C822" t="inlineStr">
        <is>
          <t>LIT_229</t>
        </is>
      </c>
      <c r="D822" t="inlineStr"/>
      <c r="E822" t="inlineStr">
        <is>
          <t>IHS</t>
        </is>
      </c>
      <c r="F822" t="inlineStr">
        <is>
          <t>Solar-Grid-Gen</t>
        </is>
      </c>
      <c r="G822" t="inlineStr">
        <is>
          <t>LITTORAL</t>
        </is>
      </c>
      <c r="H822" t="inlineStr">
        <is>
          <t>Edea</t>
        </is>
      </c>
      <c r="I822" t="inlineStr"/>
      <c r="J822" t="n">
        <v>32.37018852239528</v>
      </c>
      <c r="K822" t="n">
        <v>55.08124483613329</v>
      </c>
      <c r="L822" t="n">
        <v>53.18834584244432</v>
      </c>
      <c r="M822" t="n">
        <v>50.85098292683623</v>
      </c>
      <c r="N822" t="inlineStr">
        <is>
          <t>Operationnel</t>
        </is>
      </c>
      <c r="O822" t="inlineStr">
        <is>
          <t>Site vendaliser</t>
        </is>
      </c>
      <c r="P822" t="inlineStr">
        <is>
          <t>Exclu</t>
        </is>
      </c>
      <c r="Q822" t="inlineStr">
        <is>
          <t>Exclu</t>
        </is>
      </c>
      <c r="R822" t="inlineStr">
        <is>
          <t>exclu</t>
        </is>
      </c>
      <c r="S822" t="inlineStr">
        <is>
          <t>Exclu</t>
        </is>
      </c>
      <c r="T822" t="inlineStr">
        <is>
          <t xml:space="preserve">30/03/2026 : Power issue : Mail sent to HIS || Feedback IHS : Vol de cable….30/03/2026 : Power issue : Mail sent to HIS || Feedback IHS : Vol de cable….30/03/2026 : Power issue : Mail sent to HIS ||  Check connectors and optical fiber of RRU || Site vendaliser
</t>
        </is>
      </c>
      <c r="U822" t="inlineStr">
        <is>
          <t>30/03/2026 : Power issue : Mail sent to HIS || Feedback IHS : Vol de cable….30/03/2026 : Power issue : Mail sent to HIS || Feedback IHS : Vol de cable….30/03/2026 : Power issue : Mail sent to HIS || Check connectors and optical fiber of RRU || Site vendaliser</t>
        </is>
      </c>
    </row>
    <row r="823">
      <c r="A823" s="96" t="n">
        <v>46142</v>
      </c>
      <c r="B823" t="inlineStr">
        <is>
          <t>LIT_825_Z_Camp-Bertaud</t>
        </is>
      </c>
      <c r="C823" t="inlineStr">
        <is>
          <t>LIT_825</t>
        </is>
      </c>
      <c r="D823" t="inlineStr"/>
      <c r="E823" t="inlineStr">
        <is>
          <t>ESCO</t>
        </is>
      </c>
      <c r="F823" t="inlineStr">
        <is>
          <t>Good Grid no GE - 8h</t>
        </is>
      </c>
      <c r="G823" t="inlineStr">
        <is>
          <t>LIT</t>
        </is>
      </c>
      <c r="H823" t="inlineStr">
        <is>
          <t>Douala</t>
        </is>
      </c>
      <c r="I823" t="inlineStr"/>
      <c r="J823" t="n">
        <v>23.75501580678553</v>
      </c>
      <c r="K823" t="n">
        <v>20.39849538099561</v>
      </c>
      <c r="L823" t="n">
        <v>73.25032503989129</v>
      </c>
      <c r="M823" t="n">
        <v>48.43943064722788</v>
      </c>
      <c r="N823" t="inlineStr"/>
      <c r="O823" t="inlineStr"/>
      <c r="P823" t="inlineStr">
        <is>
          <t>AKTIVCO GRID ONLY</t>
        </is>
      </c>
      <c r="Q823" t="inlineStr">
        <is>
          <t>POWER ISSUE</t>
        </is>
      </c>
      <c r="R823" t="inlineStr">
        <is>
          <t>AKTIVCO Coupure ENEO &amp; Baisse de tension</t>
        </is>
      </c>
      <c r="S823" t="inlineStr">
        <is>
          <t>PASSIVE</t>
        </is>
      </c>
      <c r="T823" t="inlineStr">
        <is>
          <t>site down….site down….site down….30.03.2026 CAMUSAT: Grid outage, Grid only site / continuté du délestage confirmer à 12H(escalade L4)
29.03.2026 CAMUSAT: Grid outage, Grid only site / continuté du délestage confirmer à 12H(escalade L4)
29/03/2026 Grid outage grid only site /awaiting grid return| ESCALATE TO L3
27/03/2026 Grid outage grid only site /awaiting grid return
27.03.26; Power alarms; Camusat feedback awaiting….30.03.2026 CAMUSAT: Grid outage, Grid only site / continuté du délestage confirmer à 12H(escalade L4)
29.03.2026 CAMUSAT: Grid outage, Grid only site / continuté du délestage confirmer à 12H(escalade L4)
29/03/2026 Grid outage grid only site /awaiting grid return| ESCALATE TO L3
27/03/2026 Grid outage grid only site /awaiting grid return
27.03.26; Power alarms; Camusat feedback awaiting</t>
        </is>
      </c>
      <c r="U823" t="inlineStr">
        <is>
          <t>site down….site down….site down….30.03.2026 CAMUSAT : Grid outage, Grid only site / continuté du délestage confirmer à 12H(escalade L4) 29.03.2026 CAMUSAT : Grid outage, Grid only site / continuté du délestage confirmer à 12H(escalade L4) 29/03/2026 Grid outage grid only site /awaiting grid return| ESCALATE TO L3 27/03/2026 Grid outage grid only site /awaiting grid return 27.03.26; Power alarms; Camusat feedback awaiting….30.03.2026 CAMUSAT : Grid outage, Grid only site / continuté du délestage confirmer à 12H(escalade L4) 29.03.2026 CAMUSAT : Grid outage, Grid only site / continuté du délestage confirmer à 12H(escalade L4) 29/03/2026 Grid outage grid only site /awaiting grid return| ESCALATE TO L3 27/03/2026 Grid outage grid only site /awaiting grid return 27.03.26; Power alarms; Camusat feedback awaiting</t>
        </is>
      </c>
    </row>
    <row r="824">
      <c r="A824" s="96" t="n">
        <v>46142</v>
      </c>
      <c r="B824" t="inlineStr">
        <is>
          <t>CNDH</t>
        </is>
      </c>
      <c r="C824" t="inlineStr">
        <is>
          <t>CTR_046</t>
        </is>
      </c>
      <c r="D824" t="inlineStr"/>
      <c r="E824" t="inlineStr">
        <is>
          <t>IHS</t>
        </is>
      </c>
      <c r="F824" t="inlineStr">
        <is>
          <t>Grid-Gen</t>
        </is>
      </c>
      <c r="G824" t="inlineStr">
        <is>
          <t>CENTRE</t>
        </is>
      </c>
      <c r="H824" t="inlineStr">
        <is>
          <t>Yaounde</t>
        </is>
      </c>
      <c r="I824" t="inlineStr"/>
      <c r="J824" t="n">
        <v>24.28294945425624</v>
      </c>
      <c r="K824" t="n">
        <v>20.70476792775517</v>
      </c>
      <c r="L824" t="n">
        <v>70.95941625243233</v>
      </c>
      <c r="M824" t="n">
        <v>47.42295602868451</v>
      </c>
      <c r="N824" t="inlineStr">
        <is>
          <t>Operationnel</t>
        </is>
      </c>
      <c r="O824" t="inlineStr"/>
      <c r="P824" t="inlineStr">
        <is>
          <t>IHS</t>
        </is>
      </c>
      <c r="Q824" t="inlineStr">
        <is>
          <t>POWER ISSUE</t>
        </is>
      </c>
      <c r="R824" t="inlineStr">
        <is>
          <t>Defaut GE &amp; Power Cabinet</t>
        </is>
      </c>
      <c r="S824" t="inlineStr">
        <is>
          <t>PASSIVE</t>
        </is>
      </c>
      <c r="T824" t="inlineStr">
        <is>
          <t xml:space="preserve">site down….site down….site down….30/03/2026 CAMUSAT: Grid outage grid only site /awaiting grid return ESCALADE L2 CAMUSAT 
29.03.2026 CAMUSAT: Grid outage grid only site /awaiting grid return  ….30/03/2026 CAMUSAT: Grid outage grid only site /awaiting grid return ESCALADE L2 CAMUSAT 
29.03.2026 CAMUSAT: Grid outage grid only site /awaiting grid return  </t>
        </is>
      </c>
      <c r="U824" t="inlineStr">
        <is>
          <t>site down….site down….site down….30/03/2026 CAMUSAT : Grid outage grid only site /awaiting grid return ESCALADE L2 CAMUSAT 29.03.2026 CAMUSAT : Grid outage grid only site /awaiting grid return ….30/03/2026 CAMUSAT : Grid outage grid only site /awaiting grid return ESCALADE L2 CAMUSAT 29.03.2026 CAMUSAT : Grid outage grid only site /awaiting grid return</t>
        </is>
      </c>
    </row>
    <row r="825">
      <c r="A825" s="96" t="n">
        <v>46142</v>
      </c>
      <c r="B825" t="inlineStr">
        <is>
          <t>CTR_934_Z_Nkolbisson-II-MTN</t>
        </is>
      </c>
      <c r="C825" t="inlineStr">
        <is>
          <t>CTR_934</t>
        </is>
      </c>
      <c r="D825" t="inlineStr"/>
      <c r="E825" t="inlineStr">
        <is>
          <t>ESCO</t>
        </is>
      </c>
      <c r="F825" t="inlineStr">
        <is>
          <t>Hybrid Solar - S1</t>
        </is>
      </c>
      <c r="G825" t="inlineStr">
        <is>
          <t>CTR</t>
        </is>
      </c>
      <c r="H825" t="inlineStr">
        <is>
          <t>Yaoundé</t>
        </is>
      </c>
      <c r="I825" t="inlineStr"/>
      <c r="J825" t="n">
        <v>27.11633074749509</v>
      </c>
      <c r="K825" t="n">
        <v>23.3760595489458</v>
      </c>
      <c r="L825" t="n">
        <v>67.44259680607266</v>
      </c>
      <c r="M825" t="n">
        <v>46.89036491997044</v>
      </c>
      <c r="N825" t="inlineStr">
        <is>
          <t>Operationnel</t>
        </is>
      </c>
      <c r="O825" t="inlineStr"/>
      <c r="P825" t="inlineStr">
        <is>
          <t>AKTIVCO</t>
        </is>
      </c>
      <c r="Q825" t="inlineStr">
        <is>
          <t>POWER ISSUE</t>
        </is>
      </c>
      <c r="R825" t="inlineStr">
        <is>
          <t>AKTIVCO Defaut GE &amp; Power Cabinet</t>
        </is>
      </c>
      <c r="S825" t="inlineStr">
        <is>
          <t>PASSIVE</t>
        </is>
      </c>
      <c r="T825" t="inlineStr">
        <is>
          <t>site down….site down….site down….Power status check ongoing….Power status check ongoing….INC-20260330-00004861.,,2026-03-30 23:10:58.,,Site is up
Nous constatons l'indisponibilité de NKOLBISSON-II-MTN dû à un probable souci d'énergie.
Merci de vérifier l'énergie à  NKOLBISSON-II-MTN.
Si énergie ok, dépêcher un FME pour investigation et troubleshooting avec le BO au besoin.</t>
        </is>
      </c>
      <c r="U825" t="inlineStr">
        <is>
          <t>site down….site down….site down….Power status check ongoing….Power status check ongoing….,,2026-03-30 23 : 10 : 58.,,Site is up Nous constatons l'indisponibilité de NKOLBISSON-II-MTN dû à un probable souci d'énergie. Merci de vérifier l'énergie à NKOLBISSON-II-MTN. Si énergie ok, dépêcher un FME pour investigation et troubleshooting avec le BO au besoin.</t>
        </is>
      </c>
    </row>
    <row r="826">
      <c r="A826" s="96" t="n">
        <v>46142</v>
      </c>
      <c r="B826" t="inlineStr">
        <is>
          <t>Masque</t>
        </is>
      </c>
      <c r="C826" t="inlineStr">
        <is>
          <t>CTR_020</t>
        </is>
      </c>
      <c r="D826" t="inlineStr"/>
      <c r="E826" t="inlineStr">
        <is>
          <t>IHS</t>
        </is>
      </c>
      <c r="F826" t="inlineStr">
        <is>
          <t>Grid-Gen</t>
        </is>
      </c>
      <c r="G826" t="inlineStr">
        <is>
          <t>CENTRE</t>
        </is>
      </c>
      <c r="H826" t="inlineStr">
        <is>
          <t>Yaounde</t>
        </is>
      </c>
      <c r="I826" t="inlineStr"/>
      <c r="J826" t="n">
        <v>20.18924678968382</v>
      </c>
      <c r="K826" t="n">
        <v>17.1765506900456</v>
      </c>
      <c r="L826" t="n">
        <v>55.3524398238437</v>
      </c>
      <c r="M826" t="n">
        <v>37.51505280609989</v>
      </c>
      <c r="N826" t="inlineStr">
        <is>
          <t>Operationnel</t>
        </is>
      </c>
      <c r="O826" t="inlineStr"/>
      <c r="P826" t="inlineStr">
        <is>
          <t>PDH</t>
        </is>
      </c>
      <c r="Q826" t="inlineStr">
        <is>
          <t>TX ISSUE</t>
        </is>
      </c>
      <c r="R826" t="inlineStr">
        <is>
          <t>MPR issue</t>
        </is>
      </c>
      <c r="S826" t="inlineStr">
        <is>
          <t>ACTIVE</t>
        </is>
      </c>
      <c r="T826" t="inlineStr">
        <is>
          <t>Indisponibilité des services mobiles Voix &amp; Data dans la zone de CTR_020_Z_Masque et environs</t>
        </is>
      </c>
      <c r="U826" t="inlineStr">
        <is>
          <t>Indisponibilité des services mobiles Voix &amp; Data dans la zone de CTR_020_Z_Masque et environs</t>
        </is>
      </c>
    </row>
    <row r="827">
      <c r="A827" s="96" t="n">
        <v>46142</v>
      </c>
      <c r="B827" t="inlineStr">
        <is>
          <t>Bafia-CRTV</t>
        </is>
      </c>
      <c r="C827" t="inlineStr">
        <is>
          <t>CTR_101</t>
        </is>
      </c>
      <c r="D827" t="inlineStr"/>
      <c r="E827" t="inlineStr">
        <is>
          <t>CAMUSAT</t>
        </is>
      </c>
      <c r="F827" t="inlineStr">
        <is>
          <t>Medium Grid + GE</t>
        </is>
      </c>
      <c r="G827" t="inlineStr">
        <is>
          <t>CENTRE</t>
        </is>
      </c>
      <c r="H827" t="inlineStr">
        <is>
          <t>Bafia</t>
        </is>
      </c>
      <c r="I827" t="inlineStr"/>
      <c r="J827" t="n">
        <v>32.37293622531563</v>
      </c>
      <c r="K827" t="n">
        <v>55.08124483613329</v>
      </c>
      <c r="L827" t="n">
        <v>26.59417292122215</v>
      </c>
      <c r="M827" t="n">
        <v>36.98281839895215</v>
      </c>
      <c r="N827" t="inlineStr">
        <is>
          <t>Exclu</t>
        </is>
      </c>
      <c r="O827" t="inlineStr">
        <is>
          <t xml:space="preserve"> Site vendalisé,</t>
        </is>
      </c>
      <c r="P827" t="inlineStr">
        <is>
          <t>Exclu</t>
        </is>
      </c>
      <c r="Q827" t="inlineStr">
        <is>
          <t>Exclu</t>
        </is>
      </c>
      <c r="R827" t="inlineStr">
        <is>
          <t>exclu</t>
        </is>
      </c>
      <c r="S827" t="inlineStr">
        <is>
          <t>Exclu</t>
        </is>
      </c>
      <c r="T827" t="inlineStr">
        <is>
          <t>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t>
        </is>
      </c>
      <c r="U827" t="inlineStr">
        <is>
          <t>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t>
        </is>
      </c>
    </row>
    <row r="828">
      <c r="A828" s="96" t="n">
        <v>46142</v>
      </c>
      <c r="B828" t="inlineStr">
        <is>
          <t>Nkongmondo</t>
        </is>
      </c>
      <c r="C828" t="inlineStr">
        <is>
          <t>LIT_091</t>
        </is>
      </c>
      <c r="D828" t="inlineStr"/>
      <c r="E828" t="inlineStr">
        <is>
          <t>IHS</t>
        </is>
      </c>
      <c r="F828" t="inlineStr">
        <is>
          <t>GridOnly</t>
        </is>
      </c>
      <c r="G828" t="inlineStr">
        <is>
          <t>LITTORAL</t>
        </is>
      </c>
      <c r="H828" t="inlineStr">
        <is>
          <t>Douala</t>
        </is>
      </c>
      <c r="I828" t="inlineStr"/>
      <c r="J828" t="n">
        <v>18.06702097046869</v>
      </c>
      <c r="K828" t="n">
        <v>19.20267773051671</v>
      </c>
      <c r="L828" t="n">
        <v>49.5142733005448</v>
      </c>
      <c r="M828" t="n">
        <v>34.84765632802847</v>
      </c>
      <c r="N828" t="inlineStr">
        <is>
          <t>Operationnel</t>
        </is>
      </c>
      <c r="O828" t="inlineStr"/>
      <c r="P828" t="inlineStr">
        <is>
          <t>IHS GRID ONLY</t>
        </is>
      </c>
      <c r="Q828" t="inlineStr">
        <is>
          <t>POWER ISSUE</t>
        </is>
      </c>
      <c r="R828" t="inlineStr">
        <is>
          <t>Coupure ENEO &amp; Baisse de tension</t>
        </is>
      </c>
      <c r="S828" t="inlineStr">
        <is>
          <t>PASSIVE</t>
        </is>
      </c>
      <c r="T828" t="inlineStr">
        <is>
          <t>site down….site down….site down….site down….30.03.26; IHS; (Unstable) 02 /03 phases mssing (escalade L3)
29.03.26; IHS; (Unstable) 02 /03 phases mssing (escalade L3)
29.03.26; IHS; (Unstable) 02 /03 phases mssing (escalade L2)….29.03.26; IHS; (Unstable) 02 /03 phases mssing (escalade L3)
29.03.26; IHS; (Unstable) 02 /03 phases mssing (escalade L2)….29.03.26; IHS; (Unstable) 02 /03 phases mssing (escalade L3)
29.03.26; IHS; (Unstable) 02 /03 phases mssing (escalade L2)….INC-20260330-00007663.,,2026-03-30 12:47:08.,,30.03.26; IHS; (Unstable) 02 /03 phases mssing (escalade L3).,,Others</t>
        </is>
      </c>
      <c r="U828" t="inlineStr">
        <is>
          <t>site down….site down….site down….site down….30.03.26; IHS; (Unstable) 02 /03 phases mssing (escalade L3) 29.03.26; IHS; (Unstable) 02 /03 phases mssing (escalade L3) 29.03.26; IHS; (Unstable) 02 /03 phases mssing (escalade L2)….29.03.26; IHS; (Unstable) 02 /03 phases mssing (escalade L3) 29.03.26; IHS; (Unstable) 02 /03 phases mssing (escalade L2)….29.03.26; IHS; (Unstable) 02 /03 phases mssing (escalade L3) 29.03.26; IHS; (Unstable) 02 /03 phases mssing (escalade L2)….,,2026-03-30 12 : 47 : 08.,,30.03.26; IHS; (Unstable) 02 /03 phases mssing (escalade L3).,,Others</t>
        </is>
      </c>
    </row>
    <row r="829">
      <c r="A829" s="96" t="n">
        <v>46142</v>
      </c>
      <c r="B829" t="inlineStr">
        <is>
          <t>Bonewonda-III</t>
        </is>
      </c>
      <c r="C829" t="inlineStr">
        <is>
          <t>LIT_615</t>
        </is>
      </c>
      <c r="D829" t="inlineStr"/>
      <c r="E829" t="inlineStr">
        <is>
          <t>CAMUSAT</t>
        </is>
      </c>
      <c r="F829" t="inlineStr">
        <is>
          <t>Good Grid no GE - 8h</t>
        </is>
      </c>
      <c r="G829" t="inlineStr">
        <is>
          <t>LITTORAL</t>
        </is>
      </c>
      <c r="H829" t="inlineStr">
        <is>
          <t>Douala</t>
        </is>
      </c>
      <c r="I829" t="inlineStr"/>
      <c r="J829" t="n">
        <v>14.32165209884536</v>
      </c>
      <c r="K829" t="n">
        <v>12.18672541999449</v>
      </c>
      <c r="L829" t="n">
        <v>47.647893150523</v>
      </c>
      <c r="M829" t="n">
        <v>30.98418599275752</v>
      </c>
      <c r="N829" t="inlineStr">
        <is>
          <t>Operationnel</t>
        </is>
      </c>
      <c r="O829" t="inlineStr"/>
      <c r="P829" t="inlineStr">
        <is>
          <t>AKTIVCO GRID ONLY</t>
        </is>
      </c>
      <c r="Q829" t="inlineStr">
        <is>
          <t>POWER ISSUE</t>
        </is>
      </c>
      <c r="R829" t="inlineStr">
        <is>
          <t>AKTIVCO Coupure ENEO &amp; Baisse de tension</t>
        </is>
      </c>
      <c r="S829" t="inlineStr">
        <is>
          <t>PASSIVE</t>
        </is>
      </c>
      <c r="T829" t="inlineStr">
        <is>
          <t>30/03/2026Feedback Camusat:  tECHNICIAN IS ON THE WAY eta 16h55….Power status check ongoing….INC-20260330-00007632.,,2026-03-31 00:38:15.,,There is a power issue at Bonewonda-III as the Optim Radio Link and MW went down so please to involve the Powerco</t>
        </is>
      </c>
      <c r="U829" t="inlineStr">
        <is>
          <t>30/03/2026Feedback Camusat : tECHNICIAN IS ON THE WAY eta 16h55….Power status check ongoing….,,2026-03-31 00 : 38 : 15.,,There is a power issue at Bonewonda-III as the Optim Radio Link and MW went down so please to involve the Powerco</t>
        </is>
      </c>
    </row>
    <row r="830">
      <c r="A830" s="96" t="n">
        <v>46142</v>
      </c>
      <c r="B830" t="inlineStr">
        <is>
          <t>Nkololoun-Marche</t>
        </is>
      </c>
      <c r="C830" t="inlineStr">
        <is>
          <t>LIT_548</t>
        </is>
      </c>
      <c r="D830" t="inlineStr"/>
      <c r="E830" t="inlineStr">
        <is>
          <t>CAMUSAT</t>
        </is>
      </c>
      <c r="F830" t="inlineStr">
        <is>
          <t>Good Grid no GE - 8h</t>
        </is>
      </c>
      <c r="G830" t="inlineStr">
        <is>
          <t>LITTORAL</t>
        </is>
      </c>
      <c r="H830" t="inlineStr">
        <is>
          <t>Douala</t>
        </is>
      </c>
      <c r="I830" t="inlineStr"/>
      <c r="J830" t="n">
        <v>13.47948115375546</v>
      </c>
      <c r="K830" t="n">
        <v>11.51706966077433</v>
      </c>
      <c r="L830" t="n">
        <v>45.6676601177148</v>
      </c>
      <c r="M830" t="n">
        <v>29.60644402781702</v>
      </c>
      <c r="N830" t="inlineStr">
        <is>
          <t>Operationnel</t>
        </is>
      </c>
      <c r="O830" t="inlineStr"/>
      <c r="P830" t="inlineStr">
        <is>
          <t>AKTIVCO GRID ONLY</t>
        </is>
      </c>
      <c r="Q830" t="inlineStr">
        <is>
          <t>POWER ISSUE</t>
        </is>
      </c>
      <c r="R830" t="inlineStr">
        <is>
          <t>AKTIVCO Coupure ENEO &amp; Baisse de tension</t>
        </is>
      </c>
      <c r="S830" t="inlineStr">
        <is>
          <t>PASSIVE</t>
        </is>
      </c>
      <c r="T830" t="inlineStr">
        <is>
          <t>30/03/2026 Grid outage / Grid return awaited….INC-20260330-00009143.,,2026-03-30 15:24:40.,,Grid outage / Grid return awaited.,,Others</t>
        </is>
      </c>
      <c r="U830" t="inlineStr">
        <is>
          <t>30/03/2026 Grid outage / Grid return awaited….,,2026-03-30 15 : 24 : 40.,,Grid outage / Grid return awaited.,,Others</t>
        </is>
      </c>
    </row>
    <row r="831">
      <c r="A831" s="96" t="n">
        <v>46142</v>
      </c>
      <c r="B831" t="inlineStr">
        <is>
          <t>Ngoumou-Camrail</t>
        </is>
      </c>
      <c r="C831" t="inlineStr">
        <is>
          <t>CTR_098</t>
        </is>
      </c>
      <c r="D831" t="inlineStr"/>
      <c r="E831" t="inlineStr">
        <is>
          <t>CAMUSAT</t>
        </is>
      </c>
      <c r="F831" t="inlineStr">
        <is>
          <t>Medium Grid + Solar + GE</t>
        </is>
      </c>
      <c r="G831" t="inlineStr">
        <is>
          <t>CENTRE</t>
        </is>
      </c>
      <c r="H831" t="inlineStr">
        <is>
          <t>Ngoumou</t>
        </is>
      </c>
      <c r="I831" t="inlineStr"/>
      <c r="J831" t="n">
        <v>65.45995198603229</v>
      </c>
      <c r="K831" t="n">
        <v>55.08124483613329</v>
      </c>
      <c r="L831" t="n">
        <v>0</v>
      </c>
      <c r="M831" t="n">
        <v>27.83908429084769</v>
      </c>
      <c r="N831" t="inlineStr">
        <is>
          <t>Operationnel</t>
        </is>
      </c>
      <c r="O831" t="inlineStr"/>
      <c r="P831" t="inlineStr">
        <is>
          <t>TRAVAUX OCM</t>
        </is>
      </c>
      <c r="Q831" t="inlineStr">
        <is>
          <t>TRAVAUX OCM</t>
        </is>
      </c>
      <c r="R831" t="inlineStr">
        <is>
          <t>Projet OCM (ZTE, NOKIA, autres projets)</t>
        </is>
      </c>
      <c r="S831" t="inlineStr">
        <is>
          <t>PLANNED WORKS</t>
        </is>
      </c>
      <c r="T831" t="inlineStr">
        <is>
          <t>29/03/2026 : SWAP en cours….29/03/2026 : SWAP en cours….29/03/2026 : SWAP en cours</t>
        </is>
      </c>
      <c r="U831" t="inlineStr">
        <is>
          <t>29/03/2026 : SWAP en cours….29/03/2026 : SWAP en cours….29/03/2026 : SWAP en cours</t>
        </is>
      </c>
    </row>
    <row r="832">
      <c r="A832" s="96" t="n">
        <v>46142</v>
      </c>
      <c r="B832" t="inlineStr">
        <is>
          <t>MUTENGENE-Q12-IHS</t>
        </is>
      </c>
      <c r="C832" t="inlineStr">
        <is>
          <t>SUO_211</t>
        </is>
      </c>
      <c r="D832" t="inlineStr"/>
      <c r="E832" t="inlineStr">
        <is>
          <t>IHS</t>
        </is>
      </c>
      <c r="F832" t="inlineStr">
        <is>
          <t>Grid +Gen</t>
        </is>
      </c>
      <c r="G832" t="inlineStr">
        <is>
          <t>SUD-OUEST</t>
        </is>
      </c>
      <c r="H832" t="inlineStr">
        <is>
          <t>Mutengene</t>
        </is>
      </c>
      <c r="I832" t="inlineStr"/>
      <c r="J832" t="n">
        <v>64.74587245063127</v>
      </c>
      <c r="K832" t="n">
        <v>55.08124483613329</v>
      </c>
      <c r="L832" t="n">
        <v>0</v>
      </c>
      <c r="M832" t="n">
        <v>27.73711379921411</v>
      </c>
      <c r="N832" t="inlineStr">
        <is>
          <t>Insecurity</t>
        </is>
      </c>
      <c r="O832" t="inlineStr"/>
      <c r="P832" t="inlineStr">
        <is>
          <t>PDH</t>
        </is>
      </c>
      <c r="Q832" t="inlineStr">
        <is>
          <t>TX ISSUE</t>
        </is>
      </c>
      <c r="R832" t="inlineStr">
        <is>
          <t>ODU HS</t>
        </is>
      </c>
      <c r="S832" t="inlineStr">
        <is>
          <t>ACTIVE</t>
        </is>
      </c>
      <c r="T832" t="inlineStr">
        <is>
          <t xml:space="preserve">30/03/2026 expedition de l ODU 3DB29118AB EN cours ETD=30/03/2026
29.03.2026: FME on the site after investigation repport ODU Faulty Commande en cours
28.03.2026: Power Issue solved but site remain down. Need FME on the site for troubleshooting
27/03/2026 Power issue en attente de retour IHS ….30/03/2026 expedition de l ODU 3DB29118AB EN cours ETD=30/03/2026
29.03.2026: FME on the site after investigation repport ODU Faulty Commande en cours
28.03.2026: Power Issue solved but site remain down. Need FME on the site for troubleshooting
27/03/2026 Power issue en attente de retour IHS ….30/03/2026 expedition de l ODU 3DB29118AB EN cours ETD=30/03/2026
29.03.2026: FME on the site after investigation repport ODU Faulty Commande en cours
28.03.2026: Power Issue solved but site remain down. Need FME on the site for troubleshooting
27/03/2026 Power issue en attente de retour IHS </t>
        </is>
      </c>
      <c r="U832" t="inlineStr">
        <is>
          <t>30/03/2026 expedition de l ODU 3DB29118AB EN cours ETD=30/03/2026 29.03.2026 : FME on the site after investigation repport ODU Faulty Commande en cours 28.03.2026 : Power Issue solved but site remain down. Need FME on the site for troubleshooting 27/03/2026 Power issue en attente de retour IHS ….30/03/2026 expedition de l ODU 3DB29118AB EN cours ETD=30/03/2026 29.03.2026 : FME on the site after investigation repport ODU Faulty Commande en cours 28.03.2026 : Power Issue solved but site remain down. Need FME on the site for troubleshooting 27/03/2026 Power issue en attente de retour IHS ….30/03/2026 expedition de l ODU 3DB29118AB EN cours ETD=30/03/2026 29.03.2026 : FME on the site after investigation repport ODU Faulty Commande en cours 28.03.2026 : Power Issue solved but site remain down. Need FME on the site for troubleshooting 27/03/2026 Power issue en attente de retour IHS</t>
        </is>
      </c>
    </row>
    <row r="833">
      <c r="A833" s="96" t="n">
        <v>46142</v>
      </c>
      <c r="B833" t="inlineStr">
        <is>
          <t>Bertoua-Meteo-II</t>
        </is>
      </c>
      <c r="C833" t="inlineStr">
        <is>
          <t>EST_124</t>
        </is>
      </c>
      <c r="D833" t="inlineStr"/>
      <c r="E833" t="inlineStr">
        <is>
          <t>CAMUSAT</t>
        </is>
      </c>
      <c r="F833" t="inlineStr">
        <is>
          <t>Good Grid + GE</t>
        </is>
      </c>
      <c r="G833" t="inlineStr">
        <is>
          <t>EST</t>
        </is>
      </c>
      <c r="H833" t="inlineStr">
        <is>
          <t>Bertoua</t>
        </is>
      </c>
      <c r="I833" t="inlineStr"/>
      <c r="J833" t="n">
        <v>28.69426159730465</v>
      </c>
      <c r="K833" t="n">
        <v>13.59648228049954</v>
      </c>
      <c r="L833" t="n">
        <v>34.51732807359691</v>
      </c>
      <c r="M833" t="n">
        <v>26.66242548504279</v>
      </c>
      <c r="N833" t="inlineStr">
        <is>
          <t>Operationnel</t>
        </is>
      </c>
      <c r="O833" t="inlineStr"/>
      <c r="P833" t="inlineStr">
        <is>
          <t>AKTIVCO</t>
        </is>
      </c>
      <c r="Q833" t="inlineStr">
        <is>
          <t>POWER ISSUE</t>
        </is>
      </c>
      <c r="R833" t="inlineStr">
        <is>
          <t>AKTIVCO Defaut GE &amp; Power Cabinet</t>
        </is>
      </c>
      <c r="S833" t="inlineStr">
        <is>
          <t>PASSIVE</t>
        </is>
      </c>
      <c r="T833" t="inlineStr">
        <is>
          <t>24/03/2026 : Need  BO RAN analysis ….24/03/2026 : Need  BO RAN analysis ….24/03/2026 : Need  BO RAN analysis ….Power status check ongoing….INC-20260330-00014711.,,GE Fault</t>
        </is>
      </c>
      <c r="U833" t="inlineStr">
        <is>
          <t>24/03/2026 : Need BO RAN analysis ….24/03/2026 : Need BO RAN analysis ….24/03/2026 : Need BO RAN analysis ….Power status check ongoing….,,GE Fault</t>
        </is>
      </c>
    </row>
    <row r="834">
      <c r="A834" s="96" t="n">
        <v>46142</v>
      </c>
      <c r="B834" t="inlineStr">
        <is>
          <t>Kribi-Ndjibo</t>
        </is>
      </c>
      <c r="C834" t="inlineStr">
        <is>
          <t>SUD_081</t>
        </is>
      </c>
      <c r="D834" t="inlineStr"/>
      <c r="E834" t="inlineStr">
        <is>
          <t>CAMUSAT</t>
        </is>
      </c>
      <c r="F834" t="inlineStr">
        <is>
          <t>Good Grid + Solar + GE</t>
        </is>
      </c>
      <c r="G834" t="inlineStr">
        <is>
          <t>SUD</t>
        </is>
      </c>
      <c r="H834" t="inlineStr">
        <is>
          <t>Kribi</t>
        </is>
      </c>
      <c r="I834" t="inlineStr"/>
      <c r="J834" t="n">
        <v>16.32123045134268</v>
      </c>
      <c r="K834" t="n">
        <v>30.19772934368317</v>
      </c>
      <c r="L834" t="n">
        <v>24.47033272265232</v>
      </c>
      <c r="M834" t="n">
        <v>25.22939477731834</v>
      </c>
      <c r="N834" t="inlineStr">
        <is>
          <t>Operationnel</t>
        </is>
      </c>
      <c r="O834" t="inlineStr"/>
      <c r="P834" t="inlineStr">
        <is>
          <t>AKTIVCO</t>
        </is>
      </c>
      <c r="Q834" t="inlineStr">
        <is>
          <t>POWER ISSUE</t>
        </is>
      </c>
      <c r="R834" t="inlineStr">
        <is>
          <t>AKTIVCO Defaut GE &amp; Power Cabinet</t>
        </is>
      </c>
      <c r="S834" t="inlineStr">
        <is>
          <t>PASSIVE</t>
        </is>
      </c>
      <c r="T834" t="inlineStr">
        <is>
          <t>site down….site down….site down….INC-20260330-00004050.,,poteaux électriques renversés sur la ligne du site .,,Others Transmission equipement fault</t>
        </is>
      </c>
      <c r="U834" t="inlineStr">
        <is>
          <t>site down….site down….site down….,,poteaux électriques renversés sur la ligne du site .,,</t>
        </is>
      </c>
    </row>
    <row r="835">
      <c r="A835" s="96" t="n">
        <v>46142</v>
      </c>
      <c r="B835" t="inlineStr">
        <is>
          <t>Nkolmessing-Abom-II</t>
        </is>
      </c>
      <c r="C835" t="inlineStr">
        <is>
          <t>CTR_875</t>
        </is>
      </c>
      <c r="D835" t="inlineStr"/>
      <c r="E835" t="inlineStr">
        <is>
          <t>CAMUSAT</t>
        </is>
      </c>
      <c r="F835" t="inlineStr">
        <is>
          <t>Good Grid + GE</t>
        </is>
      </c>
      <c r="G835" t="inlineStr">
        <is>
          <t>CENTRE</t>
        </is>
      </c>
      <c r="H835" t="inlineStr">
        <is>
          <t>Ebolmadzom</t>
        </is>
      </c>
      <c r="I835" t="inlineStr"/>
      <c r="J835" t="n">
        <v>13.63997198342186</v>
      </c>
      <c r="K835" t="n">
        <v>11.8833748142708</v>
      </c>
      <c r="L835" t="n">
        <v>35.84454009591412</v>
      </c>
      <c r="M835" t="n">
        <v>24.62969026889591</v>
      </c>
      <c r="N835" t="inlineStr">
        <is>
          <t>Operationnel</t>
        </is>
      </c>
      <c r="O835" t="inlineStr"/>
      <c r="P835" t="inlineStr">
        <is>
          <t>AKTIVCO</t>
        </is>
      </c>
      <c r="Q835" t="inlineStr">
        <is>
          <t>POWER ISSUE</t>
        </is>
      </c>
      <c r="R835" t="inlineStr">
        <is>
          <t>AKTIVCO Defaut GE &amp; Power Cabinet</t>
        </is>
      </c>
      <c r="S835" t="inlineStr">
        <is>
          <t>PASSIVE</t>
        </is>
      </c>
      <c r="T835" t="inlineStr">
        <is>
          <t>30/03/2026 : Besoin d'analyse Bo RAN….Power status check ongoing….INC-20260330-00009617.,,2026-03-30 15:33:19.,,FME is managing with level 0.,,GE Fault</t>
        </is>
      </c>
      <c r="U835" t="inlineStr">
        <is>
          <t>30/03/2026 : Besoin d'analyse Bo RAN….Power status check ongoing….,,2026-03-30 15 : 33 : 19.,,FME is managing with level 0.,,GE Fault</t>
        </is>
      </c>
    </row>
    <row r="836">
      <c r="A836" s="96" t="n">
        <v>46142</v>
      </c>
      <c r="B836" t="inlineStr">
        <is>
          <t>Bfsam-Bamengoum</t>
        </is>
      </c>
      <c r="C836" t="inlineStr">
        <is>
          <t>OST_046</t>
        </is>
      </c>
      <c r="D836" t="inlineStr"/>
      <c r="E836" t="inlineStr">
        <is>
          <t>IHS</t>
        </is>
      </c>
      <c r="F836" t="inlineStr">
        <is>
          <t>Grid-Gen</t>
        </is>
      </c>
      <c r="G836" t="inlineStr">
        <is>
          <t>OUEST</t>
        </is>
      </c>
      <c r="H836" t="inlineStr">
        <is>
          <t>Bafoussam</t>
        </is>
      </c>
      <c r="I836" t="inlineStr"/>
      <c r="J836" t="n">
        <v>15.84737659316811</v>
      </c>
      <c r="K836" t="n">
        <v>20.20309721499706</v>
      </c>
      <c r="L836" t="n">
        <v>25.88622618836554</v>
      </c>
      <c r="M836" t="n">
        <v>22.54478744867064</v>
      </c>
      <c r="N836" t="inlineStr">
        <is>
          <t>Operationnel</t>
        </is>
      </c>
      <c r="O836" t="inlineStr"/>
      <c r="P836" t="inlineStr">
        <is>
          <t>PDH</t>
        </is>
      </c>
      <c r="Q836" t="inlineStr">
        <is>
          <t>TX ISSUE</t>
        </is>
      </c>
      <c r="R836" t="inlineStr">
        <is>
          <t>ODU HS</t>
        </is>
      </c>
      <c r="S836" t="inlineStr">
        <is>
          <t>ACTIVE</t>
        </is>
      </c>
      <c r="T836" t="inlineStr">
        <is>
          <t>30/03/2026 FME on site working link is mislign
29.03.2026 RM: I am on site waiting for guard to comme and open
29.03.2026: RM Relancer. ESCALADE en cours vers le PM
29.03.2026: RM Denis who is the FME of the site is activated and managing. Update will be  share ASAP
29.03.2026: FME should check the site environment, MPR status and ODU 3/1 antenna line</t>
        </is>
      </c>
      <c r="U836" t="inlineStr">
        <is>
          <t>30/03/2026 FME on site working link is mislign 29.03.2026 RM : I am on site waiting for guard to comme and open 29.03.2026 : RM Relancer. ESCALADE en cours vers le PM 29.03.2026 : RM Denis who is the FME of the site is activated and managing. Update will be share ASAP 29.03.2026 : FME should check the site environment, MPR status and ODU 3/1 antenna line</t>
        </is>
      </c>
    </row>
    <row r="837">
      <c r="A837" s="96" t="n">
        <v>46142</v>
      </c>
      <c r="B837" t="inlineStr">
        <is>
          <t>Ekounou-Lycee-MTN</t>
        </is>
      </c>
      <c r="C837" t="inlineStr">
        <is>
          <t>CTR_726</t>
        </is>
      </c>
      <c r="D837" t="inlineStr"/>
      <c r="E837" t="inlineStr">
        <is>
          <t>MTN</t>
        </is>
      </c>
      <c r="F837" t="inlineStr"/>
      <c r="G837" t="inlineStr">
        <is>
          <t>CENTRE</t>
        </is>
      </c>
      <c r="H837" t="inlineStr">
        <is>
          <t>Yaounde</t>
        </is>
      </c>
      <c r="I837" t="inlineStr"/>
      <c r="J837" t="n">
        <v>22.06505361517771</v>
      </c>
      <c r="K837" t="n">
        <v>18.78276824056223</v>
      </c>
      <c r="L837" t="n">
        <v>24.82885473234004</v>
      </c>
      <c r="M837" t="n">
        <v>22.40444321739105</v>
      </c>
      <c r="N837" t="inlineStr">
        <is>
          <t>Operationnel</t>
        </is>
      </c>
      <c r="O837" t="inlineStr"/>
      <c r="P837" t="inlineStr">
        <is>
          <t>Partners</t>
        </is>
      </c>
      <c r="Q837" t="inlineStr">
        <is>
          <t>POWER ISSUE</t>
        </is>
      </c>
      <c r="R837" t="inlineStr">
        <is>
          <t>Sharing</t>
        </is>
      </c>
      <c r="S837" t="inlineStr">
        <is>
          <t>PASSIVE</t>
        </is>
      </c>
      <c r="T837" t="inlineStr">
        <is>
          <t>site down….site down….Power status check ongoing….30/03/2026 power issue escalade L2 MTN ….INC-20260330-00012112.,,2026-03-30 18:15:39.,,MTN activated for check power status</t>
        </is>
      </c>
      <c r="U837" t="inlineStr">
        <is>
          <t>site down….site down….Power status check ongoing….30/03/2026 power issue escalade L2 MTN ….,,2026-03-30 18 : 15 : 39.,,MTN activated for check power status</t>
        </is>
      </c>
    </row>
    <row r="838">
      <c r="A838" s="96" t="n">
        <v>46142</v>
      </c>
      <c r="B838" t="inlineStr">
        <is>
          <t>Bibemire</t>
        </is>
      </c>
      <c r="C838" t="inlineStr">
        <is>
          <t>NRD_039</t>
        </is>
      </c>
      <c r="D838" t="inlineStr"/>
      <c r="E838" t="inlineStr">
        <is>
          <t>IHS</t>
        </is>
      </c>
      <c r="F838" t="inlineStr">
        <is>
          <t>Grid-Gen</t>
        </is>
      </c>
      <c r="G838" t="inlineStr">
        <is>
          <t>NORD</t>
        </is>
      </c>
      <c r="H838" t="inlineStr">
        <is>
          <t>Garoua</t>
        </is>
      </c>
      <c r="I838" t="inlineStr"/>
      <c r="J838" t="n">
        <v>21.58195748354376</v>
      </c>
      <c r="K838" t="n">
        <v>27.54062241806665</v>
      </c>
      <c r="L838" t="n">
        <v>17.72842260439034</v>
      </c>
      <c r="M838" t="n">
        <v>21.57277568037257</v>
      </c>
      <c r="N838" t="inlineStr">
        <is>
          <t>Exclu</t>
        </is>
      </c>
      <c r="O838" t="inlineStr">
        <is>
          <t xml:space="preserve"> Site vendalisé,</t>
        </is>
      </c>
      <c r="P838" t="inlineStr">
        <is>
          <t>Exclu</t>
        </is>
      </c>
      <c r="Q838" t="inlineStr">
        <is>
          <t>Exclu</t>
        </is>
      </c>
      <c r="R838" t="inlineStr">
        <is>
          <t>exclu</t>
        </is>
      </c>
      <c r="S838" t="inlineStr">
        <is>
          <t>Exclu</t>
        </is>
      </c>
      <c r="T838" t="inlineStr">
        <is>
          <t>2703/2026 : En aattente de spare
26/03/2026 : Besoin d'analyse BO RAN || Restauration action ongoing because site was vandalised….2703/2026 : En aattente de spare
26/03/2026 : Besoin d'analyse BO RAN || Restauration action ongoing because site was vandalised</t>
        </is>
      </c>
      <c r="U838" t="inlineStr">
        <is>
          <t>2703/2026 : En aattente de spare 26/03/2026 : Besoin d'analyse BO RAN || Restauration action ongoing because site was vandalised….2703/2026 : En aattente de spare 26/03/2026 : Besoin d'analyse BO RAN || Restauration action ongoing because site was vandalised</t>
        </is>
      </c>
    </row>
    <row r="839">
      <c r="A839" s="96" t="n">
        <v>46142</v>
      </c>
      <c r="B839" t="inlineStr">
        <is>
          <t>SOA-Vallee</t>
        </is>
      </c>
      <c r="C839" t="inlineStr">
        <is>
          <t>CTR_714</t>
        </is>
      </c>
      <c r="D839" t="inlineStr"/>
      <c r="E839" t="inlineStr">
        <is>
          <t>CAMUSAT</t>
        </is>
      </c>
      <c r="F839" t="inlineStr">
        <is>
          <t>Good Grid + GE</t>
        </is>
      </c>
      <c r="G839" t="inlineStr">
        <is>
          <t>CENTRE</t>
        </is>
      </c>
      <c r="H839" t="inlineStr">
        <is>
          <t>Yaounde</t>
        </is>
      </c>
      <c r="I839" t="inlineStr"/>
      <c r="J839" t="n">
        <v>12.63193969841213</v>
      </c>
      <c r="K839" t="n">
        <v>15.39278537694952</v>
      </c>
      <c r="L839" t="n">
        <v>27.83366110925061</v>
      </c>
      <c r="M839" t="n">
        <v>21.48631122068983</v>
      </c>
      <c r="N839" t="inlineStr">
        <is>
          <t>Operationnel</t>
        </is>
      </c>
      <c r="O839" t="inlineStr"/>
      <c r="P839" t="inlineStr">
        <is>
          <t>AKTIVCO</t>
        </is>
      </c>
      <c r="Q839" t="inlineStr">
        <is>
          <t>POWER ISSUE</t>
        </is>
      </c>
      <c r="R839" t="inlineStr">
        <is>
          <t>AKTIVCO Defaut GE &amp; Power Cabinet</t>
        </is>
      </c>
      <c r="S839" t="inlineStr">
        <is>
          <t>PASSIVE</t>
        </is>
      </c>
      <c r="T839" t="inlineStr">
        <is>
          <t>30/03/2026 : Relance faite a Camusat ce jour
29/03/2026 : Power issue || Mail sent to Camusat….30/03/2026 : Relance faite a Camusat ce jour
29/03/2026 : Power issue || Mail sent to Camusat….30/03/2026 : Relance faite a Camusat ce jour
29/03/2026 : Power issue || Mail sent to Camusat</t>
        </is>
      </c>
      <c r="U839" t="inlineStr">
        <is>
          <t>30/03/2026 : Relance faite a Camusat ce jour 29/03/2026 : Power issue || Mail sent to Camusat….30/03/2026 : Relance faite a Camusat ce jour 29/03/2026 : Power issue || Mail sent to Camusat….30/03/2026 : Relance faite a Camusat ce jour 29/03/2026 : Power issue || Mail sent to Camusat</t>
        </is>
      </c>
    </row>
    <row r="840">
      <c r="A840" s="96" t="n">
        <v>46142</v>
      </c>
      <c r="B840" t="inlineStr">
        <is>
          <t>Ngomedzap</t>
        </is>
      </c>
      <c r="C840" t="inlineStr">
        <is>
          <t>CTR_188</t>
        </is>
      </c>
      <c r="D840" t="inlineStr"/>
      <c r="E840" t="inlineStr">
        <is>
          <t>IHS</t>
        </is>
      </c>
      <c r="F840" t="inlineStr">
        <is>
          <t>Grid-Gen</t>
        </is>
      </c>
      <c r="G840" t="inlineStr">
        <is>
          <t>CENTRE</t>
        </is>
      </c>
      <c r="H840" t="inlineStr">
        <is>
          <t>Ngomedzap</t>
        </is>
      </c>
      <c r="I840" t="inlineStr"/>
      <c r="J840" t="n">
        <v>32.72997599301615</v>
      </c>
      <c r="K840" t="n">
        <v>41.31093362709997</v>
      </c>
      <c r="L840" t="n">
        <v>0</v>
      </c>
      <c r="M840" t="n">
        <v>18.54239444529287</v>
      </c>
      <c r="N840" t="inlineStr">
        <is>
          <t>Operationnel</t>
        </is>
      </c>
      <c r="O840" t="inlineStr"/>
      <c r="P840" t="inlineStr">
        <is>
          <t>TRAVAUX OCM</t>
        </is>
      </c>
      <c r="Q840" t="inlineStr">
        <is>
          <t>TRAVAUX OCM</t>
        </is>
      </c>
      <c r="R840" t="inlineStr">
        <is>
          <t>Projet OCM (ZTE, NOKIA, autres projets)</t>
        </is>
      </c>
      <c r="S840" t="inlineStr">
        <is>
          <t>PLANNED WORKS</t>
        </is>
      </c>
      <c r="T840" t="inlineStr">
        <is>
          <t>23.03.26; UE Relay site, ETR=Mars26….23.03.26; UE Relay site, ETR=Mars26….23.03.26; UE Relay site, ETR=Mars26</t>
        </is>
      </c>
      <c r="U840" t="inlineStr">
        <is>
          <t>23.03.26; UE Relay site, ETR=Mars26….23.03.26; UE Relay site, ETR=Mars26….23.03.26; UE Relay site, ETR=Mars26</t>
        </is>
      </c>
    </row>
    <row r="841">
      <c r="A841" s="96" t="n">
        <v>46142</v>
      </c>
      <c r="B841" t="inlineStr">
        <is>
          <t>Bep-Yonyong</t>
        </is>
      </c>
      <c r="C841" t="inlineStr">
        <is>
          <t>LIT_092</t>
        </is>
      </c>
      <c r="D841" t="inlineStr"/>
      <c r="E841" t="inlineStr">
        <is>
          <t>IHS</t>
        </is>
      </c>
      <c r="F841" t="inlineStr">
        <is>
          <t>GridOnly</t>
        </is>
      </c>
      <c r="G841" t="inlineStr">
        <is>
          <t>LITTORAL</t>
        </is>
      </c>
      <c r="H841" t="inlineStr">
        <is>
          <t>Douala</t>
        </is>
      </c>
      <c r="I841" t="inlineStr"/>
      <c r="J841" t="n">
        <v>0</v>
      </c>
      <c r="K841" t="n">
        <v>9.180207472688883</v>
      </c>
      <c r="L841" t="n">
        <v>29.54908102358017</v>
      </c>
      <c r="M841" t="n">
        <v>18.49140919947608</v>
      </c>
      <c r="N841" t="inlineStr">
        <is>
          <t>Operationnel</t>
        </is>
      </c>
      <c r="O841" t="inlineStr"/>
      <c r="P841" t="inlineStr">
        <is>
          <t>BSS</t>
        </is>
      </c>
      <c r="Q841" t="inlineStr">
        <is>
          <t>RAN ISSUE</t>
        </is>
      </c>
      <c r="R841" t="inlineStr">
        <is>
          <t>BSS Hardware issue</t>
        </is>
      </c>
      <c r="S841" t="inlineStr">
        <is>
          <t>ACTIVE</t>
        </is>
      </c>
      <c r="T841" t="inlineStr">
        <is>
          <t>site down….site down….site down</t>
        </is>
      </c>
      <c r="U841" t="inlineStr">
        <is>
          <t>site down….site down….site down</t>
        </is>
      </c>
    </row>
    <row r="842">
      <c r="A842" s="96" t="n">
        <v>46142</v>
      </c>
      <c r="B842" t="inlineStr">
        <is>
          <t>Ngd-CRTV</t>
        </is>
      </c>
      <c r="C842" t="inlineStr">
        <is>
          <t>ADM_007</t>
        </is>
      </c>
      <c r="D842" t="inlineStr"/>
      <c r="E842" t="inlineStr">
        <is>
          <t>CAMUSAT</t>
        </is>
      </c>
      <c r="F842" t="inlineStr">
        <is>
          <t>Good Grid + Solar + GE</t>
        </is>
      </c>
      <c r="G842" t="inlineStr">
        <is>
          <t>ADAMAOUA</t>
        </is>
      </c>
      <c r="H842" t="inlineStr">
        <is>
          <t>Ngaoundere</t>
        </is>
      </c>
      <c r="I842" t="inlineStr"/>
      <c r="J842" t="n">
        <v>32.37293622531563</v>
      </c>
      <c r="K842" t="n">
        <v>41.31093362709997</v>
      </c>
      <c r="L842" t="n">
        <v>0</v>
      </c>
      <c r="M842" t="n">
        <v>18.49140919947608</v>
      </c>
      <c r="N842" t="inlineStr">
        <is>
          <t>Operationnel</t>
        </is>
      </c>
      <c r="O842" t="inlineStr"/>
      <c r="P842" t="inlineStr">
        <is>
          <t>AKTIVCO</t>
        </is>
      </c>
      <c r="Q842" t="inlineStr">
        <is>
          <t>POWER ISSUE</t>
        </is>
      </c>
      <c r="R842" t="inlineStr">
        <is>
          <t>AKTIVCO Defaut GE &amp; Power Cabinet</t>
        </is>
      </c>
      <c r="S842" t="inlineStr">
        <is>
          <t>PASSIVE</t>
        </is>
      </c>
      <c r="T842" t="inlineStr">
        <is>
          <t>30/03/2026 FME en attente de IHS  pour la visite conjointe 
29.03.2026: une joint visit a été demandé par le BO TX avec l’équipe Power avant installation de l’ODU pour éviter qu’elle ne passe Faulty comme les précédentes car il suspecterait un éventuel défaut énergie. Joint visit prevue demain 30.03.2026
28.03.2026: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19.03.2026:Le second ODU a ete recu remplacement en cours sur le site de Trouamala
17/03/2026 ODU (3DB29180AB ) expedition de  Maroua a destination Ngaoundere ETD = 19.March.2026
17.03.2026: ODU (3DB29171AA) disponible // 3DB29181AA ou 3DB29182AA Attendue. Commande en cours
16.03.2026: Verification par le PM en cours. 
14.03.26; Expedition des ODU de Maroua pour Ngaoundéré, ETD=14.02.26
11.03.26; Suite aux nouvelles recos du BO TX, ODUs à changer à Ngd-CRTV et à Trouamala, point au niveau de l'ing
09.03.2026: En Attente de la clarification du type d'ODU demander par Huawei. Un Update sera partage d'ici 30 minutes
06/03/2026 En attente toujours du Materiel de OCM 
05.03.2026: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Apres action cote Ngd-CTRV, La suite de l'intervention doit se faire sur le site de Trouamala. FME Ndewa a pris le point ETA=2H
11.02.2026: Power Issue solved. Need FME on the site to check MPR status.|  Souleymanou activated ETA=01:00 PM UTC
10/02/2026 FME sur site power issue escalde L2 camusat 
10.02.26; FME en route pour le site, ETA=18H UTC
10.02.26; FME pour vérifier le status de la radio 5.3 et la ligne antenaire  à NGD-Trouamala-ADM_058; FME Ndewa activé pour investigations, update ASAP….30/03/2026 FME en attente de IHS  pour la visite conjointe ETD = 31/03/2026
29.03.2026: une joint visit a été demandé par le BO TX avec l’équipe Power avant installation de l’ODU pour éviter qu’elle ne passe Faulty comme les précédentes car il suspecterait un éventuel défaut énergie. Joint visit prevue demain 30.03.2026
28.03.2026: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19.03.2026:Le second ODU a ete recu remplacement en cours sur le site de Trouamala
17/03/2026 ODU (3DB29180AB ) expedition de  Maroua a destination Ngaoundere ETD = 19.March.2026
17.03.2026: ODU (3DB29171AA) disponible // 3DB29181AA ou 3DB29182AA Attendue. Commande en cours
16.03.2026: Verification par le PM en cours. 
14.03.26; Expedition des ODU de Maroua pour Ngaoundéré, ETD=14.02.26
11.03.26; Suite aux nouvelles recos du BO TX, ODUs à changer à Ngd-CRTV et à Trouamala, point au niveau de l'ing
09.03.2026: En Attente de la clarification du type d'ODU demander par Huawei. Un Update sera partage d'ici 30 minutes
06/03/2026 En attente toujours du Materiel de OCM 
05.03.2026: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Apres action cote Ngd-CTRV, La suite de l'intervention doit se faire sur le site de Trouamala. FME Ndewa a pris le point ETA=2H
11.02.2026: Power Issue solved. Need FME on the site to check MPR status.|  Souleymanou activated ETA=01:00 PM UTC
10/02/2026 FME sur site power issue escalde L2 camusat 
10.02.26; FME en route pour le site, ETA=18H UTC
10.02.26; FME pour vérifier le status de la radio 5.3 et la ligne antenaire  à NGD-Trouamala-ADM_058; FME Ndewa activé pour investigations, update ASAP….30/03/2026 FME en attente de IHS  pour la visite conjointe 
29.03.2026: une joint visit a été demandé par le BO TX avec l’équipe Power avant installation de l’ODU pour éviter qu’elle ne passe Faulty comme les précédentes car il suspecterait un éventuel défaut énergie. Joint visit prevue demain 30.03.2026
28.03.2026: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19.03.2026:Le second ODU a ete recu remplacement en cours sur le site de Trouamala
17/03/2026 ODU (3DB29180AB ) expedition de  Maroua a destination Ngaoundere ETD = 19.March.2026
17.03.2026: ODU (3DB29171AA) disponible // 3DB29181AA ou 3DB29182AA Attendue. Commande en cours
16.03.2026: Verification par le PM en cours. 
14.03.26; Expedition des ODU de Maroua pour Ngaoundéré, ETD=14.02.26
11.03.26; Suite aux nouvelles recos du BO TX, ODUs à changer à Ngd-CRTV et à Trouamala, point au niveau de l'ing
09.03.2026: En Attente de la clarification du type d'ODU demander par Huawei. Un Update sera partage d'ici 30 minutes
06/03/2026 En attente toujours du Materiel de OCM 
05.03.2026: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Apres action cote Ngd-CTRV, La suite de l'intervention doit se faire sur le site de Trouamala. FME Ndewa a pris le point ETA=2H
11.02.2026: Power Issue solved. Need FME on the site to check MPR status.|  Souleymanou activated ETA=01:00 PM UTC
10/02/2026 FME sur site power issue escalde L2 camusat 
10.02.26; FME en route pour le site, ETA=18H UTC
10.02.26; FME pour vérifier le status de la radio 5.3 et la ligne antenaire  à NGD-Trouamala-ADM_058; FME Ndewa activé pour investigations, update ASAP</t>
        </is>
      </c>
      <c r="U842" t="inlineStr">
        <is>
          <t>30/03/2026 FME en attente de IHS pour la visite conjointe 29.03.2026 : une joint visit a été demandé par le BO TX avec l’équipe Power avant installation de l’ODU pour éviter qu’elle ne passe Faulty comme les précédentes car il suspecterait un éventuel défaut énergie. Joint visit prevue demain 30.03.2026 28.03.2026 :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 : Le second ODU a ete recu remplacement en cours sur le site de Trouamala 17/03/2026 ODU (3DB29180AB ) expedition de Maroua a destination Ngaoundere ETD = 19.March.2026 17.03.2026 : ODU (3DB29171AA) disponible // 3DB29181AA ou 3DB29182AA Attendue. Commande en cours 16.03.2026 : Verification par le PM en cours. 14.03.26; Expedition des ODU de Maroua pour Ngaoundéré, ETD=14.02.26 11.03.26; Suite aux nouvelles recos du BO TX, ODUs à changer à Ngd-CRTV et à Trouamala, point au niveau de l'ing 09.03.2026 : En Attente de la clarification du type d'ODU demander par Huawei. Un Update sera partage d'ici 30 minutes 06/03/2026 En attente toujours du Materiel de OCM 05.03.2026 :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 Apres action cote Ngd-CTRV, La suite de l'intervention doit se faire sur le site de Trouamala. FME Ndewa a pris le point ETA=2H 11.02.2026 : Power Issue solved. Need FME on the site to check MPR status.| Souleymanou activated ETA=01 : 00 PM UTC 10/02/2026 FME sur site power issue escalde L2 camusat 10.02.26; FME en route pour le site, ETA=18H UTC 10.02.26; FME pour vérifier le status de la radio 5.3 et la ligne antenaire à NGD-Trouamala-ADM_058; FME Ndewa activé pour investigations, update ASAP….30/03/2026 FME en attente de IHS pour la visite conjointe ETD = 31/03/2026 29.03.2026 : une joint visit a été demandé par le BO TX avec l’équipe Power avant installation de l’ODU pour éviter qu’elle ne passe Faulty comme les précédentes car il suspecterait un éventuel défaut énergie. Joint visit prevue demain 30.03.2026 28.03.2026 :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 : Le second ODU a ete recu remplacement en cours sur le site de Trouamala 17/03/2026 ODU (3DB29180AB ) expedition de Maroua a destination Ngaoundere ETD = 19.March.2026 17.03.2026 : ODU (3DB29171AA) disponible // 3DB29181AA ou 3DB29182AA Attendue. Commande en cours 16.03.2026 : Verification par le PM en cours. 14.03.26; Expedition des ODU de Maroua pour Ngaoundéré, ETD=14.02.26 11.03.26; Suite aux nouvelles recos du BO TX, ODUs à changer à Ngd-CRTV et à Trouamala, point au niveau de l'ing 09.03.2026 : En Attente de la clarification du type d'ODU demander par Huawei. Un Update sera partage d'ici 30 minutes 06/03/2026 En attente toujours du Materiel de OCM 05.03.2026 :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 Apres action cote Ngd-CTRV, La suite de l'intervention doit se faire sur le site de Trouamala. FME Ndewa a pris le point ETA=2H 11.02.2026 : Power Issue solved. Need FME on the site to check MPR status.| Souleymanou activated ETA=01 : 00 PM UTC 10/02/2026 FME sur site power issue escalde L2 camusat 10.02.26; FME en route pour le site, ETA=18H UTC 10.02.26; FME pour vérifier le status de la radio 5.3 et la ligne antenaire à NGD-Trouamala-ADM_058; FME Ndewa activé pour investigations, update ASAP….30/03/2026 FME en attente de IHS pour la visite conjointe 29.03.2026 : une joint visit a été demandé par le BO TX avec l’équipe Power avant installation de l’ODU pour éviter qu’elle ne passe Faulty comme les précédentes car il suspecterait un éventuel défaut énergie. Joint visit prevue demain 30.03.2026 28.03.2026 :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 : Le second ODU a ete recu remplacement en cours sur le site de Trouamala 17/03/2026 ODU (3DB29180AB ) expedition de Maroua a destination Ngaoundere ETD = 19.March.2026 17.03.2026 : ODU (3DB29171AA) disponible // 3DB29181AA ou 3DB29182AA Attendue. Commande en cours 16.03.2026 : Verification par le PM en cours. 14.03.26; Expedition des ODU de Maroua pour Ngaoundéré, ETD=14.02.26 11.03.26; Suite aux nouvelles recos du BO TX, ODUs à changer à Ngd-CRTV et à Trouamala, point au niveau de l'ing 09.03.2026 : En Attente de la clarification du type d'ODU demander par Huawei. Un Update sera partage d'ici 30 minutes 06/03/2026 En attente toujours du Materiel de OCM 05.03.2026 :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 Apres action cote Ngd-CTRV, La suite de l'intervention doit se faire sur le site de Trouamala. FME Ndewa a pris le point ETA=2H 11.02.2026 : Power Issue solved. Need FME on the site to check MPR status.| Souleymanou activated ETA=01 : 00 PM UTC 10/02/2026 FME sur site power issue escalde L2 camusat 10.02.26; FME en route pour le site, ETA=18H UTC 10.02.26; FME pour vérifier le status de la radio 5.3 et la ligne antenaire à NGD-Trouamala-ADM_058; FME Ndewa activé pour investigations, update ASAP</t>
        </is>
      </c>
    </row>
    <row r="843">
      <c r="A843" s="96" t="n">
        <v>46142</v>
      </c>
      <c r="B843" t="inlineStr">
        <is>
          <t>Beka-Hossere-MTN-IHS</t>
        </is>
      </c>
      <c r="C843" t="inlineStr">
        <is>
          <t>ADM_132</t>
        </is>
      </c>
      <c r="D843" t="inlineStr"/>
      <c r="E843" t="inlineStr">
        <is>
          <t>IHS</t>
        </is>
      </c>
      <c r="F843" t="inlineStr">
        <is>
          <t>Grid-Gen</t>
        </is>
      </c>
      <c r="G843" t="inlineStr">
        <is>
          <t>ADAMAOUA</t>
        </is>
      </c>
      <c r="H843" t="inlineStr">
        <is>
          <t>Ngaoundere</t>
        </is>
      </c>
      <c r="I843" t="inlineStr"/>
      <c r="J843" t="n">
        <v>32.37293622531563</v>
      </c>
      <c r="K843" t="n">
        <v>41.31093362709997</v>
      </c>
      <c r="L843" t="n">
        <v>0</v>
      </c>
      <c r="M843" t="n">
        <v>18.49140919947608</v>
      </c>
      <c r="N843" t="inlineStr">
        <is>
          <t>Exclu</t>
        </is>
      </c>
      <c r="O843" t="inlineStr">
        <is>
          <t>site scelle par la justice</t>
        </is>
      </c>
      <c r="P843" t="inlineStr">
        <is>
          <t>Exclu</t>
        </is>
      </c>
      <c r="Q843" t="inlineStr">
        <is>
          <t>Exclu</t>
        </is>
      </c>
      <c r="R843" t="inlineStr">
        <is>
          <t>exclu</t>
        </is>
      </c>
      <c r="S843" t="inlineStr">
        <is>
          <t>Exclu</t>
        </is>
      </c>
      <c r="T843" t="inlineStr">
        <is>
          <t xml:space="preserve">28.03.2026: Power Issue fuel Outage. Site Scelle suite l'incident(mort d'homme) survenu il y'a deux semaines 
27/03/2026 Feedback IHS : FME HERVE says that we have access issue ….28.03.2026: Power Issue fuel Outage. Site Scelle suite l'incident(mort d'homme) survenu il y'a deux semaines 
27/03/2026 Feedback IHS : FME HERVE says that we have access issue ….28.03.2026: Power Issue fuel Outage. Site Scelle suite l'incident(mort d'homme) survenu il y'a deux semaines 
27/03/2026 Feedback IHS : FME HERVE says that we have access issue </t>
        </is>
      </c>
      <c r="U843" t="inlineStr">
        <is>
          <t>28.03.2026 : Power Issue fuel Outage. Site Scelle suite l'incident(mort d'homme) survenu il y'a deux semaines 27/03/2026 Feedback IHS : FME HERVE says that we have access issue ….28.03.2026 : Power Issue fuel Outage. Site Scelle suite l'incident(mort d'homme) survenu il y'a deux semaines 27/03/2026 Feedback IHS : FME HERVE says that we have access issue ….28.03.2026 : Power Issue fuel Outage. Site Scelle suite l'incident(mort d'homme) survenu il y'a deux semaines 27/03/2026 Feedback IHS : FME HERVE says that we have access issue</t>
        </is>
      </c>
    </row>
    <row r="844">
      <c r="A844" s="96" t="n">
        <v>46142</v>
      </c>
      <c r="B844" t="inlineStr">
        <is>
          <t>EXN_350_H_Maroua-Ziling</t>
        </is>
      </c>
      <c r="C844" t="inlineStr">
        <is>
          <t>EXN_350</t>
        </is>
      </c>
      <c r="D844" t="inlineStr"/>
      <c r="E844" t="inlineStr">
        <is>
          <t>ESCO</t>
        </is>
      </c>
      <c r="F844" t="inlineStr">
        <is>
          <t>Hybrid Solar - S1</t>
        </is>
      </c>
      <c r="G844" t="inlineStr">
        <is>
          <t>EXN</t>
        </is>
      </c>
      <c r="H844" t="inlineStr">
        <is>
          <t>Maroua</t>
        </is>
      </c>
      <c r="I844" t="inlineStr"/>
      <c r="J844" t="n">
        <v>32.3710627915063</v>
      </c>
      <c r="K844" t="n">
        <v>41.31093362709997</v>
      </c>
      <c r="L844" t="n">
        <v>0</v>
      </c>
      <c r="M844" t="n">
        <v>18.49114167330132</v>
      </c>
      <c r="N844" t="inlineStr">
        <is>
          <t>exclu</t>
        </is>
      </c>
      <c r="O844" t="inlineStr">
        <is>
          <t>site vandalise</t>
        </is>
      </c>
      <c r="P844" t="inlineStr">
        <is>
          <t>Exclu</t>
        </is>
      </c>
      <c r="Q844" t="inlineStr">
        <is>
          <t>Exclu</t>
        </is>
      </c>
      <c r="R844" t="inlineStr">
        <is>
          <t>exclu</t>
        </is>
      </c>
      <c r="S844" t="inlineStr">
        <is>
          <t>Exclu</t>
        </is>
      </c>
      <c r="T844" t="inlineStr">
        <is>
          <t>25.03.26; Site vendalisé, commande de matériel passée à OCM; Collecte du matériel en cours
24.03.26: Site vendalisé, commande du matériel passée et vérifications du SPM en cours….25.03.26; Site vendalisé, commande de matériel passée à OCM; Collecte du matériel en cours
24.03.26: Site vendalisé, commande du matériel passée et vérifications du SPM en cours….25.03.26; Site vendalisé, commande de matériel passée à OCM; Collecte du matériel en cours
24.03.26: Site vendalisé, commande du matériel passée et vérifications du SPM en cours</t>
        </is>
      </c>
      <c r="U844" t="inlineStr">
        <is>
          <t>25.03.26; Site vendalisé, commande de matériel passée à OCM; Collecte du matériel en cours 24.03.26 : Site vendalisé, commande du matériel passée et vérifications du SPM en cours….25.03.26; Site vendalisé, commande de matériel passée à OCM; Collecte du matériel en cours 24.03.26 : Site vendalisé, commande du matériel passée et vérifications du SPM en cours….25.03.26; Site vendalisé, commande de matériel passée à OCM; Collecte du matériel en cours 24.03.26 : Site vendalisé, commande du matériel passée et vérifications du SPM en cours</t>
        </is>
      </c>
    </row>
    <row r="845">
      <c r="A845" s="96" t="n">
        <v>46142</v>
      </c>
      <c r="B845" t="inlineStr">
        <is>
          <t>Logpom-Akanji-Immeuble</t>
        </is>
      </c>
      <c r="C845" t="inlineStr">
        <is>
          <t>LIT_618</t>
        </is>
      </c>
      <c r="D845" t="inlineStr"/>
      <c r="E845" t="inlineStr">
        <is>
          <t>CAMUSAT</t>
        </is>
      </c>
      <c r="F845" t="inlineStr">
        <is>
          <t>Good Grid no GE - 8h</t>
        </is>
      </c>
      <c r="G845" t="inlineStr">
        <is>
          <t>LITTORAL</t>
        </is>
      </c>
      <c r="H845" t="inlineStr">
        <is>
          <t>Douala</t>
        </is>
      </c>
      <c r="I845" t="inlineStr"/>
      <c r="J845" t="n">
        <v>8.176039830701534</v>
      </c>
      <c r="K845" t="n">
        <v>6.958469761416608</v>
      </c>
      <c r="L845" t="n">
        <v>27.70226345960641</v>
      </c>
      <c r="M845" t="n">
        <v>17.94998972699489</v>
      </c>
      <c r="N845" t="inlineStr">
        <is>
          <t>Operationnel</t>
        </is>
      </c>
      <c r="O845" t="inlineStr"/>
      <c r="P845" t="inlineStr">
        <is>
          <t>BSS</t>
        </is>
      </c>
      <c r="Q845" t="inlineStr">
        <is>
          <t>RAN ISSUE</t>
        </is>
      </c>
      <c r="R845" t="inlineStr">
        <is>
          <t>Power Telco</t>
        </is>
      </c>
      <c r="S845" t="inlineStr">
        <is>
          <t>ACTIVE</t>
        </is>
      </c>
      <c r="T845" t="inlineStr">
        <is>
          <t>Power status check ongoing….INC-20260330-00011281.,,2026-03-30 21:26:56.,,CB rearmed.,,Others.,,Disjonction dans la baie les deux départs de 125A du client down</t>
        </is>
      </c>
      <c r="U845" t="inlineStr">
        <is>
          <t>Power status check ongoing….,,2026-03-30 21 : 26 : 56.,,CB rearmed.,,Others.,,Disjonction dans la baie les deux départs de 125A du client down</t>
        </is>
      </c>
    </row>
    <row r="846">
      <c r="A846" s="96" t="n">
        <v>46142</v>
      </c>
      <c r="B846" t="inlineStr">
        <is>
          <t>Kondengui</t>
        </is>
      </c>
      <c r="C846" t="inlineStr">
        <is>
          <t>CTR_040</t>
        </is>
      </c>
      <c r="D846" t="inlineStr"/>
      <c r="E846" t="inlineStr">
        <is>
          <t>IHS</t>
        </is>
      </c>
      <c r="F846" t="inlineStr">
        <is>
          <t>Grid-Gen</t>
        </is>
      </c>
      <c r="G846" t="inlineStr">
        <is>
          <t>CENTRE</t>
        </is>
      </c>
      <c r="H846" t="inlineStr">
        <is>
          <t>Yaounde</t>
        </is>
      </c>
      <c r="I846" t="inlineStr"/>
      <c r="J846" t="n">
        <v>10.10642602784072</v>
      </c>
      <c r="K846" t="n">
        <v>8.61122586370452</v>
      </c>
      <c r="L846" t="n">
        <v>25.84781922309994</v>
      </c>
      <c r="M846" t="n">
        <v>17.81342653231859</v>
      </c>
      <c r="N846" t="inlineStr">
        <is>
          <t>Operationnel</t>
        </is>
      </c>
      <c r="O846" t="inlineStr"/>
      <c r="P846" t="inlineStr">
        <is>
          <t>IHS</t>
        </is>
      </c>
      <c r="Q846" t="inlineStr">
        <is>
          <t>POWER ISSUE</t>
        </is>
      </c>
      <c r="R846" t="inlineStr">
        <is>
          <t>Defaut GE &amp; Power Cabinet</t>
        </is>
      </c>
      <c r="S846" t="inlineStr">
        <is>
          <t>PASSIVE</t>
        </is>
      </c>
      <c r="T846" t="inlineStr">
        <is>
          <t>INC-20260330-00001050.,,2026-03-29 09:22:09.,,Grid outage, no space to deploy MDG, awaiting grid return.,,No Power Issue Site on grid with UBAIE=54.4 V.,,Others</t>
        </is>
      </c>
      <c r="U846" t="inlineStr">
        <is>
          <t>2026-03-29 09 : 22 : 09.,,Grid outage, no space to deploy MDG, awaiting grid return.,,No Power Issue Site on grid with UBAIE=54.4 V.,,Others</t>
        </is>
      </c>
    </row>
    <row r="847">
      <c r="A847" s="96" t="n">
        <v>46142</v>
      </c>
      <c r="B847" t="inlineStr">
        <is>
          <t>Maroua-Douggoy-II</t>
        </is>
      </c>
      <c r="C847" t="inlineStr">
        <is>
          <t>EXN_212</t>
        </is>
      </c>
      <c r="D847" t="inlineStr"/>
      <c r="E847" t="inlineStr">
        <is>
          <t>CAMUSAT</t>
        </is>
      </c>
      <c r="F847" t="inlineStr">
        <is>
          <t>Bad Grid + GE</t>
        </is>
      </c>
      <c r="G847" t="inlineStr">
        <is>
          <t>EXTREME-NORD</t>
        </is>
      </c>
      <c r="H847" t="inlineStr">
        <is>
          <t>Maroua</t>
        </is>
      </c>
      <c r="I847" t="inlineStr"/>
      <c r="J847" t="n">
        <v>20.51222677841325</v>
      </c>
      <c r="K847" t="n">
        <v>26.13639068242943</v>
      </c>
      <c r="L847" t="n">
        <v>11.46087099746753</v>
      </c>
      <c r="M847" t="n">
        <v>17.68014499205269</v>
      </c>
      <c r="N847" t="inlineStr">
        <is>
          <t>Operationnel</t>
        </is>
      </c>
      <c r="O847" t="inlineStr"/>
      <c r="P847" t="inlineStr">
        <is>
          <t>PDH</t>
        </is>
      </c>
      <c r="Q847" t="inlineStr">
        <is>
          <t>TX ISSUE</t>
        </is>
      </c>
      <c r="R847" t="inlineStr">
        <is>
          <t>ODU HS</t>
        </is>
      </c>
      <c r="S847" t="inlineStr">
        <is>
          <t>ACTIVE</t>
        </is>
      </c>
      <c r="T847" t="inlineStr">
        <is>
          <t>30/03/2026 fme activé 
Besoin d'un fme sur site pour verifier le status du MPR et la chaine antennaire de l ODU 3/1 ….Power status check ongoing</t>
        </is>
      </c>
      <c r="U847" t="inlineStr">
        <is>
          <t>30/03/2026 fme activé Besoin d'un fme sur site pour verifier le status du MPR et la chaine antennaire de l ODU 3/1 ….Power status check ongoing</t>
        </is>
      </c>
    </row>
    <row r="848">
      <c r="A848" s="96" t="n">
        <v>46142</v>
      </c>
      <c r="B848" t="inlineStr">
        <is>
          <t>Hopital-de-La-Cass</t>
        </is>
      </c>
      <c r="C848" t="inlineStr">
        <is>
          <t>CTR_652</t>
        </is>
      </c>
      <c r="D848" t="inlineStr"/>
      <c r="E848" t="inlineStr">
        <is>
          <t>CAMUSAT</t>
        </is>
      </c>
      <c r="F848" t="inlineStr">
        <is>
          <t>Good Grid no GE - 8h</t>
        </is>
      </c>
      <c r="G848" t="inlineStr">
        <is>
          <t>CENTRE</t>
        </is>
      </c>
      <c r="H848" t="inlineStr">
        <is>
          <t>Yaounde</t>
        </is>
      </c>
      <c r="I848" t="inlineStr"/>
      <c r="J848" t="n">
        <v>10.55417670827189</v>
      </c>
      <c r="K848" t="n">
        <v>9.247146485510573</v>
      </c>
      <c r="L848" t="n">
        <v>24.45289055677035</v>
      </c>
      <c r="M848" t="n">
        <v>17.36341183621405</v>
      </c>
      <c r="N848" t="inlineStr">
        <is>
          <t>Operationnel</t>
        </is>
      </c>
      <c r="O848" t="inlineStr"/>
      <c r="P848" t="inlineStr">
        <is>
          <t>AKTIVCO GRID ONLY</t>
        </is>
      </c>
      <c r="Q848" t="inlineStr">
        <is>
          <t>POWER ISSUE</t>
        </is>
      </c>
      <c r="R848" t="inlineStr">
        <is>
          <t>AKTIVCO Coupure ENEO &amp; Baisse de tension</t>
        </is>
      </c>
      <c r="S848" t="inlineStr">
        <is>
          <t>PASSIVE</t>
        </is>
      </c>
      <c r="T848" t="inlineStr">
        <is>
          <t>site down….site down….Grid outage grid only site /awaiting grid return….INC-20260330-00001977.,,2026-03-30 03:29:55.,,FME is managing.,,GE Fault</t>
        </is>
      </c>
      <c r="U848" t="inlineStr">
        <is>
          <t>site down….site down….Grid outage grid only site /awaiting grid return….,,2026-03-30 03 : 29 : 55.,,FME is managing.,,GE Fault</t>
        </is>
      </c>
    </row>
    <row r="849">
      <c r="A849" s="96" t="n">
        <v>46142</v>
      </c>
      <c r="B849" t="inlineStr">
        <is>
          <t>Makepe-Bloc-E</t>
        </is>
      </c>
      <c r="C849" t="inlineStr">
        <is>
          <t>LIT_613</t>
        </is>
      </c>
      <c r="D849" t="inlineStr"/>
      <c r="E849" t="inlineStr">
        <is>
          <t>CAMUSAT</t>
        </is>
      </c>
      <c r="F849" t="inlineStr">
        <is>
          <t>Good Grid no GE - 8h</t>
        </is>
      </c>
      <c r="G849" t="inlineStr">
        <is>
          <t>LITTORAL</t>
        </is>
      </c>
      <c r="H849" t="inlineStr">
        <is>
          <t>Douala</t>
        </is>
      </c>
      <c r="I849" t="inlineStr"/>
      <c r="J849" t="n">
        <v>5.527878693412307</v>
      </c>
      <c r="K849" t="n">
        <v>9.045904437440285</v>
      </c>
      <c r="L849" t="n">
        <v>23.23511957528121</v>
      </c>
      <c r="M849" t="n">
        <v>15.94304403409496</v>
      </c>
      <c r="N849" t="inlineStr">
        <is>
          <t>Operationnel</t>
        </is>
      </c>
      <c r="O849" t="inlineStr"/>
      <c r="P849" t="inlineStr">
        <is>
          <t>AKTIVCO GRID ONLY</t>
        </is>
      </c>
      <c r="Q849" t="inlineStr">
        <is>
          <t>POWER ISSUE</t>
        </is>
      </c>
      <c r="R849" t="inlineStr">
        <is>
          <t>AKTIVCO Coupure ENEO &amp; Baisse de tension</t>
        </is>
      </c>
      <c r="S849" t="inlineStr">
        <is>
          <t>PASSIVE</t>
        </is>
      </c>
      <c r="T849" t="inlineStr">
        <is>
          <t>30/03/2026 : Besoin d'analyse Bo RAN….30.03.2026 CAMUSAT: Grid outage, Grid only site (escalade L4)
29.03.2026 CAMUSAT: Grid outage, Grid only site / continuté du délestage confirmer à 12H(escalade L4)
27/03/2026 Grid outage, Grid only site / Grid return (escalade L4)
27/03/2026 Grid outage, Grid only site / Grid return (escalade L3)
26/03/2026 Grid outage, Grid only site / Grid return</t>
        </is>
      </c>
      <c r="U849" t="inlineStr">
        <is>
          <t>30/03/2026 : Besoin d'analyse Bo RAN….30.03.2026 CAMUSAT : Grid outage, Grid only site (escalade L4) 29.03.2026 CAMUSAT : Grid outage, Grid only site / continuté du délestage confirmer à 12H(escalade L4) 27/03/2026 Grid outage, Grid only site / Grid return (escalade L4) 27/03/2026 Grid outage, Grid only site / Grid return (escalade L3) 26/03/2026 Grid outage, Grid only site / Grid return</t>
        </is>
      </c>
    </row>
    <row r="850">
      <c r="A850" s="96" t="n">
        <v>46142</v>
      </c>
      <c r="B850" t="inlineStr">
        <is>
          <t>Institute-Samba-New</t>
        </is>
      </c>
      <c r="C850" t="inlineStr">
        <is>
          <t>CTR_868</t>
        </is>
      </c>
      <c r="D850" t="inlineStr"/>
      <c r="E850" t="inlineStr">
        <is>
          <t>CAMUSAT</t>
        </is>
      </c>
      <c r="F850" t="inlineStr">
        <is>
          <t>Good Grid no GE - 8h</t>
        </is>
      </c>
      <c r="G850" t="inlineStr">
        <is>
          <t>CENTRE</t>
        </is>
      </c>
      <c r="H850" t="inlineStr">
        <is>
          <t>Yaounde</t>
        </is>
      </c>
      <c r="I850" t="inlineStr"/>
      <c r="J850" t="n">
        <v>6.659307818663597</v>
      </c>
      <c r="K850" t="n">
        <v>23.76037448446335</v>
      </c>
      <c r="L850" t="n">
        <v>10.77460727082499</v>
      </c>
      <c r="M850" t="n">
        <v>14.54641472121632</v>
      </c>
      <c r="N850" t="inlineStr">
        <is>
          <t>Operationnel</t>
        </is>
      </c>
      <c r="O850" t="inlineStr"/>
      <c r="P850" t="inlineStr">
        <is>
          <t>AKTIVCO GRID ONLY</t>
        </is>
      </c>
      <c r="Q850" t="inlineStr">
        <is>
          <t>POWER ISSUE</t>
        </is>
      </c>
      <c r="R850" t="inlineStr">
        <is>
          <t>AKTIVCO Coupure ENEO &amp; Baisse de tension</t>
        </is>
      </c>
      <c r="S850" t="inlineStr">
        <is>
          <t>PASSIVE</t>
        </is>
      </c>
      <c r="T850" t="inlineStr">
        <is>
          <t xml:space="preserve">30/03/2026 : Remplacement du redresseur ce jour
28/03/2026 : Relance faite a camusat ce jour
25/03/2026 : Power issue || ETR 28032026
24/03/3036 : Insuffisance de redresseurs 
21/03/2026 : Insuffisance de redresseurs ||Feedback Camusat: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||Le point est escaladé et suivi auprès de ENEO pour normalisation. Par ailleurs pas d’espace disponible pour poser un GE mobile.
13/03/2026 : power issue || escalade du 3 PP au niveau de Mr. Theophile
12/03/2026 : FME active : check VBPe1p du slot 6 et 8 || ETA: 13H || Power issue || point suivi par le 3PP
07/03/2026 : Grid outage, Grid only site // Grid restoration awaited.
06/03/2026 : power issue || mail send to CAMUSAT ….30/03/2026 : Remplacement du redresseur ce jour
28/03/2026 : Relance faite a camusat ce jour
25/03/2026 : Power issue || ETR 28032026
24/03/3036 : Insuffisance de redresseurs 
21/03/2026 : Insuffisance de redresseurs ||Feedback Camusat: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||Le point est escaladé et suivi auprès de ENEO pour normalisation. Par ailleurs pas d’espace disponible pour poser un GE mobile.
13/03/2026 : power issue || escalade du 3 PP au niveau de Mr. Theophile
12/03/2026 : FME active : check VBPe1p du slot 6 et 8 || ETA: 13H || Power issue || point suivi par le 3PP
07/03/2026 : Grid outage, Grid only site // Grid restoration awaited.
06/03/2026 : power issue || mail send to CAMUSAT ….30/03/2026 : Rajout de redresseur ce jour 
28/03/2026 : Relance faite a camusat ce jour
25/03/2026 : Power issue || ETR 28032026
24/03/3036 : Insuffisance de redresseurs 
21/03/2026 : Insuffisance de redresseurs ||Feedback Camusat: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||Le point est escaladé et suivi auprès de ENEO pour normalisation. Par ailleurs pas d’espace disponible pour poser un GE mobile.
13/03/2026 : power issue || escalade du 3 PP au niveau de Mr. Theophile
12/03/2026 : FME active : check VBPe1p du slot 6 et 8 || ETA: 13H || Power issue || point suivi par le 3PP
07/03/2026 : Grid outage, Grid only site // Grid restoration awaited.
06/03/2026 : power issue || mail send to CAMUSAT </t>
        </is>
      </c>
      <c r="U850" t="inlineStr">
        <is>
          <t>30/03/2026 : Remplacement du redresseur ce jour 28/03/2026 : Relance faite a camusat ce jour 25/03/2026 : Power issue || ETR 28032026 24/03/3036 : Insuffisance de redresseurs 21/03/2026 : Insuffisance de redresseurs || Feedback Camusat :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 Le point est escaladé et suivi auprès de ENEO pour normalisation. Par ailleurs pas d’espace disponible pour poser un GE mobile. 13/03/2026 : power issue || escalade du 3 PP au niveau de Mr. Theophile 12/03/2026 : FME active : check VBPe1p du slot 6 et 8 || ETA : 13H || Power issue || point suivi par le 3PP 07/03/2026 : Grid outage, Grid only site // Grid restoration awaited. 06/03/2026 : power issue || mail send to CAMUSAT ….30/03/2026 : Remplacement du redresseur ce jour 28/03/2026 : Relance faite a camusat ce jour 25/03/2026 : Power issue || ETR 28032026 24/03/3036 : Insuffisance de redresseurs 21/03/2026 : Insuffisance de redresseurs || Feedback Camusat :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 Le point est escaladé et suivi auprès de ENEO pour normalisation. Par ailleurs pas d’espace disponible pour poser un GE mobile. 13/03/2026 : power issue || escalade du 3 PP au niveau de Mr. Theophile 12/03/2026 : FME active : check VBPe1p du slot 6 et 8 || ETA : 13H || Power issue || point suivi par le 3PP 07/03/2026 : Grid outage, Grid only site // Grid restoration awaited. 06/03/2026 : power issue || mail send to CAMUSAT ….30/03/2026 : Rajout de redresseur ce jour 28/03/2026 : Relance faite a camusat ce jour 25/03/2026 : Power issue || ETR 28032026 24/03/3036 : Insuffisance de redresseurs 21/03/2026 : Insuffisance de redresseurs || Feedback Camusat :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 Le point est escaladé et suivi auprès de ENEO pour normalisation. Par ailleurs pas d’espace disponible pour poser un GE mobile. 13/03/2026 : power issue || escalade du 3 PP au niveau de Mr. Theophile 12/03/2026 : FME active : check VBPe1p du slot 6 et 8 || ETA : 13H || Power issue || point suivi par le 3PP 07/03/2026 : Grid outage, Grid only site // Grid restoration awaited. 06/03/2026 : power issue || mail send to CAMUSAT</t>
        </is>
      </c>
    </row>
    <row r="851">
      <c r="A851" s="96" t="n">
        <v>46142</v>
      </c>
      <c r="B851" t="inlineStr">
        <is>
          <t>Nkor</t>
        </is>
      </c>
      <c r="C851" t="inlineStr">
        <is>
          <t>NRO_238</t>
        </is>
      </c>
      <c r="D851" t="inlineStr"/>
      <c r="E851" t="inlineStr">
        <is>
          <t>IHS</t>
        </is>
      </c>
      <c r="F851" t="inlineStr">
        <is>
          <t>Solar-Gen</t>
        </is>
      </c>
      <c r="G851" t="inlineStr">
        <is>
          <t>NORD-OUEST</t>
        </is>
      </c>
      <c r="H851" t="inlineStr">
        <is>
          <t>Nkor</t>
        </is>
      </c>
      <c r="I851" t="inlineStr"/>
      <c r="J851" t="n">
        <v>65.45540520878801</v>
      </c>
      <c r="K851" t="n">
        <v>13.77031120903332</v>
      </c>
      <c r="L851" t="n">
        <v>0</v>
      </c>
      <c r="M851" t="n">
        <v>13.96987811187054</v>
      </c>
      <c r="N851" t="inlineStr">
        <is>
          <t>Insecurity</t>
        </is>
      </c>
      <c r="O851" t="inlineStr"/>
      <c r="P851" t="inlineStr">
        <is>
          <t>BSS</t>
        </is>
      </c>
      <c r="Q851" t="inlineStr">
        <is>
          <t>RAN ISSUE</t>
        </is>
      </c>
      <c r="R851" t="inlineStr">
        <is>
          <t>BSS Hardware issue</t>
        </is>
      </c>
      <c r="S851" t="inlineStr">
        <is>
          <t>ACTIVE</t>
        </is>
      </c>
      <c r="T851" t="inlineStr">
        <is>
          <t>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t>
        </is>
      </c>
      <c r="U851" t="inlineStr">
        <is>
          <t>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t>
        </is>
      </c>
    </row>
    <row r="852">
      <c r="A852" s="96" t="n">
        <v>46142</v>
      </c>
      <c r="B852" t="inlineStr">
        <is>
          <t>Lomie</t>
        </is>
      </c>
      <c r="C852" t="inlineStr">
        <is>
          <t>EST_010</t>
        </is>
      </c>
      <c r="D852" t="inlineStr"/>
      <c r="E852" t="inlineStr">
        <is>
          <t>IHS</t>
        </is>
      </c>
      <c r="F852" t="inlineStr">
        <is>
          <t>Grid-Gen</t>
        </is>
      </c>
      <c r="G852" t="inlineStr">
        <is>
          <t>EST</t>
        </is>
      </c>
      <c r="H852" t="inlineStr">
        <is>
          <t>Lomie</t>
        </is>
      </c>
      <c r="I852" t="inlineStr"/>
      <c r="J852" t="n">
        <v>0.5745197015295214</v>
      </c>
      <c r="K852" t="n">
        <v>41.31093362709997</v>
      </c>
      <c r="L852" t="n">
        <v>0</v>
      </c>
      <c r="M852" t="n">
        <v>13.95059825986708</v>
      </c>
      <c r="N852" t="inlineStr">
        <is>
          <t>Operationnel</t>
        </is>
      </c>
      <c r="O852" t="inlineStr"/>
      <c r="P852" t="inlineStr">
        <is>
          <t>PDH</t>
        </is>
      </c>
      <c r="Q852" t="inlineStr">
        <is>
          <t>TX ISSUE</t>
        </is>
      </c>
      <c r="R852" t="inlineStr">
        <is>
          <t>MPR issue</t>
        </is>
      </c>
      <c r="S852" t="inlineStr">
        <is>
          <t>ACTIVE</t>
        </is>
      </c>
      <c r="T852" t="inlineStr">
        <is>
          <t>INC-20260330-00006047.,,Others Transmission equipement fault</t>
        </is>
      </c>
      <c r="U852" t="inlineStr"/>
    </row>
    <row r="853">
      <c r="A853" s="96" t="n">
        <v>46142</v>
      </c>
      <c r="B853" t="inlineStr">
        <is>
          <t>Old-Airport-IHS</t>
        </is>
      </c>
      <c r="C853" t="inlineStr">
        <is>
          <t>LIT_122</t>
        </is>
      </c>
      <c r="D853" t="inlineStr"/>
      <c r="E853" t="inlineStr">
        <is>
          <t>IHS</t>
        </is>
      </c>
      <c r="F853" t="inlineStr">
        <is>
          <t>Grid-Lithium</t>
        </is>
      </c>
      <c r="G853" t="inlineStr">
        <is>
          <t>LITTORAL</t>
        </is>
      </c>
      <c r="H853" t="inlineStr">
        <is>
          <t>Douala</t>
        </is>
      </c>
      <c r="I853" t="inlineStr"/>
      <c r="J853" t="n">
        <v>32.37293622531563</v>
      </c>
      <c r="K853" t="n">
        <v>27.54062241806665</v>
      </c>
      <c r="L853" t="n">
        <v>0</v>
      </c>
      <c r="M853" t="n">
        <v>13.86855689960706</v>
      </c>
      <c r="N853" t="inlineStr">
        <is>
          <t>Operationnel</t>
        </is>
      </c>
      <c r="O853" t="inlineStr"/>
      <c r="P853" t="inlineStr">
        <is>
          <t>IHS</t>
        </is>
      </c>
      <c r="Q853" t="inlineStr">
        <is>
          <t>POWER ISSUE</t>
        </is>
      </c>
      <c r="R853" t="inlineStr">
        <is>
          <t>Defaut GE &amp; Power Cabinet</t>
        </is>
      </c>
      <c r="S853" t="inlineStr">
        <is>
          <t>PASSIVE</t>
        </is>
      </c>
      <c r="T853" t="inlineStr">
        <is>
          <t>site down….site down….site down….30/03/2026  IHS: Grid only site with no space / Grid returned awaited|ESCALADE L3 IHS 
29.03.2026 IHS: Grid only site with no space / Grid returned awaited| ESCALATE TO L2
28.03.2026 IHS: Grid outage, no space to deploy MDG, awaiting grid return….29.03.2026 IHS: Grid only site with no space / Grid returned awaited| ESCALATE TO L2
28.03.2026 IHS: Grid outage, no space to deploy MDG, awaiting grid return….29.03.2026 IHS: Grid only site with no space / Grid returned awaited| ESCALATE TO L2
28.03.2026 IHS: Grid outage, no space to deploy MDG, awaiting grid return</t>
        </is>
      </c>
      <c r="U853" t="inlineStr">
        <is>
          <t>site down….site down….site down….30/03/2026 IHS : Grid only site with no space / Grid returned awaited|ESCALADE L3 IHS 29.03.2026 IHS : Grid only site with no space / Grid returned awaited| ESCALATE TO L2 28.03.2026 IHS : Grid outage, no space to deploy MDG, awaiting grid return….29.03.2026 IHS : Grid only site with no space / Grid returned awaited| ESCALATE TO L2 28.03.2026 IHS : Grid outage, no space to deploy MDG, awaiting grid return….29.03.2026 IHS : Grid only site with no space / Grid returned awaited| ESCALATE TO L2 28.03.2026 IHS : Grid outage, no space to deploy MDG, awaiting grid return</t>
        </is>
      </c>
    </row>
    <row r="854">
      <c r="A854" s="96" t="n">
        <v>46142</v>
      </c>
      <c r="B854" t="inlineStr">
        <is>
          <t>Emombo-2eme-Crf</t>
        </is>
      </c>
      <c r="C854" t="inlineStr">
        <is>
          <t>CTR_558</t>
        </is>
      </c>
      <c r="D854" t="inlineStr"/>
      <c r="E854" t="inlineStr">
        <is>
          <t>CAMUSAT</t>
        </is>
      </c>
      <c r="F854" t="inlineStr">
        <is>
          <t>Good Grid no GE - 8h</t>
        </is>
      </c>
      <c r="G854" t="inlineStr">
        <is>
          <t>CENTRE</t>
        </is>
      </c>
      <c r="H854" t="inlineStr">
        <is>
          <t>Yaounde</t>
        </is>
      </c>
      <c r="I854" t="inlineStr"/>
      <c r="J854" t="n">
        <v>32.37293622531563</v>
      </c>
      <c r="K854" t="n">
        <v>27.54062241806665</v>
      </c>
      <c r="L854" t="n">
        <v>0</v>
      </c>
      <c r="M854" t="n">
        <v>13.86855689960706</v>
      </c>
      <c r="N854" t="inlineStr">
        <is>
          <t>Operationnel</t>
        </is>
      </c>
      <c r="O854" t="inlineStr"/>
      <c r="P854" t="inlineStr">
        <is>
          <t>AKTIVCO GRID ONLY</t>
        </is>
      </c>
      <c r="Q854" t="inlineStr">
        <is>
          <t>POWER ISSUE</t>
        </is>
      </c>
      <c r="R854" t="inlineStr">
        <is>
          <t>AKTIVCO Coupure ENEO &amp; Baisse de tension</t>
        </is>
      </c>
      <c r="S854" t="inlineStr">
        <is>
          <t>PASSIVE</t>
        </is>
      </c>
      <c r="T854" t="inlineStr">
        <is>
          <t>site down….site down….site down….30/03/2026 Grid outage grid only site /awaiting grid return escalade L3 camusat 
30/03/2026 Grid outage grid only site /awaiting grid return escalade L2 camusat ….30/03/2026 Grid outage grid only site /awaiting grid return….30/03/2026 Grid outage grid only site /awaiting grid return</t>
        </is>
      </c>
      <c r="U854" t="inlineStr">
        <is>
          <t>site down….site down….site down….30/03/2026 Grid outage grid only site /awaiting grid return escalade L3 camusat 30/03/2026 Grid outage grid only site /awaiting grid return escalade L2 camusat ….30/03/2026 Grid outage grid only site /awaiting grid return….30/03/2026 Grid outage grid only site /awaiting grid return</t>
        </is>
      </c>
    </row>
    <row r="855">
      <c r="A855" s="96" t="n">
        <v>46142</v>
      </c>
      <c r="B855" t="inlineStr">
        <is>
          <t>Vallee-Bastos</t>
        </is>
      </c>
      <c r="C855" t="inlineStr">
        <is>
          <t>CTR_251</t>
        </is>
      </c>
      <c r="D855" t="inlineStr"/>
      <c r="E855" t="inlineStr">
        <is>
          <t>IHS</t>
        </is>
      </c>
      <c r="F855" t="inlineStr">
        <is>
          <t>GridOnly</t>
        </is>
      </c>
      <c r="G855" t="inlineStr">
        <is>
          <t>CENTRE</t>
        </is>
      </c>
      <c r="H855" t="inlineStr">
        <is>
          <t>Yaounde</t>
        </is>
      </c>
      <c r="I855" t="inlineStr"/>
      <c r="J855" t="n">
        <v>32.37293622531563</v>
      </c>
      <c r="K855" t="n">
        <v>27.54062241806665</v>
      </c>
      <c r="L855" t="n">
        <v>0</v>
      </c>
      <c r="M855" t="n">
        <v>13.86855689960706</v>
      </c>
      <c r="N855" t="inlineStr">
        <is>
          <t>Operationnel</t>
        </is>
      </c>
      <c r="O855" t="inlineStr"/>
      <c r="P855" t="inlineStr">
        <is>
          <t>IHS GRID ONLY</t>
        </is>
      </c>
      <c r="Q855" t="inlineStr">
        <is>
          <t>POWER ISSUE</t>
        </is>
      </c>
      <c r="R855" t="inlineStr">
        <is>
          <t>Coupure ENEO &amp; Baisse de tension</t>
        </is>
      </c>
      <c r="S855" t="inlineStr">
        <is>
          <t>PASSIVE</t>
        </is>
      </c>
      <c r="T855" t="inlineStr">
        <is>
          <t>26/03/2026 : site down….26/03/2026 : site down….26/03/2026 : site down….30/03/2026 negociation d 'accès toujours en cours 
30/03/2026 29.03.2026 CAMUSAT: Accès refuser par la sécurité / Residence occupé par les Americains / la sécurité demande de passer aux heures de maintenances habituel recherche de solution en cours
29.03.2026 CAMUSAT: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L2)….30/03/2026 negociation d 'accès toujours en cours 
30/03/2026 29.03.2026 CAMUSAT: Accès refuser par la sécurité / Residence occupé par les Americains / la sécurité demande de passer aux heures de maintenances habituel recherche de solution en cours
29.03.2026 CAMUSAT: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L2)….30/03/2026 negociation d 'accès toujours en cours 
30/03/2026 29.03.2026 CAMUSAT: Accès refuser par la sécurité / Residence occupé par les Americains / la sécurité demande de passer aux heures de maintenances habituel recherche de solution en cours
29.03.2026 CAMUSAT: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t>
        </is>
      </c>
      <c r="U855" t="inlineStr">
        <is>
          <t>26/03/2026 : site down….26/03/2026 : site down….26/03/2026 : site down….30/03/2026 negociation d 'accès toujours en cours 30/03/2026 29.03.2026 CAMUSAT : Accès refuser par la sécurité / Residence occupé par les Americains / la sécurité demande de passer aux heures de maintenances habituel recherche de solution en cours 29.03.2026 CAMUSAT :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L2)….30/03/2026 negociation d 'accès toujours en cours 30/03/2026 29.03.2026 CAMUSAT : Accès refuser par la sécurité / Residence occupé par les Americains / la sécurité demande de passer aux heures de maintenances habituel recherche de solution en cours 29.03.2026 CAMUSAT :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L2)….30/03/2026 negociation d 'accès toujours en cours 30/03/2026 29.03.2026 CAMUSAT : Accès refuser par la sécurité / Residence occupé par les Americains / la sécurité demande de passer aux heures de maintenances habituel recherche de solution en cours 29.03.2026 CAMUSAT :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t>
        </is>
      </c>
    </row>
    <row r="856">
      <c r="A856" s="96" t="n">
        <v>46142</v>
      </c>
      <c r="B856" t="inlineStr">
        <is>
          <t>China-Embassy-IHS</t>
        </is>
      </c>
      <c r="C856" t="inlineStr">
        <is>
          <t>CTR_874</t>
        </is>
      </c>
      <c r="D856" t="inlineStr"/>
      <c r="E856" t="inlineStr">
        <is>
          <t>IHS</t>
        </is>
      </c>
      <c r="F856" t="inlineStr">
        <is>
          <t>GridOnly</t>
        </is>
      </c>
      <c r="G856" t="inlineStr">
        <is>
          <t>CENTRE</t>
        </is>
      </c>
      <c r="H856" t="inlineStr">
        <is>
          <t>Yaounde</t>
        </is>
      </c>
      <c r="I856" t="inlineStr"/>
      <c r="J856" t="n">
        <v>32.37293622531563</v>
      </c>
      <c r="K856" t="n">
        <v>27.54062241806665</v>
      </c>
      <c r="L856" t="n">
        <v>0</v>
      </c>
      <c r="M856" t="n">
        <v>13.86855689960706</v>
      </c>
      <c r="N856" t="inlineStr">
        <is>
          <t>Operationnel</t>
        </is>
      </c>
      <c r="O856" t="inlineStr"/>
      <c r="P856" t="inlineStr">
        <is>
          <t>ACCESS-ISSUE</t>
        </is>
      </c>
      <c r="Q856" t="inlineStr">
        <is>
          <t>ACCESS-ISSUE</t>
        </is>
      </c>
      <c r="R856" t="inlineStr">
        <is>
          <t>ACCESS-ISSUE</t>
        </is>
      </c>
      <c r="S856" t="inlineStr">
        <is>
          <t>ACCESS-ISSUE</t>
        </is>
      </c>
      <c r="T856" t="inlineStr">
        <is>
          <t>23.03.26; IHS; Impossible d'accéder au site jusqu'à la semaine prochaine d'après le retour des officiels de l'ambassade
19.03.2026: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S1P6….23.03.26; IHS; Impossible d'accéder au site jusqu'à la semaine prochaine d'après le retour des officiels de l'ambassade
19.03.2026: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S1P6….23.03.26; IHS; Impossible d'accéder au site jusqu'à la semaine prochaine d'après le retour des officiels de l'ambassade
19.03.2026: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t>
        </is>
      </c>
      <c r="U856" t="inlineStr">
        <is>
          <t>23.03.26; IHS; Impossible d'accéder au site jusqu'à la semaine prochaine d'après le retour des officiels de l'ambassade 19.03.2026 :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S1P6….23.03.26; IHS; Impossible d'accéder au site jusqu'à la semaine prochaine d'après le retour des officiels de l'ambassade 19.03.2026 :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S1P6….23.03.26; IHS; Impossible d'accéder au site jusqu'à la semaine prochaine d'après le retour des officiels de l'ambassade 19.03.2026 :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t>
        </is>
      </c>
    </row>
    <row r="857">
      <c r="A857" s="96" t="n">
        <v>46142</v>
      </c>
      <c r="B857" t="inlineStr">
        <is>
          <t>Marche-Congo</t>
        </is>
      </c>
      <c r="C857" t="inlineStr">
        <is>
          <t>LIT_547</t>
        </is>
      </c>
      <c r="D857" t="inlineStr"/>
      <c r="E857" t="inlineStr">
        <is>
          <t>CAMUSAT</t>
        </is>
      </c>
      <c r="F857" t="inlineStr">
        <is>
          <t>Good Grid no GE - 8h</t>
        </is>
      </c>
      <c r="G857" t="inlineStr">
        <is>
          <t>LITTORAL</t>
        </is>
      </c>
      <c r="H857" t="inlineStr">
        <is>
          <t>Douala</t>
        </is>
      </c>
      <c r="I857" t="inlineStr"/>
      <c r="J857" t="n">
        <v>32.37293622531563</v>
      </c>
      <c r="K857" t="n">
        <v>27.54062241806665</v>
      </c>
      <c r="L857" t="n">
        <v>0</v>
      </c>
      <c r="M857" t="n">
        <v>13.86855689960706</v>
      </c>
      <c r="N857" t="inlineStr">
        <is>
          <t>Operationnel</t>
        </is>
      </c>
      <c r="O857" t="inlineStr"/>
      <c r="P857" t="inlineStr">
        <is>
          <t>AKTIVCO GRID ONLY</t>
        </is>
      </c>
      <c r="Q857" t="inlineStr">
        <is>
          <t>POWER ISSUE</t>
        </is>
      </c>
      <c r="R857" t="inlineStr">
        <is>
          <t>AKTIVCO Coupure ENEO &amp; Baisse de tension</t>
        </is>
      </c>
      <c r="S857" t="inlineStr">
        <is>
          <t>PASSIVE</t>
        </is>
      </c>
      <c r="T857" t="inlineStr">
        <is>
          <t>20/03/2026 : Site down ….20/03/2026 : Site down ….20/03/2026 : Site down ….30/03/2026 Feedback camusat: Equipe eneo sur site travaux en cours 
30.03.2026 CAMUSAT: Soucis avec la ligne Eneo (Compteur Eneo HS) ENEO a tous les équipements et les travaux ont démarrer Jeudi et sont toujours en cours
29.03.2026 CAMUSAT: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L2)….30/03/2026 Feedback camusat: Equipe eneo sur site travaux en cours 
30.03.2026 CAMUSAT: Soucis avec la ligne Eneo (Compteur Eneo HS) ENEO a tous les équipements et les travaux ont démarrer Jeudi et sont toujours en cours
29.03.2026 CAMUSAT: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L2)….30/03/2026 Feedback camusat: Equipe eneo sur site travaux en cours 
30.03.2026 CAMUSAT: Soucis avec la ligne Eneo (Compteur Eneo HS) ENEO a tous les équipements et les travaux ont démarrer Jeudi et sont toujours en cours
29.03.2026 CAMUSAT: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t>
        </is>
      </c>
      <c r="U857" t="inlineStr">
        <is>
          <t>20/03/2026 : Site down ….20/03/2026 : Site down ….20/03/2026 : Site down ….30/03/2026 Feedback camusat : Equipe eneo sur site travaux en cours 30.03.2026 CAMUSAT : Soucis avec la ligne Eneo (Compteur Eneo HS) ENEO a tous les équipements et les travaux ont démarrer Jeudi et sont toujours en cours 29.03.2026 CAMUSAT :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L2)….30/03/2026 Feedback camusat : Equipe eneo sur site travaux en cours 30.03.2026 CAMUSAT : Soucis avec la ligne Eneo (Compteur Eneo HS) ENEO a tous les équipements et les travaux ont démarrer Jeudi et sont toujours en cours 29.03.2026 CAMUSAT :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L2)….30/03/2026 Feedback camusat : Equipe eneo sur site travaux en cours 30.03.2026 CAMUSAT : Soucis avec la ligne Eneo (Compteur Eneo HS) ENEO a tous les équipements et les travaux ont démarrer Jeudi et sont toujours en cours 29.03.2026 CAMUSAT :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t>
        </is>
      </c>
    </row>
    <row r="858">
      <c r="A858" s="96" t="n">
        <v>46142</v>
      </c>
      <c r="B858" t="inlineStr">
        <is>
          <t>Limbe-Coconut-Island-MTN</t>
        </is>
      </c>
      <c r="C858" t="inlineStr">
        <is>
          <t>SUO_219</t>
        </is>
      </c>
      <c r="D858" t="inlineStr"/>
      <c r="E858" t="inlineStr">
        <is>
          <t>MTN sharing</t>
        </is>
      </c>
      <c r="F858" t="inlineStr"/>
      <c r="G858" t="inlineStr">
        <is>
          <t>SUD-OUEST</t>
        </is>
      </c>
      <c r="H858" t="inlineStr">
        <is>
          <t>Limbe</t>
        </is>
      </c>
      <c r="I858" t="inlineStr"/>
      <c r="J858" t="n">
        <v>32.3710627915063</v>
      </c>
      <c r="K858" t="n">
        <v>27.52309077185144</v>
      </c>
      <c r="L858" t="n">
        <v>0</v>
      </c>
      <c r="M858" t="n">
        <v>13.86240379758756</v>
      </c>
      <c r="N858" t="inlineStr">
        <is>
          <t>Operationnel</t>
        </is>
      </c>
      <c r="O858" t="inlineStr"/>
      <c r="P858" t="inlineStr">
        <is>
          <t>Partners</t>
        </is>
      </c>
      <c r="Q858" t="inlineStr">
        <is>
          <t>POWER ISSUE</t>
        </is>
      </c>
      <c r="R858" t="inlineStr">
        <is>
          <t>Sharing</t>
        </is>
      </c>
      <c r="S858" t="inlineStr">
        <is>
          <t>PASSIVE</t>
        </is>
      </c>
      <c r="T858" t="inlineStr">
        <is>
          <t>28.03.26; Power instabilities on site escalated to L5 of MTN (site to be locked)
28/03/2026 instabilité power escalade L5 MTN ….28.03.26; Power instabilities on site escalated to L5 of MTN (site to be locked)
28/03/2026 instabilité power escalade L5 MTN ….28.03.26; Power instabilities on site escalated to L5 of MTN (site to be locked)
28/03/2026 instabilité power escalade L5 MTN ….INC-20260330-00003110.,,power insufficiency, phase problem on site.,,Others Transmission equipement fault</t>
        </is>
      </c>
      <c r="U858" t="inlineStr">
        <is>
          <t>28.03.26; Power instabilities on site escalated to L5 of MTN (site to be locked) 28/03/2026 instabilité power escalade L5 MTN ….28.03.26; Power instabilities on site escalated to L5 of MTN (site to be locked) 28/03/2026 instabilité power escalade L5 MTN ….28.03.26; Power instabilities on site escalated to L5 of MTN (site to be locked) 28/03/2026 instabilité power escalade L5 MTN ….,,power insufficiency, phase problem on site.,,</t>
        </is>
      </c>
    </row>
    <row r="859">
      <c r="A859" s="96" t="n">
        <v>46142</v>
      </c>
      <c r="B859" t="inlineStr">
        <is>
          <t>Shell-NewBell-Carrefour</t>
        </is>
      </c>
      <c r="C859" t="inlineStr">
        <is>
          <t>LIT_407</t>
        </is>
      </c>
      <c r="D859" t="inlineStr"/>
      <c r="E859" t="inlineStr">
        <is>
          <t>IHS</t>
        </is>
      </c>
      <c r="F859" t="inlineStr">
        <is>
          <t>GridOnly</t>
        </is>
      </c>
      <c r="G859" t="inlineStr">
        <is>
          <t>LITTORAL</t>
        </is>
      </c>
      <c r="H859" t="inlineStr">
        <is>
          <t>Douala</t>
        </is>
      </c>
      <c r="I859" t="inlineStr"/>
      <c r="J859" t="n">
        <v>6.513554668297303</v>
      </c>
      <c r="K859" t="n">
        <v>5.641364994848884</v>
      </c>
      <c r="L859" t="n">
        <v>19.40150251604953</v>
      </c>
      <c r="M859" t="n">
        <v>12.94166787945199</v>
      </c>
      <c r="N859" t="inlineStr">
        <is>
          <t>Operationnel</t>
        </is>
      </c>
      <c r="O859" t="inlineStr"/>
      <c r="P859" t="inlineStr">
        <is>
          <t>ACCESS-ISSUE</t>
        </is>
      </c>
      <c r="Q859" t="inlineStr">
        <is>
          <t>ACCESS-ISSUE</t>
        </is>
      </c>
      <c r="R859" t="inlineStr">
        <is>
          <t>ACCESS-ISSUE</t>
        </is>
      </c>
      <c r="S859" t="inlineStr">
        <is>
          <t>ACCESS-ISSUE</t>
        </is>
      </c>
      <c r="T859" t="inlineStr">
        <is>
          <t>INC-20260330-00012517.,,2026-03-31 00:36:13.,,Access issue, Benoit will be on site in morning.,,Others</t>
        </is>
      </c>
      <c r="U859" t="inlineStr">
        <is>
          <t>2026-03-31 00 : 36 : 13.,,Access issue, Benoit will be on site in morning.,,Others</t>
        </is>
      </c>
    </row>
    <row r="860">
      <c r="A860" s="96" t="n">
        <v>46142</v>
      </c>
      <c r="B860" t="inlineStr">
        <is>
          <t>Ndogp-Ecole-Publique</t>
        </is>
      </c>
      <c r="C860" t="inlineStr">
        <is>
          <t>LIT_693</t>
        </is>
      </c>
      <c r="D860" t="inlineStr"/>
      <c r="E860" t="inlineStr">
        <is>
          <t>CAMUSAT</t>
        </is>
      </c>
      <c r="F860" t="inlineStr">
        <is>
          <t>Good Grid no GE - 8h</t>
        </is>
      </c>
      <c r="G860" t="inlineStr">
        <is>
          <t>LITTORAL</t>
        </is>
      </c>
      <c r="H860" t="inlineStr">
        <is>
          <t>Douala</t>
        </is>
      </c>
      <c r="I860" t="inlineStr"/>
      <c r="J860" t="n">
        <v>10.38806557717748</v>
      </c>
      <c r="K860" t="n">
        <v>9.044416903822027</v>
      </c>
      <c r="L860" t="n">
        <v>15.33450243725198</v>
      </c>
      <c r="M860" t="n">
        <v>12.51649744744359</v>
      </c>
      <c r="N860" t="inlineStr">
        <is>
          <t>Operationnel</t>
        </is>
      </c>
      <c r="O860" t="inlineStr"/>
      <c r="P860" t="inlineStr">
        <is>
          <t>AKTIVCO GRID ONLY</t>
        </is>
      </c>
      <c r="Q860" t="inlineStr">
        <is>
          <t>POWER ISSUE</t>
        </is>
      </c>
      <c r="R860" t="inlineStr">
        <is>
          <t>AKTIVCO Coupure ENEO &amp; Baisse de tension</t>
        </is>
      </c>
      <c r="S860" t="inlineStr">
        <is>
          <t>PASSIVE</t>
        </is>
      </c>
      <c r="T860" t="inlineStr">
        <is>
          <t>30/03/2026 Power issue en attente de retour camusat….30/03/2026 Power issue en attente de retour camusat….INC-20260330-00011648.,,2026-03-30 17:46:10.,,Grid outage / Grid return awaited.,,Others Transmission equipement fault</t>
        </is>
      </c>
      <c r="U860" t="inlineStr">
        <is>
          <t>30/03/2026 Power issue en attente de retour camusat….30/03/2026 Power issue en attente de retour camusat….,,2026-03-30 17 : 46 : 10.,,Grid outage / Grid return awaited.,,</t>
        </is>
      </c>
    </row>
    <row r="861">
      <c r="A861" s="96" t="n">
        <v>46142</v>
      </c>
      <c r="B861" t="inlineStr">
        <is>
          <t>Balissa-MTN-IHS</t>
        </is>
      </c>
      <c r="C861" t="inlineStr">
        <is>
          <t>CTR_170</t>
        </is>
      </c>
      <c r="D861" t="inlineStr"/>
      <c r="E861" t="inlineStr">
        <is>
          <t>IHS</t>
        </is>
      </c>
      <c r="F861" t="inlineStr">
        <is>
          <t>Solar-Gen</t>
        </is>
      </c>
      <c r="G861" t="inlineStr">
        <is>
          <t>CENTRE</t>
        </is>
      </c>
      <c r="H861" t="inlineStr">
        <is>
          <t>Balissa</t>
        </is>
      </c>
      <c r="I861" t="inlineStr"/>
      <c r="J861" t="n">
        <v>20.00102049889261</v>
      </c>
      <c r="K861" t="n">
        <v>27.54062241806665</v>
      </c>
      <c r="L861" t="n">
        <v>0</v>
      </c>
      <c r="M861" t="n">
        <v>12.10184847774463</v>
      </c>
      <c r="N861" t="inlineStr">
        <is>
          <t>Operationnel</t>
        </is>
      </c>
      <c r="O861" t="inlineStr"/>
      <c r="P861" t="inlineStr">
        <is>
          <t>PDH</t>
        </is>
      </c>
      <c r="Q861" t="inlineStr">
        <is>
          <t>TX ISSUE</t>
        </is>
      </c>
      <c r="R861" t="inlineStr">
        <is>
          <t>ODU HS</t>
        </is>
      </c>
      <c r="S861" t="inlineStr">
        <is>
          <t>ACTIVE</t>
        </is>
      </c>
      <c r="T861" t="inlineStr">
        <is>
          <t>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0….30/03/2026 ODU recu Ngaoundéré expedition ngaoundal ETD=30/03/2026
28.03.26;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0….28.03.26;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c r="U861" t="inlineStr">
        <is>
          <t>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0….30/03/2026 ODU recu Ngaoundéré expedition ngaoundal ETD=30/03/2026 28.03.26;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0….28.03.26;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row>
    <row r="862">
      <c r="A862" s="96" t="n">
        <v>46142</v>
      </c>
      <c r="B862" t="inlineStr">
        <is>
          <t>Rain-forest-School</t>
        </is>
      </c>
      <c r="C862" t="inlineStr">
        <is>
          <t>CTR_766</t>
        </is>
      </c>
      <c r="D862" t="inlineStr"/>
      <c r="E862" t="inlineStr">
        <is>
          <t>CAMUSAT</t>
        </is>
      </c>
      <c r="F862" t="inlineStr">
        <is>
          <t>Good Grid no GE - 8h</t>
        </is>
      </c>
      <c r="G862" t="inlineStr">
        <is>
          <t>CENTRE</t>
        </is>
      </c>
      <c r="H862" t="inlineStr">
        <is>
          <t>Yaounde</t>
        </is>
      </c>
      <c r="I862" t="inlineStr"/>
      <c r="J862" t="n">
        <v>11.6864801026342</v>
      </c>
      <c r="K862" t="n">
        <v>9.972956638820039</v>
      </c>
      <c r="L862" t="n">
        <v>12.99020694206411</v>
      </c>
      <c r="M862" t="n">
        <v>11.79110914211847</v>
      </c>
      <c r="N862" t="inlineStr">
        <is>
          <t>Operationnel</t>
        </is>
      </c>
      <c r="O862" t="inlineStr"/>
      <c r="P862" t="inlineStr">
        <is>
          <t>AKTIVCO GRID ONLY</t>
        </is>
      </c>
      <c r="Q862" t="inlineStr">
        <is>
          <t>POWER ISSUE</t>
        </is>
      </c>
      <c r="R862" t="inlineStr">
        <is>
          <t>AKTIVCO Coupure ENEO &amp; Baisse de tension</t>
        </is>
      </c>
      <c r="S862" t="inlineStr">
        <is>
          <t>PASSIVE</t>
        </is>
      </c>
      <c r="T862" t="inlineStr">
        <is>
          <t>site down….site down….INC-20260330-00000654.,,2026-03-30 01:36:43.,,FME is managing with level0.,, cb rearmed.,,GE Fault.,,Disjunction in the TGBT</t>
        </is>
      </c>
      <c r="U862" t="inlineStr">
        <is>
          <t>site down….site down….,,2026-03-30 01 : 36 : 43.,,FME is managing with level0.,, cb rearmed.,,GE Fault.,,Disjunction in the TGBT</t>
        </is>
      </c>
    </row>
    <row r="863">
      <c r="A863" s="96" t="n">
        <v>46142</v>
      </c>
      <c r="B863" t="inlineStr">
        <is>
          <t>Camship</t>
        </is>
      </c>
      <c r="C863" t="inlineStr">
        <is>
          <t>LIT_139</t>
        </is>
      </c>
      <c r="D863" t="inlineStr"/>
      <c r="E863" t="inlineStr">
        <is>
          <t>IHS</t>
        </is>
      </c>
      <c r="F863" t="inlineStr">
        <is>
          <t>Grid-Gen</t>
        </is>
      </c>
      <c r="G863" t="inlineStr">
        <is>
          <t>LITTORAL</t>
        </is>
      </c>
      <c r="H863" t="inlineStr">
        <is>
          <t>Douala</t>
        </is>
      </c>
      <c r="I863" t="inlineStr"/>
      <c r="J863" t="n">
        <v>5.093866527582941</v>
      </c>
      <c r="K863" t="n">
        <v>4.415956050606744</v>
      </c>
      <c r="L863" t="n">
        <v>17.92777630032372</v>
      </c>
      <c r="M863" t="n">
        <v>11.55902126797419</v>
      </c>
      <c r="N863" t="inlineStr">
        <is>
          <t>Operationnel</t>
        </is>
      </c>
      <c r="O863" t="inlineStr"/>
      <c r="P863" t="inlineStr">
        <is>
          <t>IHS</t>
        </is>
      </c>
      <c r="Q863" t="inlineStr">
        <is>
          <t>POWER ISSUE</t>
        </is>
      </c>
      <c r="R863" t="inlineStr">
        <is>
          <t>Defaut GE &amp; Power Cabinet</t>
        </is>
      </c>
      <c r="S863" t="inlineStr">
        <is>
          <t>PASSIVE</t>
        </is>
      </c>
      <c r="T863" t="inlineStr">
        <is>
          <t>site down….30/03/2026 Power issue en attente de retour camusat….INC-20260330-00007475.,,GE Fault</t>
        </is>
      </c>
      <c r="U863" t="inlineStr">
        <is>
          <t>site down….30/03/2026 Power issue en attente de retour camusat….,,GE Fault</t>
        </is>
      </c>
    </row>
    <row r="864">
      <c r="A864" s="96" t="n">
        <v>46142</v>
      </c>
      <c r="B864" t="inlineStr">
        <is>
          <t>Kuruda</t>
        </is>
      </c>
      <c r="C864" t="inlineStr">
        <is>
          <t>EXN_208</t>
        </is>
      </c>
      <c r="D864" t="inlineStr"/>
      <c r="E864" t="inlineStr">
        <is>
          <t>IHS</t>
        </is>
      </c>
      <c r="F864" t="inlineStr">
        <is>
          <t>Hybrid-Gen</t>
        </is>
      </c>
      <c r="G864" t="inlineStr">
        <is>
          <t>EXTREME-NORD</t>
        </is>
      </c>
      <c r="H864" t="inlineStr">
        <is>
          <t>Kuruda</t>
        </is>
      </c>
      <c r="I864" t="inlineStr"/>
      <c r="J864" t="n">
        <v>16.27910442633817</v>
      </c>
      <c r="K864" t="n">
        <v>27.42055025597233</v>
      </c>
      <c r="L864" t="n">
        <v>0</v>
      </c>
      <c r="M864" t="n">
        <v>11.53004959697186</v>
      </c>
      <c r="N864" t="inlineStr">
        <is>
          <t>Insecurity</t>
        </is>
      </c>
      <c r="O864" t="inlineStr"/>
      <c r="P864" t="inlineStr">
        <is>
          <t>BSS</t>
        </is>
      </c>
      <c r="Q864" t="inlineStr">
        <is>
          <t>RAN ISSUE</t>
        </is>
      </c>
      <c r="R864" t="inlineStr">
        <is>
          <t>BSS Hardware issue</t>
        </is>
      </c>
      <c r="S864" t="inlineStr">
        <is>
          <t>ACTIVE</t>
        </is>
      </c>
      <c r="T864" t="inlineStr">
        <is>
          <t>30/03/2026 : need BO RAN analysis || Closed after reset but check and replace ABIA if needed || ETA : 31/08/2026</t>
        </is>
      </c>
      <c r="U864" t="inlineStr">
        <is>
          <t>30/03/2026 : need BO RAN analysis || Closed after reset but check and replace ABIA if needed || ETA : 31/08/2026</t>
        </is>
      </c>
    </row>
    <row r="865">
      <c r="A865" s="96" t="n">
        <v>46142</v>
      </c>
      <c r="B865" t="inlineStr">
        <is>
          <t>CTR_935_Z_BATA-Mokolo-II-HIS</t>
        </is>
      </c>
      <c r="C865" t="inlineStr">
        <is>
          <t>CTR_935</t>
        </is>
      </c>
      <c r="D865" t="inlineStr"/>
      <c r="E865" t="inlineStr">
        <is>
          <t>I_HS</t>
        </is>
      </c>
      <c r="F865" t="inlineStr">
        <is>
          <t>Grid Only</t>
        </is>
      </c>
      <c r="G865" t="inlineStr">
        <is>
          <t>CENTRE</t>
        </is>
      </c>
      <c r="H865" t="inlineStr">
        <is>
          <t>Yaoundé</t>
        </is>
      </c>
      <c r="I865" t="inlineStr"/>
      <c r="J865" t="n">
        <v>4.165018044914451</v>
      </c>
      <c r="K865" t="n">
        <v>3.582512214776054</v>
      </c>
      <c r="L865" t="n">
        <v>18.47080906478253</v>
      </c>
      <c r="M865" t="n">
        <v>11.42977045540803</v>
      </c>
      <c r="N865" t="inlineStr">
        <is>
          <t>Operationnel</t>
        </is>
      </c>
      <c r="O865" t="inlineStr"/>
      <c r="P865" t="inlineStr">
        <is>
          <t>IHS GRID ONLY</t>
        </is>
      </c>
      <c r="Q865" t="inlineStr">
        <is>
          <t>POWER ISSUE</t>
        </is>
      </c>
      <c r="R865" t="inlineStr">
        <is>
          <t>Coupure ENEO &amp; Baisse de tension</t>
        </is>
      </c>
      <c r="S865" t="inlineStr">
        <is>
          <t>PASSIVE</t>
        </is>
      </c>
      <c r="T865" t="inlineStr">
        <is>
          <t>Power status check ongoing….INC-20260330-00007507.,,2026-03-30 13:29:50.,,Others</t>
        </is>
      </c>
      <c r="U865" t="inlineStr">
        <is>
          <t>Power status check ongoing….,,2026-03-30 13 : 29 : 50.,,Others</t>
        </is>
      </c>
    </row>
    <row r="866">
      <c r="A866" s="96" t="n">
        <v>46142</v>
      </c>
      <c r="B866" t="inlineStr">
        <is>
          <t>Bobongo</t>
        </is>
      </c>
      <c r="C866" t="inlineStr">
        <is>
          <t>LIT_250</t>
        </is>
      </c>
      <c r="D866" t="inlineStr"/>
      <c r="E866" t="inlineStr">
        <is>
          <t>IHS</t>
        </is>
      </c>
      <c r="F866" t="inlineStr">
        <is>
          <t>Grid-Gen</t>
        </is>
      </c>
      <c r="G866" t="inlineStr">
        <is>
          <t>LITTORAL</t>
        </is>
      </c>
      <c r="H866" t="inlineStr">
        <is>
          <t>Douala</t>
        </is>
      </c>
      <c r="I866" t="inlineStr"/>
      <c r="J866" t="n">
        <v>0</v>
      </c>
      <c r="K866" t="n">
        <v>27.54062241806665</v>
      </c>
      <c r="L866" t="n">
        <v>2.954908102358017</v>
      </c>
      <c r="M866" t="n">
        <v>10.78665536636104</v>
      </c>
      <c r="N866" t="inlineStr">
        <is>
          <t>Operationnel</t>
        </is>
      </c>
      <c r="O866" t="inlineStr"/>
      <c r="P866" t="inlineStr">
        <is>
          <t>BSS</t>
        </is>
      </c>
      <c r="Q866" t="inlineStr">
        <is>
          <t>RAN ISSUE</t>
        </is>
      </c>
      <c r="R866" t="inlineStr">
        <is>
          <t>BSS Hardware issue</t>
        </is>
      </c>
      <c r="S866" t="inlineStr">
        <is>
          <t>ACTIVE</t>
        </is>
      </c>
      <c r="T866" t="inlineStr">
        <is>
          <t>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 Observations :
•        Site was unstable due to power because of Generator Overload but actually stable.
•        Blink of board VBP_1_8(PN: 130000207923) due to Board communication link interrupted alarm
Action : FME was on site to implement these below actions the 2026/03/24
•        Reset of board VBP_1_8(PN: 130000207923) : NOK
•        Plug OUT/Plug board : Still NOK after execution
Next Step : FME will replace the board VBP_1_8(PN: 130000207923 || Feeback ZTE : Before replacement, kindly swap the board's position between slot6 and slot 8 and observe. || Feedback IHS : This operation was performed and no change was observed, hence the need for replacement. || Feedback ZTE : According to history alarm, that operation has not been performed. Kindly do it, to confirm whether board requires replacement or not
26/03/2026 : Apres intervention ce jour || la carte VBPe1P est faulty
25/03/2026 : Power issue ||
24/03/2026 : F.O faulty ||FME active || ETA : 13H ||Intervention en cours || Power issue 
23/03/2026 : Need BORAN analysis || Check VBPe1P connectivity….28/03/2026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 Observations :
•        Site was unstable due to power because of Generator Overload but actually stable.
•        Blink of board VBP_1_8(PN: 130000207923) due to Board communication link interrupted alarm
Action : FME was on site to implement these below actions the 2026/03/24
•        Reset of board VBP_1_8(PN: 130000207923) : NOK
•        Plug OUT/Plug board : Still NOK after execution
Next Step : FME will replace the board VBP_1_8(PN: 130000207923 || Feeback ZTE : Before replacement, kindly swap the board's position between slot6 and slot 8 and observe. || Feedback IHS : This operation was performed and no change was observed, hence the need for replacement. || Feedback ZTE : According to history alarm, that operation has not been performed. Kindly do it, to confirm whether board requires replacement or not
26/03/2026 : Apres intervention ce jour || la carte VBPe1P est faulty
25/03/2026 : Power issue ||
24/03/2026 : F.O faulty ||FME active || ETA : 13H ||Intervention en cours || Power issue 
23/03/2026 : Need BORAN analysis || Check VBPe1P connectivity….28/03/2026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 Observations :
•        Site was unstable due to power because of Generator Overload but actually stable.
•        Blink of board VBP_1_8(PN: 130000207923) due to Board communication link interrupted alarm
Action : FME was on site to implement these below actions the 2026/03/24
•        Reset of board VBP_1_8(PN: 130000207923) : NOK
•        Plug OUT/Plug board : Still NOK after execution
Next Step : FME will replace the board VBP_1_8(PN: 130000207923 || Feeback ZTE : Before replacement, kindly swap the board's position between slot6 and slot 8 and observe. || Feedback IHS : This operation was performed and no change was observed, hence the need for replacement. || Feedback ZTE : According to history alarm, that operation has not been performed. Kindly do it, to confirm whether board requires replacement or not
26/03/2026 : Apres intervention ce jour || la carte VBPe1P est faulty
25/03/2026 : Power issue ||
24/03/2026 : F.O faulty ||FME active || ETA : 13H ||Intervention en cours || Power issue 
23/03/2026 : Need BORAN analysis || Check VBPe1P connectivity</t>
        </is>
      </c>
      <c r="U866" t="inlineStr">
        <is>
          <t>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Observations : • Site was unstable due to power because of Generator Overload but actually stable. Blink of board VBP_1_8(PN : 130000207923) due to Board communication link interrupted alarm Action : FME was on site to implement these below actions the 2026/03/24 • Reset of board VBP_1_8(PN : 130000207923) : NOK • Plug OUT/Plug board : Still NOK after execution Next Step : FME will replace the board VBP_1_8(PN : 130000207923 || Feeback ZTE : Before replacement, kindly swap the board's position between slot6 and slot 8 and observe. Feedback IHS : This operation was performed and no change was observed, hence the need for replacement. Feedback ZTE : According to history alarm, that operation has not been performed. Kindly do it, to confirm whether board requires replacement or not 26/03/2026 : Apres intervention ce jour || la carte VBPe1P est faulty 25/03/2026 : Power issue || 24/03/2026 : F.O faulty || FME active || ETA : 13H || Intervention en cours || Power issue 23/03/2026 : Need BORAN analysis || Check VBPe1P connectivity….28/03/2026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Observations : • Site was unstable due to power because of Generator Overload but actually stable. Blink of board VBP_1_8(PN : 130000207923) due to Board communication link interrupted alarm Action : FME was on site to implement these below actions the 2026/03/24 • Reset of board VBP_1_8(PN : 130000207923) : NOK • Plug OUT/Plug board : Still NOK after execution Next Step : FME will replace the board VBP_1_8(PN : 130000207923 || Feeback ZTE : Before replacement, kindly swap the board's position between slot6 and slot 8 and observe. Feedback IHS : This operation was performed and no change was observed, hence the need for replacement. Feedback ZTE : According to history alarm, that operation has not been performed. Kindly do it, to confirm whether board requires replacement or not 26/03/2026 : Apres intervention ce jour || la carte VBPe1P est faulty 25/03/2026 : Power issue || 24/03/2026 : F.O faulty || FME active || ETA : 13H || Intervention en cours || Power issue 23/03/2026 : Need BORAN analysis || Check VBPe1P connectivity….28/03/2026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Observations : • Site was unstable due to power because of Generator Overload but actually stable. Blink of board VBP_1_8(PN : 130000207923) due to Board communication link interrupted alarm Action : FME was on site to implement these below actions the 2026/03/24 • Reset of board VBP_1_8(PN : 130000207923) : NOK • Plug OUT/Plug board : Still NOK after execution Next Step : FME will replace the board VBP_1_8(PN : 130000207923 || Feeback ZTE : Before replacement, kindly swap the board's position between slot6 and slot 8 and observe. Feedback IHS : This operation was performed and no change was observed, hence the need for replacement. Feedback ZTE : According to history alarm, that operation has not been performed. Kindly do it, to confirm whether board requires replacement or not 26/03/2026 : Apres intervention ce jour || la carte VBPe1P est faulty 25/03/2026 : Power issue || 24/03/2026 : F.O faulty || FME active || ETA : 13H || Intervention en cours || Power issue 23/03/2026 : Need BORAN analysis || Check VBPe1P connectivity</t>
        </is>
      </c>
    </row>
    <row r="867">
      <c r="A867" s="96" t="n">
        <v>46142</v>
      </c>
      <c r="B867" t="inlineStr">
        <is>
          <t>Yagoua-Quinf</t>
        </is>
      </c>
      <c r="C867" t="inlineStr">
        <is>
          <t>EXN_069</t>
        </is>
      </c>
      <c r="D867" t="inlineStr"/>
      <c r="E867" t="inlineStr">
        <is>
          <t>IHS</t>
        </is>
      </c>
      <c r="F867" t="inlineStr">
        <is>
          <t>Grid-Gen</t>
        </is>
      </c>
      <c r="G867" t="inlineStr">
        <is>
          <t>EXTREME-NORD</t>
        </is>
      </c>
      <c r="H867" t="inlineStr">
        <is>
          <t>Yagoua</t>
        </is>
      </c>
      <c r="I867" t="inlineStr"/>
      <c r="J867" t="n">
        <v>14.9312674604031</v>
      </c>
      <c r="K867" t="n">
        <v>25.38954255366172</v>
      </c>
      <c r="L867" t="n">
        <v>0.1520204457752475</v>
      </c>
      <c r="M867" t="n">
        <v>10.73502281463218</v>
      </c>
      <c r="N867" t="inlineStr">
        <is>
          <t>INSECURITY</t>
        </is>
      </c>
      <c r="O867" t="inlineStr"/>
      <c r="P867" t="inlineStr">
        <is>
          <t>IHS</t>
        </is>
      </c>
      <c r="Q867" t="inlineStr">
        <is>
          <t>POWER ISSUE</t>
        </is>
      </c>
      <c r="R867" t="inlineStr">
        <is>
          <t>Defaut GE &amp; Power Cabinet</t>
        </is>
      </c>
      <c r="S867" t="inlineStr">
        <is>
          <t>PASSIVE</t>
        </is>
      </c>
      <c r="T867" t="inlineStr">
        <is>
          <t>INC-20260330-00012700.,,2026-03-31 00:40:20.,,IHS; Severin is on site to swap motor block (escalated to L2).,,Auto TT closure RCA.,,GE Fault</t>
        </is>
      </c>
      <c r="U867" t="inlineStr">
        <is>
          <t>2026-03-31 00 : 40 : 20.,,IHS; Severin is on site to swap motor block (escalated to L2).,,Auto TT closure RCA.,,GE Fault</t>
        </is>
      </c>
    </row>
    <row r="868">
      <c r="A868" s="96" t="n">
        <v>46142</v>
      </c>
      <c r="B868" t="inlineStr">
        <is>
          <t>Mbanga-Bakoko-SIC</t>
        </is>
      </c>
      <c r="C868" t="inlineStr">
        <is>
          <t>LIT_614</t>
        </is>
      </c>
      <c r="D868" t="inlineStr"/>
      <c r="E868" t="inlineStr">
        <is>
          <t>IHS</t>
        </is>
      </c>
      <c r="F868" t="inlineStr">
        <is>
          <t>Grid + Gen</t>
        </is>
      </c>
      <c r="G868" t="inlineStr">
        <is>
          <t>LITTORAL</t>
        </is>
      </c>
      <c r="H868" t="inlineStr">
        <is>
          <t>Douala</t>
        </is>
      </c>
      <c r="I868" t="inlineStr"/>
      <c r="J868" t="n">
        <v>4.40381840781107</v>
      </c>
      <c r="K868" t="n">
        <v>4.353267133837225</v>
      </c>
      <c r="L868" t="n">
        <v>15.76682874884813</v>
      </c>
      <c r="M868" t="n">
        <v>10.31252764437139</v>
      </c>
      <c r="N868" t="inlineStr">
        <is>
          <t>Operationnel</t>
        </is>
      </c>
      <c r="O868" t="inlineStr"/>
      <c r="P868" t="inlineStr">
        <is>
          <t>IHS</t>
        </is>
      </c>
      <c r="Q868" t="inlineStr">
        <is>
          <t>POWER ISSUE</t>
        </is>
      </c>
      <c r="R868" t="inlineStr">
        <is>
          <t>Defaut GE &amp; Power Cabinet</t>
        </is>
      </c>
      <c r="S868" t="inlineStr">
        <is>
          <t>PASSIVE</t>
        </is>
      </c>
      <c r="T868" t="inlineStr">
        <is>
          <t xml:space="preserve">INC-20260330-00011605.,,2026-03-30 17:39:39.,,MTN activated for check power status.,,Power issue, generator failure </t>
        </is>
      </c>
      <c r="U868" t="inlineStr">
        <is>
          <t>2026-03-30 17 : 39 : 39.,,MTN activated for check power status.,,Power issue, generator failure</t>
        </is>
      </c>
    </row>
    <row r="869">
      <c r="A869" s="96" t="n">
        <v>46142</v>
      </c>
      <c r="B869" t="inlineStr">
        <is>
          <t>Dumbu</t>
        </is>
      </c>
      <c r="C869" t="inlineStr">
        <is>
          <t>NRO_046</t>
        </is>
      </c>
      <c r="D869" t="inlineStr"/>
      <c r="E869" t="inlineStr">
        <is>
          <t>IHS</t>
        </is>
      </c>
      <c r="F869" t="inlineStr">
        <is>
          <t>Hybrid-Gen</t>
        </is>
      </c>
      <c r="G869" t="inlineStr">
        <is>
          <t>NORD-OUEST</t>
        </is>
      </c>
      <c r="H869" t="inlineStr">
        <is>
          <t>Dumbu</t>
        </is>
      </c>
      <c r="I869" t="inlineStr"/>
      <c r="J869" t="n">
        <v>43.96544146175857</v>
      </c>
      <c r="K869" t="n">
        <v>11.84422080439018</v>
      </c>
      <c r="L869" t="n">
        <v>0</v>
      </c>
      <c r="M869" t="n">
        <v>10.25450251129611</v>
      </c>
      <c r="N869" t="inlineStr">
        <is>
          <t>Insecurity</t>
        </is>
      </c>
      <c r="O869" t="inlineStr"/>
      <c r="P869" t="inlineStr">
        <is>
          <t>PDH</t>
        </is>
      </c>
      <c r="Q869" t="inlineStr">
        <is>
          <t>TX ISSUE</t>
        </is>
      </c>
      <c r="R869" t="inlineStr">
        <is>
          <t>MPR issue</t>
        </is>
      </c>
      <c r="S869" t="inlineStr">
        <is>
          <t>ACTIVE</t>
        </is>
      </c>
      <c r="T869" t="inlineStr">
        <is>
          <t>30/03/2026 : Check breaker and  interconnection(sfp, optical fiber) between system and radio module, swap its if needed ||Ghost town….30/03/2026 : Check breaker and  interconnection(sfp, optical fiber) between system and radio module, swap its if needed ||Ghost town….30/03/2026 : Check breaker and  interconnection(sfp, optical fiber) between system and radio module, swap its if needed ||Ghost town….30/03/2026 : Check breaker and  interconnection(sfp, optical fiber) between system and radio module, swap its if needed ||Ghost town….INC-20260330-00010508.,,Others Transmission equipement fault</t>
        </is>
      </c>
      <c r="U869" t="inlineStr">
        <is>
          <t>30/03/2026 : Check breaker and interconnection(sfp, optical fiber) between system and radio module, swap its if needed || Ghost town….30/03/2026 : Check breaker and interconnection(sfp, optical fiber) between system and radio module, swap its if needed || Ghost town….30/03/2026 : Check breaker and interconnection(sfp, optical fiber) between system and radio module, swap its if needed || Ghost town….30/03/2026 : Check breaker and interconnection(sfp, optical fiber) between system and radio module, swap its if needed || Ghost town….,,</t>
        </is>
      </c>
    </row>
    <row r="870">
      <c r="A870" s="96" t="n">
        <v>46142</v>
      </c>
      <c r="B870" t="inlineStr">
        <is>
          <t>Bertoua-Hopital-IHS</t>
        </is>
      </c>
      <c r="C870" t="inlineStr">
        <is>
          <t>EST_152</t>
        </is>
      </c>
      <c r="D870" t="inlineStr"/>
      <c r="E870" t="inlineStr">
        <is>
          <t>IHS</t>
        </is>
      </c>
      <c r="F870" t="inlineStr">
        <is>
          <t>Grid + Gen</t>
        </is>
      </c>
      <c r="G870" t="inlineStr">
        <is>
          <t>EST</t>
        </is>
      </c>
      <c r="H870" t="inlineStr">
        <is>
          <t>Bertoua</t>
        </is>
      </c>
      <c r="I870" t="inlineStr"/>
      <c r="J870" t="n">
        <v>5.63653785435376</v>
      </c>
      <c r="K870" t="n">
        <v>10.09179994967886</v>
      </c>
      <c r="L870" t="n">
        <v>11.06147959909558</v>
      </c>
      <c r="M870" t="n">
        <v>9.961265776910279</v>
      </c>
      <c r="N870" t="inlineStr">
        <is>
          <t>Operationnel</t>
        </is>
      </c>
      <c r="O870" t="inlineStr"/>
      <c r="P870" t="inlineStr">
        <is>
          <t>IHS</t>
        </is>
      </c>
      <c r="Q870" t="inlineStr">
        <is>
          <t>POWER ISSUE</t>
        </is>
      </c>
      <c r="R870" t="inlineStr">
        <is>
          <t>Defaut GE &amp; Power Cabinet</t>
        </is>
      </c>
      <c r="S870" t="inlineStr">
        <is>
          <t>PASSIVE</t>
        </is>
      </c>
      <c r="T870" t="inlineStr">
        <is>
          <t>INC-20260330-00002769.,,2026-03-30 06:17:43.,,Feedback IHS : fme Magloire is heading to site, ETA 07:10AM.,,power issue.
échec de démarrage du GE après départ Eneo.
ihs à résolu le problème .,,Others Transmission equipement fault</t>
        </is>
      </c>
      <c r="U870" t="inlineStr">
        <is>
          <t>2026-03-30 06 : 17 : 43.,,Feedback IHS : fme Magloire is heading to site, ETA 07 : 10AM.,,power issue. échec de démarrage du GE après départ Eneo. ihs à résolu le problème .,,</t>
        </is>
      </c>
    </row>
    <row r="871">
      <c r="A871" s="96" t="n">
        <v>46142</v>
      </c>
      <c r="B871" t="inlineStr">
        <is>
          <t>Bfsam-Tayim-II</t>
        </is>
      </c>
      <c r="C871" t="inlineStr">
        <is>
          <t>OST_291</t>
        </is>
      </c>
      <c r="D871" t="inlineStr"/>
      <c r="E871" t="inlineStr">
        <is>
          <t>CAMUSAT</t>
        </is>
      </c>
      <c r="F871" t="inlineStr">
        <is>
          <t>Good Grid no GE - 8h</t>
        </is>
      </c>
      <c r="G871" t="inlineStr">
        <is>
          <t>OUEST</t>
        </is>
      </c>
      <c r="H871" t="inlineStr">
        <is>
          <t>Bafoussam</t>
        </is>
      </c>
      <c r="I871" t="inlineStr"/>
      <c r="J871" t="n">
        <v>8.093234056328908</v>
      </c>
      <c r="K871" t="n">
        <v>10.31057364396435</v>
      </c>
      <c r="L871" t="n">
        <v>10.14142244898406</v>
      </c>
      <c r="M871" t="n">
        <v>9.905727343029909</v>
      </c>
      <c r="N871" t="inlineStr">
        <is>
          <t>Operationnel</t>
        </is>
      </c>
      <c r="O871" t="inlineStr"/>
      <c r="P871" t="inlineStr">
        <is>
          <t>AKTIVCO GRID ONLY</t>
        </is>
      </c>
      <c r="Q871" t="inlineStr">
        <is>
          <t>POWER ISSUE</t>
        </is>
      </c>
      <c r="R871" t="inlineStr">
        <is>
          <t>AKTIVCO Coupure ENEO &amp; Baisse de tension</t>
        </is>
      </c>
      <c r="S871" t="inlineStr">
        <is>
          <t>PASSIVE</t>
        </is>
      </c>
      <c r="T871" t="inlineStr">
        <is>
          <t>INC-20260330-00013402.,,Auto TT closure RCA.,,GE Fault</t>
        </is>
      </c>
      <c r="U871" t="inlineStr">
        <is>
          <t>Auto TT closure RCA.,,GE Fault</t>
        </is>
      </c>
    </row>
    <row r="872">
      <c r="A872" s="96" t="n">
        <v>46142</v>
      </c>
      <c r="B872" t="inlineStr">
        <is>
          <t>Darrack-MTN-IHS</t>
        </is>
      </c>
      <c r="C872" t="inlineStr">
        <is>
          <t>EXN_133</t>
        </is>
      </c>
      <c r="D872" t="inlineStr"/>
      <c r="E872" t="inlineStr">
        <is>
          <t>IHS</t>
        </is>
      </c>
      <c r="F872" t="inlineStr">
        <is>
          <t>Solar-Gen</t>
        </is>
      </c>
      <c r="G872" t="inlineStr">
        <is>
          <t>EXTREME-NORD</t>
        </is>
      </c>
      <c r="H872" t="inlineStr">
        <is>
          <t>Darrack</t>
        </is>
      </c>
      <c r="I872" t="inlineStr"/>
      <c r="J872" t="n">
        <v>32.73035489111984</v>
      </c>
      <c r="K872" t="n">
        <v>13.77031120903332</v>
      </c>
      <c r="L872" t="n">
        <v>0</v>
      </c>
      <c r="M872" t="n">
        <v>9.296743952169006</v>
      </c>
      <c r="N872" t="inlineStr">
        <is>
          <t>EXCLU</t>
        </is>
      </c>
      <c r="O872" t="inlineStr">
        <is>
          <t xml:space="preserve"> Site vendalisé,</t>
        </is>
      </c>
      <c r="P872" t="inlineStr">
        <is>
          <t>Exclu</t>
        </is>
      </c>
      <c r="Q872" t="inlineStr">
        <is>
          <t>Exclu</t>
        </is>
      </c>
      <c r="R872" t="inlineStr">
        <is>
          <t>exclu</t>
        </is>
      </c>
      <c r="S872" t="inlineStr">
        <is>
          <t>Exclu</t>
        </is>
      </c>
      <c r="T872" t="inlineStr">
        <is>
          <t>13.02.26: Problème d'énergie. Site vendalisé par Bokom-Haram et pas de possibilité d'y accéder actuellement suite à l'insécurité qui préconise dans la zone; Escalade faite au L5 de IHS
Point escaladé au L5 IHS 
28.01.2026 L4 IHS: As already reported here below the site was vandalized by BH. There is no action that can be taken now due to high security risk in the area. 
26.01.2026 IHS: impossible de faire quoi que ce soit sur site, pas de plan,un courrier est en cours pour informer OCM de la situation | ESCALTION Done to L4
26.01.2026 Retour Romuald: As you can read in the comment , That area has been attacked by the BOKO HARAM and the area is became insecure 
26.01.2026 IHS: Area attaqued by Boko Haram. No one can reach the site now. Awaiting updates.….13.02.26: Problème d'énergie. Site vendalisé par Bokom-Haram et pas de possibilité d'y accéder actuellement suite à l'insécurité qui préconise dans la zone; Escalade faite au L5 de IHS
Point escaladé au L5 IHS 
28.01.2026 L4 IHS: As already reported here below the site was vandalized by BH. There is no action that can be taken now due to high security risk in the area. 
26.01.2026 IHS: impossible de faire quoi que ce soit sur site, pas de plan,un courrier est en cours pour informer OCM de la situation | ESCALTION Done to L4
26.01.2026 Retour Romuald: As you can read in the comment , That area has been attacked by the BOKO HARAM and the area is became insecure 
26.01.2026 IHS: Area attaqued by Boko Haram. No one can reach the site now. Awaiting updates.….13.02.26: Problème d'énergie. Site vendalisé par Bokom-Haram et pas de possibilité d'y accéder actuellement suite à l'insécurité qui préconise dans la zone; Escalade faite au L5 de IHS
Point escaladé au L5 IHS 
28.01.2026 L4 IHS: As already reported here below the site was vandalized by BH. There is no action that can be taken now due to high security risk in the area. 
26.01.2026 IHS: impossible de faire quoi que ce soit sur site, pas de plan,un courrier est en cours pour informer OCM de la situation | ESCALTION Done to L4
26.01.2026 Retour Romuald: As you can read in the comment , That area has been attacked by the BOKO HARAM and the area is became insecure 
26.01.2026 IHS: Area attaqued by Boko Haram. No one can reach the site now. Awaiting updates.</t>
        </is>
      </c>
      <c r="U872" t="inlineStr">
        <is>
          <t>13.02.26 : Problème d'énergie. Site vendalisé par Bokom-Haram et pas de possibilité d'y accéder actuellement suite à l'insécurité qui préconise dans la zone; Escalade faite au L5 de IHS Point escaladé au L5 IHS 28.01.2026 L4 IHS : As already reported here below the site was vandalized by BH. There is no action that can be taken now due to high security risk in the area. 26.01.2026 IHS : impossible de faire quoi que ce soit sur site, pas de plan,un courrier est en cours pour informer OCM de la situation | ESCALTION Done to L4 26.01.2026 Retour Romuald : As you can read in the comment , That area has been attacked by the BOKO HARAM and the area is became insecure 26.01.2026 IHS : Area attaqued by Boko Haram. No one can reach the site now. Awaiting updates.….13.02.26 : Problème d'énergie. Site vendalisé par Bokom-Haram et pas de possibilité d'y accéder actuellement suite à l'insécurité qui préconise dans la zone; Escalade faite au L5 de IHS Point escaladé au L5 IHS 28.01.2026 L4 IHS : As already reported here below the site was vandalized by BH. There is no action that can be taken now due to high security risk in the area. 26.01.2026 IHS : impossible de faire quoi que ce soit sur site, pas de plan,un courrier est en cours pour informer OCM de la situation | ESCALTION Done to L4 26.01.2026 Retour Romuald : As you can read in the comment , That area has been attacked by the BOKO HARAM and the area is became insecure 26.01.2026 IHS : Area attaqued by Boko Haram. No one can reach the site now. Awaiting updates.….13.02.26 : Problème d'énergie. Site vendalisé par Bokom-Haram et pas de possibilité d'y accéder actuellement suite à l'insécurité qui préconise dans la zone; Escalade faite au L5 de IHS Point escaladé au L5 IHS 28.01.2026 L4 IHS : As already reported here below the site was vandalized by BH. There is no action that can be taken now due to high security risk in the area. 26.01.2026 IHS : impossible de faire quoi que ce soit sur site, pas de plan,un courrier est en cours pour informer OCM de la situation | ESCALTION Done to L4 26.01.2026 Retour Romuald : As you can read in the comment , That area has been attacked by the BOKO HARAM and the area is became insecure 26.01.2026 IHS : Area attaqued by Boko Haram. No one can reach the site now. Awaiting updates.</t>
        </is>
      </c>
    </row>
    <row r="873">
      <c r="A873" s="96" t="n">
        <v>46142</v>
      </c>
      <c r="B873" t="inlineStr">
        <is>
          <t>Pinyi-Ngali</t>
        </is>
      </c>
      <c r="C873" t="inlineStr">
        <is>
          <t>NRO_091</t>
        </is>
      </c>
      <c r="D873" t="inlineStr"/>
      <c r="E873" t="inlineStr">
        <is>
          <t>IHS</t>
        </is>
      </c>
      <c r="F873" t="inlineStr">
        <is>
          <t>Solar+ Gen</t>
        </is>
      </c>
      <c r="G873" t="inlineStr">
        <is>
          <t>NORD-OUEST</t>
        </is>
      </c>
      <c r="H873" t="inlineStr">
        <is>
          <t>Pinyi-Ngali</t>
        </is>
      </c>
      <c r="I873" t="inlineStr"/>
      <c r="J873" t="n">
        <v>32.727702604394</v>
      </c>
      <c r="K873" t="n">
        <v>13.77031120903332</v>
      </c>
      <c r="L873" t="n">
        <v>0</v>
      </c>
      <c r="M873" t="n">
        <v>9.296365205869778</v>
      </c>
      <c r="N873" t="inlineStr">
        <is>
          <t>Insecurity</t>
        </is>
      </c>
      <c r="O873" t="inlineStr"/>
      <c r="P873" t="inlineStr">
        <is>
          <t>ACCESS-ISSUE</t>
        </is>
      </c>
      <c r="Q873" t="inlineStr">
        <is>
          <t>ACCESS-ISSUE</t>
        </is>
      </c>
      <c r="R873" t="inlineStr">
        <is>
          <t>ACCESS-ISSUE</t>
        </is>
      </c>
      <c r="S873" t="inlineStr">
        <is>
          <t>ACCESS-ISSUE</t>
        </is>
      </c>
      <c r="T873" t="inlineStr">
        <is>
          <t xml:space="preserve">
30/03/2026 :Ghost town
29/03/2026 : Check breaker and  interconnection(sfp, optical fiber) between system and radio module, swap its if needed  || Negoiation d'access en cours ….
30/03/2026 :Ghost town
29/03/2026 : Check breaker and  interconnection(sfp, optical fiber) between system and radio module, swap its if needed  || Negoiation d'access en cours ….
30/03/2026 :Ghost town
29/03/2026 : Check breaker and  interconnection(sfp, optical fiber) between system and radio module, swap its if needed  || Negoiation d'access en cours ….
30/03/2026 :Ghost town
29/03/2026 : Check breaker and  interconnection(sfp, optical fiber) between system and radio module, swap its if needed  || Negoiation d'access en cours </t>
        </is>
      </c>
      <c r="U873" t="inlineStr">
        <is>
          <t>30/03/2026 : Ghost town 29/03/2026 : Check breaker and interconnection(sfp, optical fiber) between system and radio module, swap its if needed || Negoiation d'access en cours …. 30/03/2026 : Ghost town 29/03/2026 : Check breaker and interconnection(sfp, optical fiber) between system and radio module, swap its if needed || Negoiation d'access en cours …. 30/03/2026 : Ghost town 29/03/2026 : Check breaker and interconnection(sfp, optical fiber) between system and radio module, swap its if needed || Negoiation d'access en cours …. 30/03/2026 : Ghost town 29/03/2026 : Check breaker and interconnection(sfp, optical fiber) between system and radio module, swap its if needed || Negoiation d'access en cours</t>
        </is>
      </c>
    </row>
    <row r="874">
      <c r="A874" s="96" t="n">
        <v>46142</v>
      </c>
      <c r="B874" t="inlineStr">
        <is>
          <t>Binka-IHS</t>
        </is>
      </c>
      <c r="C874" t="inlineStr">
        <is>
          <t>NRO_023</t>
        </is>
      </c>
      <c r="D874" t="inlineStr"/>
      <c r="E874" t="inlineStr">
        <is>
          <t>IHS</t>
        </is>
      </c>
      <c r="F874" t="inlineStr">
        <is>
          <t>Gen Only</t>
        </is>
      </c>
      <c r="G874" t="inlineStr">
        <is>
          <t>NORD-OUEST</t>
        </is>
      </c>
      <c r="H874" t="inlineStr">
        <is>
          <t>Binka</t>
        </is>
      </c>
      <c r="I874" t="inlineStr"/>
      <c r="J874" t="n">
        <v>32.727702604394</v>
      </c>
      <c r="K874" t="n">
        <v>13.77031120903332</v>
      </c>
      <c r="L874" t="n">
        <v>0</v>
      </c>
      <c r="M874" t="n">
        <v>9.296365205869778</v>
      </c>
      <c r="N874" t="inlineStr">
        <is>
          <t>Insecurity</t>
        </is>
      </c>
      <c r="O874" t="inlineStr"/>
      <c r="P874" t="inlineStr">
        <is>
          <t>ACCESS-ISSUE</t>
        </is>
      </c>
      <c r="Q874" t="inlineStr">
        <is>
          <t>ACCESS-ISSUE</t>
        </is>
      </c>
      <c r="R874" t="inlineStr">
        <is>
          <t>ACCESS-ISSUE</t>
        </is>
      </c>
      <c r="S874" t="inlineStr">
        <is>
          <t>ACCESS-ISSUE</t>
        </is>
      </c>
      <c r="T874" t="inlineStr">
        <is>
          <t>30.03.2026: FME Donald activated is managing. No ETA Site Under NOSO Area
29.03.2026: FME Donald activated is managing. No ETA Site Under NOSO Area
29.03.2026: MRBTS_L18L8L26 DOwn. Need FME on the site to check his status and interco with MPR(S1P2)
28.03.2026 IHS: FME Roland managing with level 0 due to insecurity….30.03.2026: FME Donald activated Ghost town today
29.03.2026: FME Donald activated is managing. No ETA Site Under NOSO Area
29.03.2026: MRBTS_L18L8L26 DOwn. Need FME on the site to check his status and interco with MPR(S1P2)
28.03.2026 IHS: FME Roland managing with level 0 due to insecurity….29.03.2026: FME Donald activated is managing. No ETA Site Under NOSO Area
29.03.2026: MRBTS_L18L8L26 DOwn. Need FME on the site to check his status and interco with MPR(S1P2)
28.03.2026 IHS: FME Roland managing with level 0 due to insecurity….INC-20260330-00014827.,,GE Fault</t>
        </is>
      </c>
      <c r="U874" t="inlineStr">
        <is>
          <t>30.03.2026 : FME Donald activated is managing. No ETA Site Under NOSO Area 29.03.2026 : FME Donald activated is managing. No ETA Site Under NOSO Area 29.03.2026 : MRBTS_L18L8L26 DOwn. Need FME on the site to check his status and interco with MPR(S1P2) 28.03.2026 IHS : FME Roland managing with level 0 due to insecurity….30.03.2026 : FME Donald activated Ghost town today 29.03.2026 : FME Donald activated is managing. No ETA Site Under NOSO Area 29.03.2026 : MRBTS_L18L8L26 DOwn. Need FME on the site to check his status and interco with MPR(S1P2) 28.03.2026 IHS : FME Roland managing with level 0 due to insecurity….29.03.2026 : FME Donald activated is managing. No ETA Site Under NOSO Area 29.03.2026 : MRBTS_L18L8L26 DOwn. Need FME on the site to check his status and interco with MPR(S1P2) 28.03.2026 IHS : FME Roland managing with level 0 due to insecurity….,,GE Fault</t>
        </is>
      </c>
    </row>
    <row r="875">
      <c r="A875" s="96" t="n">
        <v>46142</v>
      </c>
      <c r="B875" t="inlineStr">
        <is>
          <t>Ndu-Mbakfu-IHS</t>
        </is>
      </c>
      <c r="C875" t="inlineStr">
        <is>
          <t>NRO_089</t>
        </is>
      </c>
      <c r="D875" t="inlineStr"/>
      <c r="E875" t="inlineStr">
        <is>
          <t>IHS</t>
        </is>
      </c>
      <c r="F875" t="inlineStr">
        <is>
          <t>Hybrid-Gen</t>
        </is>
      </c>
      <c r="G875" t="inlineStr">
        <is>
          <t>NORD-OUEST</t>
        </is>
      </c>
      <c r="H875" t="inlineStr">
        <is>
          <t>Ndu-Mbakfu</t>
        </is>
      </c>
      <c r="I875" t="inlineStr"/>
      <c r="J875" t="n">
        <v>32.727702604394</v>
      </c>
      <c r="K875" t="n">
        <v>13.77031120903332</v>
      </c>
      <c r="L875" t="n">
        <v>0</v>
      </c>
      <c r="M875" t="n">
        <v>9.296365205869778</v>
      </c>
      <c r="N875" t="inlineStr">
        <is>
          <t>Insecurity</t>
        </is>
      </c>
      <c r="O875" t="inlineStr"/>
      <c r="P875" t="inlineStr">
        <is>
          <t>PDH</t>
        </is>
      </c>
      <c r="Q875" t="inlineStr">
        <is>
          <t>TX ISSUE</t>
        </is>
      </c>
      <c r="R875" t="inlineStr">
        <is>
          <t>MPR issue</t>
        </is>
      </c>
      <c r="S875" t="inlineStr">
        <is>
          <t>ACTIVE</t>
        </is>
      </c>
      <c r="T875" t="inlineStr">
        <is>
          <t>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t>
        </is>
      </c>
      <c r="U875" t="inlineStr">
        <is>
          <t>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t>
        </is>
      </c>
    </row>
    <row r="876">
      <c r="A876" s="96" t="n">
        <v>46142</v>
      </c>
      <c r="B876" t="inlineStr">
        <is>
          <t>Bamenda-Bayelle-MTN</t>
        </is>
      </c>
      <c r="C876" t="inlineStr">
        <is>
          <t>NRO_112</t>
        </is>
      </c>
      <c r="D876" t="inlineStr"/>
      <c r="E876" t="inlineStr">
        <is>
          <t>MTN sharing</t>
        </is>
      </c>
      <c r="F876" t="inlineStr"/>
      <c r="G876" t="inlineStr">
        <is>
          <t>NORD-OUEST</t>
        </is>
      </c>
      <c r="H876" t="inlineStr">
        <is>
          <t>Bamenda</t>
        </is>
      </c>
      <c r="I876" t="inlineStr"/>
      <c r="J876" t="n">
        <v>8.298062819482912</v>
      </c>
      <c r="K876" t="n">
        <v>10.98416074203277</v>
      </c>
      <c r="L876" t="n">
        <v>6.941640017773226</v>
      </c>
      <c r="M876" t="n">
        <v>8.492457902081139</v>
      </c>
      <c r="N876" t="inlineStr">
        <is>
          <t>Operationnel</t>
        </is>
      </c>
      <c r="O876" t="inlineStr"/>
      <c r="P876" t="inlineStr">
        <is>
          <t>Partners</t>
        </is>
      </c>
      <c r="Q876" t="inlineStr">
        <is>
          <t>POWER ISSUE</t>
        </is>
      </c>
      <c r="R876" t="inlineStr">
        <is>
          <t>Sharing</t>
        </is>
      </c>
      <c r="S876" t="inlineStr">
        <is>
          <t>PASSIVE</t>
        </is>
      </c>
      <c r="T876" t="inlineStr">
        <is>
          <t xml:space="preserve">Power status check ongoing….INC-20260330-00002893.,,2026-03-30 06:28:11.,,Power issue on site, MTN is activated to solve issue.,,power instability on site. power team is informed </t>
        </is>
      </c>
      <c r="U876" t="inlineStr">
        <is>
          <t>Power status check ongoing….,,2026-03-30 06 : 28 : 11.,,Power issue on site, MTN is activated to solve issue.,,power instability on site. power team is informed</t>
        </is>
      </c>
    </row>
    <row r="877">
      <c r="A877" s="96" t="n">
        <v>46142</v>
      </c>
      <c r="B877" t="inlineStr">
        <is>
          <t>Mvam-Yetom</t>
        </is>
      </c>
      <c r="C877" t="inlineStr">
        <is>
          <t>CTR_860</t>
        </is>
      </c>
      <c r="D877" t="inlineStr"/>
      <c r="E877" t="inlineStr">
        <is>
          <t>ESCO</t>
        </is>
      </c>
      <c r="F877" t="inlineStr">
        <is>
          <t>Hybrid Solar - S2</t>
        </is>
      </c>
      <c r="G877" t="inlineStr">
        <is>
          <t>CTR</t>
        </is>
      </c>
      <c r="H877" t="inlineStr">
        <is>
          <t>Mvam-Yetom</t>
        </is>
      </c>
      <c r="I877" t="inlineStr"/>
      <c r="J877" t="n">
        <v>17.98364069547505</v>
      </c>
      <c r="K877" t="n">
        <v>0</v>
      </c>
      <c r="L877" t="n">
        <v>10.63130790799073</v>
      </c>
      <c r="M877" t="n">
        <v>8.112167663875329</v>
      </c>
      <c r="N877" t="inlineStr"/>
      <c r="O877" t="inlineStr"/>
      <c r="P877" t="inlineStr">
        <is>
          <t>PDH</t>
        </is>
      </c>
      <c r="Q877" t="inlineStr">
        <is>
          <t>TX ISSUE</t>
        </is>
      </c>
      <c r="R877" t="inlineStr">
        <is>
          <t>ODU HS</t>
        </is>
      </c>
      <c r="S877" t="inlineStr">
        <is>
          <t>ACTIVE</t>
        </is>
      </c>
      <c r="T877" t="inlineStr">
        <is>
          <t>30/03/2026 FME activé eta asap
Besoin d'un fme sur site sur BIBA_MTN pour verifier l ODU direction CTR_860_N_Mvam-Yetom….30/03/2026 FME activé eta asap
Besoin d'un fme sur site sur BIBA_MTN pour verifier l ODU direction CTR_860_N_Mvam-Yetom….Power status check ongoing</t>
        </is>
      </c>
      <c r="U877" t="inlineStr">
        <is>
          <t>30/03/2026 FME activé eta asap Besoin d'un fme sur site sur BIBA_MTN pour verifier l ODU direction CTR_860_N_Mvam-Yetom….30/03/2026 FME activé eta asap Besoin d'un fme sur site sur BIBA_MTN pour verifier l ODU direction CTR_860_N_Mvam-Yetom….Power status check ongoing</t>
        </is>
      </c>
    </row>
    <row r="878">
      <c r="A878" s="96" t="n">
        <v>46142</v>
      </c>
      <c r="B878" t="inlineStr">
        <is>
          <t>Korek-Djarengol-II</t>
        </is>
      </c>
      <c r="C878" t="inlineStr">
        <is>
          <t>EXN_235</t>
        </is>
      </c>
      <c r="D878" t="inlineStr"/>
      <c r="E878" t="inlineStr">
        <is>
          <t>CAMUSAT</t>
        </is>
      </c>
      <c r="F878" t="inlineStr">
        <is>
          <t>Bad Grid + GE</t>
        </is>
      </c>
      <c r="G878" t="inlineStr">
        <is>
          <t>EXTREME-NORD</t>
        </is>
      </c>
      <c r="H878" t="inlineStr">
        <is>
          <t>Maroua</t>
        </is>
      </c>
      <c r="I878" t="inlineStr"/>
      <c r="J878" t="n">
        <v>11.12007861427846</v>
      </c>
      <c r="K878" t="n">
        <v>14.28924793700338</v>
      </c>
      <c r="L878" t="n">
        <v>2.469263483683434</v>
      </c>
      <c r="M878" t="n">
        <v>7.67270419737867</v>
      </c>
      <c r="N878" t="inlineStr">
        <is>
          <t>Operationnel</t>
        </is>
      </c>
      <c r="O878" t="inlineStr"/>
      <c r="P878" t="inlineStr">
        <is>
          <t>AKTIVCO</t>
        </is>
      </c>
      <c r="Q878" t="inlineStr">
        <is>
          <t>POWER ISSUE</t>
        </is>
      </c>
      <c r="R878" t="inlineStr">
        <is>
          <t>AKTIVCO Defaut GE &amp; Power Cabinet</t>
        </is>
      </c>
      <c r="S878" t="inlineStr">
        <is>
          <t>PASSIVE</t>
        </is>
      </c>
      <c r="T878" t="inlineStr">
        <is>
          <t>Power status check ongoing….Power status check ongoing….Power status check ongoing….INC-20260330-00009942.,,GE Fault</t>
        </is>
      </c>
      <c r="U878" t="inlineStr">
        <is>
          <t>Power status check ongoing….Power status check ongoing….Power status check ongoing….,,GE Fault</t>
        </is>
      </c>
    </row>
    <row r="879">
      <c r="A879" s="96" t="n">
        <v>46142</v>
      </c>
      <c r="B879" t="inlineStr">
        <is>
          <t>Fraternite-Adama_Ekombitie-III</t>
        </is>
      </c>
      <c r="C879" t="inlineStr">
        <is>
          <t>CTR_849</t>
        </is>
      </c>
      <c r="D879" t="inlineStr"/>
      <c r="E879" t="inlineStr">
        <is>
          <t>CAMUSAT</t>
        </is>
      </c>
      <c r="F879" t="inlineStr">
        <is>
          <t>Good Grid no GE - 8h</t>
        </is>
      </c>
      <c r="G879" t="inlineStr">
        <is>
          <t>CENTRE</t>
        </is>
      </c>
      <c r="H879" t="inlineStr">
        <is>
          <t>Yaounde</t>
        </is>
      </c>
      <c r="I879" t="inlineStr"/>
      <c r="J879" t="n">
        <v>3.714269870388355</v>
      </c>
      <c r="K879" t="n">
        <v>3.294674459642788</v>
      </c>
      <c r="L879" t="n">
        <v>11.08090538384257</v>
      </c>
      <c r="M879" t="n">
        <v>7.415022985848938</v>
      </c>
      <c r="N879" t="inlineStr">
        <is>
          <t>Operationnel</t>
        </is>
      </c>
      <c r="O879" t="inlineStr"/>
      <c r="P879" t="inlineStr">
        <is>
          <t>AKTIVCO GRID ONLY</t>
        </is>
      </c>
      <c r="Q879" t="inlineStr">
        <is>
          <t>POWER ISSUE</t>
        </is>
      </c>
      <c r="R879" t="inlineStr">
        <is>
          <t>AKTIVCO Coupure ENEO &amp; Baisse de tension</t>
        </is>
      </c>
      <c r="S879" t="inlineStr">
        <is>
          <t>PASSIVE</t>
        </is>
      </c>
      <c r="T879" t="inlineStr">
        <is>
          <t>INC-20260330-00013883.,,2026-03-30 20:40:59.,,Grid outage, Grid only site / Grid return awaited</t>
        </is>
      </c>
      <c r="U879" t="inlineStr">
        <is>
          <t>2026-03-30 20 : 40 : 59.,,Grid outage, Grid only site / Grid return awaited</t>
        </is>
      </c>
    </row>
    <row r="880">
      <c r="A880" s="96" t="n">
        <v>46142</v>
      </c>
      <c r="B880" t="inlineStr">
        <is>
          <t>GP-Etoudi</t>
        </is>
      </c>
      <c r="C880" t="inlineStr">
        <is>
          <t>CTR_735</t>
        </is>
      </c>
      <c r="D880" t="inlineStr"/>
      <c r="E880" t="inlineStr">
        <is>
          <t>CAMUSAT</t>
        </is>
      </c>
      <c r="F880" t="inlineStr">
        <is>
          <t>Good Grid no GE - 12h</t>
        </is>
      </c>
      <c r="G880" t="inlineStr">
        <is>
          <t>CENTRE</t>
        </is>
      </c>
      <c r="H880" t="inlineStr">
        <is>
          <t>Yaounde</t>
        </is>
      </c>
      <c r="I880" t="inlineStr"/>
      <c r="J880" t="n">
        <v>6.393280217737971</v>
      </c>
      <c r="K880" t="n">
        <v>5.374087079367994</v>
      </c>
      <c r="L880" t="n">
        <v>8.913528171218319</v>
      </c>
      <c r="M880" t="n">
        <v>7.365405797969939</v>
      </c>
      <c r="N880" t="inlineStr">
        <is>
          <t>Operationnel</t>
        </is>
      </c>
      <c r="O880" t="inlineStr"/>
      <c r="P880" t="inlineStr">
        <is>
          <t>AKTIVCO GRID ONLY</t>
        </is>
      </c>
      <c r="Q880" t="inlineStr">
        <is>
          <t>POWER ISSUE</t>
        </is>
      </c>
      <c r="R880" t="inlineStr">
        <is>
          <t>AKTIVCO Coupure ENEO &amp; Baisse de tension</t>
        </is>
      </c>
      <c r="S880" t="inlineStr">
        <is>
          <t>PASSIVE</t>
        </is>
      </c>
      <c r="T880" t="inlineStr">
        <is>
          <t>Power status check ongoing….Power status check ongoing….INC-20260330-00016103.,,2026-03-31 00:26:40.,,Grid outage, Grid only site / Grid return awaited.,,Others Transmission equipement fault</t>
        </is>
      </c>
      <c r="U880" t="inlineStr">
        <is>
          <t>Power status check ongoing….Power status check ongoing….,,2026-03-31 00 : 26 : 40.,,Grid outage, Grid only site / Grid return awaited.,,</t>
        </is>
      </c>
    </row>
    <row r="881">
      <c r="A881" s="96" t="n">
        <v>46142</v>
      </c>
      <c r="B881" t="inlineStr">
        <is>
          <t>Koza-MTN</t>
        </is>
      </c>
      <c r="C881" t="inlineStr">
        <is>
          <t>EXN_043</t>
        </is>
      </c>
      <c r="D881" t="inlineStr"/>
      <c r="E881" t="inlineStr">
        <is>
          <t>IHS</t>
        </is>
      </c>
      <c r="F881" t="inlineStr">
        <is>
          <t>Grid-Gen</t>
        </is>
      </c>
      <c r="G881" t="inlineStr">
        <is>
          <t>EXTREME-NORD</t>
        </is>
      </c>
      <c r="H881" t="inlineStr">
        <is>
          <t>Koza</t>
        </is>
      </c>
      <c r="I881" t="inlineStr"/>
      <c r="J881" t="n">
        <v>25.96411885477795</v>
      </c>
      <c r="K881" t="n">
        <v>9.083512191710273</v>
      </c>
      <c r="L881" t="n">
        <v>0</v>
      </c>
      <c r="M881" t="n">
        <v>6.75711358403309</v>
      </c>
      <c r="N881" t="inlineStr">
        <is>
          <t>Insecurity</t>
        </is>
      </c>
      <c r="O881" t="inlineStr"/>
      <c r="P881" t="inlineStr">
        <is>
          <t>IHS</t>
        </is>
      </c>
      <c r="Q881" t="inlineStr">
        <is>
          <t>POWER ISSUE</t>
        </is>
      </c>
      <c r="R881" t="inlineStr">
        <is>
          <t>Defaut GE &amp; Power Cabinet</t>
        </is>
      </c>
      <c r="S881" t="inlineStr">
        <is>
          <t>PASSIVE</t>
        </is>
      </c>
      <c r="T881" t="inlineStr">
        <is>
          <t>30/03/2026 : need BO RAN analysis ||  Closed after reset but Power check requested….Power status check ongoing….INC-20260330-00008804.,,2026-03-30 16:49:04.,,No Power Issue on Site U = 53.9V and site is on Grid. TX FME Abbis 690677017 / Huawei is informed..,,GE Fault</t>
        </is>
      </c>
      <c r="U881" t="inlineStr">
        <is>
          <t>30/03/2026 : need BO RAN analysis || Closed after reset but Power check requested….Power status check ongoing….,,2026-03-30 16 : 49 : 04.,,No Power Issue on Site U = 53.9V and site is on Grid. TX FME Abbis 690677017 / Huawei is informed.,,GE Fault</t>
        </is>
      </c>
    </row>
    <row r="882">
      <c r="A882" s="96" t="n">
        <v>46142</v>
      </c>
      <c r="B882" t="inlineStr">
        <is>
          <t>Buea-Bakwere-Town-MTN</t>
        </is>
      </c>
      <c r="C882" t="inlineStr">
        <is>
          <t>SUO_222</t>
        </is>
      </c>
      <c r="D882" t="inlineStr"/>
      <c r="E882" t="inlineStr">
        <is>
          <t>MTN sharing</t>
        </is>
      </c>
      <c r="F882" t="inlineStr"/>
      <c r="G882" t="inlineStr">
        <is>
          <t>SUD-OUEST</t>
        </is>
      </c>
      <c r="H882" t="inlineStr">
        <is>
          <t>Buea</t>
        </is>
      </c>
      <c r="I882" t="inlineStr"/>
      <c r="J882" t="n">
        <v>0</v>
      </c>
      <c r="K882" t="n">
        <v>14.34673048610899</v>
      </c>
      <c r="L882" t="n">
        <v>3.126764736783353</v>
      </c>
      <c r="M882" t="n">
        <v>6.446934934780686</v>
      </c>
      <c r="N882" t="inlineStr">
        <is>
          <t>Operationnel</t>
        </is>
      </c>
      <c r="O882" t="inlineStr"/>
      <c r="P882" t="inlineStr">
        <is>
          <t>Partners</t>
        </is>
      </c>
      <c r="Q882" t="inlineStr">
        <is>
          <t>POWER ISSUE</t>
        </is>
      </c>
      <c r="R882" t="inlineStr">
        <is>
          <t>Sharing</t>
        </is>
      </c>
      <c r="S882" t="inlineStr">
        <is>
          <t>PASSIVE</t>
        </is>
      </c>
      <c r="T882" t="inlineStr">
        <is>
          <t>26/03/2026 : PWC faulty
23/03/2026 : Power instability || Mail sent to MTN….26/03/2026 : PWC faulty
23/03/2026 : Power instability || Mail sent to MTN</t>
        </is>
      </c>
      <c r="U882" t="inlineStr">
        <is>
          <t>26/03/2026 : PWC faulty 23/03/2026 : Power instability || Mail sent to MTN….26/03/2026 : PWC faulty 23/03/2026 : Power instability || Mail sent to MTN</t>
        </is>
      </c>
    </row>
    <row r="883">
      <c r="A883" s="96" t="n">
        <v>46142</v>
      </c>
      <c r="B883" t="inlineStr">
        <is>
          <t>Matsari</t>
        </is>
      </c>
      <c r="C883" t="inlineStr">
        <is>
          <t>CTR_301</t>
        </is>
      </c>
      <c r="D883" t="inlineStr"/>
      <c r="E883" t="inlineStr">
        <is>
          <t>IHS</t>
        </is>
      </c>
      <c r="F883" t="inlineStr">
        <is>
          <t>Hybrid-Gen</t>
        </is>
      </c>
      <c r="G883" t="inlineStr">
        <is>
          <t>CENTRE</t>
        </is>
      </c>
      <c r="H883" t="inlineStr">
        <is>
          <t>Matsari</t>
        </is>
      </c>
      <c r="I883" t="inlineStr"/>
      <c r="J883" t="n">
        <v>11.50006264448648</v>
      </c>
      <c r="K883" t="n">
        <v>4.7707328185617</v>
      </c>
      <c r="L883" t="n">
        <v>5.920829107169771</v>
      </c>
      <c r="M883" t="n">
        <v>6.33144255114386</v>
      </c>
      <c r="N883" t="inlineStr">
        <is>
          <t>Operationnel</t>
        </is>
      </c>
      <c r="O883" t="inlineStr"/>
      <c r="P883" t="inlineStr">
        <is>
          <t>PDH</t>
        </is>
      </c>
      <c r="Q883" t="inlineStr">
        <is>
          <t>TX ISSUE</t>
        </is>
      </c>
      <c r="R883" t="inlineStr">
        <is>
          <t>MPR issue</t>
        </is>
      </c>
      <c r="S883" t="inlineStr">
        <is>
          <t>ACTIVE</t>
        </is>
      </c>
      <c r="T883" t="inlineStr">
        <is>
          <t xml:space="preserve">30/03/2026 :Intervention ce jour 
29/03/2026 :FME active 
28/03/2026 : Check breaker and  interconnection(sfp, optical fiber) between system and radio module, swap its if needed || FME active intervention apres Nyanon  ….30/03/2026 :Intervention ce jour 
29/03/2026 :FME active 
28/03/2026 : Check breaker and  interconnection(sfp, optical fiber) between system and radio module, swap its if needed || FME active intervention apres Nyanon  ….30/03/2026 :Intervention ce jour 
29/03/2026 :FME active 
28/03/2026 : Check breaker and  interconnection(sfp, optical fiber) between system and radio module, swap its if needed || FME active intervention apres Nyanon  ….30/03/2026 :Intervention ce jour 
29/03/2026 :FME active 
28/03/2026 : Check breaker and  interconnection(sfp, optical fiber) between system and radio module, swap its if needed || FME active intervention apres Nyanon  </t>
        </is>
      </c>
      <c r="U883" t="inlineStr">
        <is>
          <t>30/03/2026 : Intervention ce jour 29/03/2026 : FME active 28/03/2026 : Check breaker and interconnection(sfp, optical fiber) between system and radio module, swap its if needed || FME active intervention apres Nyanon ….30/03/2026 : Intervention ce jour 29/03/2026 : FME active 28/03/2026 : Check breaker and interconnection(sfp, optical fiber) between system and radio module, swap its if needed || FME active intervention apres Nyanon ….30/03/2026 : Intervention ce jour 29/03/2026 : FME active 28/03/2026 : Check breaker and interconnection(sfp, optical fiber) between system and radio module, swap its if needed || FME active intervention apres Nyanon ….30/03/2026 : Intervention ce jour 29/03/2026 : FME active 28/03/2026 : Check breaker and interconnection(sfp, optical fiber) between system and radio module, swap its if needed || FME active intervention apres Nyanon</t>
        </is>
      </c>
    </row>
    <row r="884">
      <c r="A884" s="96" t="n">
        <v>46142</v>
      </c>
      <c r="B884" t="inlineStr">
        <is>
          <t>Ancienne-Mairie-Dla-V</t>
        </is>
      </c>
      <c r="C884" t="inlineStr">
        <is>
          <t>LIT_771</t>
        </is>
      </c>
      <c r="D884" t="inlineStr"/>
      <c r="E884" t="inlineStr">
        <is>
          <t>CAMUSAT</t>
        </is>
      </c>
      <c r="F884" t="inlineStr">
        <is>
          <t>Good Grid + GE</t>
        </is>
      </c>
      <c r="G884" t="inlineStr">
        <is>
          <t>LITTORAL</t>
        </is>
      </c>
      <c r="H884" t="inlineStr">
        <is>
          <t>Douala</t>
        </is>
      </c>
      <c r="I884" t="inlineStr"/>
      <c r="J884" t="n">
        <v>4.350987574387812</v>
      </c>
      <c r="K884" t="n">
        <v>3.779716671596778</v>
      </c>
      <c r="L884" t="n">
        <v>8.159410999262368</v>
      </c>
      <c r="M884" t="n">
        <v>6.145254585041934</v>
      </c>
      <c r="N884" t="inlineStr">
        <is>
          <t>Operationnel</t>
        </is>
      </c>
      <c r="O884" t="inlineStr"/>
      <c r="P884" t="inlineStr">
        <is>
          <t>AKTIVCO</t>
        </is>
      </c>
      <c r="Q884" t="inlineStr">
        <is>
          <t>POWER ISSUE</t>
        </is>
      </c>
      <c r="R884" t="inlineStr">
        <is>
          <t>AKTIVCO Defaut GE &amp; Power Cabinet</t>
        </is>
      </c>
      <c r="S884" t="inlineStr">
        <is>
          <t>PASSIVE</t>
        </is>
      </c>
      <c r="T884" t="inlineStr">
        <is>
          <t>Power status check ongoing….INC-20260330-00004679.,,GE Fault</t>
        </is>
      </c>
      <c r="U884" t="inlineStr">
        <is>
          <t>Power status check ongoing….,,GE Fault</t>
        </is>
      </c>
    </row>
    <row r="885">
      <c r="A885" s="96" t="n">
        <v>46142</v>
      </c>
      <c r="B885" t="inlineStr">
        <is>
          <t>Nkambe-Entrance-IHS</t>
        </is>
      </c>
      <c r="C885" t="inlineStr">
        <is>
          <t>NRO_090</t>
        </is>
      </c>
      <c r="D885" t="inlineStr"/>
      <c r="E885" t="inlineStr">
        <is>
          <t>IHS</t>
        </is>
      </c>
      <c r="F885" t="inlineStr">
        <is>
          <t>Grid-Gen</t>
        </is>
      </c>
      <c r="G885" t="inlineStr">
        <is>
          <t>NORD-OUEST</t>
        </is>
      </c>
      <c r="H885" t="inlineStr">
        <is>
          <t>Nkambe</t>
        </is>
      </c>
      <c r="I885" t="inlineStr"/>
      <c r="J885" t="n">
        <v>2.354093918230758</v>
      </c>
      <c r="K885" t="n">
        <v>5.055223623053879</v>
      </c>
      <c r="L885" t="n">
        <v>7.802599005837585</v>
      </c>
      <c r="M885" t="n">
        <v>6.102227378806561</v>
      </c>
      <c r="N885" t="inlineStr">
        <is>
          <t>Insecurity</t>
        </is>
      </c>
      <c r="O885" t="inlineStr"/>
      <c r="P885" t="inlineStr">
        <is>
          <t>PDH</t>
        </is>
      </c>
      <c r="Q885" t="inlineStr">
        <is>
          <t>TX ISSUE</t>
        </is>
      </c>
      <c r="R885" t="inlineStr">
        <is>
          <t>MPR issue</t>
        </is>
      </c>
      <c r="S885" t="inlineStr">
        <is>
          <t>ACTIVE</t>
        </is>
      </c>
      <c r="T885" t="inlineStr">
        <is>
          <t>INC-20260330-00015124.,,Others Transmission equipement fault</t>
        </is>
      </c>
      <c r="U885" t="inlineStr"/>
    </row>
    <row r="886">
      <c r="A886" s="96" t="n">
        <v>46142</v>
      </c>
      <c r="B886" t="inlineStr">
        <is>
          <t>Buea-Bomaka-III-MTN</t>
        </is>
      </c>
      <c r="C886" t="inlineStr">
        <is>
          <t>SUO_169</t>
        </is>
      </c>
      <c r="D886" t="inlineStr"/>
      <c r="E886" t="inlineStr">
        <is>
          <t>MTN sharing</t>
        </is>
      </c>
      <c r="F886" t="inlineStr"/>
      <c r="G886" t="inlineStr">
        <is>
          <t>SUD-OUEST</t>
        </is>
      </c>
      <c r="H886" t="inlineStr">
        <is>
          <t>Buea</t>
        </is>
      </c>
      <c r="I886" t="inlineStr"/>
      <c r="J886" t="n">
        <v>0</v>
      </c>
      <c r="K886" t="n">
        <v>5.579047961483929</v>
      </c>
      <c r="L886" t="n">
        <v>8.075722803354148</v>
      </c>
      <c r="M886" t="n">
        <v>6.084347792588026</v>
      </c>
      <c r="N886" t="inlineStr">
        <is>
          <t>Operationnel</t>
        </is>
      </c>
      <c r="O886" t="inlineStr"/>
      <c r="P886" t="inlineStr">
        <is>
          <t>Partners</t>
        </is>
      </c>
      <c r="Q886" t="inlineStr">
        <is>
          <t>POWER ISSUE</t>
        </is>
      </c>
      <c r="R886" t="inlineStr">
        <is>
          <t>Sharing</t>
        </is>
      </c>
      <c r="S886" t="inlineStr">
        <is>
          <t>PASSIVE</t>
        </is>
      </c>
      <c r="T886" t="inlineStr">
        <is>
          <t>Power status check ongoing….INC-20260330-00010747.,,2026-03-30 17:17:17.,,MTN, plz check the power status.,,Grid outage, no backup available. .,,Others</t>
        </is>
      </c>
      <c r="U886" t="inlineStr">
        <is>
          <t>Power status check ongoing….,,2026-03-30 17 : 17 : 17.,,MTN, plz check the power status.,,Grid outage, no backup available. Others</t>
        </is>
      </c>
    </row>
    <row r="887">
      <c r="A887" s="96" t="n">
        <v>46142</v>
      </c>
      <c r="B887" t="inlineStr">
        <is>
          <t>Etoa-Meki-II</t>
        </is>
      </c>
      <c r="C887" t="inlineStr">
        <is>
          <t>CTR_682</t>
        </is>
      </c>
      <c r="D887" t="inlineStr"/>
      <c r="E887" t="inlineStr">
        <is>
          <t>CAMUSAT</t>
        </is>
      </c>
      <c r="F887" t="inlineStr">
        <is>
          <t>Good Grid no GE - 8h</t>
        </is>
      </c>
      <c r="G887" t="inlineStr">
        <is>
          <t>CENTRE</t>
        </is>
      </c>
      <c r="H887" t="inlineStr">
        <is>
          <t>Yaounde</t>
        </is>
      </c>
      <c r="I887" t="inlineStr"/>
      <c r="J887" t="n">
        <v>4.848946280909161</v>
      </c>
      <c r="K887" t="n">
        <v>4.322985199465507</v>
      </c>
      <c r="L887" t="n">
        <v>7.380259189216994</v>
      </c>
      <c r="M887" t="n">
        <v>5.992425798940169</v>
      </c>
      <c r="N887" t="inlineStr">
        <is>
          <t>Operationnel</t>
        </is>
      </c>
      <c r="O887" t="inlineStr"/>
      <c r="P887" t="inlineStr">
        <is>
          <t>AKTIVCO GRID ONLY</t>
        </is>
      </c>
      <c r="Q887" t="inlineStr">
        <is>
          <t>POWER ISSUE</t>
        </is>
      </c>
      <c r="R887" t="inlineStr">
        <is>
          <t>AKTIVCO Coupure ENEO &amp; Baisse de tension</t>
        </is>
      </c>
      <c r="S887" t="inlineStr">
        <is>
          <t>PASSIVE</t>
        </is>
      </c>
      <c r="T887" t="inlineStr">
        <is>
          <t>INC-20260330-00016124.,,2026-03-30 23:59:54.,,Grid outage, Grid only site / Grid return awaited.,,Others</t>
        </is>
      </c>
      <c r="U887" t="inlineStr">
        <is>
          <t>2026-03-30 23 : 59 : 54.,,Grid outage, Grid only site / Grid return awaited.,,Others</t>
        </is>
      </c>
    </row>
    <row r="888">
      <c r="A888" s="96" t="n">
        <v>46142</v>
      </c>
      <c r="B888" t="inlineStr">
        <is>
          <t>LIT_871_Z_Bonamatoumbe-III-IHS</t>
        </is>
      </c>
      <c r="C888" t="inlineStr">
        <is>
          <t>LIT_871</t>
        </is>
      </c>
      <c r="D888" t="inlineStr"/>
      <c r="E888" t="inlineStr">
        <is>
          <t>I_HS</t>
        </is>
      </c>
      <c r="F888" t="inlineStr">
        <is>
          <t>Grid-Gen</t>
        </is>
      </c>
      <c r="G888" t="inlineStr">
        <is>
          <t>LITTORAL</t>
        </is>
      </c>
      <c r="H888" t="inlineStr">
        <is>
          <t>Douala</t>
        </is>
      </c>
      <c r="I888" t="inlineStr"/>
      <c r="J888" t="n">
        <v>4.089706005779169</v>
      </c>
      <c r="K888" t="n">
        <v>3.58665605842692</v>
      </c>
      <c r="L888" t="n">
        <v>7.756633768689793</v>
      </c>
      <c r="M888" t="n">
        <v>5.833087209252553</v>
      </c>
      <c r="N888" t="inlineStr">
        <is>
          <t>Operationnel</t>
        </is>
      </c>
      <c r="O888" t="inlineStr"/>
      <c r="P888" t="inlineStr">
        <is>
          <t>IHS</t>
        </is>
      </c>
      <c r="Q888" t="inlineStr">
        <is>
          <t>POWER ISSUE</t>
        </is>
      </c>
      <c r="R888" t="inlineStr">
        <is>
          <t>Defaut GE &amp; Power Cabinet</t>
        </is>
      </c>
      <c r="S888" t="inlineStr">
        <is>
          <t>PASSIVE</t>
        </is>
      </c>
      <c r="T888" t="inlineStr">
        <is>
          <t>INC-20260330-00002545.,,2026-03-30 04:21:53.,,ETA 06:10 AM.,,GE Fault</t>
        </is>
      </c>
      <c r="U888" t="inlineStr">
        <is>
          <t>2026-03-30 04 : 21 : 53.,,ETA 06 : 10 AM.,,GE Fault</t>
        </is>
      </c>
    </row>
    <row r="889">
      <c r="A889" s="96" t="n">
        <v>46142</v>
      </c>
      <c r="B889" t="inlineStr">
        <is>
          <t>CTR_922_Z_Ekong</t>
        </is>
      </c>
      <c r="C889" t="inlineStr">
        <is>
          <t>CTR_922</t>
        </is>
      </c>
      <c r="D889" t="inlineStr"/>
      <c r="E889" t="inlineStr">
        <is>
          <t>CAMUSAT</t>
        </is>
      </c>
      <c r="F889" t="inlineStr">
        <is>
          <t>Good Grid Solar + GE</t>
        </is>
      </c>
      <c r="G889" t="inlineStr">
        <is>
          <t>CENTRE</t>
        </is>
      </c>
      <c r="H889" t="inlineStr">
        <is>
          <t>Leboudi</t>
        </is>
      </c>
      <c r="I889" t="inlineStr"/>
      <c r="J889" t="n">
        <v>4.821469251705574</v>
      </c>
      <c r="K889" t="n">
        <v>4.175294361652574</v>
      </c>
      <c r="L889" t="n">
        <v>7.014931314802777</v>
      </c>
      <c r="M889" t="n">
        <v>5.748406257401558</v>
      </c>
      <c r="N889" t="inlineStr">
        <is>
          <t>Operationnel</t>
        </is>
      </c>
      <c r="O889" t="inlineStr"/>
      <c r="P889" t="inlineStr">
        <is>
          <t>AKTIVCO</t>
        </is>
      </c>
      <c r="Q889" t="inlineStr">
        <is>
          <t>POWER ISSUE</t>
        </is>
      </c>
      <c r="R889" t="inlineStr">
        <is>
          <t>AKTIVCO Defaut GE &amp; Power Cabinet</t>
        </is>
      </c>
      <c r="S889" t="inlineStr">
        <is>
          <t>PASSIVE</t>
        </is>
      </c>
      <c r="T889" t="inlineStr">
        <is>
          <t>30/03/2026 :  Power issue || Mail sent to Camusat….Power status check ongoing</t>
        </is>
      </c>
      <c r="U889" t="inlineStr">
        <is>
          <t>30/03/2026 : Power issue || Mail sent to Camusat….Power status check ongoing</t>
        </is>
      </c>
    </row>
    <row r="890">
      <c r="A890" s="96" t="n">
        <v>46142</v>
      </c>
      <c r="B890" t="inlineStr">
        <is>
          <t>Garoua-Kolbives</t>
        </is>
      </c>
      <c r="C890" t="inlineStr">
        <is>
          <t>NRD_049</t>
        </is>
      </c>
      <c r="D890" t="inlineStr"/>
      <c r="E890" t="inlineStr">
        <is>
          <t>IHS</t>
        </is>
      </c>
      <c r="F890" t="inlineStr">
        <is>
          <t>Grid-Gen</t>
        </is>
      </c>
      <c r="G890" t="inlineStr">
        <is>
          <t>NORD</t>
        </is>
      </c>
      <c r="H890" t="inlineStr">
        <is>
          <t>Garoua</t>
        </is>
      </c>
      <c r="I890" t="inlineStr"/>
      <c r="J890" t="n">
        <v>7.845940793496636</v>
      </c>
      <c r="K890" t="n">
        <v>10.03899250623064</v>
      </c>
      <c r="L890" t="n">
        <v>2.097847951373157</v>
      </c>
      <c r="M890" t="n">
        <v>5.584608898134594</v>
      </c>
      <c r="N890" t="inlineStr">
        <is>
          <t>Operationnel</t>
        </is>
      </c>
      <c r="O890" t="inlineStr"/>
      <c r="P890" t="inlineStr">
        <is>
          <t>PDH</t>
        </is>
      </c>
      <c r="Q890" t="inlineStr">
        <is>
          <t>TX ISSUE</t>
        </is>
      </c>
      <c r="R890" t="inlineStr">
        <is>
          <t>ODU HS</t>
        </is>
      </c>
      <c r="S890" t="inlineStr">
        <is>
          <t>ACTIVE</t>
        </is>
      </c>
      <c r="T890" t="inlineStr">
        <is>
          <t>Power status check ongoing</t>
        </is>
      </c>
      <c r="U890" t="inlineStr">
        <is>
          <t>Power status check ongoing</t>
        </is>
      </c>
    </row>
    <row r="891">
      <c r="A891" s="96" t="n">
        <v>46142</v>
      </c>
      <c r="B891" t="inlineStr">
        <is>
          <t>TCHEVI-IHS</t>
        </is>
      </c>
      <c r="C891" t="inlineStr">
        <is>
          <t>EXN_227</t>
        </is>
      </c>
      <c r="D891" t="inlineStr"/>
      <c r="E891" t="inlineStr">
        <is>
          <t>IHS</t>
        </is>
      </c>
      <c r="F891" t="inlineStr">
        <is>
          <t>Grid-Gen</t>
        </is>
      </c>
      <c r="G891" t="inlineStr">
        <is>
          <t>EXTREME-NORD</t>
        </is>
      </c>
      <c r="H891" t="inlineStr">
        <is>
          <t>Tchevi</t>
        </is>
      </c>
      <c r="I891" t="inlineStr"/>
      <c r="J891" t="n">
        <v>19.01916921286193</v>
      </c>
      <c r="K891" t="n">
        <v>8.018535869064007</v>
      </c>
      <c r="L891" t="n">
        <v>0</v>
      </c>
      <c r="M891" t="n">
        <v>5.407850582310192</v>
      </c>
      <c r="N891" t="inlineStr">
        <is>
          <t>Insecurity</t>
        </is>
      </c>
      <c r="O891" t="inlineStr"/>
      <c r="P891" t="inlineStr">
        <is>
          <t>PDH</t>
        </is>
      </c>
      <c r="Q891" t="inlineStr">
        <is>
          <t>TX ISSUE</t>
        </is>
      </c>
      <c r="R891" t="inlineStr">
        <is>
          <t>MPR issue</t>
        </is>
      </c>
      <c r="S891" t="inlineStr">
        <is>
          <t>ACTIVE</t>
        </is>
      </c>
      <c r="T891" t="inlineStr">
        <is>
          <t>30/03/2026 : need BO RAN analysis ||: Disjunction of radio module =&gt; Check FPFC/FPFH module, Power cable, SFP, Optical fiber….30/03/2026 : Check breaker and  interconnection(sfp, optical fiber) between system and radio module, swap its if needed ….30/03/2026 : Check breaker and  interconnection(sfp, optical fiber) between system and radio module, swap its if needed ….Power status check ongoing….Power status check ongoing….INC-20260330-00010559.,,2026-03-30 20:24:10.,,Lien Tchevi&lt;&gt;Mazavou à réaligner pour un gain de 25 dbm; FME informé Ervice, update ASAP.,,instabilité de la liaison dû au feding.,,Others Transmission equipement fault</t>
        </is>
      </c>
      <c r="U891" t="inlineStr">
        <is>
          <t>30/03/2026 : need BO RAN analysis || : Disjunction of radio module =&gt; Check FPFC/FPFH module, Power cable, SFP, Optical fiber….30/03/2026 : Check breaker and interconnection(sfp, optical fiber) between system and radio module, swap its if needed ….30/03/2026 : Check breaker and interconnection(sfp, optical fiber) between system and radio module, swap its if needed ….Power status check ongoing….Power status check ongoing….,,2026-03-30 20 : 24 : 10.,,Lien Tchevi&lt;&gt;Mazavou à réaligner pour un gain de 25 dbm; FME informé Ervice, update ASAP.,,instabilité de la liaison dû au feding.,,</t>
        </is>
      </c>
    </row>
    <row r="892">
      <c r="A892" s="96" t="n">
        <v>46142</v>
      </c>
      <c r="B892" t="inlineStr">
        <is>
          <t>Mimboman-Don-Bosco</t>
        </is>
      </c>
      <c r="C892" t="inlineStr">
        <is>
          <t>CTR_654</t>
        </is>
      </c>
      <c r="D892" t="inlineStr"/>
      <c r="E892" t="inlineStr">
        <is>
          <t>CAMUSAT</t>
        </is>
      </c>
      <c r="F892" t="inlineStr">
        <is>
          <t>Good Grid no GE - 8h</t>
        </is>
      </c>
      <c r="G892" t="inlineStr">
        <is>
          <t>CENTRE</t>
        </is>
      </c>
      <c r="H892" t="inlineStr">
        <is>
          <t>Yaounde</t>
        </is>
      </c>
      <c r="I892" t="inlineStr"/>
      <c r="J892" t="n">
        <v>4.277424073474575</v>
      </c>
      <c r="K892" t="n">
        <v>3.76930393626896</v>
      </c>
      <c r="L892" t="n">
        <v>6.463861473908162</v>
      </c>
      <c r="M892" t="n">
        <v>5.247044370821242</v>
      </c>
      <c r="N892" t="inlineStr">
        <is>
          <t>Operationnel</t>
        </is>
      </c>
      <c r="O892" t="inlineStr"/>
      <c r="P892" t="inlineStr">
        <is>
          <t>AKTIVCO GRID ONLY</t>
        </is>
      </c>
      <c r="Q892" t="inlineStr">
        <is>
          <t>POWER ISSUE</t>
        </is>
      </c>
      <c r="R892" t="inlineStr">
        <is>
          <t>AKTIVCO Coupure ENEO &amp; Baisse de tension</t>
        </is>
      </c>
      <c r="S892" t="inlineStr">
        <is>
          <t>PASSIVE</t>
        </is>
      </c>
      <c r="T892" t="inlineStr">
        <is>
          <t>INC-20260330-00009662.,,GE Fault</t>
        </is>
      </c>
      <c r="U892" t="inlineStr">
        <is>
          <t>GE Fault</t>
        </is>
      </c>
    </row>
    <row r="893">
      <c r="A893" s="96" t="n">
        <v>46142</v>
      </c>
      <c r="B893" t="inlineStr">
        <is>
          <t>Goulfey</t>
        </is>
      </c>
      <c r="C893" t="inlineStr">
        <is>
          <t>EXN_021</t>
        </is>
      </c>
      <c r="D893" t="inlineStr"/>
      <c r="E893" t="inlineStr">
        <is>
          <t>IHS</t>
        </is>
      </c>
      <c r="F893" t="inlineStr">
        <is>
          <t>Solar-Gen</t>
        </is>
      </c>
      <c r="G893" t="inlineStr">
        <is>
          <t>EXTREME-NORD</t>
        </is>
      </c>
      <c r="H893" t="inlineStr">
        <is>
          <t>Goulfey</t>
        </is>
      </c>
      <c r="I893" t="inlineStr"/>
      <c r="J893" t="n">
        <v>7.975678783322826</v>
      </c>
      <c r="K893" t="n">
        <v>12.16503872317192</v>
      </c>
      <c r="L893" t="n">
        <v>0</v>
      </c>
      <c r="M893" t="n">
        <v>5.222870003976825</v>
      </c>
      <c r="N893" t="inlineStr">
        <is>
          <t>Insecurity</t>
        </is>
      </c>
      <c r="O893" t="inlineStr"/>
      <c r="P893" t="inlineStr">
        <is>
          <t>PDH</t>
        </is>
      </c>
      <c r="Q893" t="inlineStr">
        <is>
          <t>TX ISSUE</t>
        </is>
      </c>
      <c r="R893" t="inlineStr">
        <is>
          <t>MPR issue</t>
        </is>
      </c>
      <c r="S893" t="inlineStr">
        <is>
          <t>ACTIVE</t>
        </is>
      </c>
      <c r="T893" t="inlineStr">
        <is>
          <t>INC-20260330-00003159.,,Others Transmission equipement fault</t>
        </is>
      </c>
      <c r="U893" t="inlineStr"/>
    </row>
    <row r="894">
      <c r="A894" s="96" t="n">
        <v>46142</v>
      </c>
      <c r="B894" t="inlineStr">
        <is>
          <t>Nkolo2-MTN-IHS</t>
        </is>
      </c>
      <c r="C894" t="inlineStr">
        <is>
          <t>CTR_469</t>
        </is>
      </c>
      <c r="D894" t="inlineStr"/>
      <c r="E894" t="inlineStr">
        <is>
          <t>IHS</t>
        </is>
      </c>
      <c r="F894" t="inlineStr">
        <is>
          <t>Grid-Gen</t>
        </is>
      </c>
      <c r="G894" t="inlineStr">
        <is>
          <t>CENTRE</t>
        </is>
      </c>
      <c r="H894" t="inlineStr">
        <is>
          <t>Yaounde</t>
        </is>
      </c>
      <c r="I894" t="inlineStr"/>
      <c r="J894" t="n">
        <v>1.68309293430692</v>
      </c>
      <c r="K894" t="n">
        <v>1.837422775754731</v>
      </c>
      <c r="L894" t="n">
        <v>8.134923566377088</v>
      </c>
      <c r="M894" t="n">
        <v>5.09945909774479</v>
      </c>
      <c r="N894" t="inlineStr">
        <is>
          <t>Operationnel</t>
        </is>
      </c>
      <c r="O894" t="inlineStr"/>
      <c r="P894" t="inlineStr">
        <is>
          <t>IHS</t>
        </is>
      </c>
      <c r="Q894" t="inlineStr">
        <is>
          <t>POWER ISSUE</t>
        </is>
      </c>
      <c r="R894" t="inlineStr">
        <is>
          <t>Defaut GE &amp; Power Cabinet</t>
        </is>
      </c>
      <c r="S894" t="inlineStr">
        <is>
          <t>PASSIVE</t>
        </is>
      </c>
      <c r="T894" t="inlineStr">
        <is>
          <t>INC-20260330-00013700.,,feedback ongoing.,,feedback ongoing.,,GE Fault</t>
        </is>
      </c>
      <c r="U894" t="inlineStr">
        <is>
          <t>feedback ongoing.,,feedback ongoing.,,GE Fault</t>
        </is>
      </c>
    </row>
    <row r="895">
      <c r="A895" s="96" t="n">
        <v>46142</v>
      </c>
      <c r="B895" t="inlineStr">
        <is>
          <t>Bonamikengue</t>
        </is>
      </c>
      <c r="C895" t="inlineStr">
        <is>
          <t>LIT_336</t>
        </is>
      </c>
      <c r="D895" t="inlineStr"/>
      <c r="E895" t="inlineStr">
        <is>
          <t>IHS</t>
        </is>
      </c>
      <c r="F895" t="inlineStr">
        <is>
          <t>Grid-Gen</t>
        </is>
      </c>
      <c r="G895" t="inlineStr">
        <is>
          <t>LITTORAL</t>
        </is>
      </c>
      <c r="H895" t="inlineStr">
        <is>
          <t>Douala</t>
        </is>
      </c>
      <c r="I895" t="inlineStr"/>
      <c r="J895" t="n">
        <v>2.764064242293442</v>
      </c>
      <c r="K895" t="n">
        <v>3.326018918027547</v>
      </c>
      <c r="L895" t="n">
        <v>6.815304016267318</v>
      </c>
      <c r="M895" t="n">
        <v>5.065394098158564</v>
      </c>
      <c r="N895" t="inlineStr">
        <is>
          <t>Operationnel</t>
        </is>
      </c>
      <c r="O895" t="inlineStr"/>
      <c r="P895" t="inlineStr">
        <is>
          <t>PDH</t>
        </is>
      </c>
      <c r="Q895" t="inlineStr">
        <is>
          <t>TX ISSUE</t>
        </is>
      </c>
      <c r="R895" t="inlineStr">
        <is>
          <t>MPR issue</t>
        </is>
      </c>
      <c r="S895" t="inlineStr">
        <is>
          <t>ACTIVE</t>
        </is>
      </c>
      <c r="T895" t="inlineStr">
        <is>
          <t xml:space="preserve">INC-20260330-00005894.,,reconfiguration  du MPR  
reconfiguration  de la supervision  
sur la fibre .,,Transmission.,,reconfiguration  du MPR  
reconfiguration  de la supervision  
sur la fibre </t>
        </is>
      </c>
      <c r="U895" t="inlineStr">
        <is>
          <t>reconfiguration du MPR reconfiguration de la supervision sur la fibre .,,Transmission.,,reconfiguration du MPR reconfiguration de la supervision sur la fibre</t>
        </is>
      </c>
    </row>
    <row r="896">
      <c r="A896" s="96" t="n">
        <v>46142</v>
      </c>
      <c r="B896" t="inlineStr">
        <is>
          <t>Satcom</t>
        </is>
      </c>
      <c r="C896" t="inlineStr">
        <is>
          <t>CTR_199</t>
        </is>
      </c>
      <c r="D896" t="inlineStr"/>
      <c r="E896" t="inlineStr">
        <is>
          <t>IHS</t>
        </is>
      </c>
      <c r="F896" t="inlineStr">
        <is>
          <t>Grid-Gen</t>
        </is>
      </c>
      <c r="G896" t="inlineStr">
        <is>
          <t>CENTRE</t>
        </is>
      </c>
      <c r="H896" t="inlineStr">
        <is>
          <t>Yaounde</t>
        </is>
      </c>
      <c r="I896" t="inlineStr"/>
      <c r="J896" t="n">
        <v>4.367348896322675</v>
      </c>
      <c r="K896" t="n">
        <v>3.705233738282484</v>
      </c>
      <c r="L896" t="n">
        <v>5.98659593492198</v>
      </c>
      <c r="M896" t="n">
        <v>4.989488004839727</v>
      </c>
      <c r="N896" t="inlineStr">
        <is>
          <t>Operationnel</t>
        </is>
      </c>
      <c r="O896" t="inlineStr"/>
      <c r="P896" t="inlineStr">
        <is>
          <t>IHS</t>
        </is>
      </c>
      <c r="Q896" t="inlineStr">
        <is>
          <t>POWER ISSUE</t>
        </is>
      </c>
      <c r="R896" t="inlineStr">
        <is>
          <t>Defaut GE &amp; Power Cabinet</t>
        </is>
      </c>
      <c r="S896" t="inlineStr">
        <is>
          <t>PASSIVE</t>
        </is>
      </c>
      <c r="T896" t="inlineStr">
        <is>
          <t>INC-20260330-00016131.,,2026-03-30 23:59:54.,,Grid outage, Grid only site / Grid return awaited.,,instabilité AOF.,,Others</t>
        </is>
      </c>
      <c r="U896" t="inlineStr">
        <is>
          <t>2026-03-30 23 : 59 : 54.,,Grid outage, Grid only site / Grid return awaited.,,instabilité AOF.,,Others</t>
        </is>
      </c>
    </row>
    <row r="897">
      <c r="A897" s="96" t="n">
        <v>46142</v>
      </c>
      <c r="B897" t="inlineStr">
        <is>
          <t>Bertoua-Dabadi</t>
        </is>
      </c>
      <c r="C897" t="inlineStr">
        <is>
          <t>EST_087</t>
        </is>
      </c>
      <c r="D897" t="inlineStr"/>
      <c r="E897" t="inlineStr">
        <is>
          <t>IHS</t>
        </is>
      </c>
      <c r="F897" t="inlineStr">
        <is>
          <t>Grid-Gen</t>
        </is>
      </c>
      <c r="G897" t="inlineStr">
        <is>
          <t>EST</t>
        </is>
      </c>
      <c r="H897" t="inlineStr">
        <is>
          <t>Bertoua</t>
        </is>
      </c>
      <c r="I897" t="inlineStr"/>
      <c r="J897" t="n">
        <v>0.8560343552789867</v>
      </c>
      <c r="K897" t="n">
        <v>1.810222161020839</v>
      </c>
      <c r="L897" t="n">
        <v>8.026576935957291</v>
      </c>
      <c r="M897" t="n">
        <v>4.915722120918976</v>
      </c>
      <c r="N897" t="inlineStr">
        <is>
          <t>Operationnel</t>
        </is>
      </c>
      <c r="O897" t="inlineStr"/>
      <c r="P897" t="inlineStr">
        <is>
          <t>BSS</t>
        </is>
      </c>
      <c r="Q897" t="inlineStr">
        <is>
          <t>RAN ISSUE</t>
        </is>
      </c>
      <c r="R897" t="inlineStr">
        <is>
          <t>BSS Hardware issue</t>
        </is>
      </c>
      <c r="S897" t="inlineStr">
        <is>
          <t>ACTIVE</t>
        </is>
      </c>
      <c r="T897" t="inlineStr">
        <is>
          <t>30/03/2029 : Besoin d'analyse BO RAN….30/03/2029 : Besoin d'analyse BO RAN….30/03/2029 : Besoin d'analyse BO RAN || Check GPS connectivity || Fme active : intervention en cours</t>
        </is>
      </c>
      <c r="U897" t="inlineStr">
        <is>
          <t>30/03/2029 : Besoin d'analyse BO RAN….30/03/2029 : Besoin d'analyse BO RAN….30/03/2029 : Besoin d'analyse BO RAN || Check GPS connectivity || Fme active : intervention en cours</t>
        </is>
      </c>
    </row>
    <row r="898">
      <c r="A898" s="96" t="n">
        <v>46142</v>
      </c>
      <c r="B898" t="inlineStr">
        <is>
          <t>Mokola-MTN</t>
        </is>
      </c>
      <c r="C898" t="inlineStr">
        <is>
          <t>EXN_142</t>
        </is>
      </c>
      <c r="D898" t="inlineStr"/>
      <c r="E898" t="inlineStr">
        <is>
          <t>IHS</t>
        </is>
      </c>
      <c r="F898" t="inlineStr">
        <is>
          <t>Grid-Gen</t>
        </is>
      </c>
      <c r="G898" t="inlineStr">
        <is>
          <t>EXTREME-NORD</t>
        </is>
      </c>
      <c r="H898" t="inlineStr">
        <is>
          <t>Mokola</t>
        </is>
      </c>
      <c r="I898" t="inlineStr"/>
      <c r="J898" t="n">
        <v>12.39135728373507</v>
      </c>
      <c r="K898" t="n">
        <v>9.365813083111542</v>
      </c>
      <c r="L898" t="n">
        <v>0</v>
      </c>
      <c r="M898" t="n">
        <v>4.913696151892147</v>
      </c>
      <c r="N898" t="inlineStr">
        <is>
          <t>Insecurity</t>
        </is>
      </c>
      <c r="O898" t="inlineStr"/>
      <c r="P898" t="inlineStr">
        <is>
          <t>TRAVAUX OCM</t>
        </is>
      </c>
      <c r="Q898" t="inlineStr">
        <is>
          <t>TRAVAUX OCM</t>
        </is>
      </c>
      <c r="R898" t="inlineStr">
        <is>
          <t>Projet OCM (ZTE, NOKIA, autres projets)</t>
        </is>
      </c>
      <c r="S898" t="inlineStr">
        <is>
          <t>PLANNED WORKS</t>
        </is>
      </c>
      <c r="T898" t="inlineStr">
        <is>
          <t>26/03/2026 : Travaux equipe projet en cours || ETA :  Ce jour || Intervention en cours  
25/03/2026 : ARMA faulty || commande faulty || ETR : 26/03/2026
23/03/2026 : ETD 24032026
21/03/2026 : Cde en cours 
20/03/2026 : SFP faulty ….26/03/2026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 ….Power status check ongoing….INC-20260330-00011405</t>
        </is>
      </c>
      <c r="U898" t="inlineStr">
        <is>
          <t>26/03/2026 : Travaux equipe projet en cours || ETA : Ce jour || Intervention en cours 25/03/2026 : ARMA faulty || commande faulty || ETR : 26/03/2026 23/03/2026 : ETD 24032026 21/03/2026 : Cde en cours 20/03/2026 : SFP faulty ….26/03/2026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 ….Power status check ongoing….</t>
        </is>
      </c>
    </row>
    <row r="899">
      <c r="A899" s="96" t="n">
        <v>46142</v>
      </c>
      <c r="B899" t="inlineStr">
        <is>
          <t>Kapanyaye-IHS</t>
        </is>
      </c>
      <c r="C899" t="inlineStr">
        <is>
          <t>NRD_109</t>
        </is>
      </c>
      <c r="D899" t="inlineStr"/>
      <c r="E899" t="inlineStr">
        <is>
          <t>IHS</t>
        </is>
      </c>
      <c r="F899" t="inlineStr">
        <is>
          <t>Solar-Gen</t>
        </is>
      </c>
      <c r="G899" t="inlineStr">
        <is>
          <t>NORD</t>
        </is>
      </c>
      <c r="H899" t="inlineStr">
        <is>
          <t>Kapanyaye</t>
        </is>
      </c>
      <c r="I899" t="inlineStr"/>
      <c r="J899" t="n">
        <v>33.33242397788447</v>
      </c>
      <c r="K899" t="n">
        <v>0.2757409386148233</v>
      </c>
      <c r="L899" t="n">
        <v>0</v>
      </c>
      <c r="M899" t="n">
        <v>4.852436475717975</v>
      </c>
      <c r="N899" t="inlineStr">
        <is>
          <t>Operationnel</t>
        </is>
      </c>
      <c r="O899" t="inlineStr"/>
      <c r="P899" t="inlineStr">
        <is>
          <t>PDH</t>
        </is>
      </c>
      <c r="Q899" t="inlineStr">
        <is>
          <t>TX ISSUE</t>
        </is>
      </c>
      <c r="R899" t="inlineStr">
        <is>
          <t>MPR issue</t>
        </is>
      </c>
      <c r="S899" t="inlineStr">
        <is>
          <t>ACTIVE</t>
        </is>
      </c>
      <c r="T899" t="inlineStr">
        <is>
          <t>30/03/2026 : Check breaker and  interconnection(sfp, optical fiber) between system and radio module, swap its if needed….30/03/2026 : Check breaker and  interconnection(sfp, optical fiber) between system and radio module, swap its if needed….30/03/2026 : Check breaker and  interconnection(sfp, optical fiber) between system and radio module, swap its if needed || L0 activated to perform Hard reset of the Airscale, suspecting ABIA Board damage will be replaced during our next PM on site….30/03/2026 : Check breaker and  interconnection(sfp, optical fiber) between system and radio module, swap its if needed || L0 activated to perform Hard reset of the Airscale, suspecting ABIA Board damage will be replaced during our next PM on site….INC-20260330-00006417.,,2026-03-30 11:05:47.,,GE Fault</t>
        </is>
      </c>
      <c r="U899" t="inlineStr">
        <is>
          <t>30/03/2026 : Check breaker and interconnection(sfp, optical fiber) between system and radio module, swap its if needed….30/03/2026 : Check breaker and interconnection(sfp, optical fiber) between system and radio module, swap its if needed….30/03/2026 : Check breaker and interconnection(sfp, optical fiber) between system and radio module, swap its if needed || L0 activated to perform Hard reset of the Airscale, suspecting ABIA Board damage will be replaced during our next PM on site….30/03/2026 : Check breaker and interconnection(sfp, optical fiber) between system and radio module, swap its if needed || L0 activated to perform Hard reset of the Airscale, suspecting ABIA Board damage will be replaced during our next PM on site….,,2026-03-30 11 : 05 : 47.,,GE Fault</t>
        </is>
      </c>
    </row>
    <row r="900">
      <c r="A900" s="96" t="n">
        <v>46142</v>
      </c>
      <c r="B900" t="inlineStr">
        <is>
          <t>Oku</t>
        </is>
      </c>
      <c r="C900" t="inlineStr">
        <is>
          <t>NRO_013</t>
        </is>
      </c>
      <c r="D900" t="inlineStr"/>
      <c r="E900" t="inlineStr">
        <is>
          <t>IHS</t>
        </is>
      </c>
      <c r="F900" t="inlineStr">
        <is>
          <t>Grid-Gen</t>
        </is>
      </c>
      <c r="G900" t="inlineStr">
        <is>
          <t>NORD-OUEST</t>
        </is>
      </c>
      <c r="H900" t="inlineStr">
        <is>
          <t>Oku</t>
        </is>
      </c>
      <c r="I900" t="inlineStr"/>
      <c r="J900" t="n">
        <v>5.805981942221576</v>
      </c>
      <c r="K900" t="n">
        <v>5.565182023113723</v>
      </c>
      <c r="L900" t="n">
        <v>4.054311758126544</v>
      </c>
      <c r="M900" t="n">
        <v>4.811666672819808</v>
      </c>
      <c r="N900" t="inlineStr">
        <is>
          <t>Insecurity</t>
        </is>
      </c>
      <c r="O900" t="inlineStr"/>
      <c r="P900" t="inlineStr">
        <is>
          <t>IHS</t>
        </is>
      </c>
      <c r="Q900" t="inlineStr">
        <is>
          <t>POWER ISSUE</t>
        </is>
      </c>
      <c r="R900" t="inlineStr">
        <is>
          <t>Defaut GE &amp; Power Cabinet</t>
        </is>
      </c>
      <c r="S900" t="inlineStr">
        <is>
          <t>PASSIVE</t>
        </is>
      </c>
      <c r="T900" t="inlineStr">
        <is>
          <t>INC-20260330-00001991.,,power issue on site .,,Others Transmission equipement fault</t>
        </is>
      </c>
      <c r="U900" t="inlineStr">
        <is>
          <t>power issue on site .,,</t>
        </is>
      </c>
    </row>
    <row r="901">
      <c r="A901" s="96" t="n">
        <v>46142</v>
      </c>
      <c r="B901" t="inlineStr">
        <is>
          <t>Aguli-MTN</t>
        </is>
      </c>
      <c r="C901" t="inlineStr">
        <is>
          <t>NRO_256</t>
        </is>
      </c>
      <c r="D901" t="inlineStr"/>
      <c r="E901" t="inlineStr">
        <is>
          <t>IHS</t>
        </is>
      </c>
      <c r="F901" t="inlineStr">
        <is>
          <t>Hybrid-Gen</t>
        </is>
      </c>
      <c r="G901" t="inlineStr">
        <is>
          <t>NORD-OUEST</t>
        </is>
      </c>
      <c r="H901" t="inlineStr">
        <is>
          <t>Aguli</t>
        </is>
      </c>
      <c r="I901" t="inlineStr"/>
      <c r="J901" t="n">
        <v>16.59699993533472</v>
      </c>
      <c r="K901" t="n">
        <v>6.988486064785064</v>
      </c>
      <c r="L901" t="n">
        <v>0</v>
      </c>
      <c r="M901" t="n">
        <v>4.716165433518056</v>
      </c>
      <c r="N901" t="inlineStr">
        <is>
          <t>Insecurity</t>
        </is>
      </c>
      <c r="O901" t="inlineStr"/>
      <c r="P901" t="inlineStr">
        <is>
          <t>ACCESS-ISSUE</t>
        </is>
      </c>
      <c r="Q901" t="inlineStr">
        <is>
          <t>ACCESS-ISSUE</t>
        </is>
      </c>
      <c r="R901" t="inlineStr">
        <is>
          <t>ACCESS-ISSUE</t>
        </is>
      </c>
      <c r="S901" t="inlineStr">
        <is>
          <t>ACCESS-ISSUE</t>
        </is>
      </c>
      <c r="T901" t="inlineStr">
        <is>
          <t>30/03/2026 :Ghost town
29/03/2026 : Negociation d'access en cours 
28/03/2026 : Apres action du level 0 ce jour l'alarme reste presente
27/03/2026 : heck breaker and  interconnection(sfp, optical fiber) between system and radio module, swap its if needed ||  FME active || ETA : 16h….30/03/2026 :Ghost town
29/03/2026 : Negociation d'access en cours 
28/03/2026 : Apres action du level 0 ce jour l'alarme reste presente
27/03/2026 : heck breaker and  interconnection(sfp, optical fiber) between system and radio module, swap its if needed ||  FME active || ETA : 16h….30/03/2026 :Ghost town
29/03/2026 : Negociation d'access en cours 
28/03/2026 : Apres action du level 0 ce jour l'alarme reste presente
27/03/2026 : heck breaker and  interconnection(sfp, optical fiber) between system and radio module, swap its if needed ||  FME active || ETA : 16h….30/03/2026 :Ghost town
29/03/2026 : Negociation d'access en cours 
28/03/2026 : Apres action du level 0 ce jour l'alarme reste presente
27/03/2026 : heck breaker and  interconnection(sfp, optical fiber) between system and radio module, swap its if needed ||  FME active || ETA : 16h</t>
        </is>
      </c>
      <c r="U901" t="inlineStr">
        <is>
          <t>30/03/2026 : Ghost town 29/03/2026 : Negociation d'access en cours 28/03/2026 : Apres action du level 0 ce jour l'alarme reste presente 27/03/2026 : heck breaker and interconnection(sfp, optical fiber) between system and radio module, swap its if needed || FME active || ETA : 16h….30/03/2026 : Ghost town 29/03/2026 : Negociation d'access en cours 28/03/2026 : Apres action du level 0 ce jour l'alarme reste presente 27/03/2026 : heck breaker and interconnection(sfp, optical fiber) between system and radio module, swap its if needed || FME active || ETA : 16h….30/03/2026 : Ghost town 29/03/2026 : Negociation d'access en cours 28/03/2026 : Apres action du level 0 ce jour l'alarme reste presente 27/03/2026 : heck breaker and interconnection(sfp, optical fiber) between system and radio module, swap its if needed || FME active || ETA : 16h….30/03/2026 : Ghost town 29/03/2026 : Negociation d'access en cours 28/03/2026 : Apres action du level 0 ce jour l'alarme reste presente 27/03/2026 : heck breaker and interconnection(sfp, optical fiber) between system and radio module, swap its if needed || FME active || ETA : 16h</t>
        </is>
      </c>
    </row>
    <row r="902">
      <c r="A902" s="96" t="n">
        <v>46142</v>
      </c>
      <c r="B902" t="inlineStr">
        <is>
          <t>Edea-Nkakanzock</t>
        </is>
      </c>
      <c r="C902" t="inlineStr">
        <is>
          <t>LIT_314</t>
        </is>
      </c>
      <c r="D902" t="inlineStr"/>
      <c r="E902" t="inlineStr">
        <is>
          <t>IHS</t>
        </is>
      </c>
      <c r="F902" t="inlineStr">
        <is>
          <t>Grid-Gen</t>
        </is>
      </c>
      <c r="G902" t="inlineStr">
        <is>
          <t>LITTORAL</t>
        </is>
      </c>
      <c r="H902" t="inlineStr">
        <is>
          <t>Edea</t>
        </is>
      </c>
      <c r="I902" t="inlineStr"/>
      <c r="J902" t="n">
        <v>2.861607695966172</v>
      </c>
      <c r="K902" t="n">
        <v>5.146919445379466</v>
      </c>
      <c r="L902" t="n">
        <v>4.881857028413082</v>
      </c>
      <c r="M902" t="n">
        <v>4.682350121135851</v>
      </c>
      <c r="N902" t="inlineStr">
        <is>
          <t>Operationnel</t>
        </is>
      </c>
      <c r="O902" t="inlineStr"/>
      <c r="P902" t="inlineStr">
        <is>
          <t>IHS</t>
        </is>
      </c>
      <c r="Q902" t="inlineStr">
        <is>
          <t>POWER ISSUE</t>
        </is>
      </c>
      <c r="R902" t="inlineStr">
        <is>
          <t>Defaut GE &amp; Power Cabinet</t>
        </is>
      </c>
      <c r="S902" t="inlineStr">
        <is>
          <t>PASSIVE</t>
        </is>
      </c>
      <c r="T902" t="inlineStr">
        <is>
          <t>INC-20260330-00010396.,,GE Fault</t>
        </is>
      </c>
      <c r="U902" t="inlineStr">
        <is>
          <t>GE Fault</t>
        </is>
      </c>
    </row>
    <row r="903">
      <c r="A903" s="96" t="n">
        <v>46142</v>
      </c>
      <c r="B903" t="inlineStr">
        <is>
          <t>Zouvoul-IHS</t>
        </is>
      </c>
      <c r="C903" t="inlineStr">
        <is>
          <t>EXN_172</t>
        </is>
      </c>
      <c r="D903" t="inlineStr"/>
      <c r="E903" t="inlineStr">
        <is>
          <t>IHS</t>
        </is>
      </c>
      <c r="F903" t="inlineStr">
        <is>
          <t>Hybrid-Gen</t>
        </is>
      </c>
      <c r="G903" t="inlineStr">
        <is>
          <t>EXTREME-NORD</t>
        </is>
      </c>
      <c r="H903" t="inlineStr">
        <is>
          <t>Zouvoul</t>
        </is>
      </c>
      <c r="I903" t="inlineStr"/>
      <c r="J903" t="n">
        <v>32.73035489111984</v>
      </c>
      <c r="K903" t="n">
        <v>0</v>
      </c>
      <c r="L903" t="n">
        <v>0</v>
      </c>
      <c r="M903" t="n">
        <v>4.673891652299987</v>
      </c>
      <c r="N903" t="inlineStr">
        <is>
          <t>Insecurity</t>
        </is>
      </c>
      <c r="O903" t="inlineStr"/>
      <c r="P903" t="inlineStr">
        <is>
          <t>SPARE-ISSUE</t>
        </is>
      </c>
      <c r="Q903" t="inlineStr">
        <is>
          <t>SPARE-ISSUE</t>
        </is>
      </c>
      <c r="R903" t="inlineStr">
        <is>
          <t>SPARE-ISSUE</t>
        </is>
      </c>
      <c r="S903" t="inlineStr">
        <is>
          <t>SPARE-ISSUE</t>
        </is>
      </c>
      <c r="T903" t="inlineStr">
        <is>
          <t>27/03/2026 : Cde en cours 
26/03/2026 : Spare pas recu 
25/03/2026 : Spare quitter de maroua pour Douala 
23/03/2026 : Fiber faulty || cde en cours
21/03/2026 : Check SFP, Optical fiber if issue persit
20/03/2026 : need BO RAN analysis….27/03/2026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spare disponible au niveau du FME, FME on another point
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spare disponible au niveau du FME, FME on another point
27/03/2026 : Cde en cours 
26/03/2026 : Spare pas recu 
25/03/2026 : Spare quitter de maroua pour Douala 
23/03/2026 : Fiber faulty || cde en cours
21/03/2026 : Check SFP, Optical fiber if issue persit
20/03/2026 : need BO RAN analysis</t>
        </is>
      </c>
      <c r="U903" t="inlineStr">
        <is>
          <t>27/03/2026 : Cde en cours 26/03/2026 : Spare pas recu 25/03/2026 : Spare quitter de maroua pour Douala 23/03/2026 : Fiber faulty || cde en cours 21/03/2026 : Check SFP, Optical fiber if issue persit 20/03/2026 : need BO RAN analysis….27/03/2026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 spare disponible au niveau du FME, FME on another point 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 spare disponible au niveau du FME, FME on another point 27/03/2026 : Cde en cours 26/03/2026 : Spare pas recu 25/03/2026 : Spare quitter de maroua pour Douala 23/03/2026 : Fiber faulty || cde en cours 21/03/2026 : Check SFP, Optical fiber if issue persit 20/03/2026 : need BO RAN analysis</t>
        </is>
      </c>
    </row>
    <row r="904">
      <c r="A904" s="96" t="n">
        <v>46142</v>
      </c>
      <c r="B904" t="inlineStr">
        <is>
          <t>Otele-Camrail</t>
        </is>
      </c>
      <c r="C904" t="inlineStr">
        <is>
          <t>CTR_452</t>
        </is>
      </c>
      <c r="D904" t="inlineStr"/>
      <c r="E904" t="inlineStr">
        <is>
          <t>CAMUSAT</t>
        </is>
      </c>
      <c r="F904" t="inlineStr">
        <is>
          <t>Medium Grid + Solar + GE</t>
        </is>
      </c>
      <c r="G904" t="inlineStr">
        <is>
          <t>CENTRE</t>
        </is>
      </c>
      <c r="H904" t="inlineStr">
        <is>
          <t>Ngoumou</t>
        </is>
      </c>
      <c r="I904" t="inlineStr"/>
      <c r="J904" t="n">
        <v>32.72997599301615</v>
      </c>
      <c r="K904" t="n">
        <v>0</v>
      </c>
      <c r="L904" t="n">
        <v>0</v>
      </c>
      <c r="M904" t="n">
        <v>4.67383754568581</v>
      </c>
      <c r="N904" t="inlineStr">
        <is>
          <t>Operationnel</t>
        </is>
      </c>
      <c r="O904" t="inlineStr"/>
      <c r="P904" t="inlineStr">
        <is>
          <t>PDH</t>
        </is>
      </c>
      <c r="Q904" t="inlineStr">
        <is>
          <t>TX ISSUE</t>
        </is>
      </c>
      <c r="R904" t="inlineStr">
        <is>
          <t>MPR issue</t>
        </is>
      </c>
      <c r="S904" t="inlineStr">
        <is>
          <t>ACTIVE</t>
        </is>
      </c>
      <c r="T904" t="inlineStr">
        <is>
          <t>30/03/2026 : Besoin d'analyse Bo RAN….INC-20260330-00006486.,,Others Transmission equipement fault</t>
        </is>
      </c>
      <c r="U904" t="inlineStr">
        <is>
          <t>30/03/2026 : Besoin d'analyse Bo RAN….,,</t>
        </is>
      </c>
    </row>
    <row r="905">
      <c r="A905" s="96" t="n">
        <v>46142</v>
      </c>
      <c r="B905" t="inlineStr">
        <is>
          <t>Bertoua-Force-Tyre</t>
        </is>
      </c>
      <c r="C905" t="inlineStr">
        <is>
          <t>EST_120</t>
        </is>
      </c>
      <c r="D905" t="inlineStr"/>
      <c r="E905" t="inlineStr">
        <is>
          <t>CAMUSAT</t>
        </is>
      </c>
      <c r="F905" t="inlineStr">
        <is>
          <t>Medium Grid + GE</t>
        </is>
      </c>
      <c r="G905" t="inlineStr">
        <is>
          <t>EST</t>
        </is>
      </c>
      <c r="H905" t="inlineStr">
        <is>
          <t>Bertoua</t>
        </is>
      </c>
      <c r="I905" t="inlineStr"/>
      <c r="J905" t="n">
        <v>4.318889408454532</v>
      </c>
      <c r="K905" t="n">
        <v>1.853573140752981</v>
      </c>
      <c r="L905" t="n">
        <v>6.583870415241197</v>
      </c>
      <c r="M905" t="n">
        <v>4.672415982513062</v>
      </c>
      <c r="N905" t="inlineStr">
        <is>
          <t>Operationnel</t>
        </is>
      </c>
      <c r="O905" t="inlineStr"/>
      <c r="P905" t="inlineStr">
        <is>
          <t>AKTIVCO</t>
        </is>
      </c>
      <c r="Q905" t="inlineStr">
        <is>
          <t>POWER ISSUE</t>
        </is>
      </c>
      <c r="R905" t="inlineStr">
        <is>
          <t>AKTIVCO Defaut GE &amp; Power Cabinet</t>
        </is>
      </c>
      <c r="S905" t="inlineStr">
        <is>
          <t>PASSIVE</t>
        </is>
      </c>
      <c r="T905" t="inlineStr">
        <is>
          <t>INC-20260330-00012341.,,GE Fault</t>
        </is>
      </c>
      <c r="U905" t="inlineStr">
        <is>
          <t>GE Fault</t>
        </is>
      </c>
    </row>
    <row r="906">
      <c r="A906" s="96" t="n">
        <v>46142</v>
      </c>
      <c r="B906" t="inlineStr">
        <is>
          <t>Balikumbat-Ville</t>
        </is>
      </c>
      <c r="C906" t="inlineStr">
        <is>
          <t>NRO_033</t>
        </is>
      </c>
      <c r="D906" t="inlineStr"/>
      <c r="E906" t="inlineStr">
        <is>
          <t>IHS</t>
        </is>
      </c>
      <c r="F906" t="inlineStr">
        <is>
          <t>Grid-Gen</t>
        </is>
      </c>
      <c r="G906" t="inlineStr">
        <is>
          <t>NORD-OUEST</t>
        </is>
      </c>
      <c r="H906" t="inlineStr">
        <is>
          <t>Balikumbat</t>
        </is>
      </c>
      <c r="I906" t="inlineStr"/>
      <c r="J906" t="n">
        <v>0</v>
      </c>
      <c r="K906" t="n">
        <v>13.77031120903332</v>
      </c>
      <c r="L906" t="n">
        <v>0</v>
      </c>
      <c r="M906" t="n">
        <v>4.622852299869019</v>
      </c>
      <c r="N906" t="inlineStr">
        <is>
          <t>Insecurity</t>
        </is>
      </c>
      <c r="O906" t="inlineStr"/>
      <c r="P906" t="inlineStr">
        <is>
          <t>ACCESS-ISSUE</t>
        </is>
      </c>
      <c r="Q906" t="inlineStr">
        <is>
          <t>ACCESS-ISSUE</t>
        </is>
      </c>
      <c r="R906" t="inlineStr">
        <is>
          <t>ACCESS-ISSUE</t>
        </is>
      </c>
      <c r="S906" t="inlineStr">
        <is>
          <t>ACCESS-ISSUE</t>
        </is>
      </c>
      <c r="T906" t="inlineStr">
        <is>
          <t>30/03/2026 :Ghost town
27/03/2026 :probleme d'access
26/03/2026 : check ABIA needed….30/03/2026 :Ghost town
27/03/2026 :probleme d'access
26/03/2026 : check ABIA needed….30/03/2026 :Ghost town
27/03/2026 :probleme d'access
26/03/2026 : check ABIA needed….30/03/2026 :Ghost town
27/03/2026 :probleme d'access
26/03/2026 : check ABIA needed</t>
        </is>
      </c>
      <c r="U906" t="inlineStr">
        <is>
          <t>30/03/2026 : Ghost town 27/03/2026 : probleme d'access 26/03/2026 : check ABIA needed….30/03/2026 : Ghost town 27/03/2026 : probleme d'access 26/03/2026 : check ABIA needed….30/03/2026 : Ghost town 27/03/2026 : probleme d'access 26/03/2026 : check ABIA needed….30/03/2026 : Ghost town 27/03/2026 : probleme d'access 26/03/2026 : check ABIA needed</t>
        </is>
      </c>
    </row>
    <row r="907">
      <c r="A907" s="96" t="n">
        <v>46142</v>
      </c>
      <c r="B907" t="inlineStr">
        <is>
          <t>Bardake-IHS</t>
        </is>
      </c>
      <c r="C907" t="inlineStr">
        <is>
          <t>NRD_110</t>
        </is>
      </c>
      <c r="D907" t="inlineStr"/>
      <c r="E907" t="inlineStr">
        <is>
          <t>IHS</t>
        </is>
      </c>
      <c r="F907" t="inlineStr">
        <is>
          <t>Gen Only</t>
        </is>
      </c>
      <c r="G907" t="inlineStr">
        <is>
          <t>NORD</t>
        </is>
      </c>
      <c r="H907" t="inlineStr">
        <is>
          <t>Bardake</t>
        </is>
      </c>
      <c r="I907" t="inlineStr"/>
      <c r="J907" t="n">
        <v>0</v>
      </c>
      <c r="K907" t="n">
        <v>13.77031120903332</v>
      </c>
      <c r="L907" t="n">
        <v>0</v>
      </c>
      <c r="M907" t="n">
        <v>4.622852299869019</v>
      </c>
      <c r="N907" t="inlineStr">
        <is>
          <t>EXCLU</t>
        </is>
      </c>
      <c r="O907" t="inlineStr">
        <is>
          <t>UE Relay</t>
        </is>
      </c>
      <c r="P907" t="inlineStr">
        <is>
          <t>Exclu</t>
        </is>
      </c>
      <c r="Q907" t="inlineStr">
        <is>
          <t>Exclu</t>
        </is>
      </c>
      <c r="R907" t="inlineStr">
        <is>
          <t>exclu</t>
        </is>
      </c>
      <c r="S907" t="inlineStr">
        <is>
          <t>Exclu</t>
        </is>
      </c>
      <c r="T907" t="inlineStr">
        <is>
          <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t>
        </is>
      </c>
      <c r="U907" t="inlineStr">
        <is>
          <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t>
        </is>
      </c>
    </row>
    <row r="908">
      <c r="A908" s="96" t="n">
        <v>46142</v>
      </c>
      <c r="B908" t="inlineStr">
        <is>
          <t>Ouro-Dara</t>
        </is>
      </c>
      <c r="C908" t="inlineStr">
        <is>
          <t>ADM_148</t>
        </is>
      </c>
      <c r="D908" t="inlineStr"/>
      <c r="E908" t="inlineStr">
        <is>
          <t>CAMUSAT</t>
        </is>
      </c>
      <c r="F908" t="inlineStr">
        <is>
          <t>Hybrid Solar - S3</t>
        </is>
      </c>
      <c r="G908" t="inlineStr">
        <is>
          <t>ADAMAOUA</t>
        </is>
      </c>
      <c r="H908" t="inlineStr">
        <is>
          <t>Oura-Dara</t>
        </is>
      </c>
      <c r="I908" t="inlineStr"/>
      <c r="J908" t="n">
        <v>32.36544249007829</v>
      </c>
      <c r="K908" t="n">
        <v>0</v>
      </c>
      <c r="L908" t="n">
        <v>0</v>
      </c>
      <c r="M908" t="n">
        <v>4.621782195169976</v>
      </c>
      <c r="N908" t="inlineStr">
        <is>
          <t>Operationnel</t>
        </is>
      </c>
      <c r="O908" t="inlineStr"/>
      <c r="P908" t="inlineStr">
        <is>
          <t>PDH</t>
        </is>
      </c>
      <c r="Q908" t="inlineStr">
        <is>
          <t>TX ISSUE</t>
        </is>
      </c>
      <c r="R908" t="inlineStr">
        <is>
          <t>MPR issue</t>
        </is>
      </c>
      <c r="S908" t="inlineStr">
        <is>
          <t>ACTIVE</t>
        </is>
      </c>
      <c r="T908" t="inlineStr">
        <is>
          <t>30/03/2026 FME en route ETA=12H30 UTC // FME sur site 
29.03.2026 FME : Still troubleshooting with the level 0
29.03.2026: FME Frank activated is managing
29.03.2026: Need FME on the site to check Idirect and IBUC status….30/03/2026 FME en route ETA=12H30 UTC // FME sur site 
29.03.2026 FME : Still troubleshooting with the level 0
29.03.2026: FME Frank activated is managing
29.03.2026: Need FME on the site to check Idirect and IBUC status….30/03/2026 FME en route ETA=12H30 UTC 
29.03.2026 FME : Still troubleshooting with the level 0
29.03.2026: FME Frank activated is managing
29.03.2026: Need FME on the site to check Idirect and IBUC status</t>
        </is>
      </c>
      <c r="U908" t="inlineStr">
        <is>
          <t>30/03/2026 FME en route ETA=12H30 UTC // FME sur site 29.03.2026 FME : Still troubleshooting with the level 0 29.03.2026 : FME Frank activated is managing 29.03.2026 : Need FME on the site to check Idirect and IBUC status….30/03/2026 FME en route ETA=12H30 UTC // FME sur site 29.03.2026 FME : Still troubleshooting with the level 0 29.03.2026 : FME Frank activated is managing 29.03.2026 : Need FME on the site to check Idirect and IBUC status….30/03/2026 FME en route ETA=12H30 UTC 29.03.2026 FME : Still troubleshooting with the level 0 29.03.2026 : FME Frank activated is managing 29.03.2026 : Need FME on the site to check Idirect and IBUC status</t>
        </is>
      </c>
    </row>
    <row r="909">
      <c r="A909" s="96" t="n">
        <v>46142</v>
      </c>
      <c r="B909" t="inlineStr">
        <is>
          <t>KRIBI-MAKAO</t>
        </is>
      </c>
      <c r="C909" t="inlineStr">
        <is>
          <t>SUD_095</t>
        </is>
      </c>
      <c r="D909" t="inlineStr"/>
      <c r="E909" t="inlineStr">
        <is>
          <t>CAMUSAT</t>
        </is>
      </c>
      <c r="F909" t="inlineStr">
        <is>
          <t>Good Grid + GE</t>
        </is>
      </c>
      <c r="G909" t="inlineStr">
        <is>
          <t>SUD</t>
        </is>
      </c>
      <c r="H909" t="inlineStr">
        <is>
          <t>Kribi</t>
        </is>
      </c>
      <c r="I909" t="inlineStr"/>
      <c r="J909" t="n">
        <v>2.843872522571131</v>
      </c>
      <c r="K909" t="n">
        <v>5.070789599844958</v>
      </c>
      <c r="L909" t="n">
        <v>4.194875094940103</v>
      </c>
      <c r="M909" t="n">
        <v>4.296006654624422</v>
      </c>
      <c r="N909" t="inlineStr">
        <is>
          <t>Operationnel</t>
        </is>
      </c>
      <c r="O909" t="inlineStr"/>
      <c r="P909" t="inlineStr">
        <is>
          <t>AKTIVCO</t>
        </is>
      </c>
      <c r="Q909" t="inlineStr">
        <is>
          <t>POWER ISSUE</t>
        </is>
      </c>
      <c r="R909" t="inlineStr">
        <is>
          <t>AKTIVCO Defaut GE &amp; Power Cabinet</t>
        </is>
      </c>
      <c r="S909" t="inlineStr">
        <is>
          <t>PASSIVE</t>
        </is>
      </c>
      <c r="T909" t="inlineStr">
        <is>
          <t>Power status check ongoing….INC-20260330-00007474.,,GE Fault</t>
        </is>
      </c>
      <c r="U909" t="inlineStr">
        <is>
          <t>Power status check ongoing….,,GE Fault</t>
        </is>
      </c>
    </row>
    <row r="910">
      <c r="A910" s="96" t="n">
        <v>46142</v>
      </c>
      <c r="B910" t="inlineStr">
        <is>
          <t>Malende-IHS</t>
        </is>
      </c>
      <c r="C910" t="inlineStr">
        <is>
          <t>LIT_462</t>
        </is>
      </c>
      <c r="D910" t="inlineStr"/>
      <c r="E910" t="inlineStr">
        <is>
          <t>IHS</t>
        </is>
      </c>
      <c r="F910" t="inlineStr">
        <is>
          <t>Grid -Gen</t>
        </is>
      </c>
      <c r="G910" t="inlineStr">
        <is>
          <t>LITTORAL</t>
        </is>
      </c>
      <c r="H910" t="inlineStr">
        <is>
          <t>Malende</t>
        </is>
      </c>
      <c r="I910" t="inlineStr"/>
      <c r="J910" t="n">
        <v>14.22800269169213</v>
      </c>
      <c r="K910" t="n">
        <v>6.054793088323796</v>
      </c>
      <c r="L910" t="n">
        <v>0</v>
      </c>
      <c r="M910" t="n">
        <v>4.064421344728149</v>
      </c>
      <c r="N910" t="inlineStr">
        <is>
          <t>Operationnel</t>
        </is>
      </c>
      <c r="O910" t="inlineStr"/>
      <c r="P910" t="inlineStr">
        <is>
          <t>IHS</t>
        </is>
      </c>
      <c r="Q910" t="inlineStr">
        <is>
          <t>POWER ISSUE</t>
        </is>
      </c>
      <c r="R910" t="inlineStr">
        <is>
          <t>Defaut GE &amp; Power Cabinet</t>
        </is>
      </c>
      <c r="S910" t="inlineStr">
        <is>
          <t>PASSIVE</t>
        </is>
      </c>
      <c r="T910" t="inlineStr">
        <is>
          <t>INC-20260330-00002557.,,power issue managed by third party SBC .,,Others Transmission equipement fault</t>
        </is>
      </c>
      <c r="U910" t="inlineStr">
        <is>
          <t>power issue managed by third party SBC .,,</t>
        </is>
      </c>
    </row>
    <row r="911">
      <c r="A911" s="96" t="n">
        <v>46142</v>
      </c>
      <c r="B911" t="inlineStr">
        <is>
          <t>New-Town-Aeroport-IHS</t>
        </is>
      </c>
      <c r="C911" t="inlineStr">
        <is>
          <t>LIT_428</t>
        </is>
      </c>
      <c r="D911" t="inlineStr"/>
      <c r="E911" t="inlineStr">
        <is>
          <t>IHS</t>
        </is>
      </c>
      <c r="F911" t="inlineStr">
        <is>
          <t>Grid-Gen</t>
        </is>
      </c>
      <c r="G911" t="inlineStr">
        <is>
          <t>LITTORAL</t>
        </is>
      </c>
      <c r="H911" t="inlineStr">
        <is>
          <t>Douala</t>
        </is>
      </c>
      <c r="I911" t="inlineStr"/>
      <c r="J911" t="n">
        <v>0.6668175405361119</v>
      </c>
      <c r="K911" t="n">
        <v>0.2782750390158824</v>
      </c>
      <c r="L911" t="n">
        <v>7.101081934129627</v>
      </c>
      <c r="M911" t="n">
        <v>3.891774604560644</v>
      </c>
      <c r="N911" t="inlineStr">
        <is>
          <t>Operationnel</t>
        </is>
      </c>
      <c r="O911" t="inlineStr"/>
      <c r="P911" t="inlineStr">
        <is>
          <t>PDH</t>
        </is>
      </c>
      <c r="Q911" t="inlineStr">
        <is>
          <t>TX ISSUE</t>
        </is>
      </c>
      <c r="R911" t="inlineStr">
        <is>
          <t>MPR issue</t>
        </is>
      </c>
      <c r="S911" t="inlineStr">
        <is>
          <t>ACTIVE</t>
        </is>
      </c>
      <c r="T911" t="inlineStr">
        <is>
          <t>INC-20260330-00006745.,,Others Transmission equipement fault</t>
        </is>
      </c>
      <c r="U911" t="inlineStr"/>
    </row>
    <row r="912">
      <c r="A912" s="96" t="n">
        <v>46142</v>
      </c>
      <c r="B912" t="inlineStr">
        <is>
          <t>Garoua-Ngalbidje-II</t>
        </is>
      </c>
      <c r="C912" t="inlineStr">
        <is>
          <t>NRD_158</t>
        </is>
      </c>
      <c r="D912" t="inlineStr"/>
      <c r="E912" t="inlineStr">
        <is>
          <t>CAMUSAT</t>
        </is>
      </c>
      <c r="F912" t="inlineStr">
        <is>
          <t>Good Grid + Solar + GE</t>
        </is>
      </c>
      <c r="G912" t="inlineStr">
        <is>
          <t>NORD</t>
        </is>
      </c>
      <c r="H912" t="inlineStr">
        <is>
          <t>Garoua</t>
        </is>
      </c>
      <c r="I912" t="inlineStr"/>
      <c r="J912" t="n">
        <v>2.626554200688225</v>
      </c>
      <c r="K912" t="n">
        <v>2.279645269983101</v>
      </c>
      <c r="L912" t="n">
        <v>5.007782626015887</v>
      </c>
      <c r="M912" t="n">
        <v>3.75187625023899</v>
      </c>
      <c r="N912" t="inlineStr">
        <is>
          <t>Operationnel</t>
        </is>
      </c>
      <c r="O912" t="inlineStr"/>
      <c r="P912" t="inlineStr">
        <is>
          <t>PDH</t>
        </is>
      </c>
      <c r="Q912" t="inlineStr">
        <is>
          <t>TX ISSUE</t>
        </is>
      </c>
      <c r="R912" t="inlineStr">
        <is>
          <t>MPR issue</t>
        </is>
      </c>
      <c r="S912" t="inlineStr">
        <is>
          <t>ACTIVE</t>
        </is>
      </c>
      <c r="T912" t="inlineStr">
        <is>
          <t>INC-20260330-00015426.,,Others Transmission equipement fault</t>
        </is>
      </c>
      <c r="U912" t="inlineStr"/>
    </row>
    <row r="913">
      <c r="A913" s="96" t="n">
        <v>46142</v>
      </c>
      <c r="B913" t="inlineStr">
        <is>
          <t>Soa-UNIV-MTN</t>
        </is>
      </c>
      <c r="C913" t="inlineStr">
        <is>
          <t>CTR_431</t>
        </is>
      </c>
      <c r="D913" t="inlineStr"/>
      <c r="E913" t="inlineStr">
        <is>
          <t>IHS</t>
        </is>
      </c>
      <c r="F913" t="inlineStr">
        <is>
          <t>Grid-Gen</t>
        </is>
      </c>
      <c r="G913" t="inlineStr">
        <is>
          <t>CENTRE</t>
        </is>
      </c>
      <c r="H913" t="inlineStr">
        <is>
          <t>Yaounde</t>
        </is>
      </c>
      <c r="I913" t="inlineStr"/>
      <c r="J913" t="n">
        <v>23.26579979137441</v>
      </c>
      <c r="K913" t="n">
        <v>0.2133548218189725</v>
      </c>
      <c r="L913" t="n">
        <v>0.6677613506775493</v>
      </c>
      <c r="M913" t="n">
        <v>3.742209637790962</v>
      </c>
      <c r="N913" t="inlineStr">
        <is>
          <t>Operationnel</t>
        </is>
      </c>
      <c r="O913" t="inlineStr"/>
      <c r="P913" t="inlineStr">
        <is>
          <t>PDH</t>
        </is>
      </c>
      <c r="Q913" t="inlineStr">
        <is>
          <t>TX ISSUE</t>
        </is>
      </c>
      <c r="R913" t="inlineStr">
        <is>
          <t>MPR issue</t>
        </is>
      </c>
      <c r="S913" t="inlineStr">
        <is>
          <t>ACTIVE</t>
        </is>
      </c>
      <c r="T913" t="inlineStr">
        <is>
          <t>28/03/2026 : Besoin d'analyse BO RAN  || Site unstable due to transmission….28/03/2026 : Besoin d'analyse BO RAN  || Site unstable due to transmission….28/03/2026 : Besoin d'analyse BO RAN  || Site unstable due to transmission….Power status check ongoing….INC-20260330-00005815.,,CB fallen in DC box IHD.,,Others Transmission equipement fault</t>
        </is>
      </c>
      <c r="U913" t="inlineStr">
        <is>
          <t>28/03/2026 : Besoin d'analyse BO RAN || Site unstable due to transmission….28/03/2026 : Besoin d'analyse BO RAN || Site unstable due to transmission….28/03/2026 : Besoin d'analyse BO RAN || Site unstable due to transmission….Power status check ongoing….,,CB fallen in DC box IHD.,,</t>
        </is>
      </c>
    </row>
    <row r="914">
      <c r="A914" s="96" t="n">
        <v>46142</v>
      </c>
      <c r="B914" t="inlineStr">
        <is>
          <t>Fondjanti</t>
        </is>
      </c>
      <c r="C914" t="inlineStr">
        <is>
          <t>OST_158</t>
        </is>
      </c>
      <c r="D914" t="inlineStr"/>
      <c r="E914" t="inlineStr">
        <is>
          <t>IHS</t>
        </is>
      </c>
      <c r="F914" t="inlineStr">
        <is>
          <t>Grid-Gen</t>
        </is>
      </c>
      <c r="G914" t="inlineStr">
        <is>
          <t>OUEST</t>
        </is>
      </c>
      <c r="H914" t="inlineStr">
        <is>
          <t>Fondjanti</t>
        </is>
      </c>
      <c r="I914" t="inlineStr"/>
      <c r="J914" t="n">
        <v>3.359942084161857</v>
      </c>
      <c r="K914" t="n">
        <v>6.258797698827994</v>
      </c>
      <c r="L914" t="n">
        <v>1.699379961783188</v>
      </c>
      <c r="M914" t="n">
        <v>3.467157202053491</v>
      </c>
      <c r="N914" t="inlineStr">
        <is>
          <t>Operationnel</t>
        </is>
      </c>
      <c r="O914" t="inlineStr"/>
      <c r="P914" t="inlineStr">
        <is>
          <t>IHS</t>
        </is>
      </c>
      <c r="Q914" t="inlineStr">
        <is>
          <t>POWER ISSUE</t>
        </is>
      </c>
      <c r="R914" t="inlineStr">
        <is>
          <t>Defaut GE &amp; Power Cabinet</t>
        </is>
      </c>
      <c r="S914" t="inlineStr">
        <is>
          <t>PASSIVE</t>
        </is>
      </c>
      <c r="T914" t="inlineStr">
        <is>
          <t>INC-20260330-00007814.,,GE Fault</t>
        </is>
      </c>
      <c r="U914" t="inlineStr">
        <is>
          <t>GE Fault</t>
        </is>
      </c>
    </row>
    <row r="915">
      <c r="A915" s="96" t="n">
        <v>46142</v>
      </c>
      <c r="B915" t="inlineStr">
        <is>
          <t>Ntumbaw</t>
        </is>
      </c>
      <c r="C915" t="inlineStr">
        <is>
          <t>NRO_245</t>
        </is>
      </c>
      <c r="D915" t="inlineStr"/>
      <c r="E915" t="inlineStr">
        <is>
          <t>IHS</t>
        </is>
      </c>
      <c r="F915" t="inlineStr">
        <is>
          <t>Gen Only</t>
        </is>
      </c>
      <c r="G915" t="inlineStr">
        <is>
          <t>NORD-OUEST</t>
        </is>
      </c>
      <c r="H915" t="inlineStr">
        <is>
          <t>Ntumbaw</t>
        </is>
      </c>
      <c r="I915" t="inlineStr"/>
      <c r="J915" t="n">
        <v>0.1654521719449698</v>
      </c>
      <c r="K915" t="n">
        <v>9.91627098272421</v>
      </c>
      <c r="L915" t="n">
        <v>0</v>
      </c>
      <c r="M915" t="n">
        <v>3.352633098190056</v>
      </c>
      <c r="N915" t="inlineStr">
        <is>
          <t>Insecurity</t>
        </is>
      </c>
      <c r="O915" t="inlineStr"/>
      <c r="P915" t="inlineStr">
        <is>
          <t>PDH</t>
        </is>
      </c>
      <c r="Q915" t="inlineStr">
        <is>
          <t>TX ISSUE</t>
        </is>
      </c>
      <c r="R915" t="inlineStr">
        <is>
          <t>MPR issue</t>
        </is>
      </c>
      <c r="S915" t="inlineStr">
        <is>
          <t>ACTIVE</t>
        </is>
      </c>
      <c r="T915" t="inlineStr">
        <is>
          <t>Power status check ongoing….INC-20260330-00010443.,,Others Transmission equipement fault</t>
        </is>
      </c>
      <c r="U915" t="inlineStr">
        <is>
          <t>Power status check ongoing….,,</t>
        </is>
      </c>
    </row>
    <row r="916">
      <c r="A916" s="96" t="n">
        <v>46142</v>
      </c>
      <c r="B916" t="inlineStr">
        <is>
          <t>Tagawa-IHS</t>
        </is>
      </c>
      <c r="C916" t="inlineStr">
        <is>
          <t>EXN_274</t>
        </is>
      </c>
      <c r="D916" t="inlineStr"/>
      <c r="E916" t="inlineStr">
        <is>
          <t>IHS</t>
        </is>
      </c>
      <c r="F916" t="inlineStr">
        <is>
          <t>Gen Only</t>
        </is>
      </c>
      <c r="G916" t="inlineStr">
        <is>
          <t>EXTREME-NORD</t>
        </is>
      </c>
      <c r="H916" t="inlineStr">
        <is>
          <t>Tagawa</t>
        </is>
      </c>
      <c r="I916" t="inlineStr"/>
      <c r="J916" t="n">
        <v>10.22747021355707</v>
      </c>
      <c r="K916" t="n">
        <v>4.370945475884684</v>
      </c>
      <c r="L916" t="n">
        <v>0.6815782820820938</v>
      </c>
      <c r="M916" t="n">
        <v>3.283293887493325</v>
      </c>
      <c r="N916" t="inlineStr">
        <is>
          <t>Insecurity</t>
        </is>
      </c>
      <c r="O916" t="inlineStr"/>
      <c r="P916" t="inlineStr">
        <is>
          <t>BSS</t>
        </is>
      </c>
      <c r="Q916" t="inlineStr">
        <is>
          <t>RAN ISSUE</t>
        </is>
      </c>
      <c r="R916" t="inlineStr">
        <is>
          <t>BSS Hardware issue</t>
        </is>
      </c>
      <c r="S916" t="inlineStr">
        <is>
          <t>ACTIVE</t>
        </is>
      </c>
      <c r="T916" t="inlineStr">
        <is>
          <t>30/03/2026 : Check and replace FAN,FXDB if needed
29/03/2026 : need BO RAN analysis ||Closed after reset but FME should check and replace FAN, FXDB if needed….30/03/2026 : Check and replace FAN,FXDB if needed
29/03/2026 : need BO RAN analysis ||Closed after reset but FME should check and replace FAN, FXDB if needed….30/03/2026 : Check and replace FAN,FXDB if needed
29/03/2026 : need BO RAN analysis ||Closed after reset but FME should check and replace FAN, FXDB if needed….30/03/2026 : Check and replace FAN,FXDB if needed
29/03/2026 : need BO RAN analysis ||Closed after reset but FME should check and replace FAN, FXDB if needed….INC-20260330-00003154.,,Others Transmission equipement fault</t>
        </is>
      </c>
      <c r="U916" t="inlineStr">
        <is>
          <t>30/03/2026 : Check and replace FAN,FXDB if needed 29/03/2026 : need BO RAN analysis || Closed after reset but FME should check and replace FAN, FXDB if needed….30/03/2026 : Check and replace FAN,FXDB if needed 29/03/2026 : need BO RAN analysis || Closed after reset but FME should check and replace FAN, FXDB if needed….30/03/2026 : Check and replace FAN,FXDB if needed 29/03/2026 : need BO RAN analysis || Closed after reset but FME should check and replace FAN, FXDB if needed….30/03/2026 : Check and replace FAN,FXDB if needed 29/03/2026 : need BO RAN analysis || Closed after reset but FME should check and replace FAN, FXDB if needed….,,</t>
        </is>
      </c>
    </row>
    <row r="917">
      <c r="A917" s="96" t="n">
        <v>46142</v>
      </c>
      <c r="B917" t="inlineStr">
        <is>
          <t>Roua</t>
        </is>
      </c>
      <c r="C917" t="inlineStr">
        <is>
          <t>EXN_108</t>
        </is>
      </c>
      <c r="D917" t="inlineStr"/>
      <c r="E917" t="inlineStr">
        <is>
          <t>IHS</t>
        </is>
      </c>
      <c r="F917" t="inlineStr">
        <is>
          <t>Grid-Gen</t>
        </is>
      </c>
      <c r="G917" t="inlineStr">
        <is>
          <t>EXTREME-NORD</t>
        </is>
      </c>
      <c r="H917" t="inlineStr">
        <is>
          <t>Roua</t>
        </is>
      </c>
      <c r="I917" t="inlineStr"/>
      <c r="J917" t="n">
        <v>11.45979461170461</v>
      </c>
      <c r="K917" t="n">
        <v>4.464725902805403</v>
      </c>
      <c r="L917" t="n">
        <v>0</v>
      </c>
      <c r="M917" t="n">
        <v>3.135317592806613</v>
      </c>
      <c r="N917" t="inlineStr">
        <is>
          <t>Insecurity</t>
        </is>
      </c>
      <c r="O917" t="inlineStr"/>
      <c r="P917" t="inlineStr">
        <is>
          <t>IHS</t>
        </is>
      </c>
      <c r="Q917" t="inlineStr">
        <is>
          <t>POWER ISSUE</t>
        </is>
      </c>
      <c r="R917" t="inlineStr">
        <is>
          <t>Defaut GE &amp; Power Cabinet</t>
        </is>
      </c>
      <c r="S917" t="inlineStr">
        <is>
          <t>PASSIVE</t>
        </is>
      </c>
      <c r="T917" t="inlineStr">
        <is>
          <t>Power status check ongoing….INC-20260330-00013950.,,GE Fault</t>
        </is>
      </c>
      <c r="U917" t="inlineStr">
        <is>
          <t>Power status check ongoing….,,GE Fault</t>
        </is>
      </c>
    </row>
    <row r="918">
      <c r="A918" s="96" t="n">
        <v>46142</v>
      </c>
      <c r="B918" t="inlineStr">
        <is>
          <t>Messondo</t>
        </is>
      </c>
      <c r="C918" t="inlineStr">
        <is>
          <t>LIT_134</t>
        </is>
      </c>
      <c r="D918" t="inlineStr"/>
      <c r="E918" t="inlineStr">
        <is>
          <t>CAMUSAT</t>
        </is>
      </c>
      <c r="F918" t="inlineStr">
        <is>
          <t>HGB</t>
        </is>
      </c>
      <c r="G918" t="inlineStr">
        <is>
          <t>LITTORAL</t>
        </is>
      </c>
      <c r="H918" t="inlineStr">
        <is>
          <t>Messondo</t>
        </is>
      </c>
      <c r="I918" t="inlineStr"/>
      <c r="J918" t="n">
        <v>10.90999199767205</v>
      </c>
      <c r="K918" t="n">
        <v>4.590103736344441</v>
      </c>
      <c r="L918" t="n">
        <v>0</v>
      </c>
      <c r="M918" t="n">
        <v>3.098896615184943</v>
      </c>
      <c r="N918" t="inlineStr">
        <is>
          <t>Operationnel</t>
        </is>
      </c>
      <c r="O918" t="inlineStr"/>
      <c r="P918" t="inlineStr">
        <is>
          <t>ACCESS-ISSUE</t>
        </is>
      </c>
      <c r="Q918" t="inlineStr">
        <is>
          <t>ACCESS-ISSUE</t>
        </is>
      </c>
      <c r="R918" t="inlineStr">
        <is>
          <t>ACCESS-ISSUE</t>
        </is>
      </c>
      <c r="S918" t="inlineStr">
        <is>
          <t>ACCESS-ISSUE</t>
        </is>
      </c>
      <c r="T918" t="inlineStr">
        <is>
          <t>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t>
        </is>
      </c>
      <c r="U918" t="inlineStr">
        <is>
          <t>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t>
        </is>
      </c>
    </row>
    <row r="919">
      <c r="A919" s="96" t="n">
        <v>46142</v>
      </c>
      <c r="B919" t="inlineStr">
        <is>
          <t>Port_Autonome_Kribi</t>
        </is>
      </c>
      <c r="C919" t="inlineStr">
        <is>
          <t>SUD_092</t>
        </is>
      </c>
      <c r="D919" t="inlineStr"/>
      <c r="E919" t="inlineStr">
        <is>
          <t>CAMUSAT</t>
        </is>
      </c>
      <c r="F919" t="inlineStr">
        <is>
          <t>Good Grid no GE - 8h</t>
        </is>
      </c>
      <c r="G919" t="inlineStr">
        <is>
          <t>SUD</t>
        </is>
      </c>
      <c r="H919" t="inlineStr">
        <is>
          <t>Kribi</t>
        </is>
      </c>
      <c r="I919" t="inlineStr"/>
      <c r="J919" t="n">
        <v>0</v>
      </c>
      <c r="K919" t="n">
        <v>9.180207472688883</v>
      </c>
      <c r="L919" t="n">
        <v>0</v>
      </c>
      <c r="M919" t="n">
        <v>3.081901533246013</v>
      </c>
      <c r="N919" t="inlineStr">
        <is>
          <t>Operationnel</t>
        </is>
      </c>
      <c r="O919" t="inlineStr"/>
      <c r="P919" t="inlineStr">
        <is>
          <t>ACCESS-ISSUE</t>
        </is>
      </c>
      <c r="Q919" t="inlineStr">
        <is>
          <t>ACCESS-ISSUE</t>
        </is>
      </c>
      <c r="R919" t="inlineStr">
        <is>
          <t>ACCESS-ISSUE</t>
        </is>
      </c>
      <c r="S919" t="inlineStr">
        <is>
          <t>ACCESS-ISSUE</t>
        </is>
      </c>
      <c r="T919" t="inlineStr">
        <is>
          <t>30/03/2026 Demande d'accès en cours au port ETA=40 MIN escalade L3 CAMUSAT 
29.03.2026: Le minisite est alimenté par le biais d'une prise murale du port de kribi/ Intervention possible uniquement lundi car le port n'est pas en service en week-end selon le fme escalade L2 camusat….30/03/2026 Demande d'accès en cours au port ETA=40 MIN
29.03.2026: Le minisite est alimenté par le biais d'une prise murale du port de kribi/ Intervention possible uniquement lundi car le port n'est pas en service en week-end selon le fme….30/03/2026 Demande d'accès en cours au port ETA=40 MIN
29.03.2026: Le minisite est alimenté par le biais d'une prise murale du port de kribi/ Intervention possible uniquement lundi car le port n'est pas en service en week-end selon le fme</t>
        </is>
      </c>
      <c r="U919" t="inlineStr">
        <is>
          <t>30/03/2026 Demande d'accès en cours au port ETA=40 MIN escalade L3 CAMUSAT 29.03.2026 : Le minisite est alimenté par le biais d'une prise murale du port de kribi/ Intervention possible uniquement lundi car le port n'est pas en service en week-end selon le fme escalade L2 camusat….30/03/2026 Demande d'accès en cours au port ETA=40 MIN 29.03.2026 : Le minisite est alimenté par le biais d'une prise murale du port de kribi/ Intervention possible uniquement lundi car le port n'est pas en service en week-end selon le fme….30/03/2026 Demande d'accès en cours au port ETA=40 MIN 29.03.2026 : Le minisite est alimenté par le biais d'une prise murale du port de kribi/ Intervention possible uniquement lundi car le port n'est pas en service en week-end selon le fme</t>
        </is>
      </c>
    </row>
    <row r="920">
      <c r="A920" s="96" t="n">
        <v>46142</v>
      </c>
      <c r="B920" t="inlineStr">
        <is>
          <t>Mimboman-Chapelle</t>
        </is>
      </c>
      <c r="C920" t="inlineStr">
        <is>
          <t>CTR_772</t>
        </is>
      </c>
      <c r="D920" t="inlineStr"/>
      <c r="E920" t="inlineStr">
        <is>
          <t>CAMUSAT</t>
        </is>
      </c>
      <c r="F920" t="inlineStr">
        <is>
          <t>Good Grid no GE - 8h</t>
        </is>
      </c>
      <c r="G920" t="inlineStr">
        <is>
          <t>CENTRE</t>
        </is>
      </c>
      <c r="H920" t="inlineStr">
        <is>
          <t>Yaounde</t>
        </is>
      </c>
      <c r="I920" t="inlineStr"/>
      <c r="J920" t="n">
        <v>2.640792297639174</v>
      </c>
      <c r="K920" t="n">
        <v>2.349240592837399</v>
      </c>
      <c r="L920" t="n">
        <v>3.567777930995235</v>
      </c>
      <c r="M920" t="n">
        <v>3.026327429209008</v>
      </c>
      <c r="N920" t="inlineStr">
        <is>
          <t>exclu</t>
        </is>
      </c>
      <c r="O920" t="inlineStr">
        <is>
          <t>UE Relay</t>
        </is>
      </c>
      <c r="P920" t="inlineStr">
        <is>
          <t>Exclu</t>
        </is>
      </c>
      <c r="Q920" t="inlineStr">
        <is>
          <t>Exclu</t>
        </is>
      </c>
      <c r="R920" t="inlineStr">
        <is>
          <t>exclu</t>
        </is>
      </c>
      <c r="S920" t="inlineStr">
        <is>
          <t>Exclu</t>
        </is>
      </c>
      <c r="T920" t="inlineStr">
        <is>
          <t>30/03/2026 : Besoin d'analyse Bo RAN….INC-20260330-00013742.,,2026-03-30 20:38:14.,,Grid outage, Grid only site / Grid return awaited.,,Others Transmission equipement fault</t>
        </is>
      </c>
      <c r="U920" t="inlineStr">
        <is>
          <t>30/03/2026 : Besoin d'analyse Bo RAN….,,2026-03-30 20 : 38 : 14.,,Grid outage, Grid only site / Grid return awaited.,,</t>
        </is>
      </c>
    </row>
    <row r="921">
      <c r="A921" s="96" t="n">
        <v>46142</v>
      </c>
      <c r="B921" t="inlineStr">
        <is>
          <t>Ebolowa-SIM</t>
        </is>
      </c>
      <c r="C921" t="inlineStr">
        <is>
          <t>SUD_097</t>
        </is>
      </c>
      <c r="D921" t="inlineStr"/>
      <c r="E921" t="inlineStr">
        <is>
          <t>CAMUSAT</t>
        </is>
      </c>
      <c r="F921" t="inlineStr">
        <is>
          <t>Good Grid + GE</t>
        </is>
      </c>
      <c r="G921" t="inlineStr">
        <is>
          <t>SUD</t>
        </is>
      </c>
      <c r="H921" t="inlineStr">
        <is>
          <t>Ebolowa</t>
        </is>
      </c>
      <c r="I921" t="inlineStr"/>
      <c r="J921" t="n">
        <v>1.734799707444576</v>
      </c>
      <c r="K921" t="n">
        <v>3.244098316621956</v>
      </c>
      <c r="L921" t="n">
        <v>3.231930736954079</v>
      </c>
      <c r="M921" t="n">
        <v>3.022225361196005</v>
      </c>
      <c r="N921" t="inlineStr">
        <is>
          <t>Operationnel</t>
        </is>
      </c>
      <c r="O921" t="inlineStr"/>
      <c r="P921" t="inlineStr">
        <is>
          <t>AKTIVCO</t>
        </is>
      </c>
      <c r="Q921" t="inlineStr">
        <is>
          <t>POWER ISSUE</t>
        </is>
      </c>
      <c r="R921" t="inlineStr">
        <is>
          <t>AKTIVCO Defaut GE &amp; Power Cabinet</t>
        </is>
      </c>
      <c r="S921" t="inlineStr">
        <is>
          <t>PASSIVE</t>
        </is>
      </c>
      <c r="T921" t="inlineStr">
        <is>
          <t>INC-20260330-00001017.,,2026-03-30 01:49:19.,,FME is managing with level0.,,Auto TT closure RCA.,,GE Fault</t>
        </is>
      </c>
      <c r="U921" t="inlineStr">
        <is>
          <t>2026-03-30 01 : 49 : 19.,,FME is managing with level0.,,Auto TT closure RCA.,,GE Fault</t>
        </is>
      </c>
    </row>
    <row r="922">
      <c r="A922" s="96" t="n">
        <v>46142</v>
      </c>
      <c r="B922" t="inlineStr">
        <is>
          <t>Nitob-IHS</t>
        </is>
      </c>
      <c r="C922" t="inlineStr">
        <is>
          <t>NRO_122</t>
        </is>
      </c>
      <c r="D922" t="inlineStr"/>
      <c r="E922" t="inlineStr">
        <is>
          <t>IHS</t>
        </is>
      </c>
      <c r="F922" t="inlineStr">
        <is>
          <t>Grid-Gen</t>
        </is>
      </c>
      <c r="G922" t="inlineStr">
        <is>
          <t>NORD-OUEST</t>
        </is>
      </c>
      <c r="H922" t="inlineStr">
        <is>
          <t>Bamenda</t>
        </is>
      </c>
      <c r="I922" t="inlineStr"/>
      <c r="J922" t="n">
        <v>2.08575630772674</v>
      </c>
      <c r="K922" t="n">
        <v>2.663694574497383</v>
      </c>
      <c r="L922" t="n">
        <v>3.347014831449852</v>
      </c>
      <c r="M922" t="n">
        <v>2.937508739188375</v>
      </c>
      <c r="N922" t="inlineStr">
        <is>
          <t>Operationnel</t>
        </is>
      </c>
      <c r="O922" t="inlineStr"/>
      <c r="P922" t="inlineStr">
        <is>
          <t>PDH</t>
        </is>
      </c>
      <c r="Q922" t="inlineStr">
        <is>
          <t>TX ISSUE</t>
        </is>
      </c>
      <c r="R922" t="inlineStr">
        <is>
          <t>MPR issue</t>
        </is>
      </c>
      <c r="S922" t="inlineStr">
        <is>
          <t>ACTIVE</t>
        </is>
      </c>
      <c r="T922" t="inlineStr">
        <is>
          <t>INC-20260330-00004044.,,Others Transmission equipement fault</t>
        </is>
      </c>
      <c r="U922" t="inlineStr"/>
    </row>
    <row r="923">
      <c r="A923" s="96" t="n">
        <v>46142</v>
      </c>
      <c r="B923" t="inlineStr">
        <is>
          <t>Galim-Tignere</t>
        </is>
      </c>
      <c r="C923" t="inlineStr">
        <is>
          <t>ADM_024</t>
        </is>
      </c>
      <c r="D923" t="inlineStr"/>
      <c r="E923" t="inlineStr">
        <is>
          <t>IHS</t>
        </is>
      </c>
      <c r="F923" t="inlineStr">
        <is>
          <t>Hybrid-Gen</t>
        </is>
      </c>
      <c r="G923" t="inlineStr">
        <is>
          <t>ADAMAOUA</t>
        </is>
      </c>
      <c r="H923" t="inlineStr">
        <is>
          <t>Galim-Tignere</t>
        </is>
      </c>
      <c r="I923" t="inlineStr"/>
      <c r="J923" t="n">
        <v>2.480772184231372</v>
      </c>
      <c r="K923" t="n">
        <v>7.663196691132005</v>
      </c>
      <c r="L923" t="n">
        <v>0</v>
      </c>
      <c r="M923" t="n">
        <v>2.926877555193374</v>
      </c>
      <c r="N923" t="inlineStr">
        <is>
          <t>Operationnel</t>
        </is>
      </c>
      <c r="O923" t="inlineStr"/>
      <c r="P923" t="inlineStr">
        <is>
          <t>PDH</t>
        </is>
      </c>
      <c r="Q923" t="inlineStr">
        <is>
          <t>TX ISSUE</t>
        </is>
      </c>
      <c r="R923" t="inlineStr">
        <is>
          <t>MPR issue</t>
        </is>
      </c>
      <c r="S923" t="inlineStr">
        <is>
          <t>ACTIVE</t>
        </is>
      </c>
      <c r="T923" t="inlineStr">
        <is>
          <t>INC-20260330-00016069.,,Others Transmission equipement fault</t>
        </is>
      </c>
      <c r="U923" t="inlineStr"/>
    </row>
    <row r="924">
      <c r="A924" s="96" t="n">
        <v>46142</v>
      </c>
      <c r="B924" t="inlineStr">
        <is>
          <t>Bpriso-Vanitex-New</t>
        </is>
      </c>
      <c r="C924" t="inlineStr">
        <is>
          <t>LIT_410</t>
        </is>
      </c>
      <c r="D924" t="inlineStr"/>
      <c r="E924" t="inlineStr">
        <is>
          <t>IHS</t>
        </is>
      </c>
      <c r="F924" t="inlineStr">
        <is>
          <t>Grid-Gen</t>
        </is>
      </c>
      <c r="G924" t="inlineStr">
        <is>
          <t>LITTORAL</t>
        </is>
      </c>
      <c r="H924" t="inlineStr">
        <is>
          <t>Douala</t>
        </is>
      </c>
      <c r="I924" t="inlineStr"/>
      <c r="J924" t="n">
        <v>1.408197746683773</v>
      </c>
      <c r="K924" t="n">
        <v>1.280341435716447</v>
      </c>
      <c r="L924" t="n">
        <v>4.372511584334173</v>
      </c>
      <c r="M924" t="n">
        <v>2.911130658356948</v>
      </c>
      <c r="N924" t="inlineStr">
        <is>
          <t>Operationnel</t>
        </is>
      </c>
      <c r="O924" t="inlineStr"/>
      <c r="P924" t="inlineStr">
        <is>
          <t>IHS</t>
        </is>
      </c>
      <c r="Q924" t="inlineStr">
        <is>
          <t>POWER ISSUE</t>
        </is>
      </c>
      <c r="R924" t="inlineStr">
        <is>
          <t>Defaut GE &amp; Power Cabinet</t>
        </is>
      </c>
      <c r="S924" t="inlineStr">
        <is>
          <t>PASSIVE</t>
        </is>
      </c>
      <c r="T924" t="inlineStr">
        <is>
          <t>INC-20260330-00009330.,,GE Fault</t>
        </is>
      </c>
      <c r="U924" t="inlineStr">
        <is>
          <t>GE Fault</t>
        </is>
      </c>
    </row>
    <row r="925">
      <c r="A925" s="96" t="n">
        <v>46142</v>
      </c>
      <c r="B925" t="inlineStr">
        <is>
          <t>Ngd-Bamyangal-rural</t>
        </is>
      </c>
      <c r="C925" t="inlineStr">
        <is>
          <t>ADM_151</t>
        </is>
      </c>
      <c r="D925" t="inlineStr"/>
      <c r="E925" t="inlineStr">
        <is>
          <t>CAMUSAT</t>
        </is>
      </c>
      <c r="F925" t="inlineStr">
        <is>
          <t>Medium Grid + Solar + GE</t>
        </is>
      </c>
      <c r="G925" t="inlineStr">
        <is>
          <t>ADAMAOUA</t>
        </is>
      </c>
      <c r="H925" t="inlineStr">
        <is>
          <t>Ngaoundere</t>
        </is>
      </c>
      <c r="I925" t="inlineStr"/>
      <c r="J925" t="n">
        <v>4.423801701777314</v>
      </c>
      <c r="K925" t="n">
        <v>5.658737262462131</v>
      </c>
      <c r="L925" t="n">
        <v>0.6947796076319803</v>
      </c>
      <c r="M925" t="n">
        <v>2.893741456997486</v>
      </c>
      <c r="N925" t="inlineStr">
        <is>
          <t>Operationnel</t>
        </is>
      </c>
      <c r="O925" t="inlineStr"/>
      <c r="P925" t="inlineStr">
        <is>
          <t>AKTIVCO</t>
        </is>
      </c>
      <c r="Q925" t="inlineStr">
        <is>
          <t>POWER ISSUE</t>
        </is>
      </c>
      <c r="R925" t="inlineStr">
        <is>
          <t>AKTIVCO Defaut GE &amp; Power Cabinet</t>
        </is>
      </c>
      <c r="S925" t="inlineStr">
        <is>
          <t>PASSIVE</t>
        </is>
      </c>
      <c r="T925" t="inlineStr">
        <is>
          <t>Power status check ongoing….INC-20260330-00014377.,,Auto TT closure RCA.,,GE Fault</t>
        </is>
      </c>
      <c r="U925" t="inlineStr">
        <is>
          <t>Power status check ongoing….,,Auto TT closure RCA.,,GE Fault</t>
        </is>
      </c>
    </row>
    <row r="926">
      <c r="A926" s="96" t="n">
        <v>46142</v>
      </c>
      <c r="B926" t="inlineStr">
        <is>
          <t>Nkolfoulou-ENIA-MTN</t>
        </is>
      </c>
      <c r="C926" t="inlineStr">
        <is>
          <t>CTR_837</t>
        </is>
      </c>
      <c r="D926" t="inlineStr"/>
      <c r="E926" t="inlineStr">
        <is>
          <t>MTN</t>
        </is>
      </c>
      <c r="F926" t="inlineStr"/>
      <c r="G926" t="inlineStr">
        <is>
          <t>CENTRE</t>
        </is>
      </c>
      <c r="H926" t="inlineStr">
        <is>
          <t>Yaounde</t>
        </is>
      </c>
      <c r="I926" t="inlineStr"/>
      <c r="J926" t="n">
        <v>1.628638458248904</v>
      </c>
      <c r="K926" t="n">
        <v>1.761771066026091</v>
      </c>
      <c r="L926" t="n">
        <v>3.784026587606458</v>
      </c>
      <c r="M926" t="n">
        <v>2.797342858691961</v>
      </c>
      <c r="N926" t="inlineStr">
        <is>
          <t>Operationnel</t>
        </is>
      </c>
      <c r="O926" t="inlineStr"/>
      <c r="P926" t="inlineStr">
        <is>
          <t>Partners</t>
        </is>
      </c>
      <c r="Q926" t="inlineStr">
        <is>
          <t>POWER ISSUE</t>
        </is>
      </c>
      <c r="R926" t="inlineStr">
        <is>
          <t>Sharing</t>
        </is>
      </c>
      <c r="S926" t="inlineStr">
        <is>
          <t>PASSIVE</t>
        </is>
      </c>
      <c r="T926" t="inlineStr">
        <is>
          <t>site down….site down….INC-20260330-00003789.,,Power issue (GE fail to start after grid outage)</t>
        </is>
      </c>
      <c r="U926" t="inlineStr">
        <is>
          <t>site down….site down….,,Power issue (GE fail to start after grid outage)</t>
        </is>
      </c>
    </row>
    <row r="927">
      <c r="A927" s="96" t="n">
        <v>46142</v>
      </c>
      <c r="B927" t="inlineStr">
        <is>
          <t>Bertoua-Tigaza</t>
        </is>
      </c>
      <c r="C927" t="inlineStr">
        <is>
          <t>EST_079</t>
        </is>
      </c>
      <c r="D927" t="inlineStr"/>
      <c r="E927" t="inlineStr">
        <is>
          <t>IHS</t>
        </is>
      </c>
      <c r="F927" t="inlineStr">
        <is>
          <t>Grid-Gen</t>
        </is>
      </c>
      <c r="G927" t="inlineStr">
        <is>
          <t>EST</t>
        </is>
      </c>
      <c r="H927" t="inlineStr">
        <is>
          <t>Bertoua</t>
        </is>
      </c>
      <c r="I927" t="inlineStr"/>
      <c r="J927" t="n">
        <v>1.80486613191372</v>
      </c>
      <c r="K927" t="n">
        <v>3.066444301641216</v>
      </c>
      <c r="L927" t="n">
        <v>2.483354017690051</v>
      </c>
      <c r="M927" t="n">
        <v>2.582216144027532</v>
      </c>
      <c r="N927" t="inlineStr">
        <is>
          <t>Operationnel</t>
        </is>
      </c>
      <c r="O927" t="inlineStr"/>
      <c r="P927" t="inlineStr">
        <is>
          <t>Fiber AOF</t>
        </is>
      </c>
      <c r="Q927" t="inlineStr">
        <is>
          <t>TX ISSUE</t>
        </is>
      </c>
      <c r="R927" t="inlineStr">
        <is>
          <t>fiber AOF</t>
        </is>
      </c>
      <c r="S927" t="inlineStr">
        <is>
          <t>ACTIVE</t>
        </is>
      </c>
      <c r="T927" t="inlineStr">
        <is>
          <t>INC-20260330-00002203.,,2026-03-30 04:24:39.,,AOF BERTOUA &lt;&gt; BERTOUA TIGAZA DOWN.,,Reroutage du trafic sur le FH.,,AOF Cut.,,COUPURE LIAISON OPTIM RADIO BERTOUA &lt;&gt; BERTOUA TIGAZA</t>
        </is>
      </c>
      <c r="U927" t="inlineStr">
        <is>
          <t>2026-03-30 04 : 24 : 39.,,AOF BERTOUA &lt;&gt; BERTOUA TIGAZA DOWN.,,Reroutage du trafic sur le FH.,,AOF Cut.,,COUPURE LIAISON OPTIM RADIO BERTOUA &lt;&gt; BERTOUA TIGAZA</t>
        </is>
      </c>
    </row>
    <row r="928">
      <c r="A928" s="96" t="n">
        <v>46142</v>
      </c>
      <c r="B928" t="inlineStr">
        <is>
          <t>Ebogo</t>
        </is>
      </c>
      <c r="C928" t="inlineStr">
        <is>
          <t>CTR_313</t>
        </is>
      </c>
      <c r="D928" t="inlineStr"/>
      <c r="E928" t="inlineStr">
        <is>
          <t>IHS</t>
        </is>
      </c>
      <c r="F928" t="inlineStr">
        <is>
          <t>Grid-Gen</t>
        </is>
      </c>
      <c r="G928" t="inlineStr">
        <is>
          <t>CENTRE</t>
        </is>
      </c>
      <c r="H928" t="inlineStr">
        <is>
          <t>Yaounde</t>
        </is>
      </c>
      <c r="I928" t="inlineStr"/>
      <c r="J928" t="n">
        <v>1.637381149359136</v>
      </c>
      <c r="K928" t="n">
        <v>1.454170364250231</v>
      </c>
      <c r="L928" t="n">
        <v>3.32427161515277</v>
      </c>
      <c r="M928" t="n">
        <v>2.455569252895704</v>
      </c>
      <c r="N928" t="inlineStr">
        <is>
          <t>Operationnel</t>
        </is>
      </c>
      <c r="O928" t="inlineStr"/>
      <c r="P928" t="inlineStr">
        <is>
          <t>IHS</t>
        </is>
      </c>
      <c r="Q928" t="inlineStr">
        <is>
          <t>POWER ISSUE</t>
        </is>
      </c>
      <c r="R928" t="inlineStr">
        <is>
          <t>Defaut GE &amp; Power Cabinet</t>
        </is>
      </c>
      <c r="S928" t="inlineStr">
        <is>
          <t>PASSIVE</t>
        </is>
      </c>
      <c r="T928" t="inlineStr">
        <is>
          <t>site down….INC-20260330-00006289.,,2026-03-30 10:59:00.,,Grid outage gen failed to start due to card GE dysfunctionning //We reset card GE and gen manually started.,,Power issue (GE fall to start after grid outage).,,Others Transmission equipement fault</t>
        </is>
      </c>
      <c r="U928" t="inlineStr">
        <is>
          <t>site down….,,2026-03-30 10 : 59 : 00.,,Grid outage gen failed to start due to card GE dysfunctionning //We reset card GE and gen manually started.,,Power issue (GE fall to start after grid outage).,,</t>
        </is>
      </c>
    </row>
    <row r="929">
      <c r="A929" s="96" t="n">
        <v>46142</v>
      </c>
      <c r="B929" t="inlineStr">
        <is>
          <t>Moloundou</t>
        </is>
      </c>
      <c r="C929" t="inlineStr">
        <is>
          <t>EST_015</t>
        </is>
      </c>
      <c r="D929" t="inlineStr"/>
      <c r="E929" t="inlineStr">
        <is>
          <t>IHS</t>
        </is>
      </c>
      <c r="F929" t="inlineStr">
        <is>
          <t>Solar-Gen</t>
        </is>
      </c>
      <c r="G929" t="inlineStr">
        <is>
          <t>EST</t>
        </is>
      </c>
      <c r="H929" t="inlineStr">
        <is>
          <t>Moloundou</t>
        </is>
      </c>
      <c r="I929" t="inlineStr"/>
      <c r="J929" t="n">
        <v>1.211237405528978</v>
      </c>
      <c r="K929" t="n">
        <v>6.477305762110223</v>
      </c>
      <c r="L929" t="n">
        <v>0</v>
      </c>
      <c r="M929" t="n">
        <v>2.347470843213967</v>
      </c>
      <c r="N929" t="inlineStr">
        <is>
          <t>Operationnel</t>
        </is>
      </c>
      <c r="O929" t="inlineStr"/>
      <c r="P929" t="inlineStr">
        <is>
          <t>SPARE-ISSUE</t>
        </is>
      </c>
      <c r="Q929" t="inlineStr">
        <is>
          <t>SPARE-ISSUE</t>
        </is>
      </c>
      <c r="R929" t="inlineStr">
        <is>
          <t>SPARE-ISSUE</t>
        </is>
      </c>
      <c r="S929" t="inlineStr">
        <is>
          <t>SPARE-ISSUE</t>
        </is>
      </c>
      <c r="T929" t="inlineStr">
        <is>
          <t>29/03/2026 : Radio recue || ETA : 2/04/2026
27/03/2026 : Cde en cours 
 26/03/2026 : cde de la FRGU en cours 
25/03/2026 : FRGU faulty || cde en cours
24/03/2026 : Action avec le level 0 
23/03/2026 : need BO RAN analysis || Check and replace module if needed….29/03/2026 : Radio recue || ETA : 2/04/2026
27/03/2026 : Cde en cours 
 26/03/2026 : cde de la FRGU en cours 
25/03/2026 : FRGU faulty || cde en cours
24/03/2026 : Action avec le level 0 
23/03/2026 : need BO RAN analysis || Check and replace module if needed….29/03/2026 : Radio recue || ETA : 2/04/2026
27/03/2026 : Cde en cours 
 26/03/2026 : cde de la FRGU en cours 
25/03/2026 : FRGU faulty || cde en cours
24/03/2026 : Action avec le level 0 
23/03/2026 : need BO RAN analysis || Check and replace module if needed….INC-20260330-00011966.,,Others Transmission equipement fault</t>
        </is>
      </c>
      <c r="U929" t="inlineStr">
        <is>
          <t>29/03/2026 : Radio recue || ETA : 2/04/2026 27/03/2026 : Cde en cours 26/03/2026 : cde de la FRGU en cours 25/03/2026 : FRGU faulty || cde en cours 24/03/2026 : Action avec le level 0 23/03/2026 : need BO RAN analysis || Check and replace module if needed….29/03/2026 : Radio recue || ETA : 2/04/2026 27/03/2026 : Cde en cours 26/03/2026 : cde de la FRGU en cours 25/03/2026 : FRGU faulty || cde en cours 24/03/2026 : Action avec le level 0 23/03/2026 : need BO RAN analysis || Check and replace module if needed….29/03/2026 : Radio recue || ETA : 2/04/2026 27/03/2026 : Cde en cours 26/03/2026 : cde de la FRGU en cours 25/03/2026 : FRGU faulty || cde en cours 24/03/2026 : Action avec le level 0 23/03/2026 : need BO RAN analysis || Check and replace module if needed….,,</t>
        </is>
      </c>
    </row>
    <row r="930">
      <c r="A930" s="96" t="n">
        <v>46142</v>
      </c>
      <c r="B930" t="inlineStr">
        <is>
          <t>Bangolan</t>
        </is>
      </c>
      <c r="C930" t="inlineStr">
        <is>
          <t>NRO_050</t>
        </is>
      </c>
      <c r="D930" t="inlineStr"/>
      <c r="E930" t="inlineStr">
        <is>
          <t>IHS</t>
        </is>
      </c>
      <c r="F930" t="inlineStr">
        <is>
          <t>Hybrid-Gen</t>
        </is>
      </c>
      <c r="G930" t="inlineStr">
        <is>
          <t>NORD-OUEST</t>
        </is>
      </c>
      <c r="H930" t="inlineStr">
        <is>
          <t>Bangolan</t>
        </is>
      </c>
      <c r="I930" t="inlineStr"/>
      <c r="J930" t="n">
        <v>8.118144470310556</v>
      </c>
      <c r="K930" t="n">
        <v>3.523860889256097</v>
      </c>
      <c r="L930" t="n">
        <v>0</v>
      </c>
      <c r="M930" t="n">
        <v>2.342271024573561</v>
      </c>
      <c r="N930" t="inlineStr">
        <is>
          <t>Insecurity</t>
        </is>
      </c>
      <c r="O930" t="inlineStr"/>
      <c r="P930" t="inlineStr">
        <is>
          <t>PDH</t>
        </is>
      </c>
      <c r="Q930" t="inlineStr">
        <is>
          <t>TX ISSUE</t>
        </is>
      </c>
      <c r="R930" t="inlineStr">
        <is>
          <t>MPR issue</t>
        </is>
      </c>
      <c r="S930" t="inlineStr">
        <is>
          <t>ACTIVE</t>
        </is>
      </c>
      <c r="T930" t="inlineStr">
        <is>
          <t>INC-20260330-00001847.,,Others Transmission equipement fault</t>
        </is>
      </c>
      <c r="U930" t="inlineStr"/>
    </row>
    <row r="931">
      <c r="A931" s="96" t="n">
        <v>46142</v>
      </c>
      <c r="B931" t="inlineStr">
        <is>
          <t>Garoua-Djamboutou-Village</t>
        </is>
      </c>
      <c r="C931" t="inlineStr">
        <is>
          <t>NRD_060</t>
        </is>
      </c>
      <c r="D931" t="inlineStr"/>
      <c r="E931" t="inlineStr">
        <is>
          <t>IHS</t>
        </is>
      </c>
      <c r="F931" t="inlineStr">
        <is>
          <t>Grid-Gen</t>
        </is>
      </c>
      <c r="G931" t="inlineStr">
        <is>
          <t>NORD</t>
        </is>
      </c>
      <c r="H931" t="inlineStr">
        <is>
          <t>Garoua</t>
        </is>
      </c>
      <c r="I931" t="inlineStr"/>
      <c r="J931" t="n">
        <v>0.1592418737935086</v>
      </c>
      <c r="K931" t="n">
        <v>4.695824875642189</v>
      </c>
      <c r="L931" t="n">
        <v>1.11578561156748</v>
      </c>
      <c r="M931" t="n">
        <v>2.181051727434345</v>
      </c>
      <c r="N931" t="inlineStr">
        <is>
          <t>Operationnel</t>
        </is>
      </c>
      <c r="O931" t="inlineStr"/>
      <c r="P931" t="inlineStr">
        <is>
          <t>IHS</t>
        </is>
      </c>
      <c r="Q931" t="inlineStr">
        <is>
          <t>POWER ISSUE</t>
        </is>
      </c>
      <c r="R931" t="inlineStr">
        <is>
          <t>Defaut GE &amp; Power Cabinet</t>
        </is>
      </c>
      <c r="S931" t="inlineStr">
        <is>
          <t>PASSIVE</t>
        </is>
      </c>
      <c r="T931" t="inlineStr">
        <is>
          <t>28/03/2027 :  Nous allons clos le problème le 30/03/2026 en remplaçant les rectifiers….30/03/2026  : Relance faite ce jour a HIS || Feedback HIS : Nous avons eu un probleme de base connector sur le MPR de ce site ceci est due aux mauvaises tensions Eneo et nous compte résoudre cela le 04/04/2026.
28/03/2027 :  Nous allons clos le problème le 30/03/2026 en remplaçant les rectifiers</t>
        </is>
      </c>
      <c r="U931" t="inlineStr">
        <is>
          <t>28/03/2027 : Nous allons clos le problème le 30/03/2026 en remplaçant les rectifiers….30/03/2026 : Relance faite ce jour a HIS || Feedback HIS : Nous avons eu un probleme de base connector sur le MPR de ce site ceci est due aux mauvaises tensions Eneo et nous compte résoudre cela le 04/04/2026. 28/03/2027 : Nous allons clos le problème le 30/03/2026 en remplaçant les rectifiers</t>
        </is>
      </c>
    </row>
    <row r="932">
      <c r="A932" s="96" t="n">
        <v>46142</v>
      </c>
      <c r="B932" t="inlineStr">
        <is>
          <t>Boko-Hospital-IHS</t>
        </is>
      </c>
      <c r="C932" t="inlineStr">
        <is>
          <t>LIT_632</t>
        </is>
      </c>
      <c r="D932" t="inlineStr"/>
      <c r="E932" t="inlineStr">
        <is>
          <t>IHS</t>
        </is>
      </c>
      <c r="F932" t="inlineStr">
        <is>
          <t>Grid-Gen</t>
        </is>
      </c>
      <c r="G932" t="inlineStr">
        <is>
          <t>LITTORAL</t>
        </is>
      </c>
      <c r="H932" t="inlineStr">
        <is>
          <t>Douala</t>
        </is>
      </c>
      <c r="I932" t="inlineStr"/>
      <c r="J932" t="n">
        <v>0.8965005255606313</v>
      </c>
      <c r="K932" t="n">
        <v>0.8211185572793954</v>
      </c>
      <c r="L932" t="n">
        <v>3.388328824362453</v>
      </c>
      <c r="M932" t="n">
        <v>2.170653876775305</v>
      </c>
      <c r="N932" t="inlineStr">
        <is>
          <t>Operationnel</t>
        </is>
      </c>
      <c r="O932" t="inlineStr"/>
      <c r="P932" t="inlineStr">
        <is>
          <t>IHS</t>
        </is>
      </c>
      <c r="Q932" t="inlineStr">
        <is>
          <t>POWER ISSUE</t>
        </is>
      </c>
      <c r="R932" t="inlineStr">
        <is>
          <t>Defaut GE &amp; Power Cabinet</t>
        </is>
      </c>
      <c r="S932" t="inlineStr">
        <is>
          <t>PASSIVE</t>
        </is>
      </c>
      <c r="T932" t="inlineStr">
        <is>
          <t>INC-20260330-00015004.,, Access Issue during the Night because the Landlord prohibits the access to the site after 6:30 PM.,,Grid return.,,GE Fault</t>
        </is>
      </c>
      <c r="U932" t="inlineStr">
        <is>
          <t>Access Issue during the Night because the Landlord prohibits the access to the site after 6 : 30 PM.,,Grid return.,,GE Fault</t>
        </is>
      </c>
    </row>
    <row r="933">
      <c r="A933" s="96" t="n">
        <v>46142</v>
      </c>
      <c r="B933" t="inlineStr">
        <is>
          <t>Newb-Srce-Quartier</t>
        </is>
      </c>
      <c r="C933" t="inlineStr">
        <is>
          <t>LIT_095</t>
        </is>
      </c>
      <c r="D933" t="inlineStr"/>
      <c r="E933" t="inlineStr">
        <is>
          <t>IHS</t>
        </is>
      </c>
      <c r="F933" t="inlineStr">
        <is>
          <t>GridOnly</t>
        </is>
      </c>
      <c r="G933" t="inlineStr">
        <is>
          <t>LITTORAL</t>
        </is>
      </c>
      <c r="H933" t="inlineStr">
        <is>
          <t>Douala</t>
        </is>
      </c>
      <c r="I933" t="inlineStr"/>
      <c r="J933" t="n">
        <v>0.7689821309385354</v>
      </c>
      <c r="K933" t="n">
        <v>0.7650172893907403</v>
      </c>
      <c r="L933" t="n">
        <v>3.342021583962074</v>
      </c>
      <c r="M933" t="n">
        <v>2.109461723068319</v>
      </c>
      <c r="N933" t="inlineStr">
        <is>
          <t>Operationnel</t>
        </is>
      </c>
      <c r="O933" t="inlineStr"/>
      <c r="P933" t="inlineStr">
        <is>
          <t>IHS GRID ONLY</t>
        </is>
      </c>
      <c r="Q933" t="inlineStr">
        <is>
          <t>POWER ISSUE</t>
        </is>
      </c>
      <c r="R933" t="inlineStr">
        <is>
          <t>Coupure ENEO &amp; Baisse de tension</t>
        </is>
      </c>
      <c r="S933" t="inlineStr">
        <is>
          <t>PASSIVE</t>
        </is>
      </c>
      <c r="T933" t="inlineStr">
        <is>
          <t>INC-20260330-00010345.,,Others</t>
        </is>
      </c>
      <c r="U933" t="inlineStr">
        <is>
          <t>Others</t>
        </is>
      </c>
    </row>
    <row r="934">
      <c r="A934" s="96" t="n">
        <v>46142</v>
      </c>
      <c r="B934" t="inlineStr">
        <is>
          <t>Missoke-Chefferie</t>
        </is>
      </c>
      <c r="C934" t="inlineStr">
        <is>
          <t>LIT_732</t>
        </is>
      </c>
      <c r="D934" t="inlineStr"/>
      <c r="E934" t="inlineStr">
        <is>
          <t>CAMUSAT</t>
        </is>
      </c>
      <c r="F934" t="inlineStr">
        <is>
          <t>Good Grid no GE - 8h</t>
        </is>
      </c>
      <c r="G934" t="inlineStr">
        <is>
          <t>LITTORAL</t>
        </is>
      </c>
      <c r="H934" t="inlineStr">
        <is>
          <t>Douala</t>
        </is>
      </c>
      <c r="I934" t="inlineStr"/>
      <c r="J934" t="n">
        <v>0.7453768649409094</v>
      </c>
      <c r="K934" t="n">
        <v>0.6730027098612422</v>
      </c>
      <c r="L934" t="n">
        <v>3.036920482328558</v>
      </c>
      <c r="M934" t="n">
        <v>1.916093803951113</v>
      </c>
      <c r="N934" t="inlineStr">
        <is>
          <t>Operationnel</t>
        </is>
      </c>
      <c r="O934" t="inlineStr"/>
      <c r="P934" t="inlineStr">
        <is>
          <t>PDH</t>
        </is>
      </c>
      <c r="Q934" t="inlineStr">
        <is>
          <t>TX ISSUE</t>
        </is>
      </c>
      <c r="R934" t="inlineStr">
        <is>
          <t>MPR issue</t>
        </is>
      </c>
      <c r="S934" t="inlineStr">
        <is>
          <t>ACTIVE</t>
        </is>
      </c>
      <c r="T934" t="inlineStr">
        <is>
          <t>INC-20260330-00011344.,,Others Transmission equipement fault</t>
        </is>
      </c>
      <c r="U934" t="inlineStr"/>
    </row>
    <row r="935">
      <c r="A935" s="96" t="n">
        <v>46142</v>
      </c>
      <c r="B935" t="inlineStr">
        <is>
          <t>Ebogo-II</t>
        </is>
      </c>
      <c r="C935" t="inlineStr">
        <is>
          <t>CTR_867</t>
        </is>
      </c>
      <c r="D935" t="inlineStr"/>
      <c r="E935" t="inlineStr">
        <is>
          <t>CAMUSAT</t>
        </is>
      </c>
      <c r="F935" t="inlineStr">
        <is>
          <t>HGB</t>
        </is>
      </c>
      <c r="G935" t="inlineStr">
        <is>
          <t>CENTRE</t>
        </is>
      </c>
      <c r="H935" t="inlineStr">
        <is>
          <t>Ebogo</t>
        </is>
      </c>
      <c r="I935" t="inlineStr"/>
      <c r="J935" t="n">
        <v>1.642127181676119</v>
      </c>
      <c r="K935" t="n">
        <v>1.395200281526363</v>
      </c>
      <c r="L935" t="n">
        <v>2.253117428047988</v>
      </c>
      <c r="M935" t="n">
        <v>1.877855396038615</v>
      </c>
      <c r="N935" t="inlineStr">
        <is>
          <t>Operationnel</t>
        </is>
      </c>
      <c r="O935" t="inlineStr"/>
      <c r="P935" t="inlineStr">
        <is>
          <t>AKTIVCO</t>
        </is>
      </c>
      <c r="Q935" t="inlineStr">
        <is>
          <t>POWER ISSUE</t>
        </is>
      </c>
      <c r="R935" t="inlineStr">
        <is>
          <t>AKTIVCO Defaut GE &amp; Power Cabinet</t>
        </is>
      </c>
      <c r="S935" t="inlineStr">
        <is>
          <t>PASSIVE</t>
        </is>
      </c>
      <c r="T935" t="inlineStr">
        <is>
          <t>INC-20260330-00006288.,,Power issue (GE fall to start after grid outage).,,Others Transmission equipement fault</t>
        </is>
      </c>
      <c r="U935" t="inlineStr">
        <is>
          <t>Power issue (GE fall to start after grid outage).,,</t>
        </is>
      </c>
    </row>
    <row r="936">
      <c r="A936" s="96" t="n">
        <v>46142</v>
      </c>
      <c r="B936" t="inlineStr">
        <is>
          <t>Baaba-II</t>
        </is>
      </c>
      <c r="C936" t="inlineStr">
        <is>
          <t>CTR_879</t>
        </is>
      </c>
      <c r="D936" t="inlineStr"/>
      <c r="E936" t="inlineStr">
        <is>
          <t>CAMUSAT</t>
        </is>
      </c>
      <c r="F936" t="inlineStr">
        <is>
          <t>Hybrid Solar - S3</t>
        </is>
      </c>
      <c r="G936" t="inlineStr">
        <is>
          <t>CENTRE</t>
        </is>
      </c>
      <c r="H936" t="inlineStr">
        <is>
          <t>Baaba</t>
        </is>
      </c>
      <c r="I936" t="inlineStr"/>
      <c r="J936" t="n">
        <v>1.610029015742839</v>
      </c>
      <c r="K936" t="n">
        <v>1.368105919193775</v>
      </c>
      <c r="L936" t="n">
        <v>2.210332821149262</v>
      </c>
      <c r="M936" t="n">
        <v>1.84186420799411</v>
      </c>
      <c r="N936" t="inlineStr">
        <is>
          <t>Operationnel</t>
        </is>
      </c>
      <c r="O936" t="inlineStr"/>
      <c r="P936" t="inlineStr">
        <is>
          <t>AKTIVCO</t>
        </is>
      </c>
      <c r="Q936" t="inlineStr">
        <is>
          <t>POWER ISSUE</t>
        </is>
      </c>
      <c r="R936" t="inlineStr">
        <is>
          <t>AKTIVCO Defaut GE &amp; Power Cabinet</t>
        </is>
      </c>
      <c r="S936" t="inlineStr">
        <is>
          <t>PASSIVE</t>
        </is>
      </c>
      <c r="T936" t="inlineStr">
        <is>
          <t>INC-20260330-00006290.,,GE Fault</t>
        </is>
      </c>
      <c r="U936" t="inlineStr">
        <is>
          <t>GE Fault</t>
        </is>
      </c>
    </row>
    <row r="937">
      <c r="A937" s="96" t="n">
        <v>46142</v>
      </c>
      <c r="B937" t="inlineStr">
        <is>
          <t>Emombo</t>
        </is>
      </c>
      <c r="C937" t="inlineStr">
        <is>
          <t>CTR_212</t>
        </is>
      </c>
      <c r="D937" t="inlineStr"/>
      <c r="E937" t="inlineStr">
        <is>
          <t>IHS</t>
        </is>
      </c>
      <c r="F937" t="inlineStr">
        <is>
          <t>Grid-Gen</t>
        </is>
      </c>
      <c r="G937" t="inlineStr">
        <is>
          <t>CENTRE</t>
        </is>
      </c>
      <c r="H937" t="inlineStr">
        <is>
          <t>Yaounde</t>
        </is>
      </c>
      <c r="I937" t="inlineStr"/>
      <c r="J937" t="n">
        <v>1.173269146993114</v>
      </c>
      <c r="K937" t="n">
        <v>1.254415849798205</v>
      </c>
      <c r="L937" t="n">
        <v>2.308521954967202</v>
      </c>
      <c r="M937" t="n">
        <v>1.792532381368194</v>
      </c>
      <c r="N937" t="inlineStr">
        <is>
          <t>Operationnel</t>
        </is>
      </c>
      <c r="O937" t="inlineStr"/>
      <c r="P937" t="inlineStr">
        <is>
          <t>IHS</t>
        </is>
      </c>
      <c r="Q937" t="inlineStr">
        <is>
          <t>POWER ISSUE</t>
        </is>
      </c>
      <c r="R937" t="inlineStr">
        <is>
          <t>Defaut GE &amp; Power Cabinet</t>
        </is>
      </c>
      <c r="S937" t="inlineStr">
        <is>
          <t>PASSIVE</t>
        </is>
      </c>
      <c r="T937" t="inlineStr">
        <is>
          <t>INC-20260330-00014069.,,GE Fault</t>
        </is>
      </c>
      <c r="U937" t="inlineStr">
        <is>
          <t>GE Fault</t>
        </is>
      </c>
    </row>
    <row r="938">
      <c r="A938" s="96" t="n">
        <v>46142</v>
      </c>
      <c r="B938" t="inlineStr">
        <is>
          <t>Nkambe</t>
        </is>
      </c>
      <c r="C938" t="inlineStr">
        <is>
          <t>NRO_005</t>
        </is>
      </c>
      <c r="D938" t="inlineStr"/>
      <c r="E938" t="inlineStr">
        <is>
          <t>CAMUSAT</t>
        </is>
      </c>
      <c r="F938" t="inlineStr">
        <is>
          <t>HGB</t>
        </is>
      </c>
      <c r="G938" t="inlineStr">
        <is>
          <t>NORD-OUEST</t>
        </is>
      </c>
      <c r="H938" t="inlineStr">
        <is>
          <t>Nkambe</t>
        </is>
      </c>
      <c r="I938" t="inlineStr"/>
      <c r="J938" t="n">
        <v>2.654181216353848</v>
      </c>
      <c r="K938" t="n">
        <v>3.990999571590318</v>
      </c>
      <c r="L938" t="n">
        <v>0</v>
      </c>
      <c r="M938" t="n">
        <v>1.718841420735308</v>
      </c>
      <c r="N938" t="inlineStr">
        <is>
          <t>Insecurity</t>
        </is>
      </c>
      <c r="O938" t="inlineStr"/>
      <c r="P938" t="inlineStr">
        <is>
          <t>PDH</t>
        </is>
      </c>
      <c r="Q938" t="inlineStr">
        <is>
          <t>TX ISSUE</t>
        </is>
      </c>
      <c r="R938" t="inlineStr">
        <is>
          <t>MPR issue</t>
        </is>
      </c>
      <c r="S938" t="inlineStr">
        <is>
          <t>ACTIVE</t>
        </is>
      </c>
      <c r="T938" t="inlineStr">
        <is>
          <t>Power status check ongoing….INC-20260330-00014961.,,Others Transmission equipement fault</t>
        </is>
      </c>
      <c r="U938" t="inlineStr">
        <is>
          <t>Power status check ongoing….,,</t>
        </is>
      </c>
    </row>
    <row r="939">
      <c r="A939" s="96" t="n">
        <v>46142</v>
      </c>
      <c r="B939" t="inlineStr">
        <is>
          <t>Maroua-Ouro-Tchede</t>
        </is>
      </c>
      <c r="C939" t="inlineStr">
        <is>
          <t>EXN_092</t>
        </is>
      </c>
      <c r="D939" t="inlineStr"/>
      <c r="E939" t="inlineStr">
        <is>
          <t>IHS</t>
        </is>
      </c>
      <c r="F939" t="inlineStr">
        <is>
          <t>Grid-Gen</t>
        </is>
      </c>
      <c r="G939" t="inlineStr">
        <is>
          <t>EXTREME-NORD</t>
        </is>
      </c>
      <c r="H939" t="inlineStr">
        <is>
          <t>Maroua</t>
        </is>
      </c>
      <c r="I939" t="inlineStr"/>
      <c r="J939" t="n">
        <v>2.237504446282907</v>
      </c>
      <c r="K939" t="n">
        <v>2.049874452162619</v>
      </c>
      <c r="L939" t="n">
        <v>1.353648873742249</v>
      </c>
      <c r="M939" t="n">
        <v>1.713594324735399</v>
      </c>
      <c r="N939" t="inlineStr">
        <is>
          <t>Operationnel</t>
        </is>
      </c>
      <c r="O939" t="inlineStr"/>
      <c r="P939" t="inlineStr">
        <is>
          <t>IHS</t>
        </is>
      </c>
      <c r="Q939" t="inlineStr">
        <is>
          <t>POWER ISSUE</t>
        </is>
      </c>
      <c r="R939" t="inlineStr">
        <is>
          <t>Defaut GE &amp; Power Cabinet</t>
        </is>
      </c>
      <c r="S939" t="inlineStr">
        <is>
          <t>PASSIVE</t>
        </is>
      </c>
      <c r="T939" t="inlineStr">
        <is>
          <t>30/03/2026 : Power issue || Mail sent to HIS</t>
        </is>
      </c>
      <c r="U939" t="inlineStr">
        <is>
          <t>30/03/2026 : Power issue || Mail sent to HIS</t>
        </is>
      </c>
    </row>
    <row r="940">
      <c r="A940" s="96" t="n">
        <v>46142</v>
      </c>
      <c r="B940" t="inlineStr">
        <is>
          <t>Agape</t>
        </is>
      </c>
      <c r="C940" t="inlineStr">
        <is>
          <t>LIT_609</t>
        </is>
      </c>
      <c r="D940" t="inlineStr"/>
      <c r="E940" t="inlineStr">
        <is>
          <t>CAMUSAT</t>
        </is>
      </c>
      <c r="F940" t="inlineStr">
        <is>
          <t>Good Grid no GE - 8h</t>
        </is>
      </c>
      <c r="G940" t="inlineStr">
        <is>
          <t>LITTORAL</t>
        </is>
      </c>
      <c r="H940" t="inlineStr">
        <is>
          <t>Douala</t>
        </is>
      </c>
      <c r="I940" t="inlineStr"/>
      <c r="J940" t="n">
        <v>0.8475414553433329</v>
      </c>
      <c r="K940" t="n">
        <v>0.9161082040454108</v>
      </c>
      <c r="L940" t="n">
        <v>2.3615324591183</v>
      </c>
      <c r="M940" t="n">
        <v>1.660089089783211</v>
      </c>
      <c r="N940" t="inlineStr">
        <is>
          <t>Operationnel</t>
        </is>
      </c>
      <c r="O940" t="inlineStr"/>
      <c r="P940" t="inlineStr">
        <is>
          <t>PDH</t>
        </is>
      </c>
      <c r="Q940" t="inlineStr">
        <is>
          <t>TX ISSUE</t>
        </is>
      </c>
      <c r="R940" t="inlineStr">
        <is>
          <t>MPR issue</t>
        </is>
      </c>
      <c r="S940" t="inlineStr">
        <is>
          <t>ACTIVE</t>
        </is>
      </c>
      <c r="T940" t="inlineStr">
        <is>
          <t>Power status check ongoing….INC-20260330-00011108.,,Others Transmission equipement fault</t>
        </is>
      </c>
      <c r="U940" t="inlineStr">
        <is>
          <t>Power status check ongoing….,,</t>
        </is>
      </c>
    </row>
    <row r="941">
      <c r="A941" s="96" t="n">
        <v>46142</v>
      </c>
      <c r="B941" t="inlineStr">
        <is>
          <t>Maroua-Boulore</t>
        </is>
      </c>
      <c r="C941" t="inlineStr">
        <is>
          <t>EXN_237</t>
        </is>
      </c>
      <c r="D941" t="inlineStr"/>
      <c r="E941" t="inlineStr">
        <is>
          <t>CAMUSAT</t>
        </is>
      </c>
      <c r="F941" t="inlineStr">
        <is>
          <t>Medium Grid + GE</t>
        </is>
      </c>
      <c r="G941" t="inlineStr">
        <is>
          <t>EXTREME-NORD</t>
        </is>
      </c>
      <c r="H941" t="inlineStr">
        <is>
          <t>Maroua</t>
        </is>
      </c>
      <c r="I941" t="inlineStr"/>
      <c r="J941" t="n">
        <v>1.221478843686678</v>
      </c>
      <c r="K941" t="n">
        <v>1.581354488611443</v>
      </c>
      <c r="L941" t="n">
        <v>1.667094854738906</v>
      </c>
      <c r="M941" t="n">
        <v>1.574676899721202</v>
      </c>
      <c r="N941" t="inlineStr">
        <is>
          <t>Operationnel</t>
        </is>
      </c>
      <c r="O941" t="inlineStr"/>
      <c r="P941" t="inlineStr">
        <is>
          <t>PDH</t>
        </is>
      </c>
      <c r="Q941" t="inlineStr">
        <is>
          <t>TX ISSUE</t>
        </is>
      </c>
      <c r="R941" t="inlineStr">
        <is>
          <t>MPR issue</t>
        </is>
      </c>
      <c r="S941" t="inlineStr">
        <is>
          <t>ACTIVE</t>
        </is>
      </c>
      <c r="T941" t="inlineStr">
        <is>
          <t>INC-20260330-00009013.,,2026-03-30 15:12:16.,,Others Transmission equipement fault</t>
        </is>
      </c>
      <c r="U941" t="inlineStr">
        <is>
          <t>2026-03-30 15 : 12 : 16.,,</t>
        </is>
      </c>
    </row>
    <row r="942">
      <c r="A942" s="96" t="n">
        <v>46142</v>
      </c>
      <c r="B942" t="inlineStr">
        <is>
          <t>Bamengwi-IHS</t>
        </is>
      </c>
      <c r="C942" t="inlineStr">
        <is>
          <t>NRO_093</t>
        </is>
      </c>
      <c r="D942" t="inlineStr"/>
      <c r="E942" t="inlineStr">
        <is>
          <t>IHS</t>
        </is>
      </c>
      <c r="F942" t="inlineStr">
        <is>
          <t>Grid-Gen</t>
        </is>
      </c>
      <c r="G942" t="inlineStr">
        <is>
          <t>NORD-OUEST</t>
        </is>
      </c>
      <c r="H942" t="inlineStr">
        <is>
          <t>Bamengwi</t>
        </is>
      </c>
      <c r="I942" t="inlineStr"/>
      <c r="J942" t="n">
        <v>0</v>
      </c>
      <c r="K942" t="n">
        <v>4.590103736344441</v>
      </c>
      <c r="L942" t="n">
        <v>0</v>
      </c>
      <c r="M942" t="n">
        <v>1.540950766623006</v>
      </c>
      <c r="N942" t="inlineStr">
        <is>
          <t>Insecurity</t>
        </is>
      </c>
      <c r="O942" t="inlineStr"/>
      <c r="P942" t="inlineStr">
        <is>
          <t>BSS</t>
        </is>
      </c>
      <c r="Q942" t="inlineStr">
        <is>
          <t>RAN ISSUE</t>
        </is>
      </c>
      <c r="R942" t="inlineStr">
        <is>
          <t>BSS Hardware issue</t>
        </is>
      </c>
      <c r="S942" t="inlineStr">
        <is>
          <t>ACTIVE</t>
        </is>
      </c>
      <c r="T942" t="inlineStr">
        <is>
          <t xml:space="preserve">
29/03/2026 : FME active || ETA : 31/03/2026
26/03/2026 : need BO RAN analysis || FME should check and clean jumper, port 4….
29/03/2026 : FME active || ETA : 31/03/2026
26/03/2026 : need BO RAN analysis || FME should check and clean jumper, port 4….
29/03/2026 : FME active || ETA : 31/03/2026
26/03/2026 : need BO RAN analysis || FME should check and clean jumper, port 4….
29/03/2026 : FME active || ETA : 31/03/2026
26/03/2026 : need BO RAN analysis || FME should check and clean jumper, port 4</t>
        </is>
      </c>
      <c r="U942" t="inlineStr">
        <is>
          <t>29/03/2026 : FME active || ETA : 31/03/2026 26/03/2026 : need BO RAN analysis || FME should check and clean jumper, port 4…. 29/03/2026 : FME active || ETA : 31/03/2026 26/03/2026 : need BO RAN analysis || FME should check and clean jumper, port 4…. 29/03/2026 : FME active || ETA : 31/03/2026 26/03/2026 : need BO RAN analysis || FME should check and clean jumper, port 4…. 29/03/2026 : FME active || ETA : 31/03/2026 26/03/2026 : need BO RAN analysis || FME should check and clean jumper, port 4</t>
        </is>
      </c>
    </row>
    <row r="943">
      <c r="A943" s="96" t="n">
        <v>46142</v>
      </c>
      <c r="B943" t="inlineStr">
        <is>
          <t>Dogba-Ngd-IHS</t>
        </is>
      </c>
      <c r="C943" t="inlineStr">
        <is>
          <t>ADM_128</t>
        </is>
      </c>
      <c r="D943" t="inlineStr"/>
      <c r="E943" t="inlineStr">
        <is>
          <t>IHS</t>
        </is>
      </c>
      <c r="F943" t="inlineStr">
        <is>
          <t>Hybrid-Gen</t>
        </is>
      </c>
      <c r="G943" t="inlineStr">
        <is>
          <t>ADAMAOUA</t>
        </is>
      </c>
      <c r="H943" t="inlineStr">
        <is>
          <t>Dogba</t>
        </is>
      </c>
      <c r="I943" t="inlineStr"/>
      <c r="J943" t="n">
        <v>10.7884808300261</v>
      </c>
      <c r="K943" t="n">
        <v>0</v>
      </c>
      <c r="L943" t="n">
        <v>0</v>
      </c>
      <c r="M943" t="n">
        <v>1.540594065056658</v>
      </c>
      <c r="N943" t="inlineStr">
        <is>
          <t>Operationnel</t>
        </is>
      </c>
      <c r="O943" t="inlineStr"/>
      <c r="P943" t="inlineStr">
        <is>
          <t>BSS</t>
        </is>
      </c>
      <c r="Q943" t="inlineStr">
        <is>
          <t>RAN ISSUE</t>
        </is>
      </c>
      <c r="R943" t="inlineStr">
        <is>
          <t>BSS Hardware issue</t>
        </is>
      </c>
      <c r="S943" t="inlineStr">
        <is>
          <t>ACTIVE</t>
        </is>
      </c>
      <c r="T943" t="inlineStr">
        <is>
          <t>30/03/2026 : Check and clean jumper  on  FXDB antenna port 1 || FME active….30/03/2026 : Check and clean jumper  on  FXDB antenna port 1 || FME active….30/03/2026 : Check and clean jumper  on  FXDB antenna port 1 || Feedback du P.M : : FME revient de ce site ce matin apres sa PM, aucun souci trouvé sur site, nous prenons le point mais l'intervention n'est pas encore planifiée….30/03/2026 : Check and clean jumper  on  FXDB antenna port 1 || Feedback du P.M : : FME revient de ce site ce matin apres sa PM, aucun souci trouvé sur site, nous prenons le point mais l'intervention n'est pas encore planifiée</t>
        </is>
      </c>
      <c r="U943" t="inlineStr">
        <is>
          <t>30/03/2026 : Check and clean jumper on FXDB antenna port 1 || FME active….30/03/2026 : Check and clean jumper on FXDB antenna port 1 || FME active….30/03/2026 : Check and clean jumper on FXDB antenna port 1 || Feedback du P.M : : FME revient de ce site ce matin apres sa PM, aucun souci trouvé sur site, nous prenons le point mais l'intervention n'est pas encore planifiée….30/03/2026 : Check and clean jumper on FXDB antenna port 1 || Feedback du P.M : : FME revient de ce site ce matin apres sa PM, aucun souci trouvé sur site, nous prenons le point mais l'intervention n'est pas encore planifiée</t>
        </is>
      </c>
    </row>
    <row r="944">
      <c r="A944" s="96" t="n">
        <v>46142</v>
      </c>
      <c r="B944" t="inlineStr">
        <is>
          <t>Kaele-Guiedame</t>
        </is>
      </c>
      <c r="C944" t="inlineStr">
        <is>
          <t>EXN_095</t>
        </is>
      </c>
      <c r="D944" t="inlineStr"/>
      <c r="E944" t="inlineStr">
        <is>
          <t>IHS</t>
        </is>
      </c>
      <c r="F944" t="inlineStr">
        <is>
          <t>Grid-Gen</t>
        </is>
      </c>
      <c r="G944" t="inlineStr">
        <is>
          <t>EXTREME-NORD</t>
        </is>
      </c>
      <c r="H944" t="inlineStr">
        <is>
          <t>Kaele</t>
        </is>
      </c>
      <c r="I944" t="inlineStr"/>
      <c r="J944" t="n">
        <v>4.006594847794106</v>
      </c>
      <c r="K944" t="n">
        <v>1.905882429604173</v>
      </c>
      <c r="L944" t="n">
        <v>0.4043024407003359</v>
      </c>
      <c r="M944" t="n">
        <v>1.42280718489938</v>
      </c>
      <c r="N944" t="inlineStr">
        <is>
          <t>Insecurity</t>
        </is>
      </c>
      <c r="O944" t="inlineStr"/>
      <c r="P944" t="inlineStr">
        <is>
          <t>IHS</t>
        </is>
      </c>
      <c r="Q944" t="inlineStr">
        <is>
          <t>POWER ISSUE</t>
        </is>
      </c>
      <c r="R944" t="inlineStr">
        <is>
          <t>Defaut GE &amp; Power Cabinet</t>
        </is>
      </c>
      <c r="S944" t="inlineStr">
        <is>
          <t>PASSIVE</t>
        </is>
      </c>
      <c r="T944" t="inlineStr">
        <is>
          <t>Power status check ongoing….INC-20260330-00005778.,,2026-03-30 10:20:24.,,supervisor Michel is on site for works(MPR Swap)/ End of work.,,supervisor Michel is on site for works(MPR Swap)/ End of work.,,GE Fault</t>
        </is>
      </c>
      <c r="U944" t="inlineStr">
        <is>
          <t>Power status check ongoing….,,2026-03-30 10 : 20 : 24.,,supervisor Michel is on site for works(MPR Swap)/ End of work.,,supervisor Michel is on site for works(MPR Swap)/ End of work.,,GE Fault</t>
        </is>
      </c>
    </row>
    <row r="945">
      <c r="A945" s="96" t="n">
        <v>46142</v>
      </c>
      <c r="B945" t="inlineStr">
        <is>
          <t>Sohock-IHS</t>
        </is>
      </c>
      <c r="C945" t="inlineStr">
        <is>
          <t>LIT_501</t>
        </is>
      </c>
      <c r="D945" t="inlineStr"/>
      <c r="E945" t="inlineStr">
        <is>
          <t>IHS</t>
        </is>
      </c>
      <c r="F945" t="inlineStr">
        <is>
          <t>Hybrid-Gen</t>
        </is>
      </c>
      <c r="G945" t="inlineStr">
        <is>
          <t>LITTORAL</t>
        </is>
      </c>
      <c r="H945" t="inlineStr">
        <is>
          <t>Sohock</t>
        </is>
      </c>
      <c r="I945" t="inlineStr"/>
      <c r="J945" t="n">
        <v>3.269385437379763</v>
      </c>
      <c r="K945" t="n">
        <v>2.649456752722612</v>
      </c>
      <c r="L945" t="n">
        <v>0</v>
      </c>
      <c r="M945" t="n">
        <v>1.356321128946962</v>
      </c>
      <c r="N945" t="inlineStr">
        <is>
          <t>Operationnel</t>
        </is>
      </c>
      <c r="O945" t="inlineStr"/>
      <c r="P945" t="inlineStr">
        <is>
          <t>PDH</t>
        </is>
      </c>
      <c r="Q945" t="inlineStr">
        <is>
          <t>TX ISSUE</t>
        </is>
      </c>
      <c r="R945" t="inlineStr">
        <is>
          <t>MPR issue</t>
        </is>
      </c>
      <c r="S945" t="inlineStr">
        <is>
          <t>ACTIVE</t>
        </is>
      </c>
      <c r="T945" t="inlineStr">
        <is>
          <t>INC-20260330-00002184.,,The system is up without my intervention; I called the back office for confirmation. .,,Others Transmission equipement fault</t>
        </is>
      </c>
      <c r="U945" t="inlineStr">
        <is>
          <t>The system is up without my intervention; I called the back office for confirmation.</t>
        </is>
      </c>
    </row>
    <row r="946">
      <c r="A946" s="96" t="n">
        <v>46142</v>
      </c>
      <c r="B946" t="inlineStr">
        <is>
          <t>Maroua-Lougol</t>
        </is>
      </c>
      <c r="C946" t="inlineStr">
        <is>
          <t>EXN_084</t>
        </is>
      </c>
      <c r="D946" t="inlineStr"/>
      <c r="E946" t="inlineStr">
        <is>
          <t>IHS</t>
        </is>
      </c>
      <c r="F946" t="inlineStr">
        <is>
          <t>Grid-Gen</t>
        </is>
      </c>
      <c r="G946" t="inlineStr">
        <is>
          <t>EXTREME-NORD</t>
        </is>
      </c>
      <c r="H946" t="inlineStr">
        <is>
          <t>Maroua</t>
        </is>
      </c>
      <c r="I946" t="inlineStr"/>
      <c r="J946" t="n">
        <v>2.022684036145782</v>
      </c>
      <c r="K946" t="n">
        <v>2.587511602762222</v>
      </c>
      <c r="L946" t="n">
        <v>0.2272611613445489</v>
      </c>
      <c r="M946" t="n">
        <v>1.27601067821809</v>
      </c>
      <c r="N946" t="inlineStr">
        <is>
          <t>Operationnel</t>
        </is>
      </c>
      <c r="O946" t="inlineStr"/>
      <c r="P946" t="inlineStr">
        <is>
          <t>IHS</t>
        </is>
      </c>
      <c r="Q946" t="inlineStr">
        <is>
          <t>POWER ISSUE</t>
        </is>
      </c>
      <c r="R946" t="inlineStr">
        <is>
          <t>Defaut GE &amp; Power Cabinet</t>
        </is>
      </c>
      <c r="S946" t="inlineStr">
        <is>
          <t>PASSIVE</t>
        </is>
      </c>
      <c r="T946" t="inlineStr">
        <is>
          <t>INC-20260330-00014581.,,GE Fault</t>
        </is>
      </c>
      <c r="U946" t="inlineStr">
        <is>
          <t>GE Fault</t>
        </is>
      </c>
    </row>
    <row r="947">
      <c r="A947" s="96" t="n">
        <v>46142</v>
      </c>
      <c r="B947" t="inlineStr">
        <is>
          <t>Kaladi-MTN-IHS</t>
        </is>
      </c>
      <c r="C947" t="inlineStr">
        <is>
          <t>ADM_100</t>
        </is>
      </c>
      <c r="D947" t="inlineStr"/>
      <c r="E947" t="inlineStr">
        <is>
          <t>IHS</t>
        </is>
      </c>
      <c r="F947" t="inlineStr">
        <is>
          <t>Solar-Gen</t>
        </is>
      </c>
      <c r="G947" t="inlineStr">
        <is>
          <t>ADAMAOUA</t>
        </is>
      </c>
      <c r="H947" t="inlineStr">
        <is>
          <t>Kaladi</t>
        </is>
      </c>
      <c r="I947" t="inlineStr"/>
      <c r="J947" t="n">
        <v>2.825948356693664</v>
      </c>
      <c r="K947" t="n">
        <v>1.590077609655697</v>
      </c>
      <c r="L947" t="n">
        <v>0.5349552960855093</v>
      </c>
      <c r="M947" t="n">
        <v>1.216325623785577</v>
      </c>
      <c r="N947" t="inlineStr">
        <is>
          <t>Operationnel</t>
        </is>
      </c>
      <c r="O947" t="inlineStr"/>
      <c r="P947" t="inlineStr">
        <is>
          <t>PDH</t>
        </is>
      </c>
      <c r="Q947" t="inlineStr">
        <is>
          <t>TX ISSUE</t>
        </is>
      </c>
      <c r="R947" t="inlineStr">
        <is>
          <t>MPR issue</t>
        </is>
      </c>
      <c r="S947" t="inlineStr">
        <is>
          <t>ACTIVE</t>
        </is>
      </c>
      <c r="T947" t="inlineStr">
        <is>
          <t>Power status check ongoing….INC-20260330-00015407.,,Others Transmission equipement fault</t>
        </is>
      </c>
      <c r="U947" t="inlineStr">
        <is>
          <t>Power status check ongoing….,,</t>
        </is>
      </c>
    </row>
    <row r="948">
      <c r="A948" s="96" t="n">
        <v>46142</v>
      </c>
      <c r="B948" t="inlineStr">
        <is>
          <t>Maroua-Camp-SIC</t>
        </is>
      </c>
      <c r="C948" t="inlineStr">
        <is>
          <t>EXN_071</t>
        </is>
      </c>
      <c r="D948" t="inlineStr"/>
      <c r="E948" t="inlineStr">
        <is>
          <t>IHS</t>
        </is>
      </c>
      <c r="F948" t="inlineStr">
        <is>
          <t>Grid-Gen</t>
        </is>
      </c>
      <c r="G948" t="inlineStr">
        <is>
          <t>EXTREME-NORD</t>
        </is>
      </c>
      <c r="H948" t="inlineStr">
        <is>
          <t>Maroua</t>
        </is>
      </c>
      <c r="I948" t="inlineStr"/>
      <c r="J948" t="n">
        <v>1.953366985200373</v>
      </c>
      <c r="K948" t="n">
        <v>2.495390770831421</v>
      </c>
      <c r="L948" t="n">
        <v>0.1183331253953558</v>
      </c>
      <c r="M948" t="n">
        <v>1.178381459508665</v>
      </c>
      <c r="N948" t="inlineStr">
        <is>
          <t>Operationnel</t>
        </is>
      </c>
      <c r="O948" t="inlineStr"/>
      <c r="P948" t="inlineStr">
        <is>
          <t>IHS</t>
        </is>
      </c>
      <c r="Q948" t="inlineStr">
        <is>
          <t>POWER ISSUE</t>
        </is>
      </c>
      <c r="R948" t="inlineStr">
        <is>
          <t>Defaut GE &amp; Power Cabinet</t>
        </is>
      </c>
      <c r="S948" t="inlineStr">
        <is>
          <t>PASSIVE</t>
        </is>
      </c>
      <c r="T948" t="inlineStr">
        <is>
          <t>INC-20260330-00012864.,,Auto TT closure RCA.,,GE Fault</t>
        </is>
      </c>
      <c r="U948" t="inlineStr">
        <is>
          <t>Auto TT closure RCA.,,GE Fault</t>
        </is>
      </c>
    </row>
    <row r="949">
      <c r="A949" s="96" t="n">
        <v>46142</v>
      </c>
      <c r="B949" t="inlineStr">
        <is>
          <t>Batoua-Godole-IHS</t>
        </is>
      </c>
      <c r="C949" t="inlineStr">
        <is>
          <t>ADM_141</t>
        </is>
      </c>
      <c r="D949" t="inlineStr"/>
      <c r="E949" t="inlineStr">
        <is>
          <t>IHS</t>
        </is>
      </c>
      <c r="F949" t="inlineStr">
        <is>
          <t>Solar-Gen</t>
        </is>
      </c>
      <c r="G949" t="inlineStr">
        <is>
          <t>ADAMAOUA</t>
        </is>
      </c>
      <c r="H949" t="inlineStr">
        <is>
          <t>Batoua-Godole</t>
        </is>
      </c>
      <c r="I949" t="inlineStr"/>
      <c r="J949" t="n">
        <v>0</v>
      </c>
      <c r="K949" t="n">
        <v>3.21797305773738</v>
      </c>
      <c r="L949" t="n">
        <v>0</v>
      </c>
      <c r="M949" t="n">
        <v>1.080310671636745</v>
      </c>
      <c r="N949" t="inlineStr">
        <is>
          <t>EXCLU</t>
        </is>
      </c>
      <c r="O949" t="inlineStr">
        <is>
          <t>UE Relay</t>
        </is>
      </c>
      <c r="P949" t="inlineStr">
        <is>
          <t>Exclu</t>
        </is>
      </c>
      <c r="Q949" t="inlineStr">
        <is>
          <t>Exclu</t>
        </is>
      </c>
      <c r="R949" t="inlineStr">
        <is>
          <t>exclu</t>
        </is>
      </c>
      <c r="S949" t="inlineStr">
        <is>
          <t>Exclu</t>
        </is>
      </c>
      <c r="T949" t="inlineStr">
        <is>
          <t>29/03/2026 : FME active 
28/03/2026 : Check and clean jumper  on  FXDB antenna port 4, 5  and FRGU antenna port 2 || FME active….29/03/2026 : FME active 
28/03/2026 : Check and clean jumper  on  FXDB antenna port 4, 5  and FRGU antenna port 2 || FME active….29/03/2026 : FME active 
28/03/2026 : Check and clean jumper  on  FXDB antenna port 4, 5  and FRGU antenna port 2 || FME active || Feedback du P.M : need RF jumper and FXDB, commande passée ETA to reach the site 02/04/2026….29/03/2026 : FME active 
28/03/2026 : Check and clean jumper  on  FXDB antenna port 4, 5  and FRGU antenna port 2 || FME active || Feedback du P.M : need RF jumper and FXDB, commande passée ETA to reach the site 02/04/2026</t>
        </is>
      </c>
      <c r="U949" t="inlineStr">
        <is>
          <t>29/03/2026 : FME active 28/03/2026 : Check and clean jumper on FXDB antenna port 4, 5 and FRGU antenna port 2 || FME active….29/03/2026 : FME active 28/03/2026 : Check and clean jumper on FXDB antenna port 4, 5 and FRGU antenna port 2 || FME active….29/03/2026 : FME active 28/03/2026 : Check and clean jumper on FXDB antenna port 4, 5 and FRGU antenna port 2 || FME active || Feedback du P.M : need RF jumper and FXDB, commande passée ETA to reach the site 02/04/2026….29/03/2026 : FME active 28/03/2026 : Check and clean jumper on FXDB antenna port 4, 5 and FRGU antenna port 2 || FME active || Feedback du P.M : need RF jumper and FXDB, commande passée ETA to reach the site 02/04/2026</t>
        </is>
      </c>
    </row>
    <row r="950">
      <c r="A950" s="96" t="n">
        <v>46142</v>
      </c>
      <c r="B950" t="inlineStr">
        <is>
          <t>Nkoambang</t>
        </is>
      </c>
      <c r="C950" t="inlineStr">
        <is>
          <t>CTR_891</t>
        </is>
      </c>
      <c r="D950" t="inlineStr"/>
      <c r="E950" t="inlineStr">
        <is>
          <t>ESCO</t>
        </is>
      </c>
      <c r="F950" t="inlineStr">
        <is>
          <t>HGB</t>
        </is>
      </c>
      <c r="G950" t="inlineStr">
        <is>
          <t>CENTRE</t>
        </is>
      </c>
      <c r="H950" t="inlineStr">
        <is>
          <t>Nkoambang</t>
        </is>
      </c>
      <c r="I950" t="inlineStr"/>
      <c r="J950" t="n">
        <v>2.408361609694295</v>
      </c>
      <c r="K950" t="n">
        <v>0</v>
      </c>
      <c r="L950" t="n">
        <v>1.325520864702863</v>
      </c>
      <c r="M950" t="n">
        <v>1.035157780111123</v>
      </c>
      <c r="N950" t="inlineStr">
        <is>
          <t>Operationnel</t>
        </is>
      </c>
      <c r="O950" t="inlineStr"/>
      <c r="P950" t="inlineStr">
        <is>
          <t>PDH</t>
        </is>
      </c>
      <c r="Q950" t="inlineStr">
        <is>
          <t>TX ISSUE</t>
        </is>
      </c>
      <c r="R950" t="inlineStr">
        <is>
          <t>MPR issue</t>
        </is>
      </c>
      <c r="S950" t="inlineStr">
        <is>
          <t>ACTIVE</t>
        </is>
      </c>
      <c r="T950" t="inlineStr">
        <is>
          <t xml:space="preserve">30/03/2026 : Check breaker and  interconnection(sfp, optical fiber) between system and radio module, swap its if needed ….30/03/2026 : Check breaker and  interconnection(sfp, optical fiber) between system and radio module, swap its if needed </t>
        </is>
      </c>
      <c r="U950" t="inlineStr">
        <is>
          <t>30/03/2026 : Check breaker and interconnection(sfp, optical fiber) between system and radio module, swap its if needed ….30/03/2026 : Check breaker and interconnection(sfp, optical fiber) between system and radio module, swap its if needed</t>
        </is>
      </c>
    </row>
    <row r="951">
      <c r="A951" s="96" t="n">
        <v>46142</v>
      </c>
      <c r="B951" t="inlineStr">
        <is>
          <t>Misaje</t>
        </is>
      </c>
      <c r="C951" t="inlineStr">
        <is>
          <t>NRO_237</t>
        </is>
      </c>
      <c r="D951" t="inlineStr"/>
      <c r="E951" t="inlineStr">
        <is>
          <t>IHS</t>
        </is>
      </c>
      <c r="F951" t="inlineStr">
        <is>
          <t>Solar-Gen</t>
        </is>
      </c>
      <c r="G951" t="inlineStr">
        <is>
          <t>NORD-OUEST</t>
        </is>
      </c>
      <c r="H951" t="inlineStr">
        <is>
          <t>Misaje</t>
        </is>
      </c>
      <c r="I951" t="inlineStr"/>
      <c r="J951" t="n">
        <v>3.446078253067559</v>
      </c>
      <c r="K951" t="n">
        <v>1.560847775159719</v>
      </c>
      <c r="L951" t="n">
        <v>0</v>
      </c>
      <c r="M951" t="n">
        <v>1.016094256888924</v>
      </c>
      <c r="N951" t="inlineStr">
        <is>
          <t>Insecurity</t>
        </is>
      </c>
      <c r="O951" t="inlineStr"/>
      <c r="P951" t="inlineStr">
        <is>
          <t>IHS</t>
        </is>
      </c>
      <c r="Q951" t="inlineStr">
        <is>
          <t>POWER ISSUE</t>
        </is>
      </c>
      <c r="R951" t="inlineStr">
        <is>
          <t>Defaut GE &amp; Power Cabinet</t>
        </is>
      </c>
      <c r="S951" t="inlineStr">
        <is>
          <t>PASSIVE</t>
        </is>
      </c>
      <c r="T951" t="inlineStr">
        <is>
          <t>INC-20260330-00001992.,,generator issue on site .,,Others Transmission equipement fault</t>
        </is>
      </c>
      <c r="U951" t="inlineStr">
        <is>
          <t>generator issue on site .,,</t>
        </is>
      </c>
    </row>
    <row r="952">
      <c r="A952" s="96" t="n">
        <v>46142</v>
      </c>
      <c r="B952" t="inlineStr">
        <is>
          <t>Sodiko-III-MTN</t>
        </is>
      </c>
      <c r="C952" t="inlineStr">
        <is>
          <t>LIT_741</t>
        </is>
      </c>
      <c r="D952" t="inlineStr"/>
      <c r="E952" t="inlineStr">
        <is>
          <t>MTN</t>
        </is>
      </c>
      <c r="F952" t="inlineStr"/>
      <c r="G952" t="inlineStr">
        <is>
          <t>LITTORAL</t>
        </is>
      </c>
      <c r="H952" t="inlineStr">
        <is>
          <t>Douala</t>
        </is>
      </c>
      <c r="I952" t="inlineStr"/>
      <c r="J952" t="n">
        <v>0.378933211834906</v>
      </c>
      <c r="K952" t="n">
        <v>0.4446662994583669</v>
      </c>
      <c r="L952" t="n">
        <v>1.44533994576102</v>
      </c>
      <c r="M952" t="n">
        <v>0.9571194779030509</v>
      </c>
      <c r="N952" t="inlineStr">
        <is>
          <t>Operationnel</t>
        </is>
      </c>
      <c r="O952" t="inlineStr"/>
      <c r="P952" t="inlineStr">
        <is>
          <t>Partners</t>
        </is>
      </c>
      <c r="Q952" t="inlineStr">
        <is>
          <t>POWER ISSUE</t>
        </is>
      </c>
      <c r="R952" t="inlineStr">
        <is>
          <t>Sharing</t>
        </is>
      </c>
      <c r="S952" t="inlineStr">
        <is>
          <t>PASSIVE</t>
        </is>
      </c>
      <c r="T952" t="inlineStr">
        <is>
          <t>30/03/2026 : Power issue :  Besoin d'analyse BO RAN || Site down affected by power….30/03/2026 : Power issue :  Besoin d'analyse BO RAN || Site down affected by power</t>
        </is>
      </c>
      <c r="U952" t="inlineStr">
        <is>
          <t>30/03/2026 : Power issue : Besoin d'analyse BO RAN || Site down affected by power….30/03/2026 : Power issue : Besoin d'analyse BO RAN || Site down affected by power</t>
        </is>
      </c>
    </row>
    <row r="953">
      <c r="A953" s="96" t="n">
        <v>46142</v>
      </c>
      <c r="B953" t="inlineStr">
        <is>
          <t>Bipaga</t>
        </is>
      </c>
      <c r="C953" t="inlineStr">
        <is>
          <t>SUD_001</t>
        </is>
      </c>
      <c r="D953" t="inlineStr"/>
      <c r="E953" t="inlineStr">
        <is>
          <t>IHS</t>
        </is>
      </c>
      <c r="F953" t="inlineStr">
        <is>
          <t>Grid-Gen</t>
        </is>
      </c>
      <c r="G953" t="inlineStr">
        <is>
          <t>SUD</t>
        </is>
      </c>
      <c r="H953" t="inlineStr">
        <is>
          <t>Bipaga</t>
        </is>
      </c>
      <c r="I953" t="inlineStr"/>
      <c r="J953" t="n">
        <v>0.6043697468915986</v>
      </c>
      <c r="K953" t="n">
        <v>1.030435787848805</v>
      </c>
      <c r="L953" t="n">
        <v>1.002548334635682</v>
      </c>
      <c r="M953" t="n">
        <v>0.9550506088182336</v>
      </c>
      <c r="N953" t="inlineStr">
        <is>
          <t>Operationnel</t>
        </is>
      </c>
      <c r="O953" t="inlineStr"/>
      <c r="P953" t="inlineStr">
        <is>
          <t>PDH</t>
        </is>
      </c>
      <c r="Q953" t="inlineStr">
        <is>
          <t>TX ISSUE</t>
        </is>
      </c>
      <c r="R953" t="inlineStr">
        <is>
          <t>MPR issue</t>
        </is>
      </c>
      <c r="S953" t="inlineStr">
        <is>
          <t>ACTIVE</t>
        </is>
      </c>
      <c r="T953" t="inlineStr">
        <is>
          <t>INC-20260330-00002181.,,Others Transmission equipement fault</t>
        </is>
      </c>
      <c r="U953" t="inlineStr"/>
    </row>
    <row r="954">
      <c r="A954" s="96" t="n">
        <v>46142</v>
      </c>
      <c r="B954" t="inlineStr">
        <is>
          <t>Kribi-LONDJI</t>
        </is>
      </c>
      <c r="C954" t="inlineStr">
        <is>
          <t>SUD_079</t>
        </is>
      </c>
      <c r="D954" t="inlineStr"/>
      <c r="E954" t="inlineStr">
        <is>
          <t>CAMUSAT</t>
        </is>
      </c>
      <c r="F954" t="inlineStr">
        <is>
          <t>Medium Grid + Solar + GE</t>
        </is>
      </c>
      <c r="G954" t="inlineStr">
        <is>
          <t>SUD</t>
        </is>
      </c>
      <c r="H954" t="inlineStr">
        <is>
          <t>Kribi</t>
        </is>
      </c>
      <c r="I954" t="inlineStr"/>
      <c r="J954" t="n">
        <v>0.6047444336534656</v>
      </c>
      <c r="K954" t="n">
        <v>1.029373263835763</v>
      </c>
      <c r="L954" t="n">
        <v>1.002650935611458</v>
      </c>
      <c r="M954" t="n">
        <v>0.95480091772179</v>
      </c>
      <c r="N954" t="inlineStr">
        <is>
          <t>Operationnel</t>
        </is>
      </c>
      <c r="O954" t="inlineStr"/>
      <c r="P954" t="inlineStr">
        <is>
          <t>PDH</t>
        </is>
      </c>
      <c r="Q954" t="inlineStr">
        <is>
          <t>TX ISSUE</t>
        </is>
      </c>
      <c r="R954" t="inlineStr">
        <is>
          <t>MPR issue</t>
        </is>
      </c>
      <c r="S954" t="inlineStr">
        <is>
          <t>ACTIVE</t>
        </is>
      </c>
      <c r="T954" t="inlineStr">
        <is>
          <t>INC-20260330-00002195.,,Others Transmission equipement fault</t>
        </is>
      </c>
      <c r="U954" t="inlineStr"/>
    </row>
    <row r="955">
      <c r="A955" s="96" t="n">
        <v>46142</v>
      </c>
      <c r="B955" t="inlineStr">
        <is>
          <t>Kribi-Mpala</t>
        </is>
      </c>
      <c r="C955" t="inlineStr">
        <is>
          <t>SUD_053</t>
        </is>
      </c>
      <c r="D955" t="inlineStr"/>
      <c r="E955" t="inlineStr">
        <is>
          <t>IHS</t>
        </is>
      </c>
      <c r="F955" t="inlineStr">
        <is>
          <t>Grid-Gen</t>
        </is>
      </c>
      <c r="G955" t="inlineStr">
        <is>
          <t>SUD</t>
        </is>
      </c>
      <c r="H955" t="inlineStr">
        <is>
          <t>Kribi</t>
        </is>
      </c>
      <c r="I955" t="inlineStr"/>
      <c r="J955" t="n">
        <v>0.6036203733678644</v>
      </c>
      <c r="K955" t="n">
        <v>1.027673225414896</v>
      </c>
      <c r="L955" t="n">
        <v>1.002719336261976</v>
      </c>
      <c r="M955" t="n">
        <v>0.9541053496674121</v>
      </c>
      <c r="N955" t="inlineStr">
        <is>
          <t>Operationnel</t>
        </is>
      </c>
      <c r="O955" t="inlineStr"/>
      <c r="P955" t="inlineStr">
        <is>
          <t>PDH</t>
        </is>
      </c>
      <c r="Q955" t="inlineStr">
        <is>
          <t>TX ISSUE</t>
        </is>
      </c>
      <c r="R955" t="inlineStr">
        <is>
          <t>MPR issue</t>
        </is>
      </c>
      <c r="S955" t="inlineStr">
        <is>
          <t>ACTIVE</t>
        </is>
      </c>
      <c r="T955" t="inlineStr">
        <is>
          <t>INC-20260330-00002179.,,Others Transmission equipement fault</t>
        </is>
      </c>
      <c r="U955" t="inlineStr"/>
    </row>
    <row r="956">
      <c r="A956" s="96" t="n">
        <v>46142</v>
      </c>
      <c r="B956" t="inlineStr">
        <is>
          <t>Mpoloungoue</t>
        </is>
      </c>
      <c r="C956" t="inlineStr">
        <is>
          <t>SUD_021</t>
        </is>
      </c>
      <c r="D956" t="inlineStr"/>
      <c r="E956" t="inlineStr">
        <is>
          <t>IHS</t>
        </is>
      </c>
      <c r="F956" t="inlineStr">
        <is>
          <t>Grid-Gen-Lithium</t>
        </is>
      </c>
      <c r="G956" t="inlineStr">
        <is>
          <t>SUD</t>
        </is>
      </c>
      <c r="H956" t="inlineStr">
        <is>
          <t>Mpoloungoue</t>
        </is>
      </c>
      <c r="I956" t="inlineStr"/>
      <c r="J956" t="n">
        <v>0.6032456866059974</v>
      </c>
      <c r="K956" t="n">
        <v>1.027779477816197</v>
      </c>
      <c r="L956" t="n">
        <v>1.00230893235887</v>
      </c>
      <c r="M956" t="n">
        <v>0.9538734936492846</v>
      </c>
      <c r="N956" t="inlineStr">
        <is>
          <t>Operationnel</t>
        </is>
      </c>
      <c r="O956" t="inlineStr"/>
      <c r="P956" t="inlineStr">
        <is>
          <t>PDH</t>
        </is>
      </c>
      <c r="Q956" t="inlineStr">
        <is>
          <t>TX ISSUE</t>
        </is>
      </c>
      <c r="R956" t="inlineStr">
        <is>
          <t>MPR issue</t>
        </is>
      </c>
      <c r="S956" t="inlineStr">
        <is>
          <t>ACTIVE</t>
        </is>
      </c>
      <c r="T956" t="inlineStr">
        <is>
          <t>INC-20260330-00002185.,,Others Transmission equipement fault</t>
        </is>
      </c>
      <c r="U956" t="inlineStr"/>
    </row>
    <row r="957">
      <c r="A957" s="96" t="n">
        <v>46142</v>
      </c>
      <c r="B957" t="inlineStr">
        <is>
          <t>Garoua-Hodango</t>
        </is>
      </c>
      <c r="C957" t="inlineStr">
        <is>
          <t>NRD_160</t>
        </is>
      </c>
      <c r="D957" t="inlineStr"/>
      <c r="E957" t="inlineStr">
        <is>
          <t>CAMUSAT</t>
        </is>
      </c>
      <c r="F957" t="inlineStr">
        <is>
          <t>Hybrid Solar - S3</t>
        </is>
      </c>
      <c r="G957" t="inlineStr">
        <is>
          <t>NORD</t>
        </is>
      </c>
      <c r="H957" t="inlineStr">
        <is>
          <t>Garoua</t>
        </is>
      </c>
      <c r="I957" t="inlineStr"/>
      <c r="J957" t="n">
        <v>0.8205640084889032</v>
      </c>
      <c r="K957" t="n">
        <v>1.379421799932679</v>
      </c>
      <c r="L957" t="n">
        <v>0.5697774188111637</v>
      </c>
      <c r="M957" t="n">
        <v>0.8773966778242916</v>
      </c>
      <c r="N957" t="inlineStr">
        <is>
          <t>Operationnel</t>
        </is>
      </c>
      <c r="O957" t="inlineStr"/>
      <c r="P957" t="inlineStr">
        <is>
          <t>AKTIVCO</t>
        </is>
      </c>
      <c r="Q957" t="inlineStr">
        <is>
          <t>POWER ISSUE</t>
        </is>
      </c>
      <c r="R957" t="inlineStr">
        <is>
          <t>AKTIVCO Defaut GE &amp; Power Cabinet</t>
        </is>
      </c>
      <c r="S957" t="inlineStr">
        <is>
          <t>PASSIVE</t>
        </is>
      </c>
      <c r="T957" t="inlineStr">
        <is>
          <t>INC-20260330-00009222.,,GE Fault</t>
        </is>
      </c>
      <c r="U957" t="inlineStr">
        <is>
          <t>GE Fault</t>
        </is>
      </c>
    </row>
    <row r="958">
      <c r="A958" s="96" t="n">
        <v>46142</v>
      </c>
      <c r="B958" t="inlineStr">
        <is>
          <t>Kontcha</t>
        </is>
      </c>
      <c r="C958" t="inlineStr">
        <is>
          <t>ADM_130</t>
        </is>
      </c>
      <c r="D958" t="inlineStr"/>
      <c r="E958" t="inlineStr">
        <is>
          <t>CAMUSAT</t>
        </is>
      </c>
      <c r="F958" t="inlineStr">
        <is>
          <t>Hybrid Solar - S3</t>
        </is>
      </c>
      <c r="G958" t="inlineStr">
        <is>
          <t>ADAMAOUA</t>
        </is>
      </c>
      <c r="H958" t="inlineStr">
        <is>
          <t>Kontcha</t>
        </is>
      </c>
      <c r="I958" t="inlineStr"/>
      <c r="J958" t="n">
        <v>6.07779396424589</v>
      </c>
      <c r="K958" t="n">
        <v>0</v>
      </c>
      <c r="L958" t="n">
        <v>0</v>
      </c>
      <c r="M958" t="n">
        <v>0.867908416159437</v>
      </c>
      <c r="N958" t="inlineStr">
        <is>
          <t>Operationnel</t>
        </is>
      </c>
      <c r="O958" t="inlineStr"/>
      <c r="P958" t="inlineStr">
        <is>
          <t>PDH</t>
        </is>
      </c>
      <c r="Q958" t="inlineStr">
        <is>
          <t>TX ISSUE</t>
        </is>
      </c>
      <c r="R958" t="inlineStr">
        <is>
          <t>MPR issue</t>
        </is>
      </c>
      <c r="S958" t="inlineStr">
        <is>
          <t>ACTIVE</t>
        </is>
      </c>
      <c r="T958" t="inlineStr">
        <is>
          <t>INC-20260330-00001713.,,2026-03-30 02:26:43.,,probable TX issue / investigations ongoing.,,Others Transmission equipement fault</t>
        </is>
      </c>
      <c r="U958" t="inlineStr">
        <is>
          <t>2026-03-30 02 : 26 : 43.,,probable TX issue / investigations ongoing.,,</t>
        </is>
      </c>
    </row>
    <row r="959">
      <c r="A959" s="96" t="n">
        <v>46142</v>
      </c>
      <c r="B959" t="inlineStr">
        <is>
          <t>Wadjiri-IHS</t>
        </is>
      </c>
      <c r="C959" t="inlineStr">
        <is>
          <t>ADM_103</t>
        </is>
      </c>
      <c r="D959" t="inlineStr"/>
      <c r="E959" t="inlineStr">
        <is>
          <t>IHS</t>
        </is>
      </c>
      <c r="F959" t="inlineStr">
        <is>
          <t>Hybrid-Gen</t>
        </is>
      </c>
      <c r="G959" t="inlineStr">
        <is>
          <t>ADAMAOUA</t>
        </is>
      </c>
      <c r="H959" t="inlineStr">
        <is>
          <t>Wadjiri</t>
        </is>
      </c>
      <c r="I959" t="inlineStr"/>
      <c r="J959" t="n">
        <v>1.200854389963949</v>
      </c>
      <c r="K959" t="n">
        <v>0.5858180667152568</v>
      </c>
      <c r="L959" t="n">
        <v>0.7892067056714533</v>
      </c>
      <c r="M959" t="n">
        <v>0.7797100449431825</v>
      </c>
      <c r="N959" t="inlineStr">
        <is>
          <t>Operationnel</t>
        </is>
      </c>
      <c r="O959" t="inlineStr"/>
      <c r="P959" t="inlineStr">
        <is>
          <t>PDH</t>
        </is>
      </c>
      <c r="Q959" t="inlineStr">
        <is>
          <t>TX ISSUE</t>
        </is>
      </c>
      <c r="R959" t="inlineStr">
        <is>
          <t>MPR issue</t>
        </is>
      </c>
      <c r="S959" t="inlineStr">
        <is>
          <t>ACTIVE</t>
        </is>
      </c>
      <c r="T959" t="inlineStr">
        <is>
          <t>INC-20260330-00015838.,,Others Transmission equipement fault</t>
        </is>
      </c>
      <c r="U959" t="inlineStr"/>
    </row>
    <row r="960">
      <c r="A960" s="96" t="n">
        <v>46142</v>
      </c>
      <c r="B960" t="inlineStr">
        <is>
          <t>Ngaoui</t>
        </is>
      </c>
      <c r="C960" t="inlineStr">
        <is>
          <t>ADM_037</t>
        </is>
      </c>
      <c r="D960" t="inlineStr"/>
      <c r="E960" t="inlineStr">
        <is>
          <t>IHS</t>
        </is>
      </c>
      <c r="F960" t="inlineStr">
        <is>
          <t>Solar-Gen</t>
        </is>
      </c>
      <c r="G960" t="inlineStr">
        <is>
          <t>ADAMAOUA</t>
        </is>
      </c>
      <c r="H960" t="inlineStr">
        <is>
          <t>Ngaoui</t>
        </is>
      </c>
      <c r="I960" t="inlineStr"/>
      <c r="J960" t="n">
        <v>1.752403729569814</v>
      </c>
      <c r="K960" t="n">
        <v>1.543967406903544</v>
      </c>
      <c r="L960" t="n">
        <v>0</v>
      </c>
      <c r="M960" t="n">
        <v>0.7685707572035454</v>
      </c>
      <c r="N960" t="inlineStr">
        <is>
          <t>Operationnel</t>
        </is>
      </c>
      <c r="O960" t="inlineStr"/>
      <c r="P960" t="inlineStr">
        <is>
          <t>PDH</t>
        </is>
      </c>
      <c r="Q960" t="inlineStr">
        <is>
          <t>TX ISSUE</t>
        </is>
      </c>
      <c r="R960" t="inlineStr">
        <is>
          <t>MPR issue</t>
        </is>
      </c>
      <c r="S960" t="inlineStr">
        <is>
          <t>ACTIVE</t>
        </is>
      </c>
      <c r="T960" t="inlineStr">
        <is>
          <t>INC-20260330-00014893.,,2026-03-31 00:42:47.,,FME is on site working.,,Others Transmission equipement fault</t>
        </is>
      </c>
      <c r="U960" t="inlineStr">
        <is>
          <t>2026-03-31 00 : 42 : 47.,,FME is on site working.,,</t>
        </is>
      </c>
    </row>
    <row r="961">
      <c r="A961" s="96" t="n">
        <v>46142</v>
      </c>
      <c r="B961" t="inlineStr">
        <is>
          <t>Pang-Camtel</t>
        </is>
      </c>
      <c r="C961" t="inlineStr">
        <is>
          <t>ADM_038</t>
        </is>
      </c>
      <c r="D961" t="inlineStr"/>
      <c r="E961" t="inlineStr">
        <is>
          <t>CAMUSAT</t>
        </is>
      </c>
      <c r="F961" t="inlineStr">
        <is>
          <t>Hybrid Solar - S3</t>
        </is>
      </c>
      <c r="G961" t="inlineStr">
        <is>
          <t>ADAMAOUA</t>
        </is>
      </c>
      <c r="H961" t="inlineStr">
        <is>
          <t>Pang</t>
        </is>
      </c>
      <c r="I961" t="inlineStr"/>
      <c r="J961" t="n">
        <v>1.866199460044943</v>
      </c>
      <c r="K961" t="n">
        <v>1.3445067608745</v>
      </c>
      <c r="L961" t="n">
        <v>0</v>
      </c>
      <c r="M961" t="n">
        <v>0.7178595375398467</v>
      </c>
      <c r="N961" t="inlineStr">
        <is>
          <t>Operationnel</t>
        </is>
      </c>
      <c r="O961" t="inlineStr"/>
      <c r="P961" t="inlineStr">
        <is>
          <t>AKTIVCO</t>
        </is>
      </c>
      <c r="Q961" t="inlineStr">
        <is>
          <t>POWER ISSUE</t>
        </is>
      </c>
      <c r="R961" t="inlineStr">
        <is>
          <t>AKTIVCO Defaut GE &amp; Power Cabinet</t>
        </is>
      </c>
      <c r="S961" t="inlineStr">
        <is>
          <t>PASSIVE</t>
        </is>
      </c>
      <c r="T961" t="inlineStr">
        <is>
          <t>INC-20260330-00015057.,,2026-03-30 22:46:07.,,Feedbaclk Camusat : FME a pris le point et manage avec le level 0, en attente de son feedback.,,RCA attendu de CAMUSAT.,,Others Transmission equipement fault.,,Probleme d'energie</t>
        </is>
      </c>
      <c r="U961" t="inlineStr">
        <is>
          <t>2026-03-30 22 : 46 : 07.,,Feedbaclk Camusat : FME a pris le point et manage avec le level 0, en attente de son feedback.,,RCA attendu de CAMUSAT.,,.,,Probleme d'energie</t>
        </is>
      </c>
    </row>
    <row r="962">
      <c r="A962" s="96" t="n">
        <v>46142</v>
      </c>
      <c r="B962" t="inlineStr">
        <is>
          <t>Dourbeye</t>
        </is>
      </c>
      <c r="C962" t="inlineStr">
        <is>
          <t>NRD_057</t>
        </is>
      </c>
      <c r="D962" t="inlineStr"/>
      <c r="E962" t="inlineStr">
        <is>
          <t>IHS</t>
        </is>
      </c>
      <c r="F962" t="inlineStr">
        <is>
          <t>Grid-Gen</t>
        </is>
      </c>
      <c r="G962" t="inlineStr">
        <is>
          <t>NORD</t>
        </is>
      </c>
      <c r="H962" t="inlineStr">
        <is>
          <t>Dourbeye</t>
        </is>
      </c>
      <c r="I962" t="inlineStr"/>
      <c r="J962" t="n">
        <v>0.8678029568197618</v>
      </c>
      <c r="K962" t="n">
        <v>1.309636635232253</v>
      </c>
      <c r="L962" t="n">
        <v>0.2554705160136851</v>
      </c>
      <c r="M962" t="n">
        <v>0.6968072569374176</v>
      </c>
      <c r="N962" t="inlineStr">
        <is>
          <t>Operationnel</t>
        </is>
      </c>
      <c r="O962" t="inlineStr"/>
      <c r="P962" t="inlineStr">
        <is>
          <t>PDH</t>
        </is>
      </c>
      <c r="Q962" t="inlineStr">
        <is>
          <t>TX ISSUE</t>
        </is>
      </c>
      <c r="R962" t="inlineStr">
        <is>
          <t>MPR issue</t>
        </is>
      </c>
      <c r="S962" t="inlineStr">
        <is>
          <t>ACTIVE</t>
        </is>
      </c>
      <c r="T962" t="inlineStr">
        <is>
          <t>INC-20260330-00009834.,,Others Transmission equipement fault</t>
        </is>
      </c>
      <c r="U962" t="inlineStr"/>
    </row>
    <row r="963">
      <c r="A963" s="96" t="n">
        <v>46142</v>
      </c>
      <c r="B963" t="inlineStr">
        <is>
          <t>Gari-Gombo</t>
        </is>
      </c>
      <c r="C963" t="inlineStr">
        <is>
          <t>EST_048</t>
        </is>
      </c>
      <c r="D963" t="inlineStr"/>
      <c r="E963" t="inlineStr">
        <is>
          <t>IHS</t>
        </is>
      </c>
      <c r="F963" t="inlineStr">
        <is>
          <t>Gen-Solar AER</t>
        </is>
      </c>
      <c r="G963" t="inlineStr">
        <is>
          <t>EST</t>
        </is>
      </c>
      <c r="H963" t="inlineStr">
        <is>
          <t>Gari-Gombo</t>
        </is>
      </c>
      <c r="I963" t="inlineStr"/>
      <c r="J963" t="n">
        <v>1.564317230795055</v>
      </c>
      <c r="K963" t="n">
        <v>0.6669994491875519</v>
      </c>
      <c r="L963" t="n">
        <v>0.2011974043768855</v>
      </c>
      <c r="M963" t="n">
        <v>0.5522259085707736</v>
      </c>
      <c r="N963" t="inlineStr">
        <is>
          <t>Operationnel</t>
        </is>
      </c>
      <c r="O963" t="inlineStr"/>
      <c r="P963" t="inlineStr">
        <is>
          <t>IHS</t>
        </is>
      </c>
      <c r="Q963" t="inlineStr">
        <is>
          <t>POWER ISSUE</t>
        </is>
      </c>
      <c r="R963" t="inlineStr">
        <is>
          <t>Defaut GE &amp; Power Cabinet</t>
        </is>
      </c>
      <c r="S963" t="inlineStr">
        <is>
          <t>PASSIVE</t>
        </is>
      </c>
      <c r="T963" t="inlineStr">
        <is>
          <t>INC-20260330-00015035.,,Power issue on site.,,Others</t>
        </is>
      </c>
      <c r="U963" t="inlineStr">
        <is>
          <t>Power issue on site.,,Others</t>
        </is>
      </c>
    </row>
    <row r="964">
      <c r="A964" s="96" t="n">
        <v>46142</v>
      </c>
      <c r="B964" t="inlineStr">
        <is>
          <t>Darassalam-IHS</t>
        </is>
      </c>
      <c r="C964" t="inlineStr">
        <is>
          <t>ADM_153</t>
        </is>
      </c>
      <c r="D964" t="inlineStr"/>
      <c r="E964" t="inlineStr">
        <is>
          <t>IHS</t>
        </is>
      </c>
      <c r="F964" t="inlineStr">
        <is>
          <t>Hybrid-Gen</t>
        </is>
      </c>
      <c r="G964" t="inlineStr">
        <is>
          <t>ADAMAOUA</t>
        </is>
      </c>
      <c r="H964" t="inlineStr">
        <is>
          <t>Darra Salam</t>
        </is>
      </c>
      <c r="I964" t="inlineStr"/>
      <c r="J964" t="n">
        <v>1.115476017265629</v>
      </c>
      <c r="K964" t="n">
        <v>0.5911316092704972</v>
      </c>
      <c r="L964" t="n">
        <v>0.3512373404076022</v>
      </c>
      <c r="M964" t="n">
        <v>0.5409058258054041</v>
      </c>
      <c r="N964" t="inlineStr">
        <is>
          <t>Operationnel</t>
        </is>
      </c>
      <c r="O964" t="inlineStr"/>
      <c r="P964" t="inlineStr">
        <is>
          <t>PDH</t>
        </is>
      </c>
      <c r="Q964" t="inlineStr">
        <is>
          <t>TX ISSUE</t>
        </is>
      </c>
      <c r="R964" t="inlineStr">
        <is>
          <t>MPR issue</t>
        </is>
      </c>
      <c r="S964" t="inlineStr">
        <is>
          <t>ACTIVE</t>
        </is>
      </c>
      <c r="T964" t="inlineStr">
        <is>
          <t>INC-20260330-00015568.,,Others Transmission equipement fault</t>
        </is>
      </c>
      <c r="U964" t="inlineStr"/>
    </row>
    <row r="965">
      <c r="A965" s="96" t="n">
        <v>46142</v>
      </c>
      <c r="B965" t="inlineStr">
        <is>
          <t>PK12-Marche</t>
        </is>
      </c>
      <c r="C965" t="inlineStr">
        <is>
          <t>LIT_249</t>
        </is>
      </c>
      <c r="D965" t="inlineStr"/>
      <c r="E965" t="inlineStr">
        <is>
          <t>IHS</t>
        </is>
      </c>
      <c r="F965" t="inlineStr">
        <is>
          <t>Grid-Gen</t>
        </is>
      </c>
      <c r="G965" t="inlineStr">
        <is>
          <t>LITTORAL</t>
        </is>
      </c>
      <c r="H965" t="inlineStr">
        <is>
          <t>Douala</t>
        </is>
      </c>
      <c r="I965" t="inlineStr"/>
      <c r="J965" t="n">
        <v>0.2375514070237281</v>
      </c>
      <c r="K965" t="n">
        <v>0.2008170384650701</v>
      </c>
      <c r="L965" t="n">
        <v>0.8115395180654327</v>
      </c>
      <c r="M965" t="n">
        <v>0.5245474883929313</v>
      </c>
      <c r="N965" t="inlineStr">
        <is>
          <t>Operationnel</t>
        </is>
      </c>
      <c r="O965" t="inlineStr"/>
      <c r="P965" t="inlineStr">
        <is>
          <t>PDH</t>
        </is>
      </c>
      <c r="Q965" t="inlineStr">
        <is>
          <t>TX ISSUE</t>
        </is>
      </c>
      <c r="R965" t="inlineStr">
        <is>
          <t>MPR issue</t>
        </is>
      </c>
      <c r="S965" t="inlineStr">
        <is>
          <t>ACTIVE</t>
        </is>
      </c>
      <c r="T965" t="inlineStr">
        <is>
          <t>INC-20260330-00009435.,,Others Transmission equipement fault</t>
        </is>
      </c>
      <c r="U965" t="inlineStr"/>
    </row>
    <row r="966">
      <c r="A966" s="96" t="n">
        <v>46142</v>
      </c>
      <c r="B966" t="inlineStr">
        <is>
          <t>Moumee-New</t>
        </is>
      </c>
      <c r="C966" t="inlineStr">
        <is>
          <t>OST_224</t>
        </is>
      </c>
      <c r="D966" t="inlineStr"/>
      <c r="E966" t="inlineStr">
        <is>
          <t>IHS</t>
        </is>
      </c>
      <c r="F966" t="inlineStr">
        <is>
          <t>Grid-Gen</t>
        </is>
      </c>
      <c r="G966" t="inlineStr">
        <is>
          <t>OUEST</t>
        </is>
      </c>
      <c r="H966" t="inlineStr">
        <is>
          <t>Moumee</t>
        </is>
      </c>
      <c r="I966" t="inlineStr"/>
      <c r="J966" t="n">
        <v>0.9289318508818728</v>
      </c>
      <c r="K966" t="n">
        <v>0.6120669577132442</v>
      </c>
      <c r="L966" t="n">
        <v>0.3451083065344223</v>
      </c>
      <c r="M966" t="n">
        <v>0.5180993529948528</v>
      </c>
      <c r="N966" t="inlineStr">
        <is>
          <t>Operationnel</t>
        </is>
      </c>
      <c r="O966" t="inlineStr"/>
      <c r="P966" t="inlineStr">
        <is>
          <t>PDH</t>
        </is>
      </c>
      <c r="Q966" t="inlineStr">
        <is>
          <t>TX ISSUE</t>
        </is>
      </c>
      <c r="R966" t="inlineStr">
        <is>
          <t>MPR issue</t>
        </is>
      </c>
      <c r="S966" t="inlineStr">
        <is>
          <t>ACTIVE</t>
        </is>
      </c>
      <c r="T966" t="inlineStr">
        <is>
          <t>Power status check ongoing….INC-20260330-00006133.,,Others Transmission equipement fault</t>
        </is>
      </c>
      <c r="U966" t="inlineStr">
        <is>
          <t>Power status check ongoing….,,</t>
        </is>
      </c>
    </row>
    <row r="967">
      <c r="A967" s="96" t="n">
        <v>46142</v>
      </c>
      <c r="B967" t="inlineStr">
        <is>
          <t>Mindourou</t>
        </is>
      </c>
      <c r="C967" t="inlineStr">
        <is>
          <t>EST_012</t>
        </is>
      </c>
      <c r="D967" t="inlineStr"/>
      <c r="E967" t="inlineStr">
        <is>
          <t>IHS</t>
        </is>
      </c>
      <c r="F967" t="inlineStr">
        <is>
          <t>Solar-Gen</t>
        </is>
      </c>
      <c r="G967" t="inlineStr">
        <is>
          <t>EST</t>
        </is>
      </c>
      <c r="H967" t="inlineStr">
        <is>
          <t>Mindourou</t>
        </is>
      </c>
      <c r="I967" t="inlineStr"/>
      <c r="J967" t="n">
        <v>0.08905055373707581</v>
      </c>
      <c r="K967" t="n">
        <v>1.492049345315204</v>
      </c>
      <c r="L967" t="n">
        <v>0</v>
      </c>
      <c r="M967" t="n">
        <v>0.5136145853843673</v>
      </c>
      <c r="N967" t="inlineStr">
        <is>
          <t>Operationnel</t>
        </is>
      </c>
      <c r="O967" t="inlineStr"/>
      <c r="P967" t="inlineStr">
        <is>
          <t>PDH</t>
        </is>
      </c>
      <c r="Q967" t="inlineStr">
        <is>
          <t>TX ISSUE</t>
        </is>
      </c>
      <c r="R967" t="inlineStr">
        <is>
          <t>MPR issue</t>
        </is>
      </c>
      <c r="S967" t="inlineStr">
        <is>
          <t>ACTIVE</t>
        </is>
      </c>
      <c r="T967" t="inlineStr">
        <is>
          <t>INC-20260330-00014208.,,Site Up sans intervention.,,Others Transmission equipement fault</t>
        </is>
      </c>
      <c r="U967" t="inlineStr">
        <is>
          <t>Site Up sans intervention.,,</t>
        </is>
      </c>
    </row>
    <row r="968">
      <c r="A968" s="96" t="n">
        <v>46142</v>
      </c>
      <c r="B968" t="inlineStr">
        <is>
          <t>Doualare-II</t>
        </is>
      </c>
      <c r="C968" t="inlineStr">
        <is>
          <t>EXN_197</t>
        </is>
      </c>
      <c r="D968" t="inlineStr"/>
      <c r="E968" t="inlineStr">
        <is>
          <t>CAMUSAT</t>
        </is>
      </c>
      <c r="F968" t="inlineStr">
        <is>
          <t>Medium Grid + GE</t>
        </is>
      </c>
      <c r="G968" t="inlineStr">
        <is>
          <t>EXTREME-NORD</t>
        </is>
      </c>
      <c r="H968" t="inlineStr">
        <is>
          <t>Maroua</t>
        </is>
      </c>
      <c r="I968" t="inlineStr"/>
      <c r="J968" t="n">
        <v>0.8068254938871103</v>
      </c>
      <c r="K968" t="n">
        <v>1.034420252897716</v>
      </c>
      <c r="L968" t="n">
        <v>0.0497614732515152</v>
      </c>
      <c r="M968" t="n">
        <v>0.4884314548002043</v>
      </c>
      <c r="N968" t="inlineStr">
        <is>
          <t>Operationnel</t>
        </is>
      </c>
      <c r="O968" t="inlineStr"/>
      <c r="P968" t="inlineStr">
        <is>
          <t>AKTIVCO</t>
        </is>
      </c>
      <c r="Q968" t="inlineStr">
        <is>
          <t>POWER ISSUE</t>
        </is>
      </c>
      <c r="R968" t="inlineStr">
        <is>
          <t>AKTIVCO Defaut GE &amp; Power Cabinet</t>
        </is>
      </c>
      <c r="S968" t="inlineStr">
        <is>
          <t>PASSIVE</t>
        </is>
      </c>
      <c r="T968" t="inlineStr">
        <is>
          <t>INC-20260330-00002971.,,GE Fault</t>
        </is>
      </c>
      <c r="U968" t="inlineStr">
        <is>
          <t>GE Fault</t>
        </is>
      </c>
    </row>
    <row r="969">
      <c r="A969" s="96" t="n">
        <v>46142</v>
      </c>
      <c r="B969" t="inlineStr">
        <is>
          <t>Betare-Oya</t>
        </is>
      </c>
      <c r="C969" t="inlineStr">
        <is>
          <t>EST_014</t>
        </is>
      </c>
      <c r="D969" t="inlineStr"/>
      <c r="E969" t="inlineStr">
        <is>
          <t>IHS</t>
        </is>
      </c>
      <c r="F969" t="inlineStr">
        <is>
          <t>Solar-Gen-Lithium</t>
        </is>
      </c>
      <c r="G969" t="inlineStr">
        <is>
          <t>EST</t>
        </is>
      </c>
      <c r="H969" t="inlineStr">
        <is>
          <t>Betare-oya</t>
        </is>
      </c>
      <c r="I969" t="inlineStr"/>
      <c r="J969" t="n">
        <v>1.278556127077763</v>
      </c>
      <c r="K969" t="n">
        <v>0.7765456749322539</v>
      </c>
      <c r="L969" t="n">
        <v>0.08310729014002645</v>
      </c>
      <c r="M969" t="n">
        <v>0.4866125374315816</v>
      </c>
      <c r="N969" t="inlineStr">
        <is>
          <t>Operationnel</t>
        </is>
      </c>
      <c r="O969" t="inlineStr"/>
      <c r="P969" t="inlineStr">
        <is>
          <t>PDH</t>
        </is>
      </c>
      <c r="Q969" t="inlineStr">
        <is>
          <t>TX ISSUE</t>
        </is>
      </c>
      <c r="R969" t="inlineStr">
        <is>
          <t>MPR issue</t>
        </is>
      </c>
      <c r="S969" t="inlineStr">
        <is>
          <t>ACTIVE</t>
        </is>
      </c>
      <c r="T969" t="inlineStr">
        <is>
          <t>INC-20260330-00000981.,,Others Transmission equipement fault</t>
        </is>
      </c>
      <c r="U969" t="inlineStr"/>
    </row>
    <row r="970">
      <c r="A970" s="96" t="n">
        <v>46142</v>
      </c>
      <c r="B970" t="inlineStr">
        <is>
          <t>Bengbis-MTN-IHS</t>
        </is>
      </c>
      <c r="C970" t="inlineStr">
        <is>
          <t>SUD_052</t>
        </is>
      </c>
      <c r="D970" t="inlineStr"/>
      <c r="E970" t="inlineStr">
        <is>
          <t>IHS</t>
        </is>
      </c>
      <c r="F970" t="inlineStr">
        <is>
          <t>Grid-Gen</t>
        </is>
      </c>
      <c r="G970" t="inlineStr">
        <is>
          <t>SUD</t>
        </is>
      </c>
      <c r="H970" t="inlineStr">
        <is>
          <t>Bengbis</t>
        </is>
      </c>
      <c r="I970" t="inlineStr"/>
      <c r="J970" t="n">
        <v>1.285096068351197</v>
      </c>
      <c r="K970" t="n">
        <v>0.8209060524767865</v>
      </c>
      <c r="L970" t="n">
        <v>0</v>
      </c>
      <c r="M970" t="n">
        <v>0.4590992299047663</v>
      </c>
      <c r="N970" t="inlineStr">
        <is>
          <t>Operationnel</t>
        </is>
      </c>
      <c r="O970" t="inlineStr"/>
      <c r="P970" t="inlineStr">
        <is>
          <t>PDH</t>
        </is>
      </c>
      <c r="Q970" t="inlineStr">
        <is>
          <t>TX ISSUE</t>
        </is>
      </c>
      <c r="R970" t="inlineStr">
        <is>
          <t>MPR issue</t>
        </is>
      </c>
      <c r="S970" t="inlineStr">
        <is>
          <t>ACTIVE</t>
        </is>
      </c>
      <c r="T970" t="inlineStr">
        <is>
          <t>INC-20260330-00002355.,,Others Transmission equipement fault</t>
        </is>
      </c>
      <c r="U970" t="inlineStr"/>
    </row>
    <row r="971">
      <c r="A971" s="96" t="n">
        <v>46142</v>
      </c>
      <c r="B971" t="inlineStr">
        <is>
          <t>Minisite-Tradex-Village</t>
        </is>
      </c>
      <c r="C971" t="inlineStr">
        <is>
          <t>LIT_663</t>
        </is>
      </c>
      <c r="D971" t="inlineStr"/>
      <c r="E971" t="inlineStr">
        <is>
          <t>CAMUSAT</t>
        </is>
      </c>
      <c r="F971" t="inlineStr">
        <is>
          <t>Good Grid no GE - 8h</t>
        </is>
      </c>
      <c r="G971" t="inlineStr">
        <is>
          <t>LITTORAL</t>
        </is>
      </c>
      <c r="H971" t="inlineStr">
        <is>
          <t>Douala</t>
        </is>
      </c>
      <c r="I971" t="inlineStr"/>
      <c r="J971" t="n">
        <v>0</v>
      </c>
      <c r="K971" t="n">
        <v>1.345792914919877</v>
      </c>
      <c r="L971" t="n">
        <v>0</v>
      </c>
      <c r="M971" t="n">
        <v>0.4517982039362731</v>
      </c>
      <c r="N971" t="inlineStr">
        <is>
          <t>Operationnel</t>
        </is>
      </c>
      <c r="O971" t="inlineStr"/>
      <c r="P971" t="inlineStr">
        <is>
          <t>AKTIVCO GRID ONLY</t>
        </is>
      </c>
      <c r="Q971" t="inlineStr">
        <is>
          <t>POWER ISSUE</t>
        </is>
      </c>
      <c r="R971" t="inlineStr">
        <is>
          <t>AKTIVCO Coupure ENEO &amp; Baisse de tension</t>
        </is>
      </c>
      <c r="S971" t="inlineStr">
        <is>
          <t>PASSIVE</t>
        </is>
      </c>
      <c r="T971" t="inlineStr">
        <is>
          <t>INC-20260330-00012741.,,2026-03-30 21:27:36.,,Grid outage, Grid only site / Grid return awaited.,,grid only power issue on site.,,Others</t>
        </is>
      </c>
      <c r="U971" t="inlineStr">
        <is>
          <t>2026-03-30 21 : 27 : 36.,,Grid outage, Grid only site / Grid return awaited.,,grid only power issue on site.,,Others</t>
        </is>
      </c>
    </row>
    <row r="972">
      <c r="A972" s="96" t="n">
        <v>46142</v>
      </c>
      <c r="B972" t="inlineStr">
        <is>
          <t>Batchenga-Nachtigal-IHS</t>
        </is>
      </c>
      <c r="C972" t="inlineStr">
        <is>
          <t>CTR_699</t>
        </is>
      </c>
      <c r="D972" t="inlineStr"/>
      <c r="E972" t="inlineStr">
        <is>
          <t>IHS</t>
        </is>
      </c>
      <c r="F972" t="inlineStr">
        <is>
          <t>Grid-Gen</t>
        </is>
      </c>
      <c r="G972" t="inlineStr">
        <is>
          <t>CENTRE</t>
        </is>
      </c>
      <c r="H972" t="inlineStr">
        <is>
          <t>Batchenga</t>
        </is>
      </c>
      <c r="I972" t="inlineStr"/>
      <c r="J972" t="n">
        <v>0</v>
      </c>
      <c r="K972" t="n">
        <v>0.812033976967879</v>
      </c>
      <c r="L972" t="n">
        <v>0.2752784180078667</v>
      </c>
      <c r="M972" t="n">
        <v>0.416163717458116</v>
      </c>
      <c r="N972" t="inlineStr">
        <is>
          <t>Operationnel</t>
        </is>
      </c>
      <c r="O972" t="inlineStr"/>
      <c r="P972" t="inlineStr">
        <is>
          <t>PDH</t>
        </is>
      </c>
      <c r="Q972" t="inlineStr">
        <is>
          <t>TX ISSUE</t>
        </is>
      </c>
      <c r="R972" t="inlineStr">
        <is>
          <t>MPR issue</t>
        </is>
      </c>
      <c r="S972" t="inlineStr">
        <is>
          <t>ACTIVE</t>
        </is>
      </c>
      <c r="T972" t="inlineStr">
        <is>
          <t>INC-20260330-00001253.,,Others Transmission equipement fault</t>
        </is>
      </c>
      <c r="U972" t="inlineStr"/>
    </row>
    <row r="973">
      <c r="A973" s="96" t="n">
        <v>46142</v>
      </c>
      <c r="B973" t="inlineStr">
        <is>
          <t>Nyazoro-MTN-IHS</t>
        </is>
      </c>
      <c r="C973" t="inlineStr">
        <is>
          <t>CTR_169</t>
        </is>
      </c>
      <c r="D973" t="inlineStr"/>
      <c r="E973" t="inlineStr">
        <is>
          <t>IHS</t>
        </is>
      </c>
      <c r="F973" t="inlineStr">
        <is>
          <t>Solar-Gen</t>
        </is>
      </c>
      <c r="G973" t="inlineStr">
        <is>
          <t>CENTRE</t>
        </is>
      </c>
      <c r="H973" t="inlineStr">
        <is>
          <t>Nyazoro</t>
        </is>
      </c>
      <c r="I973" t="inlineStr"/>
      <c r="J973" t="n">
        <v>1.279159998060042</v>
      </c>
      <c r="K973" t="n">
        <v>0.587677806609591</v>
      </c>
      <c r="L973" t="n">
        <v>0</v>
      </c>
      <c r="M973" t="n">
        <v>0.37995414741997</v>
      </c>
      <c r="N973" t="inlineStr">
        <is>
          <t>Operationnel</t>
        </is>
      </c>
      <c r="O973" t="inlineStr"/>
      <c r="P973" t="inlineStr">
        <is>
          <t>PDH</t>
        </is>
      </c>
      <c r="Q973" t="inlineStr">
        <is>
          <t>TX ISSUE</t>
        </is>
      </c>
      <c r="R973" t="inlineStr">
        <is>
          <t>MPR issue</t>
        </is>
      </c>
      <c r="S973" t="inlineStr">
        <is>
          <t>ACTIVE</t>
        </is>
      </c>
      <c r="T973" t="inlineStr">
        <is>
          <t>INC-20260330-00016066.,,Others Transmission equipement fault</t>
        </is>
      </c>
      <c r="U973" t="inlineStr"/>
    </row>
    <row r="974">
      <c r="A974" s="96" t="n">
        <v>46142</v>
      </c>
      <c r="B974" t="inlineStr">
        <is>
          <t>Doualayel-MTN</t>
        </is>
      </c>
      <c r="C974" t="inlineStr">
        <is>
          <t>ADM_067</t>
        </is>
      </c>
      <c r="D974" t="inlineStr"/>
      <c r="E974" t="inlineStr">
        <is>
          <t>IHS</t>
        </is>
      </c>
      <c r="F974" t="inlineStr">
        <is>
          <t>Hybrid-Gen</t>
        </is>
      </c>
      <c r="G974" t="inlineStr">
        <is>
          <t>ADAMAOUA</t>
        </is>
      </c>
      <c r="H974" t="inlineStr">
        <is>
          <t>Doualayel</t>
        </is>
      </c>
      <c r="I974" t="inlineStr"/>
      <c r="J974" t="n">
        <v>1.238491601597232</v>
      </c>
      <c r="K974" t="n">
        <v>0.5890061922484012</v>
      </c>
      <c r="L974" t="n">
        <v>0</v>
      </c>
      <c r="M974" t="n">
        <v>0.3745926585457311</v>
      </c>
      <c r="N974" t="inlineStr">
        <is>
          <t>Operationnel</t>
        </is>
      </c>
      <c r="O974" t="inlineStr"/>
      <c r="P974" t="inlineStr">
        <is>
          <t>IHS</t>
        </is>
      </c>
      <c r="Q974" t="inlineStr">
        <is>
          <t>POWER ISSUE</t>
        </is>
      </c>
      <c r="R974" t="inlineStr">
        <is>
          <t>Defaut GE &amp; Power Cabinet</t>
        </is>
      </c>
      <c r="S974" t="inlineStr">
        <is>
          <t>PASSIVE</t>
        </is>
      </c>
      <c r="T974" t="inlineStr">
        <is>
          <t>INC-20260330-00014536.,,GE Fault</t>
        </is>
      </c>
      <c r="U974" t="inlineStr">
        <is>
          <t>GE Fault</t>
        </is>
      </c>
    </row>
    <row r="975">
      <c r="A975" s="96" t="n">
        <v>46142</v>
      </c>
      <c r="B975" t="inlineStr">
        <is>
          <t>Koba-MTN</t>
        </is>
      </c>
      <c r="C975" t="inlineStr">
        <is>
          <t>ADM_064</t>
        </is>
      </c>
      <c r="D975" t="inlineStr"/>
      <c r="E975" t="inlineStr">
        <is>
          <t>IHS</t>
        </is>
      </c>
      <c r="F975" t="inlineStr">
        <is>
          <t>Hybrid-Gen</t>
        </is>
      </c>
      <c r="G975" t="inlineStr">
        <is>
          <t>ADAMAOUA</t>
        </is>
      </c>
      <c r="H975" t="inlineStr">
        <is>
          <t>Koba</t>
        </is>
      </c>
      <c r="I975" t="inlineStr"/>
      <c r="J975" t="n">
        <v>1.243417276945212</v>
      </c>
      <c r="K975" t="n">
        <v>0.5858180667152568</v>
      </c>
      <c r="L975" t="n">
        <v>0</v>
      </c>
      <c r="M975" t="n">
        <v>0.3742257540166402</v>
      </c>
      <c r="N975" t="inlineStr">
        <is>
          <t>Operationnel</t>
        </is>
      </c>
      <c r="O975" t="inlineStr"/>
      <c r="P975" t="inlineStr">
        <is>
          <t>PDH</t>
        </is>
      </c>
      <c r="Q975" t="inlineStr">
        <is>
          <t>TX ISSUE</t>
        </is>
      </c>
      <c r="R975" t="inlineStr">
        <is>
          <t>MPR issue</t>
        </is>
      </c>
      <c r="S975" t="inlineStr">
        <is>
          <t>ACTIVE</t>
        </is>
      </c>
      <c r="T975" t="inlineStr">
        <is>
          <t>INC-20260330-00014979.,,Others Transmission equipement fault</t>
        </is>
      </c>
      <c r="U975" t="inlineStr"/>
    </row>
    <row r="976">
      <c r="A976" s="96" t="n">
        <v>46142</v>
      </c>
      <c r="B976" t="inlineStr">
        <is>
          <t>Guili-Centre-IHS</t>
        </is>
      </c>
      <c r="C976" t="inlineStr">
        <is>
          <t>EXN_173</t>
        </is>
      </c>
      <c r="D976" t="inlineStr"/>
      <c r="E976" t="inlineStr">
        <is>
          <t>IHS</t>
        </is>
      </c>
      <c r="F976" t="inlineStr">
        <is>
          <t>Grid-Gen</t>
        </is>
      </c>
      <c r="G976" t="inlineStr">
        <is>
          <t>EXTREME-NORD</t>
        </is>
      </c>
      <c r="H976" t="inlineStr">
        <is>
          <t>Guili</t>
        </is>
      </c>
      <c r="I976" t="inlineStr"/>
      <c r="J976" t="n">
        <v>1.235586716135603</v>
      </c>
      <c r="K976" t="n">
        <v>0.5727335873348348</v>
      </c>
      <c r="L976" t="n">
        <v>0</v>
      </c>
      <c r="M976" t="n">
        <v>0.36871494001241</v>
      </c>
      <c r="N976" t="inlineStr">
        <is>
          <t>Insecurity</t>
        </is>
      </c>
      <c r="O976" t="inlineStr"/>
      <c r="P976" t="inlineStr">
        <is>
          <t>IHS</t>
        </is>
      </c>
      <c r="Q976" t="inlineStr">
        <is>
          <t>POWER ISSUE</t>
        </is>
      </c>
      <c r="R976" t="inlineStr">
        <is>
          <t>Defaut GE &amp; Power Cabinet</t>
        </is>
      </c>
      <c r="S976" t="inlineStr">
        <is>
          <t>PASSIVE</t>
        </is>
      </c>
      <c r="T976" t="inlineStr">
        <is>
          <t>INC-20260330-00009768.,,GE Fault</t>
        </is>
      </c>
      <c r="U976" t="inlineStr">
        <is>
          <t>GE Fault</t>
        </is>
      </c>
    </row>
    <row r="977">
      <c r="A977" s="96" t="n">
        <v>46142</v>
      </c>
      <c r="B977" t="inlineStr">
        <is>
          <t>Mbanga-Bakoko-IHS</t>
        </is>
      </c>
      <c r="C977" t="inlineStr">
        <is>
          <t>LIT_164</t>
        </is>
      </c>
      <c r="D977" t="inlineStr"/>
      <c r="E977" t="inlineStr">
        <is>
          <t>IHS</t>
        </is>
      </c>
      <c r="F977" t="inlineStr">
        <is>
          <t>Grid-Gen</t>
        </is>
      </c>
      <c r="G977" t="inlineStr">
        <is>
          <t>LITTORAL</t>
        </is>
      </c>
      <c r="H977" t="inlineStr">
        <is>
          <t>Douala</t>
        </is>
      </c>
      <c r="I977" t="inlineStr"/>
      <c r="J977" t="n">
        <v>0.1637381149359136</v>
      </c>
      <c r="K977" t="n">
        <v>0.1388187623040278</v>
      </c>
      <c r="L977" t="n">
        <v>0.5713848340983263</v>
      </c>
      <c r="M977" t="n">
        <v>0.3679555007661949</v>
      </c>
      <c r="N977" t="inlineStr">
        <is>
          <t>Operationnel</t>
        </is>
      </c>
      <c r="O977" t="inlineStr"/>
      <c r="P977" t="inlineStr">
        <is>
          <t>PDH</t>
        </is>
      </c>
      <c r="Q977" t="inlineStr">
        <is>
          <t>TX ISSUE</t>
        </is>
      </c>
      <c r="R977" t="inlineStr">
        <is>
          <t>MPR issue</t>
        </is>
      </c>
      <c r="S977" t="inlineStr">
        <is>
          <t>ACTIVE</t>
        </is>
      </c>
      <c r="T977" t="inlineStr">
        <is>
          <t>INC-20260330-00007051.,,Others Transmission equipement fault</t>
        </is>
      </c>
      <c r="U977" t="inlineStr"/>
    </row>
    <row r="978">
      <c r="A978" s="96" t="n">
        <v>46142</v>
      </c>
      <c r="B978" t="inlineStr">
        <is>
          <t>Fio-MTN</t>
        </is>
      </c>
      <c r="C978" t="inlineStr">
        <is>
          <t>EST_084</t>
        </is>
      </c>
      <c r="D978" t="inlineStr"/>
      <c r="E978" t="inlineStr">
        <is>
          <t>IHS</t>
        </is>
      </c>
      <c r="F978" t="inlineStr">
        <is>
          <t>Grid-Gen</t>
        </is>
      </c>
      <c r="G978" t="inlineStr">
        <is>
          <t>EST</t>
        </is>
      </c>
      <c r="H978" t="inlineStr">
        <is>
          <t>Fio</t>
        </is>
      </c>
      <c r="I978" t="inlineStr"/>
      <c r="J978" t="n">
        <v>0.5693989824506712</v>
      </c>
      <c r="K978" t="n">
        <v>0.2717405163356694</v>
      </c>
      <c r="L978" t="n">
        <v>0.3539049657777864</v>
      </c>
      <c r="M978" t="n">
        <v>0.3570939380709008</v>
      </c>
      <c r="N978" t="inlineStr">
        <is>
          <t>Operationnel</t>
        </is>
      </c>
      <c r="O978" t="inlineStr"/>
      <c r="P978" t="inlineStr">
        <is>
          <t>PDH</t>
        </is>
      </c>
      <c r="Q978" t="inlineStr">
        <is>
          <t>TX ISSUE</t>
        </is>
      </c>
      <c r="R978" t="inlineStr">
        <is>
          <t>MPR issue</t>
        </is>
      </c>
      <c r="S978" t="inlineStr">
        <is>
          <t>ACTIVE</t>
        </is>
      </c>
      <c r="T978" t="inlineStr">
        <is>
          <t>INC-20260330-00001674.,,Others Transmission equipement fault</t>
        </is>
      </c>
      <c r="U978" t="inlineStr"/>
    </row>
    <row r="979">
      <c r="A979" s="96" t="n">
        <v>46142</v>
      </c>
      <c r="B979" t="inlineStr">
        <is>
          <t>Akwa-Palace-Micro</t>
        </is>
      </c>
      <c r="C979" t="inlineStr">
        <is>
          <t>LIT_705</t>
        </is>
      </c>
      <c r="D979" t="inlineStr"/>
      <c r="E979" t="inlineStr">
        <is>
          <t>CAMUSAT</t>
        </is>
      </c>
      <c r="F979" t="inlineStr">
        <is>
          <t>Good Grid no GE - 8h</t>
        </is>
      </c>
      <c r="G979" t="inlineStr">
        <is>
          <t>LITTORAL</t>
        </is>
      </c>
      <c r="H979" t="inlineStr">
        <is>
          <t>Douala</t>
        </is>
      </c>
      <c r="I979" t="inlineStr"/>
      <c r="J979" t="n">
        <v>1.743792189729386</v>
      </c>
      <c r="K979" t="n">
        <v>0</v>
      </c>
      <c r="L979" t="n">
        <v>0.207048769116614</v>
      </c>
      <c r="M979" t="n">
        <v>0.3569869276009966</v>
      </c>
      <c r="N979" t="inlineStr">
        <is>
          <t>Operationnel</t>
        </is>
      </c>
      <c r="O979" t="inlineStr"/>
      <c r="P979" t="inlineStr">
        <is>
          <t>PDH</t>
        </is>
      </c>
      <c r="Q979" t="inlineStr">
        <is>
          <t>TX ISSUE</t>
        </is>
      </c>
      <c r="R979" t="inlineStr">
        <is>
          <t>MPR issue</t>
        </is>
      </c>
      <c r="S979" t="inlineStr">
        <is>
          <t>ACTIVE</t>
        </is>
      </c>
      <c r="T979" t="inlineStr">
        <is>
          <t xml:space="preserve">INC-20260330-00005902.,,2026-03-30 10:16:23.,,reconfiguration  du MPR  
reconfiguration  de la supervision  
sur la fibre .,,Transmission.,,reconfiguration  du MPR  
reconfiguration  de la supervision  
sur la fibre </t>
        </is>
      </c>
      <c r="U979" t="inlineStr">
        <is>
          <t>2026-03-30 10 : 16 : 23.,,reconfiguration du MPR reconfiguration de la supervision sur la fibre .,,Transmission.,,reconfiguration du MPR reconfiguration de la supervision sur la fibre</t>
        </is>
      </c>
    </row>
    <row r="980">
      <c r="A980" s="96" t="n">
        <v>46142</v>
      </c>
      <c r="B980" t="inlineStr">
        <is>
          <t>Limbe-Ngueme</t>
        </is>
      </c>
      <c r="C980" t="inlineStr">
        <is>
          <t>SUO_235</t>
        </is>
      </c>
      <c r="D980" t="inlineStr"/>
      <c r="E980" t="inlineStr">
        <is>
          <t>CAMUSAT</t>
        </is>
      </c>
      <c r="F980" t="inlineStr">
        <is>
          <t>Medium Grid + GE</t>
        </is>
      </c>
      <c r="G980" t="inlineStr">
        <is>
          <t>SUD-OUEST</t>
        </is>
      </c>
      <c r="H980" t="inlineStr">
        <is>
          <t>Limbe</t>
        </is>
      </c>
      <c r="I980" t="inlineStr"/>
      <c r="J980" t="n">
        <v>0.502080260901886</v>
      </c>
      <c r="K980" t="n">
        <v>0.4287284392627274</v>
      </c>
      <c r="L980" t="n">
        <v>0.1766446799615643</v>
      </c>
      <c r="M980" t="n">
        <v>0.3077442763666663</v>
      </c>
      <c r="N980" t="inlineStr">
        <is>
          <t>Operationnel</t>
        </is>
      </c>
      <c r="O980" t="inlineStr"/>
      <c r="P980" t="inlineStr">
        <is>
          <t>PDH</t>
        </is>
      </c>
      <c r="Q980" t="inlineStr">
        <is>
          <t>TX ISSUE</t>
        </is>
      </c>
      <c r="R980" t="inlineStr">
        <is>
          <t>MPR issue</t>
        </is>
      </c>
      <c r="S980" t="inlineStr">
        <is>
          <t>ACTIVE</t>
        </is>
      </c>
      <c r="T980" t="inlineStr">
        <is>
          <t>INC-20260330-00009941.,,Others Transmission equipement fault</t>
        </is>
      </c>
      <c r="U980" t="inlineStr"/>
    </row>
    <row r="981">
      <c r="A981" s="96" t="n">
        <v>46142</v>
      </c>
      <c r="B981" t="inlineStr">
        <is>
          <t>So-Djay-IHS</t>
        </is>
      </c>
      <c r="C981" t="inlineStr">
        <is>
          <t>NRD_125</t>
        </is>
      </c>
      <c r="D981" t="inlineStr"/>
      <c r="E981" t="inlineStr">
        <is>
          <t>IHS</t>
        </is>
      </c>
      <c r="F981" t="inlineStr">
        <is>
          <t>Solar-Gen</t>
        </is>
      </c>
      <c r="G981" t="inlineStr">
        <is>
          <t>NORD</t>
        </is>
      </c>
      <c r="H981" t="inlineStr">
        <is>
          <t>So-Djay</t>
        </is>
      </c>
      <c r="I981" t="inlineStr"/>
      <c r="J981" t="n">
        <v>0.9117551368478911</v>
      </c>
      <c r="K981" t="n">
        <v>0.448411083219481</v>
      </c>
      <c r="L981" t="n">
        <v>0</v>
      </c>
      <c r="M981" t="n">
        <v>0.2807353218612993</v>
      </c>
      <c r="N981" t="inlineStr">
        <is>
          <t>Operationnel</t>
        </is>
      </c>
      <c r="O981" t="inlineStr"/>
      <c r="P981" t="inlineStr">
        <is>
          <t>PDH</t>
        </is>
      </c>
      <c r="Q981" t="inlineStr">
        <is>
          <t>TX ISSUE</t>
        </is>
      </c>
      <c r="R981" t="inlineStr">
        <is>
          <t>MPR issue</t>
        </is>
      </c>
      <c r="S981" t="inlineStr">
        <is>
          <t>ACTIVE</t>
        </is>
      </c>
      <c r="T981" t="inlineStr">
        <is>
          <t>INC-20260330-00013403.,,Others Transmission equipement fault</t>
        </is>
      </c>
      <c r="U981" t="inlineStr"/>
    </row>
    <row r="982">
      <c r="A982" s="96" t="n">
        <v>46142</v>
      </c>
      <c r="B982" t="inlineStr">
        <is>
          <t>Matafal</t>
        </is>
      </c>
      <c r="C982" t="inlineStr">
        <is>
          <t>EXN_207</t>
        </is>
      </c>
      <c r="D982" t="inlineStr"/>
      <c r="E982" t="inlineStr">
        <is>
          <t>IHS</t>
        </is>
      </c>
      <c r="F982" t="inlineStr">
        <is>
          <t>Hybrid-Gen</t>
        </is>
      </c>
      <c r="G982" t="inlineStr">
        <is>
          <t>EXTREME-NORD</t>
        </is>
      </c>
      <c r="H982" t="inlineStr">
        <is>
          <t>Matafal</t>
        </is>
      </c>
      <c r="I982" t="inlineStr"/>
      <c r="J982" t="n">
        <v>1.333216127519925</v>
      </c>
      <c r="K982" t="n">
        <v>0.2462541908438738</v>
      </c>
      <c r="L982" t="n">
        <v>0</v>
      </c>
      <c r="M982" t="n">
        <v>0.2730535119108063</v>
      </c>
      <c r="N982" t="inlineStr">
        <is>
          <t>Insecurity</t>
        </is>
      </c>
      <c r="O982" t="inlineStr"/>
      <c r="P982" t="inlineStr">
        <is>
          <t>IHS</t>
        </is>
      </c>
      <c r="Q982" t="inlineStr">
        <is>
          <t>POWER ISSUE</t>
        </is>
      </c>
      <c r="R982" t="inlineStr">
        <is>
          <t>Defaut GE &amp; Power Cabinet</t>
        </is>
      </c>
      <c r="S982" t="inlineStr">
        <is>
          <t>PASSIVE</t>
        </is>
      </c>
      <c r="T982" t="inlineStr">
        <is>
          <t>Power status check ongoing….INC-20260330-00008740.,,GE Fault</t>
        </is>
      </c>
      <c r="U982" t="inlineStr">
        <is>
          <t>Power status check ongoing….,,GE Fault</t>
        </is>
      </c>
    </row>
    <row r="983">
      <c r="A983" s="96" t="n">
        <v>46142</v>
      </c>
      <c r="B983" t="inlineStr">
        <is>
          <t>Boukoula-IHS</t>
        </is>
      </c>
      <c r="C983" t="inlineStr">
        <is>
          <t>NRD_014</t>
        </is>
      </c>
      <c r="D983" t="inlineStr"/>
      <c r="E983" t="inlineStr">
        <is>
          <t>IHS</t>
        </is>
      </c>
      <c r="F983" t="inlineStr">
        <is>
          <t>Grid-Gen</t>
        </is>
      </c>
      <c r="G983" t="inlineStr">
        <is>
          <t>NORD</t>
        </is>
      </c>
      <c r="H983" t="inlineStr">
        <is>
          <t>Boukoula</t>
        </is>
      </c>
      <c r="I983" t="inlineStr"/>
      <c r="J983" t="n">
        <v>0.8854848683253309</v>
      </c>
      <c r="K983" t="n">
        <v>0.4361913499089977</v>
      </c>
      <c r="L983" t="n">
        <v>0</v>
      </c>
      <c r="M983" t="n">
        <v>0.2728816245302144</v>
      </c>
      <c r="N983" t="inlineStr">
        <is>
          <t>Operationnel</t>
        </is>
      </c>
      <c r="O983" t="inlineStr"/>
      <c r="P983" t="inlineStr">
        <is>
          <t>PDH</t>
        </is>
      </c>
      <c r="Q983" t="inlineStr">
        <is>
          <t>TX ISSUE</t>
        </is>
      </c>
      <c r="R983" t="inlineStr">
        <is>
          <t>MPR issue</t>
        </is>
      </c>
      <c r="S983" t="inlineStr">
        <is>
          <t>ACTIVE</t>
        </is>
      </c>
      <c r="T983" t="inlineStr">
        <is>
          <t>INC-20260330-00009371.,,Others Transmission equipement fault</t>
        </is>
      </c>
      <c r="U983" t="inlineStr"/>
    </row>
    <row r="984">
      <c r="A984" s="96" t="n">
        <v>46142</v>
      </c>
      <c r="B984" t="inlineStr">
        <is>
          <t>Nwa</t>
        </is>
      </c>
      <c r="C984" t="inlineStr">
        <is>
          <t>NRO_012</t>
        </is>
      </c>
      <c r="D984" t="inlineStr"/>
      <c r="E984" t="inlineStr">
        <is>
          <t>IHS</t>
        </is>
      </c>
      <c r="F984" t="inlineStr">
        <is>
          <t>Solar-Gen</t>
        </is>
      </c>
      <c r="G984" t="inlineStr">
        <is>
          <t>NORD-OUEST</t>
        </is>
      </c>
      <c r="H984" t="inlineStr">
        <is>
          <t>Mwa</t>
        </is>
      </c>
      <c r="I984" t="inlineStr"/>
      <c r="J984" t="n">
        <v>0.3278731590604135</v>
      </c>
      <c r="K984" t="n">
        <v>0.6701870212266801</v>
      </c>
      <c r="L984" t="n">
        <v>0</v>
      </c>
      <c r="M984" t="n">
        <v>0.2718097697735928</v>
      </c>
      <c r="N984" t="inlineStr">
        <is>
          <t>Insecurity</t>
        </is>
      </c>
      <c r="O984" t="inlineStr"/>
      <c r="P984" t="inlineStr">
        <is>
          <t>IHS</t>
        </is>
      </c>
      <c r="Q984" t="inlineStr">
        <is>
          <t>POWER ISSUE</t>
        </is>
      </c>
      <c r="R984" t="inlineStr">
        <is>
          <t>Defaut GE &amp; Power Cabinet</t>
        </is>
      </c>
      <c r="S984" t="inlineStr">
        <is>
          <t>PASSIVE</t>
        </is>
      </c>
      <c r="T984" t="inlineStr">
        <is>
          <t>INC-20260330-00002137.,,No Power Issue on Site U = 55.8V and site is on Gen. TX FME Jeremiah 698674799 / Huawei is informed..,,GE Fault</t>
        </is>
      </c>
      <c r="U984" t="inlineStr">
        <is>
          <t>No Power Issue on Site U = 55.8V and site is on Gen. TX FME Jeremiah 698674799 / Huawei is informed.,,GE Fault</t>
        </is>
      </c>
    </row>
    <row r="985">
      <c r="A985" s="96" t="n">
        <v>46142</v>
      </c>
      <c r="B985" t="inlineStr">
        <is>
          <t>Nkwein-Clinic-St-Louis-MTN</t>
        </is>
      </c>
      <c r="C985" t="inlineStr">
        <is>
          <t>NRO_244</t>
        </is>
      </c>
      <c r="D985" t="inlineStr"/>
      <c r="E985" t="inlineStr">
        <is>
          <t>IHS</t>
        </is>
      </c>
      <c r="F985" t="inlineStr">
        <is>
          <t>Grid-Gen</t>
        </is>
      </c>
      <c r="G985" t="inlineStr">
        <is>
          <t>NORD-OUEST</t>
        </is>
      </c>
      <c r="H985" t="inlineStr">
        <is>
          <t>Bamenda</t>
        </is>
      </c>
      <c r="I985" t="inlineStr"/>
      <c r="J985" t="n">
        <v>0.104287815386337</v>
      </c>
      <c r="K985" t="n">
        <v>0.7612984553450909</v>
      </c>
      <c r="L985" t="n">
        <v>0</v>
      </c>
      <c r="M985" t="n">
        <v>0.270468962683309</v>
      </c>
      <c r="N985" t="inlineStr">
        <is>
          <t>Operationnel</t>
        </is>
      </c>
      <c r="O985" t="inlineStr"/>
      <c r="P985" t="inlineStr">
        <is>
          <t>PDH</t>
        </is>
      </c>
      <c r="Q985" t="inlineStr">
        <is>
          <t>TX ISSUE</t>
        </is>
      </c>
      <c r="R985" t="inlineStr">
        <is>
          <t>MPR issue</t>
        </is>
      </c>
      <c r="S985" t="inlineStr">
        <is>
          <t>ACTIVE</t>
        </is>
      </c>
      <c r="T985" t="inlineStr">
        <is>
          <t>Power status check ongoing….Power status check ongoing….Power status check ongoing….INC-20260330-00015864.,,Others Transmission equipement fault</t>
        </is>
      </c>
      <c r="U985" t="inlineStr">
        <is>
          <t>Power status check ongoing….Power status check ongoing….Power status check ongoing….,,</t>
        </is>
      </c>
    </row>
    <row r="986">
      <c r="A986" s="96" t="n">
        <v>46142</v>
      </c>
      <c r="B986" t="inlineStr">
        <is>
          <t>Buea-GRA-HIS</t>
        </is>
      </c>
      <c r="C986" t="inlineStr">
        <is>
          <t>SUO_242</t>
        </is>
      </c>
      <c r="D986" t="inlineStr"/>
      <c r="E986" t="inlineStr">
        <is>
          <t>IHS</t>
        </is>
      </c>
      <c r="F986" t="inlineStr"/>
      <c r="G986" t="inlineStr">
        <is>
          <t>SUD-OUEST</t>
        </is>
      </c>
      <c r="H986" t="inlineStr">
        <is>
          <t>Buea</t>
        </is>
      </c>
      <c r="I986" t="inlineStr"/>
      <c r="J986" t="n">
        <v>0.3328467401252553</v>
      </c>
      <c r="K986" t="n">
        <v>0.5221774262098323</v>
      </c>
      <c r="L986" t="n">
        <v>0.08139677411588056</v>
      </c>
      <c r="M986" t="n">
        <v>0.2652789548929467</v>
      </c>
      <c r="N986" t="inlineStr">
        <is>
          <t>Operationnel</t>
        </is>
      </c>
      <c r="O986" t="inlineStr"/>
      <c r="P986" t="inlineStr">
        <is>
          <t>PDH</t>
        </is>
      </c>
      <c r="Q986" t="inlineStr">
        <is>
          <t>TX ISSUE</t>
        </is>
      </c>
      <c r="R986" t="inlineStr">
        <is>
          <t>MPR issue</t>
        </is>
      </c>
      <c r="S986" t="inlineStr">
        <is>
          <t>ACTIVE</t>
        </is>
      </c>
      <c r="T986" t="inlineStr">
        <is>
          <t>Power status check ongoing….INC-20260330-00009574.,,2026-03-30 15:45:44.,,Nationwide issue affecting the OAM, handled by the relevant team .,,Others Transmission equipement fault</t>
        </is>
      </c>
      <c r="U986" t="inlineStr">
        <is>
          <t>Power status check ongoing….,,2026-03-30 15 : 45 : 44.,,Nationwide issue affecting the OAM, handled by the relevant team .,,</t>
        </is>
      </c>
    </row>
    <row r="987">
      <c r="A987" s="96" t="n">
        <v>46142</v>
      </c>
      <c r="B987" t="inlineStr">
        <is>
          <t>Magada-IHS</t>
        </is>
      </c>
      <c r="C987" t="inlineStr">
        <is>
          <t>EXN_128</t>
        </is>
      </c>
      <c r="D987" t="inlineStr"/>
      <c r="E987" t="inlineStr">
        <is>
          <t>IHS</t>
        </is>
      </c>
      <c r="F987" t="inlineStr">
        <is>
          <t>Gen Only</t>
        </is>
      </c>
      <c r="G987" t="inlineStr">
        <is>
          <t>EXTREME-NORD</t>
        </is>
      </c>
      <c r="H987" t="inlineStr">
        <is>
          <t>Magada</t>
        </is>
      </c>
      <c r="I987" t="inlineStr"/>
      <c r="J987" t="n">
        <v>0.4712229416234217</v>
      </c>
      <c r="K987" t="n">
        <v>0.2433320807044101</v>
      </c>
      <c r="L987" t="n">
        <v>0.2228493193861665</v>
      </c>
      <c r="M987" t="n">
        <v>0.2651933489007963</v>
      </c>
      <c r="N987" t="inlineStr">
        <is>
          <t>Insecurity</t>
        </is>
      </c>
      <c r="O987" t="inlineStr"/>
      <c r="P987" t="inlineStr">
        <is>
          <t>PDH</t>
        </is>
      </c>
      <c r="Q987" t="inlineStr">
        <is>
          <t>TX ISSUE</t>
        </is>
      </c>
      <c r="R987" t="inlineStr">
        <is>
          <t>MPR issue</t>
        </is>
      </c>
      <c r="S987" t="inlineStr">
        <is>
          <t>ACTIVE</t>
        </is>
      </c>
      <c r="T987" t="inlineStr">
        <is>
          <t>Power status check ongoing….INC-20260330-00008700.,,Others Transmission equipement fault</t>
        </is>
      </c>
      <c r="U987" t="inlineStr">
        <is>
          <t>Power status check ongoing….,,</t>
        </is>
      </c>
    </row>
    <row r="988">
      <c r="A988" s="96" t="n">
        <v>46142</v>
      </c>
      <c r="B988" t="inlineStr">
        <is>
          <t>Mazavou</t>
        </is>
      </c>
      <c r="C988" t="inlineStr">
        <is>
          <t>EXN_215</t>
        </is>
      </c>
      <c r="D988" t="inlineStr"/>
      <c r="E988" t="inlineStr">
        <is>
          <t>CAMUSAT</t>
        </is>
      </c>
      <c r="F988" t="inlineStr">
        <is>
          <t>Hybrid Solar - S3</t>
        </is>
      </c>
      <c r="G988" t="inlineStr">
        <is>
          <t>EXTREME-NORD</t>
        </is>
      </c>
      <c r="H988" t="inlineStr">
        <is>
          <t>Kalfou</t>
        </is>
      </c>
      <c r="I988" t="inlineStr"/>
      <c r="J988" t="n">
        <v>0.8453216693341092</v>
      </c>
      <c r="K988" t="n">
        <v>0.423971616598514</v>
      </c>
      <c r="L988" t="n">
        <v>0</v>
      </c>
      <c r="M988" t="n">
        <v>0.2630440180127038</v>
      </c>
      <c r="N988" t="inlineStr">
        <is>
          <t>Insecurity</t>
        </is>
      </c>
      <c r="O988" t="inlineStr"/>
      <c r="P988" t="inlineStr">
        <is>
          <t>PDH</t>
        </is>
      </c>
      <c r="Q988" t="inlineStr">
        <is>
          <t>TX ISSUE</t>
        </is>
      </c>
      <c r="R988" t="inlineStr">
        <is>
          <t>MPR issue</t>
        </is>
      </c>
      <c r="S988" t="inlineStr">
        <is>
          <t>ACTIVE</t>
        </is>
      </c>
      <c r="T988" t="inlineStr">
        <is>
          <t>INC-20260330-00009927.,,2026-03-30 16:32:38.,,Le site est présentement UP mais il y a une dégradation des valeurs RSL du lien MW MOUDE_2---MAZAVOU.
Merci de dépêcher un FME pour un réalignement afin d'améliorer les valeurs RSL et stabiliser le lien..,,Others</t>
        </is>
      </c>
      <c r="U988" t="inlineStr">
        <is>
          <t>2026-03-30 16 : 32 : 38.,,Le site est présentement UP mais il y a une dégradation des valeurs RSL du lien MW MOUDE_2---MAZAVOU. Merci de dépêcher un FME pour un réalignement afin d'améliorer les valeurs RSL et stabiliser le lien.,,Others</t>
        </is>
      </c>
    </row>
    <row r="989">
      <c r="A989" s="96" t="n">
        <v>46142</v>
      </c>
      <c r="B989" t="inlineStr">
        <is>
          <t>Mbang</t>
        </is>
      </c>
      <c r="C989" t="inlineStr">
        <is>
          <t>EST_011</t>
        </is>
      </c>
      <c r="D989" t="inlineStr"/>
      <c r="E989" t="inlineStr">
        <is>
          <t>IHS</t>
        </is>
      </c>
      <c r="F989" t="inlineStr">
        <is>
          <t>Solar-Gen</t>
        </is>
      </c>
      <c r="G989" t="inlineStr">
        <is>
          <t>EST</t>
        </is>
      </c>
      <c r="H989" t="inlineStr">
        <is>
          <t>Mbang</t>
        </is>
      </c>
      <c r="I989" t="inlineStr"/>
      <c r="J989" t="n">
        <v>0.8379244951220779</v>
      </c>
      <c r="K989" t="n">
        <v>0.4157125201029544</v>
      </c>
      <c r="L989" t="n">
        <v>0</v>
      </c>
      <c r="M989" t="n">
        <v>0.2592150282650322</v>
      </c>
      <c r="N989" t="inlineStr">
        <is>
          <t>Operationnel</t>
        </is>
      </c>
      <c r="O989" t="inlineStr"/>
      <c r="P989" t="inlineStr">
        <is>
          <t>PDH</t>
        </is>
      </c>
      <c r="Q989" t="inlineStr">
        <is>
          <t>TX ISSUE</t>
        </is>
      </c>
      <c r="R989" t="inlineStr">
        <is>
          <t>MPR issue</t>
        </is>
      </c>
      <c r="S989" t="inlineStr">
        <is>
          <t>ACTIVE</t>
        </is>
      </c>
      <c r="T989" t="inlineStr">
        <is>
          <t>INC-20260330-00002544.,,Others Transmission equipement fault</t>
        </is>
      </c>
      <c r="U989" t="inlineStr"/>
    </row>
    <row r="990">
      <c r="A990" s="96" t="n">
        <v>46142</v>
      </c>
      <c r="B990" t="inlineStr">
        <is>
          <t>Nkomedzap-Camtel</t>
        </is>
      </c>
      <c r="C990" t="inlineStr">
        <is>
          <t>SUD_088</t>
        </is>
      </c>
      <c r="D990" t="inlineStr"/>
      <c r="E990" t="inlineStr">
        <is>
          <t>CAMUSAT</t>
        </is>
      </c>
      <c r="F990" t="inlineStr">
        <is>
          <t>Medium Grid + GE</t>
        </is>
      </c>
      <c r="G990" t="inlineStr">
        <is>
          <t>SUD</t>
        </is>
      </c>
      <c r="H990" t="inlineStr">
        <is>
          <t>Nkomedzap</t>
        </is>
      </c>
      <c r="I990" t="inlineStr"/>
      <c r="J990" t="n">
        <v>0.5912073411254991</v>
      </c>
      <c r="K990" t="n">
        <v>0.2589902281791566</v>
      </c>
      <c r="L990" t="n">
        <v>0.1629645498580548</v>
      </c>
      <c r="M990" t="n">
        <v>0.2563545086311333</v>
      </c>
      <c r="N990" t="inlineStr">
        <is>
          <t>Operationnel</t>
        </is>
      </c>
      <c r="O990" t="inlineStr"/>
      <c r="P990" t="inlineStr">
        <is>
          <t>PDH</t>
        </is>
      </c>
      <c r="Q990" t="inlineStr">
        <is>
          <t>TX ISSUE</t>
        </is>
      </c>
      <c r="R990" t="inlineStr">
        <is>
          <t>MPR issue</t>
        </is>
      </c>
      <c r="S990" t="inlineStr">
        <is>
          <t>ACTIVE</t>
        </is>
      </c>
      <c r="T990" t="inlineStr">
        <is>
          <t>INC-20260330-00002293.,,Others Transmission equipement fault</t>
        </is>
      </c>
      <c r="U990" t="inlineStr"/>
    </row>
    <row r="991">
      <c r="A991" s="96" t="n">
        <v>46142</v>
      </c>
      <c r="B991" t="inlineStr">
        <is>
          <t>Home-IHS</t>
        </is>
      </c>
      <c r="C991" t="inlineStr">
        <is>
          <t>ADM_112</t>
        </is>
      </c>
      <c r="D991" t="inlineStr"/>
      <c r="E991" t="inlineStr">
        <is>
          <t>IHS</t>
        </is>
      </c>
      <c r="F991" t="inlineStr">
        <is>
          <t>Hybrid-Gen</t>
        </is>
      </c>
      <c r="G991" t="inlineStr">
        <is>
          <t>ADAMAOUA</t>
        </is>
      </c>
      <c r="H991" t="inlineStr">
        <is>
          <t>Home</t>
        </is>
      </c>
      <c r="I991" t="inlineStr"/>
      <c r="J991" t="n">
        <v>0.2017063734717776</v>
      </c>
      <c r="K991" t="n">
        <v>0.5997948053626015</v>
      </c>
      <c r="L991" t="n">
        <v>0</v>
      </c>
      <c r="M991" t="n">
        <v>0.2301616856859943</v>
      </c>
      <c r="N991" t="inlineStr">
        <is>
          <t>Operationnel</t>
        </is>
      </c>
      <c r="O991" t="inlineStr"/>
      <c r="P991" t="inlineStr">
        <is>
          <t>PDH</t>
        </is>
      </c>
      <c r="Q991" t="inlineStr">
        <is>
          <t>TX ISSUE</t>
        </is>
      </c>
      <c r="R991" t="inlineStr">
        <is>
          <t>MPR issue</t>
        </is>
      </c>
      <c r="S991" t="inlineStr">
        <is>
          <t>ACTIVE</t>
        </is>
      </c>
      <c r="T991" t="inlineStr">
        <is>
          <t>INC-20260330-00012004.,,Others Transmission equipement fault</t>
        </is>
      </c>
      <c r="U991" t="inlineStr"/>
    </row>
    <row r="992">
      <c r="A992" s="96" t="n">
        <v>46142</v>
      </c>
      <c r="B992" t="inlineStr">
        <is>
          <t>Foumbot-Centre-Ville-II</t>
        </is>
      </c>
      <c r="C992" t="inlineStr">
        <is>
          <t>OST_227</t>
        </is>
      </c>
      <c r="D992" t="inlineStr"/>
      <c r="E992" t="inlineStr">
        <is>
          <t>CAMUSAT</t>
        </is>
      </c>
      <c r="F992" t="inlineStr">
        <is>
          <t>Medium Grid + GE</t>
        </is>
      </c>
      <c r="G992" t="inlineStr">
        <is>
          <t>OUEST</t>
        </is>
      </c>
      <c r="H992" t="inlineStr">
        <is>
          <t>Foumbot</t>
        </is>
      </c>
      <c r="I992" t="inlineStr"/>
      <c r="J992" t="n">
        <v>0.3447118209177128</v>
      </c>
      <c r="K992" t="n">
        <v>0.4433912706427166</v>
      </c>
      <c r="L992" t="n">
        <v>0.04822245861487041</v>
      </c>
      <c r="M992" t="n">
        <v>0.2232238402205272</v>
      </c>
      <c r="N992" t="inlineStr">
        <is>
          <t>Operationnel</t>
        </is>
      </c>
      <c r="O992" t="inlineStr"/>
      <c r="P992" t="inlineStr">
        <is>
          <t>BSS</t>
        </is>
      </c>
      <c r="Q992" t="inlineStr">
        <is>
          <t>RAN ISSUE</t>
        </is>
      </c>
      <c r="R992" t="inlineStr">
        <is>
          <t>BSS Hardware issue</t>
        </is>
      </c>
      <c r="S992" t="inlineStr">
        <is>
          <t>ACTIVE</t>
        </is>
      </c>
      <c r="T992" t="inlineStr">
        <is>
          <t>30/03/2026 : FME active
28/03/2026 : Besoin d'analyse BO RAN || Check and clean jumper, port 2 of RRU 81….30/03/2026 : FME active
28/03/2026 : Besoin d'analyse BO RAN || Check and clean jumper, port 2 of RRU 81….INC-20260330-00005006.,,GE Fault</t>
        </is>
      </c>
      <c r="U992" t="inlineStr">
        <is>
          <t>30/03/2026 : FME active 28/03/2026 : Besoin d'analyse BO RAN || Check and clean jumper, port 2 of RRU 81….30/03/2026 : FME active 28/03/2026 : Besoin d'analyse BO RAN || Check and clean jumper, port 2 of RRU 81….,,GE Fault</t>
        </is>
      </c>
    </row>
    <row r="993">
      <c r="A993" s="96" t="n">
        <v>46142</v>
      </c>
      <c r="B993" t="inlineStr">
        <is>
          <t>Kong-Kong-IHS</t>
        </is>
      </c>
      <c r="C993" t="inlineStr">
        <is>
          <t>NRD_070</t>
        </is>
      </c>
      <c r="D993" t="inlineStr"/>
      <c r="E993" t="inlineStr">
        <is>
          <t>IHS</t>
        </is>
      </c>
      <c r="F993" t="inlineStr">
        <is>
          <t>Solar-Gen</t>
        </is>
      </c>
      <c r="G993" t="inlineStr">
        <is>
          <t>NORD</t>
        </is>
      </c>
      <c r="H993" t="inlineStr">
        <is>
          <t>KongKong</t>
        </is>
      </c>
      <c r="I993" t="inlineStr"/>
      <c r="J993" t="n">
        <v>0.3975904101395153</v>
      </c>
      <c r="K993" t="n">
        <v>0.248113715478078</v>
      </c>
      <c r="L993" t="n">
        <v>0.1103986499353202</v>
      </c>
      <c r="M993" t="n">
        <v>0.1976421426501179</v>
      </c>
      <c r="N993" t="inlineStr">
        <is>
          <t>Operationnel</t>
        </is>
      </c>
      <c r="O993" t="inlineStr"/>
      <c r="P993" t="inlineStr">
        <is>
          <t>PDH</t>
        </is>
      </c>
      <c r="Q993" t="inlineStr">
        <is>
          <t>TX ISSUE</t>
        </is>
      </c>
      <c r="R993" t="inlineStr">
        <is>
          <t>MPR issue</t>
        </is>
      </c>
      <c r="S993" t="inlineStr">
        <is>
          <t>ACTIVE</t>
        </is>
      </c>
      <c r="T993" t="inlineStr">
        <is>
          <t>Power status check ongoing….INC-20260330-00009155.,,Others Transmission equipement fault</t>
        </is>
      </c>
      <c r="U993" t="inlineStr">
        <is>
          <t>Power status check ongoing….,,</t>
        </is>
      </c>
    </row>
    <row r="994">
      <c r="A994" s="96" t="n">
        <v>46142</v>
      </c>
      <c r="B994" t="inlineStr">
        <is>
          <t>Danfili-MTN-IHS</t>
        </is>
      </c>
      <c r="C994" t="inlineStr">
        <is>
          <t>ADM_122</t>
        </is>
      </c>
      <c r="D994" t="inlineStr"/>
      <c r="E994" t="inlineStr">
        <is>
          <t>IHS</t>
        </is>
      </c>
      <c r="F994" t="inlineStr">
        <is>
          <t>Gen-Solar AER</t>
        </is>
      </c>
      <c r="G994" t="inlineStr">
        <is>
          <t>ADAMAOUA</t>
        </is>
      </c>
      <c r="H994" t="inlineStr">
        <is>
          <t>Danfili</t>
        </is>
      </c>
      <c r="I994" t="inlineStr"/>
      <c r="J994" t="n">
        <v>0.2275914609502562</v>
      </c>
      <c r="K994" t="n">
        <v>0.3382069836410538</v>
      </c>
      <c r="L994" t="n">
        <v>0.09193047429558268</v>
      </c>
      <c r="M994" t="n">
        <v>0.1939807153916501</v>
      </c>
      <c r="N994" t="inlineStr">
        <is>
          <t>Operationnel</t>
        </is>
      </c>
      <c r="O994" t="inlineStr"/>
      <c r="P994" t="inlineStr">
        <is>
          <t>PDH</t>
        </is>
      </c>
      <c r="Q994" t="inlineStr">
        <is>
          <t>TX ISSUE</t>
        </is>
      </c>
      <c r="R994" t="inlineStr">
        <is>
          <t>MPR issue</t>
        </is>
      </c>
      <c r="S994" t="inlineStr">
        <is>
          <t>ACTIVE</t>
        </is>
      </c>
      <c r="T994" t="inlineStr">
        <is>
          <t>Power status check ongoing….INC-20260330-00015940.,,Others Transmission equipement fault</t>
        </is>
      </c>
      <c r="U994" t="inlineStr">
        <is>
          <t>Power status check ongoing….,,</t>
        </is>
      </c>
    </row>
    <row r="995">
      <c r="A995" s="96" t="n">
        <v>46142</v>
      </c>
      <c r="B995" t="inlineStr">
        <is>
          <t>Kanje-I</t>
        </is>
      </c>
      <c r="C995" t="inlineStr">
        <is>
          <t>ADM_041</t>
        </is>
      </c>
      <c r="D995" t="inlineStr"/>
      <c r="E995" t="inlineStr">
        <is>
          <t>IHS</t>
        </is>
      </c>
      <c r="F995" t="inlineStr">
        <is>
          <t>Hybrid-Gen</t>
        </is>
      </c>
      <c r="G995" t="inlineStr">
        <is>
          <t>ADAMAOUA</t>
        </is>
      </c>
      <c r="H995" t="inlineStr">
        <is>
          <t>Kanje-I</t>
        </is>
      </c>
      <c r="I995" t="inlineStr"/>
      <c r="J995" t="n">
        <v>0.2432525825694747</v>
      </c>
      <c r="K995" t="n">
        <v>0.1633914335736424</v>
      </c>
      <c r="L995" t="n">
        <v>0.1889909973799815</v>
      </c>
      <c r="M995" t="n">
        <v>0.1881454778925962</v>
      </c>
      <c r="N995" t="inlineStr">
        <is>
          <t>Operationnel</t>
        </is>
      </c>
      <c r="O995" t="inlineStr"/>
      <c r="P995" t="inlineStr">
        <is>
          <t>PDH</t>
        </is>
      </c>
      <c r="Q995" t="inlineStr">
        <is>
          <t>TX ISSUE</t>
        </is>
      </c>
      <c r="R995" t="inlineStr">
        <is>
          <t>MPR issue</t>
        </is>
      </c>
      <c r="S995" t="inlineStr">
        <is>
          <t>ACTIVE</t>
        </is>
      </c>
      <c r="T995" t="inlineStr">
        <is>
          <t>Power status check ongoing….INC-20260330-00015893.,,Others Transmission equipement fault</t>
        </is>
      </c>
      <c r="U995" t="inlineStr">
        <is>
          <t>Power status check ongoing….,,</t>
        </is>
      </c>
    </row>
    <row r="996">
      <c r="A996" s="96" t="n">
        <v>46142</v>
      </c>
      <c r="B996" t="inlineStr">
        <is>
          <t>Mbong</t>
        </is>
      </c>
      <c r="C996" t="inlineStr">
        <is>
          <t>ADM_042</t>
        </is>
      </c>
      <c r="D996" t="inlineStr"/>
      <c r="E996" t="inlineStr">
        <is>
          <t>IHS</t>
        </is>
      </c>
      <c r="F996" t="inlineStr">
        <is>
          <t>Hybrid-Gen</t>
        </is>
      </c>
      <c r="G996" t="inlineStr">
        <is>
          <t>ADAMAOUA</t>
        </is>
      </c>
      <c r="H996" t="inlineStr">
        <is>
          <t>Mbong</t>
        </is>
      </c>
      <c r="I996" t="inlineStr"/>
      <c r="J996" t="n">
        <v>0.2280966584218439</v>
      </c>
      <c r="K996" t="n">
        <v>0.1524986713354001</v>
      </c>
      <c r="L996" t="n">
        <v>0.1894014012830875</v>
      </c>
      <c r="M996" t="n">
        <v>0.1825384083447184</v>
      </c>
      <c r="N996" t="inlineStr">
        <is>
          <t>Operationnel</t>
        </is>
      </c>
      <c r="O996" t="inlineStr"/>
      <c r="P996" t="inlineStr">
        <is>
          <t>PDH</t>
        </is>
      </c>
      <c r="Q996" t="inlineStr">
        <is>
          <t>TX ISSUE</t>
        </is>
      </c>
      <c r="R996" t="inlineStr">
        <is>
          <t>MPR issue</t>
        </is>
      </c>
      <c r="S996" t="inlineStr">
        <is>
          <t>ACTIVE</t>
        </is>
      </c>
      <c r="T996" t="inlineStr">
        <is>
          <t>Power status check ongoing….INC-20260330-00015916.,,Others Transmission equipement fault</t>
        </is>
      </c>
      <c r="U996" t="inlineStr">
        <is>
          <t>Power status check ongoing….,,</t>
        </is>
      </c>
    </row>
    <row r="997">
      <c r="A997" s="96" t="n">
        <v>46142</v>
      </c>
      <c r="B997" t="inlineStr">
        <is>
          <t>Ngoum-II-MTN</t>
        </is>
      </c>
      <c r="C997" t="inlineStr">
        <is>
          <t>CTR_367</t>
        </is>
      </c>
      <c r="D997" t="inlineStr"/>
      <c r="E997" t="inlineStr">
        <is>
          <t>IHS</t>
        </is>
      </c>
      <c r="F997" t="inlineStr">
        <is>
          <t>Solar-Gen</t>
        </is>
      </c>
      <c r="G997" t="inlineStr">
        <is>
          <t>CENTRE</t>
        </is>
      </c>
      <c r="H997" t="inlineStr">
        <is>
          <t>Ngoum-II</t>
        </is>
      </c>
      <c r="I997" t="inlineStr"/>
      <c r="J997" t="n">
        <v>0.1856600708084776</v>
      </c>
      <c r="K997" t="n">
        <v>0.104924246287966</v>
      </c>
      <c r="L997" t="n">
        <v>0.1536962617129265</v>
      </c>
      <c r="M997" t="n">
        <v>0.1418873625811025</v>
      </c>
      <c r="N997" t="inlineStr">
        <is>
          <t>Operationnel</t>
        </is>
      </c>
      <c r="O997" t="inlineStr"/>
      <c r="P997" t="inlineStr">
        <is>
          <t>PDH</t>
        </is>
      </c>
      <c r="Q997" t="inlineStr">
        <is>
          <t>TX ISSUE</t>
        </is>
      </c>
      <c r="R997" t="inlineStr">
        <is>
          <t>MPR issue</t>
        </is>
      </c>
      <c r="S997" t="inlineStr">
        <is>
          <t>ACTIVE</t>
        </is>
      </c>
      <c r="T997" t="inlineStr">
        <is>
          <t>INC-20260330-00001261.,,Others Transmission equipement fault</t>
        </is>
      </c>
      <c r="U997" t="inlineStr"/>
    </row>
    <row r="998">
      <c r="A998" s="96" t="n">
        <v>46142</v>
      </c>
      <c r="B998" t="inlineStr">
        <is>
          <t>Febadi-MTN</t>
        </is>
      </c>
      <c r="C998" t="inlineStr">
        <is>
          <t>ADM_063</t>
        </is>
      </c>
      <c r="D998" t="inlineStr"/>
      <c r="E998" t="inlineStr">
        <is>
          <t>IHS</t>
        </is>
      </c>
      <c r="F998" t="inlineStr">
        <is>
          <t>Solar-Gen</t>
        </is>
      </c>
      <c r="G998" t="inlineStr">
        <is>
          <t>ADAMAOUA</t>
        </is>
      </c>
      <c r="H998" t="inlineStr">
        <is>
          <t>Febadi</t>
        </is>
      </c>
      <c r="I998" t="inlineStr"/>
      <c r="J998" t="n">
        <v>0.1677255605671145</v>
      </c>
      <c r="K998" t="n">
        <v>0.09962892291075789</v>
      </c>
      <c r="L998" t="n">
        <v>0.1240787800388303</v>
      </c>
      <c r="M998" t="n">
        <v>0.1221034372198677</v>
      </c>
      <c r="N998" t="inlineStr">
        <is>
          <t>Operationnel</t>
        </is>
      </c>
      <c r="O998" t="inlineStr"/>
      <c r="P998" t="inlineStr">
        <is>
          <t>PDH</t>
        </is>
      </c>
      <c r="Q998" t="inlineStr">
        <is>
          <t>TX ISSUE</t>
        </is>
      </c>
      <c r="R998" t="inlineStr">
        <is>
          <t>MPR issue</t>
        </is>
      </c>
      <c r="S998" t="inlineStr">
        <is>
          <t>ACTIVE</t>
        </is>
      </c>
      <c r="T998" t="inlineStr">
        <is>
          <t>Power status check ongoing….INC-20260330-00015975.,,Others Transmission equipement fault</t>
        </is>
      </c>
      <c r="U998" t="inlineStr">
        <is>
          <t>Power status check ongoing….,,</t>
        </is>
      </c>
    </row>
    <row r="999">
      <c r="A999" s="96" t="n">
        <v>46142</v>
      </c>
      <c r="B999" t="inlineStr">
        <is>
          <t>Hile-Alifa-IHS</t>
        </is>
      </c>
      <c r="C999" t="inlineStr">
        <is>
          <t>EXN_224</t>
        </is>
      </c>
      <c r="D999" t="inlineStr"/>
      <c r="E999" t="inlineStr">
        <is>
          <t>IHS</t>
        </is>
      </c>
      <c r="F999" t="inlineStr">
        <is>
          <t>Hybrid-Gen</t>
        </is>
      </c>
      <c r="G999" t="inlineStr">
        <is>
          <t>EXTREME-NORD</t>
        </is>
      </c>
      <c r="H999" t="inlineStr">
        <is>
          <t>Hile-Alifa</t>
        </is>
      </c>
      <c r="I999" t="inlineStr"/>
      <c r="J999" t="n">
        <v>0.2053627722003977</v>
      </c>
      <c r="K999" t="n">
        <v>0.2250024807386847</v>
      </c>
      <c r="L999" t="n">
        <v>0</v>
      </c>
      <c r="M999" t="n">
        <v>0.1048617128492807</v>
      </c>
      <c r="N999" t="inlineStr">
        <is>
          <t>Insecurity</t>
        </is>
      </c>
      <c r="O999" t="inlineStr"/>
      <c r="P999" t="inlineStr">
        <is>
          <t>PDH</t>
        </is>
      </c>
      <c r="Q999" t="inlineStr">
        <is>
          <t>TX ISSUE</t>
        </is>
      </c>
      <c r="R999" t="inlineStr">
        <is>
          <t>MPR issue</t>
        </is>
      </c>
      <c r="S999" t="inlineStr">
        <is>
          <t>ACTIVE</t>
        </is>
      </c>
      <c r="T999" t="inlineStr">
        <is>
          <t>INC-20260330-00011007.,,Others Transmission equipement fault</t>
        </is>
      </c>
      <c r="U999" t="inlineStr"/>
    </row>
    <row r="1000">
      <c r="A1000" s="96" t="n">
        <v>46142</v>
      </c>
      <c r="B1000" t="inlineStr">
        <is>
          <t>Akongo-IHS</t>
        </is>
      </c>
      <c r="C1000" t="inlineStr">
        <is>
          <t>CTR_436</t>
        </is>
      </c>
      <c r="D1000" t="inlineStr"/>
      <c r="E1000" t="inlineStr">
        <is>
          <t>IHS</t>
        </is>
      </c>
      <c r="F1000" t="inlineStr">
        <is>
          <t>Gen Only</t>
        </is>
      </c>
      <c r="G1000" t="inlineStr">
        <is>
          <t>CENTRE</t>
        </is>
      </c>
      <c r="H1000" t="inlineStr">
        <is>
          <t>Akongo</t>
        </is>
      </c>
      <c r="I1000" t="inlineStr"/>
      <c r="J1000" t="n">
        <v>0.147012464232019</v>
      </c>
      <c r="K1000" t="n">
        <v>0.2480993570454695</v>
      </c>
      <c r="L1000" t="n">
        <v>0</v>
      </c>
      <c r="M1000" t="n">
        <v>0.1042831820422331</v>
      </c>
      <c r="N1000" t="inlineStr">
        <is>
          <t>EXCLU</t>
        </is>
      </c>
      <c r="O1000" t="inlineStr">
        <is>
          <t>UE Relay</t>
        </is>
      </c>
      <c r="P1000" t="inlineStr">
        <is>
          <t>Exclu</t>
        </is>
      </c>
      <c r="Q1000" t="inlineStr">
        <is>
          <t>Exclu</t>
        </is>
      </c>
      <c r="R1000" t="inlineStr">
        <is>
          <t>exclu</t>
        </is>
      </c>
      <c r="S1000" t="inlineStr">
        <is>
          <t>Exclu</t>
        </is>
      </c>
      <c r="T1000" t="inlineStr">
        <is>
          <t>INC-20260330-00015531.,,Others Transmission equipement fault</t>
        </is>
      </c>
      <c r="U1000" t="inlineStr"/>
    </row>
    <row r="1001">
      <c r="A1001" s="96" t="n">
        <v>46142</v>
      </c>
      <c r="B1001" t="inlineStr">
        <is>
          <t>Ngola-MTN</t>
        </is>
      </c>
      <c r="C1001" t="inlineStr">
        <is>
          <t>EST_043</t>
        </is>
      </c>
      <c r="D1001" t="inlineStr"/>
      <c r="E1001" t="inlineStr">
        <is>
          <t>IHS</t>
        </is>
      </c>
      <c r="F1001" t="inlineStr">
        <is>
          <t>Solar-Gen</t>
        </is>
      </c>
      <c r="G1001" t="inlineStr">
        <is>
          <t>EST</t>
        </is>
      </c>
      <c r="H1001" t="inlineStr">
        <is>
          <t>Ngola</t>
        </is>
      </c>
      <c r="I1001" t="inlineStr"/>
      <c r="J1001" t="n">
        <v>0.5998735057491936</v>
      </c>
      <c r="K1001" t="n">
        <v>0</v>
      </c>
      <c r="L1001" t="n">
        <v>0</v>
      </c>
      <c r="M1001" t="n">
        <v>0.08566188115845254</v>
      </c>
      <c r="N1001" t="inlineStr">
        <is>
          <t>Operationnel</t>
        </is>
      </c>
      <c r="O1001" t="inlineStr"/>
      <c r="P1001" t="inlineStr">
        <is>
          <t>IHS</t>
        </is>
      </c>
      <c r="Q1001" t="inlineStr">
        <is>
          <t>POWER ISSUE</t>
        </is>
      </c>
      <c r="R1001" t="inlineStr">
        <is>
          <t>Defaut GE &amp; Power Cabinet</t>
        </is>
      </c>
      <c r="S1001" t="inlineStr">
        <is>
          <t>PASSIVE</t>
        </is>
      </c>
      <c r="T1001" t="inlineStr">
        <is>
          <t>INC-20260330-00013299.,,No power issue on site Ubaie = 50V site on BATTERY (Threshold 47.1V). VSAT issue. TX FME Hugues (651514691 / Huawei) is informed..,,No power issue on site Ubaie = 50V site on BATTERY (Threshold 47.1V). VSAT issue. TX FME Hugues (651514691 / Huawei) is informed..,,GE Fault</t>
        </is>
      </c>
      <c r="U1001" t="inlineStr">
        <is>
          <t>No power issue on site Ubaie = 50V site on BATTERY (Threshold 47.1V). VSAT issue. TX FME Hugues (651514691 / Huawei) is informed.,,No power issue on site Ubaie = 50V site on BATTERY (Threshold 47.1V). VSAT issue. TX FME Hugues (651514691 / Huawei) is informed.,,GE Fault</t>
        </is>
      </c>
    </row>
    <row r="1002">
      <c r="A1002" s="96" t="n">
        <v>46142</v>
      </c>
      <c r="B1002" t="inlineStr">
        <is>
          <t>Nkan</t>
        </is>
      </c>
      <c r="C1002" t="inlineStr">
        <is>
          <t>LIT_514</t>
        </is>
      </c>
      <c r="D1002" t="inlineStr"/>
      <c r="E1002" t="inlineStr">
        <is>
          <t>IHS</t>
        </is>
      </c>
      <c r="F1002" t="inlineStr">
        <is>
          <t>Hybrid-Gen</t>
        </is>
      </c>
      <c r="G1002" t="inlineStr">
        <is>
          <t>LITTORAL</t>
        </is>
      </c>
      <c r="H1002" t="inlineStr">
        <is>
          <t>Nkan</t>
        </is>
      </c>
      <c r="I1002" t="inlineStr"/>
      <c r="J1002" t="n">
        <v>0.264344577008261</v>
      </c>
      <c r="K1002" t="n">
        <v>0.1344092876499003</v>
      </c>
      <c r="L1002" t="n">
        <v>0</v>
      </c>
      <c r="M1002" t="n">
        <v>0.0828711292992724</v>
      </c>
      <c r="N1002" t="inlineStr">
        <is>
          <t>Operationnel</t>
        </is>
      </c>
      <c r="O1002" t="inlineStr"/>
      <c r="P1002" t="inlineStr">
        <is>
          <t>PDH</t>
        </is>
      </c>
      <c r="Q1002" t="inlineStr">
        <is>
          <t>TX ISSUE</t>
        </is>
      </c>
      <c r="R1002" t="inlineStr">
        <is>
          <t>MPR issue</t>
        </is>
      </c>
      <c r="S1002" t="inlineStr">
        <is>
          <t>ACTIVE</t>
        </is>
      </c>
      <c r="T1002" t="inlineStr">
        <is>
          <t>INC-20260330-00012506.,,Others Transmission equipement fault</t>
        </is>
      </c>
      <c r="U1002" t="inlineStr"/>
    </row>
    <row r="1003">
      <c r="A1003" s="96" t="n">
        <v>46142</v>
      </c>
      <c r="B1003" t="inlineStr">
        <is>
          <t>Douggoy-Lopere-II</t>
        </is>
      </c>
      <c r="C1003" t="inlineStr">
        <is>
          <t>EXN_217</t>
        </is>
      </c>
      <c r="D1003" t="inlineStr"/>
      <c r="E1003" t="inlineStr">
        <is>
          <t>CAMUSAT</t>
        </is>
      </c>
      <c r="F1003" t="inlineStr">
        <is>
          <t>Medium Grid + GE</t>
        </is>
      </c>
      <c r="G1003" t="inlineStr">
        <is>
          <t>EXTREME-NORD</t>
        </is>
      </c>
      <c r="H1003" t="inlineStr">
        <is>
          <t>Maroua</t>
        </is>
      </c>
      <c r="I1003" t="inlineStr"/>
      <c r="J1003" t="n">
        <v>0.04870927904272029</v>
      </c>
      <c r="K1003" t="n">
        <v>0.1765383647670437</v>
      </c>
      <c r="L1003" t="n">
        <v>0.02547924231778614</v>
      </c>
      <c r="M1003" t="n">
        <v>0.07950877913895095</v>
      </c>
      <c r="N1003" t="inlineStr">
        <is>
          <t>Operationnel</t>
        </is>
      </c>
      <c r="O1003" t="inlineStr"/>
      <c r="P1003" t="inlineStr">
        <is>
          <t>AKTIVCO</t>
        </is>
      </c>
      <c r="Q1003" t="inlineStr">
        <is>
          <t>POWER ISSUE</t>
        </is>
      </c>
      <c r="R1003" t="inlineStr">
        <is>
          <t>AKTIVCO Defaut GE &amp; Power Cabinet</t>
        </is>
      </c>
      <c r="S1003" t="inlineStr">
        <is>
          <t>PASSIVE</t>
        </is>
      </c>
      <c r="T1003" t="inlineStr">
        <is>
          <t>29/03/2026 : Nous avons un délestage fréquent dans la zone et la génératrice du GE est en faute,
Le remplacement est prévue en WEEK 14.….29/03/2026 : Nous avons un délestage fréquent dans la zone et la génératrice du GE est en faute,
Le remplacement est prévue en WEEK 14.</t>
        </is>
      </c>
      <c r="U1003" t="inlineStr">
        <is>
          <t>29/03/2026 : Nous avons un délestage fréquent dans la zone et la génératrice du GE est en faute, Le remplacement est prévue en WEEK 14.….29/03/2026 : Nous avons un délestage fréquent dans la zone et la génératrice du GE est en faute, Le remplacement est prévue en WEEK 14.</t>
        </is>
      </c>
    </row>
    <row r="1004">
      <c r="A1004" s="96" t="n">
        <v>46142</v>
      </c>
      <c r="B1004" t="inlineStr">
        <is>
          <t>Logbong</t>
        </is>
      </c>
      <c r="C1004" t="inlineStr">
        <is>
          <t>LIT_508</t>
        </is>
      </c>
      <c r="D1004" t="inlineStr"/>
      <c r="E1004" t="inlineStr"/>
      <c r="F1004" t="inlineStr"/>
      <c r="G1004" t="inlineStr">
        <is>
          <t>LITTORAL</t>
        </is>
      </c>
      <c r="H1004" t="inlineStr">
        <is>
          <t>Logbong</t>
        </is>
      </c>
      <c r="I1004" t="inlineStr"/>
      <c r="J1004" t="n">
        <v>0.2529776338975379</v>
      </c>
      <c r="K1004" t="n">
        <v>0.125112202535777</v>
      </c>
      <c r="L1004" t="n">
        <v>0</v>
      </c>
      <c r="M1004" t="n">
        <v>0.07812679216847093</v>
      </c>
      <c r="N1004" t="inlineStr">
        <is>
          <t>Operationnel</t>
        </is>
      </c>
      <c r="O1004" t="inlineStr"/>
      <c r="P1004" t="inlineStr">
        <is>
          <t>PDH</t>
        </is>
      </c>
      <c r="Q1004" t="inlineStr">
        <is>
          <t>TX ISSUE</t>
        </is>
      </c>
      <c r="R1004" t="inlineStr">
        <is>
          <t>MPR issue</t>
        </is>
      </c>
      <c r="S1004" t="inlineStr">
        <is>
          <t>ACTIVE</t>
        </is>
      </c>
      <c r="T1004" t="inlineStr">
        <is>
          <t>INC-20260330-00012473.,,Others Transmission equipement fault</t>
        </is>
      </c>
      <c r="U1004" t="inlineStr"/>
    </row>
    <row r="1005">
      <c r="A1005" s="96" t="n">
        <v>46142</v>
      </c>
      <c r="B1005" t="inlineStr">
        <is>
          <t>Ngonga</t>
        </is>
      </c>
      <c r="C1005" t="inlineStr">
        <is>
          <t>LIT_135</t>
        </is>
      </c>
      <c r="D1005" t="inlineStr"/>
      <c r="E1005" t="inlineStr"/>
      <c r="F1005" t="inlineStr"/>
      <c r="G1005" t="inlineStr">
        <is>
          <t>LITTORAL</t>
        </is>
      </c>
      <c r="H1005" t="inlineStr">
        <is>
          <t>Ngonga</t>
        </is>
      </c>
      <c r="I1005" t="inlineStr"/>
      <c r="J1005" t="n">
        <v>0.07413772895549411</v>
      </c>
      <c r="K1005" t="n">
        <v>0.03453203042388754</v>
      </c>
      <c r="L1005" t="n">
        <v>0.1013791494234143</v>
      </c>
      <c r="M1005" t="n">
        <v>0.0750477282353427</v>
      </c>
      <c r="N1005" t="inlineStr">
        <is>
          <t>Operationnel</t>
        </is>
      </c>
      <c r="O1005" t="inlineStr"/>
      <c r="P1005" t="inlineStr">
        <is>
          <t>PDH</t>
        </is>
      </c>
      <c r="Q1005" t="inlineStr">
        <is>
          <t>TX ISSUE</t>
        </is>
      </c>
      <c r="R1005" t="inlineStr">
        <is>
          <t>MPR issue</t>
        </is>
      </c>
      <c r="S1005" t="inlineStr">
        <is>
          <t>ACTIVE</t>
        </is>
      </c>
      <c r="T1005" t="inlineStr">
        <is>
          <t>INC-20260330-00009726.,,Others Transmission equipement fault</t>
        </is>
      </c>
      <c r="U1005" t="inlineStr"/>
    </row>
    <row r="1006">
      <c r="A1006" s="96" t="n">
        <v>46142</v>
      </c>
      <c r="B1006" t="inlineStr">
        <is>
          <t>Kouba-MTN-IHS</t>
        </is>
      </c>
      <c r="C1006" t="inlineStr">
        <is>
          <t>EST_094</t>
        </is>
      </c>
      <c r="D1006" t="inlineStr"/>
      <c r="E1006" t="inlineStr">
        <is>
          <t>IHS</t>
        </is>
      </c>
      <c r="F1006" t="inlineStr">
        <is>
          <t>Hybrid-Gen</t>
        </is>
      </c>
      <c r="G1006" t="inlineStr">
        <is>
          <t>EST</t>
        </is>
      </c>
      <c r="H1006" t="inlineStr">
        <is>
          <t>Kouba</t>
        </is>
      </c>
      <c r="I1006" t="inlineStr"/>
      <c r="J1006" t="n">
        <v>0.08068254938871104</v>
      </c>
      <c r="K1006" t="n">
        <v>0.05950134473039087</v>
      </c>
      <c r="L1006" t="n">
        <v>0.07489871231671416</v>
      </c>
      <c r="M1006" t="n">
        <v>0.07055556982361849</v>
      </c>
      <c r="N1006" t="inlineStr">
        <is>
          <t>Operationnel</t>
        </is>
      </c>
      <c r="O1006" t="inlineStr"/>
      <c r="P1006" t="inlineStr">
        <is>
          <t>PDH</t>
        </is>
      </c>
      <c r="Q1006" t="inlineStr">
        <is>
          <t>TX ISSUE</t>
        </is>
      </c>
      <c r="R1006" t="inlineStr">
        <is>
          <t>MPR issue</t>
        </is>
      </c>
      <c r="S1006" t="inlineStr">
        <is>
          <t>ACTIVE</t>
        </is>
      </c>
      <c r="T1006" t="inlineStr">
        <is>
          <t>INC-20260330-00002392.,,Others Transmission equipement fault</t>
        </is>
      </c>
      <c r="U1006" t="inlineStr"/>
    </row>
    <row r="1007">
      <c r="A1007" s="96" t="n">
        <v>46142</v>
      </c>
      <c r="B1007" t="inlineStr">
        <is>
          <t>Kaele-MTN-IHS</t>
        </is>
      </c>
      <c r="C1007" t="inlineStr">
        <is>
          <t>EXN_160</t>
        </is>
      </c>
      <c r="D1007" t="inlineStr"/>
      <c r="E1007" t="inlineStr">
        <is>
          <t>IHS</t>
        </is>
      </c>
      <c r="F1007" t="inlineStr">
        <is>
          <t>Grid-Gen</t>
        </is>
      </c>
      <c r="G1007" t="inlineStr">
        <is>
          <t>EXTREME-NORD</t>
        </is>
      </c>
      <c r="H1007" t="inlineStr">
        <is>
          <t>Kaele</t>
        </is>
      </c>
      <c r="I1007" t="inlineStr"/>
      <c r="J1007" t="n">
        <v>0.2635867808008794</v>
      </c>
      <c r="K1007" t="n">
        <v>0.0951014027207195</v>
      </c>
      <c r="L1007" t="n">
        <v>0</v>
      </c>
      <c r="M1007" t="n">
        <v>0.06956680572240302</v>
      </c>
      <c r="N1007" t="inlineStr">
        <is>
          <t>Insecurity</t>
        </is>
      </c>
      <c r="O1007" t="inlineStr"/>
      <c r="P1007" t="inlineStr">
        <is>
          <t>PDH</t>
        </is>
      </c>
      <c r="Q1007" t="inlineStr">
        <is>
          <t>TX ISSUE</t>
        </is>
      </c>
      <c r="R1007" t="inlineStr">
        <is>
          <t>MPR issue</t>
        </is>
      </c>
      <c r="S1007" t="inlineStr">
        <is>
          <t>ACTIVE</t>
        </is>
      </c>
      <c r="T1007" t="inlineStr">
        <is>
          <t>INC-20260330-00009144.,,Others Transmission equipement fault</t>
        </is>
      </c>
      <c r="U1007" t="inlineStr"/>
    </row>
    <row r="1008">
      <c r="A1008" s="96" t="n">
        <v>46142</v>
      </c>
      <c r="B1008" t="inlineStr">
        <is>
          <t>Alou-IHS</t>
        </is>
      </c>
      <c r="C1008" t="inlineStr">
        <is>
          <t>SUO_133</t>
        </is>
      </c>
      <c r="D1008" t="inlineStr"/>
      <c r="E1008" t="inlineStr">
        <is>
          <t>IHS</t>
        </is>
      </c>
      <c r="F1008" t="inlineStr">
        <is>
          <t>Grid-Gen</t>
        </is>
      </c>
      <c r="G1008" t="inlineStr">
        <is>
          <t>SUD-OUEST</t>
        </is>
      </c>
      <c r="H1008" t="inlineStr">
        <is>
          <t>Alou</t>
        </is>
      </c>
      <c r="I1008" t="inlineStr"/>
      <c r="J1008" t="n">
        <v>0.180102898621013</v>
      </c>
      <c r="K1008" t="n">
        <v>0.1070492943140511</v>
      </c>
      <c r="L1008" t="n">
        <v>0</v>
      </c>
      <c r="M1008" t="n">
        <v>0.06165636008085128</v>
      </c>
      <c r="N1008" t="inlineStr">
        <is>
          <t>Insecurity</t>
        </is>
      </c>
      <c r="O1008" t="inlineStr"/>
      <c r="P1008" t="inlineStr">
        <is>
          <t>PDH</t>
        </is>
      </c>
      <c r="Q1008" t="inlineStr">
        <is>
          <t>TX ISSUE</t>
        </is>
      </c>
      <c r="R1008" t="inlineStr">
        <is>
          <t>MPR issue</t>
        </is>
      </c>
      <c r="S1008" t="inlineStr">
        <is>
          <t>ACTIVE</t>
        </is>
      </c>
      <c r="T1008" t="inlineStr">
        <is>
          <t>INC-20260330-00007482.,,Others Transmission equipement fault</t>
        </is>
      </c>
      <c r="U1008" t="inlineStr"/>
    </row>
    <row r="1009">
      <c r="A1009" s="96" t="n">
        <v>46142</v>
      </c>
      <c r="B1009" t="inlineStr">
        <is>
          <t>Mogode</t>
        </is>
      </c>
      <c r="C1009" t="inlineStr">
        <is>
          <t>EXN_024</t>
        </is>
      </c>
      <c r="D1009" t="inlineStr"/>
      <c r="E1009" t="inlineStr">
        <is>
          <t>IHS</t>
        </is>
      </c>
      <c r="F1009" t="inlineStr">
        <is>
          <t>Solar-Grid-Gen</t>
        </is>
      </c>
      <c r="G1009" t="inlineStr">
        <is>
          <t>EXTREME-NORD</t>
        </is>
      </c>
      <c r="H1009" t="inlineStr">
        <is>
          <t>Mogode</t>
        </is>
      </c>
      <c r="I1009" t="inlineStr"/>
      <c r="J1009" t="n">
        <v>0.4233554811904877</v>
      </c>
      <c r="K1009" t="n">
        <v>0</v>
      </c>
      <c r="L1009" t="n">
        <v>0</v>
      </c>
      <c r="M1009" t="n">
        <v>0.06045512357180445</v>
      </c>
      <c r="N1009" t="inlineStr">
        <is>
          <t>Insecurity</t>
        </is>
      </c>
      <c r="O1009" t="inlineStr"/>
      <c r="P1009" t="inlineStr">
        <is>
          <t>IHS</t>
        </is>
      </c>
      <c r="Q1009" t="inlineStr">
        <is>
          <t>POWER ISSUE</t>
        </is>
      </c>
      <c r="R1009" t="inlineStr">
        <is>
          <t>Defaut GE &amp; Power Cabinet</t>
        </is>
      </c>
      <c r="S1009" t="inlineStr">
        <is>
          <t>PASSIVE</t>
        </is>
      </c>
      <c r="T1009" t="inlineStr">
        <is>
          <t>INC-20260330-00015784.,,power issue .,,Others Transmission equipement fault</t>
        </is>
      </c>
      <c r="U1009" t="inlineStr">
        <is>
          <t>power issue .,,</t>
        </is>
      </c>
    </row>
    <row r="1010">
      <c r="A1010" s="96" t="n">
        <v>46142</v>
      </c>
      <c r="B1010" t="inlineStr">
        <is>
          <t>Memve-ele-CAMTEL</t>
        </is>
      </c>
      <c r="C1010" t="inlineStr">
        <is>
          <t>SUD_257</t>
        </is>
      </c>
      <c r="D1010" t="inlineStr"/>
      <c r="E1010" t="inlineStr">
        <is>
          <t>CAMUSAT</t>
        </is>
      </c>
      <c r="F1010" t="inlineStr">
        <is>
          <t>Hybrid Solar - S3</t>
        </is>
      </c>
      <c r="G1010" t="inlineStr">
        <is>
          <t>SUD</t>
        </is>
      </c>
      <c r="H1010" t="inlineStr">
        <is>
          <t>Memve-ele</t>
        </is>
      </c>
      <c r="I1010" t="inlineStr"/>
      <c r="J1010" t="n">
        <v>0.4214609906720339</v>
      </c>
      <c r="K1010" t="n">
        <v>0</v>
      </c>
      <c r="L1010" t="n">
        <v>0</v>
      </c>
      <c r="M1010" t="n">
        <v>0.06018459050092824</v>
      </c>
      <c r="N1010" t="inlineStr">
        <is>
          <t>Operationnel</t>
        </is>
      </c>
      <c r="O1010" t="inlineStr"/>
      <c r="P1010" t="inlineStr">
        <is>
          <t>PDH</t>
        </is>
      </c>
      <c r="Q1010" t="inlineStr">
        <is>
          <t>TX ISSUE</t>
        </is>
      </c>
      <c r="R1010" t="inlineStr">
        <is>
          <t>MPR issue</t>
        </is>
      </c>
      <c r="S1010" t="inlineStr">
        <is>
          <t>ACTIVE</t>
        </is>
      </c>
      <c r="T1010" t="inlineStr">
        <is>
          <t>INC-20260330-00002141.,,Others Transmission equipement fault</t>
        </is>
      </c>
      <c r="U1010" t="inlineStr"/>
    </row>
    <row r="1011">
      <c r="A1011" s="96" t="n">
        <v>46142</v>
      </c>
      <c r="B1011" t="inlineStr">
        <is>
          <t>Hamalade-IHS</t>
        </is>
      </c>
      <c r="C1011" t="inlineStr">
        <is>
          <t>NRD_111</t>
        </is>
      </c>
      <c r="D1011" t="inlineStr"/>
      <c r="E1011" t="inlineStr">
        <is>
          <t>IHS</t>
        </is>
      </c>
      <c r="F1011" t="inlineStr">
        <is>
          <t>Solar-Gen</t>
        </is>
      </c>
      <c r="G1011" t="inlineStr">
        <is>
          <t>NORD</t>
        </is>
      </c>
      <c r="H1011" t="inlineStr">
        <is>
          <t>Hamalade</t>
        </is>
      </c>
      <c r="I1011" t="inlineStr"/>
      <c r="J1011" t="n">
        <v>0.2894781512197488</v>
      </c>
      <c r="K1011" t="n">
        <v>0.05153539700508263</v>
      </c>
      <c r="L1011" t="n">
        <v>0</v>
      </c>
      <c r="M1011" t="n">
        <v>0.05863848041461041</v>
      </c>
      <c r="N1011" t="inlineStr">
        <is>
          <t>Operationnel</t>
        </is>
      </c>
      <c r="O1011" t="inlineStr"/>
      <c r="P1011" t="inlineStr">
        <is>
          <t>PDH</t>
        </is>
      </c>
      <c r="Q1011" t="inlineStr">
        <is>
          <t>TX ISSUE</t>
        </is>
      </c>
      <c r="R1011" t="inlineStr">
        <is>
          <t>MPR issue</t>
        </is>
      </c>
      <c r="S1011" t="inlineStr">
        <is>
          <t>ACTIVE</t>
        </is>
      </c>
      <c r="T1011" t="inlineStr">
        <is>
          <t>INC-20260330-00010354.,,Others Transmission equipement fault</t>
        </is>
      </c>
      <c r="U1011" t="inlineStr"/>
    </row>
    <row r="1012">
      <c r="A1012" s="96" t="n">
        <v>46142</v>
      </c>
      <c r="B1012" t="inlineStr">
        <is>
          <t>Foubarka</t>
        </is>
      </c>
      <c r="C1012" t="inlineStr">
        <is>
          <t>NRD_153</t>
        </is>
      </c>
      <c r="D1012" t="inlineStr"/>
      <c r="E1012" t="inlineStr">
        <is>
          <t>CAMUSAT</t>
        </is>
      </c>
      <c r="F1012" t="inlineStr">
        <is>
          <t>Hybrid Solar - S3</t>
        </is>
      </c>
      <c r="G1012" t="inlineStr">
        <is>
          <t>NORD</t>
        </is>
      </c>
      <c r="H1012" t="inlineStr">
        <is>
          <t>Foubarka</t>
        </is>
      </c>
      <c r="I1012" t="inlineStr"/>
      <c r="J1012" t="n">
        <v>0.4083258564107539</v>
      </c>
      <c r="K1012" t="n">
        <v>0</v>
      </c>
      <c r="L1012" t="n">
        <v>0</v>
      </c>
      <c r="M1012" t="n">
        <v>0.05830889454285317</v>
      </c>
      <c r="N1012" t="inlineStr">
        <is>
          <t>Operationnel</t>
        </is>
      </c>
      <c r="O1012" t="inlineStr"/>
      <c r="P1012" t="inlineStr">
        <is>
          <t>PDH</t>
        </is>
      </c>
      <c r="Q1012" t="inlineStr">
        <is>
          <t>TX ISSUE</t>
        </is>
      </c>
      <c r="R1012" t="inlineStr">
        <is>
          <t>MPR issue</t>
        </is>
      </c>
      <c r="S1012" t="inlineStr">
        <is>
          <t>ACTIVE</t>
        </is>
      </c>
      <c r="T1012" t="inlineStr">
        <is>
          <t>INC-20260330-00006802.,,Others Transmission equipement fault</t>
        </is>
      </c>
      <c r="U1012" t="inlineStr"/>
    </row>
    <row r="1013">
      <c r="A1013" s="96" t="n">
        <v>46142</v>
      </c>
      <c r="B1013" t="inlineStr">
        <is>
          <t>Bagarao</t>
        </is>
      </c>
      <c r="C1013" t="inlineStr">
        <is>
          <t>EXN_202</t>
        </is>
      </c>
      <c r="D1013" t="inlineStr"/>
      <c r="E1013" t="inlineStr">
        <is>
          <t>CAMUSAT</t>
        </is>
      </c>
      <c r="F1013" t="inlineStr">
        <is>
          <t>Hybrid Solar - S3</t>
        </is>
      </c>
      <c r="G1013" t="inlineStr">
        <is>
          <t>EXTREME-NORD</t>
        </is>
      </c>
      <c r="H1013" t="inlineStr">
        <is>
          <t>Bagarao</t>
        </is>
      </c>
      <c r="I1013" t="inlineStr"/>
      <c r="J1013" t="n">
        <v>0.1581268086069483</v>
      </c>
      <c r="K1013" t="n">
        <v>0.07358404623921572</v>
      </c>
      <c r="L1013" t="n">
        <v>0</v>
      </c>
      <c r="M1013" t="n">
        <v>0.0472835066912419</v>
      </c>
      <c r="N1013" t="inlineStr">
        <is>
          <t>Insecurity</t>
        </is>
      </c>
      <c r="O1013" t="inlineStr"/>
      <c r="P1013" t="inlineStr">
        <is>
          <t>PDH</t>
        </is>
      </c>
      <c r="Q1013" t="inlineStr">
        <is>
          <t>TX ISSUE</t>
        </is>
      </c>
      <c r="R1013" t="inlineStr">
        <is>
          <t>MPR issue</t>
        </is>
      </c>
      <c r="S1013" t="inlineStr">
        <is>
          <t>ACTIVE</t>
        </is>
      </c>
      <c r="T1013" t="inlineStr">
        <is>
          <t>INC-20260330-00012408.,,Others Transmission equipement fault</t>
        </is>
      </c>
      <c r="U1013" t="inlineStr"/>
    </row>
    <row r="1014">
      <c r="A1014" s="96" t="n">
        <v>46142</v>
      </c>
      <c r="B1014" t="inlineStr">
        <is>
          <t>Meidougou-MTN</t>
        </is>
      </c>
      <c r="C1014" t="inlineStr">
        <is>
          <t>ADM_062</t>
        </is>
      </c>
      <c r="D1014" t="inlineStr"/>
      <c r="E1014" t="inlineStr">
        <is>
          <t>IHS</t>
        </is>
      </c>
      <c r="F1014" t="inlineStr">
        <is>
          <t>Grid-Gen</t>
        </is>
      </c>
      <c r="G1014" t="inlineStr">
        <is>
          <t>ADAMAOUA</t>
        </is>
      </c>
      <c r="H1014" t="inlineStr">
        <is>
          <t>Meidougou</t>
        </is>
      </c>
      <c r="I1014" t="inlineStr"/>
      <c r="J1014" t="n">
        <v>0.2813949916743457</v>
      </c>
      <c r="K1014" t="n">
        <v>0</v>
      </c>
      <c r="L1014" t="n">
        <v>0</v>
      </c>
      <c r="M1014" t="n">
        <v>0.04018317879414687</v>
      </c>
      <c r="N1014" t="inlineStr">
        <is>
          <t>Operationnel</t>
        </is>
      </c>
      <c r="O1014" t="inlineStr"/>
      <c r="P1014" t="inlineStr">
        <is>
          <t>PDH</t>
        </is>
      </c>
      <c r="Q1014" t="inlineStr">
        <is>
          <t>TX ISSUE</t>
        </is>
      </c>
      <c r="R1014" t="inlineStr">
        <is>
          <t>MPR issue</t>
        </is>
      </c>
      <c r="S1014" t="inlineStr">
        <is>
          <t>ACTIVE</t>
        </is>
      </c>
      <c r="T1014" t="inlineStr">
        <is>
          <t>INC-20260330-00004568.,,Others Transmission equipement fault</t>
        </is>
      </c>
      <c r="U1014" t="inlineStr"/>
    </row>
    <row r="1015">
      <c r="A1015" s="96" t="n">
        <v>46142</v>
      </c>
      <c r="B1015" t="inlineStr">
        <is>
          <t>Gueme</t>
        </is>
      </c>
      <c r="C1015" t="inlineStr">
        <is>
          <t>EXN_049</t>
        </is>
      </c>
      <c r="D1015" t="inlineStr"/>
      <c r="E1015" t="inlineStr">
        <is>
          <t>IHS</t>
        </is>
      </c>
      <c r="F1015" t="inlineStr">
        <is>
          <t>Solar-Gen</t>
        </is>
      </c>
      <c r="G1015" t="inlineStr">
        <is>
          <t>EXTREME-NORD</t>
        </is>
      </c>
      <c r="H1015" t="inlineStr">
        <is>
          <t>Gueme</t>
        </is>
      </c>
      <c r="I1015" t="inlineStr"/>
      <c r="J1015" t="n">
        <v>0.2720488384499734</v>
      </c>
      <c r="K1015" t="n">
        <v>0</v>
      </c>
      <c r="L1015" t="n">
        <v>0</v>
      </c>
      <c r="M1015" t="n">
        <v>0.03884854897782423</v>
      </c>
      <c r="N1015" t="inlineStr">
        <is>
          <t>Insecurity</t>
        </is>
      </c>
      <c r="O1015" t="inlineStr"/>
      <c r="P1015" t="inlineStr">
        <is>
          <t>IHS</t>
        </is>
      </c>
      <c r="Q1015" t="inlineStr">
        <is>
          <t>POWER ISSUE</t>
        </is>
      </c>
      <c r="R1015" t="inlineStr">
        <is>
          <t>Defaut GE &amp; Power Cabinet</t>
        </is>
      </c>
      <c r="S1015" t="inlineStr">
        <is>
          <t>PASSIVE</t>
        </is>
      </c>
      <c r="T1015" t="inlineStr">
        <is>
          <t>INC-20260330-00004663.,,NO POWER ISSUE SITE ON GRID 52.3V.,,NO POWER ISSUE SITE ON GRID 52.3V.,,GE Fault</t>
        </is>
      </c>
      <c r="U1015" t="inlineStr">
        <is>
          <t>NO POWER ISSUE SITE ON GRID 52.3V.,,NO POWER ISSUE SITE ON GRID 52.3V.,,GE Fault</t>
        </is>
      </c>
    </row>
    <row r="1016">
      <c r="A1016" s="96" t="n">
        <v>46142</v>
      </c>
      <c r="B1016" t="inlineStr">
        <is>
          <t>Mayo-Nonde-IHS</t>
        </is>
      </c>
      <c r="C1016" t="inlineStr">
        <is>
          <t>NRD_106</t>
        </is>
      </c>
      <c r="D1016" t="inlineStr"/>
      <c r="E1016" t="inlineStr">
        <is>
          <t>IHS</t>
        </is>
      </c>
      <c r="F1016" t="inlineStr">
        <is>
          <t>Solar-Gen</t>
        </is>
      </c>
      <c r="G1016" t="inlineStr">
        <is>
          <t>NORD</t>
        </is>
      </c>
      <c r="H1016" t="inlineStr">
        <is>
          <t>Mayo-Nonde</t>
        </is>
      </c>
      <c r="I1016" t="inlineStr"/>
      <c r="J1016" t="n">
        <v>0.1148061254183035</v>
      </c>
      <c r="K1016" t="n">
        <v>0.0528636288866564</v>
      </c>
      <c r="L1016" t="n">
        <v>0</v>
      </c>
      <c r="M1016" t="n">
        <v>0.03414123404231627</v>
      </c>
      <c r="N1016" t="inlineStr">
        <is>
          <t>Operationnel</t>
        </is>
      </c>
      <c r="O1016" t="inlineStr"/>
      <c r="P1016" t="inlineStr">
        <is>
          <t>PDH</t>
        </is>
      </c>
      <c r="Q1016" t="inlineStr">
        <is>
          <t>TX ISSUE</t>
        </is>
      </c>
      <c r="R1016" t="inlineStr">
        <is>
          <t>MPR issue</t>
        </is>
      </c>
      <c r="S1016" t="inlineStr">
        <is>
          <t>ACTIVE</t>
        </is>
      </c>
      <c r="T1016" t="inlineStr">
        <is>
          <t>INC-20260330-00010362.,,Others Transmission equipement fault</t>
        </is>
      </c>
      <c r="U1016" t="inlineStr"/>
    </row>
    <row r="1017">
      <c r="A1017" s="96" t="n">
        <v>46142</v>
      </c>
      <c r="B1017" t="inlineStr">
        <is>
          <t>Wada-MTN-IHS</t>
        </is>
      </c>
      <c r="C1017" t="inlineStr">
        <is>
          <t>ADM_099</t>
        </is>
      </c>
      <c r="D1017" t="inlineStr"/>
      <c r="E1017" t="inlineStr">
        <is>
          <t>IHS</t>
        </is>
      </c>
      <c r="F1017" t="inlineStr">
        <is>
          <t>Solar-Gen</t>
        </is>
      </c>
      <c r="G1017" t="inlineStr">
        <is>
          <t>ADAMAOUA</t>
        </is>
      </c>
      <c r="H1017" t="inlineStr">
        <is>
          <t>Wada</t>
        </is>
      </c>
      <c r="I1017" t="inlineStr"/>
      <c r="J1017" t="n">
        <v>0.04066839646280938</v>
      </c>
      <c r="K1017" t="n">
        <v>0.04729052874163987</v>
      </c>
      <c r="L1017" t="n">
        <v>0.02250381402027266</v>
      </c>
      <c r="M1017" t="n">
        <v>0.03341890073596252</v>
      </c>
      <c r="N1017" t="inlineStr">
        <is>
          <t>Operationnel</t>
        </is>
      </c>
      <c r="O1017" t="inlineStr"/>
      <c r="P1017" t="inlineStr">
        <is>
          <t>PDH</t>
        </is>
      </c>
      <c r="Q1017" t="inlineStr">
        <is>
          <t>TX ISSUE</t>
        </is>
      </c>
      <c r="R1017" t="inlineStr">
        <is>
          <t>MPR issue</t>
        </is>
      </c>
      <c r="S1017" t="inlineStr">
        <is>
          <t>ACTIVE</t>
        </is>
      </c>
      <c r="T1017" t="inlineStr">
        <is>
          <t>INC-20260330-00005667.,,Others Transmission equipement fault</t>
        </is>
      </c>
      <c r="U1017" t="inlineStr"/>
    </row>
    <row r="1018">
      <c r="A1018" s="96" t="n">
        <v>46142</v>
      </c>
      <c r="B1018" t="inlineStr">
        <is>
          <t>Mambine</t>
        </is>
      </c>
      <c r="C1018" t="inlineStr">
        <is>
          <t>CTR_097</t>
        </is>
      </c>
      <c r="D1018" t="inlineStr"/>
      <c r="E1018" t="inlineStr">
        <is>
          <t>IHS</t>
        </is>
      </c>
      <c r="F1018" t="inlineStr">
        <is>
          <t>Grid-Gen</t>
        </is>
      </c>
      <c r="G1018" t="inlineStr">
        <is>
          <t>CENTRE</t>
        </is>
      </c>
      <c r="H1018" t="inlineStr">
        <is>
          <t>Mambine</t>
        </is>
      </c>
      <c r="I1018" t="inlineStr"/>
      <c r="J1018" t="n">
        <v>0.04483627560340786</v>
      </c>
      <c r="K1018" t="n">
        <v>0.03532892343366968</v>
      </c>
      <c r="L1018" t="n">
        <v>0</v>
      </c>
      <c r="M1018" t="n">
        <v>0.01826294309180535</v>
      </c>
      <c r="N1018" t="inlineStr">
        <is>
          <t>Operationnel</t>
        </is>
      </c>
      <c r="O1018" t="inlineStr"/>
      <c r="P1018" t="inlineStr">
        <is>
          <t>PDH</t>
        </is>
      </c>
      <c r="Q1018" t="inlineStr">
        <is>
          <t>TX ISSUE</t>
        </is>
      </c>
      <c r="R1018" t="inlineStr">
        <is>
          <t>MPR issue</t>
        </is>
      </c>
      <c r="S1018" t="inlineStr">
        <is>
          <t>ACTIVE</t>
        </is>
      </c>
      <c r="T1018" t="inlineStr">
        <is>
          <t>INC-20260330-00005945.,,Others Transmission equipement fault</t>
        </is>
      </c>
      <c r="U1018" t="inlineStr"/>
    </row>
    <row r="1019">
      <c r="A1019" s="96" t="n">
        <v>46142</v>
      </c>
      <c r="B1019" t="inlineStr">
        <is>
          <t>Blangoua</t>
        </is>
      </c>
      <c r="C1019" t="inlineStr">
        <is>
          <t>EXN_041</t>
        </is>
      </c>
      <c r="D1019" t="inlineStr"/>
      <c r="E1019" t="inlineStr">
        <is>
          <t>IHS</t>
        </is>
      </c>
      <c r="F1019" t="inlineStr">
        <is>
          <t>Solar-Gen</t>
        </is>
      </c>
      <c r="G1019" t="inlineStr">
        <is>
          <t>EXTREME-NORD</t>
        </is>
      </c>
      <c r="H1019" t="inlineStr">
        <is>
          <t>Blangoua</t>
        </is>
      </c>
      <c r="I1019" t="inlineStr"/>
      <c r="J1019" t="n">
        <v>0</v>
      </c>
      <c r="K1019" t="n">
        <v>0.04170648108143227</v>
      </c>
      <c r="L1019" t="n">
        <v>0</v>
      </c>
      <c r="M1019" t="n">
        <v>0.01400134674227727</v>
      </c>
      <c r="N1019" t="inlineStr">
        <is>
          <t>Insecurity</t>
        </is>
      </c>
      <c r="O1019" t="inlineStr"/>
      <c r="P1019" t="inlineStr">
        <is>
          <t>PDH</t>
        </is>
      </c>
      <c r="Q1019" t="inlineStr">
        <is>
          <t>TX ISSUE</t>
        </is>
      </c>
      <c r="R1019" t="inlineStr">
        <is>
          <t>MPR issue</t>
        </is>
      </c>
      <c r="S1019" t="inlineStr">
        <is>
          <t>ACTIVE</t>
        </is>
      </c>
      <c r="T1019" t="inlineStr">
        <is>
          <t>Power status check ongoing….INC-20260330-00012216.,,Others Transmission equipement fault</t>
        </is>
      </c>
      <c r="U1019" t="inlineStr">
        <is>
          <t>Power status check ongoing….,,</t>
        </is>
      </c>
    </row>
    <row r="1020">
      <c r="A1020" s="96" t="n">
        <v>46142</v>
      </c>
      <c r="B1020" t="inlineStr">
        <is>
          <t>Mazera-IHS</t>
        </is>
      </c>
      <c r="C1020" t="inlineStr">
        <is>
          <t>EXN_226</t>
        </is>
      </c>
      <c r="D1020" t="inlineStr"/>
      <c r="E1020" t="inlineStr">
        <is>
          <t>IHS</t>
        </is>
      </c>
      <c r="F1020" t="inlineStr">
        <is>
          <t>Hybrid-Gen</t>
        </is>
      </c>
      <c r="G1020" t="inlineStr">
        <is>
          <t>EXTREME-NORD</t>
        </is>
      </c>
      <c r="H1020" t="inlineStr">
        <is>
          <t>Mazera</t>
        </is>
      </c>
      <c r="I1020" t="inlineStr"/>
      <c r="J1020" t="n">
        <v>0</v>
      </c>
      <c r="K1020" t="n">
        <v>0.02337688111570739</v>
      </c>
      <c r="L1020" t="n">
        <v>0</v>
      </c>
      <c r="M1020" t="n">
        <v>0.007847888619875201</v>
      </c>
      <c r="N1020" t="inlineStr">
        <is>
          <t>Insecurity</t>
        </is>
      </c>
      <c r="O1020" t="inlineStr"/>
      <c r="P1020" t="inlineStr">
        <is>
          <t>TRAVAUX OCM</t>
        </is>
      </c>
      <c r="Q1020" t="inlineStr">
        <is>
          <t>TRAVAUX OCM</t>
        </is>
      </c>
      <c r="R1020" t="inlineStr">
        <is>
          <t>Projet OCM (ZTE, NOKIA, autres projets)</t>
        </is>
      </c>
      <c r="S1020" t="inlineStr">
        <is>
          <t>PLANNED WORKS</t>
        </is>
      </c>
      <c r="T1020" t="inlineStr">
        <is>
          <t xml:space="preserve">27/03/2026 : Projet en cours ….27/03/2026 : Projet en cours ….27/03/2026 : Projet en cours ….27/03/2026 : Projet en cours </t>
        </is>
      </c>
      <c r="U1020" t="inlineStr">
        <is>
          <t>27/03/2026 : Projet en cours ….27/03/2026 : Projet en cours ….27/03/2026 : Projet en cours ….27/03/2026 : Projet en cours</t>
        </is>
      </c>
    </row>
    <row r="1021">
      <c r="A1021" s="96" t="n">
        <v>46142</v>
      </c>
      <c r="B1021" t="inlineStr">
        <is>
          <t>Bafmeng</t>
        </is>
      </c>
      <c r="C1021" t="inlineStr">
        <is>
          <t>NRO_047</t>
        </is>
      </c>
      <c r="D1021" t="inlineStr"/>
      <c r="E1021" t="inlineStr">
        <is>
          <t>IHS</t>
        </is>
      </c>
      <c r="F1021" t="inlineStr">
        <is>
          <t>Hybrid-Gen</t>
        </is>
      </c>
      <c r="G1021" t="inlineStr">
        <is>
          <t>NORD-OUEST</t>
        </is>
      </c>
      <c r="H1021" t="inlineStr">
        <is>
          <t>Bafmeng</t>
        </is>
      </c>
      <c r="I1021" t="inlineStr"/>
      <c r="J1021" t="n">
        <v>0.003283783565320012</v>
      </c>
      <c r="K1021" t="n">
        <v>0.02045358725107235</v>
      </c>
      <c r="L1021" t="n">
        <v>0</v>
      </c>
      <c r="M1021" t="n">
        <v>0.007335429141716354</v>
      </c>
      <c r="N1021" t="inlineStr">
        <is>
          <t>Insecurity</t>
        </is>
      </c>
      <c r="O1021" t="inlineStr"/>
      <c r="P1021" t="inlineStr">
        <is>
          <t>PDH</t>
        </is>
      </c>
      <c r="Q1021" t="inlineStr">
        <is>
          <t>TX ISSUE</t>
        </is>
      </c>
      <c r="R1021" t="inlineStr">
        <is>
          <t>MPR issue</t>
        </is>
      </c>
      <c r="S1021" t="inlineStr">
        <is>
          <t>ACTIVE</t>
        </is>
      </c>
      <c r="T1021" t="inlineStr">
        <is>
          <t>30/03/2026 : Check breaker and  interconnection(sfp, optical fiber) between system and radio module, swap its if needed ||Ghost town….30/03/2026 : Check breaker and  interconnection(sfp, optical fiber) between system and radio module, swap its if needed ||Ghost town</t>
        </is>
      </c>
      <c r="U1021" t="inlineStr">
        <is>
          <t>30/03/2026 : Check breaker and interconnection(sfp, optical fiber) between system and radio module, swap its if needed || Ghost town….30/03/2026 : Check breaker and interconnection(sfp, optical fiber) between system and radio module, swap its if needed || Ghost town</t>
        </is>
      </c>
    </row>
    <row r="1022">
      <c r="A1022" s="96" t="n">
        <v>46142</v>
      </c>
      <c r="B1022" t="inlineStr">
        <is>
          <t>Mayo-Tolere-I</t>
        </is>
      </c>
      <c r="C1022" t="inlineStr">
        <is>
          <t>ADM_043</t>
        </is>
      </c>
      <c r="D1022" t="inlineStr"/>
      <c r="E1022" t="inlineStr">
        <is>
          <t>IHS</t>
        </is>
      </c>
      <c r="F1022" t="inlineStr">
        <is>
          <t>Solar-Gen</t>
        </is>
      </c>
      <c r="G1022" t="inlineStr">
        <is>
          <t>ADAMAOUA</t>
        </is>
      </c>
      <c r="H1022" t="inlineStr">
        <is>
          <t>Mayo-Tolere</t>
        </is>
      </c>
      <c r="I1022" t="inlineStr"/>
      <c r="J1022" t="n">
        <v>0</v>
      </c>
      <c r="K1022" t="n">
        <v>0.01992578458215188</v>
      </c>
      <c r="L1022" t="n">
        <v>0</v>
      </c>
      <c r="M1022" t="n">
        <v>0.006689315708556297</v>
      </c>
      <c r="N1022" t="inlineStr">
        <is>
          <t>Operationnel</t>
        </is>
      </c>
      <c r="O1022" t="inlineStr"/>
      <c r="P1022" t="inlineStr">
        <is>
          <t>PDH</t>
        </is>
      </c>
      <c r="Q1022" t="inlineStr">
        <is>
          <t>TX ISSUE</t>
        </is>
      </c>
      <c r="R1022" t="inlineStr">
        <is>
          <t>MPR issue</t>
        </is>
      </c>
      <c r="S1022" t="inlineStr">
        <is>
          <t>ACTIVE</t>
        </is>
      </c>
      <c r="T1022" t="inlineStr">
        <is>
          <t>INC-20260330-00005662.,,Others Transmission equipement fault</t>
        </is>
      </c>
      <c r="U1022" t="inlineStr"/>
    </row>
    <row r="1023">
      <c r="A1023" s="96" t="n">
        <v>46142</v>
      </c>
      <c r="B1023" t="inlineStr">
        <is>
          <t>Mbiame</t>
        </is>
      </c>
      <c r="C1023" t="inlineStr">
        <is>
          <t>NRO_236</t>
        </is>
      </c>
      <c r="D1023" t="inlineStr"/>
      <c r="E1023" t="inlineStr">
        <is>
          <t>IHS</t>
        </is>
      </c>
      <c r="F1023" t="inlineStr">
        <is>
          <t>Grid-Gen</t>
        </is>
      </c>
      <c r="G1023" t="inlineStr">
        <is>
          <t>NORD-OUEST</t>
        </is>
      </c>
      <c r="H1023" t="inlineStr">
        <is>
          <t>Mbiame</t>
        </is>
      </c>
      <c r="I1023" t="inlineStr"/>
      <c r="J1023" t="n">
        <v>0.03410082933216935</v>
      </c>
      <c r="K1023" t="n">
        <v>0.003453203042388448</v>
      </c>
      <c r="L1023" t="n">
        <v>0</v>
      </c>
      <c r="M1023" t="n">
        <v>0.006028875366402469</v>
      </c>
      <c r="N1023" t="inlineStr">
        <is>
          <t>Insecurity</t>
        </is>
      </c>
      <c r="O1023" t="inlineStr"/>
      <c r="P1023" t="inlineStr">
        <is>
          <t>PDH</t>
        </is>
      </c>
      <c r="Q1023" t="inlineStr">
        <is>
          <t>TX ISSUE</t>
        </is>
      </c>
      <c r="R1023" t="inlineStr">
        <is>
          <t>MPR issue</t>
        </is>
      </c>
      <c r="S1023" t="inlineStr">
        <is>
          <t>ACTIVE</t>
        </is>
      </c>
      <c r="T1023" t="inlineStr">
        <is>
          <t>30/03/2026 : Check breaker and  interconnection(sfp, optical fiber) between system and radio module, swap its if needed || Ghost town….30/03/2026 : Check breaker and  interconnection(sfp, optical fiber) between system and radio module, swap its if needed ||Ghost town….30/03/2026 : Check breaker and  interconnection(sfp, optical fiber) between system and radio module, swap its if needed ||Ghost town</t>
        </is>
      </c>
      <c r="U1023" t="inlineStr">
        <is>
          <t>30/03/2026 : Check breaker and interconnection(sfp, optical fiber) between system and radio module, swap its if needed || Ghost town….30/03/2026 : Check breaker and interconnection(sfp, optical fiber) between system and radio module, swap its if needed || Ghost town….30/03/2026 : Check breaker and interconnection(sfp, optical fiber) between system and radio module, swap its if needed || Ghost town</t>
        </is>
      </c>
    </row>
    <row r="1024">
      <c r="A1024" s="96" t="n">
        <v>46142</v>
      </c>
      <c r="B1024" t="inlineStr">
        <is>
          <t>Sambo-Labo-IHS</t>
        </is>
      </c>
      <c r="C1024" t="inlineStr">
        <is>
          <t>ADM_144</t>
        </is>
      </c>
      <c r="D1024" t="inlineStr"/>
      <c r="E1024" t="inlineStr">
        <is>
          <t>IHS</t>
        </is>
      </c>
      <c r="F1024" t="inlineStr">
        <is>
          <t>Hybrid-Gen</t>
        </is>
      </c>
      <c r="G1024" t="inlineStr">
        <is>
          <t>ADAMAOUA</t>
        </is>
      </c>
      <c r="H1024" t="inlineStr">
        <is>
          <t>Sambo Lambo</t>
        </is>
      </c>
      <c r="I1024" t="inlineStr"/>
      <c r="J1024" t="n">
        <v>0</v>
      </c>
      <c r="K1024" t="n">
        <v>0.01673765904900748</v>
      </c>
      <c r="L1024" t="n">
        <v>0</v>
      </c>
      <c r="M1024" t="n">
        <v>0.005619025195187256</v>
      </c>
      <c r="N1024" t="inlineStr">
        <is>
          <t>Operationnel</t>
        </is>
      </c>
      <c r="O1024" t="inlineStr"/>
      <c r="P1024" t="inlineStr">
        <is>
          <t>PDH</t>
        </is>
      </c>
      <c r="Q1024" t="inlineStr">
        <is>
          <t>TX ISSUE</t>
        </is>
      </c>
      <c r="R1024" t="inlineStr">
        <is>
          <t>MPR issue</t>
        </is>
      </c>
      <c r="S1024" t="inlineStr">
        <is>
          <t>ACTIVE</t>
        </is>
      </c>
      <c r="T1024" t="inlineStr">
        <is>
          <t>INC-20260330-00015093.,,Others Transmission equipement fault</t>
        </is>
      </c>
      <c r="U1024" t="inlineStr"/>
    </row>
    <row r="1025">
      <c r="A1025" s="96" t="n">
        <v>46142</v>
      </c>
      <c r="B1025" t="inlineStr">
        <is>
          <t>Rhumsiki</t>
        </is>
      </c>
      <c r="C1025" t="inlineStr">
        <is>
          <t>EXN_139</t>
        </is>
      </c>
      <c r="D1025" t="inlineStr"/>
      <c r="E1025" t="inlineStr">
        <is>
          <t>IHS</t>
        </is>
      </c>
      <c r="F1025" t="inlineStr">
        <is>
          <t>Grid-Gen</t>
        </is>
      </c>
      <c r="G1025" t="inlineStr">
        <is>
          <t>EXTREME-NORD</t>
        </is>
      </c>
      <c r="H1025" t="inlineStr">
        <is>
          <t>Rhumsiki</t>
        </is>
      </c>
      <c r="I1025" t="inlineStr"/>
      <c r="J1025" t="n">
        <v>0.01326143362917697</v>
      </c>
      <c r="K1025" t="n">
        <v>0.01062585505259431</v>
      </c>
      <c r="L1025" t="n">
        <v>0</v>
      </c>
      <c r="M1025" t="n">
        <v>0.005460953596076782</v>
      </c>
      <c r="N1025" t="inlineStr">
        <is>
          <t>Insecurity</t>
        </is>
      </c>
      <c r="O1025" t="inlineStr"/>
      <c r="P1025" t="inlineStr">
        <is>
          <t>PDH</t>
        </is>
      </c>
      <c r="Q1025" t="inlineStr">
        <is>
          <t>TX ISSUE</t>
        </is>
      </c>
      <c r="R1025" t="inlineStr">
        <is>
          <t>MPR issue</t>
        </is>
      </c>
      <c r="S1025" t="inlineStr">
        <is>
          <t>ACTIVE</t>
        </is>
      </c>
      <c r="T1025" t="inlineStr">
        <is>
          <t>INC-20260330-00006686.,,Others Transmission equipement fault</t>
        </is>
      </c>
      <c r="U1025" t="inlineStr"/>
    </row>
    <row r="1026">
      <c r="A1026" s="96" t="n">
        <v>46142</v>
      </c>
      <c r="B1026" t="inlineStr">
        <is>
          <t>CTR_547_N_Elig-Mfomo-New</t>
        </is>
      </c>
      <c r="C1026" t="inlineStr">
        <is>
          <t>CTR_547</t>
        </is>
      </c>
      <c r="D1026" t="inlineStr"/>
      <c r="E1026" t="inlineStr">
        <is>
          <t>IHS</t>
        </is>
      </c>
      <c r="F1026" t="inlineStr">
        <is>
          <t>Grid-Gen</t>
        </is>
      </c>
      <c r="G1026" t="inlineStr">
        <is>
          <t>CENTRE</t>
        </is>
      </c>
      <c r="H1026" t="inlineStr">
        <is>
          <t>Elig-Mfomo</t>
        </is>
      </c>
      <c r="I1026" t="inlineStr"/>
      <c r="J1026" t="n">
        <v>0</v>
      </c>
      <c r="K1026" t="n">
        <v>0</v>
      </c>
      <c r="L1026" t="n">
        <v>0.006498061799166807</v>
      </c>
      <c r="M1026" t="n">
        <v>0.003388664880305156</v>
      </c>
      <c r="N1026" t="inlineStr">
        <is>
          <t>Operationnel</t>
        </is>
      </c>
      <c r="O1026" t="inlineStr"/>
      <c r="P1026" t="inlineStr">
        <is>
          <t>PDH</t>
        </is>
      </c>
      <c r="Q1026" t="inlineStr">
        <is>
          <t>TX ISSUE</t>
        </is>
      </c>
      <c r="R1026" t="inlineStr">
        <is>
          <t>MPR issue</t>
        </is>
      </c>
      <c r="S1026" t="inlineStr">
        <is>
          <t>ACTIVE</t>
        </is>
      </c>
      <c r="T1026" t="inlineStr">
        <is>
          <t>INC-20260330-00015179.,,Others Transmission equipement fault</t>
        </is>
      </c>
      <c r="U1026" t="inlineStr"/>
    </row>
    <row r="1027">
      <c r="A1027" s="96" t="n">
        <v>46142</v>
      </c>
      <c r="B1027" t="inlineStr">
        <is>
          <t>Batibo</t>
        </is>
      </c>
      <c r="C1027" t="inlineStr">
        <is>
          <t>NRO_010</t>
        </is>
      </c>
      <c r="D1027" t="inlineStr"/>
      <c r="E1027" t="inlineStr">
        <is>
          <t>IHS</t>
        </is>
      </c>
      <c r="F1027" t="inlineStr">
        <is>
          <t>Grid-Gen</t>
        </is>
      </c>
      <c r="G1027" t="inlineStr">
        <is>
          <t>NORD-OUEST</t>
        </is>
      </c>
      <c r="H1027" t="inlineStr">
        <is>
          <t>Batibo</t>
        </is>
      </c>
      <c r="I1027" t="inlineStr"/>
      <c r="J1027" t="n">
        <v>0</v>
      </c>
      <c r="K1027" t="n">
        <v>0.0005312620065212605</v>
      </c>
      <c r="L1027" t="n">
        <v>0</v>
      </c>
      <c r="M1027" t="n">
        <v>0.0001783507831739299</v>
      </c>
      <c r="N1027" t="inlineStr">
        <is>
          <t>Insecurity</t>
        </is>
      </c>
      <c r="O1027" t="inlineStr"/>
      <c r="P1027" t="inlineStr">
        <is>
          <t>TRAVAUX OCM</t>
        </is>
      </c>
      <c r="Q1027" t="inlineStr">
        <is>
          <t>TRAVAUX OCM</t>
        </is>
      </c>
      <c r="R1027" t="inlineStr">
        <is>
          <t>Projet OCM (ZTE, NOKIA, autres projets)</t>
        </is>
      </c>
      <c r="S1027" t="inlineStr">
        <is>
          <t>PLANNED WORKS</t>
        </is>
      </c>
      <c r="T1027" t="inlineStr">
        <is>
          <t xml:space="preserve">27/03/2026 : Huawei projet ….27/03/2026 : Huawei projet ….27/03/2026 : Huawei projet ….27/03/2026 : Huawei projet </t>
        </is>
      </c>
      <c r="U1027" t="inlineStr">
        <is>
          <t>27/03/2026 : Huawei projet ….27/03/2026 : Huawei projet ….27/03/2026 : Huawei projet ….27/03/2026 : Huawei projet</t>
        </is>
      </c>
    </row>
    <row r="1028">
      <c r="A1028" s="96" t="n">
        <v>46142</v>
      </c>
      <c r="B1028" t="inlineStr">
        <is>
          <t>IPD</t>
        </is>
      </c>
      <c r="C1028" t="inlineStr">
        <is>
          <t>LIT_100</t>
        </is>
      </c>
      <c r="D1028" t="inlineStr"/>
      <c r="E1028" t="inlineStr"/>
      <c r="F1028" t="inlineStr"/>
      <c r="G1028" t="inlineStr">
        <is>
          <t>LITTORAL</t>
        </is>
      </c>
      <c r="H1028" t="inlineStr">
        <is>
          <t>Douala</t>
        </is>
      </c>
      <c r="I1028" t="inlineStr"/>
      <c r="J1028" t="n">
        <v>0</v>
      </c>
      <c r="K1028" t="n">
        <v>0</v>
      </c>
      <c r="L1028" t="n">
        <v>0</v>
      </c>
      <c r="M1028" t="n">
        <v>0</v>
      </c>
      <c r="N1028" t="inlineStr">
        <is>
          <t>Exclu</t>
        </is>
      </c>
      <c r="O1028" t="inlineStr">
        <is>
          <t>UE Relay</t>
        </is>
      </c>
      <c r="P1028" t="inlineStr">
        <is>
          <t>Exclu</t>
        </is>
      </c>
      <c r="Q1028" t="inlineStr">
        <is>
          <t>Exclu</t>
        </is>
      </c>
      <c r="R1028" t="inlineStr">
        <is>
          <t>exclu</t>
        </is>
      </c>
      <c r="S1028" t="inlineStr">
        <is>
          <t>Exclu</t>
        </is>
      </c>
      <c r="T1028" t="inlineStr">
        <is>
          <t>site down….site down….site down</t>
        </is>
      </c>
      <c r="U1028" t="inlineStr">
        <is>
          <t>site down….site down….site down</t>
        </is>
      </c>
    </row>
    <row r="1029">
      <c r="A1029" s="96" t="n">
        <v>46142</v>
      </c>
      <c r="B1029" t="inlineStr">
        <is>
          <t>Ebeba</t>
        </is>
      </c>
      <c r="C1029" t="inlineStr">
        <is>
          <t>CTR_116</t>
        </is>
      </c>
      <c r="D1029" t="inlineStr"/>
      <c r="E1029" t="inlineStr">
        <is>
          <t>IHS</t>
        </is>
      </c>
      <c r="F1029" t="inlineStr">
        <is>
          <t>Grid-Gen-Lithium</t>
        </is>
      </c>
      <c r="G1029" t="inlineStr">
        <is>
          <t>CENTRE</t>
        </is>
      </c>
      <c r="H1029" t="inlineStr">
        <is>
          <t>Ebeba</t>
        </is>
      </c>
      <c r="I1029" t="inlineStr"/>
      <c r="J1029" t="n">
        <v>0</v>
      </c>
      <c r="K1029" t="n">
        <v>0</v>
      </c>
      <c r="L1029" t="n">
        <v>0</v>
      </c>
      <c r="M1029" t="n">
        <v>0</v>
      </c>
      <c r="N1029" t="inlineStr">
        <is>
          <t>Exclu</t>
        </is>
      </c>
      <c r="O1029" t="inlineStr">
        <is>
          <t>UE Relay</t>
        </is>
      </c>
      <c r="P1029" t="inlineStr">
        <is>
          <t>Exclu</t>
        </is>
      </c>
      <c r="Q1029" t="inlineStr">
        <is>
          <t>Exclu</t>
        </is>
      </c>
      <c r="R1029" t="inlineStr">
        <is>
          <t>exclu</t>
        </is>
      </c>
      <c r="S1029" t="inlineStr">
        <is>
          <t>Exclu</t>
        </is>
      </c>
      <c r="T1029" t="inlineStr">
        <is>
          <t>site down….site down….site down</t>
        </is>
      </c>
      <c r="U1029" t="inlineStr">
        <is>
          <t>site down….site down….site down</t>
        </is>
      </c>
    </row>
    <row r="1030">
      <c r="A1030" s="96" t="n">
        <v>46142</v>
      </c>
      <c r="B1030" t="inlineStr">
        <is>
          <t>Safacam</t>
        </is>
      </c>
      <c r="C1030" t="inlineStr">
        <is>
          <t>LIT_040</t>
        </is>
      </c>
      <c r="D1030" t="inlineStr"/>
      <c r="E1030" t="inlineStr">
        <is>
          <t>IHS</t>
        </is>
      </c>
      <c r="F1030" t="inlineStr">
        <is>
          <t>Grid-Gen</t>
        </is>
      </c>
      <c r="G1030" t="inlineStr">
        <is>
          <t>LITTORAL</t>
        </is>
      </c>
      <c r="H1030" t="inlineStr">
        <is>
          <t>Dizangue</t>
        </is>
      </c>
      <c r="I1030" t="inlineStr"/>
      <c r="J1030" t="n">
        <v>0</v>
      </c>
      <c r="K1030" t="n">
        <v>0</v>
      </c>
      <c r="L1030" t="n">
        <v>0</v>
      </c>
      <c r="M1030" t="n">
        <v>0</v>
      </c>
      <c r="N1030" t="inlineStr">
        <is>
          <t>Operationnel</t>
        </is>
      </c>
      <c r="O1030" t="inlineStr"/>
      <c r="P1030" t="inlineStr">
        <is>
          <t>IHS</t>
        </is>
      </c>
      <c r="Q1030" t="inlineStr">
        <is>
          <t>POWER ISSUE</t>
        </is>
      </c>
      <c r="R1030" t="inlineStr">
        <is>
          <t>Defaut GE &amp; Power Cabinet</t>
        </is>
      </c>
      <c r="S1030" t="inlineStr">
        <is>
          <t>PASSIVE</t>
        </is>
      </c>
      <c r="T1030" t="inlineStr">
        <is>
          <t xml:space="preserve">Not accepted….Not accepted….Not accepted….30.03.2026 CAMUSAT: Rectifier issue , no capex / fme is calling guard ESCALADE L3 CAMUSAT ETR 30/03/2026 
29.03.2026 CAMUSAT: Rectifier issue , no capex / fme is calling guard ESCALADE L2 CAMUSAT </t>
        </is>
      </c>
      <c r="U1030" t="inlineStr">
        <is>
          <t>Not accepted….Not accepted….Not accepted….30.03.2026 CAMUSAT : Rectifier issue , no capex / fme is calling guard ESCALADE L3 CAMUSAT ETR 30/03/2026 29.03.2026 CAMUSAT : Rectifier issue , no capex / fme is calling guard ESCALADE L2 CAMUSAT</t>
        </is>
      </c>
    </row>
    <row r="1031">
      <c r="A1031" s="96" t="n">
        <v>46142</v>
      </c>
      <c r="B1031" t="inlineStr">
        <is>
          <t>Ambam</t>
        </is>
      </c>
      <c r="C1031" t="inlineStr">
        <is>
          <t>CTR_394</t>
        </is>
      </c>
      <c r="D1031" t="inlineStr"/>
      <c r="E1031" t="inlineStr">
        <is>
          <t>IHS</t>
        </is>
      </c>
      <c r="F1031" t="inlineStr">
        <is>
          <t>Grid-Gen</t>
        </is>
      </c>
      <c r="G1031" t="inlineStr">
        <is>
          <t>CENTRE</t>
        </is>
      </c>
      <c r="H1031" t="inlineStr">
        <is>
          <t>Ambam</t>
        </is>
      </c>
      <c r="I1031" t="inlineStr"/>
      <c r="J1031" t="n">
        <v>0</v>
      </c>
      <c r="K1031" t="n">
        <v>0</v>
      </c>
      <c r="L1031" t="n">
        <v>0</v>
      </c>
      <c r="M1031" t="n">
        <v>0</v>
      </c>
      <c r="N1031" t="inlineStr">
        <is>
          <t>Operationnel</t>
        </is>
      </c>
      <c r="O1031" t="inlineStr"/>
      <c r="P1031" t="inlineStr">
        <is>
          <t>TRAVAUX OCM</t>
        </is>
      </c>
      <c r="Q1031" t="inlineStr">
        <is>
          <t>TRAVAUX OCM</t>
        </is>
      </c>
      <c r="R1031" t="inlineStr">
        <is>
          <t>Projet OCM (ZTE, NOKIA, autres projets)</t>
        </is>
      </c>
      <c r="S1031" t="inlineStr">
        <is>
          <t>PLANNED WORKS</t>
        </is>
      </c>
      <c r="T1031" t="inlineStr">
        <is>
          <t>not accepted….not accepted….not accepted</t>
        </is>
      </c>
      <c r="U1031" t="inlineStr">
        <is>
          <t>not accepted….not accepted….not accepted</t>
        </is>
      </c>
    </row>
    <row r="1032">
      <c r="A1032" s="96" t="n">
        <v>46142</v>
      </c>
      <c r="B1032" t="inlineStr">
        <is>
          <t>Nomayos-IHS</t>
        </is>
      </c>
      <c r="C1032" t="inlineStr">
        <is>
          <t>CTR_527</t>
        </is>
      </c>
      <c r="D1032" t="inlineStr"/>
      <c r="E1032" t="inlineStr">
        <is>
          <t>IHS</t>
        </is>
      </c>
      <c r="F1032" t="inlineStr">
        <is>
          <t>Grid-Gen</t>
        </is>
      </c>
      <c r="G1032" t="inlineStr">
        <is>
          <t>CENTRE</t>
        </is>
      </c>
      <c r="H1032" t="inlineStr">
        <is>
          <t>Nomayos</t>
        </is>
      </c>
      <c r="I1032" t="inlineStr"/>
      <c r="J1032" t="n">
        <v>0</v>
      </c>
      <c r="K1032" t="n">
        <v>0</v>
      </c>
      <c r="L1032" t="n">
        <v>0</v>
      </c>
      <c r="M1032" t="n">
        <v>0</v>
      </c>
      <c r="N1032" t="inlineStr">
        <is>
          <t>Operationnel</t>
        </is>
      </c>
      <c r="O1032" t="inlineStr"/>
      <c r="P1032" t="inlineStr">
        <is>
          <t>TRAVAUX OCM</t>
        </is>
      </c>
      <c r="Q1032" t="inlineStr">
        <is>
          <t>TRAVAUX OCM</t>
        </is>
      </c>
      <c r="R1032" t="inlineStr">
        <is>
          <t>Projet OCM (ZTE, NOKIA, autres projets)</t>
        </is>
      </c>
      <c r="S1032" t="inlineStr">
        <is>
          <t>PLANNED WORKS</t>
        </is>
      </c>
      <c r="T1032" t="inlineStr">
        <is>
          <t>not accepted….not accepted….not accepted</t>
        </is>
      </c>
      <c r="U1032" t="inlineStr">
        <is>
          <t>not accepted….not accepted….not accepted</t>
        </is>
      </c>
    </row>
    <row r="1033">
      <c r="A1033" s="96" t="n">
        <v>46142</v>
      </c>
      <c r="B1033" t="inlineStr">
        <is>
          <t>Nkoteng-IHS</t>
        </is>
      </c>
      <c r="C1033" t="inlineStr">
        <is>
          <t>CTR_152</t>
        </is>
      </c>
      <c r="D1033" t="inlineStr"/>
      <c r="E1033" t="inlineStr">
        <is>
          <t>IHS</t>
        </is>
      </c>
      <c r="F1033" t="inlineStr">
        <is>
          <t>Grid-Gen</t>
        </is>
      </c>
      <c r="G1033" t="inlineStr">
        <is>
          <t>CENTRE</t>
        </is>
      </c>
      <c r="H1033" t="inlineStr">
        <is>
          <t>Nkoteng</t>
        </is>
      </c>
      <c r="I1033" t="inlineStr"/>
      <c r="J1033" t="n">
        <v>0</v>
      </c>
      <c r="K1033" t="n">
        <v>0</v>
      </c>
      <c r="L1033" t="n">
        <v>0</v>
      </c>
      <c r="M1033" t="n">
        <v>0</v>
      </c>
      <c r="N1033" t="inlineStr">
        <is>
          <t>Operationnel</t>
        </is>
      </c>
      <c r="O1033" t="inlineStr"/>
      <c r="P1033" t="inlineStr">
        <is>
          <t>IHS</t>
        </is>
      </c>
      <c r="Q1033" t="inlineStr">
        <is>
          <t>POWER ISSUE</t>
        </is>
      </c>
      <c r="R1033" t="inlineStr">
        <is>
          <t>Defaut GE &amp; Power Cabinet</t>
        </is>
      </c>
      <c r="S1033" t="inlineStr">
        <is>
          <t>PASSIVE</t>
        </is>
      </c>
      <c r="T1033" t="inlineStr">
        <is>
          <t>30/03/2026 : Power issue  || mail sent to HIS || Feedback HIS :    Power issue resolved ;RCA  :  Power Cabinet malfunctioning // Site leave on 3 reticfiers. (  site stabilized ) 
….Power status check ongoing….INC-20260330-00005083.,,2026-03-30 10:34:33.,,FME Felix Bateu is on site, investigations till ongoing..,,probleme d energie Les equipments ne sont Pas alimentés .,,GE Fault</t>
        </is>
      </c>
      <c r="U1033" t="inlineStr">
        <is>
          <t>30/03/2026 : Power issue || mail sent to HIS || Feedback HIS : Power issue resolved ;RCA : Power Cabinet malfunctioning // Site leave on 3 reticfiers. site stabilized ) ….Power status check ongoing….,,2026-03-30 10 : 34 : 33.,,FME Felix Bateu is on site, investigations till ongoing.,,probleme d energie Les equipments ne sont Pas alimentés .,,GE Fault</t>
        </is>
      </c>
    </row>
    <row r="1034">
      <c r="A1034" s="96" t="n">
        <v>46142</v>
      </c>
      <c r="B1034" t="inlineStr">
        <is>
          <t>Minisite_Crf-Nkoabang</t>
        </is>
      </c>
      <c r="C1034" t="inlineStr">
        <is>
          <t>CTR_881</t>
        </is>
      </c>
      <c r="D1034" t="inlineStr"/>
      <c r="E1034" t="inlineStr">
        <is>
          <t>IHS</t>
        </is>
      </c>
      <c r="F1034" t="inlineStr">
        <is>
          <t>Grid + Solar</t>
        </is>
      </c>
      <c r="G1034" t="inlineStr">
        <is>
          <t>CENTRE</t>
        </is>
      </c>
      <c r="H1034" t="inlineStr">
        <is>
          <t>Yaounde</t>
        </is>
      </c>
      <c r="I1034" t="inlineStr"/>
      <c r="J1034" t="n">
        <v>0</v>
      </c>
      <c r="K1034" t="n">
        <v>0</v>
      </c>
      <c r="L1034" t="n">
        <v>0</v>
      </c>
      <c r="M1034" t="n">
        <v>0</v>
      </c>
      <c r="N1034" t="inlineStr">
        <is>
          <t>Operationnel</t>
        </is>
      </c>
      <c r="O1034" t="inlineStr"/>
      <c r="P1034" t="inlineStr">
        <is>
          <t>IHS</t>
        </is>
      </c>
      <c r="Q1034" t="inlineStr">
        <is>
          <t>POWER ISSUE</t>
        </is>
      </c>
      <c r="R1034" t="inlineStr">
        <is>
          <t>Defaut GE &amp; Power Cabinet</t>
        </is>
      </c>
      <c r="S1034" t="inlineStr">
        <is>
          <t>PASSIVE</t>
        </is>
      </c>
      <c r="T1034" t="inlineStr">
        <is>
          <t>INC-20260330-00014874.,,2026-03-31 00:41:11.,,30.03.26; IHS; Solar only site//awaiting Sun shine return (escalated to L2).,,Others</t>
        </is>
      </c>
      <c r="U1034" t="inlineStr">
        <is>
          <t>2026-03-31 00 : 41 : 11.,,30.03.26; IHS; Solar only site//awaiting Sun shine return (escalated to L2).,,Others</t>
        </is>
      </c>
    </row>
    <row r="1035">
      <c r="A1035" s="96" t="n">
        <v>46142</v>
      </c>
      <c r="B1035" t="inlineStr">
        <is>
          <t>Mansouen</t>
        </is>
      </c>
      <c r="C1035" t="inlineStr">
        <is>
          <t>OST_293</t>
        </is>
      </c>
      <c r="D1035" t="inlineStr"/>
      <c r="E1035" t="inlineStr">
        <is>
          <t>CAMUSAT</t>
        </is>
      </c>
      <c r="F1035" t="inlineStr">
        <is>
          <t>Hybrid Solar - S3</t>
        </is>
      </c>
      <c r="G1035" t="inlineStr">
        <is>
          <t>OUEST</t>
        </is>
      </c>
      <c r="H1035" t="inlineStr">
        <is>
          <t>Mansouen</t>
        </is>
      </c>
      <c r="I1035" t="inlineStr"/>
      <c r="J1035" t="n">
        <v>0</v>
      </c>
      <c r="K1035" t="n">
        <v>0</v>
      </c>
      <c r="L1035" t="n">
        <v>0</v>
      </c>
      <c r="M1035" t="n">
        <v>0</v>
      </c>
      <c r="N1035" t="inlineStr">
        <is>
          <t>EXCLU</t>
        </is>
      </c>
      <c r="O1035" t="inlineStr">
        <is>
          <t>UE Relay</t>
        </is>
      </c>
      <c r="P1035" t="inlineStr">
        <is>
          <t>Exclu</t>
        </is>
      </c>
      <c r="Q1035" t="inlineStr">
        <is>
          <t>Exclu</t>
        </is>
      </c>
      <c r="R1035" t="inlineStr">
        <is>
          <t>exclu</t>
        </is>
      </c>
      <c r="S1035" t="inlineStr">
        <is>
          <t>Exclu</t>
        </is>
      </c>
      <c r="T1035" t="inlineStr">
        <is>
          <t>INC-20260330-00012490.,,Others Transmission equipement fault</t>
        </is>
      </c>
      <c r="U1035" t="inlineStr"/>
    </row>
    <row r="1036">
      <c r="A1036" s="96" t="n">
        <v>46142</v>
      </c>
      <c r="B1036" t="inlineStr">
        <is>
          <t>Gor-IHS</t>
        </is>
      </c>
      <c r="C1036" t="inlineStr">
        <is>
          <t>NRD_091</t>
        </is>
      </c>
      <c r="D1036" t="inlineStr"/>
      <c r="E1036" t="inlineStr">
        <is>
          <t>IHS</t>
        </is>
      </c>
      <c r="F1036" t="inlineStr">
        <is>
          <t>Hybrid-Gen</t>
        </is>
      </c>
      <c r="G1036" t="inlineStr">
        <is>
          <t>NORD</t>
        </is>
      </c>
      <c r="H1036" t="inlineStr">
        <is>
          <t>Gor</t>
        </is>
      </c>
      <c r="I1036" t="inlineStr"/>
      <c r="J1036" t="n">
        <v>0</v>
      </c>
      <c r="K1036" t="n">
        <v>0</v>
      </c>
      <c r="L1036" t="n">
        <v>0</v>
      </c>
      <c r="M1036" t="n">
        <v>0</v>
      </c>
      <c r="N1036" t="inlineStr">
        <is>
          <t>Operationnel</t>
        </is>
      </c>
      <c r="O1036" t="inlineStr"/>
      <c r="P1036" t="inlineStr">
        <is>
          <t>PDH</t>
        </is>
      </c>
      <c r="Q1036" t="inlineStr">
        <is>
          <t>TX ISSUE</t>
        </is>
      </c>
      <c r="R1036" t="inlineStr">
        <is>
          <t>MPR issue</t>
        </is>
      </c>
      <c r="S1036" t="inlineStr">
        <is>
          <t>ACTIVE</t>
        </is>
      </c>
      <c r="T1036" t="inlineStr">
        <is>
          <t>INC-20260330-00005823.,,Others Transmission equipement fault</t>
        </is>
      </c>
      <c r="U1036" t="inlineStr"/>
    </row>
    <row r="1037">
      <c r="A1037" s="96" t="n">
        <v>46142</v>
      </c>
      <c r="B1037" t="inlineStr">
        <is>
          <t>Ngoung</t>
        </is>
      </c>
      <c r="C1037" t="inlineStr">
        <is>
          <t>CTR_115</t>
        </is>
      </c>
      <c r="D1037" t="inlineStr"/>
      <c r="E1037" t="inlineStr">
        <is>
          <t>IHS</t>
        </is>
      </c>
      <c r="F1037" t="inlineStr">
        <is>
          <t>Grid-Gen</t>
        </is>
      </c>
      <c r="G1037" t="inlineStr">
        <is>
          <t>CENTRE</t>
        </is>
      </c>
      <c r="H1037" t="inlineStr">
        <is>
          <t>Ngoung</t>
        </is>
      </c>
      <c r="I1037" t="inlineStr"/>
      <c r="J1037" t="n">
        <v>0</v>
      </c>
      <c r="K1037" t="n">
        <v>0</v>
      </c>
      <c r="L1037" t="n">
        <v>0</v>
      </c>
      <c r="M1037" t="n">
        <v>0</v>
      </c>
      <c r="N1037" t="inlineStr">
        <is>
          <t>Exclu</t>
        </is>
      </c>
      <c r="O1037" t="inlineStr">
        <is>
          <t>site vandalise</t>
        </is>
      </c>
      <c r="P1037" t="inlineStr">
        <is>
          <t>Exclu</t>
        </is>
      </c>
      <c r="Q1037" t="inlineStr">
        <is>
          <t>Exclu</t>
        </is>
      </c>
      <c r="R1037" t="inlineStr">
        <is>
          <t>exclu</t>
        </is>
      </c>
      <c r="S1037" t="inlineStr">
        <is>
          <t>Exclu</t>
        </is>
      </c>
      <c r="T1037" t="inlineStr">
        <is>
          <t>30/03/2026 : Not accepted</t>
        </is>
      </c>
      <c r="U1037" t="inlineStr">
        <is>
          <t>30/03/2026 : Not accepted</t>
        </is>
      </c>
    </row>
    <row r="1038">
      <c r="A1038" s="96" t="n">
        <v>46142</v>
      </c>
      <c r="B1038" t="inlineStr">
        <is>
          <t>Omeng</t>
        </is>
      </c>
      <c r="C1038" t="inlineStr">
        <is>
          <t>LIT_136</t>
        </is>
      </c>
      <c r="D1038" t="inlineStr"/>
      <c r="E1038" t="inlineStr">
        <is>
          <t>IHS</t>
        </is>
      </c>
      <c r="F1038" t="inlineStr">
        <is>
          <t>Grid-Gen</t>
        </is>
      </c>
      <c r="G1038" t="inlineStr">
        <is>
          <t>LITTORAL</t>
        </is>
      </c>
      <c r="H1038" t="inlineStr">
        <is>
          <t>Omeng</t>
        </is>
      </c>
      <c r="I1038" t="inlineStr"/>
      <c r="J1038" t="n">
        <v>0</v>
      </c>
      <c r="K1038" t="n">
        <v>0</v>
      </c>
      <c r="L1038" t="n">
        <v>0</v>
      </c>
      <c r="M1038" t="n">
        <v>0</v>
      </c>
      <c r="N1038" t="inlineStr">
        <is>
          <t>Operationnel</t>
        </is>
      </c>
      <c r="O1038" t="inlineStr"/>
      <c r="P1038" t="inlineStr">
        <is>
          <t>PDH</t>
        </is>
      </c>
      <c r="Q1038" t="inlineStr">
        <is>
          <t>TX ISSUE</t>
        </is>
      </c>
      <c r="R1038" t="inlineStr">
        <is>
          <t>MPR issue</t>
        </is>
      </c>
      <c r="S1038" t="inlineStr">
        <is>
          <t>ACTIVE</t>
        </is>
      </c>
      <c r="T1038" t="inlineStr">
        <is>
          <t>30/03/2026 : FME ctive
29/03/2026 : FME active 
28/03/2026 : Check breaker and  interconnection(sfp, optical fiber) between system and radio module, swap its if needed….30/03/2026 : FME ctive
29/03/2026 : FME active 
28/03/2026 : Check breaker and  interconnection(sfp, optical fiber) between system and radio module, swap its if needed….30/03/2026 : FME ctive
29/03/2026 : FME active 
28/03/2026 : Check breaker and  interconnection(sfp, optical fiber) between system and radio module, swap its if needed….30/03/2026 : FME ctive
29/03/2026 : FME active 
28/03/2026 : Check breaker and  interconnection(sfp, optical fiber) between system and radio module, swap its if needed</t>
        </is>
      </c>
      <c r="U1038" t="inlineStr">
        <is>
          <t>30/03/2026 : FME ctive 29/03/2026 : FME active 28/03/2026 : Check breaker and interconnection(sfp, optical fiber) between system and radio module, swap its if needed….30/03/2026 : FME ctive 29/03/2026 : FME active 28/03/2026 : Check breaker and interconnection(sfp, optical fiber) between system and radio module, swap its if needed….30/03/2026 : FME ctive 29/03/2026 : FME active 28/03/2026 : Check breaker and interconnection(sfp, optical fiber) between system and radio module, swap its if needed….30/03/2026 : FME ctive 29/03/2026 : FME active 28/03/2026 : Check breaker and interconnection(sfp, optical fiber) between system and radio module, swap its if needed</t>
        </is>
      </c>
    </row>
    <row r="1039">
      <c r="A1039" s="96" t="n">
        <v>46142</v>
      </c>
      <c r="B1039" t="inlineStr">
        <is>
          <t>SFID-Ndeng-MTN-IHS</t>
        </is>
      </c>
      <c r="C1039" t="inlineStr">
        <is>
          <t>EST_102</t>
        </is>
      </c>
      <c r="D1039" t="inlineStr"/>
      <c r="E1039" t="inlineStr">
        <is>
          <t>IHS</t>
        </is>
      </c>
      <c r="F1039" t="inlineStr">
        <is>
          <t>Hybrid-Gen</t>
        </is>
      </c>
      <c r="G1039" t="inlineStr">
        <is>
          <t>EST</t>
        </is>
      </c>
      <c r="H1039" t="inlineStr">
        <is>
          <t>Deng</t>
        </is>
      </c>
      <c r="I1039" t="inlineStr"/>
      <c r="J1039" t="n">
        <v>0</v>
      </c>
      <c r="K1039" t="n">
        <v>0</v>
      </c>
      <c r="L1039" t="n">
        <v>0</v>
      </c>
      <c r="M1039" t="n">
        <v>0</v>
      </c>
      <c r="N1039" t="inlineStr">
        <is>
          <t>Operationnel</t>
        </is>
      </c>
      <c r="O1039" t="inlineStr"/>
      <c r="P1039" t="inlineStr">
        <is>
          <t>SPARE-ISSUE</t>
        </is>
      </c>
      <c r="Q1039" t="inlineStr">
        <is>
          <t>SPARE-ISSUE</t>
        </is>
      </c>
      <c r="R1039" t="inlineStr">
        <is>
          <t>SPARE-ISSUE</t>
        </is>
      </c>
      <c r="S1039" t="inlineStr">
        <is>
          <t>SPARE-ISSUE</t>
        </is>
      </c>
      <c r="T1039" t="inlineStr">
        <is>
          <t>30/03/2026 : FME active 
29/03/2026 : ETA : 30/03/2026 
27/03/2026 : Need BO RAN analysis || Feedback BO RAN : FME should check and replace it needed SFP, Optical fiber || Commande de la fibre en cours 
26/03/2026 : need BO RAN analysis|| Fake alarm and already closed….30/03/2026 : FME active 
29/03/2026 : ETA : 30/03/2026 
27/03/2026 : Need BO RAN analysis || Feedback BO RAN : FME should check and replace it needed SFP, Optical fiber || Commande de la fibre en cours 
26/03/2026 : need BO RAN analysis|| Fake alarm and already closed….30/03/2026 : FME active 
29/03/2026 : ETA : 30/03/2026 
27/03/2026 : Need BO RAN analysis || Feedback BO RAN : FME should check and replace it needed SFP, Optical fiber || Commande de la fibre en cours 
26/03/2026 : need BO RAN analysis|| Fake alarm and already closed….30/03/2026 : FME active 
29/03/2026 : ETA : 30/03/2026 
27/03/2026 : Need BO RAN analysis || Feedback BO RAN : FME should check and replace it needed SFP, Optical fiber || Commande de la fibre en cours 
26/03/2026 : need BO RAN analysis|| Fake alarm and already closed</t>
        </is>
      </c>
      <c r="U1039" t="inlineStr">
        <is>
          <t>30/03/2026 : FME active 29/03/2026 : ETA : 30/03/2026 27/03/2026 : Need BO RAN analysis || Feedback BO RAN : FME should check and replace it needed SFP, Optical fiber || Commande de la fibre en cours 26/03/2026 : need BO RAN analysis || Fake alarm and already closed….30/03/2026 : FME active 29/03/2026 : ETA : 30/03/2026 27/03/2026 : Need BO RAN analysis || Feedback BO RAN : FME should check and replace it needed SFP, Optical fiber || Commande de la fibre en cours 26/03/2026 : need BO RAN analysis || Fake alarm and already closed….30/03/2026 : FME active 29/03/2026 : ETA : 30/03/2026 27/03/2026 : Need BO RAN analysis || Feedback BO RAN : FME should check and replace it needed SFP, Optical fiber || Commande de la fibre en cours 26/03/2026 : need BO RAN analysis || Fake alarm and already closed….30/03/2026 : FME active 29/03/2026 : ETA : 30/03/2026 27/03/2026 : Need BO RAN analysis || Feedback BO RAN : FME should check and replace it needed SFP, Optical fiber || Commande de la fibre en cours 26/03/2026 : need BO RAN analysis || Fake alarm and already closed</t>
        </is>
      </c>
    </row>
    <row r="1040">
      <c r="A1040" s="96" t="n">
        <v>46142</v>
      </c>
      <c r="B1040" t="inlineStr">
        <is>
          <t>Mbantinbang-FH</t>
        </is>
      </c>
      <c r="C1040" t="inlineStr">
        <is>
          <t>ADM_055</t>
        </is>
      </c>
      <c r="D1040" t="inlineStr"/>
      <c r="E1040" t="inlineStr">
        <is>
          <t>IHS</t>
        </is>
      </c>
      <c r="F1040" t="inlineStr">
        <is>
          <t>Solar-Gen</t>
        </is>
      </c>
      <c r="G1040" t="inlineStr">
        <is>
          <t>ADAMAOUA</t>
        </is>
      </c>
      <c r="H1040" t="inlineStr">
        <is>
          <t>Mbantinbang</t>
        </is>
      </c>
      <c r="I1040" t="inlineStr"/>
      <c r="J1040" t="n">
        <v>0</v>
      </c>
      <c r="K1040" t="n">
        <v>0</v>
      </c>
      <c r="L1040" t="n">
        <v>0</v>
      </c>
      <c r="M1040" t="n">
        <v>0</v>
      </c>
      <c r="N1040" t="inlineStr">
        <is>
          <t>Operationnel</t>
        </is>
      </c>
      <c r="O1040" t="inlineStr"/>
      <c r="P1040" t="inlineStr">
        <is>
          <t>PDH</t>
        </is>
      </c>
      <c r="Q1040" t="inlineStr">
        <is>
          <t>TX ISSUE</t>
        </is>
      </c>
      <c r="R1040" t="inlineStr">
        <is>
          <t>MPR issue</t>
        </is>
      </c>
      <c r="S1040" t="inlineStr">
        <is>
          <t>ACTIVE</t>
        </is>
      </c>
      <c r="T1040" t="inlineStr">
        <is>
          <t>30/03/2026 : FME active || Fake il ya pas de 3G
29/03/2026 : Check breaker and  interconnection(sfp, optical fiber) between system and radio module, swap its if needed….30/03/2026 : FME active || Fake il ya pas de 3G
29/03/2026 : Check breaker and  interconnection(sfp, optical fiber) between system and radio module, swap its if needed….30/03/2026 : FME active || Fake il ya pas de 3G
29/03/2026 : Check breaker and  interconnection(sfp, optical fiber) between system and radio module, swap its if needed….INC-20260330-00005712.,,Others Transmission equipement fault</t>
        </is>
      </c>
      <c r="U1040" t="inlineStr">
        <is>
          <t>30/03/2026 : FME active || Fake il ya pas de 3G 29/03/2026 : Check breaker and interconnection(sfp, optical fiber) between system and radio module, swap its if needed….30/03/2026 : FME active || Fake il ya pas de 3G 29/03/2026 : Check breaker and interconnection(sfp, optical fiber) between system and radio module, swap its if needed….30/03/2026 : FME active || Fake il ya pas de 3G 29/03/2026 : Check breaker and interconnection(sfp, optical fiber) between system and radio module, swap its if needed….,,</t>
        </is>
      </c>
    </row>
    <row r="1041">
      <c r="A1041" s="96" t="n">
        <v>46142</v>
      </c>
      <c r="B1041" t="inlineStr">
        <is>
          <t>Nguibassal</t>
        </is>
      </c>
      <c r="C1041" t="inlineStr">
        <is>
          <t>CTR_858</t>
        </is>
      </c>
      <c r="D1041" t="inlineStr"/>
      <c r="E1041" t="inlineStr">
        <is>
          <t>ESCO</t>
        </is>
      </c>
      <c r="F1041" t="inlineStr">
        <is>
          <t>Hybrid solar - S3</t>
        </is>
      </c>
      <c r="G1041" t="inlineStr">
        <is>
          <t>CENTRE</t>
        </is>
      </c>
      <c r="H1041" t="inlineStr">
        <is>
          <t>Nguibassal</t>
        </is>
      </c>
      <c r="I1041" t="inlineStr"/>
      <c r="J1041" t="n">
        <v>0</v>
      </c>
      <c r="K1041" t="n">
        <v>0</v>
      </c>
      <c r="L1041" t="n">
        <v>0</v>
      </c>
      <c r="M1041" t="n">
        <v>0</v>
      </c>
      <c r="N1041" t="inlineStr">
        <is>
          <t>Operationnel</t>
        </is>
      </c>
      <c r="O1041" t="inlineStr"/>
      <c r="P1041" t="inlineStr">
        <is>
          <t>AKTIVCO</t>
        </is>
      </c>
      <c r="Q1041" t="inlineStr">
        <is>
          <t>POWER ISSUE</t>
        </is>
      </c>
      <c r="R1041" t="inlineStr">
        <is>
          <t>AKTIVCO Defaut GE &amp; Power Cabinet</t>
        </is>
      </c>
      <c r="S1041" t="inlineStr">
        <is>
          <t>PASSIVE</t>
        </is>
      </c>
      <c r="T1041" t="inlineStr">
        <is>
          <t>30/03/2026 : Power issue : Mail sent to Camusat….Power status check ongoing</t>
        </is>
      </c>
      <c r="U1041" t="inlineStr">
        <is>
          <t>30/03/2026 : Power issue : Mail sent to Camusat….Power status check ongoing</t>
        </is>
      </c>
    </row>
    <row r="1042">
      <c r="A1042" s="96" t="n">
        <v>46142</v>
      </c>
      <c r="B1042" t="inlineStr">
        <is>
          <t>Minisite-Elig-Edzoa</t>
        </is>
      </c>
      <c r="C1042" t="inlineStr">
        <is>
          <t>CTR_684</t>
        </is>
      </c>
      <c r="D1042" t="inlineStr"/>
      <c r="E1042" t="inlineStr">
        <is>
          <t>CAMUSAT</t>
        </is>
      </c>
      <c r="F1042" t="inlineStr">
        <is>
          <t>Good Grid no GE - 8h</t>
        </is>
      </c>
      <c r="G1042" t="inlineStr">
        <is>
          <t>CENTRE</t>
        </is>
      </c>
      <c r="H1042" t="inlineStr">
        <is>
          <t>Yaounde</t>
        </is>
      </c>
      <c r="I1042" t="inlineStr"/>
      <c r="J1042" t="n">
        <v>0</v>
      </c>
      <c r="K1042" t="n">
        <v>0</v>
      </c>
      <c r="L1042" t="n">
        <v>0</v>
      </c>
      <c r="M1042" t="n">
        <v>0</v>
      </c>
      <c r="N1042" t="inlineStr">
        <is>
          <t>Operationnel</t>
        </is>
      </c>
      <c r="O1042" t="inlineStr"/>
      <c r="P1042" t="inlineStr">
        <is>
          <t>AKTIVCO GRID ONLY</t>
        </is>
      </c>
      <c r="Q1042" t="inlineStr">
        <is>
          <t>POWER ISSUE</t>
        </is>
      </c>
      <c r="R1042" t="inlineStr">
        <is>
          <t>AKTIVCO Coupure ENEO &amp; Baisse de tension</t>
        </is>
      </c>
      <c r="S1042" t="inlineStr">
        <is>
          <t>PASSIVE</t>
        </is>
      </c>
      <c r="T1042" t="inlineStr">
        <is>
          <t>30.03.2026 CAMUSAT: Grid outage grid only site ESCALADE L3 CAMUSAT : probleme de dijoncteur sur site ETR=12H 
29.03.2026 CAMUSAT: Grid outage grid only site / vérification de la continuté ETR 30min escalade L2 CAMUSAT 
29.03.2026 CAMUSAT: Grid outage grid only site /awaiting grid return….30.03.2026 CAMUSAT: Grid outage grid only site ESCALADE L3 CAMUSAT : probleme de dijoncteur sur site ETR=12H 
29.03.2026 CAMUSAT: Grid outage grid only site / vérification de la continuté ETR 30min escalade L2 CAMUSAT 
29.03.2026 CAMUSAT: Grid outage grid only site /awaiting grid return….30.03.2026 CAMUSAT: Grid outage grid only site ESCALADE L3 CAMUSAT : probleme de dijoncteur sur site ETR=12H 
29.03.2026 CAMUSAT: Grid outage grid only site / vérification de la continuté ETR 30min escalade L2 CAMUSAT 
29.03.2026 CAMUSAT: Grid outage grid only site /awaiting grid return</t>
        </is>
      </c>
      <c r="U1042" t="inlineStr">
        <is>
          <t>30.03.2026 CAMUSAT : Grid outage grid only site ESCALADE L3 CAMUSAT : probleme de dijoncteur sur site ETR=12H 29.03.2026 CAMUSAT : Grid outage grid only site / vérification de la continuté ETR 30min escalade L2 CAMUSAT 29.03.2026 CAMUSAT : Grid outage grid only site /awaiting grid return….30.03.2026 CAMUSAT : Grid outage grid only site ESCALADE L3 CAMUSAT : probleme de dijoncteur sur site ETR=12H 29.03.2026 CAMUSAT : Grid outage grid only site / vérification de la continuté ETR 30min escalade L2 CAMUSAT 29.03.2026 CAMUSAT : Grid outage grid only site /awaiting grid return….30.03.2026 CAMUSAT : Grid outage grid only site ESCALADE L3 CAMUSAT : probleme de dijoncteur sur site ETR=12H 29.03.2026 CAMUSAT : Grid outage grid only site / vérification de la continuté ETR 30min escalade L2 CAMUSAT 29.03.2026 CAMUSAT : Grid outage grid only site /awaiting grid return</t>
        </is>
      </c>
    </row>
    <row r="1043">
      <c r="A1043" s="96" t="n">
        <v>46142</v>
      </c>
      <c r="B1043" t="inlineStr">
        <is>
          <t>Bayangam</t>
        </is>
      </c>
      <c r="C1043" t="inlineStr">
        <is>
          <t>OST_051</t>
        </is>
      </c>
      <c r="D1043" t="inlineStr"/>
      <c r="E1043" t="inlineStr">
        <is>
          <t>IHS</t>
        </is>
      </c>
      <c r="F1043" t="inlineStr">
        <is>
          <t>Grid-Gen</t>
        </is>
      </c>
      <c r="G1043" t="inlineStr">
        <is>
          <t>OUEST</t>
        </is>
      </c>
      <c r="H1043" t="inlineStr">
        <is>
          <t>Bayangam</t>
        </is>
      </c>
      <c r="I1043" t="inlineStr"/>
      <c r="J1043" t="n">
        <v>0</v>
      </c>
      <c r="K1043" t="n">
        <v>0</v>
      </c>
      <c r="L1043" t="n">
        <v>0</v>
      </c>
      <c r="M1043" t="n">
        <v>0</v>
      </c>
      <c r="N1043" t="inlineStr">
        <is>
          <t>Operationnel</t>
        </is>
      </c>
      <c r="O1043" t="inlineStr"/>
      <c r="P1043" t="inlineStr">
        <is>
          <t>Fiber AOF</t>
        </is>
      </c>
      <c r="Q1043" t="inlineStr">
        <is>
          <t>TX ISSUE</t>
        </is>
      </c>
      <c r="R1043" t="inlineStr">
        <is>
          <t>fiber AOF</t>
        </is>
      </c>
      <c r="S1043" t="inlineStr">
        <is>
          <t>ACTIVE</t>
        </is>
      </c>
      <c r="T1043" t="inlineStr">
        <is>
          <t>28/03/2026 : suite d'intervention ce jour || 1/3 RRU UP après  swap du SFP côté BBU.
Le deux autres restent down après swap des SFP. Impossible pour nous d'investiguer sur le pylône actuellement pour cause de pluie. 
La suite de l'intervention se fera demain matin premières  heures.
27/03/2026 : FME active || Suite d'intervention demain pour check en hauteur
26/03/2026 : Besoin d'analyse BO RAN || FME should check Connectivity between BBU and RRU 60/61/80/81….28/03/2026 : suite d'intervention ce jour || 1/3 RRU UP après  swap du SFP côté BBU.
Le deux autres restent down après swap des SFP. Impossible pour nous d'investiguer sur le pylône actuellement pour cause de pluie. 
La suite de l'intervention se fera demain matin premières  heures.
27/03/2026 : FME active || Suite d'intervention demain pour check en hauteur
26/03/2026 : Besoin d'analyse BO RAN || FME should check Connectivity between BBU and RRU 60/61/80/81</t>
        </is>
      </c>
      <c r="U1043" t="inlineStr">
        <is>
          <t>28/03/2026 : suite d'intervention ce jour || 1/3 RRU UP après swap du SFP côté BBU. Le deux autres restent down après swap des SFP. Impossible pour nous d'investiguer sur le pylône actuellement pour cause de pluie. La suite de l'intervention se fera demain matin premières heures. 27/03/2026 : FME active || Suite d'intervention demain pour check en hauteur 26/03/2026 : Besoin d'analyse BO RAN || FME should check Connectivity between BBU and RRU 60/61/80/81….28/03/2026 : suite d'intervention ce jour || 1/3 RRU UP après swap du SFP côté BBU. Le deux autres restent down après swap des SFP. Impossible pour nous d'investiguer sur le pylône actuellement pour cause de pluie. La suite de l'intervention se fera demain matin premières heures. 27/03/2026 : FME active || Suite d'intervention demain pour check en hauteur 26/03/2026 : Besoin d'analyse BO RAN || FME should check Connectivity between BBU and RRU 60/61/80/81</t>
        </is>
      </c>
    </row>
    <row r="1044">
      <c r="A1044" s="96" t="n">
        <v>46142</v>
      </c>
      <c r="B1044" t="inlineStr">
        <is>
          <t>Limbe-Semme-Beach-MTN</t>
        </is>
      </c>
      <c r="C1044" t="inlineStr">
        <is>
          <t>SUO_082</t>
        </is>
      </c>
      <c r="D1044" t="inlineStr"/>
      <c r="E1044" t="inlineStr">
        <is>
          <t>IHS</t>
        </is>
      </c>
      <c r="F1044" t="inlineStr">
        <is>
          <t>Grid-Gen</t>
        </is>
      </c>
      <c r="G1044" t="inlineStr">
        <is>
          <t>SUD-OUEST</t>
        </is>
      </c>
      <c r="H1044" t="inlineStr">
        <is>
          <t>Limbe</t>
        </is>
      </c>
      <c r="I1044" t="inlineStr"/>
      <c r="J1044" t="n">
        <v>0</v>
      </c>
      <c r="K1044" t="n">
        <v>0</v>
      </c>
      <c r="L1044" t="n">
        <v>0</v>
      </c>
      <c r="M1044" t="n">
        <v>0</v>
      </c>
      <c r="N1044" t="inlineStr">
        <is>
          <t>Operationnel</t>
        </is>
      </c>
      <c r="O1044" t="inlineStr"/>
      <c r="P1044" t="inlineStr">
        <is>
          <t>ACCESS-ISSUE</t>
        </is>
      </c>
      <c r="Q1044" t="inlineStr">
        <is>
          <t>ACCESS-ISSUE</t>
        </is>
      </c>
      <c r="R1044" t="inlineStr">
        <is>
          <t>ACCESS-ISSUE</t>
        </is>
      </c>
      <c r="S1044" t="inlineStr">
        <is>
          <t>ACCESS-ISSUE</t>
        </is>
      </c>
      <c r="T1044" t="inlineStr">
        <is>
          <t>30/03/2026 : FME active….30/03/2026 : FME active</t>
        </is>
      </c>
      <c r="U1044" t="inlineStr">
        <is>
          <t>30/03/2026 : FME active….30/03/2026 : FME active</t>
        </is>
      </c>
    </row>
    <row r="1045">
      <c r="A1045" s="96" t="n">
        <v>46142</v>
      </c>
      <c r="B1045" t="inlineStr">
        <is>
          <t>Fonfuka</t>
        </is>
      </c>
      <c r="C1045" t="inlineStr">
        <is>
          <t>NRO_043</t>
        </is>
      </c>
      <c r="D1045" t="inlineStr"/>
      <c r="E1045" t="inlineStr">
        <is>
          <t>IHS</t>
        </is>
      </c>
      <c r="F1045" t="inlineStr">
        <is>
          <t>Hybrid-Gen</t>
        </is>
      </c>
      <c r="G1045" t="inlineStr">
        <is>
          <t>NORD-OUEST</t>
        </is>
      </c>
      <c r="H1045" t="inlineStr">
        <is>
          <t>Fonfuka</t>
        </is>
      </c>
      <c r="I1045" t="inlineStr"/>
      <c r="J1045" t="n">
        <v>0</v>
      </c>
      <c r="K1045" t="n">
        <v>0</v>
      </c>
      <c r="L1045" t="n">
        <v>0</v>
      </c>
      <c r="M1045" t="n">
        <v>0</v>
      </c>
      <c r="N1045" t="inlineStr">
        <is>
          <t>Insecurity</t>
        </is>
      </c>
      <c r="O1045" t="inlineStr"/>
      <c r="P1045" t="inlineStr">
        <is>
          <t>PDH</t>
        </is>
      </c>
      <c r="Q1045" t="inlineStr">
        <is>
          <t>TX ISSUE</t>
        </is>
      </c>
      <c r="R1045" t="inlineStr">
        <is>
          <t>MPR issue</t>
        </is>
      </c>
      <c r="S1045" t="inlineStr">
        <is>
          <t>ACTIVE</t>
        </is>
      </c>
      <c r="T1045" t="inlineStr">
        <is>
          <t>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t>
        </is>
      </c>
      <c r="U1045" t="inlineStr">
        <is>
          <t>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t>
        </is>
      </c>
    </row>
    <row r="1046">
      <c r="A1046" s="96" t="n">
        <v>46142</v>
      </c>
      <c r="B1046" t="inlineStr">
        <is>
          <t>Menganme-Camtel</t>
        </is>
      </c>
      <c r="C1046" t="inlineStr">
        <is>
          <t>CTR_142</t>
        </is>
      </c>
      <c r="D1046" t="inlineStr"/>
      <c r="E1046" t="inlineStr">
        <is>
          <t>CAMUSAT</t>
        </is>
      </c>
      <c r="F1046" t="inlineStr">
        <is>
          <t>Bad Grid + GE</t>
        </is>
      </c>
      <c r="G1046" t="inlineStr">
        <is>
          <t>CENTRE</t>
        </is>
      </c>
      <c r="H1046" t="inlineStr">
        <is>
          <t>Menganme</t>
        </is>
      </c>
      <c r="I1046" t="inlineStr"/>
      <c r="J1046" t="n">
        <v>0</v>
      </c>
      <c r="K1046" t="n">
        <v>0</v>
      </c>
      <c r="L1046" t="n">
        <v>0</v>
      </c>
      <c r="M1046" t="n">
        <v>0</v>
      </c>
      <c r="N1046" t="inlineStr">
        <is>
          <t>Operationnel</t>
        </is>
      </c>
      <c r="O1046" t="inlineStr"/>
      <c r="P1046" t="inlineStr">
        <is>
          <t>BSS</t>
        </is>
      </c>
      <c r="Q1046" t="inlineStr">
        <is>
          <t>RAN ISSUE</t>
        </is>
      </c>
      <c r="R1046" t="inlineStr">
        <is>
          <t>BSS Hardware issue</t>
        </is>
      </c>
      <c r="S1046" t="inlineStr">
        <is>
          <t>ACTIVE</t>
        </is>
      </c>
      <c r="T1046" t="inlineStr">
        <is>
          <t>30/03/2026 : Relance faite ce matin au Fme || Feedback du Fme : Forte pluie actuellement dans toute la zone de NANGA EBOKO || Evidence partage
29/03/2026 : Besoin d'analyse BO RAN || Check and clean jumper, port 1 of RRU 61 || Fme active || Point pris, intervention planifiée pour demain matin ETA : 30032026….30/03/2026 : Relance faite ce matin au Fme || Feedback du Fme : Forte pluie actuellement dans toute la zone de NANGA EBOKO || Evidence partage
29/03/2026 : Besoin d'analyse BO RAN || Check and clean jumper, port 1 of RRU 61 || Fme active || Point pris, intervention planifiée pour demain matin ETA : 30032026….30/03/2026 : Relance faite ce matin au Fme || Feedback du Fme : Forte pluie actuellement dans toute la zone de NANGA EBOKO || Evidence partage
29/03/2026 : Besoin d'analyse BO RAN || Check and clean jumper, port 1 of RRU 61 || Fme active || Point pris, intervention planifiée pour demain matin ETA : 30032026</t>
        </is>
      </c>
      <c r="U1046" t="inlineStr">
        <is>
          <t>30/03/2026 : Relance faite ce matin au Fme || Feedback du Fme : Forte pluie actuellement dans toute la zone de NANGA EBOKO || Evidence partage 29/03/2026 : Besoin d'analyse BO RAN || Check and clean jumper, port 1 of RRU 61 || Fme active || Point pris, intervention planifiée pour demain matin ETA : 30032026….30/03/2026 : Relance faite ce matin au Fme || Feedback du Fme : Forte pluie actuellement dans toute la zone de NANGA EBOKO || Evidence partage 29/03/2026 : Besoin d'analyse BO RAN || Check and clean jumper, port 1 of RRU 61 || Fme active || Point pris, intervention planifiée pour demain matin ETA : 30032026….30/03/2026 : Relance faite ce matin au Fme || Feedback du Fme : Forte pluie actuellement dans toute la zone de NANGA EBOKO || Evidence partage 29/03/2026 : Besoin d'analyse BO RAN || Check and clean jumper, port 1 of RRU 61 || Fme active || Point pris, intervention planifiée pour demain matin ETA : 30032026</t>
        </is>
      </c>
    </row>
    <row r="1047">
      <c r="A1047" s="96" t="n">
        <v>46142</v>
      </c>
      <c r="B1047" t="inlineStr">
        <is>
          <t>Djangane</t>
        </is>
      </c>
      <c r="C1047" t="inlineStr">
        <is>
          <t>EST_008</t>
        </is>
      </c>
      <c r="D1047" t="inlineStr"/>
      <c r="E1047" t="inlineStr">
        <is>
          <t>IHS</t>
        </is>
      </c>
      <c r="F1047" t="inlineStr">
        <is>
          <t>Grid-Gen</t>
        </is>
      </c>
      <c r="G1047" t="inlineStr">
        <is>
          <t>EST</t>
        </is>
      </c>
      <c r="H1047" t="inlineStr">
        <is>
          <t>Djangane</t>
        </is>
      </c>
      <c r="I1047" t="inlineStr"/>
      <c r="J1047" t="n">
        <v>0</v>
      </c>
      <c r="K1047" t="n">
        <v>0</v>
      </c>
      <c r="L1047" t="n">
        <v>0</v>
      </c>
      <c r="M1047" t="n">
        <v>0</v>
      </c>
      <c r="N1047" t="inlineStr">
        <is>
          <t>Operationnel</t>
        </is>
      </c>
      <c r="O1047" t="inlineStr"/>
      <c r="P1047" t="inlineStr">
        <is>
          <t>BSS</t>
        </is>
      </c>
      <c r="Q1047" t="inlineStr">
        <is>
          <t>RAN ISSUE</t>
        </is>
      </c>
      <c r="R1047" t="inlineStr">
        <is>
          <t>BSS Hardware issue</t>
        </is>
      </c>
      <c r="S1047" t="inlineStr">
        <is>
          <t>ACTIVE</t>
        </is>
      </c>
      <c r="T1047" t="inlineStr">
        <is>
          <t>27/03/2026 : Need BO RAN analysis || FME should check and replace FRGU on sites||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commande faite a ocm depuis le 17/03/2026 : Nous sollicitons l’obtention du câble FPFC pour stabiliser les Cellules sur le site de Djangane EST_008, l’objectif est de passer un 2nd départ pour réduire les pertes de l’ordre de 4v</t>
        </is>
      </c>
      <c r="U1047" t="inlineStr">
        <is>
          <t>27/03/2026 : Need BO RAN analysis || FME should check and replace FRGU on sites ||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 commande faite a ocm depuis le 17/03/2026 : Nous sollicitons l’obtention du câble FPFC pour stabiliser les Cellules sur le site de Djangane EST_008, l’objectif est de passer un 2nd départ pour réduire les pertes de l’ordre de 4v</t>
        </is>
      </c>
    </row>
    <row r="1048">
      <c r="A1048" s="96" t="n">
        <v>46142</v>
      </c>
      <c r="B1048" t="inlineStr">
        <is>
          <t>Bantoum-II-IHS</t>
        </is>
      </c>
      <c r="C1048" t="inlineStr">
        <is>
          <t>OST_301</t>
        </is>
      </c>
      <c r="D1048" t="inlineStr"/>
      <c r="E1048" t="inlineStr">
        <is>
          <t>IHS</t>
        </is>
      </c>
      <c r="F1048" t="inlineStr">
        <is>
          <t>Grid-Gen</t>
        </is>
      </c>
      <c r="G1048" t="inlineStr">
        <is>
          <t>OUEST</t>
        </is>
      </c>
      <c r="H1048" t="inlineStr">
        <is>
          <t>Bantoum</t>
        </is>
      </c>
      <c r="I1048" t="inlineStr"/>
      <c r="J1048" t="n">
        <v>0</v>
      </c>
      <c r="K1048" t="n">
        <v>0</v>
      </c>
      <c r="L1048" t="n">
        <v>0</v>
      </c>
      <c r="M1048" t="n">
        <v>0</v>
      </c>
      <c r="N1048" t="inlineStr">
        <is>
          <t>exclu</t>
        </is>
      </c>
      <c r="O1048" t="inlineStr">
        <is>
          <t>site vandalise</t>
        </is>
      </c>
      <c r="P1048" t="inlineStr">
        <is>
          <t>Exclu</t>
        </is>
      </c>
      <c r="Q1048" t="inlineStr">
        <is>
          <t>Exclu</t>
        </is>
      </c>
      <c r="R1048" t="inlineStr">
        <is>
          <t>exclu</t>
        </is>
      </c>
      <c r="S1048" t="inlineStr">
        <is>
          <t>Exclu</t>
        </is>
      </c>
      <c r="T1048" t="inlineStr">
        <is>
          <t>27/03/2026 : En attente de spare || Mail sent to OCM 
25/03/2026 : Power instability || Mail sent to HIS || Site vandalise….27/03/2026 : En attente de spare || Mail sent to OCM 
25/03/2026 : Power instability || Mail sent to HIS || Site vandalise….22.03.26; Site vendalisé, 6 câble de 2*16mm enlevés avec leur mise à la terre, commande passée à OCM
22.03.26; All RMODs are down. Need FME on site to check any disjunction; CM-20260321-00003548; FME Patrick activé pour investigations mais injoignable, escalade faite au PM
21.03.26; All RMODs are down. Need FME on site to check any disjunction; CM-20260321-00003548; FME Patrick activé pour investigations, update ASAP….22.03.26; Site vendalisé, 6 câble de 2*16mm enlevés avec leur mise à la terre, commande passée à OCM
22.03.26; All RMODs are down. Need FME on site to check any disjunction; CM-20260321-00003548; FME Patrick activé pour investigations mais injoignable, escalade faite au PM
21.03.26; All RMODs are down. Need FME on site to check any disjunction; CM-20260321-00003548; FME Patrick activé pour investigations, update ASAP….22.03.26; Site vendalisé, 6 câble de 2*16mm enlevés avec leur mise à la terre, commande passée à OCM
22.03.26; All RMODs are down. Need FME on site to check any disjunction; CM-20260321-00003548; FME Patrick activé pour investigations mais injoignable, escalade faite au PM
21.03.26; All RMODs are down. Need FME on site to check any disjunction; CM-20260321-00003548; FME Patrick activé pour investigations, update ASAP</t>
        </is>
      </c>
      <c r="U1048" t="inlineStr">
        <is>
          <t>27/03/2026 : En attente de spare || Mail sent to OCM 25/03/2026 : Power instability || Mail sent to HIS || Site vandalise….27/03/2026 : En attente de spare || Mail sent to OCM 25/03/2026 : Power instability || Mail sent to HIS || Site vandalise….22.03.26; Site vendalisé, 6 câble de 2*16mm enlevés avec leur mise à la terre, commande passée à OCM 22.03.26; All RMODs are down. Need FME on site to check any disjunction; ; FME Patrick activé pour investigations mais injoignable, escalade faite au PM 21.03.26; All RMODs are down. Need FME on site to check any disjunction; ; FME Patrick activé pour investigations, update ASAP….22.03.26; Site vendalisé, 6 câble de 2*16mm enlevés avec leur mise à la terre, commande passée à OCM 22.03.26; All RMODs are down. Need FME on site to check any disjunction; ; FME Patrick activé pour investigations mais injoignable, escalade faite au PM 21.03.26; All RMODs are down. Need FME on site to check any disjunction; ; FME Patrick activé pour investigations, update ASAP….22.03.26; Site vendalisé, 6 câble de 2*16mm enlevés avec leur mise à la terre, commande passée à OCM 22.03.26; All RMODs are down. Need FME on site to check any disjunction; ; FME Patrick activé pour investigations mais injoignable, escalade faite au PM 21.03.26; All RMODs are down. Need FME on site to check any disjunction; ; FME Patrick activé pour investigations, update ASAP</t>
        </is>
      </c>
    </row>
    <row r="1049">
      <c r="A1049" s="96" t="n">
        <v>46142</v>
      </c>
      <c r="B1049" t="inlineStr">
        <is>
          <t>Ma</t>
        </is>
      </c>
      <c r="C1049" t="inlineStr">
        <is>
          <t>NRO_021</t>
        </is>
      </c>
      <c r="D1049" t="inlineStr"/>
      <c r="E1049" t="inlineStr">
        <is>
          <t>IHS</t>
        </is>
      </c>
      <c r="F1049" t="inlineStr">
        <is>
          <t>Grid-Gen</t>
        </is>
      </c>
      <c r="G1049" t="inlineStr">
        <is>
          <t>NORD-OUEST</t>
        </is>
      </c>
      <c r="H1049" t="inlineStr">
        <is>
          <t>Ma</t>
        </is>
      </c>
      <c r="I1049" t="inlineStr"/>
      <c r="J1049" t="n">
        <v>0</v>
      </c>
      <c r="K1049" t="n">
        <v>0</v>
      </c>
      <c r="L1049" t="n">
        <v>0</v>
      </c>
      <c r="M1049" t="n">
        <v>0</v>
      </c>
      <c r="N1049" t="inlineStr">
        <is>
          <t>Insecurity</t>
        </is>
      </c>
      <c r="O1049" t="inlineStr"/>
      <c r="P1049" t="inlineStr">
        <is>
          <t>TRAVAUX-HUAWEI</t>
        </is>
      </c>
      <c r="Q1049" t="inlineStr">
        <is>
          <t>TRAVAUX-HUAWEI</t>
        </is>
      </c>
      <c r="R1049" t="inlineStr">
        <is>
          <t>Projet OCM (HUAWEI)</t>
        </is>
      </c>
      <c r="S1049" t="inlineStr">
        <is>
          <t>PLANNED WORKS</t>
        </is>
      </c>
      <c r="T1049" t="inlineStr">
        <is>
          <t>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t>
        </is>
      </c>
      <c r="U1049" t="inlineStr">
        <is>
          <t>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t>
        </is>
      </c>
    </row>
    <row r="1050">
      <c r="A1050" s="96" t="n">
        <v>46142</v>
      </c>
      <c r="B1050" t="inlineStr">
        <is>
          <t>Mbot</t>
        </is>
      </c>
      <c r="C1050" t="inlineStr">
        <is>
          <t>NRO_246</t>
        </is>
      </c>
      <c r="D1050" t="inlineStr"/>
      <c r="E1050" t="inlineStr">
        <is>
          <t>IHS</t>
        </is>
      </c>
      <c r="F1050" t="inlineStr">
        <is>
          <t>Solar-Gen</t>
        </is>
      </c>
      <c r="G1050" t="inlineStr">
        <is>
          <t>NORD-OUEST</t>
        </is>
      </c>
      <c r="H1050" t="inlineStr">
        <is>
          <t>Mbot</t>
        </is>
      </c>
      <c r="I1050" t="inlineStr"/>
      <c r="J1050" t="n">
        <v>0</v>
      </c>
      <c r="K1050" t="n">
        <v>0</v>
      </c>
      <c r="L1050" t="n">
        <v>0</v>
      </c>
      <c r="M1050" t="n">
        <v>0</v>
      </c>
      <c r="N1050" t="inlineStr">
        <is>
          <t>Insecurity</t>
        </is>
      </c>
      <c r="O1050" t="inlineStr"/>
      <c r="P1050" t="inlineStr">
        <is>
          <t>BSS</t>
        </is>
      </c>
      <c r="Q1050" t="inlineStr">
        <is>
          <t>RAN ISSUE</t>
        </is>
      </c>
      <c r="R1050" t="inlineStr">
        <is>
          <t>BSS Hardware issue</t>
        </is>
      </c>
      <c r="S1050" t="inlineStr">
        <is>
          <t>ACTIVE</t>
        </is>
      </c>
      <c r="T1050" t="inlineStr">
        <is>
          <t xml:space="preserve">26/03/2026 : Travaux equipe projet en cours || ETA :  Ce jour 
25/03/2026 : check FRGU needed ….26/03/2026 : Travaux equipe projet en cours || ETA :  Ce jour 
25/03/2026 : check FRGU needed ….26/03/2026 : Travaux equipe projet en cours || ETA :  Ce jour 
25/03/2026 : check FRGU needed ….26/03/2026 : Travaux equipe projet en cours || ETA :  Ce jour 
25/03/2026 : check FRGU needed </t>
        </is>
      </c>
      <c r="U1050" t="inlineStr">
        <is>
          <t>26/03/2026 : Travaux equipe projet en cours || ETA : Ce jour 25/03/2026 : check FRGU needed ….26/03/2026 : Travaux equipe projet en cours || ETA : Ce jour 25/03/2026 : check FRGU needed ….26/03/2026 : Travaux equipe projet en cours || ETA : Ce jour 25/03/2026 : check FRGU needed ….26/03/2026 : Travaux equipe projet en cours || ETA : Ce jour 25/03/2026 : check FRGU needed</t>
        </is>
      </c>
    </row>
    <row r="1051">
      <c r="A1051" s="96" t="n">
        <v>46142</v>
      </c>
      <c r="B1051" t="inlineStr">
        <is>
          <t>Baligam</t>
        </is>
      </c>
      <c r="C1051" t="inlineStr">
        <is>
          <t>OST_283</t>
        </is>
      </c>
      <c r="D1051" t="inlineStr"/>
      <c r="E1051" t="inlineStr">
        <is>
          <t>ESCO</t>
        </is>
      </c>
      <c r="F1051" t="inlineStr">
        <is>
          <t>Hybrid solar - S3</t>
        </is>
      </c>
      <c r="G1051" t="inlineStr">
        <is>
          <t>OUEST</t>
        </is>
      </c>
      <c r="H1051" t="inlineStr">
        <is>
          <t>Galim</t>
        </is>
      </c>
      <c r="I1051" t="inlineStr"/>
      <c r="J1051" t="n">
        <v>0</v>
      </c>
      <c r="K1051" t="n">
        <v>0</v>
      </c>
      <c r="L1051" t="n">
        <v>0</v>
      </c>
      <c r="M1051" t="n">
        <v>0</v>
      </c>
      <c r="N1051" t="inlineStr">
        <is>
          <t>Insecurity</t>
        </is>
      </c>
      <c r="O1051" t="inlineStr"/>
      <c r="P1051" t="inlineStr">
        <is>
          <t>AKTIVCO</t>
        </is>
      </c>
      <c r="Q1051" t="inlineStr">
        <is>
          <t>POWER ISSUE</t>
        </is>
      </c>
      <c r="R1051" t="inlineStr">
        <is>
          <t>AKTIVCO Defaut GE &amp; Power Cabinet</t>
        </is>
      </c>
      <c r="S1051" t="inlineStr">
        <is>
          <t>PASSIVE</t>
        </is>
      </c>
      <c r="T1051" t="inlineStr">
        <is>
          <t>29.03.2026: RM informed and managing to send FME on the site. Note that the site is located under red area
29.03.2026: Power Issue solved but site still down. Need FME on the site to check MPR status as it's not supervised
27/03/2026 FME a pris le point et manage, ETA en attente….30.03.2026: red area negociation escort ongoing
29.03.2026: RM informed and managing to send FME on the site. Note that the site is located under red area
29.03.2026: Power Issue solved but site still down. Need FME on the site to check MPR status as it's not supervised
27/03/2026 FME a pris le point et manage, ETA en attente….29.03.2026: RM informed and managing to send FME on the site. Note that the site is located under red area
29.03.2026: Power Issue solved but site still down. Need FME on the site to check MPR status as it's not supervised
27/03/2026 FME a pris le point et manage, ETA en attente</t>
        </is>
      </c>
      <c r="U1051" t="inlineStr">
        <is>
          <t>29.03.2026 : RM informed and managing to send FME on the site. Note that the site is located under red area 29.03.2026 : Power Issue solved but site still down. Need FME on the site to check MPR status as it's not supervised 27/03/2026 FME a pris le point et manage, ETA en attente….30.03.2026 : red area negociation escort ongoing 29.03.2026 : RM informed and managing to send FME on the site. Note that the site is located under red area 29.03.2026 : Power Issue solved but site still down. Need FME on the site to check MPR status as it's not supervised 27/03/2026 FME a pris le point et manage, ETA en attente….29.03.2026 : RM informed and managing to send FME on the site. Note that the site is located under red area 29.03.2026 : Power Issue solved but site still down. Need FME on the site to check MPR status as it's not supervised 27/03/2026 FME a pris le point et manage, ETA en attente</t>
        </is>
      </c>
    </row>
    <row r="1052">
      <c r="A1052" s="96" t="n">
        <v>46142</v>
      </c>
      <c r="B1052" t="inlineStr">
        <is>
          <t>Ekata-IHS</t>
        </is>
      </c>
      <c r="C1052" t="inlineStr">
        <is>
          <t>SUO_266</t>
        </is>
      </c>
      <c r="D1052" t="inlineStr"/>
      <c r="E1052" t="inlineStr"/>
      <c r="F1052" t="inlineStr"/>
      <c r="G1052" t="inlineStr">
        <is>
          <t>SUD-OUEST</t>
        </is>
      </c>
      <c r="H1052" t="inlineStr">
        <is>
          <t>Bavenga</t>
        </is>
      </c>
      <c r="I1052" t="inlineStr"/>
      <c r="J1052" t="n">
        <v>0</v>
      </c>
      <c r="K1052" t="n">
        <v>0</v>
      </c>
      <c r="L1052" t="n">
        <v>0</v>
      </c>
      <c r="M1052" t="n">
        <v>0</v>
      </c>
      <c r="N1052" t="inlineStr">
        <is>
          <t>Insecurity</t>
        </is>
      </c>
      <c r="O1052" t="inlineStr"/>
      <c r="P1052" t="inlineStr">
        <is>
          <t>ACCESS-ISSUE</t>
        </is>
      </c>
      <c r="Q1052" t="inlineStr">
        <is>
          <t>ACCESS-ISSUE</t>
        </is>
      </c>
      <c r="R1052" t="inlineStr">
        <is>
          <t>ACCESS-ISSUE</t>
        </is>
      </c>
      <c r="S1052" t="inlineStr">
        <is>
          <t>ACCESS-ISSUE</t>
        </is>
      </c>
      <c r="T1052" t="inlineStr">
        <is>
          <t xml:space="preserve">30/03/2026 IHS:  ACCESS DENIED BY LOCAL BOYS. Escalade L3 IHS 
29.03.2026 IHS: FME Gerald is unreachable; IENG Ibrahim is managing. Escalade L2 IHS ….30/03/2026 IHS:  ACCESS DENIED BY LOCAL BOYS. Escalade L3 IHS 
29.03.2026 IHS: FME Gerald is unreachable; IENG Ibrahim is managing. Escalade L2 IHS ….30/03/2026 IHS:  ACCESS DENIED BY LOCAL BOYS. Escalade L3 IHS 
29.03.2026 IHS: FME Gerald is unreachable; IENG Ibrahim is managing. Escalade L2 IHS </t>
        </is>
      </c>
      <c r="U1052" t="inlineStr">
        <is>
          <t>30/03/2026 IHS : ACCESS DENIED BY LOCAL BOYS. Escalade L3 IHS 29.03.2026 IHS : FME Gerald is unreachable; IENG Ibrahim is managing. Escalade L2 IHS ….30/03/2026 IHS : ACCESS DENIED BY LOCAL BOYS. Escalade L3 IHS 29.03.2026 IHS : FME Gerald is unreachable; IENG Ibrahim is managing. Escalade L2 IHS ….30/03/2026 IHS : ACCESS DENIED BY LOCAL BOYS. Escalade L3 IHS 29.03.2026 IHS : FME Gerald is unreachable; IENG Ibrahim is managing. Escalade L2 IHS</t>
        </is>
      </c>
    </row>
    <row r="1053">
      <c r="A1053" s="96" t="n">
        <v>46142</v>
      </c>
      <c r="B1053" t="inlineStr">
        <is>
          <t>Mankon-II</t>
        </is>
      </c>
      <c r="C1053" t="inlineStr">
        <is>
          <t>NRO_141</t>
        </is>
      </c>
      <c r="D1053" t="inlineStr"/>
      <c r="E1053" t="inlineStr">
        <is>
          <t>CAMUSAT</t>
        </is>
      </c>
      <c r="F1053" t="inlineStr"/>
      <c r="G1053" t="inlineStr">
        <is>
          <t>NORD-OUEST</t>
        </is>
      </c>
      <c r="H1053" t="inlineStr">
        <is>
          <t>Bamenda</t>
        </is>
      </c>
      <c r="I1053" t="inlineStr"/>
      <c r="J1053" t="n">
        <v>0</v>
      </c>
      <c r="K1053" t="n">
        <v>0</v>
      </c>
      <c r="L1053" t="n">
        <v>0</v>
      </c>
      <c r="M1053" t="n">
        <v>0</v>
      </c>
      <c r="N1053" t="inlineStr">
        <is>
          <t>Operationnel</t>
        </is>
      </c>
      <c r="O1053" t="inlineStr"/>
      <c r="P1053" t="inlineStr">
        <is>
          <t>ACCESS-ISSUE</t>
        </is>
      </c>
      <c r="Q1053" t="inlineStr">
        <is>
          <t>ACCESS-ISSUE</t>
        </is>
      </c>
      <c r="R1053" t="inlineStr">
        <is>
          <t>ACCESS-ISSUE</t>
        </is>
      </c>
      <c r="S1053" t="inlineStr">
        <is>
          <t>ACCESS-ISSUE</t>
        </is>
      </c>
      <c r="T1053" t="inlineStr">
        <is>
          <t>30/03/2026 ghost town / technician will be on site tomorrown….Power status check ongoing</t>
        </is>
      </c>
      <c r="U1053" t="inlineStr">
        <is>
          <t>30/03/2026 ghost town / technician will be on site tomorrown….Power status check ongoing</t>
        </is>
      </c>
    </row>
    <row r="1054">
      <c r="A1054" s="96" t="n">
        <v>46142</v>
      </c>
      <c r="B1054" t="inlineStr">
        <is>
          <t>Mendji-IHS</t>
        </is>
      </c>
      <c r="C1054" t="inlineStr">
        <is>
          <t>NRO_087</t>
        </is>
      </c>
      <c r="D1054" t="inlineStr"/>
      <c r="E1054" t="inlineStr">
        <is>
          <t>IHS</t>
        </is>
      </c>
      <c r="F1054" t="inlineStr">
        <is>
          <t>Hybrid-Gen</t>
        </is>
      </c>
      <c r="G1054" t="inlineStr">
        <is>
          <t>NORD-OUEST</t>
        </is>
      </c>
      <c r="H1054" t="inlineStr">
        <is>
          <t>Mendji</t>
        </is>
      </c>
      <c r="I1054" t="inlineStr"/>
      <c r="J1054" t="n">
        <v>0</v>
      </c>
      <c r="K1054" t="n">
        <v>0</v>
      </c>
      <c r="L1054" t="n">
        <v>0</v>
      </c>
      <c r="M1054" t="n">
        <v>0</v>
      </c>
      <c r="N1054" t="inlineStr">
        <is>
          <t>Insecurity</t>
        </is>
      </c>
      <c r="O1054" t="inlineStr"/>
      <c r="P1054" t="inlineStr">
        <is>
          <t>ACCESS-ISSUE</t>
        </is>
      </c>
      <c r="Q1054" t="inlineStr">
        <is>
          <t>ACCESS-ISSUE</t>
        </is>
      </c>
      <c r="R1054" t="inlineStr">
        <is>
          <t>ACCESS-ISSUE</t>
        </is>
      </c>
      <c r="S1054" t="inlineStr">
        <is>
          <t>ACCESS-ISSUE</t>
        </is>
      </c>
      <c r="T1054" t="inlineStr">
        <is>
          <t xml:space="preserve">
30/03/2026 :Ghost town
28/03/2026 : Probleme d'access
27/03/2026  : Access not granted for now we keep trying
26/03/2026 : Check breaker and  interconnection(sfp, optical fiber) between system and radio module, swap its if needed || || Pas d'access, et de visisbilite ….
30/03/2026 :Ghost town
28/03/2026 : Probleme d'access
27/03/2026  : Access not granted for now we keep trying
26/03/2026 : Check breaker and  interconnection(sfp, optical fiber) between system and radio module, swap its if needed || Pas d'access, et de visisbilite ….
30/03/2026 :Ghost town
28/03/2026 : Probleme d'access
27/03/2026  : Access not granted for now we keep trying
26/03/2026 : Check breaker and  interconnection(sfp, optical fiber) between system and radio module, swap its if needed || || Pas d'access, et de visisbilite ….
30/03/2026 :Ghost town
28/03/2026 : Probleme d'access
27/03/2026  : Access not granted for now we keep trying
26/03/2026 : Check breaker and  interconnection(sfp, optical fiber) between system and radio module, swap its if needed || || Pas d'access, et de visisbilite </t>
        </is>
      </c>
      <c r="U1054" t="inlineStr">
        <is>
          <t>30/03/2026 : Ghost town 28/03/2026 : Probleme d'access 27/03/2026 : Access not granted for now we keep trying 26/03/2026 : Check breaker and interconnection(sfp, optical fiber) between system and radio module, swap its if needed || Pas d'access, et de visisbilite …. 30/03/2026 : Ghost town 28/03/2026 : Probleme d'access 27/03/2026 : Access not granted for now we keep trying 26/03/2026 : Check breaker and interconnection(sfp, optical fiber) between system and radio module, swap its if needed || Pas d'access, et de visisbilite …. 30/03/2026 : Ghost town 28/03/2026 : Probleme d'access 27/03/2026 : Access not granted for now we keep trying 26/03/2026 : Check breaker and interconnection(sfp, optical fiber) between system and radio module, swap its if needed || Pas d'access, et de visisbilite …. 30/03/2026 : Ghost town 28/03/2026 : Probleme d'access 27/03/2026 : Access not granted for now we keep trying 26/03/2026 : Check breaker and interconnection(sfp, optical fiber) between system and radio module, swap its if needed || Pas d'access, et de visisbilite</t>
        </is>
      </c>
    </row>
    <row r="1055">
      <c r="A1055" s="96" t="n">
        <v>46142</v>
      </c>
      <c r="B1055" t="inlineStr">
        <is>
          <t>SONGKOLONG-IHS</t>
        </is>
      </c>
      <c r="C1055" t="inlineStr">
        <is>
          <t>NRO_094</t>
        </is>
      </c>
      <c r="D1055" t="inlineStr"/>
      <c r="E1055" t="inlineStr">
        <is>
          <t>IHS</t>
        </is>
      </c>
      <c r="F1055" t="inlineStr">
        <is>
          <t>Gen Only</t>
        </is>
      </c>
      <c r="G1055" t="inlineStr">
        <is>
          <t>NORD-OUEST</t>
        </is>
      </c>
      <c r="H1055" t="inlineStr">
        <is>
          <t>Songkolong</t>
        </is>
      </c>
      <c r="I1055" t="inlineStr"/>
      <c r="J1055" t="n">
        <v>0</v>
      </c>
      <c r="K1055" t="n">
        <v>0</v>
      </c>
      <c r="L1055" t="n">
        <v>0</v>
      </c>
      <c r="M1055" t="n">
        <v>0</v>
      </c>
      <c r="N1055" t="inlineStr">
        <is>
          <t>Insecurity</t>
        </is>
      </c>
      <c r="O1055" t="inlineStr"/>
      <c r="P1055" t="inlineStr">
        <is>
          <t>PDH</t>
        </is>
      </c>
      <c r="Q1055" t="inlineStr">
        <is>
          <t>TX ISSUE</t>
        </is>
      </c>
      <c r="R1055" t="inlineStr">
        <is>
          <t>MPR issue</t>
        </is>
      </c>
      <c r="S1055" t="inlineStr">
        <is>
          <t>ACTIVE</t>
        </is>
      </c>
      <c r="T1055" t="inlineStr">
        <is>
          <t>INC-20260330-00005702.,,Others Transmission equipement fault</t>
        </is>
      </c>
      <c r="U1055" t="inlineStr"/>
    </row>
    <row r="1056">
      <c r="A1056" s="96" t="n">
        <v>46142</v>
      </c>
      <c r="B1056" t="inlineStr">
        <is>
          <t>ADM_098_N_Maakola-MTN-IHS</t>
        </is>
      </c>
      <c r="C1056" t="inlineStr">
        <is>
          <t>ADM_098</t>
        </is>
      </c>
      <c r="D1056" t="inlineStr"/>
      <c r="E1056" t="inlineStr">
        <is>
          <t>IHS</t>
        </is>
      </c>
      <c r="F1056" t="inlineStr">
        <is>
          <t>Solar-Gen</t>
        </is>
      </c>
      <c r="G1056" t="inlineStr">
        <is>
          <t>ADAMAOUA</t>
        </is>
      </c>
      <c r="H1056" t="inlineStr">
        <is>
          <t>Maakola</t>
        </is>
      </c>
      <c r="I1056" t="inlineStr"/>
      <c r="J1056" t="n">
        <v>0</v>
      </c>
      <c r="K1056" t="n">
        <v>0</v>
      </c>
      <c r="L1056" t="n">
        <v>0</v>
      </c>
      <c r="M1056" t="n">
        <v>0</v>
      </c>
      <c r="N1056" t="inlineStr">
        <is>
          <t>Operationnel</t>
        </is>
      </c>
      <c r="O1056" t="inlineStr"/>
      <c r="P1056" t="inlineStr">
        <is>
          <t>PDH</t>
        </is>
      </c>
      <c r="Q1056" t="inlineStr">
        <is>
          <t>TX ISSUE</t>
        </is>
      </c>
      <c r="R1056" t="inlineStr">
        <is>
          <t>MPR issue</t>
        </is>
      </c>
      <c r="S1056" t="inlineStr">
        <is>
          <t>ACTIVE</t>
        </is>
      </c>
      <c r="T1056" t="inlineStr">
        <is>
          <t>INC-20260330-00005664.,,Others Transmission equipement fault</t>
        </is>
      </c>
      <c r="U1056" t="inlineStr"/>
    </row>
    <row r="1057">
      <c r="A1057" s="96" t="n">
        <v>46142</v>
      </c>
      <c r="B1057" t="inlineStr">
        <is>
          <t>Djottin</t>
        </is>
      </c>
      <c r="C1057" t="inlineStr">
        <is>
          <t>NRO_098</t>
        </is>
      </c>
      <c r="D1057" t="inlineStr"/>
      <c r="E1057" t="inlineStr">
        <is>
          <t>IHS</t>
        </is>
      </c>
      <c r="F1057" t="inlineStr">
        <is>
          <t>Gen Only</t>
        </is>
      </c>
      <c r="G1057" t="inlineStr">
        <is>
          <t>NORD-OUEST</t>
        </is>
      </c>
      <c r="H1057" t="inlineStr">
        <is>
          <t>Djottin</t>
        </is>
      </c>
      <c r="I1057" t="inlineStr"/>
      <c r="J1057" t="n">
        <v>0</v>
      </c>
      <c r="K1057" t="n">
        <v>0</v>
      </c>
      <c r="L1057" t="n">
        <v>0</v>
      </c>
      <c r="M1057" t="n">
        <v>0</v>
      </c>
      <c r="N1057" t="inlineStr">
        <is>
          <t>Insecurity</t>
        </is>
      </c>
      <c r="O1057" t="inlineStr"/>
      <c r="P1057" t="inlineStr">
        <is>
          <t>BSS</t>
        </is>
      </c>
      <c r="Q1057" t="inlineStr">
        <is>
          <t>RAN ISSUE</t>
        </is>
      </c>
      <c r="R1057" t="inlineStr">
        <is>
          <t>BSS Hardware issue</t>
        </is>
      </c>
      <c r="S1057" t="inlineStr">
        <is>
          <t>ACTIVE</t>
        </is>
      </c>
      <c r="T1057" t="inlineStr">
        <is>
          <t xml:space="preserve">30/03/2026 : need BO RAN analysis || Check and replace FBBC module if needed || Ghost town ….30/03/2026 : need BO RAN analysis || Check and replace FBBC module if needed || Ghost town ….30/03/2026 : need BO RAN analysis || Check and replace FBBC module if needed || Ghost town ….30/03/2026 : need BO RAN analysis || Check and replace FBBC module if needed || Ghost town </t>
        </is>
      </c>
      <c r="U1057" t="inlineStr">
        <is>
          <t>30/03/2026 : need BO RAN analysis || Check and replace FBBC module if needed || Ghost town ….30/03/2026 : need BO RAN analysis || Check and replace FBBC module if needed || Ghost town ….30/03/2026 : need BO RAN analysis || Check and replace FBBC module if needed || Ghost town ….30/03/2026 : need BO RAN analysis || Check and replace FBBC module if needed || Ghost town</t>
        </is>
      </c>
    </row>
    <row r="1058">
      <c r="A1058" s="96" t="n">
        <v>46142</v>
      </c>
      <c r="B1058" t="inlineStr">
        <is>
          <t>Zoetele</t>
        </is>
      </c>
      <c r="C1058" t="inlineStr">
        <is>
          <t>CTR_111</t>
        </is>
      </c>
      <c r="D1058" t="inlineStr"/>
      <c r="E1058" t="inlineStr">
        <is>
          <t>IHS</t>
        </is>
      </c>
      <c r="F1058" t="inlineStr">
        <is>
          <t>Grid-Gen</t>
        </is>
      </c>
      <c r="G1058" t="inlineStr">
        <is>
          <t>CENTRE</t>
        </is>
      </c>
      <c r="H1058" t="inlineStr">
        <is>
          <t>Zoetele</t>
        </is>
      </c>
      <c r="I1058" t="inlineStr"/>
      <c r="J1058" t="n">
        <v>0</v>
      </c>
      <c r="K1058" t="n">
        <v>0</v>
      </c>
      <c r="L1058" t="n">
        <v>0</v>
      </c>
      <c r="M1058" t="n">
        <v>0</v>
      </c>
      <c r="N1058" t="inlineStr">
        <is>
          <t>Operationnel</t>
        </is>
      </c>
      <c r="O1058" t="inlineStr"/>
      <c r="P1058" t="inlineStr">
        <is>
          <t>IHS</t>
        </is>
      </c>
      <c r="Q1058" t="inlineStr">
        <is>
          <t>POWER ISSUE</t>
        </is>
      </c>
      <c r="R1058" t="inlineStr">
        <is>
          <t>Defaut GE &amp; Power Cabinet</t>
        </is>
      </c>
      <c r="S1058" t="inlineStr">
        <is>
          <t>PASSIVE</t>
        </is>
      </c>
      <c r="T1058" t="inlineStr">
        <is>
          <t>site down….site down….site down….Power status check ongoing….INC-20260330-00009069.,,2026-03-30 14:43:06.,,Power issue sur le site, le site est remonté après une intervention de la ressource IHS ..,,Others Transmission equipement fault</t>
        </is>
      </c>
      <c r="U1058" t="inlineStr">
        <is>
          <t>site down….site down….site down….Power status check ongoing….,,2026-03-30 14 : 43 : 06.,,Power issue sur le site, le site est remonté après une intervention de la ressource IHS .,,</t>
        </is>
      </c>
    </row>
    <row r="1059">
      <c r="A1059" s="96" t="n">
        <v>46142</v>
      </c>
      <c r="B1059" t="inlineStr">
        <is>
          <t>Endom</t>
        </is>
      </c>
      <c r="C1059" t="inlineStr">
        <is>
          <t>CTR_225</t>
        </is>
      </c>
      <c r="D1059" t="inlineStr"/>
      <c r="E1059" t="inlineStr">
        <is>
          <t>IHS</t>
        </is>
      </c>
      <c r="F1059" t="inlineStr">
        <is>
          <t>Grid-Hybrid-Gen</t>
        </is>
      </c>
      <c r="G1059" t="inlineStr">
        <is>
          <t>CENTRE</t>
        </is>
      </c>
      <c r="H1059" t="inlineStr">
        <is>
          <t>Endom</t>
        </is>
      </c>
      <c r="I1059" t="inlineStr"/>
      <c r="J1059" t="n">
        <v>0</v>
      </c>
      <c r="K1059" t="n">
        <v>0</v>
      </c>
      <c r="L1059" t="n">
        <v>0</v>
      </c>
      <c r="M1059" t="n">
        <v>0</v>
      </c>
      <c r="N1059" t="inlineStr">
        <is>
          <t>Operationnel</t>
        </is>
      </c>
      <c r="O1059" t="inlineStr"/>
      <c r="P1059" t="inlineStr">
        <is>
          <t>PDH</t>
        </is>
      </c>
      <c r="Q1059" t="inlineStr">
        <is>
          <t>TX ISSUE</t>
        </is>
      </c>
      <c r="R1059" t="inlineStr">
        <is>
          <t>MPR issue</t>
        </is>
      </c>
      <c r="S1059" t="inlineStr">
        <is>
          <t>ACTIVE</t>
        </is>
      </c>
      <c r="T1059" t="inlineStr">
        <is>
          <t>Power status check ongoing….INC-20260330-00009235.,,2026-03-30 14:57:18.,,Merci de dépêcher un FME à ENDOM pour vérifier l'environnement du site, le statut MPR et la chaine antenaire.,,Site instable depuis le début des pluies, la cause de l'indisponibilité reste inconnue, une investigation est en cours pour comprendre l'origine de l'indisponibilité..,,Others Transmission equipement fault</t>
        </is>
      </c>
      <c r="U1059" t="inlineStr">
        <is>
          <t>Power status check ongoing….,,2026-03-30 14 : 57 : 18.,,Merci de dépêcher un FME à ENDOM pour vérifier l'environnement du site, le statut MPR et la chaine antenaire.,,Site instable depuis le début des pluies, la cause de l'indisponibilité reste inconnue, une investigation est en cours pour comprendre l'origine de l'indisponibilité.,,</t>
        </is>
      </c>
    </row>
    <row r="1060">
      <c r="A1060" s="96" t="n">
        <v>46142</v>
      </c>
      <c r="B1060" t="inlineStr">
        <is>
          <t>Mamfe-Camtel</t>
        </is>
      </c>
      <c r="C1060" t="inlineStr">
        <is>
          <t>SUO_245</t>
        </is>
      </c>
      <c r="D1060" t="inlineStr"/>
      <c r="E1060" t="inlineStr"/>
      <c r="F1060" t="inlineStr"/>
      <c r="G1060" t="inlineStr">
        <is>
          <t>SUD-OUEST</t>
        </is>
      </c>
      <c r="H1060" t="inlineStr">
        <is>
          <t>Mamfe</t>
        </is>
      </c>
      <c r="I1060" t="inlineStr"/>
      <c r="J1060" t="n">
        <v>0</v>
      </c>
      <c r="K1060" t="n">
        <v>0</v>
      </c>
      <c r="L1060" t="n">
        <v>0</v>
      </c>
      <c r="M1060" t="n">
        <v>0</v>
      </c>
      <c r="N1060" t="inlineStr">
        <is>
          <t>Insecurity</t>
        </is>
      </c>
      <c r="O1060" t="inlineStr"/>
      <c r="P1060" t="inlineStr">
        <is>
          <t>PDH</t>
        </is>
      </c>
      <c r="Q1060" t="inlineStr">
        <is>
          <t>TX ISSUE</t>
        </is>
      </c>
      <c r="R1060" t="inlineStr">
        <is>
          <t>MPR issue</t>
        </is>
      </c>
      <c r="S1060" t="inlineStr">
        <is>
          <t>ACTIVE</t>
        </is>
      </c>
      <c r="T1060" t="inlineStr">
        <is>
          <t>INC-20260330-00012922.,,Others Transmission equipement fault</t>
        </is>
      </c>
      <c r="U1060" t="inlineStr"/>
    </row>
    <row r="1061">
      <c r="A1061" s="96" t="n">
        <v>46142</v>
      </c>
      <c r="B1061" t="inlineStr">
        <is>
          <t>Obokoue-I</t>
        </is>
      </c>
      <c r="C1061" t="inlineStr">
        <is>
          <t>CTR_906</t>
        </is>
      </c>
      <c r="D1061" t="inlineStr"/>
      <c r="E1061" t="inlineStr">
        <is>
          <t>CAMUSAT</t>
        </is>
      </c>
      <c r="F1061" t="inlineStr">
        <is>
          <t>Hybrid Solar - S3</t>
        </is>
      </c>
      <c r="G1061" t="inlineStr">
        <is>
          <t>CENTRE</t>
        </is>
      </c>
      <c r="H1061" t="inlineStr">
        <is>
          <t>Mbankomo</t>
        </is>
      </c>
      <c r="I1061" t="inlineStr"/>
      <c r="J1061" t="n">
        <v>0</v>
      </c>
      <c r="K1061" t="n">
        <v>0</v>
      </c>
      <c r="L1061" t="n">
        <v>0</v>
      </c>
      <c r="M1061" t="n">
        <v>0</v>
      </c>
      <c r="N1061" t="inlineStr">
        <is>
          <t>Operationnel</t>
        </is>
      </c>
      <c r="O1061" t="inlineStr"/>
      <c r="P1061" t="inlineStr">
        <is>
          <t>AKTIVCO</t>
        </is>
      </c>
      <c r="Q1061" t="inlineStr">
        <is>
          <t>POWER ISSUE</t>
        </is>
      </c>
      <c r="R1061" t="inlineStr">
        <is>
          <t>AKTIVCO Defaut GE &amp; Power Cabinet</t>
        </is>
      </c>
      <c r="S1061" t="inlineStr">
        <is>
          <t>PASSIVE</t>
        </is>
      </c>
      <c r="T1061" t="inlineStr">
        <is>
          <t>30/03/2026 : Power issue : Mail sent to Camusat….30/03/2026 : Power issue : Mail sent to Camusat</t>
        </is>
      </c>
      <c r="U1061" t="inlineStr">
        <is>
          <t>30/03/2026 : Power issue : Mail sent to Camusat….30/03/2026 : Power issue : Mail sent to Camusat</t>
        </is>
      </c>
    </row>
    <row r="1062">
      <c r="A1062" s="96" t="n">
        <v>46142</v>
      </c>
      <c r="B1062" t="inlineStr">
        <is>
          <t>Mankouotmbou</t>
        </is>
      </c>
      <c r="C1062" t="inlineStr">
        <is>
          <t>OST_245</t>
        </is>
      </c>
      <c r="D1062" t="inlineStr"/>
      <c r="E1062" t="inlineStr">
        <is>
          <t>CAMUSAT</t>
        </is>
      </c>
      <c r="F1062" t="inlineStr">
        <is>
          <t>Hybrid Solar - S3</t>
        </is>
      </c>
      <c r="G1062" t="inlineStr">
        <is>
          <t>OUEST</t>
        </is>
      </c>
      <c r="H1062" t="inlineStr">
        <is>
          <t>Mankouotmbou</t>
        </is>
      </c>
      <c r="I1062" t="inlineStr"/>
      <c r="J1062" t="n">
        <v>0</v>
      </c>
      <c r="K1062" t="n">
        <v>0</v>
      </c>
      <c r="L1062" t="n">
        <v>0</v>
      </c>
      <c r="M1062" t="n">
        <v>0</v>
      </c>
      <c r="N1062" t="inlineStr">
        <is>
          <t>Operationnel</t>
        </is>
      </c>
      <c r="O1062" t="inlineStr"/>
      <c r="P1062" t="inlineStr">
        <is>
          <t>Fiber AOF</t>
        </is>
      </c>
      <c r="Q1062" t="inlineStr">
        <is>
          <t>TX ISSUE</t>
        </is>
      </c>
      <c r="R1062" t="inlineStr">
        <is>
          <t>fiber AOF</t>
        </is>
      </c>
      <c r="S1062" t="inlineStr">
        <is>
          <t>ACTIVE</t>
        </is>
      </c>
      <c r="T1062" t="inlineStr">
        <is>
          <t>30/03/2026 :FME active || Intervention ce jour 
29/03/2029 :  Commande de la F.O passe || ETA : Ce jour 
27/03/2026 : ETD ce jour
26/03/2026 : Apres intervention hier F.O faulty || FME active 
25/03/2026 : ETA 14h
24//03/2026 : FRGU faulty || cde en cours….30/03/2026 :FME active || Intervention ce jour 
29/03/2029 :  Commande de la F.O passe || ETA : Ce jour 
27/03/2026 : ETD ce jour
26/03/2026 : Apres intervention hier F.O faulty || FME active 
25/03/2026 : ETA 14h
24//03/2026 : FRGU faulty || cde en cours….30/03/2026 :FME active || Intervention ce jour 
29/03/2029 :  Commande de la F.O passe || ETA : Ce jour 
27/03/2026 : ETD ce jour
26/03/2026 : Apres intervention hier F.O faulty || FME active 
25/03/2026 : ETA 14h
24//03/2026 : FRGU faulty || cde en cours….30/03/2026 :FME active || Intervention ce jour 
29/03/2029 :  Commande de la F.O passe || ETA : Ce jour 
27/03/2026 : ETD ce jour
26/03/2026 : Apres intervention hier F.O faulty || FME active 
25/03/2026 : ETA 14h
24//03/2026 : FRGU faulty || cde en cours</t>
        </is>
      </c>
      <c r="U1062" t="inlineStr">
        <is>
          <t>30/03/2026 : FME active || Intervention ce jour 29/03/2029 : Commande de la F.O passe || ETA : Ce jour 27/03/2026 : ETD ce jour 26/03/2026 : Apres intervention hier F.O faulty || FME active 25/03/2026 : ETA 14h 24//03/2026 : FRGU faulty || cde en cours….30/03/2026 : FME active || Intervention ce jour 29/03/2029 : Commande de la F.O passe || ETA : Ce jour 27/03/2026 : ETD ce jour 26/03/2026 : Apres intervention hier F.O faulty || FME active 25/03/2026 : ETA 14h 24//03/2026 : FRGU faulty || cde en cours….30/03/2026 : FME active || Intervention ce jour 29/03/2029 : Commande de la F.O passe || ETA : Ce jour 27/03/2026 : ETD ce jour 26/03/2026 : Apres intervention hier F.O faulty || FME active 25/03/2026 : ETA 14h 24//03/2026 : FRGU faulty || cde en cours….30/03/2026 : FME active || Intervention ce jour 29/03/2029 : Commande de la F.O passe || ETA : Ce jour 27/03/2026 : ETD ce jour 26/03/2026 : Apres intervention hier F.O faulty || FME active 25/03/2026 : ETA 14h 24//03/2026 : FRGU faulty || cde en cours</t>
        </is>
      </c>
    </row>
    <row r="1063">
      <c r="A1063" s="96" t="n">
        <v>46142</v>
      </c>
      <c r="B1063" t="inlineStr">
        <is>
          <t>Jabane</t>
        </is>
      </c>
      <c r="C1063" t="inlineStr">
        <is>
          <t>SUO_173</t>
        </is>
      </c>
      <c r="D1063" t="inlineStr"/>
      <c r="E1063" t="inlineStr">
        <is>
          <t>CAMUSAT</t>
        </is>
      </c>
      <c r="F1063" t="inlineStr">
        <is>
          <t>Good Grid no GE - 8h</t>
        </is>
      </c>
      <c r="G1063" t="inlineStr">
        <is>
          <t>SUD-OUEST</t>
        </is>
      </c>
      <c r="H1063" t="inlineStr">
        <is>
          <t>Jabane</t>
        </is>
      </c>
      <c r="I1063" t="inlineStr"/>
      <c r="J1063" t="n">
        <v>0</v>
      </c>
      <c r="K1063" t="n">
        <v>0</v>
      </c>
      <c r="L1063" t="n">
        <v>0</v>
      </c>
      <c r="M1063" t="n">
        <v>0</v>
      </c>
      <c r="N1063" t="inlineStr">
        <is>
          <t>Operationnel</t>
        </is>
      </c>
      <c r="O1063" t="inlineStr"/>
      <c r="P1063" t="inlineStr">
        <is>
          <t>PDH</t>
        </is>
      </c>
      <c r="Q1063" t="inlineStr">
        <is>
          <t>TX ISSUE</t>
        </is>
      </c>
      <c r="R1063" t="inlineStr">
        <is>
          <t>MPR issue</t>
        </is>
      </c>
      <c r="S1063" t="inlineStr">
        <is>
          <t>ACTIVE</t>
        </is>
      </c>
      <c r="T1063" t="inlineStr">
        <is>
          <t>29/03/2026 : need BO RAN analysis || 3G and 4G cells down =&gt; Transmission investigation needed….29/03/2026 : need BO RAN analysis || 3G and 4G cells down =&gt; Transmission investigation needed</t>
        </is>
      </c>
      <c r="U1063" t="inlineStr">
        <is>
          <t>29/03/2026 : need BO RAN analysis || 3G and 4G cells down =&gt; Transmission investigation needed….29/03/2026 : need BO RAN analysis || 3G and 4G cells down =&gt; Transmission investigation needed</t>
        </is>
      </c>
    </row>
    <row r="1064">
      <c r="A1064" s="96" t="n">
        <v>46142</v>
      </c>
      <c r="B1064" t="inlineStr">
        <is>
          <t>Kembong</t>
        </is>
      </c>
      <c r="C1064" t="inlineStr">
        <is>
          <t>NRO_026</t>
        </is>
      </c>
      <c r="D1064" t="inlineStr"/>
      <c r="E1064" t="inlineStr">
        <is>
          <t>IHS</t>
        </is>
      </c>
      <c r="F1064" t="inlineStr">
        <is>
          <t>Grid-Gen</t>
        </is>
      </c>
      <c r="G1064" t="inlineStr">
        <is>
          <t>NORD-OUEST</t>
        </is>
      </c>
      <c r="H1064" t="inlineStr">
        <is>
          <t>Kembong</t>
        </is>
      </c>
      <c r="I1064" t="inlineStr"/>
      <c r="J1064" t="n">
        <v>0</v>
      </c>
      <c r="K1064" t="n">
        <v>0</v>
      </c>
      <c r="L1064" t="n">
        <v>0</v>
      </c>
      <c r="M1064" t="n">
        <v>0</v>
      </c>
      <c r="N1064" t="inlineStr">
        <is>
          <t>Insecurity</t>
        </is>
      </c>
      <c r="O1064" t="inlineStr"/>
      <c r="P1064" t="inlineStr">
        <is>
          <t>BSS</t>
        </is>
      </c>
      <c r="Q1064" t="inlineStr">
        <is>
          <t>RAN ISSUE</t>
        </is>
      </c>
      <c r="R1064" t="inlineStr">
        <is>
          <t>BSS Hardware issue</t>
        </is>
      </c>
      <c r="S1064" t="inlineStr">
        <is>
          <t>ACTIVE</t>
        </is>
      </c>
      <c r="T1064" t="inlineStr">
        <is>
          <t>30/03/2026 : Check and clean jumper  on  FXDB antenna port 5  and ARGA antenna port 1 ||Ghost town….30/03/2026 : Check and clean jumper  on  FXDB antenna port 5  and ARGA antenna port 1 ||Ghost town….30/03/2026 : Check and clean jumper  on  FXDB antenna port 5  and ARGA antenna port 1 ||Ghost town….30/03/2026 : Check and clean jumper  on  FXDB antenna port 5  and ARGA antenna port 1 ||Ghost town</t>
        </is>
      </c>
      <c r="U1064" t="inlineStr">
        <is>
          <t>30/03/2026 : Check and clean jumper on FXDB antenna port 5 and ARGA antenna port 1 || Ghost town….30/03/2026 : Check and clean jumper on FXDB antenna port 5 and ARGA antenna port 1 || Ghost town….30/03/2026 : Check and clean jumper on FXDB antenna port 5 and ARGA antenna port 1 || Ghost town….30/03/2026 : Check and clean jumper on FXDB antenna port 5 and ARGA antenna port 1 || Ghost town</t>
        </is>
      </c>
    </row>
    <row r="1065">
      <c r="A1065" s="96" t="n">
        <v>46142</v>
      </c>
      <c r="B1065" t="inlineStr">
        <is>
          <t>Nkolmeyang-IHS</t>
        </is>
      </c>
      <c r="C1065" t="inlineStr">
        <is>
          <t>CTR_442</t>
        </is>
      </c>
      <c r="D1065" t="inlineStr"/>
      <c r="E1065" t="inlineStr">
        <is>
          <t>IHS</t>
        </is>
      </c>
      <c r="F1065" t="inlineStr">
        <is>
          <t>Grid-Gen</t>
        </is>
      </c>
      <c r="G1065" t="inlineStr">
        <is>
          <t>CENTRE</t>
        </is>
      </c>
      <c r="H1065" t="inlineStr">
        <is>
          <t>Nkolmeyang</t>
        </is>
      </c>
      <c r="I1065" t="inlineStr"/>
      <c r="J1065" t="n">
        <v>0</v>
      </c>
      <c r="K1065" t="n">
        <v>0</v>
      </c>
      <c r="L1065" t="n">
        <v>0</v>
      </c>
      <c r="M1065" t="n">
        <v>0</v>
      </c>
      <c r="N1065" t="inlineStr">
        <is>
          <t>Operationnel</t>
        </is>
      </c>
      <c r="O1065" t="inlineStr"/>
      <c r="P1065" t="inlineStr">
        <is>
          <t>PDH</t>
        </is>
      </c>
      <c r="Q1065" t="inlineStr">
        <is>
          <t>TX ISSUE</t>
        </is>
      </c>
      <c r="R1065" t="inlineStr">
        <is>
          <t>MPR issue</t>
        </is>
      </c>
      <c r="S1065" t="inlineStr">
        <is>
          <t>ACTIVE</t>
        </is>
      </c>
      <c r="T1065" t="inlineStr">
        <is>
          <t>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t>
        </is>
      </c>
      <c r="U1065" t="inlineStr">
        <is>
          <t>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t>
        </is>
      </c>
    </row>
    <row r="1066">
      <c r="A1066" s="96" t="n">
        <v>46142</v>
      </c>
      <c r="B1066" t="inlineStr">
        <is>
          <t>NRO_147_H_Bambili-Campus-two-IHS</t>
        </is>
      </c>
      <c r="C1066" t="inlineStr">
        <is>
          <t>NRO_147</t>
        </is>
      </c>
      <c r="D1066" t="inlineStr"/>
      <c r="E1066" t="inlineStr">
        <is>
          <t>IHS</t>
        </is>
      </c>
      <c r="F1066" t="inlineStr">
        <is>
          <t>Hybrid Gen</t>
        </is>
      </c>
      <c r="G1066" t="inlineStr">
        <is>
          <t>NRO</t>
        </is>
      </c>
      <c r="H1066" t="inlineStr">
        <is>
          <t>Tubah</t>
        </is>
      </c>
      <c r="I1066" t="inlineStr"/>
      <c r="J1066" t="n">
        <v>0</v>
      </c>
      <c r="K1066" t="n">
        <v>0</v>
      </c>
      <c r="L1066" t="n">
        <v>0</v>
      </c>
      <c r="M1066" t="n">
        <v>0</v>
      </c>
      <c r="N1066" t="inlineStr"/>
      <c r="O1066" t="inlineStr"/>
      <c r="P1066" t="inlineStr">
        <is>
          <t>IHS</t>
        </is>
      </c>
      <c r="Q1066" t="inlineStr">
        <is>
          <t>POWER ISSUE</t>
        </is>
      </c>
      <c r="R1066" t="inlineStr">
        <is>
          <t>Defaut GE &amp; Power Cabinet</t>
        </is>
      </c>
      <c r="S1066" t="inlineStr">
        <is>
          <t>PASSIVE</t>
        </is>
      </c>
      <c r="T1066" t="inlineStr">
        <is>
          <t>INC-20260330-00015914.,,2026-03-31 02:40:11.,,FME is managing with the level zero Insecurity area.,,Auto TT closure RCA.,,GE Fault</t>
        </is>
      </c>
      <c r="U1066" t="inlineStr">
        <is>
          <t>2026-03-31 02 : 40 : 11.,,FME is managing with the level zero Insecurity area.,,Auto TT closure RCA.,,GE Fault</t>
        </is>
      </c>
    </row>
    <row r="1067">
      <c r="A1067" s="96" t="n">
        <v>46142</v>
      </c>
      <c r="B1067" t="inlineStr">
        <is>
          <t>Bberi-Abattoir</t>
        </is>
      </c>
      <c r="C1067" t="inlineStr">
        <is>
          <t>LIT_346</t>
        </is>
      </c>
      <c r="D1067" t="inlineStr"/>
      <c r="E1067" t="inlineStr">
        <is>
          <t>IHS</t>
        </is>
      </c>
      <c r="F1067" t="inlineStr">
        <is>
          <t>Grid-Gen</t>
        </is>
      </c>
      <c r="G1067" t="inlineStr">
        <is>
          <t>LITTORAL</t>
        </is>
      </c>
      <c r="H1067" t="inlineStr">
        <is>
          <t>Douala</t>
        </is>
      </c>
      <c r="I1067" t="inlineStr"/>
      <c r="J1067" t="n">
        <v>0</v>
      </c>
      <c r="K1067" t="n">
        <v>0</v>
      </c>
      <c r="L1067" t="n">
        <v>0</v>
      </c>
      <c r="M1067" t="n">
        <v>0</v>
      </c>
      <c r="N1067" t="inlineStr">
        <is>
          <t>Insecurity</t>
        </is>
      </c>
      <c r="O1067" t="inlineStr"/>
      <c r="P1067" t="inlineStr">
        <is>
          <t>IHS</t>
        </is>
      </c>
      <c r="Q1067" t="inlineStr">
        <is>
          <t>POWER ISSUE</t>
        </is>
      </c>
      <c r="R1067" t="inlineStr">
        <is>
          <t>Defaut GE &amp; Power Cabinet</t>
        </is>
      </c>
      <c r="S1067" t="inlineStr">
        <is>
          <t>PASSIVE</t>
        </is>
      </c>
      <c r="T1067" t="inlineStr">
        <is>
          <t xml:space="preserve">INC-20260330-00011474.,,2026-03-30 23:47:13.,,Zone insécurisé, le FME se rendra sur site a la première heure le matin.,,Power issue 
Équipe Camusat suit le point </t>
        </is>
      </c>
      <c r="U1067" t="inlineStr">
        <is>
          <t>2026-03-30 23 : 47 : 13.,,Zone insécurisé, le FME se rendra sur site a la première heure le matin.,,Power issue Équipe Camusat suit le point</t>
        </is>
      </c>
    </row>
    <row r="1068">
      <c r="A1068" s="96" t="n">
        <v>46142</v>
      </c>
      <c r="B1068" t="inlineStr">
        <is>
          <t>Kosseoua</t>
        </is>
      </c>
      <c r="C1068" t="inlineStr">
        <is>
          <t>EXN_244</t>
        </is>
      </c>
      <c r="D1068" t="inlineStr"/>
      <c r="E1068" t="inlineStr">
        <is>
          <t>CAMUSAT</t>
        </is>
      </c>
      <c r="F1068" t="inlineStr">
        <is>
          <t>HGB</t>
        </is>
      </c>
      <c r="G1068" t="inlineStr">
        <is>
          <t>EXTREME-NORD</t>
        </is>
      </c>
      <c r="H1068" t="inlineStr">
        <is>
          <t>Kosseoua</t>
        </is>
      </c>
      <c r="I1068" t="inlineStr"/>
      <c r="J1068" t="n">
        <v>0</v>
      </c>
      <c r="K1068" t="n">
        <v>0</v>
      </c>
      <c r="L1068" t="n">
        <v>0</v>
      </c>
      <c r="M1068" t="n">
        <v>0</v>
      </c>
      <c r="N1068" t="inlineStr">
        <is>
          <t>Insecurity</t>
        </is>
      </c>
      <c r="O1068" t="inlineStr"/>
      <c r="P1068" t="inlineStr">
        <is>
          <t>AKTIVCO</t>
        </is>
      </c>
      <c r="Q1068" t="inlineStr">
        <is>
          <t>POWER ISSUE</t>
        </is>
      </c>
      <c r="R1068" t="inlineStr">
        <is>
          <t>AKTIVCO Defaut GE &amp; Power Cabinet</t>
        </is>
      </c>
      <c r="S1068" t="inlineStr">
        <is>
          <t>PASSIVE</t>
        </is>
      </c>
      <c r="T1068" t="inlineStr">
        <is>
          <t>30/03/2026 : Power issue ||Camusat sent to HIS</t>
        </is>
      </c>
      <c r="U1068" t="inlineStr">
        <is>
          <t>30/03/2026 : Power issue || Camusat sent to HIS</t>
        </is>
      </c>
    </row>
    <row r="1069">
      <c r="A1069" s="96" t="n">
        <v>46142</v>
      </c>
      <c r="B1069" t="inlineStr">
        <is>
          <t>Meidjamba-MTN</t>
        </is>
      </c>
      <c r="C1069" t="inlineStr">
        <is>
          <t>ADM_054</t>
        </is>
      </c>
      <c r="D1069" t="inlineStr"/>
      <c r="E1069" t="inlineStr">
        <is>
          <t>IHS</t>
        </is>
      </c>
      <c r="F1069" t="inlineStr">
        <is>
          <t>Hybrid-Gen</t>
        </is>
      </c>
      <c r="G1069" t="inlineStr">
        <is>
          <t>ADAMAOUA</t>
        </is>
      </c>
      <c r="H1069" t="inlineStr">
        <is>
          <t>Meidjamba</t>
        </is>
      </c>
      <c r="I1069" t="inlineStr"/>
      <c r="J1069" t="n">
        <v>0</v>
      </c>
      <c r="K1069" t="n">
        <v>0</v>
      </c>
      <c r="L1069" t="n">
        <v>0</v>
      </c>
      <c r="M1069" t="n">
        <v>0</v>
      </c>
      <c r="N1069" t="inlineStr">
        <is>
          <t>Operationnel</t>
        </is>
      </c>
      <c r="O1069" t="inlineStr"/>
      <c r="P1069" t="inlineStr">
        <is>
          <t>IHS</t>
        </is>
      </c>
      <c r="Q1069" t="inlineStr">
        <is>
          <t>POWER ISSUE</t>
        </is>
      </c>
      <c r="R1069" t="inlineStr">
        <is>
          <t>Defaut GE &amp; Power Cabinet</t>
        </is>
      </c>
      <c r="S1069" t="inlineStr">
        <is>
          <t>PASSIVE</t>
        </is>
      </c>
      <c r="T1069" t="inlineStr">
        <is>
          <t>INC-20260330-00014790.,,generator refuse to start .,,Others Transmission equipement fault</t>
        </is>
      </c>
      <c r="U1069" t="inlineStr">
        <is>
          <t>generator refuse to start .,,</t>
        </is>
      </c>
    </row>
    <row r="1070">
      <c r="A1070" s="96" t="n">
        <v>46142</v>
      </c>
      <c r="B1070" t="inlineStr">
        <is>
          <t>Dziguilao</t>
        </is>
      </c>
      <c r="C1070" t="inlineStr">
        <is>
          <t>EXN_074</t>
        </is>
      </c>
      <c r="D1070" t="inlineStr"/>
      <c r="E1070" t="inlineStr">
        <is>
          <t>IHS</t>
        </is>
      </c>
      <c r="F1070" t="inlineStr">
        <is>
          <t>Gen-Solar AER</t>
        </is>
      </c>
      <c r="G1070" t="inlineStr">
        <is>
          <t>EXTREME-NORD</t>
        </is>
      </c>
      <c r="H1070" t="inlineStr">
        <is>
          <t>Dziguilao</t>
        </is>
      </c>
      <c r="I1070" t="inlineStr"/>
      <c r="J1070" t="n">
        <v>0</v>
      </c>
      <c r="K1070" t="n">
        <v>0</v>
      </c>
      <c r="L1070" t="n">
        <v>0</v>
      </c>
      <c r="M1070" t="n">
        <v>0</v>
      </c>
      <c r="N1070" t="inlineStr">
        <is>
          <t>Insecurity</t>
        </is>
      </c>
      <c r="O1070" t="inlineStr"/>
      <c r="P1070" t="inlineStr">
        <is>
          <t>BSS</t>
        </is>
      </c>
      <c r="Q1070" t="inlineStr">
        <is>
          <t>RAN ISSUE</t>
        </is>
      </c>
      <c r="R1070" t="inlineStr">
        <is>
          <t>BSS Hardware issue</t>
        </is>
      </c>
      <c r="S1070" t="inlineStr">
        <is>
          <t>ACTIVE</t>
        </is>
      </c>
      <c r="T1070" t="inlineStr">
        <is>
          <t>29/03/2026 : need BO RAN analysis ||  FME should check and clean jumper, port 0 of RRU 71….29/03/2026 : need BO RAN analysis ||  FME should check and clean jumper, port 0 of RRU 71</t>
        </is>
      </c>
      <c r="U1070" t="inlineStr">
        <is>
          <t>29/03/2026 : need BO RAN analysis || FME should check and clean jumper, port 0 of RRU 71….29/03/2026 : need BO RAN analysis || FME should check and clean jumper, port 0 of RRU 71</t>
        </is>
      </c>
    </row>
    <row r="1071">
      <c r="A1071" s="96" t="n">
        <v>46142</v>
      </c>
      <c r="B1071" t="inlineStr">
        <is>
          <t>Apouh</t>
        </is>
      </c>
      <c r="C1071" t="inlineStr">
        <is>
          <t>LIT_512</t>
        </is>
      </c>
      <c r="D1071" t="inlineStr"/>
      <c r="E1071" t="inlineStr">
        <is>
          <t>IHS</t>
        </is>
      </c>
      <c r="F1071" t="inlineStr">
        <is>
          <t>Grid-Gen</t>
        </is>
      </c>
      <c r="G1071" t="inlineStr">
        <is>
          <t>LITTORAL</t>
        </is>
      </c>
      <c r="H1071" t="inlineStr">
        <is>
          <t>Apouh</t>
        </is>
      </c>
      <c r="I1071" t="inlineStr"/>
      <c r="J1071" t="n">
        <v>0</v>
      </c>
      <c r="K1071" t="n">
        <v>0</v>
      </c>
      <c r="L1071" t="n">
        <v>0</v>
      </c>
      <c r="M1071" t="n">
        <v>0</v>
      </c>
      <c r="N1071" t="inlineStr">
        <is>
          <t>Operationnel</t>
        </is>
      </c>
      <c r="O1071" t="inlineStr"/>
      <c r="P1071" t="inlineStr">
        <is>
          <t>IHS</t>
        </is>
      </c>
      <c r="Q1071" t="inlineStr">
        <is>
          <t>POWER ISSUE</t>
        </is>
      </c>
      <c r="R1071" t="inlineStr">
        <is>
          <t>Defaut GE &amp; Power Cabinet</t>
        </is>
      </c>
      <c r="S1071" t="inlineStr">
        <is>
          <t>PASSIVE</t>
        </is>
      </c>
      <c r="T1071" t="inlineStr">
        <is>
          <t>INC-20260330-00009030.,,2026-03-30 15:29:52.,,Nous constatons l'indisponibilité de APOUH dû à un probable souci d'énergie.
Merci de vérifier l'énergie à APOUH.
Si énergie ok, dépêcher un FME pour investigation sur site et troubleshooting au besoin avec le BO..,,power issue observed IHS support is managing it we are following up .,,Others Transmission equipement fault</t>
        </is>
      </c>
      <c r="U1071" t="inlineStr">
        <is>
          <t>2026-03-30 15 : 29 : 52.,,Nous constatons l'indisponibilité de APOUH dû à un probable souci d'énergie. Merci de vérifier l'énergie à APOUH. Si énergie ok, dépêcher un FME pour investigation sur site et troubleshooting au besoin avec le BO.,,power issue observed IHS support is managing it we are following up .,,</t>
        </is>
      </c>
    </row>
    <row r="1072">
      <c r="A1072" s="96" t="n">
        <v>46142</v>
      </c>
      <c r="B1072" t="inlineStr">
        <is>
          <t>Badjouma</t>
        </is>
      </c>
      <c r="C1072" t="inlineStr">
        <is>
          <t>NRD_026</t>
        </is>
      </c>
      <c r="D1072" t="inlineStr"/>
      <c r="E1072" t="inlineStr">
        <is>
          <t>IHS</t>
        </is>
      </c>
      <c r="F1072" t="inlineStr">
        <is>
          <t>Solar-Gen</t>
        </is>
      </c>
      <c r="G1072" t="inlineStr">
        <is>
          <t>NORD</t>
        </is>
      </c>
      <c r="H1072" t="inlineStr">
        <is>
          <t>Badjouma</t>
        </is>
      </c>
      <c r="I1072" t="inlineStr"/>
      <c r="J1072" t="n">
        <v>0</v>
      </c>
      <c r="K1072" t="n">
        <v>0</v>
      </c>
      <c r="L1072" t="n">
        <v>0</v>
      </c>
      <c r="M1072" t="n">
        <v>0</v>
      </c>
      <c r="N1072" t="inlineStr">
        <is>
          <t>Operationnel</t>
        </is>
      </c>
      <c r="O1072" t="inlineStr"/>
      <c r="P1072" t="inlineStr">
        <is>
          <t>Fiber AOF</t>
        </is>
      </c>
      <c r="Q1072" t="inlineStr">
        <is>
          <t>TX ISSUE</t>
        </is>
      </c>
      <c r="R1072" t="inlineStr">
        <is>
          <t>fiber AOF</t>
        </is>
      </c>
      <c r="S1072" t="inlineStr">
        <is>
          <t>ACTIVE</t>
        </is>
      </c>
      <c r="T1072" t="inlineStr">
        <is>
          <t xml:space="preserve"> 30/03/2026 : Check Connectivite entre BBU &amp; RRU/Check FO ou SFP</t>
        </is>
      </c>
      <c r="U1072" t="inlineStr">
        <is>
          <t>30/03/2026 : Check Connectivite entre BBU &amp; RRU/Check FO ou SFP</t>
        </is>
      </c>
    </row>
    <row r="1073">
      <c r="A1073" s="96" t="n">
        <v>46142</v>
      </c>
      <c r="B1073" t="inlineStr">
        <is>
          <t>MENGUE-BIBEY-IHS</t>
        </is>
      </c>
      <c r="C1073" t="inlineStr">
        <is>
          <t>CTR_870</t>
        </is>
      </c>
      <c r="D1073" t="inlineStr"/>
      <c r="E1073" t="inlineStr">
        <is>
          <t>IHS</t>
        </is>
      </c>
      <c r="F1073" t="inlineStr">
        <is>
          <t>Hybrid Gen</t>
        </is>
      </c>
      <c r="G1073" t="inlineStr">
        <is>
          <t>CENTRE</t>
        </is>
      </c>
      <c r="H1073" t="inlineStr">
        <is>
          <t>Mengue Bibey</t>
        </is>
      </c>
      <c r="I1073" t="inlineStr"/>
      <c r="J1073" t="n">
        <v>0</v>
      </c>
      <c r="K1073" t="n">
        <v>0</v>
      </c>
      <c r="L1073" t="n">
        <v>0</v>
      </c>
      <c r="M1073" t="n">
        <v>0</v>
      </c>
      <c r="N1073" t="inlineStr">
        <is>
          <t>Operationnel</t>
        </is>
      </c>
      <c r="O1073" t="inlineStr"/>
      <c r="P1073" t="inlineStr">
        <is>
          <t>IHS</t>
        </is>
      </c>
      <c r="Q1073" t="inlineStr">
        <is>
          <t>POWER ISSUE</t>
        </is>
      </c>
      <c r="R1073" t="inlineStr">
        <is>
          <t>Defaut GE &amp; Power Cabinet</t>
        </is>
      </c>
      <c r="S1073" t="inlineStr">
        <is>
          <t>PASSIVE</t>
        </is>
      </c>
      <c r="T1073" t="inlineStr">
        <is>
          <t xml:space="preserve">INC-20260330-00007960.,,2026-03-30 13:14:21.,,besoin d'un fme sur pour verifier le status du BBU fme activé ETA asap.,,probleme d energie Les equipments ne sont Pas alimentés </t>
        </is>
      </c>
      <c r="U1073" t="inlineStr">
        <is>
          <t>2026-03-30 13 : 14 : 21.,,besoin d'un fme sur pour verifier le status du BBU fme activé ETA asap.,,probleme d energie Les equipments ne sont Pas alimentés</t>
        </is>
      </c>
    </row>
    <row r="1074">
      <c r="A1074" s="96" t="n">
        <v>46142</v>
      </c>
      <c r="B1074" t="inlineStr">
        <is>
          <t>Elogbatindi</t>
        </is>
      </c>
      <c r="C1074" t="inlineStr">
        <is>
          <t>SUO_037</t>
        </is>
      </c>
      <c r="D1074" t="inlineStr"/>
      <c r="E1074" t="inlineStr">
        <is>
          <t>IHS</t>
        </is>
      </c>
      <c r="F1074" t="inlineStr">
        <is>
          <t>Grid-Gen</t>
        </is>
      </c>
      <c r="G1074" t="inlineStr">
        <is>
          <t>SUD-OUEST</t>
        </is>
      </c>
      <c r="H1074" t="inlineStr">
        <is>
          <t>Elogbatindi</t>
        </is>
      </c>
      <c r="I1074" t="inlineStr"/>
      <c r="J1074" t="n">
        <v>0</v>
      </c>
      <c r="K1074" t="n">
        <v>0</v>
      </c>
      <c r="L1074" t="n">
        <v>0</v>
      </c>
      <c r="M1074" t="n">
        <v>0</v>
      </c>
      <c r="N1074" t="inlineStr">
        <is>
          <t>Insecurity</t>
        </is>
      </c>
      <c r="O1074" t="inlineStr"/>
      <c r="P1074" t="inlineStr">
        <is>
          <t>IHS</t>
        </is>
      </c>
      <c r="Q1074" t="inlineStr">
        <is>
          <t>POWER ISSUE</t>
        </is>
      </c>
      <c r="R1074" t="inlineStr">
        <is>
          <t>Defaut GE &amp; Power Cabinet</t>
        </is>
      </c>
      <c r="S1074" t="inlineStr">
        <is>
          <t>PASSIVE</t>
        </is>
      </c>
      <c r="T1074" t="inlineStr">
        <is>
          <t>30/03/2026 : Power issue || Mail sent to HIS || Feedback IHS : Investigation encours , on vous reviens avec plus de details dans un moment….INC-20260330-00006259.,,end of work.,,GE Fault.,,GRID outage, fme was on site for MP</t>
        </is>
      </c>
      <c r="U1074" t="inlineStr">
        <is>
          <t>30/03/2026 : Power issue || Mail sent to HIS || Feedback IHS : Investigation encours , on vous reviens avec plus de details dans un moment….,,end of work.,,GE Fault.,,GRID outage, fme was on site for MP</t>
        </is>
      </c>
    </row>
    <row r="1075">
      <c r="A1075" s="96" t="n">
        <v>46142</v>
      </c>
      <c r="B1075" t="inlineStr">
        <is>
          <t>Ndjole</t>
        </is>
      </c>
      <c r="C1075" t="inlineStr">
        <is>
          <t>CTR_893</t>
        </is>
      </c>
      <c r="D1075" t="inlineStr"/>
      <c r="E1075" t="inlineStr"/>
      <c r="F1075" t="inlineStr"/>
      <c r="G1075" t="inlineStr">
        <is>
          <t>CENTRE</t>
        </is>
      </c>
      <c r="H1075" t="inlineStr">
        <is>
          <t>Ndjole</t>
        </is>
      </c>
      <c r="I1075" t="inlineStr"/>
      <c r="J1075" t="n">
        <v>0</v>
      </c>
      <c r="K1075" t="n">
        <v>0</v>
      </c>
      <c r="L1075" t="n">
        <v>0</v>
      </c>
      <c r="M1075" t="n">
        <v>0</v>
      </c>
      <c r="N1075" t="inlineStr">
        <is>
          <t>Operationnel</t>
        </is>
      </c>
      <c r="O1075" t="inlineStr"/>
      <c r="P1075" t="inlineStr">
        <is>
          <t>BSS</t>
        </is>
      </c>
      <c r="Q1075" t="inlineStr">
        <is>
          <t>RAN ISSUE</t>
        </is>
      </c>
      <c r="R1075" t="inlineStr">
        <is>
          <t>BSS Hardware issue</t>
        </is>
      </c>
      <c r="S1075" t="inlineStr">
        <is>
          <t>ACTIVE</t>
        </is>
      </c>
      <c r="T1075" t="inlineStr">
        <is>
          <t>30/03/2029 : Besoin d'analyse BO RAN….30/03/2029 : Besoin d'analyse BO RAN….30/03/2029 : Besoin d'analyse BO RAN || Check and clean jumper, port 7 of RRU 61</t>
        </is>
      </c>
      <c r="U1075" t="inlineStr">
        <is>
          <t>30/03/2029 : Besoin d'analyse BO RAN….30/03/2029 : Besoin d'analyse BO RAN….30/03/2029 : Besoin d'analyse BO RAN || Check and clean jumper, port 7 of RRU 61</t>
        </is>
      </c>
    </row>
    <row r="1076">
      <c r="A1076" s="96" t="n">
        <v>46142</v>
      </c>
      <c r="B1076" t="inlineStr">
        <is>
          <t>Minisite-Soa</t>
        </is>
      </c>
      <c r="C1076" t="inlineStr">
        <is>
          <t>CTR_689</t>
        </is>
      </c>
      <c r="D1076" t="inlineStr"/>
      <c r="E1076" t="inlineStr">
        <is>
          <t>CAMUSAT</t>
        </is>
      </c>
      <c r="F1076" t="inlineStr">
        <is>
          <t>Good Grid no GE - 8h</t>
        </is>
      </c>
      <c r="G1076" t="inlineStr">
        <is>
          <t>CENTRE</t>
        </is>
      </c>
      <c r="H1076" t="inlineStr">
        <is>
          <t>Yaounde</t>
        </is>
      </c>
      <c r="I1076" t="inlineStr"/>
      <c r="J1076" t="n">
        <v>0</v>
      </c>
      <c r="K1076" t="n">
        <v>0</v>
      </c>
      <c r="L1076" t="n">
        <v>0</v>
      </c>
      <c r="M1076" t="n">
        <v>0</v>
      </c>
      <c r="N1076" t="inlineStr">
        <is>
          <t>EXCLU</t>
        </is>
      </c>
      <c r="O1076" t="inlineStr">
        <is>
          <t>UE Relay</t>
        </is>
      </c>
      <c r="P1076" t="inlineStr">
        <is>
          <t>Exclu</t>
        </is>
      </c>
      <c r="Q1076" t="inlineStr">
        <is>
          <t>Exclu</t>
        </is>
      </c>
      <c r="R1076" t="inlineStr">
        <is>
          <t>exclu</t>
        </is>
      </c>
      <c r="S1076" t="inlineStr">
        <is>
          <t>Exclu</t>
        </is>
      </c>
      <c r="T1076" t="inlineStr">
        <is>
          <t>INC-20260330-00012921.,,Others Transmission equipement fault</t>
        </is>
      </c>
      <c r="U1076" t="inlineStr"/>
    </row>
    <row r="1077">
      <c r="A1077" s="96" t="n">
        <v>46142</v>
      </c>
      <c r="B1077" t="inlineStr">
        <is>
          <t>Loum</t>
        </is>
      </c>
      <c r="C1077" t="inlineStr">
        <is>
          <t>LIT_029</t>
        </is>
      </c>
      <c r="D1077" t="inlineStr"/>
      <c r="E1077" t="inlineStr">
        <is>
          <t>IHS</t>
        </is>
      </c>
      <c r="F1077" t="inlineStr">
        <is>
          <t>Grid-Gen</t>
        </is>
      </c>
      <c r="G1077" t="inlineStr">
        <is>
          <t>LITTORAL</t>
        </is>
      </c>
      <c r="H1077" t="inlineStr">
        <is>
          <t>Loum</t>
        </is>
      </c>
      <c r="I1077" t="inlineStr"/>
      <c r="J1077" t="n">
        <v>0</v>
      </c>
      <c r="K1077" t="n">
        <v>0</v>
      </c>
      <c r="L1077" t="n">
        <v>0</v>
      </c>
      <c r="M1077" t="n">
        <v>0</v>
      </c>
      <c r="N1077" t="inlineStr">
        <is>
          <t>Operationnel</t>
        </is>
      </c>
      <c r="O1077" t="inlineStr"/>
      <c r="P1077" t="inlineStr">
        <is>
          <t>IHS</t>
        </is>
      </c>
      <c r="Q1077" t="inlineStr">
        <is>
          <t>POWER ISSUE</t>
        </is>
      </c>
      <c r="R1077" t="inlineStr">
        <is>
          <t>Defaut GE &amp; Power Cabinet</t>
        </is>
      </c>
      <c r="S1077" t="inlineStr">
        <is>
          <t>PASSIVE</t>
        </is>
      </c>
      <c r="T1077" t="inlineStr">
        <is>
          <t>INC-20260330-00006581.,, tuyau à remplacer.,,GE Fault.,,prise d'air, tuyau flexible percé</t>
        </is>
      </c>
      <c r="U1077" t="inlineStr">
        <is>
          <t>tuyau à remplacer.,,GE Fault.,,prise d'air, tuyau flexible percé</t>
        </is>
      </c>
    </row>
    <row r="1078">
      <c r="A1078" t="inlineStr">
        <is>
          <t>4/31/2026</t>
        </is>
      </c>
      <c r="B1078" t="inlineStr">
        <is>
          <t>Bonewonda-III</t>
        </is>
      </c>
      <c r="C1078" t="inlineStr">
        <is>
          <t>LIT_615</t>
        </is>
      </c>
      <c r="D1078" t="inlineStr"/>
      <c r="E1078" t="inlineStr">
        <is>
          <t>CAMUSAT</t>
        </is>
      </c>
      <c r="F1078" t="inlineStr">
        <is>
          <t>Good Grid no GE - 8h</t>
        </is>
      </c>
      <c r="G1078" t="inlineStr">
        <is>
          <t>LITTORAL</t>
        </is>
      </c>
      <c r="H1078" t="inlineStr">
        <is>
          <t>Douala</t>
        </is>
      </c>
      <c r="I1078" t="inlineStr"/>
      <c r="J1078" t="n">
        <v>32.25603395561311</v>
      </c>
      <c r="K1078" t="n">
        <v>27.4424451992615</v>
      </c>
      <c r="L1078" t="n">
        <v>106.3766916848887</v>
      </c>
      <c r="M1078" t="n">
        <v>69.29313163999969</v>
      </c>
      <c r="N1078" t="inlineStr">
        <is>
          <t>Operationnel</t>
        </is>
      </c>
      <c r="O1078" t="inlineStr"/>
      <c r="P1078" t="inlineStr">
        <is>
          <t>TRAVAUX OCM</t>
        </is>
      </c>
      <c r="Q1078" t="inlineStr">
        <is>
          <t>TRAVAUX OCM</t>
        </is>
      </c>
      <c r="R1078" t="inlineStr">
        <is>
          <t>Projet OCM (ZTE, NOKIA, autres projets)</t>
        </is>
      </c>
      <c r="S1078" t="inlineStr">
        <is>
          <t>PLANNED WORKS</t>
        </is>
      </c>
      <c r="T1078" t="inlineStr">
        <is>
          <t>site down..;site down..;site down..;31/03/2026 Micro SD faulty en attente de la licence 
31/03/2026 FME activé ETA = 11H UTC || FME BEAUCLAIR sur site travaux en cours avec le BO DAYAN NARCISSE 
30/03/2026Feedback Camusat:  TECHNICIAN IS ON THE WAY eta 16h55..;31/03/2026 Micro SD faulty 
31/03/2026 FME activé ETA = 11H UTC || FME BEAUCLAIR sur site travaux en cours avec le BO DAYAN NARCISSE 
30/03/2026Feedback Camusat:  TECHNICIAN IS ON THE WAY eta 16h55..;31/03/2026 FME activé ETA = 11H UTC 
30/03/2026Feedback Camusat:  TECHNICIAN IS ON THE WAY eta 16h55..;INC-20260331-00013899...2026-03-31 23:42:43...BO Tx Analysis ongoing
Power issue resolved U=48V load=54.99A/No action done...fme on  site working .
site down. 
micro sm replacement ongoing .
power on site not good.
generator not good.
Eneo not good.</t>
        </is>
      </c>
      <c r="U1078" t="inlineStr">
        <is>
          <t>site down.;site down.;site down.;31/03/2026 Micro SD faulty en attente de la licence 31/03/2026 FME activé ETA = 11H UTC || FME BEAUCLAIR sur site travaux en cours avec le BO DAYAN NARCISSE 30/03/2026Feedback Camusat : TECHNICIAN IS ON THE WAY eta 16h55.;31/03/2026 Micro SD faulty 31/03/2026 FME activé ETA = 11H UTC || FME BEAUCLAIR sur site travaux en cours avec le BO DAYAN NARCISSE 30/03/2026Feedback Camusat : TECHNICIAN IS ON THE WAY eta 16h55.;31/03/2026 FME activé ETA = 11H UTC 30/03/2026Feedback Camusat : TECHNICIAN IS ON THE WAY eta 16h55.;.2026-03-31 23 : 42 : 43.BO Tx Analysis ongoing Power issue resolved U=48V load=54.99A/No action done.fme on site working . site down. micro sm replacement ongoing . power on site not good. generator not good. Eneo not good.</t>
        </is>
      </c>
    </row>
    <row r="1079">
      <c r="A1079" t="inlineStr">
        <is>
          <t>4/31/2026</t>
        </is>
      </c>
      <c r="B1079" t="inlineStr">
        <is>
          <t>Nkololoun-Marche</t>
        </is>
      </c>
      <c r="C1079" t="inlineStr">
        <is>
          <t>LIT_548</t>
        </is>
      </c>
      <c r="D1079" t="inlineStr"/>
      <c r="E1079" t="inlineStr">
        <is>
          <t>CAMUSAT</t>
        </is>
      </c>
      <c r="F1079" t="inlineStr">
        <is>
          <t>Good Grid no GE - 8h</t>
        </is>
      </c>
      <c r="G1079" t="inlineStr">
        <is>
          <t>LITTORAL</t>
        </is>
      </c>
      <c r="H1079" t="inlineStr">
        <is>
          <t>Douala</t>
        </is>
      </c>
      <c r="I1079" t="inlineStr"/>
      <c r="J1079" t="n">
        <v>30.64175848990244</v>
      </c>
      <c r="K1079" t="n">
        <v>26.13107806236421</v>
      </c>
      <c r="L1079" t="n">
        <v>101.9659783372404</v>
      </c>
      <c r="M1079" t="n">
        <v>66.32223563420115</v>
      </c>
      <c r="N1079" t="inlineStr">
        <is>
          <t>Operationnel</t>
        </is>
      </c>
      <c r="O1079" t="inlineStr"/>
      <c r="P1079" t="inlineStr">
        <is>
          <t>AKTIVCO GRID ONLY</t>
        </is>
      </c>
      <c r="Q1079" t="inlineStr">
        <is>
          <t>POWER ISSUE</t>
        </is>
      </c>
      <c r="R1079" t="inlineStr">
        <is>
          <t>AKTIVCO Coupure ENEO &amp; Baisse de tension</t>
        </is>
      </c>
      <c r="S1079" t="inlineStr">
        <is>
          <t>PASSIVE</t>
        </is>
      </c>
      <c r="T1079" t="inlineStr">
        <is>
          <t>site down..;site down..;30/03/2026 Camusat: Grid outage, Grid only site / Grid return awaited..;30/03/2026 Camusat; Grid outage / Grid return awaited..;30/03/2026 Camusat; Grid outage / Grid return awaited..;INC-20260331-00004559...2026-03-31 09:23:30...Grid outage, Grid only site / Grid return awaited</t>
        </is>
      </c>
      <c r="U1079" t="inlineStr">
        <is>
          <t>site down.;site down.;30/03/2026 Camusat : Grid outage, Grid only site / Grid return awaited.;30/03/2026 Camusat; Grid outage / Grid return awaited.;30/03/2026 Camusat; Grid outage / Grid return awaited.;.2026-03-31 09 : 23 : 30.Grid outage, Grid only site / Grid return awaited</t>
        </is>
      </c>
    </row>
    <row r="1080">
      <c r="A1080" t="inlineStr">
        <is>
          <t>4/31/2026</t>
        </is>
      </c>
      <c r="B1080" t="inlineStr">
        <is>
          <t>Logbessou-II</t>
        </is>
      </c>
      <c r="C1080" t="inlineStr">
        <is>
          <t>LIT_669</t>
        </is>
      </c>
      <c r="D1080" t="inlineStr"/>
      <c r="E1080" t="inlineStr">
        <is>
          <t>CAMUSAT</t>
        </is>
      </c>
      <c r="F1080" t="inlineStr">
        <is>
          <t>Good Grid + GE</t>
        </is>
      </c>
      <c r="G1080" t="inlineStr">
        <is>
          <t>LITTORAL</t>
        </is>
      </c>
      <c r="H1080" t="inlineStr">
        <is>
          <t>Douala</t>
        </is>
      </c>
      <c r="I1080" t="inlineStr"/>
      <c r="J1080" t="n">
        <v>0.4385084069717716</v>
      </c>
      <c r="K1080" t="n">
        <v>0.4838203093389914</v>
      </c>
      <c r="L1080" t="n">
        <v>106.3766916848887</v>
      </c>
      <c r="M1080" t="n">
        <v>55.69927061663716</v>
      </c>
      <c r="N1080" t="inlineStr">
        <is>
          <t>Operationnel</t>
        </is>
      </c>
      <c r="O1080" t="inlineStr"/>
      <c r="P1080" t="inlineStr">
        <is>
          <t>AKTIVCO</t>
        </is>
      </c>
      <c r="Q1080" t="inlineStr">
        <is>
          <t>POWER ISSUE</t>
        </is>
      </c>
      <c r="R1080" t="inlineStr">
        <is>
          <t>AKTIVCO Defaut GE &amp; Power Cabinet</t>
        </is>
      </c>
      <c r="S1080" t="inlineStr">
        <is>
          <t>PASSIVE</t>
        </is>
      </c>
      <c r="T1080" t="inlineStr">
        <is>
          <t>01/04/2026 : grid outage
30/03/2026 : Besoin d'analyse BO RAN
28/03/2026 : Besoin d'analyse BO RAN || Transmission investrigation neeeded..;31/03/2026 : Besoin d'analyse BO RAN</t>
        </is>
      </c>
      <c r="U1080" t="inlineStr">
        <is>
          <t>01/04/2026 : grid outage 30/03/2026 : Besoin d'analyse BO RAN 28/03/2026 : Besoin d'analyse BO RAN || Transmission investrigation neeeded.;31/03/2026 : Besoin d'analyse BO RAN</t>
        </is>
      </c>
    </row>
    <row r="1081">
      <c r="A1081" t="inlineStr">
        <is>
          <t>4/31/2026</t>
        </is>
      </c>
      <c r="B1081" t="inlineStr">
        <is>
          <t>Edea-Entree</t>
        </is>
      </c>
      <c r="C1081" t="inlineStr">
        <is>
          <t>LIT_229</t>
        </is>
      </c>
      <c r="D1081" t="inlineStr"/>
      <c r="E1081" t="inlineStr">
        <is>
          <t>IHS</t>
        </is>
      </c>
      <c r="F1081" t="inlineStr">
        <is>
          <t>Solar-Grid-Gen</t>
        </is>
      </c>
      <c r="G1081" t="inlineStr">
        <is>
          <t>LITTORAL</t>
        </is>
      </c>
      <c r="H1081" t="inlineStr">
        <is>
          <t>Edea</t>
        </is>
      </c>
      <c r="I1081" t="inlineStr"/>
      <c r="J1081" t="n">
        <v>32.37293622531563</v>
      </c>
      <c r="K1081" t="n">
        <v>55.08124483613329</v>
      </c>
      <c r="L1081" t="n">
        <v>53.18834584244432</v>
      </c>
      <c r="M1081" t="n">
        <v>50.85137529855922</v>
      </c>
      <c r="N1081" t="inlineStr">
        <is>
          <t>Operationnel</t>
        </is>
      </c>
      <c r="O1081" t="inlineStr">
        <is>
          <t>Site vendaliser</t>
        </is>
      </c>
      <c r="P1081" t="inlineStr">
        <is>
          <t>IHS</t>
        </is>
      </c>
      <c r="Q1081" t="inlineStr">
        <is>
          <t>POWER ISSUE</t>
        </is>
      </c>
      <c r="R1081" t="inlineStr">
        <is>
          <t>Defaut GE &amp; Power Cabinet</t>
        </is>
      </c>
      <c r="S1081" t="inlineStr">
        <is>
          <t>PASSIVE</t>
        </is>
      </c>
      <c r="T1081" t="inlineStr">
        <is>
          <t xml:space="preserve">30/03/2026 : Power issue : Mail sent to HIS ||  Check connectors and optical fiber of RRU || Site vendaliser
..;30/03/2026 : Power issue : Mail sent to HIS ||  Check connectors and optical fiber of RRU || Site vendaliser
..;30/03/2026 : Power issue : Mail sent to HIS ||  Check connectors and optical fiber of RRU || Site vendaliser
</t>
        </is>
      </c>
      <c r="U1081" t="inlineStr">
        <is>
          <t>30/03/2026 : Power issue : Mail sent to HIS || Check connectors and optical fiber of RRU || Site vendaliser .;30/03/2026 : Power issue : Mail sent to HIS || Check connectors and optical fiber of RRU || Site vendaliser .;30/03/2026 : Power issue : Mail sent to HIS || Check connectors and optical fiber of RRU || Site vendaliser</t>
        </is>
      </c>
    </row>
    <row r="1082">
      <c r="A1082" t="inlineStr">
        <is>
          <t>4/31/2026</t>
        </is>
      </c>
      <c r="B1082" t="inlineStr">
        <is>
          <t>Old-Airport-IHS</t>
        </is>
      </c>
      <c r="C1082" t="inlineStr">
        <is>
          <t>LIT_122</t>
        </is>
      </c>
      <c r="D1082" t="inlineStr"/>
      <c r="E1082" t="inlineStr">
        <is>
          <t>IHS</t>
        </is>
      </c>
      <c r="F1082" t="inlineStr">
        <is>
          <t>Grid-Lithium</t>
        </is>
      </c>
      <c r="G1082" t="inlineStr">
        <is>
          <t>LITTORAL</t>
        </is>
      </c>
      <c r="H1082" t="inlineStr">
        <is>
          <t>Douala</t>
        </is>
      </c>
      <c r="I1082" t="inlineStr"/>
      <c r="J1082" t="n">
        <v>19.52567653441723</v>
      </c>
      <c r="K1082" t="n">
        <v>16.60985350768927</v>
      </c>
      <c r="L1082" t="n">
        <v>64.26873822140799</v>
      </c>
      <c r="M1082" t="n">
        <v>41.87979585255955</v>
      </c>
      <c r="N1082" t="inlineStr">
        <is>
          <t>Operationnel</t>
        </is>
      </c>
      <c r="O1082" t="inlineStr"/>
      <c r="P1082" t="inlineStr">
        <is>
          <t>IHS</t>
        </is>
      </c>
      <c r="Q1082" t="inlineStr">
        <is>
          <t>POWER ISSUE</t>
        </is>
      </c>
      <c r="R1082" t="inlineStr">
        <is>
          <t>Defaut GE &amp; Power Cabinet</t>
        </is>
      </c>
      <c r="S1082" t="inlineStr">
        <is>
          <t>PASSIVE</t>
        </is>
      </c>
      <c r="T1082" t="inlineStr">
        <is>
          <t>01/04/2026 grid ouatge grid only site no space awaited grid return     site down..;site down</t>
        </is>
      </c>
      <c r="U1082" t="inlineStr">
        <is>
          <t>01/04/2026 grid ouatge grid only site no space awaited grid return site down.;site down</t>
        </is>
      </c>
    </row>
    <row r="1083">
      <c r="A1083" t="inlineStr">
        <is>
          <t>4/31/2026</t>
        </is>
      </c>
      <c r="B1083" t="inlineStr">
        <is>
          <t>Vallee-Bastos</t>
        </is>
      </c>
      <c r="C1083" t="inlineStr">
        <is>
          <t>CTR_251</t>
        </is>
      </c>
      <c r="D1083" t="inlineStr"/>
      <c r="E1083" t="inlineStr">
        <is>
          <t>IHS</t>
        </is>
      </c>
      <c r="F1083" t="inlineStr">
        <is>
          <t>GridOnly</t>
        </is>
      </c>
      <c r="G1083" t="inlineStr">
        <is>
          <t>CENTRE</t>
        </is>
      </c>
      <c r="H1083" t="inlineStr">
        <is>
          <t>Yaounde</t>
        </is>
      </c>
      <c r="I1083" t="inlineStr"/>
      <c r="J1083" t="n">
        <v>22.27924954737839</v>
      </c>
      <c r="K1083" t="n">
        <v>19.01450472780685</v>
      </c>
      <c r="L1083" t="n">
        <v>56.95428045798888</v>
      </c>
      <c r="M1083" t="n">
        <v>39.26586893928369</v>
      </c>
      <c r="N1083" t="inlineStr">
        <is>
          <t>Operationnel</t>
        </is>
      </c>
      <c r="O1083" t="inlineStr"/>
      <c r="P1083" t="inlineStr">
        <is>
          <t>IHS GRID ONLY</t>
        </is>
      </c>
      <c r="Q1083" t="inlineStr">
        <is>
          <t>POWER ISSUE</t>
        </is>
      </c>
      <c r="R1083" t="inlineStr">
        <is>
          <t>Coupure ENEO &amp; Baisse de tension</t>
        </is>
      </c>
      <c r="S1083" t="inlineStr">
        <is>
          <t>PASSIVE</t>
        </is>
      </c>
      <c r="T1083" t="inlineStr">
        <is>
          <t>26/03/2026 : site down..;26/03/2026 : site down..;31/03/2026 negociation d 'accès toujours en cours 
30/03/2026 negociation d 'accès toujours en cours 
30/03/2026 29.03.2026 CAMUSAT: Accès refuser par la sécurité / Residence occupé par les Americains / la sécurité demande de passer aux heures de maintenances habituel recherche de solution en cours
29.03.2026 CAMUSAT: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L2)..;31/03/2026 negociation d 'accès toujours en cours 
30/03/2026 negociation d 'accès toujours en cours 
30/03/2026 29.03.2026 CAMUSAT: Accès refuser par la sécurité / Residence occupé par les Americains / la sécurité demande de passer aux heures de maintenances habituel recherche de solution en cours
29.03.2026 CAMUSAT: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t>
        </is>
      </c>
      <c r="U1083" t="inlineStr">
        <is>
          <t>26/03/2026 : site down.;26/03/2026 : site down.;31/03/2026 negociation d 'accès toujours en cours 30/03/2026 negociation d 'accès toujours en cours 30/03/2026 29.03.2026 CAMUSAT : Accès refuser par la sécurité / Residence occupé par les Americains / la sécurité demande de passer aux heures de maintenances habituel recherche de solution en cours 29.03.2026 CAMUSAT :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L2).;31/03/2026 negociation d 'accès toujours en cours 30/03/2026 negociation d 'accès toujours en cours 30/03/2026 29.03.2026 CAMUSAT : Accès refuser par la sécurité / Residence occupé par les Americains / la sécurité demande de passer aux heures de maintenances habituel recherche de solution en cours 29.03.2026 CAMUSAT : Accès refuser par la sécurité / Residence occupé par les Americains / la sécurité demande de passer aux heures de maintenances habituel recherche de solution en cours 27.03.26; Grid outage, Grid only site / Grid return awaited (escalade L4) 27.03.26; Grid outage, Grid only site / Grid return awaited (escalade L3) 26.03.26; Grid outage, Grid only site / Grid return awaited (escalade L2)</t>
        </is>
      </c>
    </row>
    <row r="1084">
      <c r="A1084" t="inlineStr">
        <is>
          <t>4/31/2026</t>
        </is>
      </c>
      <c r="B1084" t="inlineStr">
        <is>
          <t>Brazzaville</t>
        </is>
      </c>
      <c r="C1084" t="inlineStr">
        <is>
          <t>LIT_081</t>
        </is>
      </c>
      <c r="D1084" t="inlineStr"/>
      <c r="E1084" t="inlineStr">
        <is>
          <t>IHS</t>
        </is>
      </c>
      <c r="F1084" t="inlineStr">
        <is>
          <t>Grid-Gen</t>
        </is>
      </c>
      <c r="G1084" t="inlineStr">
        <is>
          <t>LITTORAL</t>
        </is>
      </c>
      <c r="H1084" t="inlineStr">
        <is>
          <t>Douala</t>
        </is>
      </c>
      <c r="I1084" t="inlineStr"/>
      <c r="J1084" t="n">
        <v>18.10973526132153</v>
      </c>
      <c r="K1084" t="n">
        <v>15.40936075155298</v>
      </c>
      <c r="L1084" t="n">
        <v>59.83688907274982</v>
      </c>
      <c r="M1084" t="n">
        <v>38.96342168117727</v>
      </c>
      <c r="N1084" t="inlineStr">
        <is>
          <t>Operationnel</t>
        </is>
      </c>
      <c r="O1084" t="inlineStr"/>
      <c r="P1084" t="inlineStr">
        <is>
          <t>IHS</t>
        </is>
      </c>
      <c r="Q1084" t="inlineStr">
        <is>
          <t>POWER ISSUE</t>
        </is>
      </c>
      <c r="R1084" t="inlineStr">
        <is>
          <t>Defaut GE &amp; Power Cabinet</t>
        </is>
      </c>
      <c r="S1084" t="inlineStr">
        <is>
          <t>PASSIVE</t>
        </is>
      </c>
      <c r="T1084" t="inlineStr">
        <is>
          <t xml:space="preserve">31/03/2026 Carte EAC  (3DB19417AA ) faulty commande passé UPDATE dans 1H 
31/03/2026 FME à l'entrée du site problème d'acces escaladé à Romuald IHS ..;31/03/2026 FME à l'entrée du site problème d'acces escaladé à Romuald IHS ..;Power status check ongoing..;INC-20260331-00005490...2026-04-01 08:28:21...01/04/2026 Carte EAC  (3DB19417AA ) non disponible au warehouse expedition depuis Yaounde aujourd'hui ETD = 02/04/2026...power Grid outage here the power guy taken point </t>
        </is>
      </c>
      <c r="U1084" t="inlineStr">
        <is>
          <t>31/03/2026 Carte EAC (3DB19417AA ) faulty commande passé UPDATE dans 1H 31/03/2026 FME à l'entrée du site problème d'acces escaladé à Romuald IHS .;31/03/2026 FME à l'entrée du site problème d'acces escaladé à Romuald IHS .;.2026-04-01 08 : 28 : 21.01/04/2026 Carte EAC (3DB19417AA ) non disponible au warehouse expedition depuis Yaounde aujourd'hui ETD = 02/04/2026.power Grid outage here the power guy taken point</t>
        </is>
      </c>
    </row>
    <row r="1085">
      <c r="A1085" t="inlineStr">
        <is>
          <t>4/31/2026</t>
        </is>
      </c>
      <c r="B1085" t="inlineStr">
        <is>
          <t>Bafia-CRTV</t>
        </is>
      </c>
      <c r="C1085" t="inlineStr">
        <is>
          <t>CTR_101</t>
        </is>
      </c>
      <c r="D1085" t="inlineStr"/>
      <c r="E1085" t="inlineStr">
        <is>
          <t>CAMUSAT</t>
        </is>
      </c>
      <c r="F1085" t="inlineStr">
        <is>
          <t>Medium Grid + GE</t>
        </is>
      </c>
      <c r="G1085" t="inlineStr">
        <is>
          <t>CENTRE</t>
        </is>
      </c>
      <c r="H1085" t="inlineStr">
        <is>
          <t>Bafia</t>
        </is>
      </c>
      <c r="I1085" t="inlineStr"/>
      <c r="J1085" t="n">
        <v>32.37293622531563</v>
      </c>
      <c r="K1085" t="n">
        <v>55.08124483613329</v>
      </c>
      <c r="L1085" t="n">
        <v>26.59417292122215</v>
      </c>
      <c r="M1085" t="n">
        <v>36.98281839895215</v>
      </c>
      <c r="N1085" t="inlineStr">
        <is>
          <t>Exclu</t>
        </is>
      </c>
      <c r="O1085" t="inlineStr">
        <is>
          <t xml:space="preserve"> Site vendalisé,</t>
        </is>
      </c>
      <c r="P1085" t="inlineStr">
        <is>
          <t>Exclu</t>
        </is>
      </c>
      <c r="Q1085" t="inlineStr">
        <is>
          <t>Exclu</t>
        </is>
      </c>
      <c r="R1085" t="inlineStr">
        <is>
          <t>exclu</t>
        </is>
      </c>
      <c r="S1085" t="inlineStr">
        <is>
          <t>Exclu</t>
        </is>
      </c>
      <c r="T1085" t="inlineStr">
        <is>
          <t>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t>
        </is>
      </c>
      <c r="U1085" t="inlineStr">
        <is>
          <t>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51.;25/03/2026 : En attente de spare 21/03/2026 : Commande en cours 19/03/2026 : SPMS attendues de OCM 18/03/2026 ; Relance faite 17/03/2026 : Point transmis a OCM par le SPM 16/03/2026 : Site vandalise 15/03/2026 : FME active || ETA : 13H | intervention en cours || remplacement des cables power vandalise 14/03/2026 : Check RRU 51</t>
        </is>
      </c>
    </row>
    <row r="1086">
      <c r="A1086" t="inlineStr">
        <is>
          <t>4/31/2026</t>
        </is>
      </c>
      <c r="B1086" t="inlineStr">
        <is>
          <t>DEIDO-MARCHE</t>
        </is>
      </c>
      <c r="C1086" t="inlineStr">
        <is>
          <t>LIT_651</t>
        </is>
      </c>
      <c r="D1086" t="inlineStr"/>
      <c r="E1086" t="inlineStr">
        <is>
          <t>CAMUSAT</t>
        </is>
      </c>
      <c r="F1086" t="inlineStr">
        <is>
          <t>Good Grid no GE - 12h</t>
        </is>
      </c>
      <c r="G1086" t="inlineStr">
        <is>
          <t>LITTORAL</t>
        </is>
      </c>
      <c r="H1086" t="inlineStr">
        <is>
          <t>Douala</t>
        </is>
      </c>
      <c r="I1086" t="inlineStr"/>
      <c r="J1086" t="n">
        <v>16.97743186695922</v>
      </c>
      <c r="K1086" t="n">
        <v>14.44607648132848</v>
      </c>
      <c r="L1086" t="n">
        <v>56.51261745759702</v>
      </c>
      <c r="M1086" t="n">
        <v>36.74477360864984</v>
      </c>
      <c r="N1086" t="inlineStr">
        <is>
          <t>Operationnel</t>
        </is>
      </c>
      <c r="O1086" t="inlineStr"/>
      <c r="P1086" t="inlineStr">
        <is>
          <t>AKTIVCO GRID ONLY</t>
        </is>
      </c>
      <c r="Q1086" t="inlineStr">
        <is>
          <t>POWER ISSUE</t>
        </is>
      </c>
      <c r="R1086" t="inlineStr">
        <is>
          <t>AKTIVCO Coupure ENEO &amp; Baisse de tension</t>
        </is>
      </c>
      <c r="S1086" t="inlineStr">
        <is>
          <t>PASSIVE</t>
        </is>
      </c>
      <c r="T1086" t="inlineStr">
        <is>
          <t>site down..;site down..;31/03/2026 Grid outage, Grid only site / Grid return awaited..;Grid outage, Grid only site / Grid return awaited..;Power status check ongoing..;INC-20260331-00006133...2026-03-31 11:16:19...Grid outage, Grid only site / Grid return awaited</t>
        </is>
      </c>
      <c r="U1086" t="inlineStr">
        <is>
          <t>site down.;site down.;31/03/2026 Grid outage, Grid only site / Grid return awaited.;Grid outage, Grid only site / Grid return awaited.;.2026-03-31 11 : 16 : 19.Grid outage, Grid only site / Grid return awaited</t>
        </is>
      </c>
    </row>
    <row r="1087">
      <c r="A1087" t="inlineStr">
        <is>
          <t>4/31/2026</t>
        </is>
      </c>
      <c r="B1087" t="inlineStr">
        <is>
          <t>Buca-Voyage</t>
        </is>
      </c>
      <c r="C1087" t="inlineStr">
        <is>
          <t>LIT_616</t>
        </is>
      </c>
      <c r="D1087" t="inlineStr"/>
      <c r="E1087" t="inlineStr">
        <is>
          <t>CAMUSAT</t>
        </is>
      </c>
      <c r="F1087" t="inlineStr">
        <is>
          <t>Good Grid no GE - 8h</t>
        </is>
      </c>
      <c r="G1087" t="inlineStr">
        <is>
          <t>LITTORAL</t>
        </is>
      </c>
      <c r="H1087" t="inlineStr">
        <is>
          <t>Douala</t>
        </is>
      </c>
      <c r="I1087" t="inlineStr"/>
      <c r="J1087" t="n">
        <v>16.80170377564356</v>
      </c>
      <c r="K1087" t="n">
        <v>14.29689810989729</v>
      </c>
      <c r="L1087" t="n">
        <v>55.40452691921282</v>
      </c>
      <c r="M1087" t="n">
        <v>36.09174221605843</v>
      </c>
      <c r="N1087" t="inlineStr">
        <is>
          <t>Operationnel</t>
        </is>
      </c>
      <c r="O1087" t="inlineStr"/>
      <c r="P1087" t="inlineStr">
        <is>
          <t>AKTIVCO GRID ONLY</t>
        </is>
      </c>
      <c r="Q1087" t="inlineStr">
        <is>
          <t>POWER ISSUE</t>
        </is>
      </c>
      <c r="R1087" t="inlineStr">
        <is>
          <t>AKTIVCO Coupure ENEO &amp; Baisse de tension</t>
        </is>
      </c>
      <c r="S1087" t="inlineStr">
        <is>
          <t>PASSIVE</t>
        </is>
      </c>
      <c r="T1087" t="inlineStr">
        <is>
          <t>site down..;site down..;31/03/2026 Grid outage, Grid only site / Grid return awaited..;Grid outage, Grid only site / Grid return awaited..;Power status check ongoing..;INC-20260331-00006257...2026-03-31 23:30:58...BO Tx Analysis ongoing
Grid return since 17:25 but site is still down. please sent TX technician on site</t>
        </is>
      </c>
      <c r="U1087" t="inlineStr">
        <is>
          <t>site down.;site down.;31/03/2026 Grid outage, Grid only site / Grid return awaited.;Grid outage, Grid only site / Grid return awaited.;.2026-03-31 23 : 30 : 58.BO Tx Analysis ongoing Grid return since 17 : 25 but site is still down. please sent TX technician on site</t>
        </is>
      </c>
    </row>
    <row r="1088">
      <c r="A1088" t="inlineStr">
        <is>
          <t>4/31/2026</t>
        </is>
      </c>
      <c r="B1088" t="inlineStr">
        <is>
          <t>Fraternite-Adama_Ekombitie-III</t>
        </is>
      </c>
      <c r="C1088" t="inlineStr">
        <is>
          <t>CTR_849</t>
        </is>
      </c>
      <c r="D1088" t="inlineStr"/>
      <c r="E1088" t="inlineStr">
        <is>
          <t>CAMUSAT</t>
        </is>
      </c>
      <c r="F1088" t="inlineStr">
        <is>
          <t>Good Grid no GE - 8h</t>
        </is>
      </c>
      <c r="G1088" t="inlineStr">
        <is>
          <t>CENTRE</t>
        </is>
      </c>
      <c r="H1088" t="inlineStr">
        <is>
          <t>Yaounde</t>
        </is>
      </c>
      <c r="I1088" t="inlineStr"/>
      <c r="J1088" t="n">
        <v>18.85423785715142</v>
      </c>
      <c r="K1088" t="n">
        <v>16.11222038618073</v>
      </c>
      <c r="L1088" t="n">
        <v>52.63443737455322</v>
      </c>
      <c r="M1088" t="n">
        <v>35.54969851583613</v>
      </c>
      <c r="N1088" t="inlineStr">
        <is>
          <t>Operationnel</t>
        </is>
      </c>
      <c r="O1088" t="inlineStr"/>
      <c r="P1088" t="inlineStr">
        <is>
          <t>AKTIVCO GRID ONLY</t>
        </is>
      </c>
      <c r="Q1088" t="inlineStr">
        <is>
          <t>POWER ISSUE</t>
        </is>
      </c>
      <c r="R1088" t="inlineStr">
        <is>
          <t>AKTIVCO Coupure ENEO &amp; Baisse de tension</t>
        </is>
      </c>
      <c r="S1088" t="inlineStr">
        <is>
          <t>PASSIVE</t>
        </is>
      </c>
      <c r="T1088" t="inlineStr">
        <is>
          <t>site down..;INC-20260331-00012624...2026-03-31 18:49:30...Grid outage, Grid only site / Grid return awaited</t>
        </is>
      </c>
      <c r="U1088" t="inlineStr">
        <is>
          <t>site down.;.2026-03-31 18 : 49 : 30.Grid outage, Grid only site / Grid return awaited</t>
        </is>
      </c>
    </row>
    <row r="1089">
      <c r="A1089" t="inlineStr">
        <is>
          <t>4/31/2026</t>
        </is>
      </c>
      <c r="B1089" t="inlineStr">
        <is>
          <t>Shell-NewBell-Carrefour</t>
        </is>
      </c>
      <c r="C1089" t="inlineStr">
        <is>
          <t>LIT_407</t>
        </is>
      </c>
      <c r="D1089" t="inlineStr"/>
      <c r="E1089" t="inlineStr">
        <is>
          <t>IHS</t>
        </is>
      </c>
      <c r="F1089" t="inlineStr">
        <is>
          <t>GridOnly</t>
        </is>
      </c>
      <c r="G1089" t="inlineStr">
        <is>
          <t>LITTORAL</t>
        </is>
      </c>
      <c r="H1089" t="inlineStr">
        <is>
          <t>Douala</t>
        </is>
      </c>
      <c r="I1089" t="inlineStr"/>
      <c r="J1089" t="n">
        <v>17.71643905694839</v>
      </c>
      <c r="K1089" t="n">
        <v>15.16423646174404</v>
      </c>
      <c r="L1089" t="n">
        <v>49.02048900445865</v>
      </c>
      <c r="M1089" t="n">
        <v>33.18433908906982</v>
      </c>
      <c r="N1089" t="inlineStr">
        <is>
          <t>Operationnel</t>
        </is>
      </c>
      <c r="O1089" t="inlineStr"/>
      <c r="P1089" t="inlineStr">
        <is>
          <t>IHS GRID ONLY</t>
        </is>
      </c>
      <c r="Q1089" t="inlineStr">
        <is>
          <t>POWER ISSUE</t>
        </is>
      </c>
      <c r="R1089" t="inlineStr">
        <is>
          <t>Coupure ENEO &amp; Baisse de tension</t>
        </is>
      </c>
      <c r="S1089" t="inlineStr">
        <is>
          <t>PASSIVE</t>
        </is>
      </c>
      <c r="T1089" t="inlineStr">
        <is>
          <t>INC-20260331-00012579...2026-03-31 23:18:19...Grid only, No space // FME will be on site in the morning...Others</t>
        </is>
      </c>
      <c r="U1089" t="inlineStr">
        <is>
          <t>2026-03-31 23 : 18 : 19.Grid only, No space // FME will be on site in the morning.Others</t>
        </is>
      </c>
    </row>
    <row r="1090">
      <c r="A1090" t="inlineStr">
        <is>
          <t>4/31/2026</t>
        </is>
      </c>
      <c r="B1090" t="inlineStr">
        <is>
          <t>Nkongmondo</t>
        </is>
      </c>
      <c r="C1090" t="inlineStr">
        <is>
          <t>LIT_091</t>
        </is>
      </c>
      <c r="D1090" t="inlineStr"/>
      <c r="E1090" t="inlineStr">
        <is>
          <t>IHS</t>
        </is>
      </c>
      <c r="F1090" t="inlineStr">
        <is>
          <t>GridOnly</t>
        </is>
      </c>
      <c r="G1090" t="inlineStr">
        <is>
          <t>LITTORAL</t>
        </is>
      </c>
      <c r="H1090" t="inlineStr">
        <is>
          <t>Douala</t>
        </is>
      </c>
      <c r="I1090" t="inlineStr"/>
      <c r="J1090" t="n">
        <v>19.23354575574819</v>
      </c>
      <c r="K1090" t="n">
        <v>18.2468311283835</v>
      </c>
      <c r="L1090" t="n">
        <v>42.25347584745669</v>
      </c>
      <c r="M1090" t="n">
        <v>30.90692443348657</v>
      </c>
      <c r="N1090" t="inlineStr">
        <is>
          <t>Operationnel</t>
        </is>
      </c>
      <c r="O1090" t="inlineStr"/>
      <c r="P1090" t="inlineStr">
        <is>
          <t>IHS GRID ONLY</t>
        </is>
      </c>
      <c r="Q1090" t="inlineStr">
        <is>
          <t>POWER ISSUE</t>
        </is>
      </c>
      <c r="R1090" t="inlineStr">
        <is>
          <t>Coupure ENEO &amp; Baisse de tension</t>
        </is>
      </c>
      <c r="S1090" t="inlineStr">
        <is>
          <t>PASSIVE</t>
        </is>
      </c>
      <c r="T1090" t="inlineStr">
        <is>
          <t>site down..;Power status check ongoing..;31.03.26; IHS; (Unstable) 02 /03 phases mssing (escalade L4)
30.03.26; IHS; (Unstable) 02 /03 phases mssing (escalade L3)
29.03.26; IHS; (Unstable) 02 /03 phases mssing (escalade L3)
29.03.26; IHS; (Unstable) 02 /03 phases mssing (escalade L2)..;31.03.26; IHS; (Unstable) 02 /03 phases mssing (escalade L4)
30.03.26; IHS; (Unstable) 02 /03 phases mssing (escalade L3)
29.03.26; IHS; (Unstable) 02 /03 phases mssing (escalade L3)
29.03.26; IHS; (Unstable) 02 /03 phases mssing (escalade L2)..;INC-20260331-00010993...2026-03-31 23:17:18...Grid only, No space // Awaiting grid return...power issue here we have Bad voltage here ...Others Transmission equipement fault</t>
        </is>
      </c>
      <c r="U1090" t="inlineStr">
        <is>
          <t>site down.;Power status check ongoing.;31.03.26; IHS; (Unstable) 02 /03 phases mssing (escalade L4) 30.03.26; IHS; (Unstable) 02 /03 phases mssing (escalade L3) 29.03.26; IHS; (Unstable) 02 /03 phases mssing (escalade L3) 29.03.26; IHS; (Unstable) 02 /03 phases mssing (escalade L2).;31.03.26; IHS; (Unstable) 02 /03 phases mssing (escalade L4) 30.03.26; IHS; (Unstable) 02 /03 phases mssing (escalade L3) 29.03.26; IHS; (Unstable) 02 /03 phases mssing (escalade L3) 29.03.26; IHS; (Unstable) 02 /03 phases mssing (escalade L2).;.2026-03-31 23 : 17 : 18.Grid only, No space // Awaiting grid return.power issue here we have Bad voltage here .</t>
        </is>
      </c>
    </row>
    <row r="1091">
      <c r="A1091" t="inlineStr">
        <is>
          <t>4/31/2026</t>
        </is>
      </c>
      <c r="B1091" t="inlineStr">
        <is>
          <t>Mini-Ferme</t>
        </is>
      </c>
      <c r="C1091" t="inlineStr">
        <is>
          <t>CTR_050</t>
        </is>
      </c>
      <c r="D1091" t="inlineStr"/>
      <c r="E1091" t="inlineStr">
        <is>
          <t>IHS</t>
        </is>
      </c>
      <c r="F1091" t="inlineStr">
        <is>
          <t>GridOnly</t>
        </is>
      </c>
      <c r="G1091" t="inlineStr">
        <is>
          <t>CENTRE</t>
        </is>
      </c>
      <c r="H1091" t="inlineStr">
        <is>
          <t>Yaounde</t>
        </is>
      </c>
      <c r="I1091" t="inlineStr"/>
      <c r="J1091" t="n">
        <v>13.62748242469296</v>
      </c>
      <c r="K1091" t="n">
        <v>13.23113339861481</v>
      </c>
      <c r="L1091" t="n">
        <v>43.56967536504061</v>
      </c>
      <c r="M1091" t="n">
        <v>29.10893451815326</v>
      </c>
      <c r="N1091" t="inlineStr">
        <is>
          <t>Operationnel</t>
        </is>
      </c>
      <c r="O1091" t="inlineStr"/>
      <c r="P1091" t="inlineStr">
        <is>
          <t>IHS GRID ONLY</t>
        </is>
      </c>
      <c r="Q1091" t="inlineStr">
        <is>
          <t>POWER ISSUE</t>
        </is>
      </c>
      <c r="R1091" t="inlineStr">
        <is>
          <t>Coupure ENEO &amp; Baisse de tension</t>
        </is>
      </c>
      <c r="S1091" t="inlineStr">
        <is>
          <t>PASSIVE</t>
        </is>
      </c>
      <c r="T1091" t="inlineStr">
        <is>
          <t>31/03/2026 : Power issue || Mail sent to IHS..;31/03/2026 : Power issue || Mail sent to IHS..;31/03/2026 : Power issue || Mail sent to IHS..;31/03/2026 Feedback IHS :Solar Only, Solar return is awaited..;Power status check ongoing..;INC-20260331-00008435...2026-03-31 14:26:02...Grid outage awaiting grid returned...Others</t>
        </is>
      </c>
      <c r="U1091" t="inlineStr">
        <is>
          <t>31/03/2026 : Power issue || Mail sent to IHS.;31/03/2026 : Power issue || Mail sent to IHS.;31/03/2026 : Power issue || Mail sent to IHS.;31/03/2026 Feedback IHS : Solar Only, Solar return is awaited.;.2026-03-31 14 : 26 : 02.Grid outage awaiting grid returned.Others</t>
        </is>
      </c>
    </row>
    <row r="1092">
      <c r="A1092" t="inlineStr">
        <is>
          <t>4/31/2026</t>
        </is>
      </c>
      <c r="B1092" t="inlineStr">
        <is>
          <t>Newb-Srce-Quartier</t>
        </is>
      </c>
      <c r="C1092" t="inlineStr">
        <is>
          <t>LIT_095</t>
        </is>
      </c>
      <c r="D1092" t="inlineStr"/>
      <c r="E1092" t="inlineStr">
        <is>
          <t>IHS</t>
        </is>
      </c>
      <c r="F1092" t="inlineStr">
        <is>
          <t>GridOnly</t>
        </is>
      </c>
      <c r="G1092" t="inlineStr">
        <is>
          <t>LITTORAL</t>
        </is>
      </c>
      <c r="H1092" t="inlineStr">
        <is>
          <t>Douala</t>
        </is>
      </c>
      <c r="I1092" t="inlineStr"/>
      <c r="J1092" t="n">
        <v>13.30025598599571</v>
      </c>
      <c r="K1092" t="n">
        <v>11.31938706814774</v>
      </c>
      <c r="L1092" t="n">
        <v>44.32362153537028</v>
      </c>
      <c r="M1092" t="n">
        <v>28.8135856212172</v>
      </c>
      <c r="N1092" t="inlineStr">
        <is>
          <t>Operationnel</t>
        </is>
      </c>
      <c r="O1092" t="inlineStr"/>
      <c r="P1092" t="inlineStr">
        <is>
          <t>IHS GRID ONLY</t>
        </is>
      </c>
      <c r="Q1092" t="inlineStr">
        <is>
          <t>POWER ISSUE</t>
        </is>
      </c>
      <c r="R1092" t="inlineStr">
        <is>
          <t>Coupure ENEO &amp; Baisse de tension</t>
        </is>
      </c>
      <c r="S1092" t="inlineStr">
        <is>
          <t>PASSIVE</t>
        </is>
      </c>
      <c r="T1092" t="inlineStr">
        <is>
          <t xml:space="preserve">31/03/2026  grid outage awaiting grid returned..;grid outage awaiting grid returned..;INC-20260331-00008274...2026-03-31 21:30:09...AOF LIT_095_Z_Newb-Srce-Quartier&lt;&gt;LIT_053_Z_Shell-Newbell down, CDS activé pour restauration, update ASAP...SD card has problem we are manage to change </t>
        </is>
      </c>
      <c r="U1092" t="inlineStr">
        <is>
          <t>31/03/2026 grid outage awaiting grid returned.;grid outage awaiting grid returned.;.2026-03-31 21 : 30 : 09.AOF LIT_095_Z_Newb-Srce-Quartier&lt;&gt;LIT_053_Z_Shell-Newbell down, CDS activé pour restauration, update ASAP.SD card has problem we are manage to change</t>
        </is>
      </c>
    </row>
    <row r="1093">
      <c r="A1093" t="inlineStr">
        <is>
          <t>4/31/2026</t>
        </is>
      </c>
      <c r="B1093" t="inlineStr">
        <is>
          <t>PK17-University-IHS</t>
        </is>
      </c>
      <c r="C1093" t="inlineStr">
        <is>
          <t>LIT_234</t>
        </is>
      </c>
      <c r="D1093" t="inlineStr"/>
      <c r="E1093" t="inlineStr">
        <is>
          <t>IHS</t>
        </is>
      </c>
      <c r="F1093" t="inlineStr">
        <is>
          <t>Grid-Gen</t>
        </is>
      </c>
      <c r="G1093" t="inlineStr">
        <is>
          <t>LITTORAL</t>
        </is>
      </c>
      <c r="H1093" t="inlineStr">
        <is>
          <t>Douala</t>
        </is>
      </c>
      <c r="I1093" t="inlineStr"/>
      <c r="J1093" t="n">
        <v>12.69126510237442</v>
      </c>
      <c r="K1093" t="n">
        <v>10.6514844735491</v>
      </c>
      <c r="L1093" t="n">
        <v>43.47576127188</v>
      </c>
      <c r="M1093" t="n">
        <v>28.06024974816869</v>
      </c>
      <c r="N1093" t="inlineStr">
        <is>
          <t>Operationnel</t>
        </is>
      </c>
      <c r="O1093" t="inlineStr"/>
      <c r="P1093" t="inlineStr">
        <is>
          <t>Fiber AOF</t>
        </is>
      </c>
      <c r="Q1093" t="inlineStr">
        <is>
          <t>TX ISSUE</t>
        </is>
      </c>
      <c r="R1093" t="inlineStr">
        <is>
          <t>fiber AOF</t>
        </is>
      </c>
      <c r="S1093" t="inlineStr">
        <is>
          <t>ACTIVE</t>
        </is>
      </c>
      <c r="T1093" t="inlineStr">
        <is>
          <t xml:space="preserve">AOF DOWN UP APRES RACCORDEMENT </t>
        </is>
      </c>
      <c r="U1093" t="inlineStr">
        <is>
          <t>AOF DOWN UP APRES RACCORDEMENT</t>
        </is>
      </c>
    </row>
    <row r="1094">
      <c r="A1094" t="inlineStr">
        <is>
          <t>4/31/2026</t>
        </is>
      </c>
      <c r="B1094" t="inlineStr">
        <is>
          <t>MUTENGENE-Q12-IHS</t>
        </is>
      </c>
      <c r="C1094" t="inlineStr">
        <is>
          <t>SUO_211</t>
        </is>
      </c>
      <c r="D1094" t="inlineStr"/>
      <c r="E1094" t="inlineStr">
        <is>
          <t>IHS</t>
        </is>
      </c>
      <c r="F1094" t="inlineStr">
        <is>
          <t>Grid +Gen</t>
        </is>
      </c>
      <c r="G1094" t="inlineStr">
        <is>
          <t>SUD-OUEST</t>
        </is>
      </c>
      <c r="H1094" t="inlineStr">
        <is>
          <t>Mutengene</t>
        </is>
      </c>
      <c r="I1094" t="inlineStr"/>
      <c r="J1094" t="n">
        <v>64.74212558301261</v>
      </c>
      <c r="K1094" t="n">
        <v>55.08124483613329</v>
      </c>
      <c r="L1094" t="n">
        <v>0</v>
      </c>
      <c r="M1094" t="n">
        <v>27.73657874686459</v>
      </c>
      <c r="N1094" t="inlineStr">
        <is>
          <t>Insecurity</t>
        </is>
      </c>
      <c r="O1094" t="inlineStr"/>
      <c r="P1094" t="inlineStr">
        <is>
          <t>SPARE-ISSUE</t>
        </is>
      </c>
      <c r="Q1094" t="inlineStr">
        <is>
          <t>SPARE-ISSUE</t>
        </is>
      </c>
      <c r="R1094" t="inlineStr">
        <is>
          <t>SPARE-ISSUE</t>
        </is>
      </c>
      <c r="S1094" t="inlineStr">
        <is>
          <t>SPARE-ISSUE</t>
        </is>
      </c>
      <c r="T1094" t="inlineStr">
        <is>
          <t xml:space="preserve">31/03/2026 expedition de l ODU 3DB29118AB EN cours ETD=31/03/2026  || FME sur site travaux en cours
30/03/2026 expedition de l ODU 3DB29118AB EN cours ETD=30/03/2026
29.03.2026: FME on the site after investigation repport ODU Faulty Commande en cours
28.03.2026: Power Issue solved but site remain down. Need FME on the site for troubleshooting
27/03/2026 Power issue en attente de retour IHS ..;31/03/2026 expedition de l ODU 3DB29118AB EN cours ETD=31/03/2026  || FME sur site 
30/03/2026 expedition de l ODU 3DB29118AB EN cours ETD=30/03/2026
29.03.2026: FME on the site after investigation repport ODU Faulty Commande en cours
28.03.2026: Power Issue solved but site remain down. Need FME on the site for troubleshooting
27/03/2026 Power issue en attente de retour IHS ..;31/03/2026expedition de l ODU 3DB29118AB EN cours ETD=31/03/2026
30/03/2026 expedition de l ODU 3DB29118AB EN cours ETD=30/03/2026
29.03.2026: FME on the site after investigation repport ODU Faulty Commande en cours
28.03.2026: Power Issue solved but site remain down. Need FME on the site for troubleshooting
27/03/2026 Power issue en attente de retour IHS </t>
        </is>
      </c>
      <c r="U1094" t="inlineStr">
        <is>
          <t>31/03/2026 expedition de l ODU 3DB29118AB EN cours ETD=31/03/2026 || FME sur site travaux en cours 30/03/2026 expedition de l ODU 3DB29118AB EN cours ETD=30/03/2026 29.03.2026 : FME on the site after investigation repport ODU Faulty Commande en cours 28.03.2026 : Power Issue solved but site remain down. Need FME on the site for troubleshooting 27/03/2026 Power issue en attente de retour IHS .;31/03/2026 expedition de l ODU 3DB29118AB EN cours ETD=31/03/2026 || FME sur site 30/03/2026 expedition de l ODU 3DB29118AB EN cours ETD=30/03/2026 29.03.2026 : FME on the site after investigation repport ODU Faulty Commande en cours 28.03.2026 : Power Issue solved but site remain down. Need FME on the site for troubleshooting 27/03/2026 Power issue en attente de retour IHS .;31/03/2026expedition de l ODU 3DB29118AB EN cours ETD=31/03/2026 30/03/2026 expedition de l ODU 3DB29118AB EN cours ETD=30/03/2026 29.03.2026 : FME on the site after investigation repport ODU Faulty Commande en cours 28.03.2026 : Power Issue solved but site remain down. Need FME on the site for troubleshooting 27/03/2026 Power issue en attente de retour IHS</t>
        </is>
      </c>
    </row>
    <row r="1095">
      <c r="A1095" t="inlineStr">
        <is>
          <t>4/31/2026</t>
        </is>
      </c>
      <c r="B1095" t="inlineStr">
        <is>
          <t>Kumba-Lutherian-Church-MTN</t>
        </is>
      </c>
      <c r="C1095" t="inlineStr">
        <is>
          <t>SUO_054</t>
        </is>
      </c>
      <c r="D1095" t="inlineStr"/>
      <c r="E1095" t="inlineStr">
        <is>
          <t>IHS</t>
        </is>
      </c>
      <c r="F1095" t="inlineStr">
        <is>
          <t>Grid-Gen</t>
        </is>
      </c>
      <c r="G1095" t="inlineStr">
        <is>
          <t>SUD-OUEST</t>
        </is>
      </c>
      <c r="H1095" t="inlineStr">
        <is>
          <t>Kumba</t>
        </is>
      </c>
      <c r="I1095" t="inlineStr"/>
      <c r="J1095" t="n">
        <v>14.49288394901862</v>
      </c>
      <c r="K1095" t="n">
        <v>28.84954574973395</v>
      </c>
      <c r="L1095" t="n">
        <v>30.47864586411362</v>
      </c>
      <c r="M1095" t="n">
        <v>27.64897284216955</v>
      </c>
      <c r="N1095" t="inlineStr">
        <is>
          <t>Operationnel</t>
        </is>
      </c>
      <c r="O1095" t="inlineStr"/>
      <c r="P1095" t="inlineStr">
        <is>
          <t>IHS</t>
        </is>
      </c>
      <c r="Q1095" t="inlineStr">
        <is>
          <t>POWER ISSUE</t>
        </is>
      </c>
      <c r="R1095" t="inlineStr">
        <is>
          <t>Defaut GE &amp; Power Cabinet</t>
        </is>
      </c>
      <c r="S1095" t="inlineStr">
        <is>
          <t>PASSIVE</t>
        </is>
      </c>
      <c r="T1095" t="inlineStr">
        <is>
          <t>01/04/2026 powr issue ….Power status check ongoing</t>
        </is>
      </c>
      <c r="U1095" t="inlineStr">
        <is>
          <t>01/04/2026 powr issue ….Power status check ongoing</t>
        </is>
      </c>
    </row>
    <row r="1096">
      <c r="A1096" t="inlineStr">
        <is>
          <t>4/31/2026</t>
        </is>
      </c>
      <c r="B1096" t="inlineStr">
        <is>
          <t>Bertoua-Meteo-II</t>
        </is>
      </c>
      <c r="C1096" t="inlineStr">
        <is>
          <t>EST_124</t>
        </is>
      </c>
      <c r="D1096" t="inlineStr"/>
      <c r="E1096" t="inlineStr">
        <is>
          <t>CAMUSAT</t>
        </is>
      </c>
      <c r="F1096" t="inlineStr">
        <is>
          <t>Good Grid + GE</t>
        </is>
      </c>
      <c r="G1096" t="inlineStr">
        <is>
          <t>EST</t>
        </is>
      </c>
      <c r="H1096" t="inlineStr">
        <is>
          <t>Bertoua</t>
        </is>
      </c>
      <c r="I1096" t="inlineStr"/>
      <c r="J1096" t="n">
        <v>27.80662865844154</v>
      </c>
      <c r="K1096" t="n">
        <v>12.90153844976896</v>
      </c>
      <c r="L1096" t="n">
        <v>33.20605340285028</v>
      </c>
      <c r="M1096" t="n">
        <v>25.61855618620392</v>
      </c>
      <c r="N1096" t="inlineStr">
        <is>
          <t>Operationnel</t>
        </is>
      </c>
      <c r="O1096" t="inlineStr"/>
      <c r="P1096" t="inlineStr">
        <is>
          <t>AKTIVCO</t>
        </is>
      </c>
      <c r="Q1096" t="inlineStr">
        <is>
          <t>POWER ISSUE</t>
        </is>
      </c>
      <c r="R1096" t="inlineStr">
        <is>
          <t>AKTIVCO Defaut GE &amp; Power Cabinet</t>
        </is>
      </c>
      <c r="S1096" t="inlineStr">
        <is>
          <t>PASSIVE</t>
        </is>
      </c>
      <c r="T1096" t="inlineStr">
        <is>
          <t>24/03/2026 : Need  BO RAN analysis ..;24/03/2026 : Need  BO RAN analysis ..;24/03/2026 : Need  BO RAN analysis ..;Power status check ongoing..;Power status check ongoing..;INC-20260331-00014308...GE Fault</t>
        </is>
      </c>
      <c r="U1096" t="inlineStr">
        <is>
          <t>24/03/2026 : Need BO RAN analysis .;24/03/2026 : Need BO RAN analysis .;24/03/2026 : Need BO RAN analysis .;Power status check ongoing.;.GE Fault</t>
        </is>
      </c>
    </row>
    <row r="1097">
      <c r="A1097" t="inlineStr">
        <is>
          <t>4/31/2026</t>
        </is>
      </c>
      <c r="B1097" t="inlineStr">
        <is>
          <t>LIT_825_Z_Camp-Bertaud</t>
        </is>
      </c>
      <c r="C1097" t="inlineStr">
        <is>
          <t>LIT_825</t>
        </is>
      </c>
      <c r="D1097" t="inlineStr"/>
      <c r="E1097" t="inlineStr">
        <is>
          <t>ESCO</t>
        </is>
      </c>
      <c r="F1097" t="inlineStr">
        <is>
          <t>Good Grid no GE - 8h</t>
        </is>
      </c>
      <c r="G1097" t="inlineStr">
        <is>
          <t>LIT</t>
        </is>
      </c>
      <c r="H1097" t="inlineStr">
        <is>
          <t>Douala</t>
        </is>
      </c>
      <c r="I1097" t="inlineStr"/>
      <c r="J1097" t="n">
        <v>11.62927792365582</v>
      </c>
      <c r="K1097" t="n">
        <v>10.0553553760315</v>
      </c>
      <c r="L1097" t="n">
        <v>35.66861362278301</v>
      </c>
      <c r="M1097" t="n">
        <v>23.6371324903762</v>
      </c>
      <c r="N1097" t="inlineStr"/>
      <c r="O1097" t="inlineStr"/>
      <c r="P1097" t="inlineStr">
        <is>
          <t>AKTIVCO GRID ONLY</t>
        </is>
      </c>
      <c r="Q1097" t="inlineStr">
        <is>
          <t>POWER ISSUE</t>
        </is>
      </c>
      <c r="R1097" t="inlineStr">
        <is>
          <t>AKTIVCO Coupure ENEO &amp; Baisse de tension</t>
        </is>
      </c>
      <c r="S1097" t="inlineStr">
        <is>
          <t>PASSIVE</t>
        </is>
      </c>
      <c r="T1097" t="inlineStr">
        <is>
          <t>site down..;site down..;31.03.2026 CAMUSAT: Grid outage no space. Awaiting grid return</t>
        </is>
      </c>
      <c r="U1097" t="inlineStr">
        <is>
          <t>site down.;site down.;31.03.2026 CAMUSAT : Grid outage no space. Awaiting grid return</t>
        </is>
      </c>
    </row>
    <row r="1098">
      <c r="A1098" t="inlineStr">
        <is>
          <t>4/31/2026</t>
        </is>
      </c>
      <c r="B1098" t="inlineStr">
        <is>
          <t>Goulfey</t>
        </is>
      </c>
      <c r="C1098" t="inlineStr">
        <is>
          <t>EXN_021</t>
        </is>
      </c>
      <c r="D1098" t="inlineStr"/>
      <c r="E1098" t="inlineStr">
        <is>
          <t>IHS</t>
        </is>
      </c>
      <c r="F1098" t="inlineStr">
        <is>
          <t>Solar-Gen</t>
        </is>
      </c>
      <c r="G1098" t="inlineStr">
        <is>
          <t>EXTREME-NORD</t>
        </is>
      </c>
      <c r="H1098" t="inlineStr">
        <is>
          <t>Goulfey</t>
        </is>
      </c>
      <c r="I1098" t="inlineStr"/>
      <c r="J1098" t="n">
        <v>32.73073378922354</v>
      </c>
      <c r="K1098" t="n">
        <v>55.08124483613329</v>
      </c>
      <c r="L1098" t="n">
        <v>0</v>
      </c>
      <c r="M1098" t="n">
        <v>23.16535495839024</v>
      </c>
      <c r="N1098" t="inlineStr">
        <is>
          <t>Insecurity</t>
        </is>
      </c>
      <c r="O1098" t="inlineStr"/>
      <c r="P1098" t="inlineStr">
        <is>
          <t>PDH</t>
        </is>
      </c>
      <c r="Q1098" t="inlineStr">
        <is>
          <t>TX ISSUE</t>
        </is>
      </c>
      <c r="R1098" t="inlineStr">
        <is>
          <t>MPR ISSUE</t>
        </is>
      </c>
      <c r="S1098" t="inlineStr">
        <is>
          <t>ACTIVE</t>
        </is>
      </c>
      <c r="T1098" t="inlineStr">
        <is>
          <t>31/03/2026 : Check breaker and  interconnection(sfp, optical fiber) between system and radio module, swap its if needed..;31/03/2026 : Check breaker and  interconnection(sfp, optical fiber) between system and radio module, swap its if needed..;31/03/2026 : Check breaker and  interconnection(sfp, optical fiber) between system and radio module, swap its if needed..;INC-20260331-00002820...Others Transmission equipement fault</t>
        </is>
      </c>
      <c r="U1098" t="inlineStr">
        <is>
          <t>31/03/2026 : Check breaker and interconnection(sfp, optical fiber) between system and radio module, swap its if needed.;31/03/2026 : Check breaker and interconnection(sfp, optical fiber) between system and radio module, swap its if needed.;31/03/2026 : Check breaker and interconnection(sfp, optical fiber) between system and radio module, swap its if needed.;.</t>
        </is>
      </c>
    </row>
    <row r="1099">
      <c r="A1099" t="inlineStr">
        <is>
          <t>4/31/2026</t>
        </is>
      </c>
      <c r="B1099" t="inlineStr">
        <is>
          <t>OST_406_H_Chefferie-Bangangte</t>
        </is>
      </c>
      <c r="C1099" t="inlineStr">
        <is>
          <t>OST_406</t>
        </is>
      </c>
      <c r="D1099" t="inlineStr"/>
      <c r="E1099" t="inlineStr">
        <is>
          <t>ESCO</t>
        </is>
      </c>
      <c r="F1099" t="inlineStr">
        <is>
          <t>Hybrid Solar - S1</t>
        </is>
      </c>
      <c r="G1099" t="inlineStr">
        <is>
          <t>OST</t>
        </is>
      </c>
      <c r="H1099" t="inlineStr">
        <is>
          <t>Bangante</t>
        </is>
      </c>
      <c r="I1099" t="inlineStr"/>
      <c r="J1099" t="n">
        <v>32.37293622531563</v>
      </c>
      <c r="K1099" t="n">
        <v>55.08124483613329</v>
      </c>
      <c r="L1099" t="n">
        <v>0</v>
      </c>
      <c r="M1099" t="n">
        <v>23.11426149934509</v>
      </c>
      <c r="N1099" t="inlineStr"/>
      <c r="O1099" t="inlineStr"/>
      <c r="P1099" t="inlineStr">
        <is>
          <t>PDH</t>
        </is>
      </c>
      <c r="Q1099" t="inlineStr">
        <is>
          <t>TX ISSUE</t>
        </is>
      </c>
      <c r="R1099" t="inlineStr">
        <is>
          <t>MPR ISSUE</t>
        </is>
      </c>
      <c r="S1099" t="inlineStr">
        <is>
          <t>ACTIVE</t>
        </is>
      </c>
      <c r="T1099" t="inlineStr">
        <is>
          <t>OST_406_H_Chefferie-Bangangte: tx issue reset MPR</t>
        </is>
      </c>
      <c r="U1099" t="inlineStr">
        <is>
          <t>OST_406_H_Chefferie-Bangangte : tx issue reset MPR</t>
        </is>
      </c>
    </row>
    <row r="1100">
      <c r="A1100" t="inlineStr">
        <is>
          <t>4/31/2026</t>
        </is>
      </c>
      <c r="B1100" t="inlineStr">
        <is>
          <t>Logpom-Akanji-Immeuble</t>
        </is>
      </c>
      <c r="C1100" t="inlineStr">
        <is>
          <t>LIT_618</t>
        </is>
      </c>
      <c r="D1100" t="inlineStr"/>
      <c r="E1100" t="inlineStr">
        <is>
          <t>CAMUSAT</t>
        </is>
      </c>
      <c r="F1100" t="inlineStr">
        <is>
          <t>Good Grid no GE - 8h</t>
        </is>
      </c>
      <c r="G1100" t="inlineStr">
        <is>
          <t>LITTORAL</t>
        </is>
      </c>
      <c r="H1100" t="inlineStr">
        <is>
          <t>Douala</t>
        </is>
      </c>
      <c r="I1100" t="inlineStr"/>
      <c r="J1100" t="n">
        <v>10.52432666290981</v>
      </c>
      <c r="K1100" t="n">
        <v>8.990865693564674</v>
      </c>
      <c r="L1100" t="n">
        <v>34.42690241361271</v>
      </c>
      <c r="M1100" t="n">
        <v>22.47444589978683</v>
      </c>
      <c r="N1100" t="inlineStr">
        <is>
          <t>Operationnel</t>
        </is>
      </c>
      <c r="O1100" t="inlineStr"/>
      <c r="P1100" t="inlineStr">
        <is>
          <t>AKTIVCO GRID ONLY</t>
        </is>
      </c>
      <c r="Q1100" t="inlineStr">
        <is>
          <t>POWER ISSUE</t>
        </is>
      </c>
      <c r="R1100" t="inlineStr">
        <is>
          <t>AKTIVCO Coupure ENEO &amp; Baisse de tension</t>
        </is>
      </c>
      <c r="S1100" t="inlineStr">
        <is>
          <t>PASSIVE</t>
        </is>
      </c>
      <c r="T1100" t="inlineStr">
        <is>
          <t xml:space="preserve">grid ouatge grid only site no space awaited grid return </t>
        </is>
      </c>
      <c r="U1100" t="inlineStr">
        <is>
          <t>grid ouatge grid only site no space awaited grid return</t>
        </is>
      </c>
    </row>
    <row r="1101">
      <c r="A1101" t="inlineStr">
        <is>
          <t>4/31/2026</t>
        </is>
      </c>
      <c r="B1101" t="inlineStr">
        <is>
          <t>Bibemire</t>
        </is>
      </c>
      <c r="C1101" t="inlineStr">
        <is>
          <t>NRD_039</t>
        </is>
      </c>
      <c r="D1101" t="inlineStr"/>
      <c r="E1101" t="inlineStr">
        <is>
          <t>IHS</t>
        </is>
      </c>
      <c r="F1101" t="inlineStr">
        <is>
          <t>Grid-Gen</t>
        </is>
      </c>
      <c r="G1101" t="inlineStr">
        <is>
          <t>NORD</t>
        </is>
      </c>
      <c r="H1101" t="inlineStr">
        <is>
          <t>Garoua</t>
        </is>
      </c>
      <c r="I1101" t="inlineStr"/>
      <c r="J1101" t="n">
        <v>21.58195748354376</v>
      </c>
      <c r="K1101" t="n">
        <v>27.54062241806665</v>
      </c>
      <c r="L1101" t="n">
        <v>17.7294486141481</v>
      </c>
      <c r="M1101" t="n">
        <v>21.57331073272209</v>
      </c>
      <c r="N1101" t="inlineStr">
        <is>
          <t>Exclu</t>
        </is>
      </c>
      <c r="O1101" t="inlineStr">
        <is>
          <t xml:space="preserve"> Site vendalisé,</t>
        </is>
      </c>
      <c r="P1101" t="inlineStr">
        <is>
          <t>Exclu</t>
        </is>
      </c>
      <c r="Q1101" t="inlineStr">
        <is>
          <t>Exclu</t>
        </is>
      </c>
      <c r="R1101" t="inlineStr">
        <is>
          <t>exclu</t>
        </is>
      </c>
      <c r="S1101" t="inlineStr">
        <is>
          <t>Exclu</t>
        </is>
      </c>
      <c r="T1101" t="inlineStr">
        <is>
          <t>2703/2026 : En aattente de spare
26/03/2026 : Besoin d'analyse BO RAN || Restauration action ongoing because site was vandalised..;31/03/2026 : SFP faulty || Acces site bloque par HIS pour remplacement de la SPARE
2703/2026 : En aattente de spare
26/03/2026 : Besoin d'analyse BO RAN || Restauration action ongoing because site was vandalised..;31/03/2026 : SFP faulty || Acces site bloque par HIS pour remplacement de la SPARE
2703/2026 : En aattente de spare
26/03/2026 : Besoin d'analyse BO RAN || Restauration action ongoing because site was vandalised..;31/03/2026 : SFP faulty || Acces site bloque par HIS pour remplacement de la SPARE
2703/2026 : En aattente de spare
26/03/2026 : Besoin d'analyse BO RAN || Restauration action ongoing because site was vandalised</t>
        </is>
      </c>
      <c r="U1101" t="inlineStr">
        <is>
          <t>2703/2026 : En aattente de spare 26/03/2026 : Besoin d'analyse BO RAN || Restauration action ongoing because site was vandalised.;31/03/2026 : SFP faulty || Acces site bloque par HIS pour remplacement de la SPARE 2703/2026 : En aattente de spare 26/03/2026 : Besoin d'analyse BO RAN || Restauration action ongoing because site was vandalised.;31/03/2026 : SFP faulty || Acces site bloque par HIS pour remplacement de la SPARE 2703/2026 : En aattente de spare 26/03/2026 : Besoin d'analyse BO RAN || Restauration action ongoing because site was vandalised.;31/03/2026 : SFP faulty || Acces site bloque par HIS pour remplacement de la SPARE 2703/2026 : En aattente de spare 26/03/2026 : Besoin d'analyse BO RAN || Restauration action ongoing because site was vandalised</t>
        </is>
      </c>
    </row>
    <row r="1102">
      <c r="A1102" t="inlineStr">
        <is>
          <t>4/31/2026</t>
        </is>
      </c>
      <c r="B1102" t="inlineStr">
        <is>
          <t>MUTENGUENE BAGDAD-MTN</t>
        </is>
      </c>
      <c r="C1102" t="inlineStr">
        <is>
          <t>SUO_225</t>
        </is>
      </c>
      <c r="D1102" t="inlineStr"/>
      <c r="E1102" t="inlineStr">
        <is>
          <t>MTN sharing</t>
        </is>
      </c>
      <c r="F1102" t="inlineStr"/>
      <c r="G1102" t="inlineStr">
        <is>
          <t>SUD-OUEST</t>
        </is>
      </c>
      <c r="H1102" t="inlineStr">
        <is>
          <t>Mutengene</t>
        </is>
      </c>
      <c r="I1102" t="inlineStr"/>
      <c r="J1102" t="n">
        <v>22.7185073278739</v>
      </c>
      <c r="K1102" t="n">
        <v>20.78068526848707</v>
      </c>
      <c r="L1102" t="n">
        <v>17.7798940939048</v>
      </c>
      <c r="M1102" t="n">
        <v>19.49252781558815</v>
      </c>
      <c r="N1102" t="inlineStr">
        <is>
          <t>Insecurity</t>
        </is>
      </c>
      <c r="O1102" t="inlineStr"/>
      <c r="P1102" t="inlineStr">
        <is>
          <t>Partners</t>
        </is>
      </c>
      <c r="Q1102" t="inlineStr">
        <is>
          <t>POWER ISSUE</t>
        </is>
      </c>
      <c r="R1102" t="inlineStr">
        <is>
          <t>Sharing</t>
        </is>
      </c>
      <c r="S1102" t="inlineStr">
        <is>
          <t>PASSIVE</t>
        </is>
      </c>
      <c r="T1102" t="inlineStr">
        <is>
          <t>01/04/2026 : : instabilité power point chez MTN…..Power status check ongoing</t>
        </is>
      </c>
      <c r="U1102" t="inlineStr">
        <is>
          <t>01/04/2026 : : instabilité power point chez MTN….Power status check ongoing</t>
        </is>
      </c>
    </row>
    <row r="1103">
      <c r="A1103" t="inlineStr">
        <is>
          <t>4/31/2026</t>
        </is>
      </c>
      <c r="B1103" t="inlineStr">
        <is>
          <t>Makepe-Bloc-E</t>
        </is>
      </c>
      <c r="C1103" t="inlineStr">
        <is>
          <t>LIT_613</t>
        </is>
      </c>
      <c r="D1103" t="inlineStr"/>
      <c r="E1103" t="inlineStr">
        <is>
          <t>CAMUSAT</t>
        </is>
      </c>
      <c r="F1103" t="inlineStr">
        <is>
          <t>Good Grid no GE - 8h</t>
        </is>
      </c>
      <c r="G1103" t="inlineStr">
        <is>
          <t>LITTORAL</t>
        </is>
      </c>
      <c r="H1103" t="inlineStr">
        <is>
          <t>Douala</t>
        </is>
      </c>
      <c r="I1103" t="inlineStr"/>
      <c r="J1103" t="n">
        <v>6.613471138128524</v>
      </c>
      <c r="K1103" t="n">
        <v>10.8915617742961</v>
      </c>
      <c r="L1103" t="n">
        <v>26.98761346299908</v>
      </c>
      <c r="M1103" t="n">
        <v>18.67455761871742</v>
      </c>
      <c r="N1103" t="inlineStr">
        <is>
          <t>Operationnel</t>
        </is>
      </c>
      <c r="O1103" t="inlineStr"/>
      <c r="P1103" t="inlineStr">
        <is>
          <t>AKTIVCO GRID ONLY</t>
        </is>
      </c>
      <c r="Q1103" t="inlineStr">
        <is>
          <t>POWER ISSUE</t>
        </is>
      </c>
      <c r="R1103" t="inlineStr">
        <is>
          <t>AKTIVCO Coupure ENEO &amp; Baisse de tension</t>
        </is>
      </c>
      <c r="S1103" t="inlineStr">
        <is>
          <t>PASSIVE</t>
        </is>
      </c>
      <c r="T1103" t="inlineStr">
        <is>
          <t>01/04/2026 : : grid outage  …..31/03/2026 : Besoin d'analyse BO RAN</t>
        </is>
      </c>
      <c r="U1103" t="inlineStr">
        <is>
          <t>01/04/2026 : : grid outage ….31/03/2026 : Besoin d'analyse BO RAN</t>
        </is>
      </c>
    </row>
    <row r="1104">
      <c r="A1104" t="inlineStr">
        <is>
          <t>4/31/2026</t>
        </is>
      </c>
      <c r="B1104" t="inlineStr">
        <is>
          <t>Ngomedzap</t>
        </is>
      </c>
      <c r="C1104" t="inlineStr">
        <is>
          <t>CTR_188</t>
        </is>
      </c>
      <c r="D1104" t="inlineStr"/>
      <c r="E1104" t="inlineStr">
        <is>
          <t>IHS</t>
        </is>
      </c>
      <c r="F1104" t="inlineStr">
        <is>
          <t>Grid-Gen</t>
        </is>
      </c>
      <c r="G1104" t="inlineStr">
        <is>
          <t>CENTRE</t>
        </is>
      </c>
      <c r="H1104" t="inlineStr">
        <is>
          <t>Ngomedzap</t>
        </is>
      </c>
      <c r="I1104" t="inlineStr"/>
      <c r="J1104" t="n">
        <v>32.72959709491246</v>
      </c>
      <c r="K1104" t="n">
        <v>41.31093362709997</v>
      </c>
      <c r="L1104" t="n">
        <v>0</v>
      </c>
      <c r="M1104" t="n">
        <v>18.54234033867869</v>
      </c>
      <c r="N1104" t="inlineStr">
        <is>
          <t>Operationnel</t>
        </is>
      </c>
      <c r="O1104" t="inlineStr"/>
      <c r="P1104" t="inlineStr">
        <is>
          <t>TRAVAUX OCM</t>
        </is>
      </c>
      <c r="Q1104" t="inlineStr">
        <is>
          <t>TRAVAUX OCM</t>
        </is>
      </c>
      <c r="R1104" t="inlineStr">
        <is>
          <t>Projet OCM (ZTE, NOKIA, autres projets)</t>
        </is>
      </c>
      <c r="S1104" t="inlineStr">
        <is>
          <t>PLANNED WORKS</t>
        </is>
      </c>
      <c r="T1104" t="inlineStr">
        <is>
          <t>23.03.26; UE Relay site, ETR=Mars26..;23.03.26; UE Relay site, ETR=Mars26..;23.03.26; UE Relay site, ETR=Mars26</t>
        </is>
      </c>
      <c r="U1104" t="inlineStr">
        <is>
          <t>23.03.26; UE Relay site, ETR=Mars26.;23.03.26; UE Relay site, ETR=Mars26.;23.03.26; UE Relay site, ETR=Mars26</t>
        </is>
      </c>
    </row>
    <row r="1105">
      <c r="A1105" t="inlineStr">
        <is>
          <t>4/31/2026</t>
        </is>
      </c>
      <c r="B1105" t="inlineStr">
        <is>
          <t>Bfsam-Bamendzi-II</t>
        </is>
      </c>
      <c r="C1105" t="inlineStr">
        <is>
          <t>OST_135</t>
        </is>
      </c>
      <c r="D1105" t="inlineStr"/>
      <c r="E1105" t="inlineStr">
        <is>
          <t>IHS</t>
        </is>
      </c>
      <c r="F1105" t="inlineStr">
        <is>
          <t>GridOnly</t>
        </is>
      </c>
      <c r="G1105" t="inlineStr">
        <is>
          <t>OUEST</t>
        </is>
      </c>
      <c r="H1105" t="inlineStr">
        <is>
          <t>Bafoussam</t>
        </is>
      </c>
      <c r="I1105" t="inlineStr"/>
      <c r="J1105" t="n">
        <v>0</v>
      </c>
      <c r="K1105" t="n">
        <v>0</v>
      </c>
      <c r="L1105" t="n">
        <v>35.45889722829621</v>
      </c>
      <c r="M1105" t="n">
        <v>18.49140919947608</v>
      </c>
      <c r="N1105" t="inlineStr">
        <is>
          <t>Operationnel</t>
        </is>
      </c>
      <c r="O1105" t="inlineStr"/>
      <c r="P1105" t="inlineStr">
        <is>
          <t>IHS GRID ONLY</t>
        </is>
      </c>
      <c r="Q1105" t="inlineStr">
        <is>
          <t>POWER ISSUE</t>
        </is>
      </c>
      <c r="R1105" t="inlineStr">
        <is>
          <t>Coupure ENEO &amp; Baisse de tension</t>
        </is>
      </c>
      <c r="S1105" t="inlineStr">
        <is>
          <t>PASSIVE</t>
        </is>
      </c>
      <c r="T1105" t="inlineStr">
        <is>
          <t>01/04/2026   grid outage</t>
        </is>
      </c>
      <c r="U1105" t="inlineStr">
        <is>
          <t>01/04/2026 grid outage</t>
        </is>
      </c>
    </row>
    <row r="1106">
      <c r="A1106" t="inlineStr">
        <is>
          <t>4/31/2026</t>
        </is>
      </c>
      <c r="B1106" t="inlineStr">
        <is>
          <t>Ngd-CRTV</t>
        </is>
      </c>
      <c r="C1106" t="inlineStr">
        <is>
          <t>ADM_007</t>
        </is>
      </c>
      <c r="D1106" t="inlineStr"/>
      <c r="E1106" t="inlineStr">
        <is>
          <t>CAMUSAT</t>
        </is>
      </c>
      <c r="F1106" t="inlineStr">
        <is>
          <t>Good Grid + Solar + GE</t>
        </is>
      </c>
      <c r="G1106" t="inlineStr">
        <is>
          <t>ADAMAOUA</t>
        </is>
      </c>
      <c r="H1106" t="inlineStr">
        <is>
          <t>Ngaoundere</t>
        </is>
      </c>
      <c r="I1106" t="inlineStr"/>
      <c r="J1106" t="n">
        <v>32.37293622531563</v>
      </c>
      <c r="K1106" t="n">
        <v>41.31093362709997</v>
      </c>
      <c r="L1106" t="n">
        <v>0</v>
      </c>
      <c r="M1106" t="n">
        <v>18.49140919947608</v>
      </c>
      <c r="N1106" t="inlineStr">
        <is>
          <t>Operationnel</t>
        </is>
      </c>
      <c r="O1106" t="inlineStr"/>
      <c r="P1106" t="inlineStr">
        <is>
          <t>AKTIVCO</t>
        </is>
      </c>
      <c r="Q1106" t="inlineStr">
        <is>
          <t>POWER ISSUE</t>
        </is>
      </c>
      <c r="R1106" t="inlineStr">
        <is>
          <t>AKTIVCO Defaut GE &amp; Power Cabinet</t>
        </is>
      </c>
      <c r="S1106" t="inlineStr">
        <is>
          <t>PASSIVE</t>
        </is>
      </c>
      <c r="T1106" t="inlineStr">
        <is>
          <t>31/03/2026  IHS va  finaliser le remplacement du GE sur ce site demain 01/04/2026 14H ensuite sera fait le remplacement de ODU
31.03.2026: Le remplaceemnt de l'ODU S'effectuera apres le remplacement du GE par IHS 
30/03/2026 FME en attente de IHS  pour la visite conjointe 
29.03.2026: une joint visit a été demandé par le BO TX avec l’équipe Power avant installation de l’ODU pour éviter qu’elle ne passe Faulty comme les précédentes car il suspecterait un éventuel défaut énergie. Joint visit prevue demain 30.03.2026
28.03.2026: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19.03.2026:Le second ODU a ete recu remplacement en cours sur le site de Trouamala
17/03/2026 ODU (3DB29180AB ) expedition de  Maroua a destination Ngaoundere ETD = 19.March.2026
17.03.2026: ODU (3DB29171AA) disponible // 3DB29181AA ou 3DB29182AA Attendue. Commande en cours
16.03.2026: Verification par le PM en cours. 
14.03.26; Expedition des ODU de Maroua pour Ngaoundéré, ETD=14.02.26
11.03.26; Suite aux nouvelles recos du BO TX, ODUs à changer à Ngd-CRTV et à Trouamala, point au niveau de l'ing
09.03.2026: En Attente de la clarification du type d'ODU demander par Huawei. Un Update sera partage d'ici 30 minutes
06/03/2026 En attente toujours du Materiel de OCM 
05.03.2026: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Apres action cote Ngd-CTRV, La suite de l'intervention doit se faire sur le site de Trouamala. FME Ndewa a pris le point ETA=2H
11.02.2026: Power Issue solved. Need FME on the site to check MPR status.|  Souleymanou activated ETA=01:00 PM UTC
10/02/2026 FME sur site power issue escalde L2 camusat 
10.02.26; FME en route pour le site, ETA=18H UTC
10.02.26; FME pour vérifier le status de la radio 5.3 et la ligne antenaire  à NGD-Trouamala-ADM_058; FME Ndewa activé pour investigations, update ASAP..;31.03.2026: Le remplaceemnt de l'ODU S'effectuera apres le remplacement du GE par IHS 
30/03/2026 FME en attente de IHS  pour la visite conjointe 
29.03.2026: une joint visit a été demandé par le BO TX avec l’équipe Power avant installation de l’ODU pour éviter qu’elle ne passe Faulty comme les précédentes car il suspecterait un éventuel défaut énergie. Joint visit prevue demain 30.03.2026
28.03.2026: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19.03.2026:Le second ODU a ete recu remplacement en cours sur le site de Trouamala
17/03/2026 ODU (3DB29180AB ) expedition de  Maroua a destination Ngaoundere ETD = 19.March.2026
17.03.2026: ODU (3DB29171AA) disponible // 3DB29181AA ou 3DB29182AA Attendue. Commande en cours
16.03.2026: Verification par le PM en cours. 
14.03.26; Expedition des ODU de Maroua pour Ngaoundéré, ETD=14.02.26
11.03.26; Suite aux nouvelles recos du BO TX, ODUs à changer à Ngd-CRTV et à Trouamala, point au niveau de l'ing
09.03.2026: En Attente de la clarification du type d'ODU demander par Huawei. Un Update sera partage d'ici 30 minutes
06/03/2026 En attente toujours du Materiel de OCM 
05.03.2026: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Apres action cote Ngd-CTRV, La suite de l'intervention doit se faire sur le site de Trouamala. FME Ndewa a pris le point ETA=2H
11.02.2026: Power Issue solved. Need FME on the site to check MPR status.|  Souleymanou activated ETA=01:00 PM UTC
10/02/2026 FME sur site power issue escalde L2 camusat 
10.02.26; FME en route pour le site, ETA=18H UTC
10.02.26; FME pour vérifier le status de la radio 5.3 et la ligne antenaire  à NGD-Trouamala-ADM_058; FME Ndewa activé pour investigations, update ASAP..;31.03.2026: Le remplaceemnt de l'ODU S'effectuera apres le remplacement du GE par IHS 
30/03/2026 FME en attente de IHS  pour la visite conjointe 
29.03.2026: une joint visit a été demandé par le BO TX avec l’équipe Power avant installation de l’ODU pour éviter qu’elle ne passe Faulty comme les précédentes car il suspecterait un éventuel défaut énergie. Joint visit prevue demain 30.03.2026
28.03.2026: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19.03.2026:Le second ODU a ete recu remplacement en cours sur le site de Trouamala
17/03/2026 ODU (3DB29180AB ) expedition de  Maroua a destination Ngaoundere ETD = 19.March.2026
17.03.2026: ODU (3DB29171AA) disponible // 3DB29181AA ou 3DB29182AA Attendue. Commande en cours
16.03.2026: Verification par le PM en cours. 
14.03.26; Expedition des ODU de Maroua pour Ngaoundéré, ETD=14.02.26
11.03.26; Suite aux nouvelles recos du BO TX, ODUs à changer à Ngd-CRTV et à Trouamala, point au niveau de l'ing
09.03.2026: En Attente de la clarification du type d'ODU demander par Huawei. Un Update sera partage d'ici 30 minutes
06/03/2026 En attente toujours du Materiel de OCM 
05.03.2026: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Apres action cote Ngd-CTRV, La suite de l'intervention doit se faire sur le site de Trouamala. FME Ndewa a pris le point ETA=2H
11.02.2026: Power Issue solved. Need FME on the site to check MPR status.|  Souleymanou activated ETA=01:00 PM UTC
10/02/2026 FME sur site power issue escalde L2 camusat 
10.02.26; FME en route pour le site, ETA=18H UTC
10.02.26; FME pour vérifier le status de la radio 5.3 et la ligne antenaire  à NGD-Trouamala-ADM_058; FME Ndewa activé pour investigations, update ASAP</t>
        </is>
      </c>
      <c r="U1106" t="inlineStr">
        <is>
          <t>31/03/2026 IHS va finaliser le remplacement du GE sur ce site demain 01/04/2026 14H ensuite sera fait le remplacement de ODU 31.03.2026 : Le remplaceemnt de l'ODU S'effectuera apres le remplacement du GE par IHS 30/03/2026 FME en attente de IHS pour la visite conjointe 29.03.2026 : une joint visit a été demandé par le BO TX avec l’équipe Power avant installation de l’ODU pour éviter qu’elle ne passe Faulty comme les précédentes car il suspecterait un éventuel défaut énergie. Joint visit prevue demain 30.03.2026 28.03.2026 :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 : Le second ODU a ete recu remplacement en cours sur le site de Trouamala 17/03/2026 ODU (3DB29180AB ) expedition de Maroua a destination Ngaoundere ETD = 19.March.2026 17.03.2026 : ODU (3DB29171AA) disponible // 3DB29181AA ou 3DB29182AA Attendue. Commande en cours 16.03.2026 : Verification par le PM en cours. 14.03.26; Expedition des ODU de Maroua pour Ngaoundéré, ETD=14.02.26 11.03.26; Suite aux nouvelles recos du BO TX, ODUs à changer à Ngd-CRTV et à Trouamala, point au niveau de l'ing 09.03.2026 : En Attente de la clarification du type d'ODU demander par Huawei. Un Update sera partage d'ici 30 minutes 06/03/2026 En attente toujours du Materiel de OCM 05.03.2026 :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 Apres action cote Ngd-CTRV, La suite de l'intervention doit se faire sur le site de Trouamala. FME Ndewa a pris le point ETA=2H 11.02.2026 : Power Issue solved. Need FME on the site to check MPR status.| Souleymanou activated ETA=01 : 00 PM UTC 10/02/2026 FME sur site power issue escalde L2 camusat 10.02.26; FME en route pour le site, ETA=18H UTC 10.02.26; FME pour vérifier le status de la radio 5.3 et la ligne antenaire à NGD-Trouamala-ADM_058; FME Ndewa activé pour investigations, update ASAP.;31.03.2026 : Le remplaceemnt de l'ODU S'effectuera apres le remplacement du GE par IHS 30/03/2026 FME en attente de IHS pour la visite conjointe 29.03.2026 : une joint visit a été demandé par le BO TX avec l’équipe Power avant installation de l’ODU pour éviter qu’elle ne passe Faulty comme les précédentes car il suspecterait un éventuel défaut énergie. Joint visit prevue demain 30.03.2026 28.03.2026 :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 : Le second ODU a ete recu remplacement en cours sur le site de Trouamala 17/03/2026 ODU (3DB29180AB ) expedition de Maroua a destination Ngaoundere ETD = 19.March.2026 17.03.2026 : ODU (3DB29171AA) disponible // 3DB29181AA ou 3DB29182AA Attendue. Commande en cours 16.03.2026 : Verification par le PM en cours. 14.03.26; Expedition des ODU de Maroua pour Ngaoundéré, ETD=14.02.26 11.03.26; Suite aux nouvelles recos du BO TX, ODUs à changer à Ngd-CRTV et à Trouamala, point au niveau de l'ing 09.03.2026 : En Attente de la clarification du type d'ODU demander par Huawei. Un Update sera partage d'ici 30 minutes 06/03/2026 En attente toujours du Materiel de OCM 05.03.2026 :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 Apres action cote Ngd-CTRV, La suite de l'intervention doit se faire sur le site de Trouamala. FME Ndewa a pris le point ETA=2H 11.02.2026 : Power Issue solved. Need FME on the site to check MPR status.| Souleymanou activated ETA=01 : 00 PM UTC 10/02/2026 FME sur site power issue escalde L2 camusat 10.02.26; FME en route pour le site, ETA=18H UTC 10.02.26; FME pour vérifier le status de la radio 5.3 et la ligne antenaire à NGD-Trouamala-ADM_058; FME Ndewa activé pour investigations, update ASAP.;31.03.2026 : Le remplaceemnt de l'ODU S'effectuera apres le remplacement du GE par IHS 30/03/2026 FME en attente de IHS pour la visite conjointe 29.03.2026 : une joint visit a été demandé par le BO TX avec l’équipe Power avant installation de l’ODU pour éviter qu’elle ne passe Faulty comme les précédentes car il suspecterait un éventuel défaut énergie. Joint visit prevue demain 30.03.2026 28.03.2026 : Spare recu hier nuit. FME actuelleemnt sur site mais il fait mauvais temps pour proceder au remplacement. Evidences envoyes 22.03.26; ODU 3DB29182AA not available and order done to OCM; ODU 3DB29181AA (UBT-m)available in Bafoussam ETD 3/27/2026 22.03.26; Commander l'ODU 3DB29181AA et 3DB29182AA (escalade faite à M. Théo car impossible d'avoir le PM) 21.03.26; FME sur site et investigations en cours 20/03/2026 Apres remplacement de L ODU SUR TROUAMALA // remplacement de L ODU sur site de NGD_CRTV en cours 19.03.2026 : Le second ODU a ete recu remplacement en cours sur le site de Trouamala 17/03/2026 ODU (3DB29180AB ) expedition de Maroua a destination Ngaoundere ETD = 19.March.2026 17.03.2026 : ODU (3DB29171AA) disponible // 3DB29181AA ou 3DB29182AA Attendue. Commande en cours 16.03.2026 : Verification par le PM en cours. 14.03.26; Expedition des ODU de Maroua pour Ngaoundéré, ETD=14.02.26 11.03.26; Suite aux nouvelles recos du BO TX, ODUs à changer à Ngd-CRTV et à Trouamala, point au niveau de l'ing 09.03.2026 : En Attente de la clarification du type d'ODU demander par Huawei. Un Update sera partage d'ici 30 minutes 06/03/2026 En attente toujours du Materiel de OCM 05.03.2026 : Possiilite d'utiliser un stock du Projet Mbokolo Phase En Attente de la confrimation de Jose demain 06.03.2025 24.02.26; Retour OCM; Démentellement des ODUs en cours et mise à disposition à Huawei ASAP 21/02/2026 OCM : En attente de la mise a disposition du materiel le 23/02/2026 16/02/2026 ODU recu faulty mail transmis a ORANGE 15.03.26; ODU pas encore arrivé, nouvel ETD ce 15.02.26 soir 14.02.26; ODU pas encore arrivé à Ngd, nouvel ETD=14.02.26 13.02.26; Défaut ODU; ODU expédié de Garoua pour Ngaoundéré, ETD=13.02.26 12.02.26; Apres resolution du soucis power, le site est rester down et après investigation, il en resort que l’ODU soit faulty et l’expedition en cours de GAROUA vers NGAOUNDERE ETD 13-Fev 12.02.26; ODU 3DB29182AA en défaut sur le site porteur et pas disponible dans le grand nord, commande passée à Douala et vérifications du SPM en cours 11/02/2026 FME sur site apres travaux bo tx recommande le remplacement de L ODU commande en cours 11.02.2026 : Apres action cote Ngd-CTRV, La suite de l'intervention doit se faire sur le site de Trouamala. FME Ndewa a pris le point ETA=2H 11.02.2026 : Power Issue solved. Need FME on the site to check MPR status.| Souleymanou activated ETA=01 : 00 PM UTC 10/02/2026 FME sur site power issue escalde L2 camusat 10.02.26; FME en route pour le site, ETA=18H UTC 10.02.26; FME pour vérifier le status de la radio 5.3 et la ligne antenaire à NGD-Trouamala-ADM_058; FME Ndewa activé pour investigations, update ASAP</t>
        </is>
      </c>
    </row>
    <row r="1107">
      <c r="A1107" t="inlineStr">
        <is>
          <t>4/31/2026</t>
        </is>
      </c>
      <c r="B1107" t="inlineStr">
        <is>
          <t>Garoua-Kolbives</t>
        </is>
      </c>
      <c r="C1107" t="inlineStr">
        <is>
          <t>NRD_049</t>
        </is>
      </c>
      <c r="D1107" t="inlineStr"/>
      <c r="E1107" t="inlineStr">
        <is>
          <t>IHS</t>
        </is>
      </c>
      <c r="F1107" t="inlineStr">
        <is>
          <t>Grid-Gen</t>
        </is>
      </c>
      <c r="G1107" t="inlineStr">
        <is>
          <t>NORD</t>
        </is>
      </c>
      <c r="H1107" t="inlineStr">
        <is>
          <t>Garoua</t>
        </is>
      </c>
      <c r="I1107" t="inlineStr"/>
      <c r="J1107" t="n">
        <v>32.37293622531563</v>
      </c>
      <c r="K1107" t="n">
        <v>41.31093362709997</v>
      </c>
      <c r="L1107" t="n">
        <v>0</v>
      </c>
      <c r="M1107" t="n">
        <v>18.49140919947608</v>
      </c>
      <c r="N1107" t="inlineStr">
        <is>
          <t>Operationnel</t>
        </is>
      </c>
      <c r="O1107" t="inlineStr"/>
      <c r="P1107" t="inlineStr">
        <is>
          <t>ACCESS-ISSUE</t>
        </is>
      </c>
      <c r="Q1107" t="inlineStr">
        <is>
          <t>ACCESS-ISSUE</t>
        </is>
      </c>
      <c r="R1107" t="inlineStr">
        <is>
          <t>ACCESS-ISSUE</t>
        </is>
      </c>
      <c r="S1107" t="inlineStr">
        <is>
          <t>ACCESS-ISSUE</t>
        </is>
      </c>
      <c r="T1107" t="inlineStr">
        <is>
          <t>31.03.2026: Point ESCALADE au L3 Romuald pour support
31.03.2026: FME Armel nous remonte un souci d'acces sur le site. ESCALADE vers IHS en cours
31.03.2026: FME Seydou will be on the site at 01:00 PM
30.03.26; Besoin d'un FME sur site pour vérifier la chaine antennaire de l'ODU 3.1; CM-20260330-00005550; FME Seydou activé pour investigations, update ASAP..;31.03.2026: FME Seydou will be on the site at 01:00 PM
30.03.26; Besoin d'un FME sur site pour vérifier la chaine antennaire de l'ODU 3.1; CM-20260330-00005550; FME Seydou activé pour investigations, update ASAP..;31.03.2026: FME Seydou will be on the site at 01:00 PM
30.03.26; Besoin d'un FME sur site pour vérifier la chaine antennaire de l'ODU 3.1; CM-20260330-00005550; FME Seydou activé pour investigations, update ASAP</t>
        </is>
      </c>
      <c r="U1107" t="inlineStr">
        <is>
          <t>31.03.2026 : Point ESCALADE au L3 Romuald pour support 31.03.2026 : FME Armel nous remonte un souci d'acces sur le site. ESCALADE vers IHS en cours 31.03.2026 : FME Seydou will be on the site at 01 : 00 PM 30.03.26; Besoin d'un FME sur site pour vérifier la chaine antennaire de l'ODU 3.1; ; FME Seydou activé pour investigations, update ASAP.;31.03.2026 : FME Seydou will be on the site at 01 : 00 PM 30.03.26; Besoin d'un FME sur site pour vérifier la chaine antennaire de l'ODU 3.1; ; FME Seydou activé pour investigations, update ASAP.;31.03.2026 : FME Seydou will be on the site at 01 : 00 PM 30.03.26; Besoin d'un FME sur site pour vérifier la chaine antennaire de l'ODU 3.1; ; FME Seydou activé pour investigations, update ASAP</t>
        </is>
      </c>
    </row>
    <row r="1108">
      <c r="A1108" t="inlineStr">
        <is>
          <t>4/31/2026</t>
        </is>
      </c>
      <c r="B1108" t="inlineStr">
        <is>
          <t>EXN_350_H_Maroua-Ziling</t>
        </is>
      </c>
      <c r="C1108" t="inlineStr">
        <is>
          <t>EXN_350</t>
        </is>
      </c>
      <c r="D1108" t="inlineStr"/>
      <c r="E1108" t="inlineStr">
        <is>
          <t>ESCO</t>
        </is>
      </c>
      <c r="F1108" t="inlineStr">
        <is>
          <t>Hybrid Solar - S1</t>
        </is>
      </c>
      <c r="G1108" t="inlineStr">
        <is>
          <t>EXN</t>
        </is>
      </c>
      <c r="H1108" t="inlineStr">
        <is>
          <t>Maroua</t>
        </is>
      </c>
      <c r="I1108" t="inlineStr"/>
      <c r="J1108" t="n">
        <v>32.37293622531563</v>
      </c>
      <c r="K1108" t="n">
        <v>41.31093362709997</v>
      </c>
      <c r="L1108" t="n">
        <v>0</v>
      </c>
      <c r="M1108" t="n">
        <v>18.49140919947608</v>
      </c>
      <c r="N1108" t="inlineStr">
        <is>
          <t>exclu</t>
        </is>
      </c>
      <c r="O1108" t="inlineStr">
        <is>
          <t>site vandalise</t>
        </is>
      </c>
      <c r="P1108" t="inlineStr">
        <is>
          <t>Exclu</t>
        </is>
      </c>
      <c r="Q1108" t="inlineStr">
        <is>
          <t>Exclu</t>
        </is>
      </c>
      <c r="R1108" t="inlineStr">
        <is>
          <t>EXCLU</t>
        </is>
      </c>
      <c r="S1108" t="inlineStr">
        <is>
          <t>Exclu</t>
        </is>
      </c>
      <c r="T1108" t="inlineStr">
        <is>
          <t>01/04/2026 : : 	SITE VANDALISE EN ATTENTE DU MATERIELv.......25.03.26; Site vendalisé, commande de matériel passée à OCM; Collecte du matériel en cours
24.03.26: Site vendalisé, commande du matériel passée et vérifications du SPM en cours..;25.03.26; Site vendalisé, commande de matériel passée à OCM; Collecte du matériel en cours
24.03.26: Site vendalisé, commande du matériel passée et vérifications du SPM en cours..;25.03.26; Site vendalisé, commande de matériel passée à OCM; Collecte du matériel en cours
24.03.26: Site vendalisé, commande du matériel passée et vérifications du SPM en cours</t>
        </is>
      </c>
      <c r="U1108" t="inlineStr">
        <is>
          <t>01/04/2026 : : SITE VANDALISE EN ATTENTE DU MATERIELv.25.03.26; Site vendalisé, commande de matériel passée à OCM; Collecte du matériel en cours 24.03.26 : Site vendalisé, commande du matériel passée et vérifications du SPM en cours.;25.03.26; Site vendalisé, commande de matériel passée à OCM; Collecte du matériel en cours 24.03.26 : Site vendalisé, commande du matériel passée et vérifications du SPM en cours.;25.03.26; Site vendalisé, commande de matériel passée à OCM; Collecte du matériel en cours 24.03.26 : Site vendalisé, commande du matériel passée et vérifications du SPM en cours</t>
        </is>
      </c>
    </row>
    <row r="1109">
      <c r="A1109" t="inlineStr">
        <is>
          <t>4/31/2026</t>
        </is>
      </c>
      <c r="B1109" t="inlineStr">
        <is>
          <t>Yao+C649unde</t>
        </is>
      </c>
      <c r="C1109" t="inlineStr">
        <is>
          <t>CTR_375</t>
        </is>
      </c>
      <c r="D1109" t="inlineStr"/>
      <c r="E1109" t="inlineStr">
        <is>
          <t>IHS</t>
        </is>
      </c>
      <c r="F1109" t="inlineStr">
        <is>
          <t>grid only</t>
        </is>
      </c>
      <c r="G1109" t="inlineStr">
        <is>
          <t>CENTRE</t>
        </is>
      </c>
      <c r="H1109" t="inlineStr">
        <is>
          <t>Yaounde</t>
        </is>
      </c>
      <c r="I1109" t="inlineStr"/>
      <c r="J1109" t="n">
        <v>9.544645676214685</v>
      </c>
      <c r="K1109" t="n">
        <v>8.172297193916583</v>
      </c>
      <c r="L1109" t="n">
        <v>26.77885467761951</v>
      </c>
      <c r="M1109" t="n">
        <v>18.07137527002308</v>
      </c>
      <c r="N1109" t="inlineStr">
        <is>
          <t>Operationnel</t>
        </is>
      </c>
      <c r="O1109" t="inlineStr"/>
      <c r="P1109" t="inlineStr">
        <is>
          <t>IHS GRID ONLY</t>
        </is>
      </c>
      <c r="Q1109" t="inlineStr">
        <is>
          <t>POWER ISSUE</t>
        </is>
      </c>
      <c r="R1109" t="inlineStr">
        <is>
          <t>Coupure ENEO &amp; Baisse de tension</t>
        </is>
      </c>
      <c r="S1109" t="inlineStr">
        <is>
          <t>PASSIVE</t>
        </is>
      </c>
      <c r="T1109" t="inlineStr">
        <is>
          <t>site down..;site down..;31/03/2026 Grid outage, no space to deploy MDG, awaiting grid return..;Power status check ongoing..;INC-20260331-00005524...Others</t>
        </is>
      </c>
      <c r="U1109" t="inlineStr">
        <is>
          <t>site down.;site down.;31/03/2026 Grid outage, no space to deploy MDG, awaiting grid return.;.Others</t>
        </is>
      </c>
    </row>
    <row r="1110">
      <c r="A1110" t="inlineStr">
        <is>
          <t>4/31/2026</t>
        </is>
      </c>
      <c r="B1110" t="inlineStr">
        <is>
          <t>Beka-Hossere-MTN-IHS</t>
        </is>
      </c>
      <c r="C1110" t="inlineStr">
        <is>
          <t>ADM_132</t>
        </is>
      </c>
      <c r="D1110" t="inlineStr"/>
      <c r="E1110" t="inlineStr">
        <is>
          <t>IHS</t>
        </is>
      </c>
      <c r="F1110" t="inlineStr">
        <is>
          <t>Grid-Gen</t>
        </is>
      </c>
      <c r="G1110" t="inlineStr">
        <is>
          <t>ADAMAOUA</t>
        </is>
      </c>
      <c r="H1110" t="inlineStr">
        <is>
          <t>Ngaoundere</t>
        </is>
      </c>
      <c r="I1110" t="inlineStr"/>
      <c r="J1110" t="n">
        <v>27.28156760947848</v>
      </c>
      <c r="K1110" t="n">
        <v>34.90210753763035</v>
      </c>
      <c r="L1110" t="n">
        <v>3.521778493522185</v>
      </c>
      <c r="M1110" t="n">
        <v>17.44941258386054</v>
      </c>
      <c r="N1110" t="inlineStr">
        <is>
          <t>Exclu</t>
        </is>
      </c>
      <c r="O1110" t="inlineStr">
        <is>
          <t>site scelle par la justice</t>
        </is>
      </c>
      <c r="P1110" t="inlineStr">
        <is>
          <t>Exclu</t>
        </is>
      </c>
      <c r="Q1110" t="inlineStr">
        <is>
          <t>Exclu</t>
        </is>
      </c>
      <c r="R1110" t="inlineStr">
        <is>
          <t>exclu</t>
        </is>
      </c>
      <c r="S1110" t="inlineStr">
        <is>
          <t>Exclu</t>
        </is>
      </c>
      <c r="T1110" t="inlineStr">
        <is>
          <t xml:space="preserve">18/03/2026 :Besoin d'analyse BO RAN || Désactivation du pooling des sites (4G) du grand Nord vers Douala et Yaoundé (Huawei) a la demande d'OCM..;Power status check ongoing..;28.03.2026: Power Issue fuel Outage. Site Scelle suite l'incident(mort d'homme) survenu il y'a deux semaines 
27/03/2026 Feedback IHS : FME HERVE says that we have access issue </t>
        </is>
      </c>
      <c r="U1110" t="inlineStr">
        <is>
          <t>18/03/2026 : Besoin d'analyse BO RAN || Désactivation du pooling des sites (4G) du grand Nord vers Douala et Yaoundé (Huawei) a la demande d'OCM.;Power status check ongoing.;28.03.2026 : Power Issue fuel Outage. Site Scelle suite l'incident(mort d'homme) survenu il y'a deux semaines 27/03/2026 Feedback IHS : FME HERVE says that we have access issue</t>
        </is>
      </c>
    </row>
    <row r="1111">
      <c r="A1111" t="inlineStr">
        <is>
          <t>4/31/2026</t>
        </is>
      </c>
      <c r="B1111" t="inlineStr">
        <is>
          <t>Dourbeye</t>
        </is>
      </c>
      <c r="C1111" t="inlineStr">
        <is>
          <t>NRD_057</t>
        </is>
      </c>
      <c r="D1111" t="inlineStr"/>
      <c r="E1111" t="inlineStr">
        <is>
          <t>IHS</t>
        </is>
      </c>
      <c r="F1111" t="inlineStr">
        <is>
          <t>Grid-Gen</t>
        </is>
      </c>
      <c r="G1111" t="inlineStr">
        <is>
          <t>NORD</t>
        </is>
      </c>
      <c r="H1111" t="inlineStr">
        <is>
          <t>Dourbeye</t>
        </is>
      </c>
      <c r="I1111" t="inlineStr"/>
      <c r="J1111" t="n">
        <v>29.37495958420227</v>
      </c>
      <c r="K1111" t="n">
        <v>37.19447737972492</v>
      </c>
      <c r="L1111" t="n">
        <v>0</v>
      </c>
      <c r="M1111" t="n">
        <v>16.68135657079112</v>
      </c>
      <c r="N1111" t="inlineStr">
        <is>
          <t>Operationnel</t>
        </is>
      </c>
      <c r="O1111" t="inlineStr"/>
      <c r="P1111" t="inlineStr">
        <is>
          <t>PDH</t>
        </is>
      </c>
      <c r="Q1111" t="inlineStr">
        <is>
          <t>TX ISSUE</t>
        </is>
      </c>
      <c r="R1111" t="inlineStr">
        <is>
          <t>MPR ISSUE</t>
        </is>
      </c>
      <c r="S1111" t="inlineStr">
        <is>
          <t>ACTIVE</t>
        </is>
      </c>
      <c r="T1111" t="inlineStr">
        <is>
          <t>31.03.2026IHS: fme MAXIM is on site for work (swap MPR) Point ESCALADE AU L2
31.03.2026 IHS: fme MAXIM is on site for work (swap MPR)..;31.03.2026 IHS: fme MAXIM is on site for work (swap MPR)..;31.03.2026 IHS: fme MAXIM is on site for work (swap MPR)..;INC-20260331-00000774...2026-03-31 21:09:37...IHS; Team is still working on site (escalade L3)...incident power sur le site suite à un raté de démarrage du GE</t>
        </is>
      </c>
      <c r="U1111" t="inlineStr">
        <is>
          <t>31.03.2026IHS : fme MAXIM is on site for work (swap MPR) Point ESCALADE AU L2 31.03.2026 IHS : fme MAXIM is on site for work (swap MPR).;31.03.2026 IHS : fme MAXIM is on site for work (swap MPR).;31.03.2026 IHS : fme MAXIM is on site for work (swap MPR).;.2026-03-31 21 : 09 : 37.IHS; Team is still working on site (escalade L3).incident power sur le site suite à un raté de démarrage du GE</t>
        </is>
      </c>
    </row>
    <row r="1112">
      <c r="A1112" t="inlineStr">
        <is>
          <t>4/31/2026</t>
        </is>
      </c>
      <c r="B1112" t="inlineStr">
        <is>
          <t>NR-Bastos</t>
        </is>
      </c>
      <c r="C1112" t="inlineStr">
        <is>
          <t>CTR_038</t>
        </is>
      </c>
      <c r="D1112" t="inlineStr"/>
      <c r="E1112" t="inlineStr">
        <is>
          <t>IHS</t>
        </is>
      </c>
      <c r="F1112" t="inlineStr">
        <is>
          <t>GridOnly</t>
        </is>
      </c>
      <c r="G1112" t="inlineStr">
        <is>
          <t>CENTRE</t>
        </is>
      </c>
      <c r="H1112" t="inlineStr">
        <is>
          <t>Yaounde</t>
        </is>
      </c>
      <c r="I1112" t="inlineStr"/>
      <c r="J1112" t="n">
        <v>9.308593016238426</v>
      </c>
      <c r="K1112" t="n">
        <v>7.958623614893695</v>
      </c>
      <c r="L1112" t="n">
        <v>24.13174950259046</v>
      </c>
      <c r="M1112" t="n">
        <v>16.58549922524419</v>
      </c>
      <c r="N1112" t="inlineStr">
        <is>
          <t>Operationnel</t>
        </is>
      </c>
      <c r="O1112" t="inlineStr"/>
      <c r="P1112" t="inlineStr">
        <is>
          <t>IHS GRID ONLY</t>
        </is>
      </c>
      <c r="Q1112" t="inlineStr">
        <is>
          <t>POWER ISSUE</t>
        </is>
      </c>
      <c r="R1112" t="inlineStr">
        <is>
          <t>Coupure ENEO &amp; Baisse de tension</t>
        </is>
      </c>
      <c r="S1112" t="inlineStr">
        <is>
          <t>PASSIVE</t>
        </is>
      </c>
      <c r="T1112" t="inlineStr">
        <is>
          <t>site down..;site down..;31/03/2026 GRID ONLY NO SPACE AWAITING GRID RETURN..;Power status check ongoing..;INC-20260331-00005283...2026-03-31 11:53:10...
GRID ONLY NO SPACE AWAITING GRID RETURN...Others</t>
        </is>
      </c>
      <c r="U1112" t="inlineStr">
        <is>
          <t>site down.;site down.;31/03/2026 GRID ONLY NO SPACE AWAITING GRID RETURN.;.2026-03-31 11 : 53 : 10. GRID ONLY NO SPACE AWAITING GRID RETURN.Others</t>
        </is>
      </c>
    </row>
    <row r="1113">
      <c r="A1113" t="inlineStr">
        <is>
          <t>4/31/2026</t>
        </is>
      </c>
      <c r="B1113" t="inlineStr">
        <is>
          <t>Bep-Yonyong</t>
        </is>
      </c>
      <c r="C1113" t="inlineStr">
        <is>
          <t>LIT_092</t>
        </is>
      </c>
      <c r="D1113" t="inlineStr"/>
      <c r="E1113" t="inlineStr">
        <is>
          <t>IHS</t>
        </is>
      </c>
      <c r="F1113" t="inlineStr">
        <is>
          <t>GridOnly</t>
        </is>
      </c>
      <c r="G1113" t="inlineStr">
        <is>
          <t>LITTORAL</t>
        </is>
      </c>
      <c r="H1113" t="inlineStr">
        <is>
          <t>Douala</t>
        </is>
      </c>
      <c r="I1113" t="inlineStr"/>
      <c r="J1113" t="n">
        <v>0.2837627743206679</v>
      </c>
      <c r="K1113" t="n">
        <v>7.3825762212226</v>
      </c>
      <c r="L1113" t="n">
        <v>24.55419192018684</v>
      </c>
      <c r="M1113" t="n">
        <v>15.32366743428844</v>
      </c>
      <c r="N1113" t="inlineStr">
        <is>
          <t>Operationnel</t>
        </is>
      </c>
      <c r="O1113" t="inlineStr"/>
      <c r="P1113" t="inlineStr">
        <is>
          <t>PDH</t>
        </is>
      </c>
      <c r="Q1113" t="inlineStr">
        <is>
          <t>TX ISSUE</t>
        </is>
      </c>
      <c r="R1113" t="inlineStr">
        <is>
          <t>MPR ISSUE</t>
        </is>
      </c>
      <c r="S1113" t="inlineStr">
        <is>
          <t>ACTIVE</t>
        </is>
      </c>
      <c r="T1113" t="inlineStr">
        <is>
          <t>31/03/2026 : Besoin d'analyse BO RAN..;31/03/2026 : Besoin d'analyse BO RAN || FME should check connectivity of RRU 63 and 71 || FME active..;31/03/2026 : Besoin d'analyse BO RAN || FME should check connectivity of RRU 63 and 71 || FME active ETA: 18H</t>
        </is>
      </c>
      <c r="U1113" t="inlineStr">
        <is>
          <t>31/03/2026 : Besoin d'analyse BO RAN.;31/03/2026 : Besoin d'analyse BO RAN || FME should check connectivity of RRU 63 and 71 || FME active.;31/03/2026 : Besoin d'analyse BO RAN || FME should check connectivity of RRU 63 and 71 || FME active ETA : 18H</t>
        </is>
      </c>
    </row>
    <row r="1114">
      <c r="A1114" t="inlineStr">
        <is>
          <t>4/31/2026</t>
        </is>
      </c>
      <c r="B1114" t="inlineStr">
        <is>
          <t>GP-Etoudi</t>
        </is>
      </c>
      <c r="C1114" t="inlineStr">
        <is>
          <t>CTR_735</t>
        </is>
      </c>
      <c r="D1114" t="inlineStr"/>
      <c r="E1114" t="inlineStr">
        <is>
          <t>CAMUSAT</t>
        </is>
      </c>
      <c r="F1114" t="inlineStr">
        <is>
          <t>Good Grid no GE - 12h</t>
        </is>
      </c>
      <c r="G1114" t="inlineStr">
        <is>
          <t>CENTRE</t>
        </is>
      </c>
      <c r="H1114" t="inlineStr">
        <is>
          <t>Yaounde</t>
        </is>
      </c>
      <c r="I1114" t="inlineStr"/>
      <c r="J1114" t="n">
        <v>12.89322126702077</v>
      </c>
      <c r="K1114" t="n">
        <v>10.93804719986672</v>
      </c>
      <c r="L1114" t="n">
        <v>18.21591404062889</v>
      </c>
      <c r="M1114" t="n">
        <v>15.0125701631981</v>
      </c>
      <c r="N1114" t="inlineStr">
        <is>
          <t>Operationnel</t>
        </is>
      </c>
      <c r="O1114" t="inlineStr"/>
      <c r="P1114" t="inlineStr">
        <is>
          <t>AKTIVCO GRID ONLY</t>
        </is>
      </c>
      <c r="Q1114" t="inlineStr">
        <is>
          <t>POWER ISSUE</t>
        </is>
      </c>
      <c r="R1114" t="inlineStr">
        <is>
          <t>AKTIVCO Coupure ENEO &amp; Baisse de tension</t>
        </is>
      </c>
      <c r="S1114" t="inlineStr">
        <is>
          <t>PASSIVE</t>
        </is>
      </c>
      <c r="T1114" t="inlineStr">
        <is>
          <t>Power status check ongoing..;INC-20260331-00012814...2026-03-31 20:59:54...Grid outage, Grid only site / Grid return awaited...B2B...Others Transmission equipement fault</t>
        </is>
      </c>
      <c r="U1114" t="inlineStr">
        <is>
          <t>2026-03-31 20 : 59 : 54.Grid outage, Grid only site / Grid return awaited.B2B.</t>
        </is>
      </c>
    </row>
    <row r="1115">
      <c r="A1115" t="inlineStr">
        <is>
          <t>4/31/2026</t>
        </is>
      </c>
      <c r="B1115" t="inlineStr">
        <is>
          <t>Bfsam-Tamdja</t>
        </is>
      </c>
      <c r="C1115" t="inlineStr">
        <is>
          <t>OST_019</t>
        </is>
      </c>
      <c r="D1115" t="inlineStr"/>
      <c r="E1115" t="inlineStr">
        <is>
          <t>CAMUSAT</t>
        </is>
      </c>
      <c r="F1115" t="inlineStr">
        <is>
          <t>Good Grid + GE</t>
        </is>
      </c>
      <c r="G1115" t="inlineStr">
        <is>
          <t>OUEST</t>
        </is>
      </c>
      <c r="H1115" t="inlineStr">
        <is>
          <t>Bafoussam</t>
        </is>
      </c>
      <c r="I1115" t="inlineStr"/>
      <c r="J1115" t="n">
        <v>13.81782329972143</v>
      </c>
      <c r="K1115" t="n">
        <v>11.72229617389353</v>
      </c>
      <c r="L1115" t="n">
        <v>16.02712742439266</v>
      </c>
      <c r="M1115" t="n">
        <v>14.26645749686816</v>
      </c>
      <c r="N1115" t="inlineStr">
        <is>
          <t>Operationnel</t>
        </is>
      </c>
      <c r="O1115" t="inlineStr"/>
      <c r="P1115" t="inlineStr">
        <is>
          <t>AKTIVCO</t>
        </is>
      </c>
      <c r="Q1115" t="inlineStr">
        <is>
          <t>POWER ISSUE</t>
        </is>
      </c>
      <c r="R1115" t="inlineStr">
        <is>
          <t>AKTIVCO Defaut GE &amp; Power Cabinet</t>
        </is>
      </c>
      <c r="S1115" t="inlineStr">
        <is>
          <t>PASSIVE</t>
        </is>
      </c>
      <c r="T1115" t="inlineStr">
        <is>
          <t>01/04/2026:OST_019 power issue …....Power status check ongoing</t>
        </is>
      </c>
      <c r="U1115" t="inlineStr">
        <is>
          <t>01/04/2026 : OST_019 power issue ….Power status check ongoing</t>
        </is>
      </c>
    </row>
    <row r="1116">
      <c r="A1116" t="inlineStr">
        <is>
          <t>4/31/2026</t>
        </is>
      </c>
      <c r="B1116" t="inlineStr">
        <is>
          <t>ARMP</t>
        </is>
      </c>
      <c r="C1116" t="inlineStr">
        <is>
          <t>CTR_124</t>
        </is>
      </c>
      <c r="D1116" t="inlineStr"/>
      <c r="E1116" t="inlineStr">
        <is>
          <t>IHS</t>
        </is>
      </c>
      <c r="F1116" t="inlineStr">
        <is>
          <t>GridOnly</t>
        </is>
      </c>
      <c r="G1116" t="inlineStr">
        <is>
          <t>CENTRE</t>
        </is>
      </c>
      <c r="H1116" t="inlineStr">
        <is>
          <t>Yaounde</t>
        </is>
      </c>
      <c r="I1116" t="inlineStr"/>
      <c r="J1116" t="n">
        <v>10.86179453976476</v>
      </c>
      <c r="K1116" t="n">
        <v>9.243321399063616</v>
      </c>
      <c r="L1116" t="n">
        <v>17.98461724090381</v>
      </c>
      <c r="M1116" t="n">
        <v>14.03292498138018</v>
      </c>
      <c r="N1116" t="inlineStr">
        <is>
          <t>Operationnel</t>
        </is>
      </c>
      <c r="O1116" t="inlineStr"/>
      <c r="P1116" t="inlineStr">
        <is>
          <t>IHS GRID ONLY</t>
        </is>
      </c>
      <c r="Q1116" t="inlineStr">
        <is>
          <t>POWER ISSUE</t>
        </is>
      </c>
      <c r="R1116" t="inlineStr">
        <is>
          <t>Coupure ENEO &amp; Baisse de tension</t>
        </is>
      </c>
      <c r="S1116" t="inlineStr">
        <is>
          <t>PASSIVE</t>
        </is>
      </c>
      <c r="T1116" t="inlineStr">
        <is>
          <t xml:space="preserve">31/03/2026 Feedback IHS: 31.7 V	Grid outage, no space to deploy MDG, awaiting grid return..;INC-20260331-00009648...2026-03-31 21:36:00...Besoin d'un FME sur site pour vérifier le statut du MPR; CM-20260331-00005669; FME Eloundou activé pour investigations, update ASAP...no visite </t>
        </is>
      </c>
      <c r="U1116" t="inlineStr">
        <is>
          <t>31/03/2026 Feedback IHS : 31.7 V Grid outage, no space to deploy MDG, awaiting grid return.;.2026-03-31 21 : 36 : 00.Besoin d'un FME sur site pour vérifier le statut du MPR; ; FME Eloundou activé pour investigations, update ASAP.no visite</t>
        </is>
      </c>
    </row>
    <row r="1117">
      <c r="A1117" t="inlineStr">
        <is>
          <t>4/31/2026</t>
        </is>
      </c>
      <c r="B1117" t="inlineStr">
        <is>
          <t>Nkor</t>
        </is>
      </c>
      <c r="C1117" t="inlineStr">
        <is>
          <t>NRO_238</t>
        </is>
      </c>
      <c r="D1117" t="inlineStr"/>
      <c r="E1117" t="inlineStr">
        <is>
          <t>IHS</t>
        </is>
      </c>
      <c r="F1117" t="inlineStr">
        <is>
          <t>Solar-Gen</t>
        </is>
      </c>
      <c r="G1117" t="inlineStr">
        <is>
          <t>NORD-OUEST</t>
        </is>
      </c>
      <c r="H1117" t="inlineStr">
        <is>
          <t>Nkor</t>
        </is>
      </c>
      <c r="I1117" t="inlineStr"/>
      <c r="J1117" t="n">
        <v>65.45616300499539</v>
      </c>
      <c r="K1117" t="n">
        <v>13.77031120903332</v>
      </c>
      <c r="L1117" t="n">
        <v>0</v>
      </c>
      <c r="M1117" t="n">
        <v>13.96998632509889</v>
      </c>
      <c r="N1117" t="inlineStr">
        <is>
          <t>Insecurity</t>
        </is>
      </c>
      <c r="O1117" t="inlineStr"/>
      <c r="P1117" t="inlineStr">
        <is>
          <t>ACCESS-ISSUE</t>
        </is>
      </c>
      <c r="Q1117" t="inlineStr">
        <is>
          <t>ACCESS-ISSUE</t>
        </is>
      </c>
      <c r="R1117" t="inlineStr">
        <is>
          <t>ACCESS-ISSUE</t>
        </is>
      </c>
      <c r="S1117" t="inlineStr">
        <is>
          <t>ACCESS-ISSUE</t>
        </is>
      </c>
      <c r="T1117" t="inlineStr">
        <is>
          <t>31/03/2026 Zone rouge negocitaion d'accès en cours 
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S1P1&amp;S1P2)..;31/03/2026 Zone rouge negocitaion d acès en cours 
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t>
        </is>
      </c>
      <c r="U1117" t="inlineStr">
        <is>
          <t>31/03/2026 Zone rouge negocitaion d'accès en cours 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S1P1&amp;S1P2).;31/03/2026 Zone rouge negocitaion d acès en cours 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S1P1&amp;S1P2).;27.03.26; FSMF faulty mais nouvelle installation pas encore transférée au projet |Point escaladé au projet 26.03.26; Cable Ethernet MPR&lt;&gt;BTS faulty et remplacement ce 27.03.26 26.03.26; FME is managing ETA=15H UTC 25/03/2026 fme activé eta asap Besoin d'un fme sur site pour verifier l'interco entre le MPR et la BTS ( S1P1&amp;S1P2)</t>
        </is>
      </c>
    </row>
    <row r="1118">
      <c r="A1118" t="inlineStr">
        <is>
          <t>4/31/2026</t>
        </is>
      </c>
      <c r="B1118" t="inlineStr">
        <is>
          <t>Essu</t>
        </is>
      </c>
      <c r="C1118" t="inlineStr">
        <is>
          <t>NRO_234</t>
        </is>
      </c>
      <c r="D1118" t="inlineStr"/>
      <c r="E1118" t="inlineStr">
        <is>
          <t>IHS</t>
        </is>
      </c>
      <c r="F1118" t="inlineStr">
        <is>
          <t>Gen Only</t>
        </is>
      </c>
      <c r="G1118" t="inlineStr">
        <is>
          <t>NORD-OUEST</t>
        </is>
      </c>
      <c r="H1118" t="inlineStr">
        <is>
          <t>ESSU</t>
        </is>
      </c>
      <c r="I1118" t="inlineStr"/>
      <c r="J1118" t="n">
        <v>65.45616300499539</v>
      </c>
      <c r="K1118" t="n">
        <v>13.77031120903332</v>
      </c>
      <c r="L1118" t="n">
        <v>0</v>
      </c>
      <c r="M1118" t="n">
        <v>13.96998632509889</v>
      </c>
      <c r="N1118" t="inlineStr">
        <is>
          <t>EXCLU</t>
        </is>
      </c>
      <c r="O1118" t="inlineStr">
        <is>
          <t>UE Relay</t>
        </is>
      </c>
      <c r="P1118" t="inlineStr">
        <is>
          <t>Exclu</t>
        </is>
      </c>
      <c r="Q1118" t="inlineStr">
        <is>
          <t>Exclu</t>
        </is>
      </c>
      <c r="R1118" t="inlineStr">
        <is>
          <t>exclu</t>
        </is>
      </c>
      <c r="S1118" t="inlineStr">
        <is>
          <t>Exclu</t>
        </is>
      </c>
      <c r="T1118" t="inlineStr">
        <is>
          <t>01/04/2026: GRID OUTAGE</t>
        </is>
      </c>
      <c r="U1118" t="inlineStr">
        <is>
          <t>01/04/2026 : GRID OUTAGE</t>
        </is>
      </c>
    </row>
    <row r="1119">
      <c r="A1119" t="inlineStr">
        <is>
          <t>4/31/2026</t>
        </is>
      </c>
      <c r="B1119" t="inlineStr">
        <is>
          <t>Lomie</t>
        </is>
      </c>
      <c r="C1119" t="inlineStr">
        <is>
          <t>EST_010</t>
        </is>
      </c>
      <c r="D1119" t="inlineStr"/>
      <c r="E1119" t="inlineStr">
        <is>
          <t>IHS</t>
        </is>
      </c>
      <c r="F1119" t="inlineStr">
        <is>
          <t>Grid-Gen</t>
        </is>
      </c>
      <c r="G1119" t="inlineStr">
        <is>
          <t>EST</t>
        </is>
      </c>
      <c r="H1119" t="inlineStr">
        <is>
          <t>Lomie</t>
        </is>
      </c>
      <c r="I1119" t="inlineStr"/>
      <c r="J1119" t="n">
        <v>0.6434620657130639</v>
      </c>
      <c r="K1119" t="n">
        <v>41.31093362709997</v>
      </c>
      <c r="L1119" t="n">
        <v>0</v>
      </c>
      <c r="M1119" t="n">
        <v>13.96044322309828</v>
      </c>
      <c r="N1119" t="inlineStr">
        <is>
          <t>Operationnel</t>
        </is>
      </c>
      <c r="O1119" t="inlineStr"/>
      <c r="P1119" t="inlineStr">
        <is>
          <t>SAT</t>
        </is>
      </c>
      <c r="Q1119" t="inlineStr">
        <is>
          <t>TX ISSUE</t>
        </is>
      </c>
      <c r="R1119" t="inlineStr">
        <is>
          <t>SAT</t>
        </is>
      </c>
      <c r="S1119" t="inlineStr">
        <is>
          <t>ACTIVE</t>
        </is>
      </c>
      <c r="T1119" t="inlineStr">
        <is>
          <t>01/04/2026: instabilité VSAT …...INC-20260331-00009374...Others Transmission equipement fault</t>
        </is>
      </c>
      <c r="U1119" t="inlineStr">
        <is>
          <t>01/04/2026 : instabilité VSAT ….</t>
        </is>
      </c>
    </row>
    <row r="1120">
      <c r="A1120" t="inlineStr">
        <is>
          <t>4/31/2026</t>
        </is>
      </c>
      <c r="B1120" t="inlineStr">
        <is>
          <t>Garoua-Roum-Adja-Camp-Sic</t>
        </is>
      </c>
      <c r="C1120" t="inlineStr">
        <is>
          <t>NRD_084</t>
        </is>
      </c>
      <c r="D1120" t="inlineStr"/>
      <c r="E1120" t="inlineStr">
        <is>
          <t>IHS</t>
        </is>
      </c>
      <c r="F1120" t="inlineStr">
        <is>
          <t>Grid-Gen</t>
        </is>
      </c>
      <c r="G1120" t="inlineStr">
        <is>
          <t>NORD</t>
        </is>
      </c>
      <c r="H1120" t="inlineStr">
        <is>
          <t>Garoua</t>
        </is>
      </c>
      <c r="I1120" t="inlineStr"/>
      <c r="J1120" t="n">
        <v>18.82238948239272</v>
      </c>
      <c r="K1120" t="n">
        <v>23.85063589937133</v>
      </c>
      <c r="L1120" t="n">
        <v>6.198124946647493</v>
      </c>
      <c r="M1120" t="n">
        <v>13.92702028633148</v>
      </c>
      <c r="N1120" t="inlineStr">
        <is>
          <t>Operationnel</t>
        </is>
      </c>
      <c r="O1120" t="inlineStr"/>
      <c r="P1120" t="inlineStr">
        <is>
          <t>IHS</t>
        </is>
      </c>
      <c r="Q1120" t="inlineStr">
        <is>
          <t>POWER ISSUE</t>
        </is>
      </c>
      <c r="R1120" t="inlineStr">
        <is>
          <t>Defaut GE &amp; Power Cabinet</t>
        </is>
      </c>
      <c r="S1120" t="inlineStr">
        <is>
          <t>PASSIVE</t>
        </is>
      </c>
      <c r="T1120" t="inlineStr">
        <is>
          <t>01/04/2026:: grid outage…...31/03/2026 : Site down..;Power status check ongoing..;Power status check ongoing..;Power status check ongoing..;INC-20260331-00014418...Others Transmission equipement fault</t>
        </is>
      </c>
      <c r="U1120" t="inlineStr">
        <is>
          <t>01/04/2026 : : grid outage….31/03/2026 : Site down.;Power status check ongoing.;Power status check ongoing.;.</t>
        </is>
      </c>
    </row>
    <row r="1121">
      <c r="A1121" t="inlineStr">
        <is>
          <t>4/31/2026</t>
        </is>
      </c>
      <c r="B1121" t="inlineStr">
        <is>
          <t>Emombo-2eme-Crf</t>
        </is>
      </c>
      <c r="C1121" t="inlineStr">
        <is>
          <t>CTR_558</t>
        </is>
      </c>
      <c r="D1121" t="inlineStr"/>
      <c r="E1121" t="inlineStr">
        <is>
          <t>CAMUSAT</t>
        </is>
      </c>
      <c r="F1121" t="inlineStr">
        <is>
          <t>Good Grid no GE - 8h</t>
        </is>
      </c>
      <c r="G1121" t="inlineStr">
        <is>
          <t>CENTRE</t>
        </is>
      </c>
      <c r="H1121" t="inlineStr">
        <is>
          <t>Yaounde</t>
        </is>
      </c>
      <c r="I1121" t="inlineStr"/>
      <c r="J1121" t="n">
        <v>32.37293622531563</v>
      </c>
      <c r="K1121" t="n">
        <v>27.54062241806665</v>
      </c>
      <c r="L1121" t="n">
        <v>0</v>
      </c>
      <c r="M1121" t="n">
        <v>13.86855689960706</v>
      </c>
      <c r="N1121" t="inlineStr">
        <is>
          <t>Operationnel</t>
        </is>
      </c>
      <c r="O1121" t="inlineStr"/>
      <c r="P1121" t="inlineStr">
        <is>
          <t>AKTIVCO GRID ONLY</t>
        </is>
      </c>
      <c r="Q1121" t="inlineStr">
        <is>
          <t>POWER ISSUE</t>
        </is>
      </c>
      <c r="R1121" t="inlineStr">
        <is>
          <t>AKTIVCO Coupure ENEO &amp; Baisse de tension</t>
        </is>
      </c>
      <c r="S1121" t="inlineStr">
        <is>
          <t>PASSIVE</t>
        </is>
      </c>
      <c r="T1121" t="inlineStr">
        <is>
          <t xml:space="preserve">site down..;site down..;site down..;31/03/2026 Grid outage grid only site /awaiting grid return escalade L4 camusat 
30/03/2026 Grid outage grid only site /awaiting grid return escalade L3 camusat 
30/03/2026 Grid outage grid only site /awaiting grid return escalade L2 camusat ..;31/03/2026 Grid outage grid only site /awaiting grid return escalade L4 camusat 
30/03/2026 Grid outage grid only site /awaiting grid return escalade L3 camusat 
30/03/2026 Grid outage grid only site /awaiting grid return escalade L2 camusat ..;31/03/2026 Grid outage grid only site /awaiting grid return escalade L4 camusat 
30/03/2026 Grid outage grid only site /awaiting grid return escalade L3 camusat 
30/03/2026 Grid outage grid only site /awaiting grid return escalade L2 camusat </t>
        </is>
      </c>
      <c r="U1121" t="inlineStr">
        <is>
          <t>site down.;site down.;site down.;31/03/2026 Grid outage grid only site /awaiting grid return escalade L4 camusat 30/03/2026 Grid outage grid only site /awaiting grid return escalade L3 camusat 30/03/2026 Grid outage grid only site /awaiting grid return escalade L2 camusat .;31/03/2026 Grid outage grid only site /awaiting grid return escalade L4 camusat 30/03/2026 Grid outage grid only site /awaiting grid return escalade L3 camusat 30/03/2026 Grid outage grid only site /awaiting grid return escalade L2 camusat .;31/03/2026 Grid outage grid only site /awaiting grid return escalade L4 camusat 30/03/2026 Grid outage grid only site /awaiting grid return escalade L3 camusat 30/03/2026 Grid outage grid only site /awaiting grid return escalade L2 camusat</t>
        </is>
      </c>
    </row>
    <row r="1122">
      <c r="A1122" t="inlineStr">
        <is>
          <t>4/31/2026</t>
        </is>
      </c>
      <c r="B1122" t="inlineStr">
        <is>
          <t>China-Embassy-IHS</t>
        </is>
      </c>
      <c r="C1122" t="inlineStr">
        <is>
          <t>CTR_874</t>
        </is>
      </c>
      <c r="D1122" t="inlineStr"/>
      <c r="E1122" t="inlineStr">
        <is>
          <t>IHS</t>
        </is>
      </c>
      <c r="F1122" t="inlineStr">
        <is>
          <t>GridOnly</t>
        </is>
      </c>
      <c r="G1122" t="inlineStr">
        <is>
          <t>CENTRE</t>
        </is>
      </c>
      <c r="H1122" t="inlineStr">
        <is>
          <t>Yaounde</t>
        </is>
      </c>
      <c r="I1122" t="inlineStr"/>
      <c r="J1122" t="n">
        <v>32.37293622531563</v>
      </c>
      <c r="K1122" t="n">
        <v>27.54062241806665</v>
      </c>
      <c r="L1122" t="n">
        <v>0</v>
      </c>
      <c r="M1122" t="n">
        <v>13.86855689960706</v>
      </c>
      <c r="N1122" t="inlineStr">
        <is>
          <t>Operationnel</t>
        </is>
      </c>
      <c r="O1122" t="inlineStr"/>
      <c r="P1122" t="inlineStr">
        <is>
          <t>ACCESS-ISSUE</t>
        </is>
      </c>
      <c r="Q1122" t="inlineStr">
        <is>
          <t>ACCESS-ISSUE</t>
        </is>
      </c>
      <c r="R1122" t="inlineStr">
        <is>
          <t>ACCESS-ISSUE</t>
        </is>
      </c>
      <c r="S1122" t="inlineStr">
        <is>
          <t>ACCESS-ISSUE</t>
        </is>
      </c>
      <c r="T1122" t="inlineStr">
        <is>
          <t>31/03/2026 Accès obtenu pour le 02/04/2026 
23.03.26; IHS; Impossible d'accéder au site jusqu'à la semaine prochaine d'après le retour des officiels de l'ambassade
19.03.2026: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S1P6..;23.03.26; IHS; Impossible d'accéder au site jusqu'à la semaine prochaine d'après le retour des officiels de l'ambassade
19.03.2026: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S1P6..;23.03.26; IHS; Impossible d'accéder au site jusqu'à la semaine prochaine d'après le retour des officiels de l'ambassade
19.03.2026: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t>
        </is>
      </c>
      <c r="U1122" t="inlineStr">
        <is>
          <t>31/03/2026 Accès obtenu pour le 02/04/2026 23.03.26; IHS; Impossible d'accéder au site jusqu'à la semaine prochaine d'après le retour des officiels de l'ambassade 19.03.2026 :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S1P6.;23.03.26; IHS; Impossible d'accéder au site jusqu'à la semaine prochaine d'après le retour des officiels de l'ambassade 19.03.2026 :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S1P6.;23.03.26; IHS; Impossible d'accéder au site jusqu'à la semaine prochaine d'après le retour des officiels de l'ambassade 19.03.2026 : Site d'acces tres Protocolaire. Mail fait a IHS(Joseph MBA) Pour demande d'access aupres de l'ambassade. En Attente de sont retour escalade L3 CAMUSAT 18/03/2026 FME activé negaciation d'accès en cours ESCALADE l2 camusat Besoin d'un fme sur site pour verifier l'interco entre le MPR et la BBU S1P6</t>
        </is>
      </c>
    </row>
    <row r="1123">
      <c r="A1123" t="inlineStr">
        <is>
          <t>4/31/2026</t>
        </is>
      </c>
      <c r="B1123" t="inlineStr">
        <is>
          <t>Marche-Congo</t>
        </is>
      </c>
      <c r="C1123" t="inlineStr">
        <is>
          <t>LIT_547</t>
        </is>
      </c>
      <c r="D1123" t="inlineStr"/>
      <c r="E1123" t="inlineStr">
        <is>
          <t>CAMUSAT</t>
        </is>
      </c>
      <c r="F1123" t="inlineStr">
        <is>
          <t>Good Grid no GE - 8h</t>
        </is>
      </c>
      <c r="G1123" t="inlineStr">
        <is>
          <t>LITTORAL</t>
        </is>
      </c>
      <c r="H1123" t="inlineStr">
        <is>
          <t>Douala</t>
        </is>
      </c>
      <c r="I1123" t="inlineStr"/>
      <c r="J1123" t="n">
        <v>32.37293622531563</v>
      </c>
      <c r="K1123" t="n">
        <v>27.54062241806665</v>
      </c>
      <c r="L1123" t="n">
        <v>0</v>
      </c>
      <c r="M1123" t="n">
        <v>13.86855689960706</v>
      </c>
      <c r="N1123" t="inlineStr">
        <is>
          <t>Operationnel</t>
        </is>
      </c>
      <c r="O1123" t="inlineStr"/>
      <c r="P1123" t="inlineStr">
        <is>
          <t>AKTIVCO GRID ONLY</t>
        </is>
      </c>
      <c r="Q1123" t="inlineStr">
        <is>
          <t>POWER ISSUE</t>
        </is>
      </c>
      <c r="R1123" t="inlineStr">
        <is>
          <t>AKTIVCO Coupure ENEO &amp; Baisse de tension</t>
        </is>
      </c>
      <c r="S1123" t="inlineStr">
        <is>
          <t>PASSIVE</t>
        </is>
      </c>
      <c r="T1123" t="inlineStr">
        <is>
          <t>20/03/2026 : Site down ..;20/03/2026 : Site down ..;20/03/2026 : Site down ..;31/03/2026 Feedback camusat: Equipe eneo sur site travaux en cours 
30/03/2026 Feedback camusat: Equipe eneo sur site travaux en cours 
30.03.2026 CAMUSAT: Soucis avec la ligne Eneo (Compteur Eneo HS) ENEO a tous les équipements et les travaux ont démarrer Jeudi et sont toujours en cours
29.03.2026 CAMUSAT: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L2)..;31/03/2026 Feedback camusat: Equipe eneo sur site travaux en cours 
30/03/2026 Feedback camusat: Equipe eneo sur site travaux en cours 
30.03.2026 CAMUSAT: Soucis avec la ligne Eneo (Compteur Eneo HS) ENEO a tous les équipements et les travaux ont démarrer Jeudi et sont toujours en cours
29.03.2026 CAMUSAT: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L2)..;31/03/2026 Feedback camusat: Equipe eneo sur site travaux en cours 
30/03/2026 Feedback camusat: Equipe eneo sur site travaux en cours 
30.03.2026 CAMUSAT: Soucis avec la ligne Eneo (Compteur Eneo HS) ENEO a tous les équipements et les travaux ont démarrer Jeudi et sont toujours en cours
29.03.2026 CAMUSAT: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t>
        </is>
      </c>
      <c r="U1123" t="inlineStr">
        <is>
          <t>20/03/2026 : Site down .;20/03/2026 : Site down .;20/03/2026 : Site down .;31/03/2026 Feedback camusat : Equipe eneo sur site travaux en cours 30/03/2026 Feedback camusat : Equipe eneo sur site travaux en cours 30.03.2026 CAMUSAT : Soucis avec la ligne Eneo (Compteur Eneo HS) ENEO a tous les équipements et les travaux ont démarrer Jeudi et sont toujours en cours 29.03.2026 CAMUSAT :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L2).;31/03/2026 Feedback camusat : Equipe eneo sur site travaux en cours 30/03/2026 Feedback camusat : Equipe eneo sur site travaux en cours 30.03.2026 CAMUSAT : Soucis avec la ligne Eneo (Compteur Eneo HS) ENEO a tous les équipements et les travaux ont démarrer Jeudi et sont toujours en cours 29.03.2026 CAMUSAT :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L2).;31/03/2026 Feedback camusat : Equipe eneo sur site travaux en cours 30/03/2026 Feedback camusat : Equipe eneo sur site travaux en cours 30.03.2026 CAMUSAT : Soucis avec la ligne Eneo (Compteur Eneo HS) ENEO a tous les équipements et les travaux ont démarrer Jeudi et sont toujours en cours 29.03.2026 CAMUSAT : Soucis avec la ligne Eneo (Compteur Eneo HS) ENEO a tous les équipements et les travaux ont démarrer Jeudi et sont toujours en cours 27.03.26; Soucis avec la ligne Eneo (Compteur Eneo HS) et impossible de continuer de déployer un GEM de 8H à 18H suite au refus catégorique du bailleur, update ASAP (escalade L5 de Camusat) 24.03.26; Soucis avec la ligne Eneo (Compteur Eneo HS) et impossible de continuer de déployer un GEM de 8H à 18H suite au refus catégorique du bailleur, update ASAP (escalade L5 de Camusat) 23.03.26; Soucis avec la ligne Eneo, update ASAP (escalade L5 de Camusat) 22/03/2026 Camusat; Souci avec la ligne ENEO arret du GE mobile à 18h/Demarrage manuel prevue à 6h (escalade L5) 20/03/2026 Camusat; Souci avec la ligne ENEO arret du GE mobile à 18h/Demarrage manuel prevue à 6h (escalade L3) 19.03.26; Camusat; Souci avec la ligne ENEO arret du GE mobile à 18h/Demarrage manuel prevue à 6h (escalade L2)</t>
        </is>
      </c>
    </row>
    <row r="1124">
      <c r="A1124" t="inlineStr">
        <is>
          <t>4/31/2026</t>
        </is>
      </c>
      <c r="B1124" t="inlineStr">
        <is>
          <t>Indoor-BEAC</t>
        </is>
      </c>
      <c r="C1124" t="inlineStr">
        <is>
          <t>CTR_878</t>
        </is>
      </c>
      <c r="D1124" t="inlineStr"/>
      <c r="E1124" t="inlineStr">
        <is>
          <t>CAMUSAT</t>
        </is>
      </c>
      <c r="F1124" t="inlineStr">
        <is>
          <t>Good Grid no GE - 8h</t>
        </is>
      </c>
      <c r="G1124" t="inlineStr">
        <is>
          <t>CENTRE</t>
        </is>
      </c>
      <c r="H1124" t="inlineStr">
        <is>
          <t>Yaounde</t>
        </is>
      </c>
      <c r="I1124" t="inlineStr"/>
      <c r="J1124" t="n">
        <v>0</v>
      </c>
      <c r="K1124" t="n">
        <v>41.31093362709997</v>
      </c>
      <c r="L1124" t="n">
        <v>0</v>
      </c>
      <c r="M1124" t="n">
        <v>13.86855689960706</v>
      </c>
      <c r="N1124" t="inlineStr">
        <is>
          <t>Operationnel</t>
        </is>
      </c>
      <c r="O1124" t="inlineStr"/>
      <c r="P1124" t="inlineStr">
        <is>
          <t>AKTIVCO GRID ONLY</t>
        </is>
      </c>
      <c r="Q1124" t="inlineStr">
        <is>
          <t>POWER ISSUE</t>
        </is>
      </c>
      <c r="R1124" t="inlineStr">
        <is>
          <t>AKTIVCO Coupure ENEO &amp; Baisse de tension</t>
        </is>
      </c>
      <c r="S1124" t="inlineStr">
        <is>
          <t>PASSIVE</t>
        </is>
      </c>
      <c r="T1124" t="inlineStr">
        <is>
          <t>01/04/2026:grid outage ….....Power status check ongoing..;INC-20260331-00000800...Auto TT closure RCA...Others</t>
        </is>
      </c>
      <c r="U1124" t="inlineStr">
        <is>
          <t>01/04/2026 : grid outage ….Auto TT closure RCA.Others</t>
        </is>
      </c>
    </row>
    <row r="1125">
      <c r="A1125" t="inlineStr">
        <is>
          <t>4/31/2026</t>
        </is>
      </c>
      <c r="B1125" t="inlineStr">
        <is>
          <t>CTR_942_Z_Mbankolo-II</t>
        </is>
      </c>
      <c r="C1125" t="inlineStr">
        <is>
          <t>CTR_942</t>
        </is>
      </c>
      <c r="D1125" t="inlineStr"/>
      <c r="E1125" t="inlineStr">
        <is>
          <t>ESCO</t>
        </is>
      </c>
      <c r="F1125" t="inlineStr">
        <is>
          <t>Medium Grid + GE</t>
        </is>
      </c>
      <c r="G1125" t="inlineStr">
        <is>
          <t>CTR</t>
        </is>
      </c>
      <c r="H1125" t="inlineStr">
        <is>
          <t>Yaoundé</t>
        </is>
      </c>
      <c r="I1125" t="inlineStr"/>
      <c r="J1125" t="n">
        <v>32.37293622531563</v>
      </c>
      <c r="K1125" t="n">
        <v>27.54062241806665</v>
      </c>
      <c r="L1125" t="n">
        <v>0</v>
      </c>
      <c r="M1125" t="n">
        <v>13.86855689960706</v>
      </c>
      <c r="N1125" t="inlineStr"/>
      <c r="O1125" t="inlineStr"/>
      <c r="P1125" t="inlineStr">
        <is>
          <t>AKTIVCO</t>
        </is>
      </c>
      <c r="Q1125" t="inlineStr">
        <is>
          <t>POWER ISSUE</t>
        </is>
      </c>
      <c r="R1125" t="inlineStr">
        <is>
          <t>AKTIVCO Defaut GE &amp; Power Cabinet</t>
        </is>
      </c>
      <c r="S1125" t="inlineStr">
        <is>
          <t>PASSIVE</t>
        </is>
      </c>
      <c r="T1125" t="inlineStr">
        <is>
          <t>01/04/2026:_Z_Mbankolo-II: grid outage….....site down..;site down..;site down</t>
        </is>
      </c>
      <c r="U1125" t="inlineStr">
        <is>
          <t>01/04/2026 : _Z_Mbankolo-II : grid outage….site down.;site down.;site down</t>
        </is>
      </c>
    </row>
    <row r="1126">
      <c r="A1126" t="inlineStr">
        <is>
          <t>4/31/2026</t>
        </is>
      </c>
      <c r="B1126" t="inlineStr">
        <is>
          <t>Limbe-Coconut-Island-MTN</t>
        </is>
      </c>
      <c r="C1126" t="inlineStr">
        <is>
          <t>SUO_219</t>
        </is>
      </c>
      <c r="D1126" t="inlineStr"/>
      <c r="E1126" t="inlineStr">
        <is>
          <t>MTN sharing</t>
        </is>
      </c>
      <c r="F1126" t="inlineStr"/>
      <c r="G1126" t="inlineStr">
        <is>
          <t>SUD-OUEST</t>
        </is>
      </c>
      <c r="H1126" t="inlineStr">
        <is>
          <t>Limbe</t>
        </is>
      </c>
      <c r="I1126" t="inlineStr"/>
      <c r="J1126" t="n">
        <v>32.37293622531563</v>
      </c>
      <c r="K1126" t="n">
        <v>27.5233564028547</v>
      </c>
      <c r="L1126" t="n">
        <v>0</v>
      </c>
      <c r="M1126" t="n">
        <v>13.8627604991539</v>
      </c>
      <c r="N1126" t="inlineStr">
        <is>
          <t>Operationnel</t>
        </is>
      </c>
      <c r="O1126" t="inlineStr"/>
      <c r="P1126" t="inlineStr">
        <is>
          <t>Partners</t>
        </is>
      </c>
      <c r="Q1126" t="inlineStr">
        <is>
          <t>POWER ISSUE</t>
        </is>
      </c>
      <c r="R1126" t="inlineStr">
        <is>
          <t>Sharing</t>
        </is>
      </c>
      <c r="S1126" t="inlineStr">
        <is>
          <t>PASSIVE</t>
        </is>
      </c>
      <c r="T1126" t="inlineStr">
        <is>
          <t>31.03.26; Power instabilities on site escalated to L5 of MTN (site to be locked)
28/03/2026 instabilité power escalade L5 MTN ..;28.03.26; Power instabilities on site escalated to L5 of MTN (site to be locked)
28/03/2026 instabilité power escalade L5 MTN ..;28.03.26; Power instabilities on site escalated to L5 of MTN (site to be locked)
28/03/2026 instabilité power escalade L5 MTN ..;INC-20260331-00006736...2026-03-31 11:49:13...phase problem on site...Others Transmission equipement fault</t>
        </is>
      </c>
      <c r="U1126" t="inlineStr">
        <is>
          <t>31.03.26; Power instabilities on site escalated to L5 of MTN (site to be locked) 28/03/2026 instabilité power escalade L5 MTN .;28.03.26; Power instabilities on site escalated to L5 of MTN (site to be locked) 28/03/2026 instabilité power escalade L5 MTN .;28.03.26; Power instabilities on site escalated to L5 of MTN (site to be locked) 28/03/2026 instabilité power escalade L5 MTN .;.2026-03-31 11 : 49 : 13.phase problem on site.</t>
        </is>
      </c>
    </row>
    <row r="1127">
      <c r="A1127" t="inlineStr">
        <is>
          <t>4/31/2026</t>
        </is>
      </c>
      <c r="B1127" t="inlineStr">
        <is>
          <t>Nyalla-III</t>
        </is>
      </c>
      <c r="C1127" t="inlineStr">
        <is>
          <t>LIT_751</t>
        </is>
      </c>
      <c r="D1127" t="inlineStr"/>
      <c r="E1127" t="inlineStr">
        <is>
          <t>CAMUSAT</t>
        </is>
      </c>
      <c r="F1127" t="inlineStr">
        <is>
          <t>Good Grid no GE - 8h</t>
        </is>
      </c>
      <c r="G1127" t="inlineStr">
        <is>
          <t>LITTORAL</t>
        </is>
      </c>
      <c r="H1127" t="inlineStr">
        <is>
          <t>Douala</t>
        </is>
      </c>
      <c r="I1127" t="inlineStr"/>
      <c r="J1127" t="n">
        <v>5.266846915978242</v>
      </c>
      <c r="K1127" t="n">
        <v>4.619429399104421</v>
      </c>
      <c r="L1127" t="n">
        <v>19.31104265574007</v>
      </c>
      <c r="M1127" t="n">
        <v>12.3733887790248</v>
      </c>
      <c r="N1127" t="inlineStr">
        <is>
          <t>Operationnel</t>
        </is>
      </c>
      <c r="O1127" t="inlineStr"/>
      <c r="P1127" t="inlineStr">
        <is>
          <t>AKTIVCO GRID ONLY</t>
        </is>
      </c>
      <c r="Q1127" t="inlineStr">
        <is>
          <t>POWER ISSUE</t>
        </is>
      </c>
      <c r="R1127" t="inlineStr">
        <is>
          <t>AKTIVCO Coupure ENEO &amp; Baisse de tension</t>
        </is>
      </c>
      <c r="S1127" t="inlineStr">
        <is>
          <t>PASSIVE</t>
        </is>
      </c>
      <c r="T1127" t="inlineStr">
        <is>
          <t>site down..;Power status check ongoing..;INC-20260331-00009253...2026-03-31 15:20:20...Grid outage, Grid only site / Grid return awaited...Others</t>
        </is>
      </c>
      <c r="U1127" t="inlineStr">
        <is>
          <t>site down.;.2026-03-31 15 : 20 : 20.Grid outage, Grid only site / Grid return awaited.Others</t>
        </is>
      </c>
    </row>
    <row r="1128">
      <c r="A1128" t="inlineStr">
        <is>
          <t>4/31/2026</t>
        </is>
      </c>
      <c r="B1128" t="inlineStr">
        <is>
          <t>Balissa-MTN-IHS</t>
        </is>
      </c>
      <c r="C1128" t="inlineStr">
        <is>
          <t>CTR_170</t>
        </is>
      </c>
      <c r="D1128" t="inlineStr"/>
      <c r="E1128" t="inlineStr">
        <is>
          <t>IHS</t>
        </is>
      </c>
      <c r="F1128" t="inlineStr">
        <is>
          <t>Solar-Gen</t>
        </is>
      </c>
      <c r="G1128" t="inlineStr">
        <is>
          <t>CENTRE</t>
        </is>
      </c>
      <c r="H1128" t="inlineStr">
        <is>
          <t>Balissa</t>
        </is>
      </c>
      <c r="I1128" t="inlineStr"/>
      <c r="J1128" t="n">
        <v>21.81897360040092</v>
      </c>
      <c r="K1128" t="n">
        <v>27.54062241806665</v>
      </c>
      <c r="L1128" t="n">
        <v>0</v>
      </c>
      <c r="M1128" t="n">
        <v>12.36145201255744</v>
      </c>
      <c r="N1128" t="inlineStr">
        <is>
          <t>Operationnel</t>
        </is>
      </c>
      <c r="O1128" t="inlineStr"/>
      <c r="P1128" t="inlineStr">
        <is>
          <t>SPARE-ISSUE</t>
        </is>
      </c>
      <c r="Q1128" t="inlineStr">
        <is>
          <t>SPARE-ISSUE</t>
        </is>
      </c>
      <c r="R1128" t="inlineStr">
        <is>
          <t>SPARE-ISSUE</t>
        </is>
      </c>
      <c r="S1128" t="inlineStr">
        <is>
          <t>SPARE-ISSUE</t>
        </is>
      </c>
      <c r="T1128" t="inlineStr">
        <is>
          <t>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0..;31/03/2026 ODU recu Ngaoundéré expedition ngaoundal ETD=31/03/2026 
30/03/2026 ODU recu Ngaoundéré expedition ngaoundal ETD=30/03/2026 
28.03.2: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c r="U1128" t="inlineStr">
        <is>
          <t>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0.;31/03/2026 ODU recu Ngaoundéré expedition ngaoundal ETD=31/03/2026 30/03/2026 ODU recu Ngaoundéré expedition ngaoundal ETD=30/03/2026 28.03.2 : ODU mis à disposition expédition Ngaoundéré, ETD=30.03.26 26.03.26; ODU mis à disposition ce jour et expédition ce jour vers Ngaoundéré, ETD=30.03.26 14/03/2026 FME en route ETA=10H UTC // FME sur site ODU 3DB20859AC (MPT-7-8Ghz) fautlty commande pas disponible au WH point transmisa OCM en attente de retour 13.03.26; FME en route pour le site, ETA=17H UTC (escalade faite au FM manager) 12.03.26; Level 0 sur site et investigations en cours 12.03.26; Level 0 en route pour le site, ETA=16H30 UTC 12.02.26; Besoin d'un FME sur site pour vérifier le statut du MPR; FME manage avec le niveau 0</t>
        </is>
      </c>
    </row>
    <row r="1129">
      <c r="A1129" t="inlineStr">
        <is>
          <t>4/31/2026</t>
        </is>
      </c>
      <c r="B1129" t="inlineStr">
        <is>
          <t>OST_342_H_Foumban-New</t>
        </is>
      </c>
      <c r="C1129" t="inlineStr">
        <is>
          <t>OST_342</t>
        </is>
      </c>
      <c r="D1129" t="inlineStr"/>
      <c r="E1129" t="inlineStr">
        <is>
          <t>ESCO</t>
        </is>
      </c>
      <c r="F1129" t="inlineStr">
        <is>
          <t>Medium Grid + Solar + GE</t>
        </is>
      </c>
      <c r="G1129" t="inlineStr">
        <is>
          <t>OST</t>
        </is>
      </c>
      <c r="H1129" t="inlineStr">
        <is>
          <t>Foumban</t>
        </is>
      </c>
      <c r="I1129" t="inlineStr"/>
      <c r="J1129" t="n">
        <v>0</v>
      </c>
      <c r="K1129" t="n">
        <v>10.41273532781841</v>
      </c>
      <c r="L1129" t="n">
        <v>15.7082093913546</v>
      </c>
      <c r="M1129" t="n">
        <v>11.68732682138954</v>
      </c>
      <c r="N1129" t="inlineStr"/>
      <c r="O1129" t="inlineStr"/>
      <c r="P1129" t="inlineStr">
        <is>
          <t>AKTIVCO</t>
        </is>
      </c>
      <c r="Q1129" t="inlineStr">
        <is>
          <t>POWER ISSUE</t>
        </is>
      </c>
      <c r="R1129" t="inlineStr">
        <is>
          <t>AKTIVCO Defaut GE &amp; Power Cabinet</t>
        </is>
      </c>
      <c r="S1129" t="inlineStr">
        <is>
          <t>PASSIVE</t>
        </is>
      </c>
      <c r="T1129" t="inlineStr">
        <is>
          <t>19/03/2026 : Feedback BO Projet : Site down, need check power and ODU. After site restored, need check all RRU status
NEW SITE..;Power status check ongoing</t>
        </is>
      </c>
      <c r="U1129" t="inlineStr">
        <is>
          <t>19/03/2026 : Feedback BO Projet : Site down, need check power and ODU. After site restored, need check all RRU status NEW SITE.;Power status check ongoing</t>
        </is>
      </c>
    </row>
    <row r="1130">
      <c r="A1130" t="inlineStr">
        <is>
          <t>4/31/2026</t>
        </is>
      </c>
      <c r="B1130" t="inlineStr">
        <is>
          <t>Briqueterie</t>
        </is>
      </c>
      <c r="C1130" t="inlineStr">
        <is>
          <t>CTR_321</t>
        </is>
      </c>
      <c r="D1130" t="inlineStr"/>
      <c r="E1130" t="inlineStr">
        <is>
          <t>IHS</t>
        </is>
      </c>
      <c r="F1130" t="inlineStr">
        <is>
          <t>Grid-Lithium</t>
        </is>
      </c>
      <c r="G1130" t="inlineStr">
        <is>
          <t>CENTRE</t>
        </is>
      </c>
      <c r="H1130" t="inlineStr">
        <is>
          <t>Yaounde</t>
        </is>
      </c>
      <c r="I1130" t="inlineStr"/>
      <c r="J1130" t="n">
        <v>4.875174354239855</v>
      </c>
      <c r="K1130" t="n">
        <v>4.254771157828167</v>
      </c>
      <c r="L1130" t="n">
        <v>17.72944861414808</v>
      </c>
      <c r="M1130" t="n">
        <v>11.37025479906286</v>
      </c>
      <c r="N1130" t="inlineStr">
        <is>
          <t>Operationnel</t>
        </is>
      </c>
      <c r="O1130" t="inlineStr"/>
      <c r="P1130" t="inlineStr">
        <is>
          <t>IHS</t>
        </is>
      </c>
      <c r="Q1130" t="inlineStr">
        <is>
          <t>POWER ISSUE</t>
        </is>
      </c>
      <c r="R1130" t="inlineStr">
        <is>
          <t>Defaut GE &amp; Power Cabinet</t>
        </is>
      </c>
      <c r="S1130" t="inlineStr">
        <is>
          <t>PASSIVE</t>
        </is>
      </c>
      <c r="T1130" t="inlineStr">
        <is>
          <t>01/04/2026 grid ouatge grid only site no space awaited grid return ….site down..;Power status check ongoing..;INC-20260331-00006157...2026-03-31 12:45:51...Others</t>
        </is>
      </c>
      <c r="U1130" t="inlineStr">
        <is>
          <t>01/04/2026 grid ouatge grid only site no space awaited grid return ….site down.;.2026-03-31 12 : 45 : 51.Others</t>
        </is>
      </c>
    </row>
    <row r="1131">
      <c r="A1131" t="inlineStr">
        <is>
          <t>4/31/2026</t>
        </is>
      </c>
      <c r="B1131" t="inlineStr">
        <is>
          <t>Gra-Foulbere-Moussa-yaya</t>
        </is>
      </c>
      <c r="C1131" t="inlineStr">
        <is>
          <t>NRD_101</t>
        </is>
      </c>
      <c r="D1131" t="inlineStr"/>
      <c r="E1131" t="inlineStr">
        <is>
          <t>IHS</t>
        </is>
      </c>
      <c r="F1131" t="inlineStr">
        <is>
          <t>Grid-Gen</t>
        </is>
      </c>
      <c r="G1131" t="inlineStr">
        <is>
          <t>NORD</t>
        </is>
      </c>
      <c r="H1131" t="inlineStr">
        <is>
          <t>Garoua</t>
        </is>
      </c>
      <c r="I1131" t="inlineStr"/>
      <c r="J1131" t="n">
        <v>8.692108397379791</v>
      </c>
      <c r="K1131" t="n">
        <v>11.12595457157332</v>
      </c>
      <c r="L1131" t="n">
        <v>12.11939826032522</v>
      </c>
      <c r="M1131" t="n">
        <v>11.29647108006381</v>
      </c>
      <c r="N1131" t="inlineStr">
        <is>
          <t>Operationnel</t>
        </is>
      </c>
      <c r="O1131" t="inlineStr"/>
      <c r="P1131" t="inlineStr">
        <is>
          <t>IHS</t>
        </is>
      </c>
      <c r="Q1131" t="inlineStr">
        <is>
          <t>POWER ISSUE</t>
        </is>
      </c>
      <c r="R1131" t="inlineStr">
        <is>
          <t>Defaut GE &amp; Power Cabinet</t>
        </is>
      </c>
      <c r="S1131" t="inlineStr">
        <is>
          <t>PASSIVE</t>
        </is>
      </c>
      <c r="T1131" t="inlineStr">
        <is>
          <t>01/04/2026 : grid outage Power status check ongoing</t>
        </is>
      </c>
      <c r="U1131" t="inlineStr">
        <is>
          <t>01/04/2026 : grid outage Power status check ongoing</t>
        </is>
      </c>
    </row>
    <row r="1132">
      <c r="A1132" t="inlineStr">
        <is>
          <t>4/31/2026</t>
        </is>
      </c>
      <c r="B1132" t="inlineStr">
        <is>
          <t>Logpom-Denver-City</t>
        </is>
      </c>
      <c r="C1132" t="inlineStr">
        <is>
          <t>LIT_440</t>
        </is>
      </c>
      <c r="D1132" t="inlineStr"/>
      <c r="E1132" t="inlineStr">
        <is>
          <t>IHS</t>
        </is>
      </c>
      <c r="F1132" t="inlineStr">
        <is>
          <t>Grid-Gen</t>
        </is>
      </c>
      <c r="G1132" t="inlineStr">
        <is>
          <t>LITTORAL</t>
        </is>
      </c>
      <c r="H1132" t="inlineStr">
        <is>
          <t>Douala</t>
        </is>
      </c>
      <c r="I1132" t="inlineStr"/>
      <c r="J1132" t="n">
        <v>10.43727443856936</v>
      </c>
      <c r="K1132" t="n">
        <v>8.883763273049972</v>
      </c>
      <c r="L1132" t="n">
        <v>11.81963240943207</v>
      </c>
      <c r="M1132" t="n">
        <v>10.63662668755511</v>
      </c>
      <c r="N1132" t="inlineStr">
        <is>
          <t>Operationnel</t>
        </is>
      </c>
      <c r="O1132" t="inlineStr"/>
      <c r="P1132" t="inlineStr">
        <is>
          <t>ACCESS-ISSUE</t>
        </is>
      </c>
      <c r="Q1132" t="inlineStr">
        <is>
          <t>ACCESS-ISSUE</t>
        </is>
      </c>
      <c r="R1132" t="inlineStr">
        <is>
          <t>ACCESS-ISSUE</t>
        </is>
      </c>
      <c r="S1132" t="inlineStr">
        <is>
          <t>ACCESS-ISSUE</t>
        </is>
      </c>
      <c r="T1132" t="inlineStr">
        <is>
          <t>Power status check ongoing..;INC-20260331-00009935...2026-03-31 23:18:06...Impossible d'accéder au site dans la nuit, intervention ce 01.04.26...d'après les analyses du bo, le problème serait au Far End a Logbessou Sodikombo... un autre collègue a pris le point car, je suis occupé a restaurer le site de Bonewonda 3 qui est coupé en ce moment.</t>
        </is>
      </c>
      <c r="U1132" t="inlineStr">
        <is>
          <t>2026-03-31 23 : 18 : 06.Impossible d'accéder au site dans la nuit, intervention ce 01.04.26.d'après les analyses du bo, le problème serait au Far End a Logbessou Sodikombo. un autre collègue a pris le point car, je suis occupé a restaurer le site de Bonewonda 3 qui est coupé en ce moment.</t>
        </is>
      </c>
    </row>
    <row r="1133">
      <c r="A1133" t="inlineStr">
        <is>
          <t>4/31/2026</t>
        </is>
      </c>
      <c r="B1133" t="inlineStr">
        <is>
          <t>Nkong-8Bis-MTN</t>
        </is>
      </c>
      <c r="C1133" t="inlineStr">
        <is>
          <t>LIT_288</t>
        </is>
      </c>
      <c r="D1133" t="inlineStr"/>
      <c r="E1133" t="inlineStr">
        <is>
          <t>IHS</t>
        </is>
      </c>
      <c r="F1133" t="inlineStr">
        <is>
          <t>Grid-Gen</t>
        </is>
      </c>
      <c r="G1133" t="inlineStr">
        <is>
          <t>LITTORAL</t>
        </is>
      </c>
      <c r="H1133" t="inlineStr">
        <is>
          <t>Nkongsamba</t>
        </is>
      </c>
      <c r="I1133" t="inlineStr"/>
      <c r="J1133" t="n">
        <v>7.37346078678225</v>
      </c>
      <c r="K1133" t="n">
        <v>12.55414622370466</v>
      </c>
      <c r="L1133" t="n">
        <v>10.23735436133492</v>
      </c>
      <c r="M1133" t="n">
        <v>10.606164373789</v>
      </c>
      <c r="N1133" t="inlineStr">
        <is>
          <t>Operationnel</t>
        </is>
      </c>
      <c r="O1133" t="inlineStr"/>
      <c r="P1133" t="inlineStr">
        <is>
          <t>PDH</t>
        </is>
      </c>
      <c r="Q1133" t="inlineStr">
        <is>
          <t>TX ISSUE</t>
        </is>
      </c>
      <c r="R1133" t="inlineStr">
        <is>
          <t>ODU HS</t>
        </is>
      </c>
      <c r="S1133" t="inlineStr">
        <is>
          <t>ACTIVE</t>
        </is>
      </c>
      <c r="T1133" t="inlineStr">
        <is>
          <t xml:space="preserve">01/04/2026: travaux IHS sur site ...... Power status check ongoing..;INC-20260331-00012096...2026-03-31 20:17:29...Besoin d'un FME sur site pour vérifier le statut du MPR et la chaine antennaire de l'ODU 3.1; CM-20260331-00004664; FME Yannick activé pour investigations, update ASAP...Power issue on site managing by IHS </t>
        </is>
      </c>
      <c r="U1133" t="inlineStr">
        <is>
          <t>01/04/2026 : travaux IHS sur site . 2026-03-31 20 : 17 : 29.Besoin d'un FME sur site pour vérifier le statut du MPR et la chaine antennaire de l'ODU 3.1; ; FME Yannick activé pour investigations, update ASAP.Power issue on site managing by IHS</t>
        </is>
      </c>
    </row>
    <row r="1134">
      <c r="A1134" t="inlineStr">
        <is>
          <t>4/31/2026</t>
        </is>
      </c>
      <c r="B1134" t="inlineStr">
        <is>
          <t>KOUSSERI-Douane-MTN</t>
        </is>
      </c>
      <c r="C1134" t="inlineStr">
        <is>
          <t>EXN_246</t>
        </is>
      </c>
      <c r="D1134" t="inlineStr"/>
      <c r="E1134" t="inlineStr">
        <is>
          <t>MTN sharing</t>
        </is>
      </c>
      <c r="F1134" t="inlineStr"/>
      <c r="G1134" t="inlineStr">
        <is>
          <t>EXTREME-NORD</t>
        </is>
      </c>
      <c r="H1134" t="inlineStr">
        <is>
          <t>Kousseri</t>
        </is>
      </c>
      <c r="I1134" t="inlineStr"/>
      <c r="J1134" t="n">
        <v>13.20458596613231</v>
      </c>
      <c r="K1134" t="n">
        <v>25.02079359493525</v>
      </c>
      <c r="L1134" t="n">
        <v>0.5812345277728529</v>
      </c>
      <c r="M1134" t="n">
        <v>10.58848981117646</v>
      </c>
      <c r="N1134" t="inlineStr">
        <is>
          <t>INSECURITY</t>
        </is>
      </c>
      <c r="O1134" t="inlineStr"/>
      <c r="P1134" t="inlineStr">
        <is>
          <t>Partners</t>
        </is>
      </c>
      <c r="Q1134" t="inlineStr">
        <is>
          <t>POWER ISSUE</t>
        </is>
      </c>
      <c r="R1134" t="inlineStr">
        <is>
          <t>Sharing</t>
        </is>
      </c>
      <c r="S1134" t="inlineStr">
        <is>
          <t>PASSIVE</t>
        </is>
      </c>
      <c r="T1134" t="inlineStr">
        <is>
          <t xml:space="preserve">Power status check ongoing..;Power status check ongoing..;INC-20260331-00010670...power </t>
        </is>
      </c>
      <c r="U1134" t="inlineStr">
        <is>
          <t>Power status check ongoing.;.power</t>
        </is>
      </c>
    </row>
    <row r="1135">
      <c r="A1135" t="inlineStr">
        <is>
          <t>4/31/2026</t>
        </is>
      </c>
      <c r="B1135" t="inlineStr">
        <is>
          <t>Meskin-MTN-IHS</t>
        </is>
      </c>
      <c r="C1135" t="inlineStr">
        <is>
          <t>EXN_157</t>
        </is>
      </c>
      <c r="D1135" t="inlineStr"/>
      <c r="E1135" t="inlineStr">
        <is>
          <t>IHS</t>
        </is>
      </c>
      <c r="F1135" t="inlineStr">
        <is>
          <t>Grid-Gen-Lithium</t>
        </is>
      </c>
      <c r="G1135" t="inlineStr">
        <is>
          <t>EXTREME-NORD</t>
        </is>
      </c>
      <c r="H1135" t="inlineStr">
        <is>
          <t>Maroua</t>
        </is>
      </c>
      <c r="I1135" t="inlineStr"/>
      <c r="J1135" t="n">
        <v>7.969587424912774</v>
      </c>
      <c r="K1135" t="n">
        <v>10.16081088432599</v>
      </c>
      <c r="L1135" t="n">
        <v>11.0407200016635</v>
      </c>
      <c r="M1135" t="n">
        <v>10.30676691407487</v>
      </c>
      <c r="N1135" t="inlineStr">
        <is>
          <t>Operationnel</t>
        </is>
      </c>
      <c r="O1135" t="inlineStr"/>
      <c r="P1135" t="inlineStr">
        <is>
          <t>BSS</t>
        </is>
      </c>
      <c r="Q1135" t="inlineStr">
        <is>
          <t>RAN ISSUE</t>
        </is>
      </c>
      <c r="R1135" t="inlineStr">
        <is>
          <t>BSS Hardware issue</t>
        </is>
      </c>
      <c r="S1135" t="inlineStr">
        <is>
          <t>ACTIVE</t>
        </is>
      </c>
      <c r="T1135" t="inlineStr">
        <is>
          <t>01/04/2026: Tx issue reset BOARD ...Power status check ongoing..;Power status check ongoing</t>
        </is>
      </c>
      <c r="U1135" t="inlineStr">
        <is>
          <t>01/04/2026 : Tx issue reset BOARD .Power status check ongoing.;Power status check ongoing</t>
        </is>
      </c>
    </row>
    <row r="1136">
      <c r="A1136" t="inlineStr">
        <is>
          <t>4/31/2026</t>
        </is>
      </c>
      <c r="B1136" t="inlineStr">
        <is>
          <t>Maroua-Meskin</t>
        </is>
      </c>
      <c r="C1136" t="inlineStr">
        <is>
          <t>EXN_233</t>
        </is>
      </c>
      <c r="D1136" t="inlineStr"/>
      <c r="E1136" t="inlineStr">
        <is>
          <t>CAMUSAT</t>
        </is>
      </c>
      <c r="F1136" t="inlineStr">
        <is>
          <t>Bad Grid + GE</t>
        </is>
      </c>
      <c r="G1136" t="inlineStr">
        <is>
          <t>EXTREME-NORD</t>
        </is>
      </c>
      <c r="H1136" t="inlineStr">
        <is>
          <t>Maroua</t>
        </is>
      </c>
      <c r="I1136" t="inlineStr"/>
      <c r="J1136" t="n">
        <v>7.902143807776699</v>
      </c>
      <c r="K1136" t="n">
        <v>10.12213501025123</v>
      </c>
      <c r="L1136" t="n">
        <v>10.90186668111288</v>
      </c>
      <c r="M1136" t="n">
        <v>10.21174161679979</v>
      </c>
      <c r="N1136" t="inlineStr">
        <is>
          <t>Operationnel</t>
        </is>
      </c>
      <c r="O1136" t="inlineStr"/>
      <c r="P1136" t="inlineStr">
        <is>
          <t>BSS</t>
        </is>
      </c>
      <c r="Q1136" t="inlineStr">
        <is>
          <t>RAN ISSUE</t>
        </is>
      </c>
      <c r="R1136" t="inlineStr">
        <is>
          <t>BSS Hardware issue</t>
        </is>
      </c>
      <c r="S1136" t="inlineStr">
        <is>
          <t>ACTIVE</t>
        </is>
      </c>
      <c r="T1136" t="inlineStr">
        <is>
          <t>01/04/2026 Tx issue reset BOARD ….Power status check ongoing..;Power status check ongoing..;INC-20260331-00013761...Others Transmission equipement fault</t>
        </is>
      </c>
      <c r="U1136" t="inlineStr">
        <is>
          <t>01/04/2026 Tx issue reset BOARD ….Power status check ongoing.;.</t>
        </is>
      </c>
    </row>
    <row r="1137">
      <c r="A1137" t="inlineStr">
        <is>
          <t>4/31/2026</t>
        </is>
      </c>
      <c r="B1137" t="inlineStr">
        <is>
          <t>Institute-Samba-New</t>
        </is>
      </c>
      <c r="C1137" t="inlineStr">
        <is>
          <t>CTR_868</t>
        </is>
      </c>
      <c r="D1137" t="inlineStr"/>
      <c r="E1137" t="inlineStr">
        <is>
          <t>CAMUSAT</t>
        </is>
      </c>
      <c r="F1137" t="inlineStr">
        <is>
          <t>Good Grid no GE - 8h</t>
        </is>
      </c>
      <c r="G1137" t="inlineStr">
        <is>
          <t>CENTRE</t>
        </is>
      </c>
      <c r="H1137" t="inlineStr">
        <is>
          <t>Yaounde</t>
        </is>
      </c>
      <c r="I1137" t="inlineStr"/>
      <c r="J1137" t="n">
        <v>1.010280405580934</v>
      </c>
      <c r="K1137" t="n">
        <v>23.07371834103451</v>
      </c>
      <c r="L1137" t="n">
        <v>3.514596425217844</v>
      </c>
      <c r="M1137" t="n">
        <v>9.723203151529679</v>
      </c>
      <c r="N1137" t="inlineStr">
        <is>
          <t>Operationnel</t>
        </is>
      </c>
      <c r="O1137" t="inlineStr"/>
      <c r="P1137" t="inlineStr">
        <is>
          <t>AKTIVCO GRID ONLY</t>
        </is>
      </c>
      <c r="Q1137" t="inlineStr">
        <is>
          <t>POWER ISSUE</t>
        </is>
      </c>
      <c r="R1137" t="inlineStr">
        <is>
          <t>AKTIVCO Coupure ENEO &amp; Baisse de tension</t>
        </is>
      </c>
      <c r="S1137" t="inlineStr">
        <is>
          <t>PASSIVE</t>
        </is>
      </c>
      <c r="T1137" t="inlineStr">
        <is>
          <t xml:space="preserve">31/03/2026 :  02 redresseurs ajoutés ( 10KW disponible) ||  remplacement effectif Hier || Besoin d'analyse BO RAN
30/03/2026 : Rajout de redresseur ce jour 
28/03/2026 : Relance faite a camusat ce jour
25/03/2026 : Power issue || ETR 28032026
24/03/3036 : Insuffisance de redresseurs 
21/03/2026 : Insuffisance de redresseurs ||Feedback Camusat: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||Le point est escaladé et suivi auprès de ENEO pour normalisation. Par ailleurs pas d’espace disponible pour poser un GE mobile.
13/03/2026 : power issue || escalade du 3 PP au niveau de Mr. Theophile
12/03/2026 : FME active : check VBPe1p du slot 6 et 8 || ETA: 13H || Power issue || point suivi par le 3PP
07/03/2026 : Grid outage, Grid only site // Grid restoration awaited.
06/03/2026 : power issue || mail send to CAMUSAT ..;31/03/2026 :  02 redresseurs ajoutés ( 10KW disponible) ||  remplacement effectif Hier || Besoin d'analyse BO RAN || Feedback BO RAN : Fme should Plug In &amp; Plug Out board VBP_1_8 and observe during 30 min; if NOK Swap board VBP_1_8 with VBP_1_6 and observe during 30min; if still NOK replace faulty board
30/03/2026 : Rajout de redresseur ce jour 
28/03/2026 : Relance faite a camusat ce jour
25/03/2026 : Power issue || ETR 28032026
24/03/3036 : Insuffisance de redresseurs 
21/03/2026 : Insuffisance de redresseurs ||Feedback Camusat: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||Le point est escaladé et suivi auprès de ENEO pour normalisation. Par ailleurs pas d’espace disponible pour poser un GE mobile.
13/03/2026 : power issue || escalade du 3 PP au niveau de Mr. Theophile
12/03/2026 : FME active : check VBPe1p du slot 6 et 8 || ETA: 13H || Power issue || point suivi par le 3PP
07/03/2026 : Grid outage, Grid only site // Grid restoration awaited.
06/03/2026 : power issue || mail send to CAMUSAT ..;31/03/2026 :  02 redresseurs ajoutés ( 10KW disponible) ||  remplacement effectif Hier || Besoin d'analyse BO RAN || Feedback BO RAN : Fme should Plug In &amp; Plug Out board VBP_1_8 and observe during 30 min; if NOK Swap board VBP_1_8 with VBP_1_6 and observe during 30min; if still NOK replace faulty board
30/03/2026 : Rajout de redresseur ce jour 
28/03/2026 : Relance faite a camusat ce jour
25/03/2026 : Power issue || ETR 28032026
24/03/3036 : Insuffisance de redresseurs 
21/03/2026 : Insuffisance de redresseurs ||Feedback Camusat: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||Le point est escaladé et suivi auprès de ENEO pour normalisation. Par ailleurs pas d’espace disponible pour poser un GE mobile.
13/03/2026 : power issue || escalade du 3 PP au niveau de Mr. Theophile
12/03/2026 : FME active : check VBPe1p du slot 6 et 8 || ETA: 13H || Power issue || point suivi par le 3PP
07/03/2026 : Grid outage, Grid only site // Grid restoration awaited.
06/03/2026 : power issue || mail send to CAMUSAT </t>
        </is>
      </c>
      <c r="U1137" t="inlineStr">
        <is>
          <t>31/03/2026 : 02 redresseurs ajoutés ( 10KW disponible) || remplacement effectif Hier || Besoin d'analyse BO RAN 30/03/2026 : Rajout de redresseur ce jour 28/03/2026 : Relance faite a camusat ce jour 25/03/2026 : Power issue || ETR 28032026 24/03/3036 : Insuffisance de redresseurs 21/03/2026 : Insuffisance de redresseurs || Feedback Camusat :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 Le point est escaladé et suivi auprès de ENEO pour normalisation. Par ailleurs pas d’espace disponible pour poser un GE mobile. 13/03/2026 : power issue || escalade du 3 PP au niveau de Mr. Theophile 12/03/2026 : FME active : check VBPe1p du slot 6 et 8 || ETA : 13H || Power issue || point suivi par le 3PP 07/03/2026 : Grid outage, Grid only site // Grid restoration awaited. 06/03/2026 : power issue || mail send to CAMUSAT .;31/03/2026 : 02 redresseurs ajoutés ( 10KW disponible) || remplacement effectif Hier || Besoin d'analyse BO RAN || Feedback BO RAN : Fme should Plug In &amp; Plug Out board VBP_1_8 and observe during 30 min; if NOK Swap board VBP_1_8 with VBP_1_6 and observe during 30min; if still NOK replace faulty board 30/03/2026 : Rajout de redresseur ce jour 28/03/2026 : Relance faite a camusat ce jour 25/03/2026 : Power issue || ETR 28032026 24/03/3036 : Insuffisance de redresseurs 21/03/2026 : Insuffisance de redresseurs || Feedback Camusat :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 Le point est escaladé et suivi auprès de ENEO pour normalisation. Par ailleurs pas d’espace disponible pour poser un GE mobile. 13/03/2026 : power issue || escalade du 3 PP au niveau de Mr. Theophile 12/03/2026 : FME active : check VBPe1p du slot 6 et 8 || ETA : 13H || Power issue || point suivi par le 3PP 07/03/2026 : Grid outage, Grid only site // Grid restoration awaited. 06/03/2026 : power issue || mail send to CAMUSAT .;31/03/2026 : 02 redresseurs ajoutés ( 10KW disponible) || remplacement effectif Hier || Besoin d'analyse BO RAN || Feedback BO RAN : Fme should Plug In &amp; Plug Out board VBP_1_8 and observe during 30 min; if NOK Swap board VBP_1_8 with VBP_1_6 and observe during 30min; if still NOK replace faulty board 30/03/2026 : Rajout de redresseur ce jour 28/03/2026 : Relance faite a camusat ce jour 25/03/2026 : Power issue || ETR 28032026 24/03/3036 : Insuffisance de redresseurs 21/03/2026 : Insuffisance de redresseurs || Feedback Camusat : Nous avons effectuer des rajouts sur le site, 3 redresseurs rajouter, Oui c'est le cas, nous avons du partager le lot reçu entre les sites. Nous comptons normaliser d'un qu'un nouveau lot de redresseurs sera disponible. Il reste à compléter le nombre de redresseurs à 4 pour avoir les pleines fonctionnalité. 20/03/2026 : Power issue 19/03/2026 : Power issue 18/03/2026 : Relance faite a camusat || Feedback camusat : Sur institut samba nous avons des problèmes de Phases récurrente sur site,Entrainant la perte de 4 modules redresseurs, les Redresseurs sont arrivés à YAOUNDE, et le remplacement est prévue pour aujourd’hui. 17/03/2026 : Power issue || point escalade a OCM 16/03/2026 Relance faite 15/03/2026 : Point suivi par le 3PP 14/03/2026 : Relance faite || Les perturbations de phases sont les causes de ces instabilités sur site (perte de phases, baisses de tensions, fluctuations de tensions) || Courant de sortie réduit → baisse de la tension DC. Surcharge possible des redresseurs restant → redresseurs alarmés || charge incomplète ou décharge rapide des batteries || Le point est escaladé et suivi auprès de ENEO pour normalisation. Par ailleurs pas d’espace disponible pour poser un GE mobile. 13/03/2026 : power issue || escalade du 3 PP au niveau de Mr. Theophile 12/03/2026 : FME active : check VBPe1p du slot 6 et 8 || ETA : 13H || Power issue || point suivi par le 3PP 07/03/2026 : Grid outage, Grid only site // Grid restoration awaited. 06/03/2026 : power issue || mail send to CAMUSAT</t>
        </is>
      </c>
    </row>
    <row r="1138">
      <c r="A1138" t="inlineStr">
        <is>
          <t>4/31/2026</t>
        </is>
      </c>
      <c r="B1138" t="inlineStr">
        <is>
          <t>SOA-Vallee</t>
        </is>
      </c>
      <c r="C1138" t="inlineStr">
        <is>
          <t>CTR_714</t>
        </is>
      </c>
      <c r="D1138" t="inlineStr"/>
      <c r="E1138" t="inlineStr">
        <is>
          <t>CAMUSAT</t>
        </is>
      </c>
      <c r="F1138" t="inlineStr">
        <is>
          <t>Good Grid + GE</t>
        </is>
      </c>
      <c r="G1138" t="inlineStr">
        <is>
          <t>CENTRE</t>
        </is>
      </c>
      <c r="H1138" t="inlineStr">
        <is>
          <t>Yaounde</t>
        </is>
      </c>
      <c r="I1138" t="inlineStr"/>
      <c r="J1138" t="n">
        <v>5.50439832300197</v>
      </c>
      <c r="K1138" t="n">
        <v>7.779907075899914</v>
      </c>
      <c r="L1138" t="n">
        <v>11.92640582488996</v>
      </c>
      <c r="M1138" t="n">
        <v>9.617316291559298</v>
      </c>
      <c r="N1138" t="inlineStr">
        <is>
          <t>Operationnel</t>
        </is>
      </c>
      <c r="O1138" t="inlineStr"/>
      <c r="P1138" t="inlineStr">
        <is>
          <t>AKTIVCO</t>
        </is>
      </c>
      <c r="Q1138" t="inlineStr">
        <is>
          <t>POWER ISSUE</t>
        </is>
      </c>
      <c r="R1138" t="inlineStr">
        <is>
          <t>AKTIVCO Defaut GE &amp; Power Cabinet</t>
        </is>
      </c>
      <c r="S1138" t="inlineStr">
        <is>
          <t>PASSIVE</t>
        </is>
      </c>
      <c r="T1138" t="inlineStr">
        <is>
          <t>01/04/2026: grid outage grid only….31/03/2026 : Besoin d'analyse BO RAN</t>
        </is>
      </c>
      <c r="U1138" t="inlineStr">
        <is>
          <t>01/04/2026 : grid outage grid only….31/03/2026 : Besoin d'analyse BO RAN</t>
        </is>
      </c>
    </row>
    <row r="1139">
      <c r="A1139" t="inlineStr">
        <is>
          <t>4/31/2026</t>
        </is>
      </c>
      <c r="B1139" t="inlineStr">
        <is>
          <t>H-Progres</t>
        </is>
      </c>
      <c r="C1139" t="inlineStr">
        <is>
          <t>CTR_017</t>
        </is>
      </c>
      <c r="D1139" t="inlineStr"/>
      <c r="E1139" t="inlineStr">
        <is>
          <t>IHS</t>
        </is>
      </c>
      <c r="F1139" t="inlineStr">
        <is>
          <t>GridOnly</t>
        </is>
      </c>
      <c r="G1139" t="inlineStr">
        <is>
          <t>CENTRE</t>
        </is>
      </c>
      <c r="H1139" t="inlineStr">
        <is>
          <t>Yaounde</t>
        </is>
      </c>
      <c r="I1139" t="inlineStr"/>
      <c r="J1139" t="n">
        <v>0</v>
      </c>
      <c r="K1139" t="n">
        <v>2.070381165614343</v>
      </c>
      <c r="L1139" t="n">
        <v>16.98442872871098</v>
      </c>
      <c r="M1139" t="n">
        <v>9.552236090779118</v>
      </c>
      <c r="N1139" t="inlineStr">
        <is>
          <t>Operationnel</t>
        </is>
      </c>
      <c r="O1139" t="inlineStr"/>
      <c r="P1139" t="inlineStr">
        <is>
          <t>IHS GRID ONLY</t>
        </is>
      </c>
      <c r="Q1139" t="inlineStr">
        <is>
          <t>POWER ISSUE</t>
        </is>
      </c>
      <c r="R1139" t="inlineStr">
        <is>
          <t>Coupure ENEO &amp; Baisse de tension</t>
        </is>
      </c>
      <c r="S1139" t="inlineStr">
        <is>
          <t>PASSIVE</t>
        </is>
      </c>
      <c r="T1139" t="inlineStr">
        <is>
          <t>Power status check ongoing..;INC-20260331-00010818...Grid outage // Awaiting grid return...Others</t>
        </is>
      </c>
      <c r="U1139" t="inlineStr">
        <is>
          <t>Grid outage // Awaiting grid return.Others</t>
        </is>
      </c>
    </row>
    <row r="1140">
      <c r="A1140" t="inlineStr">
        <is>
          <t>4/31/2026</t>
        </is>
      </c>
      <c r="B1140" t="inlineStr">
        <is>
          <t>Dumbu</t>
        </is>
      </c>
      <c r="C1140" t="inlineStr">
        <is>
          <t>NRO_046</t>
        </is>
      </c>
      <c r="D1140" t="inlineStr"/>
      <c r="E1140" t="inlineStr">
        <is>
          <t>IHS</t>
        </is>
      </c>
      <c r="F1140" t="inlineStr">
        <is>
          <t>Hybrid-Gen</t>
        </is>
      </c>
      <c r="G1140" t="inlineStr">
        <is>
          <t>NORD-OUEST</t>
        </is>
      </c>
      <c r="H1140" t="inlineStr">
        <is>
          <t>Dumbu</t>
        </is>
      </c>
      <c r="I1140" t="inlineStr"/>
      <c r="J1140" t="n">
        <v>37.39130676398791</v>
      </c>
      <c r="K1140" t="n">
        <v>11.86228371261191</v>
      </c>
      <c r="L1140" t="n">
        <v>0</v>
      </c>
      <c r="M1140" t="n">
        <v>9.321780610907451</v>
      </c>
      <c r="N1140" t="inlineStr">
        <is>
          <t>Insecurity</t>
        </is>
      </c>
      <c r="O1140" t="inlineStr"/>
      <c r="P1140" t="inlineStr">
        <is>
          <t>PDH</t>
        </is>
      </c>
      <c r="Q1140" t="inlineStr">
        <is>
          <t>TX ISSUE</t>
        </is>
      </c>
      <c r="R1140" t="inlineStr">
        <is>
          <t>MPR ISSUE</t>
        </is>
      </c>
      <c r="S1140" t="inlineStr">
        <is>
          <t>ACTIVE</t>
        </is>
      </c>
      <c r="T1140" t="inlineStr">
        <is>
          <t>30/03/2026 : Check breaker and  interconnection(sfp, optical fiber) between system and radio module, swap its if needed ||Ghost town..;30/03/2026 : Check breaker and  interconnection(sfp, optical fiber) between system and radio module, swap its if needed ||Ghost town</t>
        </is>
      </c>
      <c r="U1140" t="inlineStr">
        <is>
          <t>30/03/2026 : Check breaker and interconnection(sfp, optical fiber) between system and radio module, swap its if needed || Ghost town.;30/03/2026 : Check breaker and interconnection(sfp, optical fiber) between system and radio module, swap its if needed || Ghost town</t>
        </is>
      </c>
    </row>
    <row r="1141">
      <c r="A1141" t="inlineStr">
        <is>
          <t>4/31/2026</t>
        </is>
      </c>
      <c r="B1141" t="inlineStr">
        <is>
          <t>TCHEVI-IHS</t>
        </is>
      </c>
      <c r="C1141" t="inlineStr">
        <is>
          <t>EXN_227</t>
        </is>
      </c>
      <c r="D1141" t="inlineStr"/>
      <c r="E1141" t="inlineStr">
        <is>
          <t>IHS</t>
        </is>
      </c>
      <c r="F1141" t="inlineStr">
        <is>
          <t>Grid-Gen</t>
        </is>
      </c>
      <c r="G1141" t="inlineStr">
        <is>
          <t>EXTREME-NORD</t>
        </is>
      </c>
      <c r="H1141" t="inlineStr">
        <is>
          <t>Tchevi</t>
        </is>
      </c>
      <c r="I1141" t="inlineStr"/>
      <c r="J1141" t="n">
        <v>32.73073378922354</v>
      </c>
      <c r="K1141" t="n">
        <v>13.77031120903332</v>
      </c>
      <c r="L1141" t="n">
        <v>0</v>
      </c>
      <c r="M1141" t="n">
        <v>9.29679805878318</v>
      </c>
      <c r="N1141" t="inlineStr">
        <is>
          <t>Insecurity</t>
        </is>
      </c>
      <c r="O1141" t="inlineStr"/>
      <c r="P1141" t="inlineStr">
        <is>
          <t>PDH</t>
        </is>
      </c>
      <c r="Q1141" t="inlineStr">
        <is>
          <t>TX ISSUE</t>
        </is>
      </c>
      <c r="R1141" t="inlineStr">
        <is>
          <t>MPR ISSUE</t>
        </is>
      </c>
      <c r="S1141" t="inlineStr">
        <is>
          <t>ACTIVE</t>
        </is>
      </c>
      <c r="T1141" t="inlineStr">
        <is>
          <t>30/03/2026 : Check breaker and  interconnection(sfp, optical fiber) between system and radio module, swap its if needed ..;30/03/2026 : Check breaker and  interconnection(sfp, optical fiber) between system and radio module, swap its if needed ..;30/03/2026 : Check breaker and  interconnection(sfp, optical fiber) between system and radio module, swap its if needed ..;Power status check ongoing..;INC-20260331-00013045...2026-03-31 21:55:31...Besoin d'un FME sur site pour reset du MPR et si NOK, tshoot avec le BO TX; CM-20260331-00005042; FME Ervice activé pour investigations, update ASAP...fluctuation du site dû au feding...Others</t>
        </is>
      </c>
      <c r="U1141" t="inlineStr">
        <is>
          <t>30/03/2026 : Check breaker and interconnection(sfp, optical fiber) between system and radio module, swap its if needed .;30/03/2026 : Check breaker and interconnection(sfp, optical fiber) between system and radio module, swap its if needed .;30/03/2026 : Check breaker and interconnection(sfp, optical fiber) between system and radio module, swap its if needed .;.2026-03-31 21 : 55 : 31.Besoin d'un FME sur site pour reset du MPR et si NOK, tshoot avec le BO TX; ; FME Ervice activé pour investigations, update ASAP.fluctuation du site dû au feding.Others</t>
        </is>
      </c>
    </row>
    <row r="1142">
      <c r="A1142" t="inlineStr">
        <is>
          <t>4/31/2026</t>
        </is>
      </c>
      <c r="B1142" t="inlineStr">
        <is>
          <t>Darrack-MTN-IHS</t>
        </is>
      </c>
      <c r="C1142" t="inlineStr">
        <is>
          <t>EXN_133</t>
        </is>
      </c>
      <c r="D1142" t="inlineStr"/>
      <c r="E1142" t="inlineStr">
        <is>
          <t>IHS</t>
        </is>
      </c>
      <c r="F1142" t="inlineStr">
        <is>
          <t>Solar-Gen</t>
        </is>
      </c>
      <c r="G1142" t="inlineStr">
        <is>
          <t>EXTREME-NORD</t>
        </is>
      </c>
      <c r="H1142" t="inlineStr">
        <is>
          <t>Darrack</t>
        </is>
      </c>
      <c r="I1142" t="inlineStr"/>
      <c r="J1142" t="n">
        <v>32.73073378922354</v>
      </c>
      <c r="K1142" t="n">
        <v>13.77031120903332</v>
      </c>
      <c r="L1142" t="n">
        <v>0</v>
      </c>
      <c r="M1142" t="n">
        <v>9.29679805878318</v>
      </c>
      <c r="N1142" t="inlineStr">
        <is>
          <t>EXCLU</t>
        </is>
      </c>
      <c r="O1142" t="inlineStr">
        <is>
          <t xml:space="preserve"> Site vendalisé,</t>
        </is>
      </c>
      <c r="P1142" t="inlineStr">
        <is>
          <t>Exclu</t>
        </is>
      </c>
      <c r="Q1142" t="inlineStr">
        <is>
          <t>Exclu</t>
        </is>
      </c>
      <c r="R1142" t="inlineStr">
        <is>
          <t>exclu</t>
        </is>
      </c>
      <c r="S1142" t="inlineStr">
        <is>
          <t>Exclu</t>
        </is>
      </c>
      <c r="T1142" t="inlineStr">
        <is>
          <t>01/04/2026  site vandalisé par les boko haram....13.02.26: Problème d'énergie. Site vendalisé par Bokom-Haram et pas de possibilité d'y accéder actuellement suite à l'insécurité qui préconise dans la zone; Escalade faite au L5 de IHS
Point escaladé au L5 IHS 
28.01.2026 L4 IHS: As already reported here below the site was vandalized by BH. There is no action that can be taken now due to high security risk in the area. 
26.01.2026 IHS: impossible de faire quoi que ce soit sur site, pas de plan,un courrier est en cours pour informer OCM de la situation | ESCALTION Done to L4
26.01.2026 Retour Romuald: As you can read in the comment , That area has been attacked by the BOKO HARAM and the area is became insecure 
26.01.2026 IHS: Area attaqued by Boko Haram. No one can reach the site now. Awaiting updates...;13.02.26: Problème d'énergie. Site vendalisé par Bokom-Haram et pas de possibilité d'y accéder actuellement suite à l'insécurité qui préconise dans la zone; Escalade faite au L5 de IHS
Point escaladé au L5 IHS 
28.01.2026 L4 IHS: As already reported here below the site was vandalized by BH. There is no action that can be taken now due to high security risk in the area. 
26.01.2026 IHS: impossible de faire quoi que ce soit sur site, pas de plan,un courrier est en cours pour informer OCM de la situation | ESCALTION Done to L4
26.01.2026 Retour Romuald: As you can read in the comment , That area has been attacked by the BOKO HARAM and the area is became insecure 
26.01.2026 IHS: Area attaqued by Boko Haram. No one can reach the site now. Awaiting updates...;13.02.26: Problème d'énergie. Site vendalisé par Bokom-Haram et pas de possibilité d'y accéder actuellement suite à l'insécurité qui préconise dans la zone; Escalade faite au L5 de IHS
Point escaladé au L5 IHS 
28.01.2026 L4 IHS: As already reported here below the site was vandalized by BH. There is no action that can be taken now due to high security risk in the area. 
26.01.2026 IHS: impossible de faire quoi que ce soit sur site, pas de plan,un courrier est en cours pour informer OCM de la situation | ESCALTION Done to L4
26.01.2026 Retour Romuald: As you can read in the comment , That area has been attacked by the BOKO HARAM and the area is became insecure 
26.01.2026 IHS: Area attaqued by Boko Haram. No one can reach the site now. Awaiting updates.</t>
        </is>
      </c>
      <c r="U1142" t="inlineStr">
        <is>
          <t>01/04/2026 site vandalisé par les boko haram.13.02.26 : Problème d'énergie. Site vendalisé par Bokom-Haram et pas de possibilité d'y accéder actuellement suite à l'insécurité qui préconise dans la zone; Escalade faite au L5 de IHS Point escaladé au L5 IHS 28.01.2026 L4 IHS : As already reported here below the site was vandalized by BH. There is no action that can be taken now due to high security risk in the area. 26.01.2026 IHS : impossible de faire quoi que ce soit sur site, pas de plan,un courrier est en cours pour informer OCM de la situation | ESCALTION Done to L4 26.01.2026 Retour Romuald : As you can read in the comment , That area has been attacked by the BOKO HARAM and the area is became insecure 26.01.2026 IHS : Area attaqued by Boko Haram. No one can reach the site now. Awaiting updates.;13.02.26 : Problème d'énergie. Site vendalisé par Bokom-Haram et pas de possibilité d'y accéder actuellement suite à l'insécurité qui préconise dans la zone; Escalade faite au L5 de IHS Point escaladé au L5 IHS 28.01.2026 L4 IHS : As already reported here below the site was vandalized by BH. There is no action that can be taken now due to high security risk in the area. 26.01.2026 IHS : impossible de faire quoi que ce soit sur site, pas de plan,un courrier est en cours pour informer OCM de la situation | ESCALTION Done to L4 26.01.2026 Retour Romuald : As you can read in the comment , That area has been attacked by the BOKO HARAM and the area is became insecure 26.01.2026 IHS : Area attaqued by Boko Haram. No one can reach the site now. Awaiting updates.;13.02.26 : Problème d'énergie. Site vendalisé par Bokom-Haram et pas de possibilité d'y accéder actuellement suite à l'insécurité qui préconise dans la zone; Escalade faite au L5 de IHS Point escaladé au L5 IHS 28.01.2026 L4 IHS : As already reported here below the site was vandalized by BH. There is no action that can be taken now due to high security risk in the area. 26.01.2026 IHS : impossible de faire quoi que ce soit sur site, pas de plan,un courrier est en cours pour informer OCM de la situation | ESCALTION Done to L4 26.01.2026 Retour Romuald : As you can read in the comment , That area has been attacked by the BOKO HARAM and the area is became insecure 26.01.2026 IHS : Area attaqued by Boko Haram. No one can reach the site now. Awaiting updates.</t>
        </is>
      </c>
    </row>
    <row r="1143">
      <c r="A1143" t="inlineStr">
        <is>
          <t>4/31/2026</t>
        </is>
      </c>
      <c r="B1143" t="inlineStr">
        <is>
          <t>Zhoa</t>
        </is>
      </c>
      <c r="C1143" t="inlineStr">
        <is>
          <t>NRO_030</t>
        </is>
      </c>
      <c r="D1143" t="inlineStr"/>
      <c r="E1143" t="inlineStr">
        <is>
          <t>IHS</t>
        </is>
      </c>
      <c r="F1143" t="inlineStr">
        <is>
          <t>Hybrid-Gen</t>
        </is>
      </c>
      <c r="G1143" t="inlineStr">
        <is>
          <t>NORD-OUEST</t>
        </is>
      </c>
      <c r="H1143" t="inlineStr">
        <is>
          <t>Fungom</t>
        </is>
      </c>
      <c r="I1143" t="inlineStr"/>
      <c r="J1143" t="n">
        <v>32.73060748985564</v>
      </c>
      <c r="K1143" t="n">
        <v>13.77031120903332</v>
      </c>
      <c r="L1143" t="n">
        <v>0</v>
      </c>
      <c r="M1143" t="n">
        <v>9.296780023245121</v>
      </c>
      <c r="N1143" t="inlineStr">
        <is>
          <t>Insecurity</t>
        </is>
      </c>
      <c r="O1143" t="inlineStr"/>
      <c r="P1143" t="inlineStr">
        <is>
          <t>IHS</t>
        </is>
      </c>
      <c r="Q1143" t="inlineStr">
        <is>
          <t>POWER ISSUE</t>
        </is>
      </c>
      <c r="R1143" t="inlineStr">
        <is>
          <t>Defaut GE &amp; Power Cabinet</t>
        </is>
      </c>
      <c r="S1143" t="inlineStr">
        <is>
          <t>PASSIVE</t>
        </is>
      </c>
      <c r="T1143" t="inlineStr">
        <is>
          <t>29/03/2026 : Feedback IHS : There is no power issue on site || FME investigation 
27/03/2026 :Feedback BO RAN : Site affected by insuficient rectifier(Power issue)
26/03/2026 : need BO RAN analysis</t>
        </is>
      </c>
      <c r="U1143" t="inlineStr">
        <is>
          <t>29/03/2026 : Feedback IHS : There is no power issue on site || FME investigation 27/03/2026 : Feedback BO RAN : Site affected by insuficient rectifier(Power issue) 26/03/2026 : need BO RAN analysis</t>
        </is>
      </c>
    </row>
    <row r="1144">
      <c r="A1144" t="inlineStr">
        <is>
          <t>4/31/2026</t>
        </is>
      </c>
      <c r="B1144" t="inlineStr">
        <is>
          <t>Binka-IHS</t>
        </is>
      </c>
      <c r="C1144" t="inlineStr">
        <is>
          <t>NRO_023</t>
        </is>
      </c>
      <c r="D1144" t="inlineStr"/>
      <c r="E1144" t="inlineStr">
        <is>
          <t>IHS</t>
        </is>
      </c>
      <c r="F1144" t="inlineStr">
        <is>
          <t>Gen Only</t>
        </is>
      </c>
      <c r="G1144" t="inlineStr">
        <is>
          <t>NORD-OUEST</t>
        </is>
      </c>
      <c r="H1144" t="inlineStr">
        <is>
          <t>Binka</t>
        </is>
      </c>
      <c r="I1144" t="inlineStr"/>
      <c r="J1144" t="n">
        <v>32.7280815024977</v>
      </c>
      <c r="K1144" t="n">
        <v>13.77031120903332</v>
      </c>
      <c r="L1144" t="n">
        <v>0</v>
      </c>
      <c r="M1144" t="n">
        <v>9.296419312483954</v>
      </c>
      <c r="N1144" t="inlineStr">
        <is>
          <t>Insecurity</t>
        </is>
      </c>
      <c r="O1144" t="inlineStr"/>
      <c r="P1144" t="inlineStr">
        <is>
          <t>ACCESS-ISSUE</t>
        </is>
      </c>
      <c r="Q1144" t="inlineStr">
        <is>
          <t>ACCESS-ISSUE</t>
        </is>
      </c>
      <c r="R1144" t="inlineStr">
        <is>
          <t>ACCESS-ISSUE</t>
        </is>
      </c>
      <c r="S1144" t="inlineStr">
        <is>
          <t>ACCESS-ISSUE</t>
        </is>
      </c>
      <c r="T1144" t="inlineStr">
        <is>
          <t>31/03/2026 RED ZONE Check ongoing with FME and level zero
30.03.2026: FME Donald activated is managing. No ETA Site Under NOSO Area
29.03.2026: FME Donald activated is managing. No ETA Site Under NOSO Area
29.03.2026: MRBTS_L18L8L26 DOwn. Need FME on the site to check his status and interco with MPR(S1P2)
28.03.2026 IHS: FME Roland managing with level 0 due to insecurity..;31/03/2026 RED ZONE Check ongoing with FME and level zero
30.03.2026: FME Donald activated is managing. No ETA Site Under NOSO Area
29.03.2026: FME Donald activated is managing. No ETA Site Under NOSO Area
29.03.2026: MRBTS_L18L8L26 DOwn. Need FME on the site to check his status and interco with MPR(S1P2)
28.03.2026 IHS: FME Roland managing with level 0 due to insecurity..;31/03/2026 RED ZONE Check ongoing with FME and level zero
30.03.2026: FME Donald activated is managing. No ETA Site Under NOSO Area
29.03.2026: FME Donald activated is managing. No ETA Site Under NOSO Area
29.03.2026: MRBTS_L18L8L26 DOwn. Need FME on the site to check his status and interco with MPR(S1P2)
28.03.2026 IHS: FME Roland managing with level 0 due to insecurity..;INC-20260331-00014357...Others Transmission equipement fault</t>
        </is>
      </c>
      <c r="U1144" t="inlineStr">
        <is>
          <t>31/03/2026 RED ZONE Check ongoing with FME and level zero 30.03.2026 : FME Donald activated is managing. No ETA Site Under NOSO Area 29.03.2026 : FME Donald activated is managing. No ETA Site Under NOSO Area 29.03.2026 : MRBTS_L18L8L26 DOwn. Need FME on the site to check his status and interco with MPR(S1P2) 28.03.2026 IHS : FME Roland managing with level 0 due to insecurity.;31/03/2026 RED ZONE Check ongoing with FME and level zero 30.03.2026 : FME Donald activated is managing. No ETA Site Under NOSO Area 29.03.2026 : FME Donald activated is managing. No ETA Site Under NOSO Area 29.03.2026 : MRBTS_L18L8L26 DOwn. Need FME on the site to check his status and interco with MPR(S1P2) 28.03.2026 IHS : FME Roland managing with level 0 due to insecurity.;31/03/2026 RED ZONE Check ongoing with FME and level zero 30.03.2026 : FME Donald activated is managing. No ETA Site Under NOSO Area 29.03.2026 : FME Donald activated is managing. No ETA Site Under NOSO Area 29.03.2026 : MRBTS_L18L8L26 DOwn. Need FME on the site to check his status and interco with MPR(S1P2) 28.03.2026 IHS : FME Roland managing with level 0 due to insecurity.;.</t>
        </is>
      </c>
    </row>
    <row r="1145">
      <c r="A1145" t="inlineStr">
        <is>
          <t>4/31/2026</t>
        </is>
      </c>
      <c r="B1145" t="inlineStr">
        <is>
          <t>Eyumojock</t>
        </is>
      </c>
      <c r="C1145" t="inlineStr">
        <is>
          <t>SUO_016</t>
        </is>
      </c>
      <c r="D1145" t="inlineStr"/>
      <c r="E1145" t="inlineStr">
        <is>
          <t>IHS</t>
        </is>
      </c>
      <c r="F1145" t="inlineStr">
        <is>
          <t>Solar-Gen</t>
        </is>
      </c>
      <c r="G1145" t="inlineStr">
        <is>
          <t>SUD-OUEST</t>
        </is>
      </c>
      <c r="H1145" t="inlineStr">
        <is>
          <t>Eyumojock</t>
        </is>
      </c>
      <c r="I1145" t="inlineStr"/>
      <c r="J1145" t="n">
        <v>32.7280815024977</v>
      </c>
      <c r="K1145" t="n">
        <v>13.77031120903332</v>
      </c>
      <c r="L1145" t="n">
        <v>0</v>
      </c>
      <c r="M1145" t="n">
        <v>9.296419312483954</v>
      </c>
      <c r="N1145" t="inlineStr">
        <is>
          <t>EXCLU</t>
        </is>
      </c>
      <c r="O1145" t="inlineStr">
        <is>
          <t xml:space="preserve"> Site vendalisé,</t>
        </is>
      </c>
      <c r="P1145" t="inlineStr">
        <is>
          <t>Exclu</t>
        </is>
      </c>
      <c r="Q1145" t="inlineStr">
        <is>
          <t>Exclu</t>
        </is>
      </c>
      <c r="R1145" t="inlineStr">
        <is>
          <t>exclu</t>
        </is>
      </c>
      <c r="S1145" t="inlineStr">
        <is>
          <t>Exclu</t>
        </is>
      </c>
      <c r="T1145" t="inlineStr">
        <is>
          <t>01/04/2026: point chez le projet en attente swap TX</t>
        </is>
      </c>
      <c r="U1145" t="inlineStr">
        <is>
          <t>01/04/2026 : point chez le projet en attente swap TX</t>
        </is>
      </c>
    </row>
    <row r="1146">
      <c r="A1146" t="inlineStr">
        <is>
          <t>4/31/2026</t>
        </is>
      </c>
      <c r="B1146" t="inlineStr">
        <is>
          <t>Pinyi-Ngali</t>
        </is>
      </c>
      <c r="C1146" t="inlineStr">
        <is>
          <t>NRO_091</t>
        </is>
      </c>
      <c r="D1146" t="inlineStr"/>
      <c r="E1146" t="inlineStr">
        <is>
          <t>IHS</t>
        </is>
      </c>
      <c r="F1146" t="inlineStr">
        <is>
          <t>Solar+ Gen</t>
        </is>
      </c>
      <c r="G1146" t="inlineStr">
        <is>
          <t>NORD-OUEST</t>
        </is>
      </c>
      <c r="H1146" t="inlineStr">
        <is>
          <t>Pinyi-Ngali</t>
        </is>
      </c>
      <c r="I1146" t="inlineStr"/>
      <c r="J1146" t="n">
        <v>32.7280815024977</v>
      </c>
      <c r="K1146" t="n">
        <v>13.77031120903332</v>
      </c>
      <c r="L1146" t="n">
        <v>0</v>
      </c>
      <c r="M1146" t="n">
        <v>9.296419312483954</v>
      </c>
      <c r="N1146" t="inlineStr">
        <is>
          <t>Insecurity</t>
        </is>
      </c>
      <c r="O1146" t="inlineStr"/>
      <c r="P1146" t="inlineStr">
        <is>
          <t>ACCESS-ISSUE</t>
        </is>
      </c>
      <c r="Q1146" t="inlineStr">
        <is>
          <t>ACCESS-ISSUE</t>
        </is>
      </c>
      <c r="R1146" t="inlineStr">
        <is>
          <t>ACCESS-ISSUE</t>
        </is>
      </c>
      <c r="S1146" t="inlineStr">
        <is>
          <t>ACCESS-ISSUE</t>
        </is>
      </c>
      <c r="T1146" t="inlineStr">
        <is>
          <t xml:space="preserve">
30/03/2026 :Ghost town
29/03/2026 : Check breaker and  interconnection(sfp, optical fiber) between system and radio module, swap its if needed  || Negoiation d'access en cours ..;
30/03/2026 :Ghost town
29/03/2026 : Check breaker and  interconnection(sfp, optical fiber) between system and radio module, swap its if needed  || Negoiation d'access en cours ..;
30/03/2026 :Ghost town
29/03/2026 : Check breaker and  interconnection(sfp, optical fiber) between system and radio module, swap its if needed  || Negoiation d'access en cours ..;
30/03/2026 :Ghost town
29/03/2026 : Check breaker and  interconnection(sfp, optical fiber) between system and radio module, swap its if needed  || Negoiation d'access en cours </t>
        </is>
      </c>
      <c r="U1146" t="inlineStr">
        <is>
          <t>30/03/2026 : Ghost town 29/03/2026 : Check breaker and interconnection(sfp, optical fiber) between system and radio module, swap its if needed || Negoiation d'access en cours .; 30/03/2026 : Ghost town 29/03/2026 : Check breaker and interconnection(sfp, optical fiber) between system and radio module, swap its if needed || Negoiation d'access en cours .; 30/03/2026 : Ghost town 29/03/2026 : Check breaker and interconnection(sfp, optical fiber) between system and radio module, swap its if needed || Negoiation d'access en cours .; 30/03/2026 : Ghost town 29/03/2026 : Check breaker and interconnection(sfp, optical fiber) between system and radio module, swap its if needed || Negoiation d'access en cours</t>
        </is>
      </c>
    </row>
    <row r="1147">
      <c r="A1147" t="inlineStr">
        <is>
          <t>4/31/2026</t>
        </is>
      </c>
      <c r="B1147" t="inlineStr">
        <is>
          <t>Bertoua-Dabadi</t>
        </is>
      </c>
      <c r="C1147" t="inlineStr">
        <is>
          <t>EST_087</t>
        </is>
      </c>
      <c r="D1147" t="inlineStr"/>
      <c r="E1147" t="inlineStr">
        <is>
          <t>IHS</t>
        </is>
      </c>
      <c r="F1147" t="inlineStr">
        <is>
          <t>Grid-Gen</t>
        </is>
      </c>
      <c r="G1147" t="inlineStr">
        <is>
          <t>EST</t>
        </is>
      </c>
      <c r="H1147" t="inlineStr">
        <is>
          <t>Bertoua</t>
        </is>
      </c>
      <c r="I1147" t="inlineStr"/>
      <c r="J1147" t="n">
        <v>0</v>
      </c>
      <c r="K1147" t="n">
        <v>0</v>
      </c>
      <c r="L1147" t="n">
        <v>17.7294486141481</v>
      </c>
      <c r="M1147" t="n">
        <v>9.245704599738039</v>
      </c>
      <c r="N1147" t="inlineStr">
        <is>
          <t>Operationnel</t>
        </is>
      </c>
      <c r="O1147" t="inlineStr"/>
      <c r="P1147" t="inlineStr">
        <is>
          <t>BSS</t>
        </is>
      </c>
      <c r="Q1147" t="inlineStr">
        <is>
          <t>RAN ISSUE</t>
        </is>
      </c>
      <c r="R1147" t="inlineStr">
        <is>
          <t>BSS Hardware issue</t>
        </is>
      </c>
      <c r="S1147" t="inlineStr">
        <is>
          <t>ACTIVE</t>
        </is>
      </c>
      <c r="T1147" t="inlineStr">
        <is>
          <t>31/03/2026 : Rapport d'intervention en cours de redaction ETA 11h
30/03/2029 : Besoin d'analyse BO RAN || Check GPS connectivity || Fme active : intervention en cours..;31/03/2026 : Rapport d'intervention en cours de redaction ETA 11h
30/03/2029 : Besoin d'analyse BO RAN || Check GPS connectivity || Fme active : intervention en cours..;31/03/2026 : Rapport d'intervention en cours de redaction ETA 11h
30/03/2029 : Besoin d'analyse BO RAN || Check GPS connectivity || Fme active : intervention en cours</t>
        </is>
      </c>
      <c r="U1147" t="inlineStr">
        <is>
          <t>31/03/2026 : Rapport d'intervention en cours de redaction ETA 11h 30/03/2029 : Besoin d'analyse BO RAN || Check GPS connectivity || Fme active : intervention en cours.;31/03/2026 : Rapport d'intervention en cours de redaction ETA 11h 30/03/2029 : Besoin d'analyse BO RAN || Check GPS connectivity || Fme active : intervention en cours.;31/03/2026 : Rapport d'intervention en cours de redaction ETA 11h 30/03/2029 : Besoin d'analyse BO RAN || Check GPS connectivity || Fme active : intervention en cours</t>
        </is>
      </c>
    </row>
    <row r="1148">
      <c r="A1148" t="inlineStr">
        <is>
          <t>4/31/2026</t>
        </is>
      </c>
      <c r="B1148" t="inlineStr">
        <is>
          <t>Buea-Boduma-IHS</t>
        </is>
      </c>
      <c r="C1148" t="inlineStr">
        <is>
          <t>SUO_186</t>
        </is>
      </c>
      <c r="D1148" t="inlineStr"/>
      <c r="E1148" t="inlineStr">
        <is>
          <t>IHS</t>
        </is>
      </c>
      <c r="F1148" t="inlineStr">
        <is>
          <t>Grid-Gen</t>
        </is>
      </c>
      <c r="G1148" t="inlineStr">
        <is>
          <t>SUD-OUEST</t>
        </is>
      </c>
      <c r="H1148" t="inlineStr">
        <is>
          <t>Buea</t>
        </is>
      </c>
      <c r="I1148" t="inlineStr"/>
      <c r="J1148" t="n">
        <v>4.623010163503311</v>
      </c>
      <c r="K1148" t="n">
        <v>5.897805165396738</v>
      </c>
      <c r="L1148" t="n">
        <v>12.20011102793592</v>
      </c>
      <c r="M1148" t="n">
        <v>9.002344956097172</v>
      </c>
      <c r="N1148" t="inlineStr">
        <is>
          <t>Operationnel</t>
        </is>
      </c>
      <c r="O1148" t="inlineStr"/>
      <c r="P1148" t="inlineStr">
        <is>
          <t>IHS</t>
        </is>
      </c>
      <c r="Q1148" t="inlineStr">
        <is>
          <t>POWER ISSUE</t>
        </is>
      </c>
      <c r="R1148" t="inlineStr">
        <is>
          <t>Defaut GE &amp; Power Cabinet</t>
        </is>
      </c>
      <c r="S1148" t="inlineStr">
        <is>
          <t>PASSIVE</t>
        </is>
      </c>
      <c r="T1148" t="inlineStr">
        <is>
          <t>INC-20260331-00000771...Power issue onsite already fixed by IHS....Others Transmission equipement fault</t>
        </is>
      </c>
      <c r="U1148" t="inlineStr">
        <is>
          <t>Power issue onsite already fixed by IHS.</t>
        </is>
      </c>
    </row>
    <row r="1149">
      <c r="A1149" t="inlineStr">
        <is>
          <t>4/31/2026</t>
        </is>
      </c>
      <c r="B1149" t="inlineStr">
        <is>
          <t>Bfsam-Tayim-IHS</t>
        </is>
      </c>
      <c r="C1149" t="inlineStr">
        <is>
          <t>OST_213</t>
        </is>
      </c>
      <c r="D1149" t="inlineStr"/>
      <c r="E1149" t="inlineStr">
        <is>
          <t>IHS</t>
        </is>
      </c>
      <c r="F1149" t="inlineStr">
        <is>
          <t>Grid-Gen</t>
        </is>
      </c>
      <c r="G1149" t="inlineStr">
        <is>
          <t>OUEST</t>
        </is>
      </c>
      <c r="H1149" t="inlineStr">
        <is>
          <t>Bafoussam</t>
        </is>
      </c>
      <c r="I1149" t="inlineStr"/>
      <c r="J1149" t="n">
        <v>14.88193370342394</v>
      </c>
      <c r="K1149" t="n">
        <v>18.97954768777774</v>
      </c>
      <c r="L1149" t="n">
        <v>0.4216900104406754</v>
      </c>
      <c r="M1149" t="n">
        <v>8.716698341765758</v>
      </c>
      <c r="N1149" t="inlineStr">
        <is>
          <t>Operationnel</t>
        </is>
      </c>
      <c r="O1149" t="inlineStr"/>
      <c r="P1149" t="inlineStr">
        <is>
          <t>IHS</t>
        </is>
      </c>
      <c r="Q1149" t="inlineStr">
        <is>
          <t>POWER ISSUE</t>
        </is>
      </c>
      <c r="R1149" t="inlineStr">
        <is>
          <t>Defaut GE &amp; Power Cabinet</t>
        </is>
      </c>
      <c r="S1149" t="inlineStr">
        <is>
          <t>PASSIVE</t>
        </is>
      </c>
      <c r="T1149" t="inlineStr">
        <is>
          <t xml:space="preserve">01/04/2026:  grid outage </t>
        </is>
      </c>
      <c r="U1149" t="inlineStr">
        <is>
          <t>01/04/2026 : grid outage</t>
        </is>
      </c>
    </row>
    <row r="1150">
      <c r="A1150" t="inlineStr">
        <is>
          <t>4/31/2026</t>
        </is>
      </c>
      <c r="B1150" t="inlineStr">
        <is>
          <t>Pitoa-II</t>
        </is>
      </c>
      <c r="C1150" t="inlineStr">
        <is>
          <t>NRD_183</t>
        </is>
      </c>
      <c r="D1150" t="inlineStr"/>
      <c r="E1150" t="inlineStr">
        <is>
          <t>CAMUSAT</t>
        </is>
      </c>
      <c r="F1150" t="inlineStr">
        <is>
          <t>Hybrid Solar - S1</t>
        </is>
      </c>
      <c r="G1150" t="inlineStr">
        <is>
          <t>NORD</t>
        </is>
      </c>
      <c r="H1150" t="inlineStr">
        <is>
          <t>Garoua</t>
        </is>
      </c>
      <c r="I1150" t="inlineStr"/>
      <c r="J1150" t="n">
        <v>11.52161792741268</v>
      </c>
      <c r="K1150" t="n">
        <v>19.60080547820381</v>
      </c>
      <c r="L1150" t="n">
        <v>0.7031586873203799</v>
      </c>
      <c r="M1150" t="n">
        <v>8.592191660032018</v>
      </c>
      <c r="N1150" t="inlineStr">
        <is>
          <t>Operationnel</t>
        </is>
      </c>
      <c r="O1150" t="inlineStr"/>
      <c r="P1150" t="inlineStr">
        <is>
          <t>AKTIVCO</t>
        </is>
      </c>
      <c r="Q1150" t="inlineStr">
        <is>
          <t>POWER ISSUE</t>
        </is>
      </c>
      <c r="R1150" t="inlineStr">
        <is>
          <t>AKTIVCO Defaut GE &amp; Power Cabinet</t>
        </is>
      </c>
      <c r="S1150" t="inlineStr">
        <is>
          <t>PASSIVE</t>
        </is>
      </c>
      <c r="T1150" t="inlineStr">
        <is>
          <t>31/03/2026 : Site down..;Power status check ongoing..;Power status check ongoing..;INC-20260331-00010283...2026-03-31 19:54:48...Grid outage ,Access issue due to landlord / awaiting grid restoration (escalated to L2)...Power issue Eneo outtage ...Others</t>
        </is>
      </c>
      <c r="U1150" t="inlineStr">
        <is>
          <t>31/03/2026 : Site down.;Power status check ongoing.;.2026-03-31 19 : 54 : 48.Grid outage ,Access issue due to landlord / awaiting grid restoration (escalated to L2).Power issue Eneo outtage .Others</t>
        </is>
      </c>
    </row>
    <row r="1151">
      <c r="A1151" t="inlineStr">
        <is>
          <t>4/31/2026</t>
        </is>
      </c>
      <c r="B1151" t="inlineStr">
        <is>
          <t>Etoa-Meki-II</t>
        </is>
      </c>
      <c r="C1151" t="inlineStr">
        <is>
          <t>CTR_682</t>
        </is>
      </c>
      <c r="D1151" t="inlineStr"/>
      <c r="E1151" t="inlineStr">
        <is>
          <t>CAMUSAT</t>
        </is>
      </c>
      <c r="F1151" t="inlineStr">
        <is>
          <t>Good Grid no GE - 8h</t>
        </is>
      </c>
      <c r="G1151" t="inlineStr">
        <is>
          <t>CENTRE</t>
        </is>
      </c>
      <c r="H1151" t="inlineStr">
        <is>
          <t>Yaounde</t>
        </is>
      </c>
      <c r="I1151" t="inlineStr"/>
      <c r="J1151" t="n">
        <v>7.07333669052672</v>
      </c>
      <c r="K1151" t="n">
        <v>6.189414880776306</v>
      </c>
      <c r="L1151" t="n">
        <v>10.40698797461843</v>
      </c>
      <c r="M1151" t="n">
        <v>8.515054946309281</v>
      </c>
      <c r="N1151" t="inlineStr">
        <is>
          <t>Operationnel</t>
        </is>
      </c>
      <c r="O1151" t="inlineStr"/>
      <c r="P1151" t="inlineStr">
        <is>
          <t>AKTIVCO GRID ONLY</t>
        </is>
      </c>
      <c r="Q1151" t="inlineStr">
        <is>
          <t>POWER ISSUE</t>
        </is>
      </c>
      <c r="R1151" t="inlineStr">
        <is>
          <t>AKTIVCO Coupure ENEO &amp; Baisse de tension</t>
        </is>
      </c>
      <c r="S1151" t="inlineStr">
        <is>
          <t>PASSIVE</t>
        </is>
      </c>
      <c r="T1151" t="inlineStr">
        <is>
          <t>Power status check ongoing..;INC-20260331-00014595...2026-03-31 22:04:23...Grid outage, Grid only site / Grid return awaited...Others</t>
        </is>
      </c>
      <c r="U1151" t="inlineStr">
        <is>
          <t>2026-03-31 22 : 04 : 23.Grid outage, Grid only site / Grid return awaited.Others</t>
        </is>
      </c>
    </row>
    <row r="1152">
      <c r="A1152" t="inlineStr">
        <is>
          <t>4/31/2026</t>
        </is>
      </c>
      <c r="B1152" t="inlineStr">
        <is>
          <t>Maroua-Pitouare-IHS</t>
        </is>
      </c>
      <c r="C1152" t="inlineStr">
        <is>
          <t>EXN_145</t>
        </is>
      </c>
      <c r="D1152" t="inlineStr"/>
      <c r="E1152" t="inlineStr">
        <is>
          <t>IHS</t>
        </is>
      </c>
      <c r="F1152" t="inlineStr">
        <is>
          <t>Grid-Gen</t>
        </is>
      </c>
      <c r="G1152" t="inlineStr">
        <is>
          <t>EXTREME-NORD</t>
        </is>
      </c>
      <c r="H1152" t="inlineStr">
        <is>
          <t>Maroua</t>
        </is>
      </c>
      <c r="I1152" t="inlineStr"/>
      <c r="J1152" t="n">
        <v>5.725838199265413</v>
      </c>
      <c r="K1152" t="n">
        <v>7.303630687053527</v>
      </c>
      <c r="L1152" t="n">
        <v>8.65678632950071</v>
      </c>
      <c r="M1152" t="n">
        <v>7.783977251000906</v>
      </c>
      <c r="N1152" t="inlineStr">
        <is>
          <t>Operationnel</t>
        </is>
      </c>
      <c r="O1152" t="inlineStr"/>
      <c r="P1152" t="inlineStr">
        <is>
          <t>IHS</t>
        </is>
      </c>
      <c r="Q1152" t="inlineStr">
        <is>
          <t>POWER ISSUE</t>
        </is>
      </c>
      <c r="R1152" t="inlineStr">
        <is>
          <t>Defaut GE &amp; Power Cabinet</t>
        </is>
      </c>
      <c r="S1152" t="inlineStr">
        <is>
          <t>PASSIVE</t>
        </is>
      </c>
      <c r="T1152" t="inlineStr">
        <is>
          <t>INC-20260331-00012657...GE Fault</t>
        </is>
      </c>
      <c r="U1152" t="inlineStr">
        <is>
          <t>GE Fault</t>
        </is>
      </c>
    </row>
    <row r="1153">
      <c r="A1153" t="inlineStr">
        <is>
          <t>4/31/2026</t>
        </is>
      </c>
      <c r="B1153" t="inlineStr">
        <is>
          <t>Cinema-ABC</t>
        </is>
      </c>
      <c r="C1153" t="inlineStr">
        <is>
          <t>LIT_061</t>
        </is>
      </c>
      <c r="D1153" t="inlineStr"/>
      <c r="E1153" t="inlineStr">
        <is>
          <t>IHS</t>
        </is>
      </c>
      <c r="F1153" t="inlineStr">
        <is>
          <t>Grid-Lithium</t>
        </is>
      </c>
      <c r="G1153" t="inlineStr">
        <is>
          <t>LITTORAL</t>
        </is>
      </c>
      <c r="H1153" t="inlineStr">
        <is>
          <t>Douala</t>
        </is>
      </c>
      <c r="I1153" t="inlineStr"/>
      <c r="J1153" t="n">
        <v>3.203696709550815</v>
      </c>
      <c r="K1153" t="n">
        <v>2.826738884298784</v>
      </c>
      <c r="L1153" t="n">
        <v>12.18899592222683</v>
      </c>
      <c r="M1153" t="n">
        <v>7.762878353351431</v>
      </c>
      <c r="N1153" t="inlineStr">
        <is>
          <t>Operationnel</t>
        </is>
      </c>
      <c r="O1153" t="inlineStr"/>
      <c r="P1153" t="inlineStr">
        <is>
          <t>IHS</t>
        </is>
      </c>
      <c r="Q1153" t="inlineStr">
        <is>
          <t>POWER ISSUE</t>
        </is>
      </c>
      <c r="R1153" t="inlineStr">
        <is>
          <t>Defaut GE &amp; Power Cabinet</t>
        </is>
      </c>
      <c r="S1153" t="inlineStr">
        <is>
          <t>PASSIVE</t>
        </is>
      </c>
      <c r="T1153" t="inlineStr">
        <is>
          <t>INC-20260331-00007846...2026-03-31 14:20:05...Grid oputage awaiting grid return...Others</t>
        </is>
      </c>
      <c r="U1153" t="inlineStr">
        <is>
          <t>2026-03-31 14 : 20 : 05.Grid oputage awaiting grid return.Others</t>
        </is>
      </c>
    </row>
    <row r="1154">
      <c r="A1154" t="inlineStr">
        <is>
          <t>4/31/2026</t>
        </is>
      </c>
      <c r="B1154" t="inlineStr">
        <is>
          <t>OST_360_H_Bandjoun-Yom-V</t>
        </is>
      </c>
      <c r="C1154" t="inlineStr">
        <is>
          <t>OST_360</t>
        </is>
      </c>
      <c r="D1154" t="inlineStr"/>
      <c r="E1154" t="inlineStr">
        <is>
          <t>ESCO</t>
        </is>
      </c>
      <c r="F1154" t="inlineStr">
        <is>
          <t>Hybrid Solar - S1</t>
        </is>
      </c>
      <c r="G1154" t="inlineStr">
        <is>
          <t>OST</t>
        </is>
      </c>
      <c r="H1154" t="inlineStr">
        <is>
          <t>Bandjoun</t>
        </is>
      </c>
      <c r="I1154" t="inlineStr"/>
      <c r="J1154" t="n">
        <v>10.30825729689979</v>
      </c>
      <c r="K1154" t="n">
        <v>17.53998702870685</v>
      </c>
      <c r="L1154" t="n">
        <v>0.5275400171165787</v>
      </c>
      <c r="M1154" t="n">
        <v>7.635500224008584</v>
      </c>
      <c r="N1154" t="inlineStr"/>
      <c r="O1154" t="inlineStr"/>
      <c r="P1154" t="inlineStr">
        <is>
          <t>BSS</t>
        </is>
      </c>
      <c r="Q1154" t="inlineStr">
        <is>
          <t>RAN ISSUE</t>
        </is>
      </c>
      <c r="R1154" t="inlineStr">
        <is>
          <t>BSS Hardware issue</t>
        </is>
      </c>
      <c r="S1154" t="inlineStr">
        <is>
          <t>ACTIVE</t>
        </is>
      </c>
      <c r="T1154" t="inlineStr">
        <is>
          <t>1/4/2026 tx issue reset board</t>
        </is>
      </c>
      <c r="U1154" t="inlineStr">
        <is>
          <t>1/4/2026 tx issue reset board</t>
        </is>
      </c>
    </row>
    <row r="1155">
      <c r="A1155" t="inlineStr">
        <is>
          <t>4/31/2026</t>
        </is>
      </c>
      <c r="B1155" t="inlineStr">
        <is>
          <t>Satcom</t>
        </is>
      </c>
      <c r="C1155" t="inlineStr">
        <is>
          <t>CTR_199</t>
        </is>
      </c>
      <c r="D1155" t="inlineStr"/>
      <c r="E1155" t="inlineStr">
        <is>
          <t>IHS</t>
        </is>
      </c>
      <c r="F1155" t="inlineStr">
        <is>
          <t>Grid-Gen</t>
        </is>
      </c>
      <c r="G1155" t="inlineStr">
        <is>
          <t>CENTRE</t>
        </is>
      </c>
      <c r="H1155" t="inlineStr">
        <is>
          <t>Yaounde</t>
        </is>
      </c>
      <c r="I1155" t="inlineStr"/>
      <c r="J1155" t="n">
        <v>6.673795706789123</v>
      </c>
      <c r="K1155" t="n">
        <v>5.67185943402321</v>
      </c>
      <c r="L1155" t="n">
        <v>9.152827847053958</v>
      </c>
      <c r="M1155" t="n">
        <v>7.630221040826635</v>
      </c>
      <c r="N1155" t="inlineStr">
        <is>
          <t>Operationnel</t>
        </is>
      </c>
      <c r="O1155" t="inlineStr"/>
      <c r="P1155" t="inlineStr">
        <is>
          <t>Fiber AOF</t>
        </is>
      </c>
      <c r="Q1155" t="inlineStr">
        <is>
          <t>TX ISSUE</t>
        </is>
      </c>
      <c r="R1155" t="inlineStr">
        <is>
          <t>fiber AOF</t>
        </is>
      </c>
      <c r="S1155" t="inlineStr">
        <is>
          <t>ACTIVE</t>
        </is>
      </c>
      <c r="T1155" t="inlineStr">
        <is>
          <t>Power status check ongoing..;INC-20260331-00014608...pas problème radio sur ce site mais nous notons une instabilité AOF ...Others Transmission equipement fault</t>
        </is>
      </c>
      <c r="U1155" t="inlineStr">
        <is>
          <t>pas problème radio sur ce site mais nous notons une instabilité AOF .</t>
        </is>
      </c>
    </row>
    <row r="1156">
      <c r="A1156" t="inlineStr">
        <is>
          <t>4/31/2026</t>
        </is>
      </c>
      <c r="B1156" t="inlineStr">
        <is>
          <t>Garoua-Sabongari-Lainde-IHS</t>
        </is>
      </c>
      <c r="C1156" t="inlineStr">
        <is>
          <t>NRD_083</t>
        </is>
      </c>
      <c r="D1156" t="inlineStr"/>
      <c r="E1156" t="inlineStr">
        <is>
          <t>IHS</t>
        </is>
      </c>
      <c r="F1156" t="inlineStr">
        <is>
          <t>Grid-Gen</t>
        </is>
      </c>
      <c r="G1156" t="inlineStr">
        <is>
          <t>NORD</t>
        </is>
      </c>
      <c r="H1156" t="inlineStr">
        <is>
          <t>Garoua</t>
        </is>
      </c>
      <c r="I1156" t="inlineStr"/>
      <c r="J1156" t="n">
        <v>11.54784600074338</v>
      </c>
      <c r="K1156" t="n">
        <v>14.29881065312076</v>
      </c>
      <c r="L1156" t="n">
        <v>2.084680826148529</v>
      </c>
      <c r="M1156" t="n">
        <v>7.536444199033767</v>
      </c>
      <c r="N1156" t="inlineStr">
        <is>
          <t>Operationnel</t>
        </is>
      </c>
      <c r="O1156" t="inlineStr"/>
      <c r="P1156" t="inlineStr">
        <is>
          <t>IHS</t>
        </is>
      </c>
      <c r="Q1156" t="inlineStr">
        <is>
          <t>POWER ISSUE</t>
        </is>
      </c>
      <c r="R1156" t="inlineStr">
        <is>
          <t>Defaut GE &amp; Power Cabinet</t>
        </is>
      </c>
      <c r="S1156" t="inlineStr">
        <is>
          <t>PASSIVE</t>
        </is>
      </c>
      <c r="T1156" t="inlineStr">
        <is>
          <t>01/04/2026 : grid outage...Power status check ongoing</t>
        </is>
      </c>
      <c r="U1156" t="inlineStr">
        <is>
          <t>01/04/2026 : grid outage.Power status check ongoing</t>
        </is>
      </c>
    </row>
    <row r="1157">
      <c r="A1157" t="inlineStr">
        <is>
          <t>4/31/2026</t>
        </is>
      </c>
      <c r="B1157" t="inlineStr">
        <is>
          <t>Yagoua-Quinf</t>
        </is>
      </c>
      <c r="C1157" t="inlineStr">
        <is>
          <t>EXN_069</t>
        </is>
      </c>
      <c r="D1157" t="inlineStr"/>
      <c r="E1157" t="inlineStr">
        <is>
          <t>IHS</t>
        </is>
      </c>
      <c r="F1157" t="inlineStr">
        <is>
          <t>Grid-Gen</t>
        </is>
      </c>
      <c r="G1157" t="inlineStr">
        <is>
          <t>EXTREME-NORD</t>
        </is>
      </c>
      <c r="H1157" t="inlineStr">
        <is>
          <t>Yagoua</t>
        </is>
      </c>
      <c r="I1157" t="inlineStr"/>
      <c r="J1157" t="n">
        <v>7.931494270789619</v>
      </c>
      <c r="K1157" t="n">
        <v>13.48502351153136</v>
      </c>
      <c r="L1157" t="n">
        <v>3.478686083696132</v>
      </c>
      <c r="M1157" t="n">
        <v>7.473789568904756</v>
      </c>
      <c r="N1157" t="inlineStr">
        <is>
          <t>INSECURITY</t>
        </is>
      </c>
      <c r="O1157" t="inlineStr"/>
      <c r="P1157" t="inlineStr">
        <is>
          <t>IHS</t>
        </is>
      </c>
      <c r="Q1157" t="inlineStr">
        <is>
          <t>POWER ISSUE</t>
        </is>
      </c>
      <c r="R1157" t="inlineStr">
        <is>
          <t>Defaut GE &amp; Power Cabinet</t>
        </is>
      </c>
      <c r="S1157" t="inlineStr">
        <is>
          <t>PASSIVE</t>
        </is>
      </c>
      <c r="T1157" t="inlineStr">
        <is>
          <t>INC-20260331-00003000...power issue ...Others Transmission equipement fault</t>
        </is>
      </c>
      <c r="U1157" t="inlineStr">
        <is>
          <t>power issue .</t>
        </is>
      </c>
    </row>
    <row r="1158">
      <c r="A1158" t="inlineStr">
        <is>
          <t>4/31/2026</t>
        </is>
      </c>
      <c r="B1158" t="inlineStr">
        <is>
          <t>Newb-Ancien-Etage-New</t>
        </is>
      </c>
      <c r="C1158" t="inlineStr">
        <is>
          <t>LIT_528</t>
        </is>
      </c>
      <c r="D1158" t="inlineStr"/>
      <c r="E1158" t="inlineStr">
        <is>
          <t>CAMUSAT</t>
        </is>
      </c>
      <c r="F1158" t="inlineStr">
        <is>
          <t>GridOnly</t>
        </is>
      </c>
      <c r="G1158" t="inlineStr">
        <is>
          <t>LITTORAL</t>
        </is>
      </c>
      <c r="H1158" t="inlineStr">
        <is>
          <t>Douala</t>
        </is>
      </c>
      <c r="I1158" t="inlineStr"/>
      <c r="J1158" t="n">
        <v>5.623548713275701</v>
      </c>
      <c r="K1158" t="n">
        <v>4.822158980792967</v>
      </c>
      <c r="L1158" t="n">
        <v>9.420958397082741</v>
      </c>
      <c r="M1158" t="n">
        <v>7.334818638655607</v>
      </c>
      <c r="N1158" t="inlineStr">
        <is>
          <t>Operationnel</t>
        </is>
      </c>
      <c r="O1158" t="inlineStr"/>
      <c r="P1158" t="inlineStr">
        <is>
          <t>AKTIVCO GRID ONLY</t>
        </is>
      </c>
      <c r="Q1158" t="inlineStr">
        <is>
          <t>POWER ISSUE</t>
        </is>
      </c>
      <c r="R1158" t="inlineStr">
        <is>
          <t>AKTIVCO Coupure ENEO &amp; Baisse de tension</t>
        </is>
      </c>
      <c r="S1158" t="inlineStr">
        <is>
          <t>PASSIVE</t>
        </is>
      </c>
      <c r="T1158" t="inlineStr">
        <is>
          <t>site down..;GRID ONLY NO SPACE /AWAITING GRID RETURN...;INC-20260331-00007596...2026-03-31 13:25:12...GRID ONLY NO SPACE /AWAITING GRID RETURN....Others</t>
        </is>
      </c>
      <c r="U1158" t="inlineStr">
        <is>
          <t>site down.;GRID ONLY NO SPACE /AWAITING GRID RETURN.;.2026-03-31 13 : 25 : 12.GRID ONLY NO SPACE /AWAITING GRID RETURN.Others</t>
        </is>
      </c>
    </row>
    <row r="1159">
      <c r="A1159" t="inlineStr">
        <is>
          <t>4/31/2026</t>
        </is>
      </c>
      <c r="B1159" t="inlineStr">
        <is>
          <t>Mvengue</t>
        </is>
      </c>
      <c r="C1159" t="inlineStr">
        <is>
          <t>SUD_226</t>
        </is>
      </c>
      <c r="D1159" t="inlineStr"/>
      <c r="E1159" t="inlineStr">
        <is>
          <t>IHS</t>
        </is>
      </c>
      <c r="F1159" t="inlineStr">
        <is>
          <t>Grid-Gen</t>
        </is>
      </c>
      <c r="G1159" t="inlineStr">
        <is>
          <t>SUD</t>
        </is>
      </c>
      <c r="H1159" t="inlineStr">
        <is>
          <t>Mvengue</t>
        </is>
      </c>
      <c r="I1159" t="inlineStr"/>
      <c r="J1159" t="n">
        <v>25.63523530077437</v>
      </c>
      <c r="K1159" t="n">
        <v>10.78993135244857</v>
      </c>
      <c r="L1159" t="n">
        <v>0</v>
      </c>
      <c r="M1159" t="n">
        <v>7.283013637055559</v>
      </c>
      <c r="N1159" t="inlineStr">
        <is>
          <t>Operationnel</t>
        </is>
      </c>
      <c r="O1159" t="inlineStr"/>
      <c r="P1159" t="inlineStr">
        <is>
          <t>BSS</t>
        </is>
      </c>
      <c r="Q1159" t="inlineStr">
        <is>
          <t>RAN ISSUE</t>
        </is>
      </c>
      <c r="R1159" t="inlineStr">
        <is>
          <t>BSS Hardware issue</t>
        </is>
      </c>
      <c r="S1159" t="inlineStr">
        <is>
          <t>ACTIVE</t>
        </is>
      </c>
      <c r="T1159" t="inlineStr">
        <is>
          <t>31/03/2026 Apres la resolution du power et travaux du FME il en ressort que le BUC est faulty commande en cours 
31/03/2026 CAMUSAT: FME en route pour le site est actuellement injoignable. Nous insistons.
31.03.2026 Retour FME : Souci Power sur ce site. Pas d'ENEO, et faible Batterie Backup. Je relance mon vis-a-vis Simon de CAMUSAT pour avoir un update
31.03.2026: Need FME on the site to check iDirect and IBUC status..;31/03/2026 CAMUSAT: FME en route pour le site est actuellement injoignable. Nous insistons.
31.03.2026 Retour FME : Souci Power sur ce site. Pas d'ENEO, et faible Batterie Backup. Je relance mon vis-a-vis Simon de CAMUSAT pour avoir un update
31.03.2026: Need FME on the site to check iDirect and IBUC status..;31.03.2026 Retour FME : Souci Power sur ce site. Pas d'ENEO, et faible Batterie Backup. Je relance mon vis-a-vis Simon de CAMUSAT pour avoir un update
31.03.2026: Need FME on the site to check iDirect and IBUC status..;INC-20260331-00002165...2026-03-31 16:59:47...31/03/2026 Apres la resolution du power et travaux du FME il en ressort que le BUC est faulty commande en cours...Problème d'énergie sur le site, la batterie du GE est HS et en cas de coupure d'ENEO, le GE reste éteint jusqu'à la décharge des batteries de la baie Camusat.</t>
        </is>
      </c>
      <c r="U1159" t="inlineStr">
        <is>
          <t>31/03/2026 Apres la resolution du power et travaux du FME il en ressort que le BUC est faulty commande en cours 31/03/2026 CAMUSAT : FME en route pour le site est actuellement injoignable. Nous insistons. 31.03.2026 Retour FME : Souci Power sur ce site. Pas d'ENEO, et faible Batterie Backup. Je relance mon vis-a-vis Simon de CAMUSAT pour avoir un update 31.03.2026 : Need FME on the site to check iDirect and IBUC status.;31/03/2026 CAMUSAT : FME en route pour le site est actuellement injoignable. Nous insistons. 31.03.2026 Retour FME : Souci Power sur ce site. Pas d'ENEO, et faible Batterie Backup. Je relance mon vis-a-vis Simon de CAMUSAT pour avoir un update 31.03.2026 : Need FME on the site to check iDirect and IBUC status.;31.03.2026 Retour FME : Souci Power sur ce site. Pas d'ENEO, et faible Batterie Backup. Je relance mon vis-a-vis Simon de CAMUSAT pour avoir un update 31.03.2026 : Need FME on the site to check iDirect and IBUC status.;.2026-03-31 16 : 59 : 47.31/03/2026 Apres la resolution du power et travaux du FME il en ressort que le BUC est faulty commande en cours.Problème d'énergie sur le site, la batterie du GE est HS et en cas de coupure d'ENEO, le GE reste éteint jusqu'à la décharge des batteries de la baie Camusat.</t>
        </is>
      </c>
    </row>
    <row r="1160">
      <c r="A1160" t="inlineStr">
        <is>
          <t>4/31/2026</t>
        </is>
      </c>
      <c r="B1160" t="inlineStr">
        <is>
          <t>Notre-Dame-de-Yassa</t>
        </is>
      </c>
      <c r="C1160" t="inlineStr">
        <is>
          <t>LIT_620</t>
        </is>
      </c>
      <c r="D1160" t="inlineStr"/>
      <c r="E1160" t="inlineStr">
        <is>
          <t>CAMUSAT</t>
        </is>
      </c>
      <c r="F1160" t="inlineStr">
        <is>
          <t>Medium Grid + GE</t>
        </is>
      </c>
      <c r="G1160" t="inlineStr">
        <is>
          <t>LITTORAL</t>
        </is>
      </c>
      <c r="H1160" t="inlineStr">
        <is>
          <t>Douala</t>
        </is>
      </c>
      <c r="I1160" t="inlineStr"/>
      <c r="J1160" t="n">
        <v>1.984590882022629</v>
      </c>
      <c r="K1160" t="n">
        <v>1.757149086569356</v>
      </c>
      <c r="L1160" t="n">
        <v>12.00592158111661</v>
      </c>
      <c r="M1160" t="n">
        <v>7.134245347898175</v>
      </c>
      <c r="N1160" t="inlineStr">
        <is>
          <t>Operationnel</t>
        </is>
      </c>
      <c r="O1160" t="inlineStr"/>
      <c r="P1160" t="inlineStr">
        <is>
          <t>AKTIVCO</t>
        </is>
      </c>
      <c r="Q1160" t="inlineStr">
        <is>
          <t>POWER ISSUE</t>
        </is>
      </c>
      <c r="R1160" t="inlineStr">
        <is>
          <t>AKTIVCO Defaut GE &amp; Power Cabinet</t>
        </is>
      </c>
      <c r="S1160" t="inlineStr">
        <is>
          <t>PASSIVE</t>
        </is>
      </c>
      <c r="T1160" t="inlineStr">
        <is>
          <t>INC-20260331-00013193...2026-03-31 23:00:47...Access issue at night the technician will return on the morning...RCA attendu de CAMUSAT...Others...Probleme d'energie</t>
        </is>
      </c>
      <c r="U1160" t="inlineStr">
        <is>
          <t>2026-03-31 23 : 00 : 47.Access issue at night the technician will return on the morning.RCA attendu de CAMUSAT.Others.Probleme d'energie</t>
        </is>
      </c>
    </row>
    <row r="1161">
      <c r="A1161" t="inlineStr">
        <is>
          <t>4/31/2026</t>
        </is>
      </c>
      <c r="B1161" t="inlineStr">
        <is>
          <t>Garoua-Bockle-II</t>
        </is>
      </c>
      <c r="C1161" t="inlineStr">
        <is>
          <t>NRD_186</t>
        </is>
      </c>
      <c r="D1161" t="inlineStr"/>
      <c r="E1161" t="inlineStr">
        <is>
          <t>CAMUSAT</t>
        </is>
      </c>
      <c r="F1161" t="inlineStr">
        <is>
          <t>Medium Grid + GE</t>
        </is>
      </c>
      <c r="G1161" t="inlineStr">
        <is>
          <t>NORD</t>
        </is>
      </c>
      <c r="H1161" t="inlineStr">
        <is>
          <t>Garoua</t>
        </is>
      </c>
      <c r="I1161" t="inlineStr"/>
      <c r="J1161" t="n">
        <v>8.035782086175956</v>
      </c>
      <c r="K1161" t="n">
        <v>13.91741765863909</v>
      </c>
      <c r="L1161" t="n">
        <v>2.44207422510271</v>
      </c>
      <c r="M1161" t="n">
        <v>7.093260337924796</v>
      </c>
      <c r="N1161" t="inlineStr">
        <is>
          <t>Operationnel</t>
        </is>
      </c>
      <c r="O1161" t="inlineStr"/>
      <c r="P1161" t="inlineStr">
        <is>
          <t>AKTIVCO</t>
        </is>
      </c>
      <c r="Q1161" t="inlineStr">
        <is>
          <t>POWER ISSUE</t>
        </is>
      </c>
      <c r="R1161" t="inlineStr">
        <is>
          <t>AKTIVCO Defaut GE &amp; Power Cabinet</t>
        </is>
      </c>
      <c r="S1161" t="inlineStr">
        <is>
          <t>PASSIVE</t>
        </is>
      </c>
      <c r="T1161" t="inlineStr">
        <is>
          <t>01/04/2026 grid outage</t>
        </is>
      </c>
      <c r="U1161" t="inlineStr">
        <is>
          <t>01/04/2026 grid outage</t>
        </is>
      </c>
    </row>
    <row r="1162">
      <c r="A1162" t="inlineStr">
        <is>
          <t>4/31/2026</t>
        </is>
      </c>
      <c r="B1162" t="inlineStr">
        <is>
          <t>Bfsam-Tayim-II</t>
        </is>
      </c>
      <c r="C1162" t="inlineStr">
        <is>
          <t>OST_291</t>
        </is>
      </c>
      <c r="D1162" t="inlineStr"/>
      <c r="E1162" t="inlineStr">
        <is>
          <t>CAMUSAT</t>
        </is>
      </c>
      <c r="F1162" t="inlineStr">
        <is>
          <t>Good Grid no GE - 8h</t>
        </is>
      </c>
      <c r="G1162" t="inlineStr">
        <is>
          <t>OUEST</t>
        </is>
      </c>
      <c r="H1162" t="inlineStr">
        <is>
          <t>Bafoussam</t>
        </is>
      </c>
      <c r="I1162" t="inlineStr"/>
      <c r="J1162" t="n">
        <v>5.103233696629617</v>
      </c>
      <c r="K1162" t="n">
        <v>6.559120111114511</v>
      </c>
      <c r="L1162" t="n">
        <v>7.397701355098969</v>
      </c>
      <c r="M1162" t="n">
        <v>6.788530189793771</v>
      </c>
      <c r="N1162" t="inlineStr">
        <is>
          <t>Operationnel</t>
        </is>
      </c>
      <c r="O1162" t="inlineStr"/>
      <c r="P1162" t="inlineStr">
        <is>
          <t>AKTIVCO GRID ONLY</t>
        </is>
      </c>
      <c r="Q1162" t="inlineStr">
        <is>
          <t>POWER ISSUE</t>
        </is>
      </c>
      <c r="R1162" t="inlineStr">
        <is>
          <t>AKTIVCO Coupure ENEO &amp; Baisse de tension</t>
        </is>
      </c>
      <c r="S1162" t="inlineStr">
        <is>
          <t>PASSIVE</t>
        </is>
      </c>
      <c r="T1162" t="inlineStr">
        <is>
          <t>INC-20260331-00014696...Auto TT closure RCA...GE Fault</t>
        </is>
      </c>
      <c r="U1162" t="inlineStr">
        <is>
          <t>Auto TT closure RCA.GE Fault</t>
        </is>
      </c>
    </row>
    <row r="1163">
      <c r="A1163" t="inlineStr">
        <is>
          <t>4/31/2026</t>
        </is>
      </c>
      <c r="B1163" t="inlineStr">
        <is>
          <t>Bertoua-Hopital-IHS</t>
        </is>
      </c>
      <c r="C1163" t="inlineStr">
        <is>
          <t>EST_152</t>
        </is>
      </c>
      <c r="D1163" t="inlineStr"/>
      <c r="E1163" t="inlineStr">
        <is>
          <t>IHS</t>
        </is>
      </c>
      <c r="F1163" t="inlineStr">
        <is>
          <t>Grid + Gen</t>
        </is>
      </c>
      <c r="G1163" t="inlineStr">
        <is>
          <t>EST</t>
        </is>
      </c>
      <c r="H1163" t="inlineStr">
        <is>
          <t>Bertoua</t>
        </is>
      </c>
      <c r="I1163" t="inlineStr"/>
      <c r="J1163" t="n">
        <v>3.707525508674748</v>
      </c>
      <c r="K1163" t="n">
        <v>6.832082530065178</v>
      </c>
      <c r="L1163" t="n">
        <v>7.326427877259683</v>
      </c>
      <c r="M1163" t="n">
        <v>6.643691518778197</v>
      </c>
      <c r="N1163" t="inlineStr">
        <is>
          <t>Operationnel</t>
        </is>
      </c>
      <c r="O1163" t="inlineStr"/>
      <c r="P1163" t="inlineStr">
        <is>
          <t>IHS</t>
        </is>
      </c>
      <c r="Q1163" t="inlineStr">
        <is>
          <t>POWER ISSUE</t>
        </is>
      </c>
      <c r="R1163" t="inlineStr">
        <is>
          <t>Defaut GE &amp; Power Cabinet</t>
        </is>
      </c>
      <c r="S1163" t="inlineStr">
        <is>
          <t>PASSIVE</t>
        </is>
      </c>
      <c r="T1163" t="inlineStr">
        <is>
          <t>site down..;Power status check ongoing..;INC-20260331-00009451...2026-03-31 16:15:35...	DG Neutral Cable burnt due to lightning // FME replaced burnt DG Neutral Cable....Others Transmission equipement fault</t>
        </is>
      </c>
      <c r="U1163" t="inlineStr">
        <is>
          <t>site down.;.2026-03-31 16 : 15 : 35. DG Neutral Cable burnt due to lightning // FME replaced burnt DG Neutral Cable.</t>
        </is>
      </c>
    </row>
    <row r="1164">
      <c r="A1164" t="inlineStr">
        <is>
          <t>4/31/2026</t>
        </is>
      </c>
      <c r="B1164" t="inlineStr">
        <is>
          <t>BATA-Mokolo</t>
        </is>
      </c>
      <c r="C1164" t="inlineStr">
        <is>
          <t>CTR_409</t>
        </is>
      </c>
      <c r="D1164" t="inlineStr"/>
      <c r="E1164" t="inlineStr">
        <is>
          <t>IHS</t>
        </is>
      </c>
      <c r="F1164" t="inlineStr">
        <is>
          <t>GridOnly</t>
        </is>
      </c>
      <c r="G1164" t="inlineStr">
        <is>
          <t>CENTRE</t>
        </is>
      </c>
      <c r="H1164" t="inlineStr">
        <is>
          <t>Yaounde</t>
        </is>
      </c>
      <c r="I1164" t="inlineStr"/>
      <c r="J1164" t="n">
        <v>2.982007042112794</v>
      </c>
      <c r="K1164" t="n">
        <v>2.583420885312008</v>
      </c>
      <c r="L1164" t="n">
        <v>10.15749660185568</v>
      </c>
      <c r="M1164" t="n">
        <v>6.590132778591059</v>
      </c>
      <c r="N1164" t="inlineStr">
        <is>
          <t>Operationnel</t>
        </is>
      </c>
      <c r="O1164" t="inlineStr"/>
      <c r="P1164" t="inlineStr">
        <is>
          <t>IHS GRID ONLY</t>
        </is>
      </c>
      <c r="Q1164" t="inlineStr">
        <is>
          <t>POWER ISSUE</t>
        </is>
      </c>
      <c r="R1164" t="inlineStr">
        <is>
          <t>Coupure ENEO &amp; Baisse de tension</t>
        </is>
      </c>
      <c r="S1164" t="inlineStr">
        <is>
          <t>PASSIVE</t>
        </is>
      </c>
      <c r="T1164" t="inlineStr">
        <is>
          <t>Power status check ongoing..;INC-20260331-00010751...Grid outage // Grid returned...Others</t>
        </is>
      </c>
      <c r="U1164" t="inlineStr">
        <is>
          <t>Grid outage // Grid returned.Others</t>
        </is>
      </c>
    </row>
    <row r="1165">
      <c r="A1165" t="inlineStr">
        <is>
          <t>4/31/2026</t>
        </is>
      </c>
      <c r="B1165" t="inlineStr">
        <is>
          <t>Bobongo</t>
        </is>
      </c>
      <c r="C1165" t="inlineStr">
        <is>
          <t>LIT_250</t>
        </is>
      </c>
      <c r="D1165" t="inlineStr"/>
      <c r="E1165" t="inlineStr">
        <is>
          <t>IHS</t>
        </is>
      </c>
      <c r="F1165" t="inlineStr">
        <is>
          <t>Grid-Gen</t>
        </is>
      </c>
      <c r="G1165" t="inlineStr">
        <is>
          <t>LITTORAL</t>
        </is>
      </c>
      <c r="H1165" t="inlineStr">
        <is>
          <t>Douala</t>
        </is>
      </c>
      <c r="I1165" t="inlineStr"/>
      <c r="J1165" t="n">
        <v>0</v>
      </c>
      <c r="K1165" t="n">
        <v>16.62648200849339</v>
      </c>
      <c r="L1165" t="n">
        <v>1.790934232500925</v>
      </c>
      <c r="M1165" t="n">
        <v>6.515653491537613</v>
      </c>
      <c r="N1165" t="inlineStr">
        <is>
          <t>Operationnel</t>
        </is>
      </c>
      <c r="O1165" t="inlineStr"/>
      <c r="P1165" t="inlineStr">
        <is>
          <t>BSS</t>
        </is>
      </c>
      <c r="Q1165" t="inlineStr">
        <is>
          <t>RAN ISSUE</t>
        </is>
      </c>
      <c r="R1165" t="inlineStr">
        <is>
          <t>BSS Hardware issue</t>
        </is>
      </c>
      <c r="S1165" t="inlineStr">
        <is>
          <t>ACTIVE</t>
        </is>
      </c>
      <c r="T1165" t="inlineStr">
        <is>
          <t>31/03/2026 : Remplacement de la carte ce jour ETA : 12h
30/03/2026 : According to this last test, kindly proceed to replacement ETA: 31032026
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 Observations :
•        Site was unstable due to power because of Generator Overload but actually stable.
•        Blink of board VBP_1_8(PN: 130000207923) due to Board communication link interrupted alarm
Action : FME was on site to implement these below actions the 2026/03/24
•        Reset of board VBP_1_8(PN: 130000207923) : NOK
•        Plug OUT/Plug board : Still NOK after execution
Next Step : FME will replace the board VBP_1_8(PN: 130000207923 || Feeback ZTE : Before replacement, kindly swap the board's position between slot6 and slot 8 and observe. || Feedback IHS : This operation was performed and no change was observed, hence the need for replacement. || Feedback ZTE : According to history alarm, that operation has not been performed. Kindly do it, to confirm whether board requires replacement or not
26/03/2026 : Apres intervention ce jour || la carte VBPe1P est faulty
25/03/2026 : Power issue ||
24/03/2026 : F.O faulty ||FME active || ETA : 13H ||Intervention en cours || Power issue 
23/03/2026 : Need BORAN analysis || Check VBPe1P connectivity..;31/03/2026 : Remplacement de la carte ce jour ETA : 12h
30/03/2026 : According to this last test, kindly proceed to replacement ETA: 31032026
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 Observations :
•        Site was unstable due to power because of Generator Overload but actually stable.
•        Blink of board VBP_1_8(PN: 130000207923) due to Board communication link interrupted alarm
Action : FME was on site to implement these below actions the 2026/03/24
•        Reset of board VBP_1_8(PN: 130000207923) : NOK
•        Plug OUT/Plug board : Still NOK after execution
Next Step : FME will replace the board VBP_1_8(PN: 130000207923 || Feeback ZTE : Before replacement, kindly swap the board's position between slot6 and slot 8 and observe. || Feedback IHS : This operation was performed and no change was observed, hence the need for replacement. || Feedback ZTE : According to history alarm, that operation has not been performed. Kindly do it, to confirm whether board requires replacement or not
26/03/2026 : Apres intervention ce jour || la carte VBPe1P est faulty
25/03/2026 : Power issue ||
24/03/2026 : F.O faulty ||FME active || ETA : 13H ||Intervention en cours || Power issue 
23/03/2026 : Need BORAN analysis || Check VBPe1P connectivity</t>
        </is>
      </c>
      <c r="U1165" t="inlineStr">
        <is>
          <t>31/03/2026 : Remplacement de la carte ce jour ETA : 12h 30/03/2026 : According to this last test, kindly proceed to replacement ETA : 31032026 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Observations : • Site was unstable due to power because of Generator Overload but actually stable. Blink of board VBP_1_8(PN : 130000207923) due to Board communication link interrupted alarm Action : FME was on site to implement these below actions the 2026/03/24 • Reset of board VBP_1_8(PN : 130000207923) : NOK • Plug OUT/Plug board : Still NOK after execution Next Step : FME will replace the board VBP_1_8(PN : 130000207923 || Feeback ZTE : Before replacement, kindly swap the board's position between slot6 and slot 8 and observe. Feedback IHS : This operation was performed and no change was observed, hence the need for replacement. Feedback ZTE : According to history alarm, that operation has not been performed. Kindly do it, to confirm whether board requires replacement or not 26/03/2026 : Apres intervention ce jour || la carte VBPe1P est faulty 25/03/2026 : Power issue || 24/03/2026 : F.O faulty || FME active || ETA : 13H || Intervention en cours || Power issue 23/03/2026 : Need BORAN analysis || Check VBPe1P connectivity.;31/03/2026 : Remplacement de la carte ce jour ETA : 12h 30/03/2026 : According to this last test, kindly proceed to replacement ETA : 31032026 28/03/2026 : Intervention en cours ce jour || Feedback IHS : ’ swap the board's position between slot6 and slot 8 and observe.’’ La recommandation du BO a été exécutée par le FME sur site 27/03/2026 : Instabilite power, bloquant le remplacement de la carte || Mail de stabilisation power envoye a IHS || Feedback IHS : Le generateur sur ce site est overloaded et sera remplacé en W14. Observations : • Site was unstable due to power because of Generator Overload but actually stable. Blink of board VBP_1_8(PN : 130000207923) due to Board communication link interrupted alarm Action : FME was on site to implement these below actions the 2026/03/24 • Reset of board VBP_1_8(PN : 130000207923) : NOK • Plug OUT/Plug board : Still NOK after execution Next Step : FME will replace the board VBP_1_8(PN : 130000207923 || Feeback ZTE : Before replacement, kindly swap the board's position between slot6 and slot 8 and observe. Feedback IHS : This operation was performed and no change was observed, hence the need for replacement. Feedback ZTE : According to history alarm, that operation has not been performed. Kindly do it, to confirm whether board requires replacement or not 26/03/2026 : Apres intervention ce jour || la carte VBPe1P est faulty 25/03/2026 : Power issue || 24/03/2026 : F.O faulty || FME active || ETA : 13H || Intervention en cours || Power issue 23/03/2026 : Need BORAN analysis || Check VBPe1P connectivity</t>
        </is>
      </c>
    </row>
    <row r="1166">
      <c r="A1166" t="inlineStr">
        <is>
          <t>4/31/2026</t>
        </is>
      </c>
      <c r="B1166" t="inlineStr">
        <is>
          <t>Buea-Bakwere-Town-MTN</t>
        </is>
      </c>
      <c r="C1166" t="inlineStr">
        <is>
          <t>SUO_222</t>
        </is>
      </c>
      <c r="D1166" t="inlineStr"/>
      <c r="E1166" t="inlineStr">
        <is>
          <t>MTN sharing</t>
        </is>
      </c>
      <c r="F1166" t="inlineStr">
        <is>
          <t>MTN</t>
        </is>
      </c>
      <c r="G1166" t="inlineStr">
        <is>
          <t>SUD-OUEST</t>
        </is>
      </c>
      <c r="H1166" t="inlineStr">
        <is>
          <t>Buea</t>
        </is>
      </c>
      <c r="I1166" t="inlineStr"/>
      <c r="J1166" t="n">
        <v>0</v>
      </c>
      <c r="K1166" t="n">
        <v>14.36574966594245</v>
      </c>
      <c r="L1166" t="n">
        <v>3.097181455434513</v>
      </c>
      <c r="M1166" t="n">
        <v>6.437892550073764</v>
      </c>
      <c r="N1166" t="inlineStr">
        <is>
          <t>Operationnel</t>
        </is>
      </c>
      <c r="O1166" t="inlineStr"/>
      <c r="P1166" t="inlineStr">
        <is>
          <t>Partners</t>
        </is>
      </c>
      <c r="Q1166" t="inlineStr">
        <is>
          <t>POWER ISSUE</t>
        </is>
      </c>
      <c r="R1166" t="inlineStr">
        <is>
          <t>Sharing</t>
        </is>
      </c>
      <c r="S1166" t="inlineStr">
        <is>
          <t>PASSIVE</t>
        </is>
      </c>
      <c r="T1166" t="inlineStr">
        <is>
          <t>26/03/2026 : PWC faulty
23/03/2026 : Power instability || Mail sent to MTN..;31/03/2026 : Relance faite ce jour a MTN || Feedback attendu
26/03/2026 : PWC faulty
23/03/2026 : Power instability || Mail sent to MTN..;31/03/2026 : Relance faite ce jour a MTN || Feedback attendu
26/03/2026 : PWC faulty
23/03/2026 : Power instability || Mail sent to MTN..;31/03/2026 : Relance faite ce jour a MTN || Feedback attendu
26/03/2026 : PWC faulty
23/03/2026 : Power instability || Mail sent to MTN</t>
        </is>
      </c>
      <c r="U1166" t="inlineStr">
        <is>
          <t>26/03/2026 : PWC faulty 23/03/2026 : Power instability || Mail sent to MTN.;31/03/2026 : Relance faite ce jour a MTN || Feedback attendu 26/03/2026 : PWC faulty 23/03/2026 : Power instability || Mail sent to MTN.;31/03/2026 : Relance faite ce jour a MTN || Feedback attendu 26/03/2026 : PWC faulty 23/03/2026 : Power instability || Mail sent to MTN.;31/03/2026 : Relance faite ce jour a MTN || Feedback attendu 26/03/2026 : PWC faulty 23/03/2026 : Power instability || Mail sent to MTN</t>
        </is>
      </c>
    </row>
    <row r="1167">
      <c r="A1167" t="inlineStr">
        <is>
          <t>4/31/2026</t>
        </is>
      </c>
      <c r="B1167" t="inlineStr">
        <is>
          <t>PK15-Auberge</t>
        </is>
      </c>
      <c r="C1167" t="inlineStr">
        <is>
          <t>LIT_728</t>
        </is>
      </c>
      <c r="D1167" t="inlineStr"/>
      <c r="E1167" t="inlineStr">
        <is>
          <t>CAMUSAT</t>
        </is>
      </c>
      <c r="F1167" t="inlineStr">
        <is>
          <t>Good Grid no GE - 8h</t>
        </is>
      </c>
      <c r="G1167" t="inlineStr">
        <is>
          <t>LITTORAL</t>
        </is>
      </c>
      <c r="H1167" t="inlineStr">
        <is>
          <t>Douala</t>
        </is>
      </c>
      <c r="I1167" t="inlineStr"/>
      <c r="J1167" t="n">
        <v>2.532382927872299</v>
      </c>
      <c r="K1167" t="n">
        <v>2.133973227794948</v>
      </c>
      <c r="L1167" t="n">
        <v>9.157718493565961</v>
      </c>
      <c r="M1167" t="n">
        <v>5.853668889630828</v>
      </c>
      <c r="N1167" t="inlineStr">
        <is>
          <t>Operationnel</t>
        </is>
      </c>
      <c r="O1167" t="inlineStr"/>
      <c r="P1167" t="inlineStr">
        <is>
          <t>AKTIVCO GRID ONLY</t>
        </is>
      </c>
      <c r="Q1167" t="inlineStr">
        <is>
          <t>POWER ISSUE</t>
        </is>
      </c>
      <c r="R1167" t="inlineStr">
        <is>
          <t>AKTIVCO Coupure ENEO &amp; Baisse de tension</t>
        </is>
      </c>
      <c r="S1167" t="inlineStr">
        <is>
          <t>PASSIVE</t>
        </is>
      </c>
      <c r="T1167" t="inlineStr">
        <is>
          <t>INC-20260331-00007707...Others</t>
        </is>
      </c>
      <c r="U1167" t="inlineStr">
        <is>
          <t>Others</t>
        </is>
      </c>
    </row>
    <row r="1168">
      <c r="A1168" t="inlineStr">
        <is>
          <t>4/31/2026</t>
        </is>
      </c>
      <c r="B1168" t="inlineStr">
        <is>
          <t>Garoua-Djamboutou-Village-IHS</t>
        </is>
      </c>
      <c r="C1168" t="inlineStr">
        <is>
          <t>NRD_086</t>
        </is>
      </c>
      <c r="D1168" t="inlineStr"/>
      <c r="E1168" t="inlineStr">
        <is>
          <t>IHS</t>
        </is>
      </c>
      <c r="F1168" t="inlineStr">
        <is>
          <t>Grid-Gen</t>
        </is>
      </c>
      <c r="G1168" t="inlineStr">
        <is>
          <t>NORD</t>
        </is>
      </c>
      <c r="H1168" t="inlineStr">
        <is>
          <t>Garoua</t>
        </is>
      </c>
      <c r="I1168" t="inlineStr"/>
      <c r="J1168" t="n">
        <v>8.698977654680688</v>
      </c>
      <c r="K1168" t="n">
        <v>11.11352304062072</v>
      </c>
      <c r="L1168" t="n">
        <v>1.036269855340832</v>
      </c>
      <c r="M1168" t="n">
        <v>5.513553946118088</v>
      </c>
      <c r="N1168" t="inlineStr">
        <is>
          <t>Operationnel</t>
        </is>
      </c>
      <c r="O1168" t="inlineStr"/>
      <c r="P1168" t="inlineStr">
        <is>
          <t>IHS</t>
        </is>
      </c>
      <c r="Q1168" t="inlineStr">
        <is>
          <t>POWER ISSUE</t>
        </is>
      </c>
      <c r="R1168" t="inlineStr">
        <is>
          <t>Defaut GE &amp; Power Cabinet</t>
        </is>
      </c>
      <c r="S1168" t="inlineStr">
        <is>
          <t>PASSIVE</t>
        </is>
      </c>
      <c r="T1168" t="inlineStr">
        <is>
          <t>31.03.2026: DG faulty // DG to be replace..;Power status check ongoing</t>
        </is>
      </c>
      <c r="U1168" t="inlineStr">
        <is>
          <t>31.03.2026 : DG faulty // DG to be replace.;Power status check ongoing</t>
        </is>
      </c>
    </row>
    <row r="1169">
      <c r="A1169" t="inlineStr">
        <is>
          <t>4/31/2026</t>
        </is>
      </c>
      <c r="B1169" t="inlineStr">
        <is>
          <t>Nkolso-MTN-IHS</t>
        </is>
      </c>
      <c r="C1169" t="inlineStr">
        <is>
          <t>CTR_471</t>
        </is>
      </c>
      <c r="D1169" t="inlineStr"/>
      <c r="E1169" t="inlineStr">
        <is>
          <t>IHS</t>
        </is>
      </c>
      <c r="F1169" t="inlineStr">
        <is>
          <t>Grid-Gen</t>
        </is>
      </c>
      <c r="G1169" t="inlineStr">
        <is>
          <t>CENTRE</t>
        </is>
      </c>
      <c r="H1169" t="inlineStr">
        <is>
          <t>Yaounde</t>
        </is>
      </c>
      <c r="I1169" t="inlineStr"/>
      <c r="J1169" t="n">
        <v>4.615016845916813</v>
      </c>
      <c r="K1169" t="n">
        <v>3.929798188439058</v>
      </c>
      <c r="L1169" t="n">
        <v>6.767457761230292</v>
      </c>
      <c r="M1169" t="n">
        <v>5.507454349333539</v>
      </c>
      <c r="N1169" t="inlineStr">
        <is>
          <t>Operationnel</t>
        </is>
      </c>
      <c r="O1169" t="inlineStr"/>
      <c r="P1169" t="inlineStr">
        <is>
          <t>IHS</t>
        </is>
      </c>
      <c r="Q1169" t="inlineStr">
        <is>
          <t>POWER ISSUE</t>
        </is>
      </c>
      <c r="R1169" t="inlineStr">
        <is>
          <t>Defaut GE &amp; Power Cabinet</t>
        </is>
      </c>
      <c r="S1169" t="inlineStr">
        <is>
          <t>PASSIVE</t>
        </is>
      </c>
      <c r="T1169" t="inlineStr">
        <is>
          <t>site down..;Power status check ongoing..;INC-20260331-00009911...GE Fault</t>
        </is>
      </c>
      <c r="U1169" t="inlineStr">
        <is>
          <t>site down.;.GE Fault</t>
        </is>
      </c>
    </row>
    <row r="1170">
      <c r="A1170" t="inlineStr">
        <is>
          <t>4/31/2026</t>
        </is>
      </c>
      <c r="B1170" t="inlineStr">
        <is>
          <t>Ngoura-IHS</t>
        </is>
      </c>
      <c r="C1170" t="inlineStr">
        <is>
          <t>EST_021</t>
        </is>
      </c>
      <c r="D1170" t="inlineStr"/>
      <c r="E1170" t="inlineStr">
        <is>
          <t>IHS</t>
        </is>
      </c>
      <c r="F1170" t="inlineStr">
        <is>
          <t>Gen Only</t>
        </is>
      </c>
      <c r="G1170" t="inlineStr">
        <is>
          <t>EST</t>
        </is>
      </c>
      <c r="H1170" t="inlineStr">
        <is>
          <t>Ngoura</t>
        </is>
      </c>
      <c r="I1170" t="inlineStr"/>
      <c r="J1170" t="n">
        <v>19.2596489334916</v>
      </c>
      <c r="K1170" t="n">
        <v>8.207201107745036</v>
      </c>
      <c r="L1170" t="n">
        <v>0</v>
      </c>
      <c r="M1170" t="n">
        <v>5.50552816087526</v>
      </c>
      <c r="N1170" t="inlineStr">
        <is>
          <t>Operationnel</t>
        </is>
      </c>
      <c r="O1170" t="inlineStr"/>
      <c r="P1170" t="inlineStr">
        <is>
          <t>IHS GRID ONLY</t>
        </is>
      </c>
      <c r="Q1170" t="inlineStr">
        <is>
          <t>POWER ISSUE</t>
        </is>
      </c>
      <c r="R1170" t="inlineStr">
        <is>
          <t>Coupure ENEO &amp; Baisse de tension</t>
        </is>
      </c>
      <c r="S1170" t="inlineStr">
        <is>
          <t>PASSIVE</t>
        </is>
      </c>
      <c r="T1170" t="inlineStr">
        <is>
          <t>31/03/2026 FME Frank MEZAZEM Activated for intervention is managing with level 0 ETA=02:00 PM..;INC-20260331-00000402...2026-03-31 08:22:27...
FME Frank MEZAZEM Activated for intervention is managing with level 0 ETA=02:00 PM...power issue.
as discuss with ihs, one Guy on thé way to thé site for résolution....Others Transmission equipement fault</t>
        </is>
      </c>
      <c r="U1170" t="inlineStr">
        <is>
          <t>31/03/2026 FME Frank MEZAZEM Activated for intervention is managing with level 0 ETA=02 : 00 PM.;.2026-03-31 08 : 22 : 27. FME Frank MEZAZEM Activated for intervention is managing with level 0 ETA=02 : 00 PM.power issue. as discuss with ihs, one Guy on thé way to thé site for résolution.</t>
        </is>
      </c>
    </row>
    <row r="1171">
      <c r="A1171" t="inlineStr">
        <is>
          <t>4/31/2026</t>
        </is>
      </c>
      <c r="B1171" t="inlineStr">
        <is>
          <t>Tagawa-IHS</t>
        </is>
      </c>
      <c r="C1171" t="inlineStr">
        <is>
          <t>EXN_274</t>
        </is>
      </c>
      <c r="D1171" t="inlineStr"/>
      <c r="E1171" t="inlineStr">
        <is>
          <t>IHS</t>
        </is>
      </c>
      <c r="F1171" t="inlineStr">
        <is>
          <t>Gen Only</t>
        </is>
      </c>
      <c r="G1171" t="inlineStr">
        <is>
          <t>EXTREME-NORD</t>
        </is>
      </c>
      <c r="H1171" t="inlineStr">
        <is>
          <t>Tagawa</t>
        </is>
      </c>
      <c r="I1171" t="inlineStr"/>
      <c r="J1171" t="n">
        <v>14.8941055579805</v>
      </c>
      <c r="K1171" t="n">
        <v>6.399686851801258</v>
      </c>
      <c r="L1171" t="n">
        <v>2.270764795881515</v>
      </c>
      <c r="M1171" t="n">
        <v>5.459503446819782</v>
      </c>
      <c r="N1171" t="inlineStr">
        <is>
          <t>Insecurity</t>
        </is>
      </c>
      <c r="O1171" t="inlineStr"/>
      <c r="P1171" t="inlineStr">
        <is>
          <t>PDH</t>
        </is>
      </c>
      <c r="Q1171" t="inlineStr">
        <is>
          <t>TX ISSUE</t>
        </is>
      </c>
      <c r="R1171" t="inlineStr">
        <is>
          <t>MPR ISSUE</t>
        </is>
      </c>
      <c r="S1171" t="inlineStr">
        <is>
          <t>ACTIVE</t>
        </is>
      </c>
      <c r="T1171" t="inlineStr">
        <is>
          <t>30/03/2026 : Check and replace FAN,FXDB if needed
29/03/2026 : need BO RAN analysis ||Closed after reset but FME should check and replace FAN, FXDB if needed..;31/03/2026 : Need BO RAN analysis ||Replace faulty FXDB || Pas d'access..;31/03/2026 : Need BO RAN analysis ||Replace faulty FXDB || Pas d'access..;31/03/2026 : Need BO RAN analysis ||Replace faulty FXDB || Pas d'access..;INC-20260331-00001100...2026-03-31 08:36:21...
31.03.2026: Possible Plantage de l'ODU A WAZA. Remote actions en cours. Update ASAP...Others Transmission equipement fault</t>
        </is>
      </c>
      <c r="U1171" t="inlineStr">
        <is>
          <t>30/03/2026 : Check and replace FAN,FXDB if needed 29/03/2026 : need BO RAN analysis || Closed after reset but FME should check and replace FAN, FXDB if needed.;31/03/2026 : Need BO RAN analysis || Replace faulty FXDB || Pas d'access.;31/03/2026 : Need BO RAN analysis || Replace faulty FXDB || Pas d'access.;31/03/2026 : Need BO RAN analysis || Replace faulty FXDB || Pas d'access.;.2026-03-31 08 : 36 : 21. 31.03.2026 : Possible Plantage de l'ODU A WAZA. Remote actions en cours. Update ASAP.</t>
        </is>
      </c>
    </row>
    <row r="1172">
      <c r="A1172" t="inlineStr">
        <is>
          <t>4/31/2026</t>
        </is>
      </c>
      <c r="B1172" t="inlineStr">
        <is>
          <t>Maroua-Doualare-II</t>
        </is>
      </c>
      <c r="C1172" t="inlineStr">
        <is>
          <t>EXN_111</t>
        </is>
      </c>
      <c r="D1172" t="inlineStr"/>
      <c r="E1172" t="inlineStr">
        <is>
          <t>IHS</t>
        </is>
      </c>
      <c r="F1172" t="inlineStr">
        <is>
          <t>Grid-Gen</t>
        </is>
      </c>
      <c r="G1172" t="inlineStr">
        <is>
          <t>EXTREME-NORD</t>
        </is>
      </c>
      <c r="H1172" t="inlineStr">
        <is>
          <t>Maroua</t>
        </is>
      </c>
      <c r="I1172" t="inlineStr"/>
      <c r="J1172" t="n">
        <v>9.168585062887427</v>
      </c>
      <c r="K1172" t="n">
        <v>11.70449889667506</v>
      </c>
      <c r="L1172" t="n">
        <v>0</v>
      </c>
      <c r="M1172" t="n">
        <v>5.238608378777113</v>
      </c>
      <c r="N1172" t="inlineStr">
        <is>
          <t>Operationnel</t>
        </is>
      </c>
      <c r="O1172" t="inlineStr"/>
      <c r="P1172" t="inlineStr">
        <is>
          <t>PDH</t>
        </is>
      </c>
      <c r="Q1172" t="inlineStr">
        <is>
          <t>TX ISSUE</t>
        </is>
      </c>
      <c r="R1172" t="inlineStr">
        <is>
          <t>MPR issue</t>
        </is>
      </c>
      <c r="S1172" t="inlineStr">
        <is>
          <t>ACTIVE</t>
        </is>
      </c>
      <c r="T1172" t="inlineStr">
        <is>
          <t>Power status check ongoing</t>
        </is>
      </c>
      <c r="U1172" t="inlineStr">
        <is>
          <t>Power status check ongoing</t>
        </is>
      </c>
    </row>
    <row r="1173">
      <c r="A1173" t="inlineStr">
        <is>
          <t>4/31/2026</t>
        </is>
      </c>
      <c r="B1173" t="inlineStr">
        <is>
          <t>Yagoua-Ville</t>
        </is>
      </c>
      <c r="C1173" t="inlineStr">
        <is>
          <t>EXN_096</t>
        </is>
      </c>
      <c r="D1173" t="inlineStr"/>
      <c r="E1173" t="inlineStr">
        <is>
          <t>IHS</t>
        </is>
      </c>
      <c r="F1173" t="inlineStr">
        <is>
          <t>Grid-Gen</t>
        </is>
      </c>
      <c r="G1173" t="inlineStr">
        <is>
          <t>EXTREME-NORD</t>
        </is>
      </c>
      <c r="H1173" t="inlineStr">
        <is>
          <t>Yagoua</t>
        </is>
      </c>
      <c r="I1173" t="inlineStr"/>
      <c r="J1173" t="n">
        <v>3.811813324061085</v>
      </c>
      <c r="K1173" t="n">
        <v>6.431935986753301</v>
      </c>
      <c r="L1173" t="n">
        <v>4.737771058097871</v>
      </c>
      <c r="M1173" t="n">
        <v>5.174295086364584</v>
      </c>
      <c r="N1173" t="inlineStr">
        <is>
          <t>INSECURITY</t>
        </is>
      </c>
      <c r="O1173" t="inlineStr"/>
      <c r="P1173" t="inlineStr">
        <is>
          <t>IHS</t>
        </is>
      </c>
      <c r="Q1173" t="inlineStr">
        <is>
          <t>POWER ISSUE</t>
        </is>
      </c>
      <c r="R1173" t="inlineStr">
        <is>
          <t>Defaut GE &amp; Power Cabinet</t>
        </is>
      </c>
      <c r="S1173" t="inlineStr">
        <is>
          <t>PASSIVE</t>
        </is>
      </c>
      <c r="T1173" t="inlineStr">
        <is>
          <t>INC-20260331-00016736...2026-04-01 00:31:59...site up...Auto TT closure RCA...GE Fault</t>
        </is>
      </c>
      <c r="U1173" t="inlineStr">
        <is>
          <t>2026-04-01 00 : 31 : 59.site up.Auto TT closure RCA.GE Fault</t>
        </is>
      </c>
    </row>
    <row r="1174">
      <c r="A1174" t="inlineStr">
        <is>
          <t>4/31/2026</t>
        </is>
      </c>
      <c r="B1174" t="inlineStr">
        <is>
          <t>LIT_827_Z_Bwang-Bakoko</t>
        </is>
      </c>
      <c r="C1174" t="inlineStr">
        <is>
          <t>LIT_827</t>
        </is>
      </c>
      <c r="D1174" t="inlineStr"/>
      <c r="E1174" t="inlineStr">
        <is>
          <t>ESCO</t>
        </is>
      </c>
      <c r="F1174" t="inlineStr">
        <is>
          <t>Good Grid + Solar + GE</t>
        </is>
      </c>
      <c r="G1174" t="inlineStr">
        <is>
          <t>LITTORAL</t>
        </is>
      </c>
      <c r="H1174" t="inlineStr">
        <is>
          <t>Douala</t>
        </is>
      </c>
      <c r="I1174" t="inlineStr"/>
      <c r="J1174" t="n">
        <v>3.024471541791063</v>
      </c>
      <c r="K1174" t="n">
        <v>2.693179615859318</v>
      </c>
      <c r="L1174" t="n">
        <v>7.277213609212309</v>
      </c>
      <c r="M1174" t="n">
        <v>5.131009351288262</v>
      </c>
      <c r="N1174" t="inlineStr">
        <is>
          <t>Operationnel</t>
        </is>
      </c>
      <c r="O1174" t="inlineStr"/>
      <c r="P1174" t="inlineStr">
        <is>
          <t>AKTIVCO</t>
        </is>
      </c>
      <c r="Q1174" t="inlineStr">
        <is>
          <t>POWER ISSUE</t>
        </is>
      </c>
      <c r="R1174" t="inlineStr">
        <is>
          <t>AKTIVCO Defaut GE &amp; Power Cabinet</t>
        </is>
      </c>
      <c r="S1174" t="inlineStr">
        <is>
          <t>PASSIVE</t>
        </is>
      </c>
      <c r="T1174" t="inlineStr">
        <is>
          <t>Grid outage, Grid only site / Grid return awaited..;Power status check ongoing..;INC-20260331-00004564...2026-03-31 09:25:42...Grid outage, Grid only site / Grid return awaited...site up power fluctuation on site ...Others Transmission equipement fault</t>
        </is>
      </c>
      <c r="U1174" t="inlineStr">
        <is>
          <t>Grid outage, Grid only site / Grid return awaited.;.2026-03-31 09 : 25 : 42.Grid outage, Grid only site / Grid return awaited.site up power fluctuation on site .</t>
        </is>
      </c>
    </row>
    <row r="1175">
      <c r="A1175" t="inlineStr">
        <is>
          <t>4/31/2026</t>
        </is>
      </c>
      <c r="B1175" t="inlineStr">
        <is>
          <t>Simbock-II</t>
        </is>
      </c>
      <c r="C1175" t="inlineStr">
        <is>
          <t>CTR_716</t>
        </is>
      </c>
      <c r="D1175" t="inlineStr"/>
      <c r="E1175" t="inlineStr">
        <is>
          <t>CAMUSAT</t>
        </is>
      </c>
      <c r="F1175" t="inlineStr">
        <is>
          <t>Good Grid + GE</t>
        </is>
      </c>
      <c r="G1175" t="inlineStr">
        <is>
          <t>CENTRE</t>
        </is>
      </c>
      <c r="H1175" t="inlineStr">
        <is>
          <t>Yaounde</t>
        </is>
      </c>
      <c r="I1175" t="inlineStr"/>
      <c r="J1175" t="n">
        <v>4.158273683200844</v>
      </c>
      <c r="K1175" t="n">
        <v>3.666345359405124</v>
      </c>
      <c r="L1175" t="n">
        <v>6.06771910643579</v>
      </c>
      <c r="M1175" t="n">
        <v>4.988881612176936</v>
      </c>
      <c r="N1175" t="inlineStr">
        <is>
          <t>Operationnel</t>
        </is>
      </c>
      <c r="O1175" t="inlineStr"/>
      <c r="P1175" t="inlineStr">
        <is>
          <t>AKTIVCO</t>
        </is>
      </c>
      <c r="Q1175" t="inlineStr">
        <is>
          <t>POWER ISSUE</t>
        </is>
      </c>
      <c r="R1175" t="inlineStr">
        <is>
          <t>AKTIVCO Defaut GE &amp; Power Cabinet</t>
        </is>
      </c>
      <c r="S1175" t="inlineStr">
        <is>
          <t>PASSIVE</t>
        </is>
      </c>
      <c r="T1175" t="inlineStr">
        <is>
          <t>Power status check ongoing..;INC-20260331-00004354...2026-03-31 09:22:05...Fme is on the way, ETA 11:10... Bridge done...GE Fault...Instability of GRID</t>
        </is>
      </c>
      <c r="U1175" t="inlineStr">
        <is>
          <t>2026-03-31 09 : 22 : 05.Fme is on the way, ETA 11 : 10. Bridge done.GE Fault.Instability of GRID</t>
        </is>
      </c>
    </row>
    <row r="1176">
      <c r="A1176" t="inlineStr">
        <is>
          <t>4/31/2026</t>
        </is>
      </c>
      <c r="B1176" t="inlineStr">
        <is>
          <t>Ndobo3-MTN</t>
        </is>
      </c>
      <c r="C1176" t="inlineStr">
        <is>
          <t>LIT_624</t>
        </is>
      </c>
      <c r="D1176" t="inlineStr"/>
      <c r="E1176" t="inlineStr">
        <is>
          <t>IHS</t>
        </is>
      </c>
      <c r="F1176" t="inlineStr">
        <is>
          <t>grid + Gen</t>
        </is>
      </c>
      <c r="G1176" t="inlineStr">
        <is>
          <t>LITTORAL</t>
        </is>
      </c>
      <c r="H1176" t="inlineStr">
        <is>
          <t>Douala</t>
        </is>
      </c>
      <c r="I1176" t="inlineStr"/>
      <c r="J1176" t="n">
        <v>2.013067075924527</v>
      </c>
      <c r="K1176" t="n">
        <v>1.763683609249569</v>
      </c>
      <c r="L1176" t="n">
        <v>7.756633768689789</v>
      </c>
      <c r="M1176" t="n">
        <v>4.924550484686086</v>
      </c>
      <c r="N1176" t="inlineStr">
        <is>
          <t>Operationnel</t>
        </is>
      </c>
      <c r="O1176" t="inlineStr"/>
      <c r="P1176" t="inlineStr">
        <is>
          <t>IHS</t>
        </is>
      </c>
      <c r="Q1176" t="inlineStr">
        <is>
          <t>POWER ISSUE</t>
        </is>
      </c>
      <c r="R1176" t="inlineStr">
        <is>
          <t>Defaut GE &amp; Power Cabinet</t>
        </is>
      </c>
      <c r="S1176" t="inlineStr">
        <is>
          <t>PASSIVE</t>
        </is>
      </c>
      <c r="T1176" t="inlineStr">
        <is>
          <t>INC-20260331-00008685...POWER issue 
Technicien power suit le point ...Others Transmission equipement fault</t>
        </is>
      </c>
      <c r="U1176" t="inlineStr">
        <is>
          <t>POWER issue Technicien power suit le point .</t>
        </is>
      </c>
    </row>
    <row r="1177">
      <c r="A1177" t="inlineStr">
        <is>
          <t>4/31/2026</t>
        </is>
      </c>
      <c r="B1177" t="inlineStr">
        <is>
          <t>Korek-Djarengol-II</t>
        </is>
      </c>
      <c r="C1177" t="inlineStr">
        <is>
          <t>EXN_235</t>
        </is>
      </c>
      <c r="D1177" t="inlineStr"/>
      <c r="E1177" t="inlineStr">
        <is>
          <t>CAMUSAT</t>
        </is>
      </c>
      <c r="F1177" t="inlineStr">
        <is>
          <t>Bad Grid + GE</t>
        </is>
      </c>
      <c r="G1177" t="inlineStr">
        <is>
          <t>EXTREME-NORD</t>
        </is>
      </c>
      <c r="H1177" t="inlineStr">
        <is>
          <t>Maroua</t>
        </is>
      </c>
      <c r="I1177" t="inlineStr"/>
      <c r="J1177" t="n">
        <v>7.953350998565199</v>
      </c>
      <c r="K1177" t="n">
        <v>10.22036535525703</v>
      </c>
      <c r="L1177" t="n">
        <v>0.2380342638010625</v>
      </c>
      <c r="M1177" t="n">
        <v>4.690964463963154</v>
      </c>
      <c r="N1177" t="inlineStr">
        <is>
          <t>Operationnel</t>
        </is>
      </c>
      <c r="O1177" t="inlineStr"/>
      <c r="P1177" t="inlineStr">
        <is>
          <t>AKTIVCO</t>
        </is>
      </c>
      <c r="Q1177" t="inlineStr">
        <is>
          <t>POWER ISSUE</t>
        </is>
      </c>
      <c r="R1177" t="inlineStr">
        <is>
          <t>AKTIVCO Defaut GE &amp; Power Cabinet</t>
        </is>
      </c>
      <c r="S1177" t="inlineStr">
        <is>
          <t>PASSIVE</t>
        </is>
      </c>
      <c r="T1177" t="inlineStr">
        <is>
          <t>Power status check ongoing..;INC-20260331-00007553...gen started automatically...GE Fault...Grid outage, poor battery backup</t>
        </is>
      </c>
      <c r="U1177" t="inlineStr">
        <is>
          <t>gen started automatically.GE Fault.Grid outage, poor battery backup</t>
        </is>
      </c>
    </row>
    <row r="1178">
      <c r="A1178" t="inlineStr">
        <is>
          <t>4/31/2026</t>
        </is>
      </c>
      <c r="B1178" t="inlineStr">
        <is>
          <t>Zouvoul-IHS</t>
        </is>
      </c>
      <c r="C1178" t="inlineStr">
        <is>
          <t>EXN_172</t>
        </is>
      </c>
      <c r="D1178" t="inlineStr"/>
      <c r="E1178" t="inlineStr">
        <is>
          <t>IHS</t>
        </is>
      </c>
      <c r="F1178" t="inlineStr">
        <is>
          <t>Hybrid-Gen</t>
        </is>
      </c>
      <c r="G1178" t="inlineStr">
        <is>
          <t>EXTREME-NORD</t>
        </is>
      </c>
      <c r="H1178" t="inlineStr">
        <is>
          <t>Zouvoul</t>
        </is>
      </c>
      <c r="I1178" t="inlineStr"/>
      <c r="J1178" t="n">
        <v>32.73073378922354</v>
      </c>
      <c r="K1178" t="n">
        <v>0.007703744913131081</v>
      </c>
      <c r="L1178" t="n">
        <v>0</v>
      </c>
      <c r="M1178" t="n">
        <v>4.67653199493662</v>
      </c>
      <c r="N1178" t="inlineStr">
        <is>
          <t>Insecurity</t>
        </is>
      </c>
      <c r="O1178" t="inlineStr"/>
      <c r="P1178" t="inlineStr">
        <is>
          <t>SPARE-ISSUE</t>
        </is>
      </c>
      <c r="Q1178" t="inlineStr">
        <is>
          <t>SPARE-ISSUE</t>
        </is>
      </c>
      <c r="R1178" t="inlineStr">
        <is>
          <t>SPARE-ISSUE</t>
        </is>
      </c>
      <c r="S1178" t="inlineStr">
        <is>
          <t>SPARE-ISSUE</t>
        </is>
      </c>
      <c r="T1178" t="inlineStr">
        <is>
          <t>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spare disponible au niveau du FME, FME on another point
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spare disponible au niveau du FME, FME on another point
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spare disponible au niveau du FME, FME on another point
27/03/2026 : Cde en cours 
26/03/2026 : Spare pas recu 
25/03/2026 : Spare quitter de maroua pour Douala 
23/03/2026 : Fiber faulty || cde en cours
21/03/2026 : Check SFP, Optical fiber if issue persit
20/03/2026 : need BO RAN analysis</t>
        </is>
      </c>
      <c r="U1178" t="inlineStr">
        <is>
          <t>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 spare disponible au niveau du FME, FME on another point 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 spare disponible au niveau du FME, FME on another point 27/03/2026 : Cde en cours 26/03/2026 : Spare pas recu 25/03/2026 : Spare quitter de maroua pour Douala 23/03/2026 : Fiber faulty || cde en cours 21/03/2026 : Check SFP, Optical fiber if issue persit 20/03/2026 : need BO RAN analysis.;30/03/2026 : Feedback du P.M : FME not available intervention postponed to 01/04/2026 29/03/2026 : spare disponible au niveau du FME, FME on another point 27/03/2026 : Cde en cours 26/03/2026 : Spare pas recu 25/03/2026 : Spare quitter de maroua pour Douala 23/03/2026 : Fiber faulty || cde en cours 21/03/2026 : Check SFP, Optical fiber if issue persit 20/03/2026 : need BO RAN analysis</t>
        </is>
      </c>
    </row>
    <row r="1179">
      <c r="A1179" t="inlineStr">
        <is>
          <t>4/31/2026</t>
        </is>
      </c>
      <c r="B1179" t="inlineStr">
        <is>
          <t>Foumban-Njinka</t>
        </is>
      </c>
      <c r="C1179" t="inlineStr">
        <is>
          <t>OST_101</t>
        </is>
      </c>
      <c r="D1179" t="inlineStr"/>
      <c r="E1179" t="inlineStr">
        <is>
          <t>IHS</t>
        </is>
      </c>
      <c r="F1179" t="inlineStr">
        <is>
          <t>Grid-Gen</t>
        </is>
      </c>
      <c r="G1179" t="inlineStr">
        <is>
          <t>OUEST</t>
        </is>
      </c>
      <c r="H1179" t="inlineStr">
        <is>
          <t>Foumban</t>
        </is>
      </c>
      <c r="I1179" t="inlineStr"/>
      <c r="J1179" t="n">
        <v>10.79097874177188</v>
      </c>
      <c r="K1179" t="n">
        <v>0</v>
      </c>
      <c r="L1179" t="n">
        <v>5.909816204716034</v>
      </c>
      <c r="M1179" t="n">
        <v>4.622852299869019</v>
      </c>
      <c r="N1179" t="inlineStr">
        <is>
          <t>Operationnel</t>
        </is>
      </c>
      <c r="O1179" t="inlineStr"/>
      <c r="P1179" t="inlineStr">
        <is>
          <t>TRAVAUX-HUAWEI</t>
        </is>
      </c>
      <c r="Q1179" t="inlineStr">
        <is>
          <t>TRAVAUX-HUAWEI</t>
        </is>
      </c>
      <c r="R1179" t="inlineStr">
        <is>
          <t>Projet OCM (HUAWEI)</t>
        </is>
      </c>
      <c r="S1179" t="inlineStr">
        <is>
          <t>PLANNED WORKS</t>
        </is>
      </c>
      <c r="T1179" t="inlineStr">
        <is>
          <t xml:space="preserve">17/03/2026 : Week 12
14/03/2026 : Swape en cours </t>
        </is>
      </c>
      <c r="U1179" t="inlineStr">
        <is>
          <t>17/03/2026 : Week 12 14/03/2026 : Swape en cours</t>
        </is>
      </c>
    </row>
    <row r="1180">
      <c r="A1180" t="inlineStr">
        <is>
          <t>4/31/2026</t>
        </is>
      </c>
      <c r="B1180" t="inlineStr">
        <is>
          <t>Bafang</t>
        </is>
      </c>
      <c r="C1180" t="inlineStr">
        <is>
          <t>OST_015</t>
        </is>
      </c>
      <c r="D1180" t="inlineStr"/>
      <c r="E1180" t="inlineStr">
        <is>
          <t>IHS</t>
        </is>
      </c>
      <c r="F1180" t="inlineStr">
        <is>
          <t>Grid-Gen</t>
        </is>
      </c>
      <c r="G1180" t="inlineStr">
        <is>
          <t>OUEST</t>
        </is>
      </c>
      <c r="H1180" t="inlineStr">
        <is>
          <t>Bafang</t>
        </is>
      </c>
      <c r="I1180" t="inlineStr"/>
      <c r="J1180" t="n">
        <v>0</v>
      </c>
      <c r="K1180" t="n">
        <v>0</v>
      </c>
      <c r="L1180" t="n">
        <v>8.86472430707405</v>
      </c>
      <c r="M1180" t="n">
        <v>4.622852299869019</v>
      </c>
      <c r="N1180" t="inlineStr">
        <is>
          <t>EXCLU</t>
        </is>
      </c>
      <c r="O1180" t="inlineStr">
        <is>
          <t xml:space="preserve"> Site vendalisé,</t>
        </is>
      </c>
      <c r="P1180" t="inlineStr">
        <is>
          <t>Exclu</t>
        </is>
      </c>
      <c r="Q1180" t="inlineStr">
        <is>
          <t>Exclu</t>
        </is>
      </c>
      <c r="R1180" t="inlineStr">
        <is>
          <t>exclu</t>
        </is>
      </c>
      <c r="S1180" t="inlineStr">
        <is>
          <t>Exclu</t>
        </is>
      </c>
      <c r="T1180" t="inlineStr">
        <is>
          <t>16/03/2026 : Feedback BO RAN attendu pour la suite des actions
14/03/2026 : Intervention en cours
13/03/2026  : Relance faite au BO RAN
10/03/2026 : Feedback FME apres intervention : D’apres le constat terrain fait, le VSWR present sur ce site est lie au port non utilise. A la lecture de la photo en Pj, le Port A n’est pas en service || BO RAN interpele pour analyse approfondie
08/03/2026 : Port non utiliser || Evidence partager 
06/03/2026 : Besoin d'analyse BO RAN || check and clean jumper, port of rru 71(sector 2) || FME active || ETA a partage</t>
        </is>
      </c>
      <c r="U1180" t="inlineStr">
        <is>
          <t>16/03/2026 : Feedback BO RAN attendu pour la suite des actions 14/03/2026 : Intervention en cours 13/03/2026 : Relance faite au BO RAN 10/03/2026 : Feedback FME apres intervention : D’apres le constat terrain fait, le VSWR present sur ce site est lie au port non utilise. A la lecture de la photo en Pj, le Port A n’est pas en service || BO RAN interpele pour analyse approfondie 08/03/2026 : Port non utiliser || Evidence partager 06/03/2026 : Besoin d'analyse BO RAN || check and clean jumper, port of rru 71(sector 2) || FME active || ETA a partage</t>
        </is>
      </c>
    </row>
    <row r="1181">
      <c r="A1181" t="inlineStr">
        <is>
          <t>4/31/2026</t>
        </is>
      </c>
      <c r="B1181" t="inlineStr">
        <is>
          <t>Bardake-IHS</t>
        </is>
      </c>
      <c r="C1181" t="inlineStr">
        <is>
          <t>NRD_110</t>
        </is>
      </c>
      <c r="D1181" t="inlineStr"/>
      <c r="E1181" t="inlineStr">
        <is>
          <t>IHS</t>
        </is>
      </c>
      <c r="F1181" t="inlineStr">
        <is>
          <t>Gen Only</t>
        </is>
      </c>
      <c r="G1181" t="inlineStr">
        <is>
          <t>NORD</t>
        </is>
      </c>
      <c r="H1181" t="inlineStr">
        <is>
          <t>Bardake</t>
        </is>
      </c>
      <c r="I1181" t="inlineStr"/>
      <c r="J1181" t="n">
        <v>0</v>
      </c>
      <c r="K1181" t="n">
        <v>13.77031120903332</v>
      </c>
      <c r="L1181" t="n">
        <v>0</v>
      </c>
      <c r="M1181" t="n">
        <v>4.622852299869019</v>
      </c>
      <c r="N1181" t="inlineStr">
        <is>
          <t>EXCLU</t>
        </is>
      </c>
      <c r="O1181" t="inlineStr">
        <is>
          <t>UE Relay</t>
        </is>
      </c>
      <c r="P1181" t="inlineStr">
        <is>
          <t>TRAVAUX OCM</t>
        </is>
      </c>
      <c r="Q1181" t="inlineStr">
        <is>
          <t>TRAVAUX OCM</t>
        </is>
      </c>
      <c r="R1181" t="inlineStr">
        <is>
          <t>Projet OCM (ZTE, NOKIA, autres projets)</t>
        </is>
      </c>
      <c r="S1181" t="inlineStr">
        <is>
          <t>PLANNED WORKS</t>
        </is>
      </c>
      <c r="T1181" t="inlineStr">
        <is>
          <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t>
        </is>
      </c>
      <c r="U1181" t="inlineStr">
        <is>
          <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VSAT.;12.03.26; Site à basculer en terrestre. Le chemin en E2E sera : Bardake (Nokia site) ==Ouro-dadjam-kolere (New rural site to built) == Nakong (Nokia site). Le site de Bardake sera reparenté sur le même cluster que Nakong qui est un site existant. Mise on Air du site MW Nakong_Ouro-dadjam-kolere le 16Mars et ETR migration TX le 20Mars 2026 09.03.2026 : Site à basculer en terrestre. Le chemin en E2E sera : Bardake (Nokia site) ==Ouro-dadjam-kolere (new rural site to built) == Nakong (Nokia site). Le site de Bardake sera reparenté sur le même cluster que Nakong qui est un site existant. Mise on Air du site MW Nakong_Ouro-dadjam-kolere le 10Mars 2026.ETR 10Mars 2026 05/03/2026 Le chemin en E2E sera : Bardake (Nokia site) ==Ouro-dadjam-kolere (new rural site to built) == Nakong (Nokia site) Donc le site de Bardake sera reparenté sur le même cluster que Nakong qui est un site existant. Mise on Air du site MW Nakong_Ouro-dadjam-kolere le 10Mars 2026. Site UE Relay en attente de swap en VSAT</t>
        </is>
      </c>
    </row>
    <row r="1182">
      <c r="A1182" t="inlineStr">
        <is>
          <t>4/31/2026</t>
        </is>
      </c>
      <c r="B1182" t="inlineStr">
        <is>
          <t>Ouro-Dara</t>
        </is>
      </c>
      <c r="C1182" t="inlineStr">
        <is>
          <t>ADM_148</t>
        </is>
      </c>
      <c r="D1182" t="inlineStr"/>
      <c r="E1182" t="inlineStr">
        <is>
          <t>CAMUSAT</t>
        </is>
      </c>
      <c r="F1182" t="inlineStr">
        <is>
          <t>Hybrid Solar - S3</t>
        </is>
      </c>
      <c r="G1182" t="inlineStr">
        <is>
          <t>ADAMAOUA</t>
        </is>
      </c>
      <c r="H1182" t="inlineStr">
        <is>
          <t>Oura-Dara</t>
        </is>
      </c>
      <c r="I1182" t="inlineStr"/>
      <c r="J1182" t="n">
        <v>32.36319436950709</v>
      </c>
      <c r="K1182" t="n">
        <v>0</v>
      </c>
      <c r="L1182" t="n">
        <v>0</v>
      </c>
      <c r="M1182" t="n">
        <v>4.621461163760261</v>
      </c>
      <c r="N1182" t="inlineStr">
        <is>
          <t>Operationnel</t>
        </is>
      </c>
      <c r="O1182" t="inlineStr"/>
      <c r="P1182" t="inlineStr">
        <is>
          <t>SPARE-ISSUE</t>
        </is>
      </c>
      <c r="Q1182" t="inlineStr">
        <is>
          <t>SPARE-ISSUE</t>
        </is>
      </c>
      <c r="R1182" t="inlineStr">
        <is>
          <t>SPARE-ISSUE</t>
        </is>
      </c>
      <c r="S1182" t="inlineStr">
        <is>
          <t>SPARE-ISSUE</t>
        </is>
      </c>
      <c r="T1182" t="inlineStr">
        <is>
          <t>31.03.2026: LNB Faulty. Commande passe au WH de Yaounde et l'expedition est en cours ETD=03.04.2026
31.03.2026: FME Sur site travaux en cours. Update ASAP
31.03.2026: Suite de l'intervention ce Jour. FME en route ETA=1H30
30/03/2026 FME en route ETA=12H30 UTC // FME sur site 
29.03.2026 FME : Still troubleshooting with the level 0
29.03.2026: FME Frank activated is managing
29.03.2026: Need FME on the site to check Idirect and IBUC status..;31.03.2026: BUC Faulty commande en cours 
31.03.2026: Suite de l'intervention ce Jour. FME en route ETA=1H30
30/03/2026 FME en route ETA=12H30 UTC // FME sur site 
29.03.2026 FME : Still troubleshooting with the level 0
29.03.2026: FME Frank activated is managing
29.03.2026: Need FME on the site to check Idirect and IBUC status..;31.03.2026: Suite de l'intervention ce Jour. FME en route ETA=1H30
30/03/2026 FME en route ETA=12H30 UTC // FME sur site 
29.03.2026 FME : Still troubleshooting with the level 0
29.03.2026: FME Frank activated is managing
29.03.2026: Need FME on the site to check Idirect and IBUC status</t>
        </is>
      </c>
      <c r="U1182" t="inlineStr">
        <is>
          <t>31.03.2026 : LNB Faulty. Commande passe au WH de Yaounde et l'expedition est en cours ETD=03.04.2026 31.03.2026 : FME Sur site travaux en cours. Update ASAP 31.03.2026 : Suite de l'intervention ce Jour. FME en route ETA=1H30 30/03/2026 FME en route ETA=12H30 UTC // FME sur site 29.03.2026 FME : Still troubleshooting with the level 0 29.03.2026 : FME Frank activated is managing 29.03.2026 : Need FME on the site to check Idirect and IBUC status.;31.03.2026 : BUC Faulty commande en cours 31.03.2026 : Suite de l'intervention ce Jour. FME en route ETA=1H30 30/03/2026 FME en route ETA=12H30 UTC // FME sur site 29.03.2026 FME : Still troubleshooting with the level 0 29.03.2026 : FME Frank activated is managing 29.03.2026 : Need FME on the site to check Idirect and IBUC status.;31.03.2026 : Suite de l'intervention ce Jour. FME en route ETA=1H30 30/03/2026 FME en route ETA=12H30 UTC // FME sur site 29.03.2026 FME : Still troubleshooting with the level 0 29.03.2026 : FME Frank activated is managing 29.03.2026 : Need FME on the site to check Idirect and IBUC status</t>
        </is>
      </c>
    </row>
    <row r="1183">
      <c r="A1183" t="inlineStr">
        <is>
          <t>4/31/2026</t>
        </is>
      </c>
      <c r="B1183" t="inlineStr">
        <is>
          <t>Laquintinie-Camtel</t>
        </is>
      </c>
      <c r="C1183" t="inlineStr">
        <is>
          <t>LIT_644</t>
        </is>
      </c>
      <c r="D1183" t="inlineStr"/>
      <c r="E1183" t="inlineStr">
        <is>
          <t>CAMUSAT</t>
        </is>
      </c>
      <c r="F1183" t="inlineStr">
        <is>
          <t>Good Grid no GE - 8h</t>
        </is>
      </c>
      <c r="G1183" t="inlineStr">
        <is>
          <t>LITTORAL</t>
        </is>
      </c>
      <c r="H1183" t="inlineStr">
        <is>
          <t>Douala</t>
        </is>
      </c>
      <c r="I1183" t="inlineStr"/>
      <c r="J1183" t="n">
        <v>4.365850149275206</v>
      </c>
      <c r="K1183" t="n">
        <v>3.745715903179414</v>
      </c>
      <c r="L1183" t="n">
        <v>5.171089179126531</v>
      </c>
      <c r="M1183" t="n">
        <v>4.57758687109947</v>
      </c>
      <c r="N1183" t="inlineStr">
        <is>
          <t>Operationnel</t>
        </is>
      </c>
      <c r="O1183" t="inlineStr"/>
      <c r="P1183" t="inlineStr">
        <is>
          <t>AKTIVCO GRID ONLY</t>
        </is>
      </c>
      <c r="Q1183" t="inlineStr">
        <is>
          <t>POWER ISSUE</t>
        </is>
      </c>
      <c r="R1183" t="inlineStr">
        <is>
          <t>AKTIVCO Coupure ENEO &amp; Baisse de tension</t>
        </is>
      </c>
      <c r="S1183" t="inlineStr">
        <is>
          <t>PASSIVE</t>
        </is>
      </c>
      <c r="T1183" t="inlineStr">
        <is>
          <t>Power status check ongoing..;INC-20260331-00010901...2026-03-31 17:32:37...Grid outage, Grid only site / Grid return awaited...Others</t>
        </is>
      </c>
      <c r="U1183" t="inlineStr">
        <is>
          <t>2026-03-31 17 : 32 : 37.Grid outage, Grid only site / Grid return awaited.Others</t>
        </is>
      </c>
    </row>
    <row r="1184">
      <c r="A1184" t="inlineStr">
        <is>
          <t>4/31/2026</t>
        </is>
      </c>
      <c r="B1184" t="inlineStr">
        <is>
          <t>Stade-Abega</t>
        </is>
      </c>
      <c r="C1184" t="inlineStr">
        <is>
          <t>CTR_274</t>
        </is>
      </c>
      <c r="D1184" t="inlineStr"/>
      <c r="E1184" t="inlineStr">
        <is>
          <t>IHS</t>
        </is>
      </c>
      <c r="F1184" t="inlineStr">
        <is>
          <t>Grid-Gen</t>
        </is>
      </c>
      <c r="G1184" t="inlineStr">
        <is>
          <t>CENTRE</t>
        </is>
      </c>
      <c r="H1184" t="inlineStr">
        <is>
          <t>Yaounde</t>
        </is>
      </c>
      <c r="I1184" t="inlineStr"/>
      <c r="J1184" t="n">
        <v>2.041917956588292</v>
      </c>
      <c r="K1184" t="n">
        <v>1.816809809901704</v>
      </c>
      <c r="L1184" t="n">
        <v>7.042907180864455</v>
      </c>
      <c r="M1184" t="n">
        <v>4.574305216689068</v>
      </c>
      <c r="N1184" t="inlineStr">
        <is>
          <t>Operationnel</t>
        </is>
      </c>
      <c r="O1184" t="inlineStr"/>
      <c r="P1184" t="inlineStr">
        <is>
          <t>IHS</t>
        </is>
      </c>
      <c r="Q1184" t="inlineStr">
        <is>
          <t>POWER ISSUE</t>
        </is>
      </c>
      <c r="R1184" t="inlineStr">
        <is>
          <t>Defaut GE &amp; Power Cabinet</t>
        </is>
      </c>
      <c r="S1184" t="inlineStr">
        <is>
          <t>PASSIVE</t>
        </is>
      </c>
      <c r="T1184" t="inlineStr">
        <is>
          <t>Power status check ongoing..;INC-20260331-00011673...2026-03-31 18:06:30...Investigation ongoing /Fme is managing with level zero...power issue ...Others Transmission equipement fault</t>
        </is>
      </c>
      <c r="U1184" t="inlineStr">
        <is>
          <t>2026-03-31 18 : 06 : 30.Investigation ongoing /Fme is managing with level zero.power issue .</t>
        </is>
      </c>
    </row>
    <row r="1185">
      <c r="A1185" t="inlineStr">
        <is>
          <t>4/31/2026</t>
        </is>
      </c>
      <c r="B1185" t="inlineStr">
        <is>
          <t>Olembe-MTN</t>
        </is>
      </c>
      <c r="C1185" t="inlineStr">
        <is>
          <t>CTR_778</t>
        </is>
      </c>
      <c r="D1185" t="inlineStr"/>
      <c r="E1185" t="inlineStr"/>
      <c r="F1185" t="inlineStr"/>
      <c r="G1185" t="inlineStr">
        <is>
          <t>CENTRE</t>
        </is>
      </c>
      <c r="H1185" t="inlineStr">
        <is>
          <t>Yaounde</t>
        </is>
      </c>
      <c r="I1185" t="inlineStr"/>
      <c r="J1185" t="n">
        <v>3.351448189313734</v>
      </c>
      <c r="K1185" t="n">
        <v>2.937719517461094</v>
      </c>
      <c r="L1185" t="n">
        <v>5.858652518128909</v>
      </c>
      <c r="M1185" t="n">
        <v>4.520033073369231</v>
      </c>
      <c r="N1185" t="inlineStr">
        <is>
          <t>Operationnel</t>
        </is>
      </c>
      <c r="O1185" t="inlineStr"/>
      <c r="P1185" t="inlineStr">
        <is>
          <t>Partners</t>
        </is>
      </c>
      <c r="Q1185" t="inlineStr">
        <is>
          <t>POWER ISSUE</t>
        </is>
      </c>
      <c r="R1185" t="inlineStr">
        <is>
          <t>Sharing</t>
        </is>
      </c>
      <c r="S1185" t="inlineStr">
        <is>
          <t>PASSIVE</t>
        </is>
      </c>
      <c r="T1185" t="inlineStr">
        <is>
          <t xml:space="preserve">site down..;Power status check ongoing..;INC-20260331-00010923...2026-03-31 16:42:00...MTN activated for check power status...power issue in site. GE not started </t>
        </is>
      </c>
      <c r="U1185" t="inlineStr">
        <is>
          <t>site down.;.2026-03-31 16 : 42 : 00.MTN activated for check power status.power issue in site. GE not started</t>
        </is>
      </c>
    </row>
    <row r="1186">
      <c r="A1186" t="inlineStr">
        <is>
          <t>4/31/2026</t>
        </is>
      </c>
      <c r="B1186" t="inlineStr">
        <is>
          <t>Yagoua-Quinf-II</t>
        </is>
      </c>
      <c r="C1186" t="inlineStr">
        <is>
          <t>EXN_236</t>
        </is>
      </c>
      <c r="D1186" t="inlineStr"/>
      <c r="E1186" t="inlineStr">
        <is>
          <t>CAMUSAT</t>
        </is>
      </c>
      <c r="F1186" t="inlineStr">
        <is>
          <t>Bad Grid + GE</t>
        </is>
      </c>
      <c r="G1186" t="inlineStr">
        <is>
          <t>EXTREME-NORD</t>
        </is>
      </c>
      <c r="H1186" t="inlineStr">
        <is>
          <t>Yagoua</t>
        </is>
      </c>
      <c r="I1186" t="inlineStr"/>
      <c r="J1186" t="n">
        <v>3.137377152700343</v>
      </c>
      <c r="K1186" t="n">
        <v>5.333073652464545</v>
      </c>
      <c r="L1186" t="n">
        <v>4.269226602052676</v>
      </c>
      <c r="M1186" t="n">
        <v>4.464744330585305</v>
      </c>
      <c r="N1186" t="inlineStr">
        <is>
          <t>INSECURITY</t>
        </is>
      </c>
      <c r="O1186" t="inlineStr"/>
      <c r="P1186" t="inlineStr">
        <is>
          <t>AKTIVCO</t>
        </is>
      </c>
      <c r="Q1186" t="inlineStr">
        <is>
          <t>POWER ISSUE</t>
        </is>
      </c>
      <c r="R1186" t="inlineStr">
        <is>
          <t>AKTIVCO Defaut GE &amp; Power Cabinet</t>
        </is>
      </c>
      <c r="S1186" t="inlineStr">
        <is>
          <t>PASSIVE</t>
        </is>
      </c>
      <c r="T1186" t="inlineStr">
        <is>
          <t>INC-20260331-00003004...power issue ...Others Transmission equipement fault</t>
        </is>
      </c>
      <c r="U1186" t="inlineStr">
        <is>
          <t>power issue .</t>
        </is>
      </c>
    </row>
    <row r="1187">
      <c r="A1187" t="inlineStr">
        <is>
          <t>4/31/2026</t>
        </is>
      </c>
      <c r="B1187" t="inlineStr">
        <is>
          <t>Mbonso</t>
        </is>
      </c>
      <c r="C1187" t="inlineStr">
        <is>
          <t>NRO_057</t>
        </is>
      </c>
      <c r="D1187" t="inlineStr"/>
      <c r="E1187" t="inlineStr">
        <is>
          <t>IHS</t>
        </is>
      </c>
      <c r="F1187" t="inlineStr">
        <is>
          <t>Gen Only</t>
        </is>
      </c>
      <c r="G1187" t="inlineStr">
        <is>
          <t>NORD-OUEST</t>
        </is>
      </c>
      <c r="H1187" t="inlineStr">
        <is>
          <t>Mbonso</t>
        </is>
      </c>
      <c r="I1187" t="inlineStr"/>
      <c r="J1187" t="n">
        <v>2.620206686389576</v>
      </c>
      <c r="K1187" t="n">
        <v>11.83970507733475</v>
      </c>
      <c r="L1187" t="n">
        <v>0</v>
      </c>
      <c r="M1187" t="n">
        <v>4.348890826374713</v>
      </c>
      <c r="N1187" t="inlineStr">
        <is>
          <t>Insecurity</t>
        </is>
      </c>
      <c r="O1187" t="inlineStr"/>
      <c r="P1187" t="inlineStr">
        <is>
          <t>BSS</t>
        </is>
      </c>
      <c r="Q1187" t="inlineStr">
        <is>
          <t>RAN ISSUE</t>
        </is>
      </c>
      <c r="R1187" t="inlineStr">
        <is>
          <t>BSS Hardware issue</t>
        </is>
      </c>
      <c r="S1187" t="inlineStr">
        <is>
          <t>ACTIVE</t>
        </is>
      </c>
      <c r="T1187" t="inlineStr">
        <is>
          <t>27/03/2026 : Under PROJECT WORK
23/03/2026 : check FXED and FAN needed..;27/03/2026 : Under PROJECT WORK
23/03/2026 : check FXED and FAN needed..;27/03/2026 : Under PROJECT WORK
23/03/2026 : check FXED and FAN needed..;INC-20260331-00006623...Others Transmission equipement fault</t>
        </is>
      </c>
      <c r="U1187" t="inlineStr">
        <is>
          <t>27/03/2026 : Under PROJECT WORK 23/03/2026 : check FXED and FAN needed.;27/03/2026 : Under PROJECT WORK 23/03/2026 : check FXED and FAN needed.;27/03/2026 : Under PROJECT WORK 23/03/2026 : check FXED and FAN needed.;.</t>
        </is>
      </c>
    </row>
    <row r="1188">
      <c r="A1188" t="inlineStr">
        <is>
          <t>4/31/2026</t>
        </is>
      </c>
      <c r="B1188" t="inlineStr">
        <is>
          <t>Madagascar-Yde-New</t>
        </is>
      </c>
      <c r="C1188" t="inlineStr">
        <is>
          <t>CTR_217</t>
        </is>
      </c>
      <c r="D1188" t="inlineStr"/>
      <c r="E1188" t="inlineStr">
        <is>
          <t>IHS</t>
        </is>
      </c>
      <c r="F1188" t="inlineStr">
        <is>
          <t>Grid-Lithium</t>
        </is>
      </c>
      <c r="G1188" t="inlineStr">
        <is>
          <t>CENTRE</t>
        </is>
      </c>
      <c r="H1188" t="inlineStr">
        <is>
          <t>Yaounde</t>
        </is>
      </c>
      <c r="I1188" t="inlineStr"/>
      <c r="J1188" t="n">
        <v>2.022184453796626</v>
      </c>
      <c r="K1188" t="n">
        <v>1.729576588430898</v>
      </c>
      <c r="L1188" t="n">
        <v>6.463861473908158</v>
      </c>
      <c r="M1188" t="n">
        <v>4.240236364725923</v>
      </c>
      <c r="N1188" t="inlineStr">
        <is>
          <t>Operationnel</t>
        </is>
      </c>
      <c r="O1188" t="inlineStr"/>
      <c r="P1188" t="inlineStr">
        <is>
          <t>IHS</t>
        </is>
      </c>
      <c r="Q1188" t="inlineStr">
        <is>
          <t>POWER ISSUE</t>
        </is>
      </c>
      <c r="R1188" t="inlineStr">
        <is>
          <t>Defaut GE &amp; Power Cabinet</t>
        </is>
      </c>
      <c r="S1188" t="inlineStr">
        <is>
          <t>PASSIVE</t>
        </is>
      </c>
      <c r="T1188" t="inlineStr">
        <is>
          <t>INC-20260331-00015297...2026-03-31 21:53:09...Grid only, No space // Awaiting grid return</t>
        </is>
      </c>
      <c r="U1188" t="inlineStr">
        <is>
          <t>2026-03-31 21 : 53 : 09.Grid only, No space // Awaiting grid return</t>
        </is>
      </c>
    </row>
    <row r="1189">
      <c r="A1189" t="inlineStr">
        <is>
          <t>4/31/2026</t>
        </is>
      </c>
      <c r="B1189" t="inlineStr">
        <is>
          <t>Nkoulou-carriere</t>
        </is>
      </c>
      <c r="C1189" t="inlineStr">
        <is>
          <t>CTR_897</t>
        </is>
      </c>
      <c r="D1189" t="inlineStr"/>
      <c r="E1189" t="inlineStr">
        <is>
          <t>MTN</t>
        </is>
      </c>
      <c r="F1189" t="inlineStr"/>
      <c r="G1189" t="inlineStr">
        <is>
          <t>CENTRE</t>
        </is>
      </c>
      <c r="H1189" t="inlineStr">
        <is>
          <t>Yaounde</t>
        </is>
      </c>
      <c r="I1189" t="inlineStr"/>
      <c r="J1189" t="n">
        <v>3.152614414349604</v>
      </c>
      <c r="K1189" t="n">
        <v>2.833539037982257</v>
      </c>
      <c r="L1189" t="n">
        <v>5.206828519021947</v>
      </c>
      <c r="M1189" t="n">
        <v>4.116746282456275</v>
      </c>
      <c r="N1189" t="inlineStr">
        <is>
          <t>Operationnel</t>
        </is>
      </c>
      <c r="O1189" t="inlineStr"/>
      <c r="P1189" t="inlineStr">
        <is>
          <t>Partners</t>
        </is>
      </c>
      <c r="Q1189" t="inlineStr">
        <is>
          <t>POWER ISSUE</t>
        </is>
      </c>
      <c r="R1189" t="inlineStr">
        <is>
          <t>Sharing</t>
        </is>
      </c>
      <c r="S1189" t="inlineStr">
        <is>
          <t>PASSIVE</t>
        </is>
      </c>
      <c r="T1189" t="inlineStr">
        <is>
          <t xml:space="preserve">Power status check ongoing..;INC-20260331-00012824...2026-03-31 18:47:14...MTN activated for check power status...power.   problème d'autonomie. de batteries sur ce site </t>
        </is>
      </c>
      <c r="U1189" t="inlineStr">
        <is>
          <t>2026-03-31 18 : 47 : 14.MTN activated for check power status.power. problème d'autonomie. de batteries sur ce site</t>
        </is>
      </c>
    </row>
    <row r="1190">
      <c r="A1190" t="inlineStr">
        <is>
          <t>4/31/2026</t>
        </is>
      </c>
      <c r="B1190" t="inlineStr">
        <is>
          <t>H-Astoria</t>
        </is>
      </c>
      <c r="C1190" t="inlineStr">
        <is>
          <t>LIT_244</t>
        </is>
      </c>
      <c r="D1190" t="inlineStr"/>
      <c r="E1190" t="inlineStr">
        <is>
          <t>IHS</t>
        </is>
      </c>
      <c r="F1190" t="inlineStr">
        <is>
          <t>Grid-Gen (LL)</t>
        </is>
      </c>
      <c r="G1190" t="inlineStr">
        <is>
          <t>LITTORAL</t>
        </is>
      </c>
      <c r="H1190" t="inlineStr">
        <is>
          <t>Douala</t>
        </is>
      </c>
      <c r="I1190" t="inlineStr"/>
      <c r="J1190" t="n">
        <v>2.896703355994388</v>
      </c>
      <c r="K1190" t="n">
        <v>2.51053173801728</v>
      </c>
      <c r="L1190" t="n">
        <v>4.6170439099344</v>
      </c>
      <c r="M1190" t="n">
        <v>3.664199005230671</v>
      </c>
      <c r="N1190" t="inlineStr">
        <is>
          <t>Operationnel</t>
        </is>
      </c>
      <c r="O1190" t="inlineStr"/>
      <c r="P1190" t="inlineStr">
        <is>
          <t>IHS</t>
        </is>
      </c>
      <c r="Q1190" t="inlineStr">
        <is>
          <t>POWER ISSUE</t>
        </is>
      </c>
      <c r="R1190" t="inlineStr">
        <is>
          <t>Defaut GE &amp; Power Cabinet</t>
        </is>
      </c>
      <c r="S1190" t="inlineStr">
        <is>
          <t>PASSIVE</t>
        </is>
      </c>
      <c r="T1190" t="inlineStr">
        <is>
          <t>Power status check ongoing..;INC-20260331-00011502...2026-03-31 18:12:50...Grid outage // awaiting grid returned...Others Transmission equipement fault</t>
        </is>
      </c>
      <c r="U1190" t="inlineStr">
        <is>
          <t>2026-03-31 18 : 12 : 50.Grid outage // awaiting grid returned.</t>
        </is>
      </c>
    </row>
    <row r="1191">
      <c r="A1191" t="inlineStr">
        <is>
          <t>4/31/2026</t>
        </is>
      </c>
      <c r="B1191" t="inlineStr">
        <is>
          <t>Mvam-Yetom</t>
        </is>
      </c>
      <c r="C1191" t="inlineStr">
        <is>
          <t>CTR_860</t>
        </is>
      </c>
      <c r="D1191" t="inlineStr"/>
      <c r="E1191" t="inlineStr">
        <is>
          <t>ESCO</t>
        </is>
      </c>
      <c r="F1191" t="inlineStr">
        <is>
          <t>Hybrid Solar - S2</t>
        </is>
      </c>
      <c r="G1191" t="inlineStr">
        <is>
          <t>CTR</t>
        </is>
      </c>
      <c r="H1191" t="inlineStr">
        <is>
          <t>Mvam-Yetom</t>
        </is>
      </c>
      <c r="I1191" t="inlineStr"/>
      <c r="J1191" t="n">
        <v>13.6750640590394</v>
      </c>
      <c r="K1191" t="n">
        <v>0</v>
      </c>
      <c r="L1191" t="n">
        <v>3.261904947167732</v>
      </c>
      <c r="M1191" t="n">
        <v>3.653843991943424</v>
      </c>
      <c r="N1191" t="inlineStr"/>
      <c r="O1191" t="inlineStr"/>
      <c r="P1191" t="inlineStr">
        <is>
          <t>PDH</t>
        </is>
      </c>
      <c r="Q1191" t="inlineStr">
        <is>
          <t>TX ISSUE</t>
        </is>
      </c>
      <c r="R1191" t="inlineStr">
        <is>
          <t>ODU HS</t>
        </is>
      </c>
      <c r="S1191" t="inlineStr">
        <is>
          <t>ACTIVE</t>
        </is>
      </c>
      <c r="T1191" t="inlineStr">
        <is>
          <t>31.03.2026: Possible Plantage de l'ODU A Biba-MTN. Remote actions en cours. Update ASAP</t>
        </is>
      </c>
      <c r="U1191" t="inlineStr">
        <is>
          <t>31.03.2026 : Possible Plantage de l'ODU A Biba-MTN. Remote actions en cours. Update ASAP</t>
        </is>
      </c>
    </row>
    <row r="1192">
      <c r="A1192" t="inlineStr">
        <is>
          <t>4/31/2026</t>
        </is>
      </c>
      <c r="B1192" t="inlineStr">
        <is>
          <t>Sky-Way-Hotel-IHS</t>
        </is>
      </c>
      <c r="C1192" t="inlineStr">
        <is>
          <t>LIT_141</t>
        </is>
      </c>
      <c r="D1192" t="inlineStr"/>
      <c r="E1192" t="inlineStr">
        <is>
          <t>IHS</t>
        </is>
      </c>
      <c r="F1192" t="inlineStr">
        <is>
          <t>Grid-Gen-Lithium</t>
        </is>
      </c>
      <c r="G1192" t="inlineStr">
        <is>
          <t>LITTORAL</t>
        </is>
      </c>
      <c r="H1192" t="inlineStr">
        <is>
          <t>Douala</t>
        </is>
      </c>
      <c r="I1192" t="inlineStr"/>
      <c r="J1192" t="n">
        <v>1.322269582628922</v>
      </c>
      <c r="K1192" t="n">
        <v>1.264403575520807</v>
      </c>
      <c r="L1192" t="n">
        <v>5.678177401738362</v>
      </c>
      <c r="M1192" t="n">
        <v>3.574399385902584</v>
      </c>
      <c r="N1192" t="inlineStr">
        <is>
          <t>Operationnel</t>
        </is>
      </c>
      <c r="O1192" t="inlineStr"/>
      <c r="P1192" t="inlineStr">
        <is>
          <t>IHS</t>
        </is>
      </c>
      <c r="Q1192" t="inlineStr">
        <is>
          <t>POWER ISSUE</t>
        </is>
      </c>
      <c r="R1192" t="inlineStr">
        <is>
          <t>Defaut GE &amp; Power Cabinet</t>
        </is>
      </c>
      <c r="S1192" t="inlineStr">
        <is>
          <t>PASSIVE</t>
        </is>
      </c>
      <c r="T1192" t="inlineStr">
        <is>
          <t>INC-20260331-00000316...GE Fault</t>
        </is>
      </c>
      <c r="U1192" t="inlineStr">
        <is>
          <t>GE Fault</t>
        </is>
      </c>
    </row>
    <row r="1193">
      <c r="A1193" t="inlineStr">
        <is>
          <t>4/31/2026</t>
        </is>
      </c>
      <c r="B1193" t="inlineStr">
        <is>
          <t>Balikumbat-Ville</t>
        </is>
      </c>
      <c r="C1193" t="inlineStr">
        <is>
          <t>NRO_033</t>
        </is>
      </c>
      <c r="D1193" t="inlineStr"/>
      <c r="E1193" t="inlineStr">
        <is>
          <t>IHS</t>
        </is>
      </c>
      <c r="F1193" t="inlineStr">
        <is>
          <t>Grid-Gen</t>
        </is>
      </c>
      <c r="G1193" t="inlineStr">
        <is>
          <t>NORD-OUEST</t>
        </is>
      </c>
      <c r="H1193" t="inlineStr">
        <is>
          <t>Balikumbat</t>
        </is>
      </c>
      <c r="I1193" t="inlineStr"/>
      <c r="J1193" t="n">
        <v>0.08487317522673263</v>
      </c>
      <c r="K1193" t="n">
        <v>10.55405102155309</v>
      </c>
      <c r="L1193" t="n">
        <v>0</v>
      </c>
      <c r="M1193" t="n">
        <v>3.555236540109125</v>
      </c>
      <c r="N1193" t="inlineStr">
        <is>
          <t>Insecurity</t>
        </is>
      </c>
      <c r="O1193" t="inlineStr"/>
      <c r="P1193" t="inlineStr">
        <is>
          <t>ACCESS-ISSUE</t>
        </is>
      </c>
      <c r="Q1193" t="inlineStr">
        <is>
          <t>ACCESS-ISSUE</t>
        </is>
      </c>
      <c r="R1193" t="inlineStr">
        <is>
          <t>ACCESS-ISSUE</t>
        </is>
      </c>
      <c r="S1193" t="inlineStr">
        <is>
          <t>ACCESS-ISSUE</t>
        </is>
      </c>
      <c r="T1193" t="inlineStr">
        <is>
          <t>30/03/2026 :Ghost town
27/03/2026 :probleme d'access
26/03/2026 : check ABIA needed..;30/03/2026 :Ghost town
27/03/2026 :probleme d'access
26/03/2026 : check ABIA needed..;30/03/2026 :Ghost town
27/03/2026 :probleme d'access
26/03/2026 : check ABIA needed..;30/03/2026 :Ghost town
27/03/2026 :probleme d'access
26/03/2026 : check ABIA needed..;INC-20260331-00011839...GE Fault</t>
        </is>
      </c>
      <c r="U1193" t="inlineStr">
        <is>
          <t>30/03/2026 : Ghost town 27/03/2026 : probleme d'access 26/03/2026 : check ABIA needed.;30/03/2026 : Ghost town 27/03/2026 : probleme d'access 26/03/2026 : check ABIA needed.;30/03/2026 : Ghost town 27/03/2026 : probleme d'access 26/03/2026 : check ABIA needed.;30/03/2026 : Ghost town 27/03/2026 : probleme d'access 26/03/2026 : check ABIA needed.;.GE Fault</t>
        </is>
      </c>
    </row>
    <row r="1194">
      <c r="A1194" t="inlineStr">
        <is>
          <t>4/31/2026</t>
        </is>
      </c>
      <c r="B1194" t="inlineStr">
        <is>
          <t>Yassa-Pesage-IHS</t>
        </is>
      </c>
      <c r="C1194" t="inlineStr">
        <is>
          <t>LIT_563</t>
        </is>
      </c>
      <c r="D1194" t="inlineStr"/>
      <c r="E1194" t="inlineStr">
        <is>
          <t>IHS</t>
        </is>
      </c>
      <c r="F1194" t="inlineStr">
        <is>
          <t>Grid-Gen</t>
        </is>
      </c>
      <c r="G1194" t="inlineStr">
        <is>
          <t>LITTORAL</t>
        </is>
      </c>
      <c r="H1194" t="inlineStr">
        <is>
          <t>Douala</t>
        </is>
      </c>
      <c r="I1194" t="inlineStr"/>
      <c r="J1194" t="n">
        <v>1.623892425931921</v>
      </c>
      <c r="K1194" t="n">
        <v>1.376074849291595</v>
      </c>
      <c r="L1194" t="n">
        <v>5.384225606139204</v>
      </c>
      <c r="M1194" t="n">
        <v>3.501667936524243</v>
      </c>
      <c r="N1194" t="inlineStr">
        <is>
          <t>Operationnel</t>
        </is>
      </c>
      <c r="O1194" t="inlineStr"/>
      <c r="P1194" t="inlineStr">
        <is>
          <t>IHS</t>
        </is>
      </c>
      <c r="Q1194" t="inlineStr">
        <is>
          <t>POWER ISSUE</t>
        </is>
      </c>
      <c r="R1194" t="inlineStr">
        <is>
          <t>Defaut GE &amp; Power Cabinet</t>
        </is>
      </c>
      <c r="S1194" t="inlineStr">
        <is>
          <t>PASSIVE</t>
        </is>
      </c>
      <c r="T1194" t="inlineStr">
        <is>
          <t>INC-20260331-00013143...Power issue already fixed ...Others Transmission equipement fault</t>
        </is>
      </c>
      <c r="U1194" t="inlineStr">
        <is>
          <t>Power issue already fixed .</t>
        </is>
      </c>
    </row>
    <row r="1195">
      <c r="A1195" t="inlineStr">
        <is>
          <t>4/31/2026</t>
        </is>
      </c>
      <c r="B1195" t="inlineStr">
        <is>
          <t>Nkolfoulou-II-IHS</t>
        </is>
      </c>
      <c r="C1195" t="inlineStr">
        <is>
          <t>CTR_621</t>
        </is>
      </c>
      <c r="D1195" t="inlineStr"/>
      <c r="E1195" t="inlineStr">
        <is>
          <t>IHS</t>
        </is>
      </c>
      <c r="F1195" t="inlineStr">
        <is>
          <t>Grid-Gen</t>
        </is>
      </c>
      <c r="G1195" t="inlineStr">
        <is>
          <t>CENTRE</t>
        </is>
      </c>
      <c r="H1195" t="inlineStr">
        <is>
          <t>Yaounde</t>
        </is>
      </c>
      <c r="I1195" t="inlineStr"/>
      <c r="J1195" t="n">
        <v>1.785382420296632</v>
      </c>
      <c r="K1195" t="n">
        <v>1.514734232993667</v>
      </c>
      <c r="L1195" t="n">
        <v>5.228306323284458</v>
      </c>
      <c r="M1195" t="n">
        <v>3.489968125148032</v>
      </c>
      <c r="N1195" t="inlineStr">
        <is>
          <t>Operationnel</t>
        </is>
      </c>
      <c r="O1195" t="inlineStr"/>
      <c r="P1195" t="inlineStr">
        <is>
          <t>IHS</t>
        </is>
      </c>
      <c r="Q1195" t="inlineStr">
        <is>
          <t>POWER ISSUE</t>
        </is>
      </c>
      <c r="R1195" t="inlineStr">
        <is>
          <t>Defaut GE &amp; Power Cabinet</t>
        </is>
      </c>
      <c r="S1195" t="inlineStr">
        <is>
          <t>PASSIVE</t>
        </is>
      </c>
      <c r="T1195" t="inlineStr">
        <is>
          <t>INC-20260331-00015131...2026-03-31 21:56:56...Transmission issue U=53.,1V Load=100,3A evidences...Circuit breaker fallen in IHS DC box (need to be replace by team powerco)...GE Fault</t>
        </is>
      </c>
      <c r="U1195" t="inlineStr">
        <is>
          <t>2026-03-31 21 : 56 : 56.Transmission issue U=53.,1V Load=100,3A evidences.Circuit breaker fallen in IHS DC box (need to be replace by team powerco).GE Fault</t>
        </is>
      </c>
    </row>
    <row r="1196">
      <c r="A1196" t="inlineStr">
        <is>
          <t>4/31/2026</t>
        </is>
      </c>
      <c r="B1196" t="inlineStr">
        <is>
          <t>Bertoua-Force-Tyre</t>
        </is>
      </c>
      <c r="C1196" t="inlineStr">
        <is>
          <t>EST_120</t>
        </is>
      </c>
      <c r="D1196" t="inlineStr"/>
      <c r="E1196" t="inlineStr">
        <is>
          <t>CAMUSAT</t>
        </is>
      </c>
      <c r="F1196" t="inlineStr">
        <is>
          <t>Medium Grid + GE</t>
        </is>
      </c>
      <c r="G1196" t="inlineStr">
        <is>
          <t>EST</t>
        </is>
      </c>
      <c r="H1196" t="inlineStr">
        <is>
          <t>Bertoua</t>
        </is>
      </c>
      <c r="I1196" t="inlineStr"/>
      <c r="J1196" t="n">
        <v>2.976136949510209</v>
      </c>
      <c r="K1196" t="n">
        <v>1.312801544314901</v>
      </c>
      <c r="L1196" t="n">
        <v>4.977275935885061</v>
      </c>
      <c r="M1196" t="n">
        <v>3.461307154291975</v>
      </c>
      <c r="N1196" t="inlineStr">
        <is>
          <t>Operationnel</t>
        </is>
      </c>
      <c r="O1196" t="inlineStr"/>
      <c r="P1196" t="inlineStr">
        <is>
          <t>AKTIVCO</t>
        </is>
      </c>
      <c r="Q1196" t="inlineStr">
        <is>
          <t>POWER ISSUE</t>
        </is>
      </c>
      <c r="R1196" t="inlineStr">
        <is>
          <t>AKTIVCO Defaut GE &amp; Power Cabinet</t>
        </is>
      </c>
      <c r="S1196" t="inlineStr">
        <is>
          <t>PASSIVE</t>
        </is>
      </c>
      <c r="T1196" t="inlineStr">
        <is>
          <t>site down..;INC-20260331-00003953...GE Fault</t>
        </is>
      </c>
      <c r="U1196" t="inlineStr">
        <is>
          <t>site down.;.GE Fault</t>
        </is>
      </c>
    </row>
    <row r="1197">
      <c r="A1197" t="inlineStr">
        <is>
          <t>4/31/2026</t>
        </is>
      </c>
      <c r="B1197" t="inlineStr">
        <is>
          <t>Malende-IHS</t>
        </is>
      </c>
      <c r="C1197" t="inlineStr">
        <is>
          <t>LIT_462</t>
        </is>
      </c>
      <c r="D1197" t="inlineStr"/>
      <c r="E1197" t="inlineStr">
        <is>
          <t>IHS</t>
        </is>
      </c>
      <c r="F1197" t="inlineStr">
        <is>
          <t>Grid -Gen</t>
        </is>
      </c>
      <c r="G1197" t="inlineStr">
        <is>
          <t>LITTORAL</t>
        </is>
      </c>
      <c r="H1197" t="inlineStr">
        <is>
          <t>Malende</t>
        </is>
      </c>
      <c r="I1197" t="inlineStr"/>
      <c r="J1197" t="n">
        <v>9.104289934849735</v>
      </c>
      <c r="K1197" t="n">
        <v>6.37142524421052</v>
      </c>
      <c r="L1197" t="n">
        <v>0</v>
      </c>
      <c r="M1197" t="n">
        <v>3.43905270354608</v>
      </c>
      <c r="N1197" t="inlineStr">
        <is>
          <t>Operationnel</t>
        </is>
      </c>
      <c r="O1197" t="inlineStr"/>
      <c r="P1197" t="inlineStr">
        <is>
          <t>IHS</t>
        </is>
      </c>
      <c r="Q1197" t="inlineStr">
        <is>
          <t>POWER ISSUE</t>
        </is>
      </c>
      <c r="R1197" t="inlineStr">
        <is>
          <t>Defaut GE &amp; Power Cabinet</t>
        </is>
      </c>
      <c r="S1197" t="inlineStr">
        <is>
          <t>PASSIVE</t>
        </is>
      </c>
      <c r="T1197" t="inlineStr">
        <is>
          <t>Power status check ongoing..;Power status check ongoing..;INC-20260331-00014503...GE Fault</t>
        </is>
      </c>
      <c r="U1197" t="inlineStr">
        <is>
          <t>Power status check ongoing.;.GE Fault</t>
        </is>
      </c>
    </row>
    <row r="1198">
      <c r="A1198" t="inlineStr">
        <is>
          <t>4/31/2026</t>
        </is>
      </c>
      <c r="B1198" t="inlineStr">
        <is>
          <t>Buea-Low-Boduma-MTN</t>
        </is>
      </c>
      <c r="C1198" t="inlineStr">
        <is>
          <t>SUO_170</t>
        </is>
      </c>
      <c r="D1198" t="inlineStr"/>
      <c r="E1198" t="inlineStr">
        <is>
          <t>MTN sharing</t>
        </is>
      </c>
      <c r="F1198" t="inlineStr"/>
      <c r="G1198" t="inlineStr">
        <is>
          <t>SUD-OUEST</t>
        </is>
      </c>
      <c r="H1198" t="inlineStr">
        <is>
          <t>Buea</t>
        </is>
      </c>
      <c r="I1198" t="inlineStr"/>
      <c r="J1198" t="n">
        <v>4.618014340011751</v>
      </c>
      <c r="K1198" t="n">
        <v>7.854177504411601</v>
      </c>
      <c r="L1198" t="n">
        <v>0.06771664401237122</v>
      </c>
      <c r="M1198" t="n">
        <v>3.331503454297969</v>
      </c>
      <c r="N1198" t="inlineStr">
        <is>
          <t>Operationnel</t>
        </is>
      </c>
      <c r="O1198" t="inlineStr"/>
      <c r="P1198" t="inlineStr">
        <is>
          <t>Partners</t>
        </is>
      </c>
      <c r="Q1198" t="inlineStr">
        <is>
          <t>POWER ISSUE</t>
        </is>
      </c>
      <c r="R1198" t="inlineStr">
        <is>
          <t>Sharing</t>
        </is>
      </c>
      <c r="S1198" t="inlineStr">
        <is>
          <t>PASSIVE</t>
        </is>
      </c>
      <c r="T1198" t="inlineStr">
        <is>
          <t>INC-20260331-00000769...Power issue onsite already fixed by IHS.</t>
        </is>
      </c>
      <c r="U1198" t="inlineStr">
        <is>
          <t>Power issue onsite already fixed by IHS.</t>
        </is>
      </c>
    </row>
    <row r="1199">
      <c r="A1199" t="inlineStr">
        <is>
          <t>4/31/2026</t>
        </is>
      </c>
      <c r="B1199" t="inlineStr">
        <is>
          <t>Messondo</t>
        </is>
      </c>
      <c r="C1199" t="inlineStr">
        <is>
          <t>LIT_134</t>
        </is>
      </c>
      <c r="D1199" t="inlineStr"/>
      <c r="E1199" t="inlineStr">
        <is>
          <t>CAMUSAT</t>
        </is>
      </c>
      <c r="F1199" t="inlineStr">
        <is>
          <t>HGB</t>
        </is>
      </c>
      <c r="G1199" t="inlineStr">
        <is>
          <t>LITTORAL</t>
        </is>
      </c>
      <c r="H1199" t="inlineStr">
        <is>
          <t>Messondo</t>
        </is>
      </c>
      <c r="I1199" t="inlineStr"/>
      <c r="J1199" t="n">
        <v>10.90986569830415</v>
      </c>
      <c r="K1199" t="n">
        <v>4.590103736344441</v>
      </c>
      <c r="L1199" t="n">
        <v>0</v>
      </c>
      <c r="M1199" t="n">
        <v>3.098878579646885</v>
      </c>
      <c r="N1199" t="inlineStr">
        <is>
          <t>Operationnel</t>
        </is>
      </c>
      <c r="O1199" t="inlineStr"/>
      <c r="P1199" t="inlineStr">
        <is>
          <t>ACCESS-ISSUE</t>
        </is>
      </c>
      <c r="Q1199" t="inlineStr">
        <is>
          <t>ACCESS-ISSUE</t>
        </is>
      </c>
      <c r="R1199" t="inlineStr">
        <is>
          <t>ACCESS-ISSUE</t>
        </is>
      </c>
      <c r="S1199" t="inlineStr">
        <is>
          <t>ACCESS-ISSUE</t>
        </is>
      </c>
      <c r="T1199" t="inlineStr">
        <is>
          <t>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t>
        </is>
      </c>
      <c r="U1199" t="inlineStr">
        <is>
          <t>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6.;16/03/2026 : Acces bloque cote Camrail 16/03/2026 : Mail envoye a Camrail pour la demande de work permit 14/03/2026 : nee d BO RAN analysis || check and clean jumper on FXDB , FRGU antenna port 3 and 6</t>
        </is>
      </c>
    </row>
    <row r="1200">
      <c r="A1200" t="inlineStr">
        <is>
          <t>4/31/2026</t>
        </is>
      </c>
      <c r="B1200" t="inlineStr">
        <is>
          <t>Port_Autonome_Kribi</t>
        </is>
      </c>
      <c r="C1200" t="inlineStr">
        <is>
          <t>SUD_092</t>
        </is>
      </c>
      <c r="D1200" t="inlineStr"/>
      <c r="E1200" t="inlineStr">
        <is>
          <t>CAMUSAT</t>
        </is>
      </c>
      <c r="F1200" t="inlineStr">
        <is>
          <t>Good Grid no GE - 8h</t>
        </is>
      </c>
      <c r="G1200" t="inlineStr">
        <is>
          <t>SUD</t>
        </is>
      </c>
      <c r="H1200" t="inlineStr">
        <is>
          <t>Kribi</t>
        </is>
      </c>
      <c r="I1200" t="inlineStr"/>
      <c r="J1200" t="n">
        <v>0</v>
      </c>
      <c r="K1200" t="n">
        <v>9.180207472688883</v>
      </c>
      <c r="L1200" t="n">
        <v>0</v>
      </c>
      <c r="M1200" t="n">
        <v>3.081901533246013</v>
      </c>
      <c r="N1200" t="inlineStr">
        <is>
          <t>Operationnel</t>
        </is>
      </c>
      <c r="O1200" t="inlineStr"/>
      <c r="P1200" t="inlineStr">
        <is>
          <t>ACCESS-ISSUE</t>
        </is>
      </c>
      <c r="Q1200" t="inlineStr">
        <is>
          <t>ACCESS-ISSUE</t>
        </is>
      </c>
      <c r="R1200" t="inlineStr">
        <is>
          <t>ACCESS-ISSUE</t>
        </is>
      </c>
      <c r="S1200" t="inlineStr">
        <is>
          <t>ACCESS-ISSUE</t>
        </is>
      </c>
      <c r="T1200" t="inlineStr">
        <is>
          <t>31/03/2026  Demande d'accès en cours au port  Le minisite est alimenté par le biais d'une prise murale du port de kribi ESCALADE L4 CAMUSAT 
30/03/2026 Demande d'accès en cours au port ETA=40 MIN escalade L3 CAMUSAT 
29.03.2026: Le minisite est alimenté par le biais d'une prise murale du port de kribi/ Intervention possible uniquement lundi car le port n'est pas en service en week-end selon le fme escalade L2 camusat..;31/03/2026  Demande d'accès en cours au port  Le minisite est alimenté par le biais d'une prise murale du port de kribi ESCALADE L4 CAMUSAT 
30/03/2026 Demande d'accès en cours au port ETA=40 MIN escalade L3 CAMUSAT 
29.03.2026: Le minisite est alimenté par le biais d'une prise murale du port de kribi/ Intervention possible uniquement lundi car le port n'est pas en service en week-end selon le fme escalade L2 camusat..;31/03/2026 Le minisite est alimenté par le biais d'une prise murale du port de kribi ESCALADE L4 CAMUSAT 
30/03/2026 Demande d'accès en cours au port ETA=40 MIN escalade L3 CAMUSAT 
29.03.2026: Le minisite est alimenté par le biais d'une prise murale du port de kribi/ Intervention possible uniquement lundi car le port n'est pas en service en week-end selon le fme escalade L2 camusat</t>
        </is>
      </c>
      <c r="U1200" t="inlineStr">
        <is>
          <t>31/03/2026 Demande d'accès en cours au port Le minisite est alimenté par le biais d'une prise murale du port de kribi ESCALADE L4 CAMUSAT 30/03/2026 Demande d'accès en cours au port ETA=40 MIN escalade L3 CAMUSAT 29.03.2026 : Le minisite est alimenté par le biais d'une prise murale du port de kribi/ Intervention possible uniquement lundi car le port n'est pas en service en week-end selon le fme escalade L2 camusat.;31/03/2026 Demande d'accès en cours au port Le minisite est alimenté par le biais d'une prise murale du port de kribi ESCALADE L4 CAMUSAT 30/03/2026 Demande d'accès en cours au port ETA=40 MIN escalade L3 CAMUSAT 29.03.2026 : Le minisite est alimenté par le biais d'une prise murale du port de kribi/ Intervention possible uniquement lundi car le port n'est pas en service en week-end selon le fme escalade L2 camusat.;31/03/2026 Le minisite est alimenté par le biais d'une prise murale du port de kribi ESCALADE L4 CAMUSAT 30/03/2026 Demande d'accès en cours au port ETA=40 MIN escalade L3 CAMUSAT 29.03.2026 : Le minisite est alimenté par le biais d'une prise murale du port de kribi/ Intervention possible uniquement lundi car le port n'est pas en service en week-end selon le fme escalade L2 camusat</t>
        </is>
      </c>
    </row>
    <row r="1201">
      <c r="A1201" t="inlineStr">
        <is>
          <t>4/31/2026</t>
        </is>
      </c>
      <c r="B1201" t="inlineStr">
        <is>
          <t>Bertoua-Mokolo</t>
        </is>
      </c>
      <c r="C1201" t="inlineStr">
        <is>
          <t>EST_060</t>
        </is>
      </c>
      <c r="D1201" t="inlineStr"/>
      <c r="E1201" t="inlineStr">
        <is>
          <t>IHS</t>
        </is>
      </c>
      <c r="F1201" t="inlineStr">
        <is>
          <t>Grid-Gen</t>
        </is>
      </c>
      <c r="G1201" t="inlineStr">
        <is>
          <t>EST</t>
        </is>
      </c>
      <c r="H1201" t="inlineStr">
        <is>
          <t>Bertoua</t>
        </is>
      </c>
      <c r="I1201" t="inlineStr"/>
      <c r="J1201" t="n">
        <v>1.630262100883661</v>
      </c>
      <c r="K1201" t="n">
        <v>3.142680399577032</v>
      </c>
      <c r="L1201" t="n">
        <v>3.417193898880857</v>
      </c>
      <c r="M1201" t="n">
        <v>3.069862855381771</v>
      </c>
      <c r="N1201" t="inlineStr">
        <is>
          <t>Operationnel</t>
        </is>
      </c>
      <c r="O1201" t="inlineStr"/>
      <c r="P1201" t="inlineStr">
        <is>
          <t>IHS</t>
        </is>
      </c>
      <c r="Q1201" t="inlineStr">
        <is>
          <t>POWER ISSUE</t>
        </is>
      </c>
      <c r="R1201" t="inlineStr">
        <is>
          <t>Defaut GE &amp; Power Cabinet</t>
        </is>
      </c>
      <c r="S1201" t="inlineStr">
        <is>
          <t>PASSIVE</t>
        </is>
      </c>
      <c r="T1201" t="inlineStr">
        <is>
          <t>INC-20260331-00000788...2026-03-31 01:50:05... FME is on the way to the site, eta : 02:55 am...GE Fault</t>
        </is>
      </c>
      <c r="U1201" t="inlineStr">
        <is>
          <t>2026-03-31 01 : 50 : 05. FME is on the way to the site, eta : 02 : 55 am.GE Fault</t>
        </is>
      </c>
    </row>
    <row r="1202">
      <c r="A1202" t="inlineStr">
        <is>
          <t>4/31/2026</t>
        </is>
      </c>
      <c r="B1202" t="inlineStr">
        <is>
          <t>BTS-Mobile-Marche-Central</t>
        </is>
      </c>
      <c r="C1202" t="inlineStr">
        <is>
          <t>LIT_763</t>
        </is>
      </c>
      <c r="D1202" t="inlineStr"/>
      <c r="E1202" t="inlineStr">
        <is>
          <t>CAMUSAT</t>
        </is>
      </c>
      <c r="F1202" t="inlineStr">
        <is>
          <t>Good Grid + GE</t>
        </is>
      </c>
      <c r="G1202" t="inlineStr">
        <is>
          <t>LITTORAL</t>
        </is>
      </c>
      <c r="H1202" t="inlineStr">
        <is>
          <t>Douala</t>
        </is>
      </c>
      <c r="I1202" t="inlineStr"/>
      <c r="J1202" t="n">
        <v>3.335086867378871</v>
      </c>
      <c r="K1202" t="n">
        <v>2.910890786131767</v>
      </c>
      <c r="L1202" t="n">
        <v>3.012672451720085</v>
      </c>
      <c r="M1202" t="n">
        <v>3.024543921377268</v>
      </c>
      <c r="N1202" t="inlineStr">
        <is>
          <t>Operationnel</t>
        </is>
      </c>
      <c r="O1202" t="inlineStr"/>
      <c r="P1202" t="inlineStr">
        <is>
          <t>AKTIVCO</t>
        </is>
      </c>
      <c r="Q1202" t="inlineStr">
        <is>
          <t>POWER ISSUE</t>
        </is>
      </c>
      <c r="R1202" t="inlineStr">
        <is>
          <t>AKTIVCO Defaut GE &amp; Power Cabinet</t>
        </is>
      </c>
      <c r="S1202" t="inlineStr">
        <is>
          <t>PASSIVE</t>
        </is>
      </c>
      <c r="T1202" t="inlineStr">
        <is>
          <t>INC-20260331-00010291...2026-03-31 17:48:57...No power issue on site T50v,load 28 A...GE Fault</t>
        </is>
      </c>
      <c r="U1202" t="inlineStr">
        <is>
          <t>2026-03-31 17 : 48 : 57.No power issue on site T50v,load 28 A.GE Fault</t>
        </is>
      </c>
    </row>
    <row r="1203">
      <c r="A1203" t="inlineStr">
        <is>
          <t>4/31/2026</t>
        </is>
      </c>
      <c r="B1203" t="inlineStr">
        <is>
          <t>Batoua-Godole-IHS</t>
        </is>
      </c>
      <c r="C1203" t="inlineStr">
        <is>
          <t>ADM_141</t>
        </is>
      </c>
      <c r="D1203" t="inlineStr"/>
      <c r="E1203" t="inlineStr">
        <is>
          <t>IHS</t>
        </is>
      </c>
      <c r="F1203" t="inlineStr">
        <is>
          <t>Solar-Gen</t>
        </is>
      </c>
      <c r="G1203" t="inlineStr">
        <is>
          <t>ADAMAOUA</t>
        </is>
      </c>
      <c r="H1203" t="inlineStr">
        <is>
          <t>Batoua-Godole</t>
        </is>
      </c>
      <c r="I1203" t="inlineStr"/>
      <c r="J1203" t="n">
        <v>0</v>
      </c>
      <c r="K1203" t="n">
        <v>8.931016750111555</v>
      </c>
      <c r="L1203" t="n">
        <v>0</v>
      </c>
      <c r="M1203" t="n">
        <v>2.998245333506901</v>
      </c>
      <c r="N1203" t="inlineStr">
        <is>
          <t>EXCLU</t>
        </is>
      </c>
      <c r="O1203" t="inlineStr">
        <is>
          <t>UE Relay</t>
        </is>
      </c>
      <c r="P1203" t="inlineStr">
        <is>
          <t>BSS</t>
        </is>
      </c>
      <c r="Q1203" t="inlineStr">
        <is>
          <t>RAN ISSUE</t>
        </is>
      </c>
      <c r="R1203" t="inlineStr">
        <is>
          <t>BSS Hardware issue</t>
        </is>
      </c>
      <c r="S1203" t="inlineStr">
        <is>
          <t>ACTIVE</t>
        </is>
      </c>
      <c r="T1203" t="inlineStr">
        <is>
          <t>29/03/2026 : FME active 
28/03/2026 : Check and clean jumper  on  FXDB antenna port 4, 5  and FRGU antenna port 2 || FME active..;29/03/2026 : FME active 
28/03/2026 : Check and clean jumper  on  FXDB antenna port 4, 5  and FRGU antenna port 2 || FME active || Feedback du P.M : need RF jumper and FXDB, commande passée ETA to reach the site 02/04/2026..;29/03/2026 : FME active 
28/03/2026 : Check and clean jumper  on  FXDB antenna port 4, 5  and FRGU antenna port 2 || FME active || Feedback du P.M : need RF jumper and FXDB, commande passée ETA to reach the site 02/04/2026..;29/03/2026 : FME active 
28/03/2026 : Check and clean jumper  on  FXDB antenna port 4, 5  and FRGU antenna port 2 || FME active || Feedback du P.M : need RF jumper and FXDB, commande passée ETA to reach the site 02/04/2026</t>
        </is>
      </c>
      <c r="U1203" t="inlineStr">
        <is>
          <t>29/03/2026 : FME active 28/03/2026 : Check and clean jumper on FXDB antenna port 4, 5 and FRGU antenna port 2 || FME active.;29/03/2026 : FME active 28/03/2026 : Check and clean jumper on FXDB antenna port 4, 5 and FRGU antenna port 2 || FME active || Feedback du P.M : need RF jumper and FXDB, commande passée ETA to reach the site 02/04/2026.;29/03/2026 : FME active 28/03/2026 : Check and clean jumper on FXDB antenna port 4, 5 and FRGU antenna port 2 || FME active || Feedback du P.M : need RF jumper and FXDB, commande passée ETA to reach the site 02/04/2026.;29/03/2026 : FME active 28/03/2026 : Check and clean jumper on FXDB antenna port 4, 5 and FRGU antenna port 2 || FME active || Feedback du P.M : need RF jumper and FXDB, commande passée ETA to reach the site 02/04/2026</t>
        </is>
      </c>
    </row>
    <row r="1204">
      <c r="A1204" t="inlineStr">
        <is>
          <t>4/31/2026</t>
        </is>
      </c>
      <c r="B1204" t="inlineStr">
        <is>
          <t>Bascheo-IHS</t>
        </is>
      </c>
      <c r="C1204" t="inlineStr">
        <is>
          <t>NRD_015</t>
        </is>
      </c>
      <c r="D1204" t="inlineStr"/>
      <c r="E1204" t="inlineStr">
        <is>
          <t>IHS</t>
        </is>
      </c>
      <c r="F1204" t="inlineStr">
        <is>
          <t>Hybrid-Gen</t>
        </is>
      </c>
      <c r="G1204" t="inlineStr">
        <is>
          <t>NORD</t>
        </is>
      </c>
      <c r="H1204" t="inlineStr">
        <is>
          <t>Bascheo</t>
        </is>
      </c>
      <c r="I1204" t="inlineStr"/>
      <c r="J1204" t="n">
        <v>19.38566858106623</v>
      </c>
      <c r="K1204" t="n">
        <v>0</v>
      </c>
      <c r="L1204" t="n">
        <v>0</v>
      </c>
      <c r="M1204" t="n">
        <v>2.768271681034606</v>
      </c>
      <c r="N1204" t="inlineStr">
        <is>
          <t>Operationnel</t>
        </is>
      </c>
      <c r="O1204" t="inlineStr"/>
      <c r="P1204" t="inlineStr">
        <is>
          <t>PDH</t>
        </is>
      </c>
      <c r="Q1204" t="inlineStr">
        <is>
          <t>TX ISSUE</t>
        </is>
      </c>
      <c r="R1204" t="inlineStr">
        <is>
          <t>MPR ISSUE</t>
        </is>
      </c>
      <c r="S1204" t="inlineStr">
        <is>
          <t>ACTIVE</t>
        </is>
      </c>
      <c r="T1204" t="inlineStr">
        <is>
          <t>31/03/2026 : Check breaker and  interconnection(sfp, optical fiber) between system and radio module, swap its if needed || FME active || FME ne peut pas intervenir access bloque par IHS ..;31/03/2026 : Check breaker and  interconnection(sfp, optical fiber) between system and radio module, swap its if needed || FME active || FME ne peut pas intervenir access bloque par IHS ..;31/03/2026 : Check breaker and  interconnection(sfp, optical fiber) between system and radio module, swap its if needed || FME active || FME ne peut pas intervenir access bloque par IHS ..;INC-20260331-00013127...GE Fault</t>
        </is>
      </c>
      <c r="U1204" t="inlineStr">
        <is>
          <t>31/03/2026 : Check breaker and interconnection(sfp, optical fiber) between system and radio module, swap its if needed || FME active || FME ne peut pas intervenir access bloque par IHS .;31/03/2026 : Check breaker and interconnection(sfp, optical fiber) between system and radio module, swap its if needed || FME active || FME ne peut pas intervenir access bloque par IHS .;31/03/2026 : Check breaker and interconnection(sfp, optical fiber) between system and radio module, swap its if needed || FME active || FME ne peut pas intervenir access bloque par IHS .;.GE Fault</t>
        </is>
      </c>
    </row>
    <row r="1205">
      <c r="A1205" t="inlineStr">
        <is>
          <t>4/31/2026</t>
        </is>
      </c>
      <c r="B1205" t="inlineStr">
        <is>
          <t>Letta-MTN</t>
        </is>
      </c>
      <c r="C1205" t="inlineStr">
        <is>
          <t>EST_063</t>
        </is>
      </c>
      <c r="D1205" t="inlineStr"/>
      <c r="E1205" t="inlineStr">
        <is>
          <t>IHS</t>
        </is>
      </c>
      <c r="F1205" t="inlineStr">
        <is>
          <t>solar + Gen</t>
        </is>
      </c>
      <c r="G1205" t="inlineStr">
        <is>
          <t>EST</t>
        </is>
      </c>
      <c r="H1205" t="inlineStr">
        <is>
          <t>Letta</t>
        </is>
      </c>
      <c r="I1205" t="inlineStr"/>
      <c r="J1205" t="n">
        <v>4.447157176600362</v>
      </c>
      <c r="K1205" t="n">
        <v>2.036858533002846</v>
      </c>
      <c r="L1205" t="n">
        <v>2.656647065776254</v>
      </c>
      <c r="M1205" t="n">
        <v>2.704261584953472</v>
      </c>
      <c r="N1205" t="inlineStr">
        <is>
          <t>Operationnel</t>
        </is>
      </c>
      <c r="O1205" t="inlineStr"/>
      <c r="P1205" t="inlineStr">
        <is>
          <t>PDH</t>
        </is>
      </c>
      <c r="Q1205" t="inlineStr">
        <is>
          <t>TX ISSUE</t>
        </is>
      </c>
      <c r="R1205" t="inlineStr">
        <is>
          <t>MPR ISSUE</t>
        </is>
      </c>
      <c r="S1205" t="inlineStr">
        <is>
          <t>ACTIVE</t>
        </is>
      </c>
      <c r="T1205" t="inlineStr">
        <is>
          <t>Power status check ongoing..;INC-20260331-00012827...2026-03-31 20:42:40...Besoin d'un FME sur site pour vérifier le statut du MPR et la chaine antennaire de l'ODU 3.1; CM-20260331-00005407; FME Franck Mezazem activé pour investigations, update ASAP...Others</t>
        </is>
      </c>
      <c r="U1205" t="inlineStr">
        <is>
          <t>2026-03-31 20 : 42 : 40.Besoin d'un FME sur site pour vérifier le statut du MPR et la chaine antennaire de l'ODU 3.1; ; FME Franck Mezazem activé pour investigations, update ASAP.Others</t>
        </is>
      </c>
    </row>
    <row r="1206">
      <c r="A1206" t="inlineStr">
        <is>
          <t>4/31/2026</t>
        </is>
      </c>
      <c r="B1206" t="inlineStr">
        <is>
          <t>Nkolfoulou</t>
        </is>
      </c>
      <c r="C1206" t="inlineStr">
        <is>
          <t>CTR_214</t>
        </is>
      </c>
      <c r="D1206" t="inlineStr"/>
      <c r="E1206" t="inlineStr">
        <is>
          <t>IHS</t>
        </is>
      </c>
      <c r="F1206" t="inlineStr">
        <is>
          <t>Grid-Gen</t>
        </is>
      </c>
      <c r="G1206" t="inlineStr">
        <is>
          <t>CENTRE</t>
        </is>
      </c>
      <c r="H1206" t="inlineStr">
        <is>
          <t>Yaounde</t>
        </is>
      </c>
      <c r="I1206" t="inlineStr"/>
      <c r="J1206" t="n">
        <v>1.871435479938771</v>
      </c>
      <c r="K1206" t="n">
        <v>1.686863123106583</v>
      </c>
      <c r="L1206" t="n">
        <v>3.508953371550144</v>
      </c>
      <c r="M1206" t="n">
        <v>2.663419255606635</v>
      </c>
      <c r="N1206" t="inlineStr">
        <is>
          <t>Operationnel</t>
        </is>
      </c>
      <c r="O1206" t="inlineStr"/>
      <c r="P1206" t="inlineStr">
        <is>
          <t>IHS</t>
        </is>
      </c>
      <c r="Q1206" t="inlineStr">
        <is>
          <t>POWER ISSUE</t>
        </is>
      </c>
      <c r="R1206" t="inlineStr">
        <is>
          <t>Defaut GE &amp; Power Cabinet</t>
        </is>
      </c>
      <c r="S1206" t="inlineStr">
        <is>
          <t>PASSIVE</t>
        </is>
      </c>
      <c r="T1206" t="inlineStr">
        <is>
          <t>INC-20260331-00015127...2026-03-31 21:56:56...	Site went down due to double disjunction in PWC//CB are rearmed...	Site went down due to double disjunction in PWC//CB are rearmed...GE Fault...Probleme d'energie</t>
        </is>
      </c>
      <c r="U1206" t="inlineStr">
        <is>
          <t>2026-03-31 21 : 56 : 56. Site went down due to double disjunction in PWC//CB are rearmed. Site went down due to double disjunction in PWC//CB are rearmed.GE Fault.Probleme d'energie</t>
        </is>
      </c>
    </row>
    <row r="1207">
      <c r="A1207" t="inlineStr">
        <is>
          <t>4/31/2026</t>
        </is>
      </c>
      <c r="B1207" t="inlineStr">
        <is>
          <t>Kuruda</t>
        </is>
      </c>
      <c r="C1207" t="inlineStr">
        <is>
          <t>EXN_208</t>
        </is>
      </c>
      <c r="D1207" t="inlineStr"/>
      <c r="E1207" t="inlineStr">
        <is>
          <t>IHS</t>
        </is>
      </c>
      <c r="F1207" t="inlineStr">
        <is>
          <t>Hybrid-Gen</t>
        </is>
      </c>
      <c r="G1207" t="inlineStr">
        <is>
          <t>EXTREME-NORD</t>
        </is>
      </c>
      <c r="H1207" t="inlineStr">
        <is>
          <t>Kuruda</t>
        </is>
      </c>
      <c r="I1207" t="inlineStr"/>
      <c r="J1207" t="n">
        <v>3.531582925133776</v>
      </c>
      <c r="K1207" t="n">
        <v>6.066831942278741</v>
      </c>
      <c r="L1207" t="n">
        <v>0</v>
      </c>
      <c r="M1207" t="n">
        <v>2.541015173152005</v>
      </c>
      <c r="N1207" t="inlineStr">
        <is>
          <t>Insecurity</t>
        </is>
      </c>
      <c r="O1207" t="inlineStr"/>
      <c r="P1207" t="inlineStr">
        <is>
          <t>BSS</t>
        </is>
      </c>
      <c r="Q1207" t="inlineStr">
        <is>
          <t>RAN ISSUE</t>
        </is>
      </c>
      <c r="R1207" t="inlineStr">
        <is>
          <t>BSS Hardware issue</t>
        </is>
      </c>
      <c r="S1207" t="inlineStr">
        <is>
          <t>ACTIVE</t>
        </is>
      </c>
      <c r="T1207" t="inlineStr">
        <is>
          <t>30/03/2026 : need BO RAN analysis || Closed after reset but check and replace ABIA if needed || ETA : 31/08/2026..;INC-20260331-00015623...Others Transmission equipement fault</t>
        </is>
      </c>
      <c r="U1207" t="inlineStr">
        <is>
          <t>30/03/2026 : need BO RAN analysis || Closed after reset but check and replace ABIA if needed || ETA : 31/08/2026.;.</t>
        </is>
      </c>
    </row>
    <row r="1208">
      <c r="A1208" t="inlineStr">
        <is>
          <t>4/31/2026</t>
        </is>
      </c>
      <c r="B1208" t="inlineStr">
        <is>
          <t>Garoua-Djamboutou-Village</t>
        </is>
      </c>
      <c r="C1208" t="inlineStr">
        <is>
          <t>NRD_060</t>
        </is>
      </c>
      <c r="D1208" t="inlineStr"/>
      <c r="E1208" t="inlineStr">
        <is>
          <t>IHS</t>
        </is>
      </c>
      <c r="F1208" t="inlineStr">
        <is>
          <t>Grid-Gen</t>
        </is>
      </c>
      <c r="G1208" t="inlineStr">
        <is>
          <t>NORD</t>
        </is>
      </c>
      <c r="H1208" t="inlineStr">
        <is>
          <t>Garoua</t>
        </is>
      </c>
      <c r="I1208" t="inlineStr"/>
      <c r="J1208" t="n">
        <v>0.02435463952136014</v>
      </c>
      <c r="K1208" t="n">
        <v>5.141978708718817</v>
      </c>
      <c r="L1208" t="n">
        <v>1.133398779075748</v>
      </c>
      <c r="M1208" t="n">
        <v>2.320753895894507</v>
      </c>
      <c r="N1208" t="inlineStr">
        <is>
          <t>Operationnel</t>
        </is>
      </c>
      <c r="O1208" t="inlineStr"/>
      <c r="P1208" t="inlineStr">
        <is>
          <t>PDH</t>
        </is>
      </c>
      <c r="Q1208" t="inlineStr">
        <is>
          <t>TX ISSUE</t>
        </is>
      </c>
      <c r="R1208" t="inlineStr">
        <is>
          <t>MPR ISSUE</t>
        </is>
      </c>
      <c r="S1208" t="inlineStr">
        <is>
          <t>ACTIVE</t>
        </is>
      </c>
      <c r="T1208" t="inlineStr">
        <is>
          <t>31/03/2026 : Feedback HIS : Nous avons eu un probleme de base connector sur le MPR de ce site ceci est due aux mauvaises tensions Eneo et nous compte résoudre cela le 04/04/2026...;31/03/2026 : Feedback HIS : Nous avons eu un probleme de base connector sur le MPR de ce site ceci est due aux mauvaises tensions Eneo et nous compte résoudre cela le 04/04/2026...;31/03/2026 : Feedback HIS : Nous avons eu un probleme de base connector sur le MPR de ce site ceci est due aux mauvaises tensions Eneo et nous compte résoudre cela le 04/04/2026.</t>
        </is>
      </c>
      <c r="U1208" t="inlineStr">
        <is>
          <t>31/03/2026 : Feedback HIS : Nous avons eu un probleme de base connector sur le MPR de ce site ceci est due aux mauvaises tensions Eneo et nous compte résoudre cela le 04/04/2026.;31/03/2026 : Feedback HIS : Nous avons eu un probleme de base connector sur le MPR de ce site ceci est due aux mauvaises tensions Eneo et nous compte résoudre cela le 04/04/2026.;31/03/2026 : Feedback HIS : Nous avons eu un probleme de base connector sur le MPR de ce site ceci est due aux mauvaises tensions Eneo et nous compte résoudre cela le 04/04/2026.</t>
        </is>
      </c>
    </row>
    <row r="1209">
      <c r="A1209" t="inlineStr">
        <is>
          <t>4/31/2026</t>
        </is>
      </c>
      <c r="B1209" t="inlineStr">
        <is>
          <t>Kaele-Guiedame</t>
        </is>
      </c>
      <c r="C1209" t="inlineStr">
        <is>
          <t>EXN_095</t>
        </is>
      </c>
      <c r="D1209" t="inlineStr"/>
      <c r="E1209" t="inlineStr">
        <is>
          <t>IHS</t>
        </is>
      </c>
      <c r="F1209" t="inlineStr">
        <is>
          <t>Grid-Gen</t>
        </is>
      </c>
      <c r="G1209" t="inlineStr">
        <is>
          <t>EXTREME-NORD</t>
        </is>
      </c>
      <c r="H1209" t="inlineStr">
        <is>
          <t>Kaele</t>
        </is>
      </c>
      <c r="I1209" t="inlineStr"/>
      <c r="J1209" t="n">
        <v>4.923907156829461</v>
      </c>
      <c r="K1209" t="n">
        <v>2.396814627419398</v>
      </c>
      <c r="L1209" t="n">
        <v>1.355495691306223</v>
      </c>
      <c r="M1209" t="n">
        <v>2.21464729610113</v>
      </c>
      <c r="N1209" t="inlineStr">
        <is>
          <t>Insecurity</t>
        </is>
      </c>
      <c r="O1209" t="inlineStr"/>
      <c r="P1209" t="inlineStr">
        <is>
          <t>IHS</t>
        </is>
      </c>
      <c r="Q1209" t="inlineStr">
        <is>
          <t>POWER ISSUE</t>
        </is>
      </c>
      <c r="R1209" t="inlineStr">
        <is>
          <t>Defaut GE &amp; Power Cabinet</t>
        </is>
      </c>
      <c r="S1209" t="inlineStr">
        <is>
          <t>PASSIVE</t>
        </is>
      </c>
      <c r="T1209" t="inlineStr">
        <is>
          <t>INC-20260331-00003532...Problème d'énergie, quand le CIE part, les équipements redémarrent...Others Transmission equipement fault</t>
        </is>
      </c>
      <c r="U1209" t="inlineStr">
        <is>
          <t>Problème d'énergie, quand le CIE part, les équipements redémarrent.</t>
        </is>
      </c>
    </row>
    <row r="1210">
      <c r="A1210" t="inlineStr">
        <is>
          <t>4/31/2026</t>
        </is>
      </c>
      <c r="B1210" t="inlineStr">
        <is>
          <t>Kaele</t>
        </is>
      </c>
      <c r="C1210" t="inlineStr">
        <is>
          <t>EXN_011</t>
        </is>
      </c>
      <c r="D1210" t="inlineStr"/>
      <c r="E1210" t="inlineStr">
        <is>
          <t>IHS</t>
        </is>
      </c>
      <c r="F1210" t="inlineStr">
        <is>
          <t>Grid-Gen</t>
        </is>
      </c>
      <c r="G1210" t="inlineStr">
        <is>
          <t>EXTREME-NORD</t>
        </is>
      </c>
      <c r="H1210" t="inlineStr">
        <is>
          <t>Kaele</t>
        </is>
      </c>
      <c r="I1210" t="inlineStr"/>
      <c r="J1210" t="n">
        <v>4.662341165914933</v>
      </c>
      <c r="K1210" t="n">
        <v>4.37238965134092</v>
      </c>
      <c r="L1210" t="n">
        <v>0</v>
      </c>
      <c r="M1210" t="n">
        <v>2.133643524595839</v>
      </c>
      <c r="N1210" t="inlineStr">
        <is>
          <t>Insecurity</t>
        </is>
      </c>
      <c r="O1210" t="inlineStr"/>
      <c r="P1210" t="inlineStr">
        <is>
          <t>IHS</t>
        </is>
      </c>
      <c r="Q1210" t="inlineStr">
        <is>
          <t>POWER ISSUE</t>
        </is>
      </c>
      <c r="R1210" t="inlineStr">
        <is>
          <t>Defaut GE &amp; Power Cabinet</t>
        </is>
      </c>
      <c r="S1210" t="inlineStr">
        <is>
          <t>PASSIVE</t>
        </is>
      </c>
      <c r="T1210" t="inlineStr">
        <is>
          <t>INC-20260331-00014910...GE Fault</t>
        </is>
      </c>
      <c r="U1210" t="inlineStr">
        <is>
          <t>GE Fault</t>
        </is>
      </c>
    </row>
    <row r="1211">
      <c r="A1211" t="inlineStr">
        <is>
          <t>4/31/2026</t>
        </is>
      </c>
      <c r="B1211" t="inlineStr">
        <is>
          <t>PK13-Sitabac-New</t>
        </is>
      </c>
      <c r="C1211" t="inlineStr">
        <is>
          <t>LIT_667</t>
        </is>
      </c>
      <c r="D1211" t="inlineStr"/>
      <c r="E1211" t="inlineStr">
        <is>
          <t>CAMUSAT</t>
        </is>
      </c>
      <c r="F1211" t="inlineStr">
        <is>
          <t>Medium Grid + GE</t>
        </is>
      </c>
      <c r="G1211" t="inlineStr">
        <is>
          <t>LITTORAL</t>
        </is>
      </c>
      <c r="H1211" t="inlineStr">
        <is>
          <t>Douala</t>
        </is>
      </c>
      <c r="I1211" t="inlineStr"/>
      <c r="J1211" t="n">
        <v>0.7250188842127981</v>
      </c>
      <c r="K1211" t="n">
        <v>0.7197537664351219</v>
      </c>
      <c r="L1211" t="n">
        <v>3.32427161515277</v>
      </c>
      <c r="M1211" t="n">
        <v>2.078731883127446</v>
      </c>
      <c r="N1211" t="inlineStr">
        <is>
          <t>Operationnel</t>
        </is>
      </c>
      <c r="O1211" t="inlineStr"/>
      <c r="P1211" t="inlineStr">
        <is>
          <t>AKTIVCO</t>
        </is>
      </c>
      <c r="Q1211" t="inlineStr">
        <is>
          <t>POWER ISSUE</t>
        </is>
      </c>
      <c r="R1211" t="inlineStr">
        <is>
          <t>AKTIVCO Defaut GE &amp; Power Cabinet</t>
        </is>
      </c>
      <c r="S1211" t="inlineStr">
        <is>
          <t>PASSIVE</t>
        </is>
      </c>
      <c r="T1211" t="inlineStr">
        <is>
          <t>Power status check ongoing..;INC-20260331-00009429...2026-03-31 15:10:31...Grid outage,gen fails to start / Fme is on the way eta 16h45...GE Fault</t>
        </is>
      </c>
      <c r="U1211" t="inlineStr">
        <is>
          <t>2026-03-31 15 : 10 : 31.Grid outage,gen fails to start / Fme is on the way eta 16h45.GE Fault</t>
        </is>
      </c>
    </row>
    <row r="1212">
      <c r="A1212" t="inlineStr">
        <is>
          <t>4/31/2026</t>
        </is>
      </c>
      <c r="B1212" t="inlineStr">
        <is>
          <t>Bafia-Market-MTN</t>
        </is>
      </c>
      <c r="C1212" t="inlineStr">
        <is>
          <t>CTR_830</t>
        </is>
      </c>
      <c r="D1212" t="inlineStr"/>
      <c r="E1212" t="inlineStr">
        <is>
          <t>MTN sharing</t>
        </is>
      </c>
      <c r="F1212" t="inlineStr"/>
      <c r="G1212" t="inlineStr">
        <is>
          <t>CENTRE</t>
        </is>
      </c>
      <c r="H1212" t="inlineStr">
        <is>
          <t>Bafia</t>
        </is>
      </c>
      <c r="I1212" t="inlineStr"/>
      <c r="J1212" t="n">
        <v>1.388089557130239</v>
      </c>
      <c r="K1212" t="n">
        <v>2.446567792432109</v>
      </c>
      <c r="L1212" t="n">
        <v>1.990937734614231</v>
      </c>
      <c r="M1212" t="n">
        <v>2.05781133626114</v>
      </c>
      <c r="N1212" t="inlineStr">
        <is>
          <t>Operationnel</t>
        </is>
      </c>
      <c r="O1212" t="inlineStr"/>
      <c r="P1212" t="inlineStr">
        <is>
          <t>Partners</t>
        </is>
      </c>
      <c r="Q1212" t="inlineStr">
        <is>
          <t>POWER ISSUE</t>
        </is>
      </c>
      <c r="R1212" t="inlineStr">
        <is>
          <t>Sharing</t>
        </is>
      </c>
      <c r="S1212" t="inlineStr">
        <is>
          <t>PASSIVE</t>
        </is>
      </c>
      <c r="T1212" t="inlineStr">
        <is>
          <t xml:space="preserve">INC-20260331-00011876...2026-03-31 17:39:12...MTN activated for check power status...power issue restored by power team </t>
        </is>
      </c>
      <c r="U1212" t="inlineStr">
        <is>
          <t>2026-03-31 17 : 39 : 12.MTN activated for check power status.power issue restored by power team</t>
        </is>
      </c>
    </row>
    <row r="1213">
      <c r="A1213" t="inlineStr">
        <is>
          <t>4/31/2026</t>
        </is>
      </c>
      <c r="B1213" t="inlineStr">
        <is>
          <t>Nkolfoulou-CSD</t>
        </is>
      </c>
      <c r="C1213" t="inlineStr">
        <is>
          <t>CTR_712</t>
        </is>
      </c>
      <c r="D1213" t="inlineStr"/>
      <c r="E1213" t="inlineStr">
        <is>
          <t>CAMUSAT</t>
        </is>
      </c>
      <c r="F1213" t="inlineStr">
        <is>
          <t>Medium Grid + GE</t>
        </is>
      </c>
      <c r="G1213" t="inlineStr">
        <is>
          <t>CENTRE</t>
        </is>
      </c>
      <c r="H1213" t="inlineStr">
        <is>
          <t>Yaounde</t>
        </is>
      </c>
      <c r="I1213" t="inlineStr"/>
      <c r="J1213" t="n">
        <v>1.783508986487297</v>
      </c>
      <c r="K1213" t="n">
        <v>1.513459204178015</v>
      </c>
      <c r="L1213" t="n">
        <v>2.447204273891527</v>
      </c>
      <c r="M1213" t="n">
        <v>2.038959658479653</v>
      </c>
      <c r="N1213" t="inlineStr">
        <is>
          <t>Operationnel</t>
        </is>
      </c>
      <c r="O1213" t="inlineStr"/>
      <c r="P1213" t="inlineStr">
        <is>
          <t>AKTIVCO</t>
        </is>
      </c>
      <c r="Q1213" t="inlineStr">
        <is>
          <t>POWER ISSUE</t>
        </is>
      </c>
      <c r="R1213" t="inlineStr">
        <is>
          <t>AKTIVCO Defaut GE &amp; Power Cabinet</t>
        </is>
      </c>
      <c r="S1213" t="inlineStr">
        <is>
          <t>PASSIVE</t>
        </is>
      </c>
      <c r="T1213" t="inlineStr">
        <is>
          <t>INC-20260331-00015134...2026-03-31 21:56:56...Transmission issue U=53.,1V Load=100,3A evidences...GE Fault</t>
        </is>
      </c>
      <c r="U1213" t="inlineStr">
        <is>
          <t>2026-03-31 21 : 56 : 56.Transmission issue U=53.,1V Load=100,3A evidences.GE Fault</t>
        </is>
      </c>
    </row>
    <row r="1214">
      <c r="A1214" t="inlineStr">
        <is>
          <t>4/31/2026</t>
        </is>
      </c>
      <c r="B1214" t="inlineStr">
        <is>
          <t>Mandama-IHS</t>
        </is>
      </c>
      <c r="C1214" t="inlineStr">
        <is>
          <t>NRD_123</t>
        </is>
      </c>
      <c r="D1214" t="inlineStr"/>
      <c r="E1214" t="inlineStr">
        <is>
          <t>IHS</t>
        </is>
      </c>
      <c r="F1214" t="inlineStr">
        <is>
          <t>Grid-Hybrid-Gen</t>
        </is>
      </c>
      <c r="G1214" t="inlineStr">
        <is>
          <t>NORD</t>
        </is>
      </c>
      <c r="H1214" t="inlineStr">
        <is>
          <t>Mandama</t>
        </is>
      </c>
      <c r="I1214" t="inlineStr"/>
      <c r="J1214" t="n">
        <v>7.18150835798697</v>
      </c>
      <c r="K1214" t="n">
        <v>2.658588934159105</v>
      </c>
      <c r="L1214" t="n">
        <v>0</v>
      </c>
      <c r="M1214" t="n">
        <v>1.918037698945304</v>
      </c>
      <c r="N1214" t="inlineStr">
        <is>
          <t>Operationnel</t>
        </is>
      </c>
      <c r="O1214" t="inlineStr"/>
      <c r="P1214" t="inlineStr">
        <is>
          <t>IHS</t>
        </is>
      </c>
      <c r="Q1214" t="inlineStr">
        <is>
          <t>POWER ISSUE</t>
        </is>
      </c>
      <c r="R1214" t="inlineStr">
        <is>
          <t>DEfaut GE &amp; Power Cabinet</t>
        </is>
      </c>
      <c r="S1214" t="inlineStr">
        <is>
          <t>PASSIVE</t>
        </is>
      </c>
      <c r="T1214" t="inlineStr">
        <is>
          <t>Power status check ongoing..;Power status check ongoing..;Power status check ongoing..;INC-20260331-00009499...fluctuation du site suite au plantage des redresseurs...Others Transmission equipement fault</t>
        </is>
      </c>
      <c r="U1214" t="inlineStr">
        <is>
          <t>Power status check ongoing.;Power status check ongoing.;.fluctuation du site suite au plantage des redresseurs.</t>
        </is>
      </c>
    </row>
    <row r="1215">
      <c r="A1215" t="inlineStr">
        <is>
          <t>4/31/2026</t>
        </is>
      </c>
      <c r="B1215" t="inlineStr">
        <is>
          <t>NRD_255_H_Garoua-Universite</t>
        </is>
      </c>
      <c r="C1215" t="inlineStr">
        <is>
          <t>NRD_255</t>
        </is>
      </c>
      <c r="D1215" t="inlineStr"/>
      <c r="E1215" t="inlineStr">
        <is>
          <t>ESCO</t>
        </is>
      </c>
      <c r="F1215" t="inlineStr">
        <is>
          <t>Hybrid Solar - S1</t>
        </is>
      </c>
      <c r="G1215" t="inlineStr">
        <is>
          <t>NRD</t>
        </is>
      </c>
      <c r="H1215" t="inlineStr">
        <is>
          <t>Garoua</t>
        </is>
      </c>
      <c r="I1215" t="inlineStr"/>
      <c r="J1215" t="n">
        <v>0.2042042852175581</v>
      </c>
      <c r="K1215" t="n">
        <v>4.091514343224157</v>
      </c>
      <c r="L1215" t="n">
        <v>0.9535050682146009</v>
      </c>
      <c r="M1215" t="n">
        <v>1.899970893152186</v>
      </c>
      <c r="N1215" t="inlineStr">
        <is>
          <t>Operationnel</t>
        </is>
      </c>
      <c r="O1215" t="inlineStr"/>
      <c r="P1215" t="inlineStr">
        <is>
          <t>AKTIVCO</t>
        </is>
      </c>
      <c r="Q1215" t="inlineStr">
        <is>
          <t>POWER ISSUE</t>
        </is>
      </c>
      <c r="R1215" t="inlineStr">
        <is>
          <t>AKTIVCO Defaut GE &amp; Power Cabinet</t>
        </is>
      </c>
      <c r="S1215" t="inlineStr">
        <is>
          <t>PASSIVE</t>
        </is>
      </c>
      <c r="T1215" t="inlineStr">
        <is>
          <t>31/03/2026 : Power instability || Mail sent to Camusat</t>
        </is>
      </c>
      <c r="U1215" t="inlineStr">
        <is>
          <t>31/03/2026 : Power instability || Mail sent to Camusat</t>
        </is>
      </c>
    </row>
    <row r="1216">
      <c r="A1216" t="inlineStr">
        <is>
          <t>4/31/2026</t>
        </is>
      </c>
      <c r="B1216" t="inlineStr">
        <is>
          <t>Edea-Nkakanzock</t>
        </is>
      </c>
      <c r="C1216" t="inlineStr">
        <is>
          <t>LIT_314</t>
        </is>
      </c>
      <c r="D1216" t="inlineStr"/>
      <c r="E1216" t="inlineStr">
        <is>
          <t>IHS</t>
        </is>
      </c>
      <c r="F1216" t="inlineStr">
        <is>
          <t>Grid-Gen</t>
        </is>
      </c>
      <c r="G1216" t="inlineStr">
        <is>
          <t>LITTORAL</t>
        </is>
      </c>
      <c r="H1216" t="inlineStr">
        <is>
          <t>Edea</t>
        </is>
      </c>
      <c r="I1216" t="inlineStr"/>
      <c r="J1216" t="n">
        <v>1.034884836276873</v>
      </c>
      <c r="K1216" t="n">
        <v>1.949465932930086</v>
      </c>
      <c r="L1216" t="n">
        <v>2.006430481956455</v>
      </c>
      <c r="M1216" t="n">
        <v>1.848570197441451</v>
      </c>
      <c r="N1216" t="inlineStr">
        <is>
          <t>Operationnel</t>
        </is>
      </c>
      <c r="O1216" t="inlineStr"/>
      <c r="P1216" t="inlineStr">
        <is>
          <t>IHS</t>
        </is>
      </c>
      <c r="Q1216" t="inlineStr">
        <is>
          <t>POWER ISSUE</t>
        </is>
      </c>
      <c r="R1216" t="inlineStr">
        <is>
          <t>Defaut GE &amp; Power Cabinet</t>
        </is>
      </c>
      <c r="S1216" t="inlineStr">
        <is>
          <t>PASSIVE</t>
        </is>
      </c>
      <c r="T1216" t="inlineStr">
        <is>
          <t>INC-20260331-00004349...GE Fault</t>
        </is>
      </c>
      <c r="U1216" t="inlineStr">
        <is>
          <t>GE Fault</t>
        </is>
      </c>
    </row>
    <row r="1217">
      <c r="A1217" t="inlineStr">
        <is>
          <t>4/31/2026</t>
        </is>
      </c>
      <c r="B1217" t="inlineStr">
        <is>
          <t>Bonamoutongo</t>
        </is>
      </c>
      <c r="C1217" t="inlineStr">
        <is>
          <t>LIT_020</t>
        </is>
      </c>
      <c r="D1217" t="inlineStr"/>
      <c r="E1217" t="inlineStr">
        <is>
          <t>IHS</t>
        </is>
      </c>
      <c r="F1217" t="inlineStr">
        <is>
          <t>Grid-Gen</t>
        </is>
      </c>
      <c r="G1217" t="inlineStr">
        <is>
          <t>LITTORAL</t>
        </is>
      </c>
      <c r="H1217" t="inlineStr">
        <is>
          <t>Douala</t>
        </is>
      </c>
      <c r="I1217" t="inlineStr"/>
      <c r="J1217" t="n">
        <v>0.7887156337302015</v>
      </c>
      <c r="K1217" t="n">
        <v>0.6751277578873268</v>
      </c>
      <c r="L1217" t="n">
        <v>2.770226345960642</v>
      </c>
      <c r="M1217" t="n">
        <v>1.783918038540891</v>
      </c>
      <c r="N1217" t="inlineStr">
        <is>
          <t>Operationnel</t>
        </is>
      </c>
      <c r="O1217" t="inlineStr"/>
      <c r="P1217" t="inlineStr">
        <is>
          <t>IHS</t>
        </is>
      </c>
      <c r="Q1217" t="inlineStr">
        <is>
          <t>POWER ISSUE</t>
        </is>
      </c>
      <c r="R1217" t="inlineStr">
        <is>
          <t>Defaut GE &amp; Power Cabinet</t>
        </is>
      </c>
      <c r="S1217" t="inlineStr">
        <is>
          <t>PASSIVE</t>
        </is>
      </c>
      <c r="T1217" t="inlineStr">
        <is>
          <t>INC-20260331-00015853...2026-03-31 22:52:57...FME is on the way ETA 00:30 AM...GE Fault</t>
        </is>
      </c>
      <c r="U1217" t="inlineStr">
        <is>
          <t>2026-03-31 22 : 52 : 57.FME is on the way ETA 00 : 30 AM.GE Fault</t>
        </is>
      </c>
    </row>
    <row r="1218">
      <c r="A1218" t="inlineStr">
        <is>
          <t>4/31/2026</t>
        </is>
      </c>
      <c r="B1218" t="inlineStr">
        <is>
          <t>Melen-Baaba</t>
        </is>
      </c>
      <c r="C1218" t="inlineStr">
        <is>
          <t>CTR_594</t>
        </is>
      </c>
      <c r="D1218" t="inlineStr"/>
      <c r="E1218" t="inlineStr">
        <is>
          <t>IHS</t>
        </is>
      </c>
      <c r="F1218" t="inlineStr">
        <is>
          <t>Grid-Gen</t>
        </is>
      </c>
      <c r="G1218" t="inlineStr">
        <is>
          <t>CENTRE</t>
        </is>
      </c>
      <c r="H1218" t="inlineStr">
        <is>
          <t>Ba'aba</t>
        </is>
      </c>
      <c r="I1218" t="inlineStr"/>
      <c r="J1218" t="n">
        <v>1.783508986487297</v>
      </c>
      <c r="K1218" t="n">
        <v>1.514574854391709</v>
      </c>
      <c r="L1218" t="n">
        <v>1.956190204151318</v>
      </c>
      <c r="M1218" t="n">
        <v>1.783275975721465</v>
      </c>
      <c r="N1218" t="inlineStr">
        <is>
          <t>Operationnel</t>
        </is>
      </c>
      <c r="O1218" t="inlineStr"/>
      <c r="P1218" t="inlineStr">
        <is>
          <t>IHS</t>
        </is>
      </c>
      <c r="Q1218" t="inlineStr">
        <is>
          <t>POWER ISSUE</t>
        </is>
      </c>
      <c r="R1218" t="inlineStr">
        <is>
          <t>Defaut GE &amp; Power Cabinet</t>
        </is>
      </c>
      <c r="S1218" t="inlineStr">
        <is>
          <t>PASSIVE</t>
        </is>
      </c>
      <c r="T1218" t="inlineStr">
        <is>
          <t>INC-20260331-00015104...Grid outage and no good backup battery before start of GE...Others Transmission equipement fault</t>
        </is>
      </c>
      <c r="U1218" t="inlineStr">
        <is>
          <t>Grid outage and no good backup battery before start of GE.</t>
        </is>
      </c>
    </row>
    <row r="1219">
      <c r="A1219" t="inlineStr">
        <is>
          <t>4/31/2026</t>
        </is>
      </c>
      <c r="B1219" t="inlineStr">
        <is>
          <t>Garoua-H-Plateau</t>
        </is>
      </c>
      <c r="C1219" t="inlineStr">
        <is>
          <t>NRD_175</t>
        </is>
      </c>
      <c r="D1219" t="inlineStr"/>
      <c r="E1219" t="inlineStr">
        <is>
          <t>CAMUSAT</t>
        </is>
      </c>
      <c r="F1219" t="inlineStr">
        <is>
          <t>Good Grid + GE</t>
        </is>
      </c>
      <c r="G1219" t="inlineStr">
        <is>
          <t>NORD</t>
        </is>
      </c>
      <c r="H1219" t="inlineStr">
        <is>
          <t>Garoua</t>
        </is>
      </c>
      <c r="I1219" t="inlineStr"/>
      <c r="J1219" t="n">
        <v>2.785796074481734</v>
      </c>
      <c r="K1219" t="n">
        <v>3.544048845503908</v>
      </c>
      <c r="L1219" t="n">
        <v>0.07900275134776641</v>
      </c>
      <c r="M1219" t="n">
        <v>1.628788527336181</v>
      </c>
      <c r="N1219" t="inlineStr">
        <is>
          <t>Operationnel</t>
        </is>
      </c>
      <c r="O1219" t="inlineStr"/>
      <c r="P1219" t="inlineStr">
        <is>
          <t>AKTIVCO</t>
        </is>
      </c>
      <c r="Q1219" t="inlineStr">
        <is>
          <t>POWER ISSUE</t>
        </is>
      </c>
      <c r="R1219" t="inlineStr">
        <is>
          <t>AKTIVCO Defaut GE &amp; Power Cabinet</t>
        </is>
      </c>
      <c r="S1219" t="inlineStr">
        <is>
          <t>PASSIVE</t>
        </is>
      </c>
      <c r="T1219" t="inlineStr">
        <is>
          <t>INC-20260331-00010166...2026-03-31 16:20:38...technician will be on site around 06:20PM...Auto TT closure RCA...GE Fault</t>
        </is>
      </c>
      <c r="U1219" t="inlineStr">
        <is>
          <t>2026-03-31 16 : 20 : 38.technician will be on site around 06 : 20PM.Auto TT closure RCA.GE Fault</t>
        </is>
      </c>
    </row>
    <row r="1220">
      <c r="A1220" t="inlineStr">
        <is>
          <t>4/31/2026</t>
        </is>
      </c>
      <c r="B1220" t="inlineStr">
        <is>
          <t>Bamengwi-IHS</t>
        </is>
      </c>
      <c r="C1220" t="inlineStr">
        <is>
          <t>NRO_093</t>
        </is>
      </c>
      <c r="D1220" t="inlineStr"/>
      <c r="E1220" t="inlineStr">
        <is>
          <t>IHS</t>
        </is>
      </c>
      <c r="F1220" t="inlineStr">
        <is>
          <t>Grid-Gen</t>
        </is>
      </c>
      <c r="G1220" t="inlineStr">
        <is>
          <t>NORD-OUEST</t>
        </is>
      </c>
      <c r="H1220" t="inlineStr">
        <is>
          <t>Bamengwi</t>
        </is>
      </c>
      <c r="I1220" t="inlineStr"/>
      <c r="J1220" t="n">
        <v>0</v>
      </c>
      <c r="K1220" t="n">
        <v>4.596213249419438</v>
      </c>
      <c r="L1220" t="n">
        <v>0</v>
      </c>
      <c r="M1220" t="n">
        <v>1.543001800629507</v>
      </c>
      <c r="N1220" t="inlineStr">
        <is>
          <t>Insecurity</t>
        </is>
      </c>
      <c r="O1220" t="inlineStr"/>
      <c r="P1220" t="inlineStr">
        <is>
          <t>BSS</t>
        </is>
      </c>
      <c r="Q1220" t="inlineStr">
        <is>
          <t>RAN ISSUE</t>
        </is>
      </c>
      <c r="R1220" t="inlineStr">
        <is>
          <t>BSS Hardware issue</t>
        </is>
      </c>
      <c r="S1220" t="inlineStr">
        <is>
          <t>ACTIVE</t>
        </is>
      </c>
      <c r="T1220" t="inlineStr">
        <is>
          <t xml:space="preserve">
29/03/2026 : FME active || ETA : 31/03/2026
26/03/2026 : need BO RAN analysis || FME should check and clean jumper, port 4..;
29/03/2026 : FME active || ETA : 31/03/2026
26/03/2026 : need BO RAN analysis || FME should check and clean jumper, port 4..;
29/03/2026 : FME active || ETA : 31/03/2026
26/03/2026 : need BO RAN analysis || FME should check and clean jumper, port 4..;
29/03/2026 : FME active || ETA : 31/03/2026
26/03/2026 : need BO RAN analysis || FME should check and clean jumper, port 4</t>
        </is>
      </c>
      <c r="U1220" t="inlineStr">
        <is>
          <t>29/03/2026 : FME active || ETA : 31/03/2026 26/03/2026 : need BO RAN analysis || FME should check and clean jumper, port 4.; 29/03/2026 : FME active || ETA : 31/03/2026 26/03/2026 : need BO RAN analysis || FME should check and clean jumper, port 4.; 29/03/2026 : FME active || ETA : 31/03/2026 26/03/2026 : need BO RAN analysis || FME should check and clean jumper, port 4.; 29/03/2026 : FME active || ETA : 31/03/2026 26/03/2026 : need BO RAN analysis || FME should check and clean jumper, port 4</t>
        </is>
      </c>
    </row>
    <row r="1221">
      <c r="A1221" t="inlineStr">
        <is>
          <t>4/31/2026</t>
        </is>
      </c>
      <c r="B1221" t="inlineStr">
        <is>
          <t>Dogba-Ngd-IHS</t>
        </is>
      </c>
      <c r="C1221" t="inlineStr">
        <is>
          <t>ADM_128</t>
        </is>
      </c>
      <c r="D1221" t="inlineStr"/>
      <c r="E1221" t="inlineStr">
        <is>
          <t>IHS</t>
        </is>
      </c>
      <c r="F1221" t="inlineStr">
        <is>
          <t>Hybrid-Gen</t>
        </is>
      </c>
      <c r="G1221" t="inlineStr">
        <is>
          <t>ADAMAOUA</t>
        </is>
      </c>
      <c r="H1221" t="inlineStr">
        <is>
          <t>Dogba</t>
        </is>
      </c>
      <c r="I1221" t="inlineStr"/>
      <c r="J1221" t="n">
        <v>10.78773145650236</v>
      </c>
      <c r="K1221" t="n">
        <v>0</v>
      </c>
      <c r="L1221" t="n">
        <v>0</v>
      </c>
      <c r="M1221" t="n">
        <v>1.540487054586754</v>
      </c>
      <c r="N1221" t="inlineStr">
        <is>
          <t>Operationnel</t>
        </is>
      </c>
      <c r="O1221" t="inlineStr"/>
      <c r="P1221" t="inlineStr">
        <is>
          <t>BSS</t>
        </is>
      </c>
      <c r="Q1221" t="inlineStr">
        <is>
          <t>RAN ISSUE</t>
        </is>
      </c>
      <c r="R1221" t="inlineStr">
        <is>
          <t>BSS Hardware issue</t>
        </is>
      </c>
      <c r="S1221" t="inlineStr">
        <is>
          <t>ACTIVE</t>
        </is>
      </c>
      <c r="T1221" t="inlineStr">
        <is>
          <t>30/03/2026 : Check and clean jumper  on  FXDB antenna port 1 || Feedback du P.M : : FME revient de ce site ce matin apres sa PM, aucun souci trouvé sur site, nous prenons le point mais l'intervention n'est pas encore planifiée..;30/03/2026 : Check and clean jumper  on  FXDB antenna port 1 || Feedback du P.M : : FME revient de ce site ce matin apres sa PM, aucun souci trouvé sur site, nous prenons le point mais l'intervention n'est pas encore planifiée..;30/03/2026 : Check and clean jumper  on  FXDB antenna port 1 || Feedback du P.M : : FME revient de ce site ce matin apres sa PM, aucun souci trouvé sur site, nous prenons le point mais l'intervention n'est pas encore planifiée</t>
        </is>
      </c>
      <c r="U1221" t="inlineStr">
        <is>
          <t>30/03/2026 : Check and clean jumper on FXDB antenna port 1 || Feedback du P.M : : FME revient de ce site ce matin apres sa PM, aucun souci trouvé sur site, nous prenons le point mais l'intervention n'est pas encore planifiée.;30/03/2026 : Check and clean jumper on FXDB antenna port 1 || Feedback du P.M : : FME revient de ce site ce matin apres sa PM, aucun souci trouvé sur site, nous prenons le point mais l'intervention n'est pas encore planifiée.;30/03/2026 : Check and clean jumper on FXDB antenna port 1 || Feedback du P.M : : FME revient de ce site ce matin apres sa PM, aucun souci trouvé sur site, nous prenons le point mais l'intervention n'est pas encore planifiée</t>
        </is>
      </c>
    </row>
    <row r="1222">
      <c r="A1222" t="inlineStr">
        <is>
          <t>4/31/2026</t>
        </is>
      </c>
      <c r="B1222" t="inlineStr">
        <is>
          <t>Maroua-Boulore</t>
        </is>
      </c>
      <c r="C1222" t="inlineStr">
        <is>
          <t>EXN_237</t>
        </is>
      </c>
      <c r="D1222" t="inlineStr"/>
      <c r="E1222" t="inlineStr">
        <is>
          <t>CAMUSAT</t>
        </is>
      </c>
      <c r="F1222" t="inlineStr">
        <is>
          <t>Medium Grid + GE</t>
        </is>
      </c>
      <c r="G1222" t="inlineStr">
        <is>
          <t>EXTREME-NORD</t>
        </is>
      </c>
      <c r="H1222" t="inlineStr">
        <is>
          <t>Maroua</t>
        </is>
      </c>
      <c r="I1222" t="inlineStr"/>
      <c r="J1222" t="n">
        <v>1.25332721844538</v>
      </c>
      <c r="K1222" t="n">
        <v>1.607598831733598</v>
      </c>
      <c r="L1222" t="n">
        <v>1.529780548824931</v>
      </c>
      <c r="M1222" t="n">
        <v>1.516427533936587</v>
      </c>
      <c r="N1222" t="inlineStr">
        <is>
          <t>Operationnel</t>
        </is>
      </c>
      <c r="O1222" t="inlineStr"/>
      <c r="P1222" t="inlineStr">
        <is>
          <t>AKTIVCO</t>
        </is>
      </c>
      <c r="Q1222" t="inlineStr">
        <is>
          <t>POWER ISSUE</t>
        </is>
      </c>
      <c r="R1222" t="inlineStr">
        <is>
          <t>AKTIVCO Defaut GE &amp; Power Cabinet</t>
        </is>
      </c>
      <c r="S1222" t="inlineStr">
        <is>
          <t>PASSIVE</t>
        </is>
      </c>
      <c r="T1222" t="inlineStr">
        <is>
          <t>INC-20260331-00001047...Auto TT closure RCA...GE Fault</t>
        </is>
      </c>
      <c r="U1222" t="inlineStr">
        <is>
          <t>Auto TT closure RCA.GE Fault</t>
        </is>
      </c>
    </row>
    <row r="1223">
      <c r="A1223" t="inlineStr">
        <is>
          <t>4/31/2026</t>
        </is>
      </c>
      <c r="B1223" t="inlineStr">
        <is>
          <t>Abome-II</t>
        </is>
      </c>
      <c r="C1223" t="inlineStr">
        <is>
          <t>CTR_662</t>
        </is>
      </c>
      <c r="D1223" t="inlineStr"/>
      <c r="E1223" t="inlineStr">
        <is>
          <t>CAMUSAT</t>
        </is>
      </c>
      <c r="F1223" t="inlineStr">
        <is>
          <t>Good Grid no GE - 12h</t>
        </is>
      </c>
      <c r="G1223" t="inlineStr">
        <is>
          <t>CENTRE</t>
        </is>
      </c>
      <c r="H1223" t="inlineStr">
        <is>
          <t>Yaounde</t>
        </is>
      </c>
      <c r="I1223" t="inlineStr"/>
      <c r="J1223" t="n">
        <v>0.7371337561798337</v>
      </c>
      <c r="K1223" t="n">
        <v>0.7248538816977265</v>
      </c>
      <c r="L1223" t="n">
        <v>2.236393468996448</v>
      </c>
      <c r="M1223" t="n">
        <v>1.514858047044657</v>
      </c>
      <c r="N1223" t="inlineStr">
        <is>
          <t>Operationnel</t>
        </is>
      </c>
      <c r="O1223" t="inlineStr"/>
      <c r="P1223" t="inlineStr">
        <is>
          <t>AKTIVCO GRID ONLY</t>
        </is>
      </c>
      <c r="Q1223" t="inlineStr">
        <is>
          <t>POWER ISSUE</t>
        </is>
      </c>
      <c r="R1223" t="inlineStr">
        <is>
          <t>AKTIVCO Coupure ENEO &amp; Baisse de tension</t>
        </is>
      </c>
      <c r="S1223" t="inlineStr">
        <is>
          <t>PASSIVE</t>
        </is>
      </c>
      <c r="T1223" t="inlineStr">
        <is>
          <t>INC-20260331-00011654...GE Fault</t>
        </is>
      </c>
      <c r="U1223" t="inlineStr">
        <is>
          <t>GE Fault</t>
        </is>
      </c>
    </row>
    <row r="1224">
      <c r="A1224" t="inlineStr">
        <is>
          <t>4/31/2026</t>
        </is>
      </c>
      <c r="B1224" t="inlineStr">
        <is>
          <t>Roua</t>
        </is>
      </c>
      <c r="C1224" t="inlineStr">
        <is>
          <t>EXN_108</t>
        </is>
      </c>
      <c r="D1224" t="inlineStr"/>
      <c r="E1224" t="inlineStr">
        <is>
          <t>IHS</t>
        </is>
      </c>
      <c r="F1224" t="inlineStr">
        <is>
          <t>Grid-Gen</t>
        </is>
      </c>
      <c r="G1224" t="inlineStr">
        <is>
          <t>EXTREME-NORD</t>
        </is>
      </c>
      <c r="H1224" t="inlineStr">
        <is>
          <t>Roua</t>
        </is>
      </c>
      <c r="I1224" t="inlineStr"/>
      <c r="J1224" t="n">
        <v>4.463893185297092</v>
      </c>
      <c r="K1224" t="n">
        <v>2.512338028839452</v>
      </c>
      <c r="L1224" t="n">
        <v>0</v>
      </c>
      <c r="M1224" t="n">
        <v>1.4808643877717</v>
      </c>
      <c r="N1224" t="inlineStr">
        <is>
          <t>Insecurity</t>
        </is>
      </c>
      <c r="O1224" t="inlineStr"/>
      <c r="P1224" t="inlineStr">
        <is>
          <t>IHS</t>
        </is>
      </c>
      <c r="Q1224" t="inlineStr">
        <is>
          <t>POWER ISSUE</t>
        </is>
      </c>
      <c r="R1224" t="inlineStr">
        <is>
          <t>Defaut GE &amp; Power Cabinet</t>
        </is>
      </c>
      <c r="S1224" t="inlineStr">
        <is>
          <t>PASSIVE</t>
        </is>
      </c>
      <c r="T1224" t="inlineStr">
        <is>
          <t>INC-20260331-00014767...GE Fault</t>
        </is>
      </c>
      <c r="U1224" t="inlineStr">
        <is>
          <t>GE Fault</t>
        </is>
      </c>
    </row>
    <row r="1225">
      <c r="A1225" t="inlineStr">
        <is>
          <t>4/31/2026</t>
        </is>
      </c>
      <c r="B1225" t="inlineStr">
        <is>
          <t>Kong-Kong-IHS</t>
        </is>
      </c>
      <c r="C1225" t="inlineStr">
        <is>
          <t>NRD_070</t>
        </is>
      </c>
      <c r="D1225" t="inlineStr"/>
      <c r="E1225" t="inlineStr">
        <is>
          <t>IHS</t>
        </is>
      </c>
      <c r="F1225" t="inlineStr">
        <is>
          <t>Solar-Gen</t>
        </is>
      </c>
      <c r="G1225" t="inlineStr">
        <is>
          <t>NORD</t>
        </is>
      </c>
      <c r="H1225" t="inlineStr">
        <is>
          <t>KongKong</t>
        </is>
      </c>
      <c r="I1225" t="inlineStr"/>
      <c r="J1225" t="n">
        <v>2.368492046171007</v>
      </c>
      <c r="K1225" t="n">
        <v>1.695061246994634</v>
      </c>
      <c r="L1225" t="n">
        <v>0.6820228863104578</v>
      </c>
      <c r="M1225" t="n">
        <v>1.262939188495421</v>
      </c>
      <c r="N1225" t="inlineStr">
        <is>
          <t>Operationnel</t>
        </is>
      </c>
      <c r="O1225" t="inlineStr"/>
      <c r="P1225" t="inlineStr">
        <is>
          <t>BSS</t>
        </is>
      </c>
      <c r="Q1225" t="inlineStr">
        <is>
          <t>RAN ISSUE</t>
        </is>
      </c>
      <c r="R1225" t="inlineStr">
        <is>
          <t>BSS Hardware issue</t>
        </is>
      </c>
      <c r="S1225" t="inlineStr">
        <is>
          <t>ACTIVE</t>
        </is>
      </c>
      <c r="T1225" t="inlineStr">
        <is>
          <t>INC-20260331-00003452...up après avoir fait le reset de la bts et confirmé par le GNOC ...Others Transmission equipement fault</t>
        </is>
      </c>
      <c r="U1225" t="inlineStr">
        <is>
          <t>up après avoir fait le reset de la bts et confirmé par le GNOC .</t>
        </is>
      </c>
    </row>
    <row r="1226">
      <c r="A1226" t="inlineStr">
        <is>
          <t>4/31/2026</t>
        </is>
      </c>
      <c r="B1226" t="inlineStr">
        <is>
          <t>Gueme</t>
        </is>
      </c>
      <c r="C1226" t="inlineStr">
        <is>
          <t>EXN_049</t>
        </is>
      </c>
      <c r="D1226" t="inlineStr"/>
      <c r="E1226" t="inlineStr">
        <is>
          <t>IHS</t>
        </is>
      </c>
      <c r="F1226" t="inlineStr">
        <is>
          <t>Solar-Gen</t>
        </is>
      </c>
      <c r="G1226" t="inlineStr">
        <is>
          <t>EXTREME-NORD</t>
        </is>
      </c>
      <c r="H1226" t="inlineStr">
        <is>
          <t>Gueme</t>
        </is>
      </c>
      <c r="I1226" t="inlineStr"/>
      <c r="J1226" t="n">
        <v>5.357240288083807</v>
      </c>
      <c r="K1226" t="n">
        <v>1.392528718349392</v>
      </c>
      <c r="L1226" t="n">
        <v>0</v>
      </c>
      <c r="M1226" t="n">
        <v>1.232501370022844</v>
      </c>
      <c r="N1226" t="inlineStr">
        <is>
          <t>Insecurity</t>
        </is>
      </c>
      <c r="O1226" t="inlineStr"/>
      <c r="P1226" t="inlineStr">
        <is>
          <t>Fiber AOF</t>
        </is>
      </c>
      <c r="Q1226" t="inlineStr">
        <is>
          <t>TX ISSUE</t>
        </is>
      </c>
      <c r="R1226" t="inlineStr">
        <is>
          <t>fiber AOF</t>
        </is>
      </c>
      <c r="S1226" t="inlineStr">
        <is>
          <t>ACTIVE</t>
        </is>
      </c>
      <c r="T1226" t="inlineStr">
        <is>
          <t>31/03/2026 : Need BO RAN analysis || Check and replace faulty SFP between FSMF and FRGU..;31/03/2026 : Need BO RAN analysis || Check and replace faulty SFP between FSMF and FRGU..;31/03/2026 : Need BO RAN analysis || Check and replace faulty SFP between FSMF and FRGU..;INC-20260331-00002982</t>
        </is>
      </c>
      <c r="U1226" t="inlineStr">
        <is>
          <t>31/03/2026 : Need BO RAN analysis || Check and replace faulty SFP between FSMF and FRGU.;31/03/2026 : Need BO RAN analysis || Check and replace faulty SFP between FSMF and FRGU.;31/03/2026 : Need BO RAN analysis || Check and replace faulty SFP between FSMF and FRGU.;</t>
        </is>
      </c>
    </row>
    <row r="1227">
      <c r="A1227" t="inlineStr">
        <is>
          <t>4/31/2026</t>
        </is>
      </c>
      <c r="B1227" t="inlineStr">
        <is>
          <t>Boussa-IHS</t>
        </is>
      </c>
      <c r="C1227" t="inlineStr">
        <is>
          <t>NRD_129</t>
        </is>
      </c>
      <c r="D1227" t="inlineStr"/>
      <c r="E1227" t="inlineStr">
        <is>
          <t>IHS</t>
        </is>
      </c>
      <c r="F1227" t="inlineStr">
        <is>
          <t>Solar-Gen</t>
        </is>
      </c>
      <c r="G1227" t="inlineStr">
        <is>
          <t>NORD</t>
        </is>
      </c>
      <c r="H1227" t="inlineStr">
        <is>
          <t>Boussa</t>
        </is>
      </c>
      <c r="I1227" t="inlineStr"/>
      <c r="J1227" t="n">
        <v>2.262400577137591</v>
      </c>
      <c r="K1227" t="n">
        <v>2.527101486082914</v>
      </c>
      <c r="L1227" t="n">
        <v>0</v>
      </c>
      <c r="M1227" t="n">
        <v>1.171447709748616</v>
      </c>
      <c r="N1227" t="inlineStr">
        <is>
          <t>Operationnel</t>
        </is>
      </c>
      <c r="O1227" t="inlineStr"/>
      <c r="P1227" t="inlineStr">
        <is>
          <t>IHS</t>
        </is>
      </c>
      <c r="Q1227" t="inlineStr">
        <is>
          <t>POWER ISSUE</t>
        </is>
      </c>
      <c r="R1227" t="inlineStr">
        <is>
          <t>Defaut GE &amp; Power Cabinet</t>
        </is>
      </c>
      <c r="S1227" t="inlineStr">
        <is>
          <t>PASSIVE</t>
        </is>
      </c>
      <c r="T1227" t="inlineStr">
        <is>
          <t>INC-20260331-00002598...power issue générateur en défaut ...Others Transmission equipement fault</t>
        </is>
      </c>
      <c r="U1227" t="inlineStr">
        <is>
          <t>power issue générateur en défaut .</t>
        </is>
      </c>
    </row>
    <row r="1228">
      <c r="A1228" t="inlineStr">
        <is>
          <t>4/31/2026</t>
        </is>
      </c>
      <c r="B1228" t="inlineStr">
        <is>
          <t>Darassalam-IHS</t>
        </is>
      </c>
      <c r="C1228" t="inlineStr">
        <is>
          <t>ADM_153</t>
        </is>
      </c>
      <c r="D1228" t="inlineStr"/>
      <c r="E1228" t="inlineStr">
        <is>
          <t>IHS</t>
        </is>
      </c>
      <c r="F1228" t="inlineStr">
        <is>
          <t>Hybrid-Gen</t>
        </is>
      </c>
      <c r="G1228" t="inlineStr">
        <is>
          <t>ADAMAOUA</t>
        </is>
      </c>
      <c r="H1228" t="inlineStr">
        <is>
          <t>Darra Salam</t>
        </is>
      </c>
      <c r="I1228" t="inlineStr"/>
      <c r="J1228" t="n">
        <v>2.312162528088979</v>
      </c>
      <c r="K1228" t="n">
        <v>2.1056991243512</v>
      </c>
      <c r="L1228" t="n">
        <v>0.2560300170718727</v>
      </c>
      <c r="M1228" t="n">
        <v>1.170600802968829</v>
      </c>
      <c r="N1228" t="inlineStr">
        <is>
          <t>Operationnel</t>
        </is>
      </c>
      <c r="O1228" t="inlineStr"/>
      <c r="P1228" t="inlineStr">
        <is>
          <t>IHS</t>
        </is>
      </c>
      <c r="Q1228" t="inlineStr">
        <is>
          <t>POWER ISSUE</t>
        </is>
      </c>
      <c r="R1228" t="inlineStr">
        <is>
          <t>Defaut GE &amp; Power Cabinet</t>
        </is>
      </c>
      <c r="S1228" t="inlineStr">
        <is>
          <t>PASSIVE</t>
        </is>
      </c>
      <c r="T1228" t="inlineStr">
        <is>
          <t>INC-20260331-00000663...generator refuse to star ...Others Transmission equipement fault</t>
        </is>
      </c>
      <c r="U1228" t="inlineStr">
        <is>
          <t>generator refuse to star .</t>
        </is>
      </c>
    </row>
    <row r="1229">
      <c r="A1229" t="inlineStr">
        <is>
          <t>4/31/2026</t>
        </is>
      </c>
      <c r="B1229" t="inlineStr">
        <is>
          <t>Doualare-II</t>
        </is>
      </c>
      <c r="C1229" t="inlineStr">
        <is>
          <t>EXN_197</t>
        </is>
      </c>
      <c r="D1229" t="inlineStr"/>
      <c r="E1229" t="inlineStr">
        <is>
          <t>CAMUSAT</t>
        </is>
      </c>
      <c r="F1229" t="inlineStr">
        <is>
          <t>Medium Grid + GE</t>
        </is>
      </c>
      <c r="G1229" t="inlineStr">
        <is>
          <t>EXTREME-NORD</t>
        </is>
      </c>
      <c r="H1229" t="inlineStr">
        <is>
          <t>Maroua</t>
        </is>
      </c>
      <c r="I1229" t="inlineStr"/>
      <c r="J1229" t="n">
        <v>1.939003992662135</v>
      </c>
      <c r="K1229" t="n">
        <v>2.478656017625998</v>
      </c>
      <c r="L1229" t="n">
        <v>0</v>
      </c>
      <c r="M1229" t="n">
        <v>1.109003004853995</v>
      </c>
      <c r="N1229" t="inlineStr">
        <is>
          <t>Operationnel</t>
        </is>
      </c>
      <c r="O1229" t="inlineStr"/>
      <c r="P1229" t="inlineStr">
        <is>
          <t>AKTIVCO</t>
        </is>
      </c>
      <c r="Q1229" t="inlineStr">
        <is>
          <t>POWER ISSUE</t>
        </is>
      </c>
      <c r="R1229" t="inlineStr">
        <is>
          <t>AKTIVCO Defaut GE &amp; Power Cabinet</t>
        </is>
      </c>
      <c r="S1229" t="inlineStr">
        <is>
          <t>PASSIVE</t>
        </is>
      </c>
      <c r="T1229" t="inlineStr">
        <is>
          <t>INC-20260331-00015345...2026-03-31 23:31:40...Camusat; Grid outage GEN issue awaiting grid return (escalated to L2)...Auto TT closure RCA...GE Fault</t>
        </is>
      </c>
      <c r="U1229" t="inlineStr">
        <is>
          <t>2026-03-31 23 : 31 : 40.Camusat; Grid outage GEN issue awaiting grid return (escalated to L2).Auto TT closure RCA.GE Fault</t>
        </is>
      </c>
    </row>
    <row r="1230">
      <c r="A1230" t="inlineStr">
        <is>
          <t>4/31/2026</t>
        </is>
      </c>
      <c r="B1230" t="inlineStr">
        <is>
          <t>Emombo</t>
        </is>
      </c>
      <c r="C1230" t="inlineStr">
        <is>
          <t>CTR_212</t>
        </is>
      </c>
      <c r="D1230" t="inlineStr"/>
      <c r="E1230" t="inlineStr">
        <is>
          <t>IHS</t>
        </is>
      </c>
      <c r="F1230" t="inlineStr">
        <is>
          <t>Grid-Gen</t>
        </is>
      </c>
      <c r="G1230" t="inlineStr">
        <is>
          <t>CENTRE</t>
        </is>
      </c>
      <c r="H1230" t="inlineStr">
        <is>
          <t>Yaounde</t>
        </is>
      </c>
      <c r="I1230" t="inlineStr"/>
      <c r="J1230" t="n">
        <v>0.714777446055098</v>
      </c>
      <c r="K1230" t="n">
        <v>0.7162474371920794</v>
      </c>
      <c r="L1230" t="n">
        <v>1.385113172980321</v>
      </c>
      <c r="M1230" t="n">
        <v>1.064843350940122</v>
      </c>
      <c r="N1230" t="inlineStr">
        <is>
          <t>Operationnel</t>
        </is>
      </c>
      <c r="O1230" t="inlineStr"/>
      <c r="P1230" t="inlineStr">
        <is>
          <t>IHS</t>
        </is>
      </c>
      <c r="Q1230" t="inlineStr">
        <is>
          <t>POWER ISSUE</t>
        </is>
      </c>
      <c r="R1230" t="inlineStr">
        <is>
          <t>Defaut GE &amp; Power Cabinet</t>
        </is>
      </c>
      <c r="S1230" t="inlineStr">
        <is>
          <t>PASSIVE</t>
        </is>
      </c>
      <c r="T1230" t="inlineStr">
        <is>
          <t>INC-20260331-00000302...GE Fault</t>
        </is>
      </c>
      <c r="U1230" t="inlineStr">
        <is>
          <t>GE Fault</t>
        </is>
      </c>
    </row>
    <row r="1231">
      <c r="A1231" t="inlineStr">
        <is>
          <t>4/31/2026</t>
        </is>
      </c>
      <c r="B1231" t="inlineStr">
        <is>
          <t>Matafal</t>
        </is>
      </c>
      <c r="C1231" t="inlineStr">
        <is>
          <t>EXN_207</t>
        </is>
      </c>
      <c r="D1231" t="inlineStr"/>
      <c r="E1231" t="inlineStr">
        <is>
          <t>IHS</t>
        </is>
      </c>
      <c r="F1231" t="inlineStr">
        <is>
          <t>Hybrid-Gen</t>
        </is>
      </c>
      <c r="G1231" t="inlineStr">
        <is>
          <t>EXTREME-NORD</t>
        </is>
      </c>
      <c r="H1231" t="inlineStr">
        <is>
          <t>Matafal</t>
        </is>
      </c>
      <c r="I1231" t="inlineStr"/>
      <c r="J1231" t="n">
        <v>4.862273065295764</v>
      </c>
      <c r="K1231" t="n">
        <v>1.01423786477013</v>
      </c>
      <c r="L1231" t="n">
        <v>0</v>
      </c>
      <c r="M1231" t="n">
        <v>1.034823493612419</v>
      </c>
      <c r="N1231" t="inlineStr">
        <is>
          <t>Insecurity</t>
        </is>
      </c>
      <c r="O1231" t="inlineStr"/>
      <c r="P1231" t="inlineStr">
        <is>
          <t>IHS</t>
        </is>
      </c>
      <c r="Q1231" t="inlineStr">
        <is>
          <t>POWER ISSUE</t>
        </is>
      </c>
      <c r="R1231" t="inlineStr">
        <is>
          <t>Defaut GE &amp; Power Cabinet</t>
        </is>
      </c>
      <c r="S1231" t="inlineStr">
        <is>
          <t>PASSIVE</t>
        </is>
      </c>
      <c r="T1231" t="inlineStr">
        <is>
          <t>INC-20260331-00003469...fluctuations d'énergie 
équipe power informé à fin de stabiliser la tension ...Others Transmission equipement fault</t>
        </is>
      </c>
      <c r="U1231" t="inlineStr">
        <is>
          <t>fluctuations d'énergie équipe power informé à fin de stabiliser la tension .</t>
        </is>
      </c>
    </row>
    <row r="1232">
      <c r="A1232" t="inlineStr">
        <is>
          <t>4/31/2026</t>
        </is>
      </c>
      <c r="B1232" t="inlineStr">
        <is>
          <t>Bagarao</t>
        </is>
      </c>
      <c r="C1232" t="inlineStr">
        <is>
          <t>EXN_202</t>
        </is>
      </c>
      <c r="D1232" t="inlineStr"/>
      <c r="E1232" t="inlineStr">
        <is>
          <t>CAMUSAT</t>
        </is>
      </c>
      <c r="F1232" t="inlineStr">
        <is>
          <t>Hybrid Solar - S3</t>
        </is>
      </c>
      <c r="G1232" t="inlineStr">
        <is>
          <t>EXTREME-NORD</t>
        </is>
      </c>
      <c r="H1232" t="inlineStr">
        <is>
          <t>Bagarao</t>
        </is>
      </c>
      <c r="I1232" t="inlineStr"/>
      <c r="J1232" t="n">
        <v>3.539918683414973</v>
      </c>
      <c r="K1232" t="n">
        <v>1.517106455134157</v>
      </c>
      <c r="L1232" t="n">
        <v>0</v>
      </c>
      <c r="M1232" t="n">
        <v>1.014810196020638</v>
      </c>
      <c r="N1232" t="inlineStr">
        <is>
          <t>Insecurity</t>
        </is>
      </c>
      <c r="O1232" t="inlineStr"/>
      <c r="P1232" t="inlineStr">
        <is>
          <t>PDH</t>
        </is>
      </c>
      <c r="Q1232" t="inlineStr">
        <is>
          <t>TX ISSUE</t>
        </is>
      </c>
      <c r="R1232" t="inlineStr">
        <is>
          <t>MPR ISSUE</t>
        </is>
      </c>
      <c r="S1232" t="inlineStr">
        <is>
          <t>ACTIVE</t>
        </is>
      </c>
      <c r="T1232" t="inlineStr">
        <is>
          <t>INC-20260331-00003019...services up after hard reset MPR ...Others Transmission equipement fault</t>
        </is>
      </c>
      <c r="U1232" t="inlineStr">
        <is>
          <t>services up after hard reset MPR .</t>
        </is>
      </c>
    </row>
    <row r="1233">
      <c r="A1233" t="inlineStr">
        <is>
          <t>4/31/2026</t>
        </is>
      </c>
      <c r="B1233" t="inlineStr">
        <is>
          <t>Memve-Ele-IHS</t>
        </is>
      </c>
      <c r="C1233" t="inlineStr">
        <is>
          <t>SUD_056</t>
        </is>
      </c>
      <c r="D1233" t="inlineStr"/>
      <c r="E1233" t="inlineStr"/>
      <c r="F1233" t="inlineStr"/>
      <c r="G1233" t="inlineStr">
        <is>
          <t>SUD</t>
        </is>
      </c>
      <c r="H1233" t="inlineStr">
        <is>
          <t>Memve-Ele</t>
        </is>
      </c>
      <c r="I1233" t="inlineStr"/>
      <c r="J1233" t="n">
        <v>1.799892291899058</v>
      </c>
      <c r="K1233" t="n">
        <v>1.541191080918429</v>
      </c>
      <c r="L1233" t="n">
        <v>0</v>
      </c>
      <c r="M1233" t="n">
        <v>0.7744200748581164</v>
      </c>
      <c r="N1233" t="inlineStr">
        <is>
          <t>EXCLU</t>
        </is>
      </c>
      <c r="O1233" t="inlineStr">
        <is>
          <t>UE Relay</t>
        </is>
      </c>
      <c r="P1233" t="inlineStr">
        <is>
          <t>Exclu</t>
        </is>
      </c>
      <c r="Q1233" t="inlineStr">
        <is>
          <t>Exclu</t>
        </is>
      </c>
      <c r="R1233" t="inlineStr">
        <is>
          <t>exclu</t>
        </is>
      </c>
      <c r="S1233" t="inlineStr">
        <is>
          <t>Exclu</t>
        </is>
      </c>
      <c r="T1233" t="inlineStr">
        <is>
          <t>INC-20260331-00010557...site already up without any action , confirm by gnock...Others Transmission equipement fault</t>
        </is>
      </c>
      <c r="U1233" t="inlineStr">
        <is>
          <t>site already up without any action , confirm by gnock.</t>
        </is>
      </c>
    </row>
    <row r="1234">
      <c r="A1234" t="inlineStr">
        <is>
          <t>4/31/2026</t>
        </is>
      </c>
      <c r="B1234" t="inlineStr">
        <is>
          <t>Mimboman-Chapelle</t>
        </is>
      </c>
      <c r="C1234" t="inlineStr">
        <is>
          <t>CTR_772</t>
        </is>
      </c>
      <c r="D1234" t="inlineStr"/>
      <c r="E1234" t="inlineStr">
        <is>
          <t>CAMUSAT</t>
        </is>
      </c>
      <c r="F1234" t="inlineStr">
        <is>
          <t>Good Grid no GE - 8h</t>
        </is>
      </c>
      <c r="G1234" t="inlineStr">
        <is>
          <t>CENTRE</t>
        </is>
      </c>
      <c r="H1234" t="inlineStr">
        <is>
          <t>Yaounde</t>
        </is>
      </c>
      <c r="I1234" t="inlineStr"/>
      <c r="J1234" t="n">
        <v>0.7617381868757718</v>
      </c>
      <c r="K1234" t="n">
        <v>0.6806528827551513</v>
      </c>
      <c r="L1234" t="n">
        <v>0.8320939135459564</v>
      </c>
      <c r="M1234" t="n">
        <v>0.7712066215225173</v>
      </c>
      <c r="N1234" t="inlineStr">
        <is>
          <t>exclu</t>
        </is>
      </c>
      <c r="O1234" t="inlineStr">
        <is>
          <t>UE Relay</t>
        </is>
      </c>
      <c r="P1234" t="inlineStr">
        <is>
          <t>Exclu</t>
        </is>
      </c>
      <c r="Q1234" t="inlineStr">
        <is>
          <t>Exclu</t>
        </is>
      </c>
      <c r="R1234" t="inlineStr">
        <is>
          <t>exclu</t>
        </is>
      </c>
      <c r="S1234" t="inlineStr">
        <is>
          <t>Exclu</t>
        </is>
      </c>
      <c r="T1234" t="inlineStr">
        <is>
          <t>INC-20260331-00000299...Others Transmission equipement fault</t>
        </is>
      </c>
      <c r="U1234" t="inlineStr"/>
    </row>
    <row r="1235">
      <c r="A1235" t="inlineStr">
        <is>
          <t>4/31/2026</t>
        </is>
      </c>
      <c r="B1235" t="inlineStr">
        <is>
          <t>Ebolowa-Elat-II</t>
        </is>
      </c>
      <c r="C1235" t="inlineStr">
        <is>
          <t>SUD_100</t>
        </is>
      </c>
      <c r="D1235" t="inlineStr"/>
      <c r="E1235" t="inlineStr">
        <is>
          <t>CAMUSAT</t>
        </is>
      </c>
      <c r="F1235" t="inlineStr">
        <is>
          <t>Medium Grid + GE</t>
        </is>
      </c>
      <c r="G1235" t="inlineStr">
        <is>
          <t>SUD</t>
        </is>
      </c>
      <c r="H1235" t="inlineStr">
        <is>
          <t>Ebolowa</t>
        </is>
      </c>
      <c r="I1235" t="inlineStr"/>
      <c r="J1235" t="n">
        <v>0.4005401484359076</v>
      </c>
      <c r="K1235" t="n">
        <v>0.6923406468986181</v>
      </c>
      <c r="L1235" t="n">
        <v>0.9234087819868818</v>
      </c>
      <c r="M1235" t="n">
        <v>0.7711709513658819</v>
      </c>
      <c r="N1235" t="inlineStr">
        <is>
          <t>Operationnel</t>
        </is>
      </c>
      <c r="O1235" t="inlineStr"/>
      <c r="P1235" t="inlineStr">
        <is>
          <t>AKTIVCO</t>
        </is>
      </c>
      <c r="Q1235" t="inlineStr">
        <is>
          <t>POWER ISSUE</t>
        </is>
      </c>
      <c r="R1235" t="inlineStr">
        <is>
          <t>AKTIVCO Defaut GE &amp; Power Cabinet</t>
        </is>
      </c>
      <c r="S1235" t="inlineStr">
        <is>
          <t>PASSIVE</t>
        </is>
      </c>
      <c r="T1235" t="inlineStr">
        <is>
          <t>INC-20260331-00016104...2026-03-31 23:31:50...The technician is managing with the level 0...GE Fault</t>
        </is>
      </c>
      <c r="U1235" t="inlineStr">
        <is>
          <t>2026-03-31 23 : 31 : 50.The technician is managing with the level 0.GE Fault</t>
        </is>
      </c>
    </row>
    <row r="1236">
      <c r="A1236" t="inlineStr">
        <is>
          <t>4/31/2026</t>
        </is>
      </c>
      <c r="B1236" t="inlineStr">
        <is>
          <t>Tadu-IHS</t>
        </is>
      </c>
      <c r="C1236" t="inlineStr">
        <is>
          <t>NRO_018</t>
        </is>
      </c>
      <c r="D1236" t="inlineStr"/>
      <c r="E1236" t="inlineStr">
        <is>
          <t>IHS</t>
        </is>
      </c>
      <c r="F1236" t="inlineStr">
        <is>
          <t>Hybrid-Gen</t>
        </is>
      </c>
      <c r="G1236" t="inlineStr">
        <is>
          <t>NORD-OUEST</t>
        </is>
      </c>
      <c r="H1236" t="inlineStr">
        <is>
          <t>Tadu</t>
        </is>
      </c>
      <c r="I1236" t="inlineStr"/>
      <c r="J1236" t="n">
        <v>2.480519585495579</v>
      </c>
      <c r="K1236" t="n">
        <v>1.071024205147037</v>
      </c>
      <c r="L1236" t="n">
        <v>0</v>
      </c>
      <c r="M1236" t="n">
        <v>0.7137731463459568</v>
      </c>
      <c r="N1236" t="inlineStr">
        <is>
          <t>Insecurity</t>
        </is>
      </c>
      <c r="O1236" t="inlineStr"/>
      <c r="P1236" t="inlineStr">
        <is>
          <t>IHS</t>
        </is>
      </c>
      <c r="Q1236" t="inlineStr">
        <is>
          <t>POWER ISSUE</t>
        </is>
      </c>
      <c r="R1236" t="inlineStr">
        <is>
          <t>Defaut GE &amp; Power Cabinet</t>
        </is>
      </c>
      <c r="S1236" t="inlineStr">
        <is>
          <t>PASSIVE</t>
        </is>
      </c>
      <c r="T1236" t="inlineStr">
        <is>
          <t>INC-20260331-00002234...power ...Others Transmission equipement fault</t>
        </is>
      </c>
      <c r="U1236" t="inlineStr">
        <is>
          <t>power .</t>
        </is>
      </c>
    </row>
    <row r="1237">
      <c r="A1237" t="inlineStr">
        <is>
          <t>4/31/2026</t>
        </is>
      </c>
      <c r="B1237" t="inlineStr">
        <is>
          <t>Ndiguina</t>
        </is>
      </c>
      <c r="C1237" t="inlineStr">
        <is>
          <t>EXN_275</t>
        </is>
      </c>
      <c r="D1237" t="inlineStr"/>
      <c r="E1237" t="inlineStr">
        <is>
          <t>IHS</t>
        </is>
      </c>
      <c r="F1237" t="inlineStr">
        <is>
          <t>Hybrid solar - S3</t>
        </is>
      </c>
      <c r="G1237" t="inlineStr">
        <is>
          <t>EXTREME-NORD</t>
        </is>
      </c>
      <c r="H1237" t="inlineStr">
        <is>
          <t>Waza</t>
        </is>
      </c>
      <c r="I1237" t="inlineStr"/>
      <c r="J1237" t="n">
        <v>2.488855343776776</v>
      </c>
      <c r="K1237" t="n">
        <v>1.047443661809487</v>
      </c>
      <c r="L1237" t="n">
        <v>0</v>
      </c>
      <c r="M1237" t="n">
        <v>0.7070472314810212</v>
      </c>
      <c r="N1237" t="inlineStr">
        <is>
          <t>Insecurity</t>
        </is>
      </c>
      <c r="O1237" t="inlineStr"/>
      <c r="P1237" t="inlineStr">
        <is>
          <t>PDH</t>
        </is>
      </c>
      <c r="Q1237" t="inlineStr">
        <is>
          <t>TX ISSUE</t>
        </is>
      </c>
      <c r="R1237" t="inlineStr">
        <is>
          <t>MPR ISSUE</t>
        </is>
      </c>
      <c r="S1237" t="inlineStr">
        <is>
          <t>ACTIVE</t>
        </is>
      </c>
      <c r="T1237" t="inlineStr">
        <is>
          <t>31/03/2026 : Need BO RAN analysis ||Replace faulty FXDB || Pas d'access</t>
        </is>
      </c>
      <c r="U1237" t="inlineStr">
        <is>
          <t>31/03/2026 : Need BO RAN analysis || Replace faulty FXDB || Pas d'access</t>
        </is>
      </c>
    </row>
    <row r="1238">
      <c r="A1238" t="inlineStr">
        <is>
          <t>4/31/2026</t>
        </is>
      </c>
      <c r="B1238" t="inlineStr">
        <is>
          <t>Maroua-Marche-Abattoir</t>
        </is>
      </c>
      <c r="C1238" t="inlineStr">
        <is>
          <t>EXN_085</t>
        </is>
      </c>
      <c r="D1238" t="inlineStr"/>
      <c r="E1238" t="inlineStr">
        <is>
          <t>IHS</t>
        </is>
      </c>
      <c r="F1238" t="inlineStr">
        <is>
          <t>Grid-Gen</t>
        </is>
      </c>
      <c r="G1238" t="inlineStr">
        <is>
          <t>EXTREME-NORD</t>
        </is>
      </c>
      <c r="H1238" t="inlineStr">
        <is>
          <t>Maroua</t>
        </is>
      </c>
      <c r="I1238" t="inlineStr"/>
      <c r="J1238" t="n">
        <v>0.2853864169554253</v>
      </c>
      <c r="K1238" t="n">
        <v>0.568131589773929</v>
      </c>
      <c r="L1238" t="n">
        <v>0.9015205738212653</v>
      </c>
      <c r="M1238" t="n">
        <v>0.7016141459280376</v>
      </c>
      <c r="N1238" t="inlineStr">
        <is>
          <t>Operationnel</t>
        </is>
      </c>
      <c r="O1238" t="inlineStr"/>
      <c r="P1238" t="inlineStr">
        <is>
          <t>IHS</t>
        </is>
      </c>
      <c r="Q1238" t="inlineStr">
        <is>
          <t>POWER ISSUE</t>
        </is>
      </c>
      <c r="R1238" t="inlineStr">
        <is>
          <t>Defaut GE &amp; Power Cabinet</t>
        </is>
      </c>
      <c r="S1238" t="inlineStr">
        <is>
          <t>PASSIVE</t>
        </is>
      </c>
      <c r="T1238" t="inlineStr">
        <is>
          <t>31/03/2026 : Power instability || Mail sent to Camusat..;31/03/2026 : Power instability || Mail sent to Camusat</t>
        </is>
      </c>
      <c r="U1238" t="inlineStr">
        <is>
          <t>31/03/2026 : Power instability || Mail sent to Camusat.;31/03/2026 : Power instability || Mail sent to Camusat</t>
        </is>
      </c>
    </row>
    <row r="1239">
      <c r="A1239" t="inlineStr">
        <is>
          <t>4/31/2026</t>
        </is>
      </c>
      <c r="B1239" t="inlineStr">
        <is>
          <t>Cite-Berge-EPC</t>
        </is>
      </c>
      <c r="C1239" t="inlineStr">
        <is>
          <t>LIT_656</t>
        </is>
      </c>
      <c r="D1239" t="inlineStr"/>
      <c r="E1239" t="inlineStr">
        <is>
          <t>CAMUSAT</t>
        </is>
      </c>
      <c r="F1239" t="inlineStr">
        <is>
          <t>Good Grid no GE - 8h</t>
        </is>
      </c>
      <c r="G1239" t="inlineStr">
        <is>
          <t>LITTORAL</t>
        </is>
      </c>
      <c r="H1239" t="inlineStr">
        <is>
          <t>Douala</t>
        </is>
      </c>
      <c r="I1239" t="inlineStr"/>
      <c r="J1239" t="n">
        <v>0.4020388954833759</v>
      </c>
      <c r="K1239" t="n">
        <v>0.4578947234207495</v>
      </c>
      <c r="L1239" t="n">
        <v>0.9234087819868818</v>
      </c>
      <c r="M1239" t="n">
        <v>0.6926787716910232</v>
      </c>
      <c r="N1239" t="inlineStr">
        <is>
          <t>Operationnel</t>
        </is>
      </c>
      <c r="O1239" t="inlineStr"/>
      <c r="P1239" t="inlineStr">
        <is>
          <t>AKTIVCO GRID ONLY</t>
        </is>
      </c>
      <c r="Q1239" t="inlineStr">
        <is>
          <t>POWER ISSUE</t>
        </is>
      </c>
      <c r="R1239" t="inlineStr">
        <is>
          <t>AKTIVCO Coupure ENEO &amp; Baisse de tension</t>
        </is>
      </c>
      <c r="S1239" t="inlineStr">
        <is>
          <t>PASSIVE</t>
        </is>
      </c>
      <c r="T1239" t="inlineStr">
        <is>
          <t>INC-20260331-00008583...GE Fault</t>
        </is>
      </c>
      <c r="U1239" t="inlineStr">
        <is>
          <t>GE Fault</t>
        </is>
      </c>
    </row>
    <row r="1240">
      <c r="A1240" t="inlineStr">
        <is>
          <t>4/31/2026</t>
        </is>
      </c>
      <c r="B1240" t="inlineStr">
        <is>
          <t>Mogode</t>
        </is>
      </c>
      <c r="C1240" t="inlineStr">
        <is>
          <t>EXN_024</t>
        </is>
      </c>
      <c r="D1240" t="inlineStr"/>
      <c r="E1240" t="inlineStr">
        <is>
          <t>IHS</t>
        </is>
      </c>
      <c r="F1240" t="inlineStr">
        <is>
          <t>Solar-Grid-Gen</t>
        </is>
      </c>
      <c r="G1240" t="inlineStr">
        <is>
          <t>EXTREME-NORD</t>
        </is>
      </c>
      <c r="H1240" t="inlineStr">
        <is>
          <t>Mogode</t>
        </is>
      </c>
      <c r="I1240" t="inlineStr"/>
      <c r="J1240" t="n">
        <v>4.801144171233652</v>
      </c>
      <c r="K1240" t="n">
        <v>0</v>
      </c>
      <c r="L1240" t="n">
        <v>0</v>
      </c>
      <c r="M1240" t="n">
        <v>0.685602943752558</v>
      </c>
      <c r="N1240" t="inlineStr">
        <is>
          <t>Insecurity</t>
        </is>
      </c>
      <c r="O1240" t="inlineStr"/>
      <c r="P1240" t="inlineStr">
        <is>
          <t>IHS</t>
        </is>
      </c>
      <c r="Q1240" t="inlineStr">
        <is>
          <t>POWER ISSUE</t>
        </is>
      </c>
      <c r="R1240" t="inlineStr">
        <is>
          <t>DEfaut GE &amp; Power Cabinet</t>
        </is>
      </c>
      <c r="S1240" t="inlineStr">
        <is>
          <t>PASSIVE</t>
        </is>
      </c>
      <c r="T1240" t="inlineStr">
        <is>
          <t>INC-20260331-00001395...power issue ...Others Transmission equipement fault</t>
        </is>
      </c>
      <c r="U1240" t="inlineStr">
        <is>
          <t>power issue .</t>
        </is>
      </c>
    </row>
    <row r="1241">
      <c r="A1241" t="inlineStr">
        <is>
          <t>4/31/2026</t>
        </is>
      </c>
      <c r="B1241" t="inlineStr">
        <is>
          <t>Ngd-Bamyangal-rural</t>
        </is>
      </c>
      <c r="C1241" t="inlineStr">
        <is>
          <t>ADM_151</t>
        </is>
      </c>
      <c r="D1241" t="inlineStr"/>
      <c r="E1241" t="inlineStr">
        <is>
          <t>CAMUSAT</t>
        </is>
      </c>
      <c r="F1241" t="inlineStr">
        <is>
          <t>Medium Grid + Solar + GE</t>
        </is>
      </c>
      <c r="G1241" t="inlineStr">
        <is>
          <t>ADAMAOUA</t>
        </is>
      </c>
      <c r="H1241" t="inlineStr">
        <is>
          <t>Ngaoundere</t>
        </is>
      </c>
      <c r="I1241" t="inlineStr"/>
      <c r="J1241" t="n">
        <v>0.7631120383359513</v>
      </c>
      <c r="K1241" t="n">
        <v>0.9739626365555858</v>
      </c>
      <c r="L1241" t="n">
        <v>0.4731614999551291</v>
      </c>
      <c r="M1241" t="n">
        <v>0.6826911278332805</v>
      </c>
      <c r="N1241" t="inlineStr">
        <is>
          <t>Operationnel</t>
        </is>
      </c>
      <c r="O1241" t="inlineStr"/>
      <c r="P1241" t="inlineStr">
        <is>
          <t>AKTIVCO</t>
        </is>
      </c>
      <c r="Q1241" t="inlineStr">
        <is>
          <t>POWER ISSUE</t>
        </is>
      </c>
      <c r="R1241" t="inlineStr">
        <is>
          <t>AKTIVCO Defaut GE &amp; Power Cabinet</t>
        </is>
      </c>
      <c r="S1241" t="inlineStr">
        <is>
          <t>PASSIVE</t>
        </is>
      </c>
      <c r="T1241" t="inlineStr">
        <is>
          <t>INC-20260331-00005373...GE Fault</t>
        </is>
      </c>
      <c r="U1241" t="inlineStr">
        <is>
          <t>GE Fault</t>
        </is>
      </c>
    </row>
    <row r="1242">
      <c r="A1242" t="inlineStr">
        <is>
          <t>4/31/2026</t>
        </is>
      </c>
      <c r="B1242" t="inlineStr">
        <is>
          <t>MOLYKO-CHIEF-STREET-MTN</t>
        </is>
      </c>
      <c r="C1242" t="inlineStr">
        <is>
          <t>SUO_228</t>
        </is>
      </c>
      <c r="D1242" t="inlineStr"/>
      <c r="E1242" t="inlineStr">
        <is>
          <t>MTN sharing</t>
        </is>
      </c>
      <c r="F1242" t="inlineStr"/>
      <c r="G1242" t="inlineStr">
        <is>
          <t>SUD-OUEST</t>
        </is>
      </c>
      <c r="H1242" t="inlineStr">
        <is>
          <t>Buea</t>
        </is>
      </c>
      <c r="I1242" t="inlineStr"/>
      <c r="J1242" t="n">
        <v>0.4627381509058427</v>
      </c>
      <c r="K1242" t="n">
        <v>0.8008774748309311</v>
      </c>
      <c r="L1242" t="n">
        <v>0.4827375910275858</v>
      </c>
      <c r="M1242" t="n">
        <v>0.5866849012507385</v>
      </c>
      <c r="N1242" t="inlineStr">
        <is>
          <t>Operationnel</t>
        </is>
      </c>
      <c r="O1242" t="inlineStr"/>
      <c r="P1242" t="inlineStr">
        <is>
          <t>Partners</t>
        </is>
      </c>
      <c r="Q1242" t="inlineStr">
        <is>
          <t>POWER ISSUE</t>
        </is>
      </c>
      <c r="R1242" t="inlineStr">
        <is>
          <t>Sharing</t>
        </is>
      </c>
      <c r="S1242" t="inlineStr">
        <is>
          <t>PASSIVE</t>
        </is>
      </c>
      <c r="T1242" t="inlineStr">
        <is>
          <t>19/03/2026: Relance faite a MTN ce jour || Escalade faite a silvain
18/03/2026 : Power instability || Mail sent to MTN</t>
        </is>
      </c>
      <c r="U1242" t="inlineStr">
        <is>
          <t>19/03/2026 : Relance faite a MTN ce jour || Escalade faite a silvain 18/03/2026 : Power instability || Mail sent to MTN</t>
        </is>
      </c>
    </row>
    <row r="1243">
      <c r="A1243" t="inlineStr">
        <is>
          <t>4/31/2026</t>
        </is>
      </c>
      <c r="B1243" t="inlineStr">
        <is>
          <t>Kouedjou-IHS</t>
        </is>
      </c>
      <c r="C1243" t="inlineStr">
        <is>
          <t>LIT_502</t>
        </is>
      </c>
      <c r="D1243" t="inlineStr"/>
      <c r="E1243" t="inlineStr">
        <is>
          <t>IHS</t>
        </is>
      </c>
      <c r="F1243" t="inlineStr">
        <is>
          <t>Gen Only</t>
        </is>
      </c>
      <c r="G1243" t="inlineStr">
        <is>
          <t>LITTORAL</t>
        </is>
      </c>
      <c r="H1243" t="inlineStr">
        <is>
          <t>Kouedjou</t>
        </is>
      </c>
      <c r="I1243" t="inlineStr"/>
      <c r="J1243" t="n">
        <v>1.668540949286257</v>
      </c>
      <c r="K1243" t="n">
        <v>0.7052503136570888</v>
      </c>
      <c r="L1243" t="n">
        <v>0</v>
      </c>
      <c r="M1243" t="n">
        <v>0.4750281579531409</v>
      </c>
      <c r="N1243" t="inlineStr">
        <is>
          <t>Operationnel</t>
        </is>
      </c>
      <c r="O1243" t="inlineStr"/>
      <c r="P1243" t="inlineStr">
        <is>
          <t>IHS</t>
        </is>
      </c>
      <c r="Q1243" t="inlineStr">
        <is>
          <t>POWER ISSUE</t>
        </is>
      </c>
      <c r="R1243" t="inlineStr">
        <is>
          <t>Defaut GE &amp; Power Cabinet</t>
        </is>
      </c>
      <c r="S1243" t="inlineStr">
        <is>
          <t>PASSIVE</t>
        </is>
      </c>
      <c r="T1243" t="inlineStr">
        <is>
          <t>INC-20260331-00015717...2026-03-31 23:15:09...	Cylinder head gasket pierced // cylinder head gasket colmated...There's a power issue on the site, confirmed by the power team, and they're taking steps to get the site back up and running. Tel: 699115050...Others</t>
        </is>
      </c>
      <c r="U1243" t="inlineStr">
        <is>
          <t>2026-03-31 23 : 15 : 09. Cylinder head gasket pierced // cylinder head gasket colmated.There's a power issue on the site, confirmed by the power team, and they're taking steps to get the site back up and running. Tel : 699115050.Others</t>
        </is>
      </c>
    </row>
    <row r="1244">
      <c r="A1244" t="inlineStr">
        <is>
          <t>4/31/2026</t>
        </is>
      </c>
      <c r="B1244" t="inlineStr">
        <is>
          <t>Ngd-Dang</t>
        </is>
      </c>
      <c r="C1244" t="inlineStr">
        <is>
          <t>ADM_017</t>
        </is>
      </c>
      <c r="D1244" t="inlineStr"/>
      <c r="E1244" t="inlineStr">
        <is>
          <t>IHS</t>
        </is>
      </c>
      <c r="F1244" t="inlineStr">
        <is>
          <t>Grid-Gen</t>
        </is>
      </c>
      <c r="G1244" t="inlineStr">
        <is>
          <t>ADAMAOUA</t>
        </is>
      </c>
      <c r="H1244" t="inlineStr">
        <is>
          <t>Ngaoundere</t>
        </is>
      </c>
      <c r="I1244" t="inlineStr"/>
      <c r="J1244" t="n">
        <v>0.6126128556526744</v>
      </c>
      <c r="K1244" t="n">
        <v>0.7711268024657356</v>
      </c>
      <c r="L1244" t="n">
        <v>0.1429573595816726</v>
      </c>
      <c r="M1244" t="n">
        <v>0.4209078482905433</v>
      </c>
      <c r="N1244" t="inlineStr">
        <is>
          <t>Operationnel</t>
        </is>
      </c>
      <c r="O1244" t="inlineStr"/>
      <c r="P1244" t="inlineStr">
        <is>
          <t>IHS</t>
        </is>
      </c>
      <c r="Q1244" t="inlineStr">
        <is>
          <t>POWER ISSUE</t>
        </is>
      </c>
      <c r="R1244" t="inlineStr">
        <is>
          <t>Defaut GE &amp; Power Cabinet</t>
        </is>
      </c>
      <c r="S1244" t="inlineStr">
        <is>
          <t>PASSIVE</t>
        </is>
      </c>
      <c r="T1244" t="inlineStr">
        <is>
          <t>INC-20260331-00012504...GE Fault</t>
        </is>
      </c>
      <c r="U1244" t="inlineStr">
        <is>
          <t>GE Fault</t>
        </is>
      </c>
    </row>
    <row r="1245">
      <c r="A1245" t="inlineStr">
        <is>
          <t>4/31/2026</t>
        </is>
      </c>
      <c r="B1245" t="inlineStr">
        <is>
          <t>Kumba-Mbo-Street-IHS</t>
        </is>
      </c>
      <c r="C1245" t="inlineStr">
        <is>
          <t>SUO_116</t>
        </is>
      </c>
      <c r="D1245" t="inlineStr"/>
      <c r="E1245" t="inlineStr">
        <is>
          <t>IHS</t>
        </is>
      </c>
      <c r="F1245" t="inlineStr">
        <is>
          <t>Grid-Gen</t>
        </is>
      </c>
      <c r="G1245" t="inlineStr">
        <is>
          <t>SUD-OUEST</t>
        </is>
      </c>
      <c r="H1245" t="inlineStr">
        <is>
          <t>Kumba</t>
        </is>
      </c>
      <c r="I1245" t="inlineStr"/>
      <c r="J1245" t="n">
        <v>0.4327632099564764</v>
      </c>
      <c r="K1245" t="n">
        <v>0.7395167130777155</v>
      </c>
      <c r="L1245" t="n">
        <v>0.1446673758446112</v>
      </c>
      <c r="M1245" t="n">
        <v>0.3855052178305125</v>
      </c>
      <c r="N1245" t="inlineStr">
        <is>
          <t>Operationnel</t>
        </is>
      </c>
      <c r="O1245" t="inlineStr"/>
      <c r="P1245" t="inlineStr">
        <is>
          <t>IHS</t>
        </is>
      </c>
      <c r="Q1245" t="inlineStr">
        <is>
          <t>POWER ISSUE</t>
        </is>
      </c>
      <c r="R1245" t="inlineStr">
        <is>
          <t>Defaut GE &amp; Power Cabinet</t>
        </is>
      </c>
      <c r="S1245" t="inlineStr">
        <is>
          <t>PASSIVE</t>
        </is>
      </c>
      <c r="T1245" t="inlineStr">
        <is>
          <t>INC-20260331-00006589...GE Fault</t>
        </is>
      </c>
      <c r="U1245" t="inlineStr">
        <is>
          <t>GE Fault</t>
        </is>
      </c>
    </row>
    <row r="1246">
      <c r="A1246" t="inlineStr">
        <is>
          <t>4/31/2026</t>
        </is>
      </c>
      <c r="B1246" t="inlineStr">
        <is>
          <t>Guili-Centre-IHS</t>
        </is>
      </c>
      <c r="C1246" t="inlineStr">
        <is>
          <t>EXN_173</t>
        </is>
      </c>
      <c r="D1246" t="inlineStr"/>
      <c r="E1246" t="inlineStr">
        <is>
          <t>IHS</t>
        </is>
      </c>
      <c r="F1246" t="inlineStr">
        <is>
          <t>Grid-Gen</t>
        </is>
      </c>
      <c r="G1246" t="inlineStr">
        <is>
          <t>EXTREME-NORD</t>
        </is>
      </c>
      <c r="H1246" t="inlineStr">
        <is>
          <t>Guili</t>
        </is>
      </c>
      <c r="I1246" t="inlineStr"/>
      <c r="J1246" t="n">
        <v>1.090216143686244</v>
      </c>
      <c r="K1246" t="n">
        <v>0.5257141787271049</v>
      </c>
      <c r="L1246" t="n">
        <v>0</v>
      </c>
      <c r="M1246" t="n">
        <v>0.3321710779149261</v>
      </c>
      <c r="N1246" t="inlineStr">
        <is>
          <t>Insecurity</t>
        </is>
      </c>
      <c r="O1246" t="inlineStr"/>
      <c r="P1246" t="inlineStr">
        <is>
          <t>IHS</t>
        </is>
      </c>
      <c r="Q1246" t="inlineStr">
        <is>
          <t>POWER ISSUE</t>
        </is>
      </c>
      <c r="R1246" t="inlineStr">
        <is>
          <t>Defaut GE &amp; Power Cabinet</t>
        </is>
      </c>
      <c r="S1246" t="inlineStr">
        <is>
          <t>PASSIVE</t>
        </is>
      </c>
      <c r="T1246" t="inlineStr">
        <is>
          <t>INC-20260331-00014578...GE Fault</t>
        </is>
      </c>
      <c r="U1246" t="inlineStr">
        <is>
          <t>GE Fault</t>
        </is>
      </c>
    </row>
    <row r="1247">
      <c r="A1247" t="inlineStr">
        <is>
          <t>4/31/2026</t>
        </is>
      </c>
      <c r="B1247" t="inlineStr">
        <is>
          <t>Foumbot-Centre-Ville-II</t>
        </is>
      </c>
      <c r="C1247" t="inlineStr">
        <is>
          <t>OST_227</t>
        </is>
      </c>
      <c r="D1247" t="inlineStr"/>
      <c r="E1247" t="inlineStr">
        <is>
          <t>CAMUSAT</t>
        </is>
      </c>
      <c r="F1247" t="inlineStr">
        <is>
          <t>Medium Grid + GE</t>
        </is>
      </c>
      <c r="G1247" t="inlineStr">
        <is>
          <t>OUEST</t>
        </is>
      </c>
      <c r="H1247" t="inlineStr">
        <is>
          <t>Foumbot</t>
        </is>
      </c>
      <c r="I1247" t="inlineStr"/>
      <c r="J1247" t="n">
        <v>0.5245614666139107</v>
      </c>
      <c r="K1247" t="n">
        <v>0.6703995260292883</v>
      </c>
      <c r="L1247" t="n">
        <v>0.04907746674633974</v>
      </c>
      <c r="M1247" t="n">
        <v>0.3255615196057449</v>
      </c>
      <c r="N1247" t="inlineStr">
        <is>
          <t>Operationnel</t>
        </is>
      </c>
      <c r="O1247" t="inlineStr"/>
      <c r="P1247" t="inlineStr">
        <is>
          <t>BSS</t>
        </is>
      </c>
      <c r="Q1247" t="inlineStr">
        <is>
          <t>RAN ISSUE</t>
        </is>
      </c>
      <c r="R1247" t="inlineStr">
        <is>
          <t>BSS Hardware issue</t>
        </is>
      </c>
      <c r="S1247" t="inlineStr">
        <is>
          <t>ACTIVE</t>
        </is>
      </c>
      <c r="T1247" t="inlineStr">
        <is>
          <t>31/03/2026 : ETA 14h
30/03/2026 : FME active
28/03/2026 : Besoin d'analyse BO RAN || Check and clean jumper, port 2 of RRU 81..;31/03/2026 : ETA 14h || RF Jumper MQ5 faulty || Cde en cours
30/03/2026 : FME active
28/03/2026 : Besoin d'analyse BO RAN || Check and clean jumper, port 2 of RRU 81..;31/03/2026 : ETA 14h || RF Jumper MQ5 faulty || Cde passee a HW SPMS || Besoin envoye a a Huawei Projet
30/03/2026 : FME active
28/03/2026 : Besoin d'analyse BO RAN || Check and clean jumper, port 2 of RRU 81..;31/03/2026 : ETA 14h || RF Jumper MQ5 faulty || Cde passee a HW SPMS || Besoin envoye a a Huawei Projet
30/03/2026 : FME active
28/03/2026 : Besoin d'analyse BO RAN || Check and clean jumper, port 2 of RRU 81</t>
        </is>
      </c>
      <c r="U1247" t="inlineStr">
        <is>
          <t>31/03/2026 : ETA 14h 30/03/2026 : FME active 28/03/2026 : Besoin d'analyse BO RAN || Check and clean jumper, port 2 of RRU 81.;31/03/2026 : ETA 14h || RF Jumper MQ5 faulty || Cde en cours 30/03/2026 : FME active 28/03/2026 : Besoin d'analyse BO RAN || Check and clean jumper, port 2 of RRU 81.;31/03/2026 : ETA 14h || RF Jumper MQ5 faulty || Cde passee a HW SPMS || Besoin envoye a a Huawei Projet 30/03/2026 : FME active 28/03/2026 : Besoin d'analyse BO RAN || Check and clean jumper, port 2 of RRU 81.;31/03/2026 : ETA 14h || RF Jumper MQ5 faulty || Cde passee a HW SPMS || Besoin envoye a a Huawei Projet 30/03/2026 : FME active 28/03/2026 : Besoin d'analyse BO RAN || Check and clean jumper, port 2 of RRU 81</t>
        </is>
      </c>
    </row>
    <row r="1248">
      <c r="A1248" t="inlineStr">
        <is>
          <t>4/31/2026</t>
        </is>
      </c>
      <c r="B1248" t="inlineStr">
        <is>
          <t>Bourha</t>
        </is>
      </c>
      <c r="C1248" t="inlineStr">
        <is>
          <t>EXN_019</t>
        </is>
      </c>
      <c r="D1248" t="inlineStr"/>
      <c r="E1248" t="inlineStr">
        <is>
          <t>IHS</t>
        </is>
      </c>
      <c r="F1248" t="inlineStr">
        <is>
          <t>Grid-Gen</t>
        </is>
      </c>
      <c r="G1248" t="inlineStr">
        <is>
          <t>EXTREME-NORD</t>
        </is>
      </c>
      <c r="H1248" t="inlineStr">
        <is>
          <t>Bourrah</t>
        </is>
      </c>
      <c r="I1248" t="inlineStr"/>
      <c r="J1248" t="n">
        <v>1.095141819034224</v>
      </c>
      <c r="K1248" t="n">
        <v>0.4826794657640983</v>
      </c>
      <c r="L1248" t="n">
        <v>0</v>
      </c>
      <c r="M1248" t="n">
        <v>0.3184272143944341</v>
      </c>
      <c r="N1248" t="inlineStr">
        <is>
          <t>Insecurity</t>
        </is>
      </c>
      <c r="O1248" t="inlineStr"/>
      <c r="P1248" t="inlineStr">
        <is>
          <t>IHS</t>
        </is>
      </c>
      <c r="Q1248" t="inlineStr">
        <is>
          <t>POWER ISSUE</t>
        </is>
      </c>
      <c r="R1248" t="inlineStr">
        <is>
          <t>Defaut GE &amp; Power Cabinet</t>
        </is>
      </c>
      <c r="S1248" t="inlineStr">
        <is>
          <t>PASSIVE</t>
        </is>
      </c>
      <c r="T1248" t="inlineStr">
        <is>
          <t>INC-20260331-00001295...GE Fault</t>
        </is>
      </c>
      <c r="U1248" t="inlineStr">
        <is>
          <t>GE Fault</t>
        </is>
      </c>
    </row>
    <row r="1249">
      <c r="A1249" t="inlineStr">
        <is>
          <t>4/31/2026</t>
        </is>
      </c>
      <c r="B1249" t="inlineStr">
        <is>
          <t>Sop-MTN</t>
        </is>
      </c>
      <c r="C1249" t="inlineStr">
        <is>
          <t>NRO_258</t>
        </is>
      </c>
      <c r="D1249" t="inlineStr"/>
      <c r="E1249" t="inlineStr">
        <is>
          <t>IHS</t>
        </is>
      </c>
      <c r="F1249" t="inlineStr">
        <is>
          <t>Grid-Gen</t>
        </is>
      </c>
      <c r="G1249" t="inlineStr">
        <is>
          <t>NORD-OUEST</t>
        </is>
      </c>
      <c r="H1249" t="inlineStr">
        <is>
          <t>Sop</t>
        </is>
      </c>
      <c r="I1249" t="inlineStr"/>
      <c r="J1249" t="n">
        <v>0</v>
      </c>
      <c r="K1249" t="n">
        <v>0.695953228542965</v>
      </c>
      <c r="L1249" t="n">
        <v>0</v>
      </c>
      <c r="M1249" t="n">
        <v>0.2336395259578864</v>
      </c>
      <c r="N1249" t="inlineStr">
        <is>
          <t>Insecurity</t>
        </is>
      </c>
      <c r="O1249" t="inlineStr"/>
      <c r="P1249" t="inlineStr">
        <is>
          <t>IHS</t>
        </is>
      </c>
      <c r="Q1249" t="inlineStr">
        <is>
          <t>POWER ISSUE</t>
        </is>
      </c>
      <c r="R1249" t="inlineStr">
        <is>
          <t>Defaut GE &amp; Power Cabinet</t>
        </is>
      </c>
      <c r="S1249" t="inlineStr">
        <is>
          <t>PASSIVE</t>
        </is>
      </c>
      <c r="T1249" t="inlineStr">
        <is>
          <t>INC-20260331-00001992...power issue ...Others Transmission equipement fault</t>
        </is>
      </c>
      <c r="U1249" t="inlineStr">
        <is>
          <t>power issue .</t>
        </is>
      </c>
    </row>
    <row r="1250">
      <c r="A1250" t="inlineStr">
        <is>
          <t>4/31/2026</t>
        </is>
      </c>
      <c r="B1250" t="inlineStr">
        <is>
          <t>Mokola-MTN</t>
        </is>
      </c>
      <c r="C1250" t="inlineStr">
        <is>
          <t>EXN_142</t>
        </is>
      </c>
      <c r="D1250" t="inlineStr"/>
      <c r="E1250" t="inlineStr">
        <is>
          <t>IHS</t>
        </is>
      </c>
      <c r="F1250" t="inlineStr">
        <is>
          <t>Grid-Gen</t>
        </is>
      </c>
      <c r="G1250" t="inlineStr">
        <is>
          <t>EXTREME-NORD</t>
        </is>
      </c>
      <c r="H1250" t="inlineStr">
        <is>
          <t>Mokola</t>
        </is>
      </c>
      <c r="I1250" t="inlineStr"/>
      <c r="J1250" t="n">
        <v>0.8444375737588308</v>
      </c>
      <c r="K1250" t="n">
        <v>0.1755922547441213</v>
      </c>
      <c r="L1250" t="n">
        <v>0</v>
      </c>
      <c r="M1250" t="n">
        <v>0.1795339526601204</v>
      </c>
      <c r="N1250" t="inlineStr">
        <is>
          <t>Insecurity</t>
        </is>
      </c>
      <c r="O1250" t="inlineStr"/>
      <c r="P1250" t="inlineStr">
        <is>
          <t>TRAVAUX OCM</t>
        </is>
      </c>
      <c r="Q1250" t="inlineStr">
        <is>
          <t>TRAVAUX OCM</t>
        </is>
      </c>
      <c r="R1250" t="inlineStr">
        <is>
          <t>Projet OCM (ZTE, NOKIA, autres projets)</t>
        </is>
      </c>
      <c r="S1250" t="inlineStr">
        <is>
          <t>PLANNED WORKS</t>
        </is>
      </c>
      <c r="T1250" t="inlineStr">
        <is>
          <t xml:space="preserve">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 </t>
        </is>
      </c>
      <c r="U1250" t="inlineStr">
        <is>
          <t>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 .;30/03/2026 : Feedback du P.M : : despite ARMA module , RF, OF SFP, replacement, we are facing the same issue, the BO RAN Ivan had configured a new port on the Airscale but the same alarm is coming, we also work with another BO wireless who requested to change the antenna port so the GSM antenna must be replaced, looking for spare 26/03/2026 : Travaux equipe projet en cours || ETA : Ce jour || Intervention en cours 25/03/2026 : ARMA faulty || commande faulty || ETR : 26/03/2026 23/03/2026 : ETD 24032026 21/03/2026 : Cde en cours 20/03/2026 : SFP faulty</t>
        </is>
      </c>
    </row>
    <row r="1251">
      <c r="A1251" t="inlineStr">
        <is>
          <t>4/31/2026</t>
        </is>
      </c>
      <c r="B1251" t="inlineStr">
        <is>
          <t>Mazera-IHS</t>
        </is>
      </c>
      <c r="C1251" t="inlineStr">
        <is>
          <t>EXN_226</t>
        </is>
      </c>
      <c r="D1251" t="inlineStr"/>
      <c r="E1251" t="inlineStr">
        <is>
          <t>IHS</t>
        </is>
      </c>
      <c r="F1251" t="inlineStr">
        <is>
          <t>Hybrid-Gen</t>
        </is>
      </c>
      <c r="G1251" t="inlineStr">
        <is>
          <t>EXTREME-NORD</t>
        </is>
      </c>
      <c r="H1251" t="inlineStr">
        <is>
          <t>Mazera</t>
        </is>
      </c>
      <c r="I1251" t="inlineStr"/>
      <c r="J1251" t="n">
        <v>0.5009032930791988</v>
      </c>
      <c r="K1251" t="n">
        <v>0.3086810892778654</v>
      </c>
      <c r="L1251" t="n">
        <v>0</v>
      </c>
      <c r="M1251" t="n">
        <v>0.1751567459430235</v>
      </c>
      <c r="N1251" t="inlineStr">
        <is>
          <t>Insecurity</t>
        </is>
      </c>
      <c r="O1251" t="inlineStr"/>
      <c r="P1251" t="inlineStr">
        <is>
          <t>TRAVAUX OCM</t>
        </is>
      </c>
      <c r="Q1251" t="inlineStr">
        <is>
          <t>TRAVAUX OCM</t>
        </is>
      </c>
      <c r="R1251" t="inlineStr">
        <is>
          <t>Projet OCM (ZTE, NOKIA, autres projets)</t>
        </is>
      </c>
      <c r="S1251" t="inlineStr">
        <is>
          <t>PLANNED WORKS</t>
        </is>
      </c>
      <c r="T1251" t="inlineStr">
        <is>
          <t xml:space="preserve">27/03/2026 : Projet en cours ..;27/03/2026 : Projet en cours ..;27/03/2026 : Projet en cours ..;27/03/2026 : Projet en cours </t>
        </is>
      </c>
      <c r="U1251" t="inlineStr">
        <is>
          <t>27/03/2026 : Projet en cours .;27/03/2026 : Projet en cours .;27/03/2026 : Projet en cours .;27/03/2026 : Projet en cours</t>
        </is>
      </c>
    </row>
    <row r="1252">
      <c r="A1252" t="inlineStr">
        <is>
          <t>4/31/2026</t>
        </is>
      </c>
      <c r="B1252" t="inlineStr">
        <is>
          <t>Wakwa-IHS</t>
        </is>
      </c>
      <c r="C1252" t="inlineStr">
        <is>
          <t>ADM_078</t>
        </is>
      </c>
      <c r="D1252" t="inlineStr"/>
      <c r="E1252" t="inlineStr">
        <is>
          <t>IHS</t>
        </is>
      </c>
      <c r="F1252" t="inlineStr">
        <is>
          <t>Grid-Gen</t>
        </is>
      </c>
      <c r="G1252" t="inlineStr">
        <is>
          <t>ADAMAOUA</t>
        </is>
      </c>
      <c r="H1252" t="inlineStr">
        <is>
          <t>Wakwa</t>
        </is>
      </c>
      <c r="I1252" t="inlineStr"/>
      <c r="J1252" t="n">
        <v>0.5328570331571205</v>
      </c>
      <c r="K1252" t="n">
        <v>0.2486593990750315</v>
      </c>
      <c r="L1252" t="n">
        <v>0.02840417430542316</v>
      </c>
      <c r="M1252" t="n">
        <v>0.174382215291776</v>
      </c>
      <c r="N1252" t="inlineStr">
        <is>
          <t>Operationnel</t>
        </is>
      </c>
      <c r="O1252" t="inlineStr"/>
      <c r="P1252" t="inlineStr">
        <is>
          <t>PDH</t>
        </is>
      </c>
      <c r="Q1252" t="inlineStr">
        <is>
          <t>TX ISSUE</t>
        </is>
      </c>
      <c r="R1252" t="inlineStr">
        <is>
          <t>MPR ISSUE</t>
        </is>
      </c>
      <c r="S1252" t="inlineStr">
        <is>
          <t>ACTIVE</t>
        </is>
      </c>
      <c r="T1252" t="inlineStr">
        <is>
          <t>31/03/2026 : Check breaker and  interconnection(sfp, optical fiber) between system and radio module, swap its if needed</t>
        </is>
      </c>
      <c r="U1252" t="inlineStr">
        <is>
          <t>31/03/2026 : Check breaker and interconnection(sfp, optical fiber) between system and radio module, swap its if needed</t>
        </is>
      </c>
    </row>
    <row r="1253">
      <c r="A1253" t="inlineStr">
        <is>
          <t>4/31/2026</t>
        </is>
      </c>
      <c r="B1253" t="inlineStr">
        <is>
          <t>Akongo-IHS</t>
        </is>
      </c>
      <c r="C1253" t="inlineStr">
        <is>
          <t>CTR_436</t>
        </is>
      </c>
      <c r="D1253" t="inlineStr"/>
      <c r="E1253" t="inlineStr">
        <is>
          <t>IHS</t>
        </is>
      </c>
      <c r="F1253" t="inlineStr">
        <is>
          <t>Gen Only</t>
        </is>
      </c>
      <c r="G1253" t="inlineStr">
        <is>
          <t>CENTRE</t>
        </is>
      </c>
      <c r="H1253" t="inlineStr">
        <is>
          <t>Akongo</t>
        </is>
      </c>
      <c r="I1253" t="inlineStr"/>
      <c r="J1253" t="n">
        <v>0.2030893835782531</v>
      </c>
      <c r="K1253" t="n">
        <v>0.2063952895335436</v>
      </c>
      <c r="L1253" t="n">
        <v>0</v>
      </c>
      <c r="M1253" t="n">
        <v>0.0982904244610132</v>
      </c>
      <c r="N1253" t="inlineStr">
        <is>
          <t>EXCLU</t>
        </is>
      </c>
      <c r="O1253" t="inlineStr">
        <is>
          <t>UE Relay</t>
        </is>
      </c>
      <c r="P1253" t="inlineStr">
        <is>
          <t>Exclu</t>
        </is>
      </c>
      <c r="Q1253" t="inlineStr">
        <is>
          <t>Exclu</t>
        </is>
      </c>
      <c r="R1253" t="inlineStr">
        <is>
          <t>exclu</t>
        </is>
      </c>
      <c r="S1253" t="inlineStr">
        <is>
          <t>Exclu</t>
        </is>
      </c>
      <c r="T1253" t="inlineStr">
        <is>
          <t>INC-20260331-00004142...Others Transmission equipement fault</t>
        </is>
      </c>
      <c r="U1253" t="inlineStr"/>
    </row>
    <row r="1254">
      <c r="A1254" t="inlineStr">
        <is>
          <t>4/31/2026</t>
        </is>
      </c>
      <c r="B1254" t="inlineStr">
        <is>
          <t>Ngbetnsouen</t>
        </is>
      </c>
      <c r="C1254" t="inlineStr">
        <is>
          <t>OST_219</t>
        </is>
      </c>
      <c r="D1254" t="inlineStr"/>
      <c r="E1254" t="inlineStr">
        <is>
          <t>IHS</t>
        </is>
      </c>
      <c r="F1254" t="inlineStr">
        <is>
          <t>Grid-Gen</t>
        </is>
      </c>
      <c r="G1254" t="inlineStr">
        <is>
          <t>OUEST</t>
        </is>
      </c>
      <c r="H1254" t="inlineStr">
        <is>
          <t>Ngbetnsouen</t>
        </is>
      </c>
      <c r="I1254" t="inlineStr"/>
      <c r="J1254" t="n">
        <v>0.2959194189824919</v>
      </c>
      <c r="K1254" t="n">
        <v>0.1309560846075124</v>
      </c>
      <c r="L1254" t="n">
        <v>0</v>
      </c>
      <c r="M1254" t="n">
        <v>0.08622073372324551</v>
      </c>
      <c r="N1254" t="inlineStr">
        <is>
          <t>Operationnel</t>
        </is>
      </c>
      <c r="O1254" t="inlineStr"/>
      <c r="P1254" t="inlineStr">
        <is>
          <t>IHS</t>
        </is>
      </c>
      <c r="Q1254" t="inlineStr">
        <is>
          <t>POWER ISSUE</t>
        </is>
      </c>
      <c r="R1254" t="inlineStr">
        <is>
          <t>Defaut GE &amp; Power Cabinet</t>
        </is>
      </c>
      <c r="S1254" t="inlineStr">
        <is>
          <t>PASSIVE</t>
        </is>
      </c>
      <c r="T1254" t="inlineStr">
        <is>
          <t>INC-20260331-00014000...GE Fault</t>
        </is>
      </c>
      <c r="U1254" t="inlineStr">
        <is>
          <t>GE Fault</t>
        </is>
      </c>
    </row>
    <row r="1255">
      <c r="A1255" t="inlineStr">
        <is>
          <t>4/31/2026</t>
        </is>
      </c>
      <c r="B1255" t="inlineStr">
        <is>
          <t>Mberem-Ngop</t>
        </is>
      </c>
      <c r="C1255" t="inlineStr">
        <is>
          <t>ADM_133</t>
        </is>
      </c>
      <c r="D1255" t="inlineStr"/>
      <c r="E1255" t="inlineStr">
        <is>
          <t>CAMUSAT</t>
        </is>
      </c>
      <c r="F1255" t="inlineStr">
        <is>
          <t>Hybrid Solar - S3</t>
        </is>
      </c>
      <c r="G1255" t="inlineStr">
        <is>
          <t>ADAMAOUA</t>
        </is>
      </c>
      <c r="H1255" t="inlineStr">
        <is>
          <t>Nganha</t>
        </is>
      </c>
      <c r="I1255" t="inlineStr"/>
      <c r="J1255" t="n">
        <v>0.1584925002697745</v>
      </c>
      <c r="K1255" t="n">
        <v>0.1551464626707458</v>
      </c>
      <c r="L1255" t="n">
        <v>0</v>
      </c>
      <c r="M1255" t="n">
        <v>0.0747171713652033</v>
      </c>
      <c r="N1255" t="inlineStr">
        <is>
          <t>EXCLU</t>
        </is>
      </c>
      <c r="O1255" t="inlineStr">
        <is>
          <t>UE Relay</t>
        </is>
      </c>
      <c r="P1255" t="inlineStr">
        <is>
          <t>Exclu</t>
        </is>
      </c>
      <c r="Q1255" t="inlineStr">
        <is>
          <t>Exclu</t>
        </is>
      </c>
      <c r="R1255" t="inlineStr">
        <is>
          <t>exclu</t>
        </is>
      </c>
      <c r="S1255" t="inlineStr">
        <is>
          <t>Exclu</t>
        </is>
      </c>
      <c r="T1255" t="inlineStr">
        <is>
          <t>INC-20260331-00011504...Others Transmission equipement fault</t>
        </is>
      </c>
      <c r="U1255" t="inlineStr"/>
    </row>
    <row r="1256">
      <c r="A1256" t="inlineStr">
        <is>
          <t>4/31/2026</t>
        </is>
      </c>
      <c r="B1256" t="inlineStr">
        <is>
          <t>Bamenda-Foncha-Street-IHS</t>
        </is>
      </c>
      <c r="C1256" t="inlineStr">
        <is>
          <t>NRO_121</t>
        </is>
      </c>
      <c r="D1256" t="inlineStr"/>
      <c r="E1256" t="inlineStr">
        <is>
          <t>IHS</t>
        </is>
      </c>
      <c r="F1256" t="inlineStr">
        <is>
          <t>Grid-Gen</t>
        </is>
      </c>
      <c r="G1256" t="inlineStr">
        <is>
          <t>NORD-OUEST</t>
        </is>
      </c>
      <c r="H1256" t="inlineStr">
        <is>
          <t>Bamenda</t>
        </is>
      </c>
      <c r="I1256" t="inlineStr"/>
      <c r="J1256" t="n">
        <v>0</v>
      </c>
      <c r="K1256" t="n">
        <v>0.2062890371322392</v>
      </c>
      <c r="L1256" t="n">
        <v>0</v>
      </c>
      <c r="M1256" t="n">
        <v>0.06925360910644832</v>
      </c>
      <c r="N1256" t="inlineStr">
        <is>
          <t>Operationnel</t>
        </is>
      </c>
      <c r="O1256" t="inlineStr"/>
      <c r="P1256" t="inlineStr">
        <is>
          <t>IHS</t>
        </is>
      </c>
      <c r="Q1256" t="inlineStr">
        <is>
          <t>POWER ISSUE</t>
        </is>
      </c>
      <c r="R1256" t="inlineStr">
        <is>
          <t>Defaut GE &amp; Power Cabinet</t>
        </is>
      </c>
      <c r="S1256" t="inlineStr">
        <is>
          <t>PASSIVE</t>
        </is>
      </c>
      <c r="T1256" t="inlineStr">
        <is>
          <t xml:space="preserve">Power status check ongoing..;Power status check ongoing..;INC-20260331-00016637...power instability on site. power team is informed </t>
        </is>
      </c>
      <c r="U1256" t="inlineStr">
        <is>
          <t>Power status check ongoing.;.power instability on site. power team is informed</t>
        </is>
      </c>
    </row>
    <row r="1257">
      <c r="A1257" t="inlineStr">
        <is>
          <t>4/31/2026</t>
        </is>
      </c>
      <c r="B1257" t="inlineStr">
        <is>
          <t>Koza-MTN</t>
        </is>
      </c>
      <c r="C1257" t="inlineStr">
        <is>
          <t>EXN_043</t>
        </is>
      </c>
      <c r="D1257" t="inlineStr"/>
      <c r="E1257" t="inlineStr">
        <is>
          <t>IHS</t>
        </is>
      </c>
      <c r="F1257" t="inlineStr">
        <is>
          <t>Grid-Gen</t>
        </is>
      </c>
      <c r="G1257" t="inlineStr">
        <is>
          <t>EXTREME-NORD</t>
        </is>
      </c>
      <c r="H1257" t="inlineStr">
        <is>
          <t>Koza</t>
        </is>
      </c>
      <c r="I1257" t="inlineStr"/>
      <c r="J1257" t="n">
        <v>0.1947536252970561</v>
      </c>
      <c r="K1257" t="n">
        <v>0.04675376223141528</v>
      </c>
      <c r="L1257" t="n">
        <v>0</v>
      </c>
      <c r="M1257" t="n">
        <v>0.04350657692582529</v>
      </c>
      <c r="N1257" t="inlineStr">
        <is>
          <t>Insecurity</t>
        </is>
      </c>
      <c r="O1257" t="inlineStr"/>
      <c r="P1257" t="inlineStr">
        <is>
          <t>IHS</t>
        </is>
      </c>
      <c r="Q1257" t="inlineStr">
        <is>
          <t>POWER ISSUE</t>
        </is>
      </c>
      <c r="R1257" t="inlineStr">
        <is>
          <t>Defaut GE &amp; Power Cabinet</t>
        </is>
      </c>
      <c r="S1257" t="inlineStr">
        <is>
          <t>PASSIVE</t>
        </is>
      </c>
      <c r="T1257" t="inlineStr">
        <is>
          <t>30/03/2026 : need BO RAN analysis ||  Closed after reset but Power check requested</t>
        </is>
      </c>
      <c r="U1257" t="inlineStr">
        <is>
          <t>30/03/2026 : need BO RAN analysis || Closed after reset but Power check requested</t>
        </is>
      </c>
    </row>
    <row r="1258">
      <c r="A1258" t="inlineStr">
        <is>
          <t>4/31/2026</t>
        </is>
      </c>
      <c r="B1258" t="inlineStr">
        <is>
          <t>Djaba-IHS</t>
        </is>
      </c>
      <c r="C1258" t="inlineStr">
        <is>
          <t>NRD_128</t>
        </is>
      </c>
      <c r="D1258" t="inlineStr"/>
      <c r="E1258" t="inlineStr">
        <is>
          <t>IHS</t>
        </is>
      </c>
      <c r="F1258" t="inlineStr">
        <is>
          <t>Hybrid-Gen</t>
        </is>
      </c>
      <c r="G1258" t="inlineStr">
        <is>
          <t>NORD</t>
        </is>
      </c>
      <c r="H1258" t="inlineStr">
        <is>
          <t>Djaba</t>
        </is>
      </c>
      <c r="I1258" t="inlineStr"/>
      <c r="J1258" t="n">
        <v>0.234664225552484</v>
      </c>
      <c r="K1258" t="n">
        <v>0</v>
      </c>
      <c r="L1258" t="n">
        <v>0.005773380249374765</v>
      </c>
      <c r="M1258" t="n">
        <v>0.03652078145610924</v>
      </c>
      <c r="N1258" t="inlineStr">
        <is>
          <t>Operationnel</t>
        </is>
      </c>
      <c r="O1258" t="inlineStr"/>
      <c r="P1258" t="inlineStr">
        <is>
          <t>IHS</t>
        </is>
      </c>
      <c r="Q1258" t="inlineStr">
        <is>
          <t>POWER ISSUE</t>
        </is>
      </c>
      <c r="R1258" t="inlineStr">
        <is>
          <t>Defaut GE &amp; Power Cabinet</t>
        </is>
      </c>
      <c r="S1258" t="inlineStr">
        <is>
          <t>PASSIVE</t>
        </is>
      </c>
      <c r="T1258" t="inlineStr">
        <is>
          <t>Power status check ongoing..;INC-20260331-00009504...GE Fault</t>
        </is>
      </c>
      <c r="U1258" t="inlineStr">
        <is>
          <t>GE Fault</t>
        </is>
      </c>
    </row>
    <row r="1259">
      <c r="A1259" t="inlineStr">
        <is>
          <t>4/31/2026</t>
        </is>
      </c>
      <c r="B1259" t="inlineStr">
        <is>
          <t>Aguli-MTN</t>
        </is>
      </c>
      <c r="C1259" t="inlineStr">
        <is>
          <t>NRO_256</t>
        </is>
      </c>
      <c r="D1259" t="inlineStr"/>
      <c r="E1259" t="inlineStr">
        <is>
          <t>IHS</t>
        </is>
      </c>
      <c r="F1259" t="inlineStr">
        <is>
          <t>Hybrid-Gen</t>
        </is>
      </c>
      <c r="G1259" t="inlineStr">
        <is>
          <t>NORD-OUEST</t>
        </is>
      </c>
      <c r="H1259" t="inlineStr">
        <is>
          <t>Aguli</t>
        </is>
      </c>
      <c r="I1259" t="inlineStr"/>
      <c r="J1259" t="n">
        <v>0.03624791858641706</v>
      </c>
      <c r="K1259" t="n">
        <v>0.01700038420868339</v>
      </c>
      <c r="L1259" t="n">
        <v>0</v>
      </c>
      <c r="M1259" t="n">
        <v>0.01088342448433166</v>
      </c>
      <c r="N1259" t="inlineStr">
        <is>
          <t>Insecurity</t>
        </is>
      </c>
      <c r="O1259" t="inlineStr"/>
      <c r="P1259" t="inlineStr">
        <is>
          <t>ACCESS-ISSUE</t>
        </is>
      </c>
      <c r="Q1259" t="inlineStr">
        <is>
          <t>ACCESS-ISSUE</t>
        </is>
      </c>
      <c r="R1259" t="inlineStr">
        <is>
          <t>ACCESS-ISSUE</t>
        </is>
      </c>
      <c r="S1259" t="inlineStr">
        <is>
          <t>ACCESS-ISSUE</t>
        </is>
      </c>
      <c r="T1259" t="inlineStr">
        <is>
          <t>30/03/2026 :Ghost town
29/03/2026 : Negociation d'access en cours 
28/03/2026 : Apres action du level 0 ce jour l'alarme reste presente
27/03/2026 : heck breaker and  interconnection(sfp, optical fiber) between system and radio module, swap its if needed ||  FME active || ETA : 16h</t>
        </is>
      </c>
      <c r="U1259" t="inlineStr">
        <is>
          <t>30/03/2026 : Ghost town 29/03/2026 : Negociation d'access en cours 28/03/2026 : Apres action du level 0 ce jour l'alarme reste presente 27/03/2026 : heck breaker and interconnection(sfp, optical fiber) between system and radio module, swap its if needed || FME active || ETA : 16h</t>
        </is>
      </c>
    </row>
    <row r="1260">
      <c r="A1260" t="inlineStr">
        <is>
          <t>4/31/2026</t>
        </is>
      </c>
      <c r="B1260" t="inlineStr">
        <is>
          <t>Bda-Mulang</t>
        </is>
      </c>
      <c r="C1260" t="inlineStr">
        <is>
          <t>NRO_243</t>
        </is>
      </c>
      <c r="D1260" t="inlineStr"/>
      <c r="E1260" t="inlineStr">
        <is>
          <t>IHS</t>
        </is>
      </c>
      <c r="F1260" t="inlineStr">
        <is>
          <t>Grid-Gen</t>
        </is>
      </c>
      <c r="G1260" t="inlineStr">
        <is>
          <t>NORD-OUEST</t>
        </is>
      </c>
      <c r="H1260" t="inlineStr">
        <is>
          <t>Bamenda</t>
        </is>
      </c>
      <c r="I1260" t="inlineStr"/>
      <c r="J1260" t="n">
        <v>0.01498747047468317</v>
      </c>
      <c r="K1260" t="n">
        <v>0.005259493864561339</v>
      </c>
      <c r="L1260" t="n">
        <v>0.006840065051754668</v>
      </c>
      <c r="M1260" t="n">
        <v>0.007472897814988885</v>
      </c>
      <c r="N1260" t="inlineStr">
        <is>
          <t>Operationnel</t>
        </is>
      </c>
      <c r="O1260" t="inlineStr"/>
      <c r="P1260" t="inlineStr">
        <is>
          <t>TRAVAUX OCM</t>
        </is>
      </c>
      <c r="Q1260" t="inlineStr">
        <is>
          <t>TRAVAUX OCM</t>
        </is>
      </c>
      <c r="R1260" t="inlineStr">
        <is>
          <t>Projet OCM (ZTE, NOKIA, autres projets)</t>
        </is>
      </c>
      <c r="S1260" t="inlineStr">
        <is>
          <t>PLANNED WORKS</t>
        </is>
      </c>
      <c r="T1260" t="inlineStr">
        <is>
          <t>18/03/2026 :Besoin d'analyse BO RAN || Désactivation du pooling des sites (4G) du grand Nord vers Douala et Yaoundé (Huawei) a la demande d'OCM</t>
        </is>
      </c>
      <c r="U1260" t="inlineStr">
        <is>
          <t>18/03/2026 : Besoin d'analyse BO RAN || Désactivation du pooling des sites (4G) du grand Nord vers Douala et Yaoundé (Huawei) a la demande d'OCM</t>
        </is>
      </c>
    </row>
    <row r="1261">
      <c r="A1261" t="inlineStr">
        <is>
          <t>4/31/2026</t>
        </is>
      </c>
      <c r="B1261" t="inlineStr">
        <is>
          <t>Batibo</t>
        </is>
      </c>
      <c r="C1261" t="inlineStr">
        <is>
          <t>NRO_010</t>
        </is>
      </c>
      <c r="D1261" t="inlineStr"/>
      <c r="E1261" t="inlineStr">
        <is>
          <t>IHS</t>
        </is>
      </c>
      <c r="F1261" t="inlineStr">
        <is>
          <t>Grid-Gen</t>
        </is>
      </c>
      <c r="G1261" t="inlineStr">
        <is>
          <t>NORD-OUEST</t>
        </is>
      </c>
      <c r="H1261" t="inlineStr">
        <is>
          <t>Batibo</t>
        </is>
      </c>
      <c r="I1261" t="inlineStr"/>
      <c r="J1261" t="n">
        <v>0</v>
      </c>
      <c r="K1261" t="n">
        <v>0.001328155016303406</v>
      </c>
      <c r="L1261" t="n">
        <v>0</v>
      </c>
      <c r="M1261" t="n">
        <v>0.0004458769579349104</v>
      </c>
      <c r="N1261" t="inlineStr">
        <is>
          <t>Insecurity</t>
        </is>
      </c>
      <c r="O1261" t="inlineStr"/>
      <c r="P1261" t="inlineStr">
        <is>
          <t>TRAVAUX-HUAWEI</t>
        </is>
      </c>
      <c r="Q1261" t="inlineStr">
        <is>
          <t>TRAVAUX-HUAWEI</t>
        </is>
      </c>
      <c r="R1261" t="inlineStr">
        <is>
          <t>Projet OCM (HUAWEI)</t>
        </is>
      </c>
      <c r="S1261" t="inlineStr">
        <is>
          <t>PLANNED WORKS</t>
        </is>
      </c>
      <c r="T1261" t="inlineStr">
        <is>
          <t xml:space="preserve">27/03/2026 : Huawei projet ..;27/03/2026 : Huawei projet ..;27/03/2026 : Huawei projet ..;27/03/2026 : Huawei projet </t>
        </is>
      </c>
      <c r="U1261" t="inlineStr">
        <is>
          <t>27/03/2026 : Huawei projet .;27/03/2026 : Huawei projet .;27/03/2026 : Huawei projet .;27/03/2026 : Huawei projet</t>
        </is>
      </c>
    </row>
    <row r="1262">
      <c r="A1262" t="inlineStr">
        <is>
          <t>4/31/2026</t>
        </is>
      </c>
      <c r="B1262" t="inlineStr">
        <is>
          <t>IPD</t>
        </is>
      </c>
      <c r="C1262" t="inlineStr">
        <is>
          <t>LIT_100</t>
        </is>
      </c>
      <c r="D1262" t="inlineStr"/>
      <c r="E1262" t="inlineStr"/>
      <c r="F1262" t="inlineStr"/>
      <c r="G1262" t="inlineStr">
        <is>
          <t>LITTORAL</t>
        </is>
      </c>
      <c r="H1262" t="inlineStr">
        <is>
          <t>Douala</t>
        </is>
      </c>
      <c r="I1262" t="inlineStr"/>
      <c r="J1262" t="n">
        <v>0</v>
      </c>
      <c r="K1262" t="n">
        <v>0</v>
      </c>
      <c r="L1262" t="n">
        <v>0</v>
      </c>
      <c r="M1262" t="n">
        <v>0</v>
      </c>
      <c r="N1262" t="inlineStr">
        <is>
          <t>Exclu</t>
        </is>
      </c>
      <c r="O1262" t="inlineStr">
        <is>
          <t>UE Relay</t>
        </is>
      </c>
      <c r="P1262" t="inlineStr">
        <is>
          <t>Exclu</t>
        </is>
      </c>
      <c r="Q1262" t="inlineStr">
        <is>
          <t>Exclu</t>
        </is>
      </c>
      <c r="R1262" t="inlineStr">
        <is>
          <t>exclu</t>
        </is>
      </c>
      <c r="S1262" t="inlineStr">
        <is>
          <t>Exclu</t>
        </is>
      </c>
      <c r="T1262" t="inlineStr">
        <is>
          <t>site down..;site down..;site down</t>
        </is>
      </c>
      <c r="U1262" t="inlineStr">
        <is>
          <t>site down.;site down.;site down</t>
        </is>
      </c>
    </row>
    <row r="1263">
      <c r="A1263" t="inlineStr">
        <is>
          <t>4/31/2026</t>
        </is>
      </c>
      <c r="B1263" t="inlineStr">
        <is>
          <t>Ebeba</t>
        </is>
      </c>
      <c r="C1263" t="inlineStr">
        <is>
          <t>CTR_116</t>
        </is>
      </c>
      <c r="D1263" t="inlineStr"/>
      <c r="E1263" t="inlineStr">
        <is>
          <t>IHS</t>
        </is>
      </c>
      <c r="F1263" t="inlineStr">
        <is>
          <t>Grid-Gen-Lithium</t>
        </is>
      </c>
      <c r="G1263" t="inlineStr">
        <is>
          <t>CENTRE</t>
        </is>
      </c>
      <c r="H1263" t="inlineStr">
        <is>
          <t>Ebeba</t>
        </is>
      </c>
      <c r="I1263" t="inlineStr"/>
      <c r="J1263" t="n">
        <v>0</v>
      </c>
      <c r="K1263" t="n">
        <v>0</v>
      </c>
      <c r="L1263" t="n">
        <v>0</v>
      </c>
      <c r="M1263" t="n">
        <v>0</v>
      </c>
      <c r="N1263" t="inlineStr">
        <is>
          <t>Exclu</t>
        </is>
      </c>
      <c r="O1263" t="inlineStr">
        <is>
          <t>UE Relay</t>
        </is>
      </c>
      <c r="P1263" t="inlineStr">
        <is>
          <t>Exclu</t>
        </is>
      </c>
      <c r="Q1263" t="inlineStr">
        <is>
          <t>Exclu</t>
        </is>
      </c>
      <c r="R1263" t="inlineStr">
        <is>
          <t>exclu</t>
        </is>
      </c>
      <c r="S1263" t="inlineStr">
        <is>
          <t>Exclu</t>
        </is>
      </c>
      <c r="T1263" t="inlineStr">
        <is>
          <t>site down..;site down..;site down</t>
        </is>
      </c>
      <c r="U1263" t="inlineStr">
        <is>
          <t>site down.;site down.;site down</t>
        </is>
      </c>
    </row>
    <row r="1264">
      <c r="A1264" t="inlineStr">
        <is>
          <t>4/31/2026</t>
        </is>
      </c>
      <c r="B1264" t="inlineStr">
        <is>
          <t>Mbomela-IHS</t>
        </is>
      </c>
      <c r="C1264" t="inlineStr">
        <is>
          <t>SUD_105</t>
        </is>
      </c>
      <c r="D1264" t="inlineStr"/>
      <c r="E1264" t="inlineStr">
        <is>
          <t>IHS</t>
        </is>
      </c>
      <c r="F1264" t="inlineStr">
        <is>
          <t>Gen-Lithium</t>
        </is>
      </c>
      <c r="G1264" t="inlineStr">
        <is>
          <t>SUD</t>
        </is>
      </c>
      <c r="H1264" t="inlineStr">
        <is>
          <t>Mbomela</t>
        </is>
      </c>
      <c r="I1264" t="inlineStr"/>
      <c r="J1264" t="n">
        <v>0</v>
      </c>
      <c r="K1264" t="n">
        <v>0</v>
      </c>
      <c r="L1264" t="n">
        <v>0</v>
      </c>
      <c r="M1264" t="n">
        <v>0</v>
      </c>
      <c r="N1264" t="inlineStr">
        <is>
          <t>Operationnel</t>
        </is>
      </c>
      <c r="O1264" t="inlineStr"/>
      <c r="P1264" t="inlineStr">
        <is>
          <t>Fiber AOF</t>
        </is>
      </c>
      <c r="Q1264" t="inlineStr">
        <is>
          <t>TX ISSUE</t>
        </is>
      </c>
      <c r="R1264" t="inlineStr">
        <is>
          <t>fiber AOF</t>
        </is>
      </c>
      <c r="S1264" t="inlineStr">
        <is>
          <t>ACTIVE</t>
        </is>
      </c>
      <c r="T1264" t="inlineStr">
        <is>
          <t>site down..;site down..;31.03.2026: FME Dominique will have a look after MINTOM-MTN_SUD_246 P1 Incident ETA=02:00 PM
31.03.2026:  Need FME on the site to check MPR Status as it's not supervised..;INC-20260331-00000864...2026-03-31 08:31:08...
31.03.2026: FME Dominique will have a look after MINTOM-MTN_SUD_246 P1 Incident ETA=02:00 PM...Others</t>
        </is>
      </c>
      <c r="U1264" t="inlineStr">
        <is>
          <t>site down.;site down.;31.03.2026 : FME Dominique will have a look after MINTOM-MTN_SUD_246 P1 Incident ETA=02 : 00 PM 31.03.2026 : Need FME on the site to check MPR Status as it's not supervised.;.2026-03-31 08 : 31 : 08. 31.03.2026 : FME Dominique will have a look after MINTOM-MTN_SUD_246 P1 Incident ETA=02 : 00 PM.Others</t>
        </is>
      </c>
    </row>
    <row r="1265">
      <c r="A1265" t="inlineStr">
        <is>
          <t>4/31/2026</t>
        </is>
      </c>
      <c r="B1265" t="inlineStr">
        <is>
          <t>Endom</t>
        </is>
      </c>
      <c r="C1265" t="inlineStr">
        <is>
          <t>CTR_225</t>
        </is>
      </c>
      <c r="D1265" t="inlineStr"/>
      <c r="E1265" t="inlineStr">
        <is>
          <t>IHS</t>
        </is>
      </c>
      <c r="F1265" t="inlineStr">
        <is>
          <t>Grid-Hybrid-Gen</t>
        </is>
      </c>
      <c r="G1265" t="inlineStr">
        <is>
          <t>CENTRE</t>
        </is>
      </c>
      <c r="H1265" t="inlineStr">
        <is>
          <t>Endom</t>
        </is>
      </c>
      <c r="I1265" t="inlineStr"/>
      <c r="J1265" t="n">
        <v>0</v>
      </c>
      <c r="K1265" t="n">
        <v>0</v>
      </c>
      <c r="L1265" t="n">
        <v>0</v>
      </c>
      <c r="M1265" t="n">
        <v>0</v>
      </c>
      <c r="N1265" t="inlineStr">
        <is>
          <t>Operationnel</t>
        </is>
      </c>
      <c r="O1265" t="inlineStr"/>
      <c r="P1265" t="inlineStr">
        <is>
          <t>IHS</t>
        </is>
      </c>
      <c r="Q1265" t="inlineStr">
        <is>
          <t>POWER ISSUE</t>
        </is>
      </c>
      <c r="R1265" t="inlineStr">
        <is>
          <t>Defaut GE &amp; Power Cabinet</t>
        </is>
      </c>
      <c r="S1265" t="inlineStr">
        <is>
          <t>PASSIVE</t>
        </is>
      </c>
      <c r="T1265" t="inlineStr">
        <is>
          <t>site down..;Power status check ongoing..;INC-20260331-00003839...2026-03-31 08:27:13...le niveau 0 à été activé pour investigation afin de déterminer la cause de l'indisponibilité....GE Fault</t>
        </is>
      </c>
      <c r="U1265" t="inlineStr">
        <is>
          <t>site down.;.2026-03-31 08 : 27 : 13.le niveau 0 à été activé pour investigation afin de déterminer la cause de l'indisponibilité.GE Fault</t>
        </is>
      </c>
    </row>
    <row r="1266">
      <c r="A1266" t="inlineStr">
        <is>
          <t>4/31/2026</t>
        </is>
      </c>
      <c r="B1266" t="inlineStr">
        <is>
          <t>Foumbot-Mangoum</t>
        </is>
      </c>
      <c r="C1266" t="inlineStr">
        <is>
          <t>OST_136</t>
        </is>
      </c>
      <c r="D1266" t="inlineStr"/>
      <c r="E1266" t="inlineStr">
        <is>
          <t>IHS</t>
        </is>
      </c>
      <c r="F1266" t="inlineStr">
        <is>
          <t>Grid-Gen</t>
        </is>
      </c>
      <c r="G1266" t="inlineStr">
        <is>
          <t>OUEST</t>
        </is>
      </c>
      <c r="H1266" t="inlineStr">
        <is>
          <t>Foumbot</t>
        </is>
      </c>
      <c r="I1266" t="inlineStr"/>
      <c r="J1266" t="n">
        <v>0</v>
      </c>
      <c r="K1266" t="n">
        <v>0</v>
      </c>
      <c r="L1266" t="n">
        <v>0</v>
      </c>
      <c r="M1266" t="n">
        <v>0</v>
      </c>
      <c r="N1266" t="inlineStr">
        <is>
          <t>EXCLU</t>
        </is>
      </c>
      <c r="O1266" t="inlineStr">
        <is>
          <t>UE Relay</t>
        </is>
      </c>
      <c r="P1266" t="inlineStr">
        <is>
          <t>Exclu</t>
        </is>
      </c>
      <c r="Q1266" t="inlineStr">
        <is>
          <t>Exclu</t>
        </is>
      </c>
      <c r="R1266" t="inlineStr">
        <is>
          <t>exclu</t>
        </is>
      </c>
      <c r="S1266" t="inlineStr">
        <is>
          <t>Exclu</t>
        </is>
      </c>
      <c r="T1266" t="inlineStr">
        <is>
          <t>Power status check ongoing</t>
        </is>
      </c>
      <c r="U1266" t="inlineStr">
        <is>
          <t>Power status check ongoing</t>
        </is>
      </c>
    </row>
    <row r="1267">
      <c r="A1267" t="inlineStr">
        <is>
          <t>4/31/2026</t>
        </is>
      </c>
      <c r="B1267" t="inlineStr">
        <is>
          <t>Ambam</t>
        </is>
      </c>
      <c r="C1267" t="inlineStr">
        <is>
          <t>CTR_394</t>
        </is>
      </c>
      <c r="D1267" t="inlineStr"/>
      <c r="E1267" t="inlineStr">
        <is>
          <t>IHS</t>
        </is>
      </c>
      <c r="F1267" t="inlineStr">
        <is>
          <t>Grid-Gen</t>
        </is>
      </c>
      <c r="G1267" t="inlineStr">
        <is>
          <t>CENTRE</t>
        </is>
      </c>
      <c r="H1267" t="inlineStr">
        <is>
          <t>Ambam</t>
        </is>
      </c>
      <c r="I1267" t="inlineStr"/>
      <c r="J1267" t="n">
        <v>0</v>
      </c>
      <c r="K1267" t="n">
        <v>0</v>
      </c>
      <c r="L1267" t="n">
        <v>0</v>
      </c>
      <c r="M1267" t="n">
        <v>0</v>
      </c>
      <c r="N1267" t="inlineStr">
        <is>
          <t>Operationnel</t>
        </is>
      </c>
      <c r="O1267" t="inlineStr"/>
      <c r="P1267" t="inlineStr">
        <is>
          <t>TRAVAUX OCM</t>
        </is>
      </c>
      <c r="Q1267" t="inlineStr">
        <is>
          <t>TRAVAUX OCM</t>
        </is>
      </c>
      <c r="R1267" t="inlineStr">
        <is>
          <t>Projet OCM (ZTE, NOKIA, autres projets)</t>
        </is>
      </c>
      <c r="S1267" t="inlineStr">
        <is>
          <t>PLANNED WORKS</t>
        </is>
      </c>
      <c r="T1267" t="inlineStr">
        <is>
          <t>not accepted..;not accepted..;not accepted</t>
        </is>
      </c>
      <c r="U1267" t="inlineStr">
        <is>
          <t>not accepted.;not accepted.;not accepted</t>
        </is>
      </c>
    </row>
    <row r="1268">
      <c r="A1268" t="inlineStr">
        <is>
          <t>4/31/2026</t>
        </is>
      </c>
      <c r="B1268" t="inlineStr">
        <is>
          <t>Nomayos-IHS</t>
        </is>
      </c>
      <c r="C1268" t="inlineStr">
        <is>
          <t>CTR_527</t>
        </is>
      </c>
      <c r="D1268" t="inlineStr"/>
      <c r="E1268" t="inlineStr">
        <is>
          <t>IHS</t>
        </is>
      </c>
      <c r="F1268" t="inlineStr">
        <is>
          <t>Grid-Gen</t>
        </is>
      </c>
      <c r="G1268" t="inlineStr">
        <is>
          <t>CENTRE</t>
        </is>
      </c>
      <c r="H1268" t="inlineStr">
        <is>
          <t>Nomayos</t>
        </is>
      </c>
      <c r="I1268" t="inlineStr"/>
      <c r="J1268" t="n">
        <v>0</v>
      </c>
      <c r="K1268" t="n">
        <v>0</v>
      </c>
      <c r="L1268" t="n">
        <v>0</v>
      </c>
      <c r="M1268" t="n">
        <v>0</v>
      </c>
      <c r="N1268" t="inlineStr">
        <is>
          <t>Operationnel</t>
        </is>
      </c>
      <c r="O1268" t="inlineStr"/>
      <c r="P1268" t="inlineStr">
        <is>
          <t>TRAVAUX OCM</t>
        </is>
      </c>
      <c r="Q1268" t="inlineStr">
        <is>
          <t>TRAVAUX OCM</t>
        </is>
      </c>
      <c r="R1268" t="inlineStr">
        <is>
          <t>Projet OCM (ZTE, NOKIA, autres projets)</t>
        </is>
      </c>
      <c r="S1268" t="inlineStr">
        <is>
          <t>PLANNED WORKS</t>
        </is>
      </c>
      <c r="T1268" t="inlineStr">
        <is>
          <t>not accepted..;not accepted..;not accepted</t>
        </is>
      </c>
      <c r="U1268" t="inlineStr">
        <is>
          <t>not accepted.;not accepted.;not accepted</t>
        </is>
      </c>
    </row>
    <row r="1269">
      <c r="A1269" t="inlineStr">
        <is>
          <t>4/31/2026</t>
        </is>
      </c>
      <c r="B1269" t="inlineStr">
        <is>
          <t>Batchenga-Nachtigal-IHS</t>
        </is>
      </c>
      <c r="C1269" t="inlineStr">
        <is>
          <t>CTR_699</t>
        </is>
      </c>
      <c r="D1269" t="inlineStr"/>
      <c r="E1269" t="inlineStr">
        <is>
          <t>IHS</t>
        </is>
      </c>
      <c r="F1269" t="inlineStr">
        <is>
          <t>Grid-Gen</t>
        </is>
      </c>
      <c r="G1269" t="inlineStr">
        <is>
          <t>CENTRE</t>
        </is>
      </c>
      <c r="H1269" t="inlineStr">
        <is>
          <t>Batchenga</t>
        </is>
      </c>
      <c r="I1269" t="inlineStr"/>
      <c r="J1269" t="n">
        <v>0</v>
      </c>
      <c r="K1269" t="n">
        <v>0</v>
      </c>
      <c r="L1269" t="n">
        <v>0</v>
      </c>
      <c r="M1269" t="n">
        <v>0</v>
      </c>
      <c r="N1269" t="inlineStr">
        <is>
          <t>Operationnel</t>
        </is>
      </c>
      <c r="O1269" t="inlineStr"/>
      <c r="P1269" t="inlineStr">
        <is>
          <t>IHS</t>
        </is>
      </c>
      <c r="Q1269" t="inlineStr">
        <is>
          <t>POWER ISSUE</t>
        </is>
      </c>
      <c r="R1269" t="inlineStr">
        <is>
          <t>Defaut GE &amp; Power Cabinet</t>
        </is>
      </c>
      <c r="S1269" t="inlineStr">
        <is>
          <t>PASSIVE</t>
        </is>
      </c>
      <c r="T1269" t="inlineStr">
        <is>
          <t>INC-20260331-00015766...GE Fault</t>
        </is>
      </c>
      <c r="U1269" t="inlineStr">
        <is>
          <t>GE Fault</t>
        </is>
      </c>
    </row>
    <row r="1270">
      <c r="A1270" t="inlineStr">
        <is>
          <t>4/31/2026</t>
        </is>
      </c>
      <c r="B1270" t="inlineStr">
        <is>
          <t>Minisite_Crf-Nkoabang</t>
        </is>
      </c>
      <c r="C1270" t="inlineStr">
        <is>
          <t>CTR_881</t>
        </is>
      </c>
      <c r="D1270" t="inlineStr"/>
      <c r="E1270" t="inlineStr">
        <is>
          <t>IHS</t>
        </is>
      </c>
      <c r="F1270" t="inlineStr">
        <is>
          <t>Grid + Solar</t>
        </is>
      </c>
      <c r="G1270" t="inlineStr">
        <is>
          <t>CENTRE</t>
        </is>
      </c>
      <c r="H1270" t="inlineStr">
        <is>
          <t>Yaounde</t>
        </is>
      </c>
      <c r="I1270" t="inlineStr"/>
      <c r="J1270" t="n">
        <v>0</v>
      </c>
      <c r="K1270" t="n">
        <v>0</v>
      </c>
      <c r="L1270" t="n">
        <v>0</v>
      </c>
      <c r="M1270" t="n">
        <v>0</v>
      </c>
      <c r="N1270" t="inlineStr">
        <is>
          <t>Operationnel</t>
        </is>
      </c>
      <c r="O1270" t="inlineStr"/>
      <c r="P1270" t="inlineStr">
        <is>
          <t>IHS</t>
        </is>
      </c>
      <c r="Q1270" t="inlineStr">
        <is>
          <t>POWER ISSUE</t>
        </is>
      </c>
      <c r="R1270" t="inlineStr">
        <is>
          <t>Defaut GE &amp; Power Cabinet</t>
        </is>
      </c>
      <c r="S1270" t="inlineStr">
        <is>
          <t>PASSIVE</t>
        </is>
      </c>
      <c r="T1270" t="inlineStr">
        <is>
          <t>INC-20260331-00014174...2026-03-31 23:18:55...Solar Only, site went down due to sunset...Others</t>
        </is>
      </c>
      <c r="U1270" t="inlineStr">
        <is>
          <t>2026-03-31 23 : 18 : 55.Solar Only, site went down due to sunset.Others</t>
        </is>
      </c>
    </row>
    <row r="1271">
      <c r="A1271" t="inlineStr">
        <is>
          <t>4/31/2026</t>
        </is>
      </c>
      <c r="B1271" t="inlineStr">
        <is>
          <t>Bastos-ART</t>
        </is>
      </c>
      <c r="C1271" t="inlineStr">
        <is>
          <t>CTR_722</t>
        </is>
      </c>
      <c r="D1271" t="inlineStr"/>
      <c r="E1271" t="inlineStr">
        <is>
          <t>CAMUSAT</t>
        </is>
      </c>
      <c r="F1271" t="inlineStr">
        <is>
          <t>Good Grid + GE</t>
        </is>
      </c>
      <c r="G1271" t="inlineStr">
        <is>
          <t>CENTRE</t>
        </is>
      </c>
      <c r="H1271" t="inlineStr">
        <is>
          <t>Yaounde</t>
        </is>
      </c>
      <c r="I1271" t="inlineStr"/>
      <c r="J1271" t="n">
        <v>0</v>
      </c>
      <c r="K1271" t="n">
        <v>0</v>
      </c>
      <c r="L1271" t="n">
        <v>0</v>
      </c>
      <c r="M1271" t="n">
        <v>0</v>
      </c>
      <c r="N1271" t="inlineStr">
        <is>
          <t>Operationnel</t>
        </is>
      </c>
      <c r="O1271" t="inlineStr"/>
      <c r="P1271" t="inlineStr">
        <is>
          <t>AKTIVCO</t>
        </is>
      </c>
      <c r="Q1271" t="inlineStr">
        <is>
          <t>POWER ISSUE</t>
        </is>
      </c>
      <c r="R1271" t="inlineStr">
        <is>
          <t>AKTIVCO Defaut GE &amp; Power Cabinet</t>
        </is>
      </c>
      <c r="S1271" t="inlineStr">
        <is>
          <t>PASSIVE</t>
        </is>
      </c>
      <c r="T1271" t="inlineStr">
        <is>
          <t>INC-20260331-00004737...2026-03-31 09:52:33...Grid outage, Grid only site / Grid return awaited...GE Fault</t>
        </is>
      </c>
      <c r="U1271" t="inlineStr">
        <is>
          <t>2026-03-31 09 : 52 : 33.Grid outage, Grid only site / Grid return awaited.GE Fault</t>
        </is>
      </c>
    </row>
    <row r="1272">
      <c r="A1272" t="inlineStr">
        <is>
          <t>4/31/2026</t>
        </is>
      </c>
      <c r="B1272" t="inlineStr">
        <is>
          <t>Manjo-PHP</t>
        </is>
      </c>
      <c r="C1272" t="inlineStr">
        <is>
          <t>LIT_592</t>
        </is>
      </c>
      <c r="D1272" t="inlineStr"/>
      <c r="E1272" t="inlineStr">
        <is>
          <t>CAMUSAT</t>
        </is>
      </c>
      <c r="F1272" t="inlineStr">
        <is>
          <t>Good Grid no GE - 8h</t>
        </is>
      </c>
      <c r="G1272" t="inlineStr">
        <is>
          <t>LITTORAL</t>
        </is>
      </c>
      <c r="H1272" t="inlineStr">
        <is>
          <t>Manjo</t>
        </is>
      </c>
      <c r="I1272" t="inlineStr"/>
      <c r="J1272" t="n">
        <v>0</v>
      </c>
      <c r="K1272" t="n">
        <v>0</v>
      </c>
      <c r="L1272" t="n">
        <v>0</v>
      </c>
      <c r="M1272" t="n">
        <v>0</v>
      </c>
      <c r="N1272" t="inlineStr">
        <is>
          <t>Operationnel</t>
        </is>
      </c>
      <c r="O1272" t="inlineStr"/>
      <c r="P1272" t="inlineStr">
        <is>
          <t>AKTIVCO GRID ONLY</t>
        </is>
      </c>
      <c r="Q1272" t="inlineStr">
        <is>
          <t>POWER ISSUE</t>
        </is>
      </c>
      <c r="R1272" t="inlineStr">
        <is>
          <t>AKTIVCO Coupure ENEO &amp; Baisse de tension</t>
        </is>
      </c>
      <c r="S1272" t="inlineStr">
        <is>
          <t>PASSIVE</t>
        </is>
      </c>
      <c r="T1272" t="inlineStr">
        <is>
          <t>INC-20260331-00001823...Auto TT closure RCA...GE Fault</t>
        </is>
      </c>
      <c r="U1272" t="inlineStr">
        <is>
          <t>Auto TT closure RCA.GE Fault</t>
        </is>
      </c>
    </row>
    <row r="1273">
      <c r="A1273" t="inlineStr">
        <is>
          <t>4/31/2026</t>
        </is>
      </c>
      <c r="B1273" t="inlineStr">
        <is>
          <t>Ndjole</t>
        </is>
      </c>
      <c r="C1273" t="inlineStr">
        <is>
          <t>CTR_893</t>
        </is>
      </c>
      <c r="D1273" t="inlineStr"/>
      <c r="E1273" t="inlineStr"/>
      <c r="F1273" t="inlineStr"/>
      <c r="G1273" t="inlineStr">
        <is>
          <t>CENTRE</t>
        </is>
      </c>
      <c r="H1273" t="inlineStr">
        <is>
          <t>Ndjole</t>
        </is>
      </c>
      <c r="I1273" t="inlineStr"/>
      <c r="J1273" t="n">
        <v>0</v>
      </c>
      <c r="K1273" t="n">
        <v>0</v>
      </c>
      <c r="L1273" t="n">
        <v>0</v>
      </c>
      <c r="M1273" t="n">
        <v>0</v>
      </c>
      <c r="N1273" t="inlineStr">
        <is>
          <t>Operationnel</t>
        </is>
      </c>
      <c r="O1273" t="inlineStr"/>
      <c r="P1273" t="inlineStr">
        <is>
          <t>BSS</t>
        </is>
      </c>
      <c r="Q1273" t="inlineStr">
        <is>
          <t>RAN ISSUE</t>
        </is>
      </c>
      <c r="R1273" t="inlineStr">
        <is>
          <t>BSS Hardware issue</t>
        </is>
      </c>
      <c r="S1273" t="inlineStr">
        <is>
          <t>ACTIVE</t>
        </is>
      </c>
      <c r="T1273" t="inlineStr">
        <is>
          <t>31/03/2029 : Besoin d'analyse BO RAN || Check and clean jumper, port 7 of RRU 61 ||  Fme active ..;31/03/2029 : Besoin d'analyse BO RAN || Check and clean jumper, port 7 of RRU 61 ||  Fme active ..;31/03/2029 : Besoin d'analyse BO RAN || Check and clean jumper, port 7 of RRU 61 ||  Fme active ..;31/03/2026 Investigation ongoing / Fme had and issue with his car, is on the way 20h20
31/03/2026 Power issue en attente de retour camusat..;Power status check ongoing</t>
        </is>
      </c>
      <c r="U1273" t="inlineStr">
        <is>
          <t>31/03/2029 : Besoin d'analyse BO RAN || Check and clean jumper, port 7 of RRU 61 || Fme active .;31/03/2029 : Besoin d'analyse BO RAN || Check and clean jumper, port 7 of RRU 61 || Fme active .;31/03/2029 : Besoin d'analyse BO RAN || Check and clean jumper, port 7 of RRU 61 || Fme active .;31/03/2026 Investigation ongoing / Fme had and issue with his car, is on the way 20h20 31/03/2026 Power issue en attente de retour camusat.;Power status check ongoing</t>
        </is>
      </c>
    </row>
    <row r="1274">
      <c r="A1274" t="inlineStr">
        <is>
          <t>4/31/2026</t>
        </is>
      </c>
      <c r="B1274" t="inlineStr">
        <is>
          <t>Mintom-MTN</t>
        </is>
      </c>
      <c r="C1274" t="inlineStr">
        <is>
          <t>SUD_246</t>
        </is>
      </c>
      <c r="D1274" t="inlineStr"/>
      <c r="E1274" t="inlineStr">
        <is>
          <t>IHS</t>
        </is>
      </c>
      <c r="F1274" t="inlineStr">
        <is>
          <t>Solar-Gen-Lithium</t>
        </is>
      </c>
      <c r="G1274" t="inlineStr">
        <is>
          <t>SUD</t>
        </is>
      </c>
      <c r="H1274" t="inlineStr">
        <is>
          <t>Mintom</t>
        </is>
      </c>
      <c r="I1274" t="inlineStr"/>
      <c r="J1274" t="n">
        <v>0</v>
      </c>
      <c r="K1274" t="n">
        <v>0</v>
      </c>
      <c r="L1274" t="n">
        <v>0</v>
      </c>
      <c r="M1274" t="n">
        <v>0</v>
      </c>
      <c r="N1274" t="inlineStr">
        <is>
          <t>Operationnel</t>
        </is>
      </c>
      <c r="O1274" t="inlineStr"/>
      <c r="P1274" t="inlineStr">
        <is>
          <t>Fiber AOF</t>
        </is>
      </c>
      <c r="Q1274" t="inlineStr">
        <is>
          <t>TX ISSUE</t>
        </is>
      </c>
      <c r="R1274" t="inlineStr">
        <is>
          <t>fiber AOF</t>
        </is>
      </c>
      <c r="S1274" t="inlineStr">
        <is>
          <t>ACTIVE</t>
        </is>
      </c>
      <c r="T1274" t="inlineStr">
        <is>
          <t>31/03/2026 Le FME a récupéré le matériel et est en route pour le site ETA : 01H30 min
30/03/2026 La FO est coupé à koungoulou ..;INC-20260331-00009131...2026-03-31 14:50:55...WE suspect a Power issue on AKOM-CENTRE-HILL Site...Les sites sont UP actuellement sans actions cote TX 
Les investigations sont en cours...Other...A determiner</t>
        </is>
      </c>
      <c r="U1274" t="inlineStr">
        <is>
          <t>31/03/2026 Le FME a récupéré le matériel et est en route pour le site ETA : 01H30 min 30/03/2026 La FO est coupé à koungoulou .;.2026-03-31 14 : 50 : 55.WE suspect a Power issue on AKOM-CENTRE-HILL Site.Les sites sont UP actuellement sans actions cote TX Les investigations sont en cours.Other.A determiner</t>
        </is>
      </c>
    </row>
    <row r="1275">
      <c r="A1275" t="inlineStr">
        <is>
          <t>4/31/2026</t>
        </is>
      </c>
      <c r="B1275" t="inlineStr">
        <is>
          <t>Canal-Olympia-1</t>
        </is>
      </c>
      <c r="C1275" t="inlineStr">
        <is>
          <t>LIT_674</t>
        </is>
      </c>
      <c r="D1275" t="inlineStr"/>
      <c r="E1275" t="inlineStr">
        <is>
          <t>CAMUSAT</t>
        </is>
      </c>
      <c r="F1275" t="inlineStr">
        <is>
          <t>Good Grid no GE - 8h</t>
        </is>
      </c>
      <c r="G1275" t="inlineStr">
        <is>
          <t>LITTORAL</t>
        </is>
      </c>
      <c r="H1275" t="inlineStr">
        <is>
          <t>Douala</t>
        </is>
      </c>
      <c r="I1275" t="inlineStr"/>
      <c r="J1275" t="n">
        <v>0</v>
      </c>
      <c r="K1275" t="n">
        <v>0</v>
      </c>
      <c r="L1275" t="n">
        <v>0</v>
      </c>
      <c r="M1275" t="n">
        <v>0</v>
      </c>
      <c r="N1275" t="inlineStr">
        <is>
          <t>Operationnel</t>
        </is>
      </c>
      <c r="O1275" t="inlineStr"/>
      <c r="P1275" t="inlineStr">
        <is>
          <t>AKTIVCO GRID ONLY</t>
        </is>
      </c>
      <c r="Q1275" t="inlineStr">
        <is>
          <t>POWER ISSUE</t>
        </is>
      </c>
      <c r="R1275" t="inlineStr">
        <is>
          <t>AKTIVCO Coupure ENEO &amp; Baisse de tension</t>
        </is>
      </c>
      <c r="S1275" t="inlineStr">
        <is>
          <t>PASSIVE</t>
        </is>
      </c>
      <c r="T1275" t="inlineStr">
        <is>
          <t xml:space="preserve">31/03/2026 Grid only site ,Grid outage / awaiting grid restoration
31/03/2026 CAMUSAT activé Power status check ongoing..;CAMUSAT activé Power status check ongoing..;INC-20260331-00006612...site up fluctuations d énergie </t>
        </is>
      </c>
      <c r="U1275" t="inlineStr">
        <is>
          <t>31/03/2026 Grid only site ,Grid outage / awaiting grid restoration 31/03/2026 CAMUSAT activé Power status check ongoing.;CAMUSAT activé .site up fluctuations d énergie</t>
        </is>
      </c>
    </row>
    <row r="1276">
      <c r="A1276" t="inlineStr">
        <is>
          <t>4/31/2026</t>
        </is>
      </c>
      <c r="B1276" t="inlineStr">
        <is>
          <t>Minisite-Elig-Edzoa</t>
        </is>
      </c>
      <c r="C1276" t="inlineStr">
        <is>
          <t>CTR_684</t>
        </is>
      </c>
      <c r="D1276" t="inlineStr"/>
      <c r="E1276" t="inlineStr">
        <is>
          <t>CAMUSAT</t>
        </is>
      </c>
      <c r="F1276" t="inlineStr">
        <is>
          <t>Good Grid no GE - 8h</t>
        </is>
      </c>
      <c r="G1276" t="inlineStr">
        <is>
          <t>CENTRE</t>
        </is>
      </c>
      <c r="H1276" t="inlineStr">
        <is>
          <t>Yaounde</t>
        </is>
      </c>
      <c r="I1276" t="inlineStr"/>
      <c r="J1276" t="n">
        <v>0</v>
      </c>
      <c r="K1276" t="n">
        <v>0</v>
      </c>
      <c r="L1276" t="n">
        <v>0</v>
      </c>
      <c r="M1276" t="n">
        <v>0</v>
      </c>
      <c r="N1276" t="inlineStr">
        <is>
          <t>Operationnel</t>
        </is>
      </c>
      <c r="O1276" t="inlineStr"/>
      <c r="P1276" t="inlineStr">
        <is>
          <t>AKTIVCO GRID ONLY</t>
        </is>
      </c>
      <c r="Q1276" t="inlineStr">
        <is>
          <t>POWER ISSUE</t>
        </is>
      </c>
      <c r="R1276" t="inlineStr">
        <is>
          <t>AKTIVCO Coupure ENEO &amp; Baisse de tension</t>
        </is>
      </c>
      <c r="S1276" t="inlineStr">
        <is>
          <t>PASSIVE</t>
        </is>
      </c>
      <c r="T1276" t="inlineStr">
        <is>
          <t>31/03/2026 Besoin d'un fme sur site pour verifier l'interco entre le MPR et LE BTS 4G  (S1P4 ) FME armand activé 
31/03/2026 CAMUSAT: Grid outage grid only site ESCALADE L4 CAMUSAT
30.03.2026 CAMUSAT: Grid outage grid only site ESCALADE L3 CAMUSAT : probleme de dijoncteur sur site ETR=12H 
29.03.2026 CAMUSAT: Grid outage grid only site / vérification de la continuté ETR 30min escalade L2 CAMUSAT 
29.03.2026 CAMUSAT: Grid outage grid only site /awaiting grid return..;31/03/2026 Besoin d'un fme sur site pour verifier l'interco entre le MPR et LE BTS 4G  (S1P4 ) FME armand activé 
31/03/2026 CAMUSAT: Grid outage grid only site ESCALADE L4 CAMUSAT
30.03.2026 CAMUSAT: Grid outage grid only site ESCALADE L3 CAMUSAT : probleme de dijoncteur sur site ETR=12H 
29.03.2026 CAMUSAT: Grid outage grid only site / vérification de la continuté ETR 30min escalade L2 CAMUSAT 
29.03.2026 CAMUSAT: Grid outage grid only site /awaiting grid return..;31/03/2026 CAMUSAT: Grid outage grid only site ESCALADE L4 CAMUSAT
30.03.2026 CAMUSAT: Grid outage grid only site ESCALADE L3 CAMUSAT : probleme de dijoncteur sur site ETR=12H 
29.03.2026 CAMUSAT: Grid outage grid only site / vérification de la continuté ETR 30min escalade L2 CAMUSAT 
29.03.2026 CAMUSAT: Grid outage grid only site /awaiting grid return</t>
        </is>
      </c>
      <c r="U1276" t="inlineStr">
        <is>
          <t>31/03/2026 Besoin d'un fme sur site pour verifier l'interco entre le MPR et LE BTS 4G (S1P4 ) FME armand activé 31/03/2026 CAMUSAT : Grid outage grid only site ESCALADE L4 CAMUSAT 30.03.2026 CAMUSAT : Grid outage grid only site ESCALADE L3 CAMUSAT : probleme de dijoncteur sur site ETR=12H 29.03.2026 CAMUSAT : Grid outage grid only site / vérification de la continuté ETR 30min escalade L2 CAMUSAT 29.03.2026 CAMUSAT : Grid outage grid only site /awaiting grid return.;31/03/2026 Besoin d'un fme sur site pour verifier l'interco entre le MPR et LE BTS 4G (S1P4 ) FME armand activé 31/03/2026 CAMUSAT : Grid outage grid only site ESCALADE L4 CAMUSAT 30.03.2026 CAMUSAT : Grid outage grid only site ESCALADE L3 CAMUSAT : probleme de dijoncteur sur site ETR=12H 29.03.2026 CAMUSAT : Grid outage grid only site / vérification de la continuté ETR 30min escalade L2 CAMUSAT 29.03.2026 CAMUSAT : Grid outage grid only site /awaiting grid return.;31/03/2026 CAMUSAT : Grid outage grid only site ESCALADE L4 CAMUSAT 30.03.2026 CAMUSAT : Grid outage grid only site ESCALADE L3 CAMUSAT : probleme de dijoncteur sur site ETR=12H 29.03.2026 CAMUSAT : Grid outage grid only site / vérification de la continuté ETR 30min escalade L2 CAMUSAT 29.03.2026 CAMUSAT : Grid outage grid only site /awaiting grid return</t>
        </is>
      </c>
    </row>
    <row r="1277">
      <c r="A1277" t="inlineStr">
        <is>
          <t>4/31/2026</t>
        </is>
      </c>
      <c r="B1277" t="inlineStr">
        <is>
          <t>Amchide</t>
        </is>
      </c>
      <c r="C1277" t="inlineStr">
        <is>
          <t>EXN_007</t>
        </is>
      </c>
      <c r="D1277" t="inlineStr"/>
      <c r="E1277" t="inlineStr">
        <is>
          <t>IHS</t>
        </is>
      </c>
      <c r="F1277" t="inlineStr">
        <is>
          <t>Grid-Hybrid-Gen</t>
        </is>
      </c>
      <c r="G1277" t="inlineStr">
        <is>
          <t>EXTREME-NORD</t>
        </is>
      </c>
      <c r="H1277" t="inlineStr">
        <is>
          <t>Amchide</t>
        </is>
      </c>
      <c r="I1277" t="inlineStr"/>
      <c r="J1277" t="n">
        <v>0</v>
      </c>
      <c r="K1277" t="n">
        <v>0</v>
      </c>
      <c r="L1277" t="n">
        <v>0</v>
      </c>
      <c r="M1277" t="n">
        <v>0</v>
      </c>
      <c r="N1277" t="inlineStr">
        <is>
          <t>Insecurity</t>
        </is>
      </c>
      <c r="O1277" t="inlineStr"/>
      <c r="P1277" t="inlineStr">
        <is>
          <t>TRAVAUX-HUAWEI</t>
        </is>
      </c>
      <c r="Q1277" t="inlineStr">
        <is>
          <t>TRAVAUX-HUAWEI</t>
        </is>
      </c>
      <c r="R1277" t="inlineStr">
        <is>
          <t>Projet OCM (HUAWEI)</t>
        </is>
      </c>
      <c r="S1277" t="inlineStr">
        <is>
          <t>PLANNED WORKS</t>
        </is>
      </c>
      <c r="T1277" t="inlineStr">
        <is>
          <t>31/03/2026 : SWAP le 25 Fevrier 2026  || Pas encore accepte</t>
        </is>
      </c>
      <c r="U1277" t="inlineStr">
        <is>
          <t>31/03/2026 : SWAP le 25 Fevrier 2026 || Pas encore accepte</t>
        </is>
      </c>
    </row>
    <row r="1278">
      <c r="A1278" t="inlineStr">
        <is>
          <t>4/31/2026</t>
        </is>
      </c>
      <c r="B1278" t="inlineStr">
        <is>
          <t>Tokombere</t>
        </is>
      </c>
      <c r="C1278" t="inlineStr">
        <is>
          <t>EXN_015</t>
        </is>
      </c>
      <c r="D1278" t="inlineStr"/>
      <c r="E1278" t="inlineStr">
        <is>
          <t>IHS</t>
        </is>
      </c>
      <c r="F1278" t="inlineStr">
        <is>
          <t>Grid-Gen</t>
        </is>
      </c>
      <c r="G1278" t="inlineStr">
        <is>
          <t>EXTREME-NORD</t>
        </is>
      </c>
      <c r="H1278" t="inlineStr">
        <is>
          <t>Tokombere</t>
        </is>
      </c>
      <c r="I1278" t="inlineStr"/>
      <c r="J1278" t="n">
        <v>0</v>
      </c>
      <c r="K1278" t="n">
        <v>0</v>
      </c>
      <c r="L1278" t="n">
        <v>0</v>
      </c>
      <c r="M1278" t="n">
        <v>0</v>
      </c>
      <c r="N1278" t="inlineStr">
        <is>
          <t>Insecurity</t>
        </is>
      </c>
      <c r="O1278" t="inlineStr"/>
      <c r="P1278" t="inlineStr">
        <is>
          <t>TRAVAUX-HUAWEI</t>
        </is>
      </c>
      <c r="Q1278" t="inlineStr">
        <is>
          <t>TRAVAUX-HUAWEI</t>
        </is>
      </c>
      <c r="R1278" t="inlineStr">
        <is>
          <t>Projet OCM (HUAWEI)</t>
        </is>
      </c>
      <c r="S1278" t="inlineStr">
        <is>
          <t>PLANNED WORKS</t>
        </is>
      </c>
      <c r="T1278" t="inlineStr">
        <is>
          <t>31/03/2026 : SWAP le 18 Fevrier 2026  || Pas encore accepte</t>
        </is>
      </c>
      <c r="U1278" t="inlineStr">
        <is>
          <t>31/03/2026 : SWAP le 18 Fevrier 2026 || Pas encore accepte</t>
        </is>
      </c>
    </row>
    <row r="1279">
      <c r="A1279" t="inlineStr">
        <is>
          <t>4/31/2026</t>
        </is>
      </c>
      <c r="B1279" t="inlineStr">
        <is>
          <t>Kar-Hay</t>
        </is>
      </c>
      <c r="C1279" t="inlineStr">
        <is>
          <t>EXN_022</t>
        </is>
      </c>
      <c r="D1279" t="inlineStr"/>
      <c r="E1279" t="inlineStr">
        <is>
          <t>IHS</t>
        </is>
      </c>
      <c r="F1279" t="inlineStr">
        <is>
          <t>Solar-Grid-Gen</t>
        </is>
      </c>
      <c r="G1279" t="inlineStr">
        <is>
          <t>EXTREME-NORD</t>
        </is>
      </c>
      <c r="H1279" t="inlineStr">
        <is>
          <t>Kar-Hay</t>
        </is>
      </c>
      <c r="I1279" t="inlineStr"/>
      <c r="J1279" t="n">
        <v>0</v>
      </c>
      <c r="K1279" t="n">
        <v>0</v>
      </c>
      <c r="L1279" t="n">
        <v>0</v>
      </c>
      <c r="M1279" t="n">
        <v>0</v>
      </c>
      <c r="N1279" t="inlineStr">
        <is>
          <t>Insecurity</t>
        </is>
      </c>
      <c r="O1279" t="inlineStr"/>
      <c r="P1279" t="inlineStr">
        <is>
          <t>TRAVAUX-HUAWEI</t>
        </is>
      </c>
      <c r="Q1279" t="inlineStr">
        <is>
          <t>TRAVAUX-HUAWEI</t>
        </is>
      </c>
      <c r="R1279" t="inlineStr">
        <is>
          <t>Projet OCM (HUAWEI)</t>
        </is>
      </c>
      <c r="S1279" t="inlineStr">
        <is>
          <t>PLANNED WORKS</t>
        </is>
      </c>
      <c r="T1279" t="inlineStr">
        <is>
          <t>31/03/2026 : SWAP le 18 Fevrier 2026  || Pas encore accepte</t>
        </is>
      </c>
      <c r="U1279" t="inlineStr">
        <is>
          <t>31/03/2026 : SWAP le 18 Fevrier 2026 || Pas encore accepte</t>
        </is>
      </c>
    </row>
    <row r="1280">
      <c r="A1280" t="inlineStr">
        <is>
          <t>4/31/2026</t>
        </is>
      </c>
      <c r="B1280" t="inlineStr">
        <is>
          <t>Badjouma</t>
        </is>
      </c>
      <c r="C1280" t="inlineStr">
        <is>
          <t>NRD_026</t>
        </is>
      </c>
      <c r="D1280" t="inlineStr"/>
      <c r="E1280" t="inlineStr">
        <is>
          <t>IHS</t>
        </is>
      </c>
      <c r="F1280" t="inlineStr">
        <is>
          <t>Solar-Gen</t>
        </is>
      </c>
      <c r="G1280" t="inlineStr">
        <is>
          <t>NORD</t>
        </is>
      </c>
      <c r="H1280" t="inlineStr">
        <is>
          <t>Badjouma</t>
        </is>
      </c>
      <c r="I1280" t="inlineStr"/>
      <c r="J1280" t="n">
        <v>0</v>
      </c>
      <c r="K1280" t="n">
        <v>0</v>
      </c>
      <c r="L1280" t="n">
        <v>0</v>
      </c>
      <c r="M1280" t="n">
        <v>0</v>
      </c>
      <c r="N1280" t="inlineStr">
        <is>
          <t>Operationnel</t>
        </is>
      </c>
      <c r="O1280" t="inlineStr"/>
      <c r="P1280" t="inlineStr">
        <is>
          <t>TRAVAUX-HUAWEI</t>
        </is>
      </c>
      <c r="Q1280" t="inlineStr">
        <is>
          <t>TRAVAUX-HUAWEI</t>
        </is>
      </c>
      <c r="R1280" t="inlineStr">
        <is>
          <t>Projet OCM (HUAWEI)</t>
        </is>
      </c>
      <c r="S1280" t="inlineStr">
        <is>
          <t>PLANNED WORKS</t>
        </is>
      </c>
      <c r="T1280" t="inlineStr">
        <is>
          <t>31/03/2026 : SWAP le 08 Fevrier || Pas encore accepte</t>
        </is>
      </c>
      <c r="U1280" t="inlineStr">
        <is>
          <t>31/03/2026 : SWAP le 08 Fevrier || Pas encore accepte</t>
        </is>
      </c>
    </row>
    <row r="1281">
      <c r="A1281" t="inlineStr">
        <is>
          <t>4/31/2026</t>
        </is>
      </c>
      <c r="B1281" t="inlineStr">
        <is>
          <t>Obili-New</t>
        </is>
      </c>
      <c r="C1281" t="inlineStr">
        <is>
          <t>CTR_540</t>
        </is>
      </c>
      <c r="D1281" t="inlineStr"/>
      <c r="E1281" t="inlineStr">
        <is>
          <t>IHS</t>
        </is>
      </c>
      <c r="F1281" t="inlineStr">
        <is>
          <t>Grid-Gen</t>
        </is>
      </c>
      <c r="G1281" t="inlineStr">
        <is>
          <t>CENTRE</t>
        </is>
      </c>
      <c r="H1281" t="inlineStr">
        <is>
          <t>Yaounde</t>
        </is>
      </c>
      <c r="I1281" t="inlineStr"/>
      <c r="J1281" t="n">
        <v>0</v>
      </c>
      <c r="K1281" t="n">
        <v>0</v>
      </c>
      <c r="L1281" t="n">
        <v>0</v>
      </c>
      <c r="M1281" t="n">
        <v>0</v>
      </c>
      <c r="N1281" t="inlineStr">
        <is>
          <t>Operationnel</t>
        </is>
      </c>
      <c r="O1281" t="inlineStr"/>
      <c r="P1281" t="inlineStr">
        <is>
          <t>IHS</t>
        </is>
      </c>
      <c r="Q1281" t="inlineStr">
        <is>
          <t>POWER ISSUE</t>
        </is>
      </c>
      <c r="R1281" t="inlineStr">
        <is>
          <t>Defaut GE &amp; Power Cabinet</t>
        </is>
      </c>
      <c r="S1281" t="inlineStr">
        <is>
          <t>PASSIVE</t>
        </is>
      </c>
      <c r="T1281" t="inlineStr">
        <is>
          <t>31/03/2026 : Power issue || mail sent to IHS</t>
        </is>
      </c>
      <c r="U1281" t="inlineStr">
        <is>
          <t>31/03/2026 : Power issue || mail sent to IHS</t>
        </is>
      </c>
    </row>
    <row r="1282">
      <c r="A1282" t="inlineStr">
        <is>
          <t>4/31/2026</t>
        </is>
      </c>
      <c r="B1282" t="inlineStr">
        <is>
          <t>Mankouotmbou</t>
        </is>
      </c>
      <c r="C1282" t="inlineStr">
        <is>
          <t>OST_245</t>
        </is>
      </c>
      <c r="D1282" t="inlineStr"/>
      <c r="E1282" t="inlineStr">
        <is>
          <t>CAMUSAT</t>
        </is>
      </c>
      <c r="F1282" t="inlineStr">
        <is>
          <t>Hybrid Solar - S3</t>
        </is>
      </c>
      <c r="G1282" t="inlineStr">
        <is>
          <t>OUEST</t>
        </is>
      </c>
      <c r="H1282" t="inlineStr">
        <is>
          <t>Mankouotmbou</t>
        </is>
      </c>
      <c r="I1282" t="inlineStr"/>
      <c r="J1282" t="n">
        <v>0</v>
      </c>
      <c r="K1282" t="n">
        <v>0</v>
      </c>
      <c r="L1282" t="n">
        <v>0</v>
      </c>
      <c r="M1282" t="n">
        <v>0</v>
      </c>
      <c r="N1282" t="inlineStr">
        <is>
          <t>Operationnel</t>
        </is>
      </c>
      <c r="O1282" t="inlineStr"/>
      <c r="P1282" t="inlineStr">
        <is>
          <t>Exclu</t>
        </is>
      </c>
      <c r="Q1282" t="inlineStr">
        <is>
          <t>Exclu</t>
        </is>
      </c>
      <c r="R1282" t="inlineStr">
        <is>
          <t>EXCLU</t>
        </is>
      </c>
      <c r="S1282" t="inlineStr">
        <is>
          <t>Exclu</t>
        </is>
      </c>
      <c r="T1282" t="inlineStr">
        <is>
          <t>31/03/2026 : ETA : 01/03/2026 || FME sur cite vandalise intervention demain matin 10H
30/03/2026 :FME active || Intervention ce jour 
29/03/2029 :  Commande de la F.O passe || ETA : Ce jour 
27/03/2026 : ETD ce jour
26/03/2026 : Apres intervention hier F.O faulty || FME active 
25/03/2026 : ETA 14h
24//03/2026 : FRGU faulty || cde en cours..;31/03/2026 : ETA : 01/03/2026 || FME sur cite vandalise intervention demain matin 10H || ETA :  01/04/202026. 10:00 AM
30/03/2026 :FME active || Intervention ce jour 
29/03/2029 :  Commande de la F.O passe || ETA : Ce jour 
27/03/2026 : ETD ce jour
26/03/2026 : Apres intervention hier F.O faulty || FME active 
25/03/2026 : ETA 14h
24//03/2026 : FRGU faulty || cde en cours..;31/03/2026 : ETA : 01/03/2026 || FME sur cite vandalise intervention demain matin 10H
30/03/2026 :FME active || Intervention ce jour 
29/03/2029 :  Commande de la F.O passe || ETA : Ce jour 
27/03/2026 : ETD ce jour
26/03/2026 : Apres intervention hier F.O faulty || FME active 
25/03/2026 : ETA 14h
24//03/2026 : FRGU faulty || cde en cours</t>
        </is>
      </c>
      <c r="U1282" t="inlineStr">
        <is>
          <t>31/03/2026 : ETA : 01/03/2026 || FME sur cite vandalise intervention demain matin 10H 30/03/2026 : FME active || Intervention ce jour 29/03/2029 : Commande de la F.O passe || ETA : Ce jour 27/03/2026 : ETD ce jour 26/03/2026 : Apres intervention hier F.O faulty || FME active 25/03/2026 : ETA 14h 24//03/2026 : FRGU faulty || cde en cours.;31/03/2026 : ETA : 01/03/2026 || FME sur cite vandalise intervention demain matin 10H || ETA : 01/04/202026. 10 : 00 AM 30/03/2026 : FME active || Intervention ce jour 29/03/2029 : Commande de la F.O passe || ETA : Ce jour 27/03/2026 : ETD ce jour 26/03/2026 : Apres intervention hier F.O faulty || FME active 25/03/2026 : ETA 14h 24//03/2026 : FRGU faulty || cde en cours.;31/03/2026 : ETA : 01/03/2026 || FME sur cite vandalise intervention demain matin 10H 30/03/2026 : FME active || Intervention ce jour 29/03/2029 : Commande de la F.O passe || ETA : Ce jour 27/03/2026 : ETD ce jour 26/03/2026 : Apres intervention hier F.O faulty || FME active 25/03/2026 : ETA 14h 24//03/2026 : FRGU faulty || cde en cours</t>
        </is>
      </c>
    </row>
    <row r="1283">
      <c r="A1283" t="inlineStr">
        <is>
          <t>4/31/2026</t>
        </is>
      </c>
      <c r="B1283" t="inlineStr">
        <is>
          <t>Mamfe-Camtel</t>
        </is>
      </c>
      <c r="C1283" t="inlineStr">
        <is>
          <t>SUO_245</t>
        </is>
      </c>
      <c r="D1283" t="inlineStr"/>
      <c r="E1283" t="inlineStr"/>
      <c r="F1283" t="inlineStr"/>
      <c r="G1283" t="inlineStr">
        <is>
          <t>SUD-OUEST</t>
        </is>
      </c>
      <c r="H1283" t="inlineStr">
        <is>
          <t>Mamfe</t>
        </is>
      </c>
      <c r="I1283" t="inlineStr"/>
      <c r="J1283" t="n">
        <v>0</v>
      </c>
      <c r="K1283" t="n">
        <v>0</v>
      </c>
      <c r="L1283" t="n">
        <v>0</v>
      </c>
      <c r="M1283" t="n">
        <v>0</v>
      </c>
      <c r="N1283" t="inlineStr">
        <is>
          <t>Insecurity</t>
        </is>
      </c>
      <c r="O1283" t="inlineStr"/>
      <c r="P1283" t="inlineStr">
        <is>
          <t>PDH</t>
        </is>
      </c>
      <c r="Q1283" t="inlineStr">
        <is>
          <t>TX ISSUE</t>
        </is>
      </c>
      <c r="R1283" t="inlineStr">
        <is>
          <t>MPR ISSUE</t>
        </is>
      </c>
      <c r="S1283" t="inlineStr">
        <is>
          <t>ACTIVE</t>
        </is>
      </c>
      <c r="T1283" t="inlineStr">
        <is>
          <t>31/03/2026 : Check breaker and  interconnection(sfp, optical fiber) between system and radio module, swap its if needed || HUAWEI projet intervention ce jour ..;31/03/2026 technician is informed and managing..;Power status check ongoing..;INC-20260331-00009091...2026-03-31 15:14:13...technician is informed and managing...power instability ...Others Transmission equipement fault</t>
        </is>
      </c>
      <c r="U1283" t="inlineStr">
        <is>
          <t>31/03/2026 : Check breaker and interconnection(sfp, optical fiber) between system and radio module, swap its if needed || HUAWEI projet intervention ce jour .;31/03/2026 technician is informed and managing.;.2026-03-31 15 : 14 : 13.technician is informed and managing.power instability .</t>
        </is>
      </c>
    </row>
    <row r="1284">
      <c r="A1284" t="inlineStr">
        <is>
          <t>4/31/2026</t>
        </is>
      </c>
      <c r="B1284" t="inlineStr">
        <is>
          <t>Ndjokloumbe-IHS</t>
        </is>
      </c>
      <c r="C1284" t="inlineStr">
        <is>
          <t>LIT_500</t>
        </is>
      </c>
      <c r="D1284" t="inlineStr"/>
      <c r="E1284" t="inlineStr">
        <is>
          <t>IHS</t>
        </is>
      </c>
      <c r="F1284" t="inlineStr">
        <is>
          <t>Hybrid-Gen</t>
        </is>
      </c>
      <c r="G1284" t="inlineStr">
        <is>
          <t>LITTORAL</t>
        </is>
      </c>
      <c r="H1284" t="inlineStr">
        <is>
          <t>Ndjokloumbe</t>
        </is>
      </c>
      <c r="I1284" t="inlineStr"/>
      <c r="J1284" t="n">
        <v>0</v>
      </c>
      <c r="K1284" t="n">
        <v>0</v>
      </c>
      <c r="L1284" t="n">
        <v>0</v>
      </c>
      <c r="M1284" t="n">
        <v>0</v>
      </c>
      <c r="N1284" t="inlineStr">
        <is>
          <t>Operationnel</t>
        </is>
      </c>
      <c r="O1284" t="inlineStr"/>
      <c r="P1284" t="inlineStr">
        <is>
          <t>BSS</t>
        </is>
      </c>
      <c r="Q1284" t="inlineStr">
        <is>
          <t>RAN ISSUE</t>
        </is>
      </c>
      <c r="R1284" t="inlineStr">
        <is>
          <t>BSS Hardware issue</t>
        </is>
      </c>
      <c r="S1284" t="inlineStr">
        <is>
          <t>ACTIVE</t>
        </is>
      </c>
      <c r="T1284" t="inlineStr">
        <is>
          <t>31/03/2026 : Check and clean jumper  on  FRGU antenna port 3  and FRGU || FME active ||ETA : 01/03/2026..;31/03/2026 : Check and clean jumper  on  FRGU antenna port 3  and FRGU || FME active ||ETA : 01/03/2026..;31/03/2026 : Check and clean jumper  on  FRGU antenna port 3  and FRGU || FME active ||ETA : 01/03/2026</t>
        </is>
      </c>
      <c r="U1284" t="inlineStr">
        <is>
          <t>31/03/2026 : Check and clean jumper on FRGU antenna port 3 and FRGU || FME active || ETA : 01/03/2026.;31/03/2026 : Check and clean jumper on FRGU antenna port 3 and FRGU || FME active || ETA : 01/03/2026.;31/03/2026 : Check and clean jumper on FRGU antenna port 3 and FRGU || FME active || ETA : 01/03/2026</t>
        </is>
      </c>
    </row>
    <row r="1285">
      <c r="A1285" t="inlineStr">
        <is>
          <t>4/31/2026</t>
        </is>
      </c>
      <c r="B1285" t="inlineStr">
        <is>
          <t>Akom-II-IHS</t>
        </is>
      </c>
      <c r="C1285" t="inlineStr">
        <is>
          <t>SUD_054</t>
        </is>
      </c>
      <c r="D1285" t="inlineStr"/>
      <c r="E1285" t="inlineStr">
        <is>
          <t>IHS</t>
        </is>
      </c>
      <c r="F1285" t="inlineStr">
        <is>
          <t>Gen-Lithium</t>
        </is>
      </c>
      <c r="G1285" t="inlineStr">
        <is>
          <t>SUD</t>
        </is>
      </c>
      <c r="H1285" t="inlineStr">
        <is>
          <t>Akom II</t>
        </is>
      </c>
      <c r="I1285" t="inlineStr"/>
      <c r="J1285" t="n">
        <v>0</v>
      </c>
      <c r="K1285" t="n">
        <v>0</v>
      </c>
      <c r="L1285" t="n">
        <v>0</v>
      </c>
      <c r="M1285" t="n">
        <v>0</v>
      </c>
      <c r="N1285" t="inlineStr">
        <is>
          <t>Operationnel</t>
        </is>
      </c>
      <c r="O1285" t="inlineStr"/>
      <c r="P1285" t="inlineStr">
        <is>
          <t>TRAVAUX OCM</t>
        </is>
      </c>
      <c r="Q1285" t="inlineStr">
        <is>
          <t>TRAVAUX OCM</t>
        </is>
      </c>
      <c r="R1285" t="inlineStr">
        <is>
          <t>Projet OCM (ZTE, NOKIA, autres projets)</t>
        </is>
      </c>
      <c r="S1285" t="inlineStr">
        <is>
          <t>PLANNED WORKS</t>
        </is>
      </c>
      <c r="T1285" t="inlineStr">
        <is>
          <t>31/03/2026 : Besoin d'analyse BO RAN..;not accepted..;not accepted</t>
        </is>
      </c>
      <c r="U1285" t="inlineStr">
        <is>
          <t>31/03/2026 : Besoin d'analyse BO RAN.;not accepted.;not accepted</t>
        </is>
      </c>
    </row>
    <row r="1286">
      <c r="A1286" t="inlineStr">
        <is>
          <t>4/31/2026</t>
        </is>
      </c>
      <c r="B1286" t="inlineStr">
        <is>
          <t>Safacam</t>
        </is>
      </c>
      <c r="C1286" t="inlineStr">
        <is>
          <t>LIT_040</t>
        </is>
      </c>
      <c r="D1286" t="inlineStr"/>
      <c r="E1286" t="inlineStr">
        <is>
          <t>IHS</t>
        </is>
      </c>
      <c r="F1286" t="inlineStr">
        <is>
          <t>Grid-Gen</t>
        </is>
      </c>
      <c r="G1286" t="inlineStr">
        <is>
          <t>LITTORAL</t>
        </is>
      </c>
      <c r="H1286" t="inlineStr">
        <is>
          <t>Dizangue</t>
        </is>
      </c>
      <c r="I1286" t="inlineStr"/>
      <c r="J1286" t="n">
        <v>0</v>
      </c>
      <c r="K1286" t="n">
        <v>0</v>
      </c>
      <c r="L1286" t="n">
        <v>0</v>
      </c>
      <c r="M1286" t="n">
        <v>0</v>
      </c>
      <c r="N1286" t="inlineStr">
        <is>
          <t>Operationnel</t>
        </is>
      </c>
      <c r="O1286" t="inlineStr"/>
      <c r="P1286" t="inlineStr">
        <is>
          <t>BSS</t>
        </is>
      </c>
      <c r="Q1286" t="inlineStr">
        <is>
          <t>RAN ISSUE</t>
        </is>
      </c>
      <c r="R1286" t="inlineStr">
        <is>
          <t>BSS Hardware issue</t>
        </is>
      </c>
      <c r="S1286" t="inlineStr">
        <is>
          <t>ACTIVE</t>
        </is>
      </c>
      <c r="T1286" t="inlineStr">
        <is>
          <t>31/03/2026 : Besoin d'analyse BO RAN..;31/03/2026 : Besoin d'analyse BO RAN || Site unstable affected by power &amp; Check and clean jumper, port 6 of RRU 61..;31/03/2026 : Besoin d'analyse BO RAN || Site unstable affected by power &amp; Check and clean jumper, port 6 of RRU 61 || Fme active</t>
        </is>
      </c>
      <c r="U1286" t="inlineStr">
        <is>
          <t>31/03/2026 : Besoin d'analyse BO RAN.;31/03/2026 : Besoin d'analyse BO RAN || Site unstable affected by power &amp; Check and clean jumper, port 6 of RRU 61.;31/03/2026 : Besoin d'analyse BO RAN || Site unstable affected by power &amp; Check and clean jumper, port 6 of RRU 61 || Fme active</t>
        </is>
      </c>
    </row>
    <row r="1287">
      <c r="A1287" t="inlineStr">
        <is>
          <t>4/31/2026</t>
        </is>
      </c>
      <c r="B1287" t="inlineStr">
        <is>
          <t>Mamfe-Brasserie</t>
        </is>
      </c>
      <c r="C1287" t="inlineStr">
        <is>
          <t>SUO_073</t>
        </is>
      </c>
      <c r="D1287" t="inlineStr"/>
      <c r="E1287" t="inlineStr">
        <is>
          <t>IHS</t>
        </is>
      </c>
      <c r="F1287" t="inlineStr">
        <is>
          <t>Grid-Gen</t>
        </is>
      </c>
      <c r="G1287" t="inlineStr">
        <is>
          <t>SUD-OUEST</t>
        </is>
      </c>
      <c r="H1287" t="inlineStr">
        <is>
          <t>Mamfe</t>
        </is>
      </c>
      <c r="I1287" t="inlineStr"/>
      <c r="J1287" t="n">
        <v>0</v>
      </c>
      <c r="K1287" t="n">
        <v>0</v>
      </c>
      <c r="L1287" t="n">
        <v>0</v>
      </c>
      <c r="M1287" t="n">
        <v>0</v>
      </c>
      <c r="N1287" t="inlineStr">
        <is>
          <t>Insecurity</t>
        </is>
      </c>
      <c r="O1287" t="inlineStr"/>
      <c r="P1287" t="inlineStr">
        <is>
          <t>TRAVAUX-HUAWEI</t>
        </is>
      </c>
      <c r="Q1287" t="inlineStr">
        <is>
          <t>TRAVAUX-HUAWEI</t>
        </is>
      </c>
      <c r="R1287" t="inlineStr">
        <is>
          <t>Projet OCM (HUAWEI)</t>
        </is>
      </c>
      <c r="S1287" t="inlineStr">
        <is>
          <t>PLANNED WORKS</t>
        </is>
      </c>
      <c r="T1287" t="inlineStr">
        <is>
          <t>30/03/2026 : SWAP le 20 Mars</t>
        </is>
      </c>
      <c r="U1287" t="inlineStr">
        <is>
          <t>30/03/2026 : SWAP le 20 Mars</t>
        </is>
      </c>
    </row>
    <row r="1288">
      <c r="A1288" t="inlineStr">
        <is>
          <t>4/31/2026</t>
        </is>
      </c>
      <c r="B1288" t="inlineStr">
        <is>
          <t>Ngoung</t>
        </is>
      </c>
      <c r="C1288" t="inlineStr">
        <is>
          <t>CTR_115</t>
        </is>
      </c>
      <c r="D1288" t="inlineStr"/>
      <c r="E1288" t="inlineStr">
        <is>
          <t>IHS</t>
        </is>
      </c>
      <c r="F1288" t="inlineStr">
        <is>
          <t>Grid-Gen</t>
        </is>
      </c>
      <c r="G1288" t="inlineStr">
        <is>
          <t>CENTRE</t>
        </is>
      </c>
      <c r="H1288" t="inlineStr">
        <is>
          <t>Ngoung</t>
        </is>
      </c>
      <c r="I1288" t="inlineStr"/>
      <c r="J1288" t="n">
        <v>0</v>
      </c>
      <c r="K1288" t="n">
        <v>0</v>
      </c>
      <c r="L1288" t="n">
        <v>0</v>
      </c>
      <c r="M1288" t="n">
        <v>0</v>
      </c>
      <c r="N1288" t="inlineStr">
        <is>
          <t>Exclu</t>
        </is>
      </c>
      <c r="O1288" t="inlineStr">
        <is>
          <t>site vandalise</t>
        </is>
      </c>
      <c r="P1288" t="inlineStr">
        <is>
          <t>TRAVAUX OCM</t>
        </is>
      </c>
      <c r="Q1288" t="inlineStr">
        <is>
          <t>TRAVAUX OCM</t>
        </is>
      </c>
      <c r="R1288" t="inlineStr">
        <is>
          <t>Projet OCM (ZTE, NOKIA, autres projets)</t>
        </is>
      </c>
      <c r="S1288" t="inlineStr">
        <is>
          <t>PLANNED WORKS</t>
        </is>
      </c>
      <c r="T1288" t="inlineStr">
        <is>
          <t>30/03/2026 : Not accepted..;30/03/2026 : Not accepted..;30/03/2026 : Not accepted</t>
        </is>
      </c>
      <c r="U1288" t="inlineStr">
        <is>
          <t>30/03/2026 : Not accepted.;30/03/2026 : Not accepted.;30/03/2026 : Not accepted</t>
        </is>
      </c>
    </row>
    <row r="1289">
      <c r="A1289" t="inlineStr">
        <is>
          <t>4/31/2026</t>
        </is>
      </c>
      <c r="B1289" t="inlineStr">
        <is>
          <t>Bayangam</t>
        </is>
      </c>
      <c r="C1289" t="inlineStr">
        <is>
          <t>OST_051</t>
        </is>
      </c>
      <c r="D1289" t="inlineStr"/>
      <c r="E1289" t="inlineStr">
        <is>
          <t>IHS</t>
        </is>
      </c>
      <c r="F1289" t="inlineStr">
        <is>
          <t>Grid-Gen</t>
        </is>
      </c>
      <c r="G1289" t="inlineStr">
        <is>
          <t>OUEST</t>
        </is>
      </c>
      <c r="H1289" t="inlineStr">
        <is>
          <t>Bayangam</t>
        </is>
      </c>
      <c r="I1289" t="inlineStr"/>
      <c r="J1289" t="n">
        <v>0</v>
      </c>
      <c r="K1289" t="n">
        <v>0</v>
      </c>
      <c r="L1289" t="n">
        <v>0</v>
      </c>
      <c r="M1289" t="n">
        <v>0</v>
      </c>
      <c r="N1289" t="inlineStr">
        <is>
          <t>Operationnel</t>
        </is>
      </c>
      <c r="O1289" t="inlineStr"/>
      <c r="P1289" t="inlineStr">
        <is>
          <t>Fiber AOF</t>
        </is>
      </c>
      <c r="Q1289" t="inlineStr">
        <is>
          <t>TX ISSUE</t>
        </is>
      </c>
      <c r="R1289" t="inlineStr">
        <is>
          <t>fiber AOF</t>
        </is>
      </c>
      <c r="S1289" t="inlineStr">
        <is>
          <t>ACTIVE</t>
        </is>
      </c>
      <c r="T1289" t="inlineStr">
        <is>
          <t>30/03/2026 : FO faulty sur la Load Bande S1. Connector RRU sur la meed bande S1 et la SFP faulty au S2 || FO, &amp; SFP remplacee et refection connectique
 28/03/2026 : suite d'intervention ce jour || 1/3 RRU UP après  swap du SFP côté BBU.
Le deux autres restent down après swap des SFP. Impossible pour nous d'investiguer sur le pylône actuellement pour cause de pluie. 
La suite de l'intervention se fera demain matin premières  heures.
27/03/2026 : FME active || Suite d'intervention demain pour check en hauteur
26/03/2026 : Besoin d'analyse BO RAN || FME should check Connectivity between BBU and RRU 60/61/80/81</t>
        </is>
      </c>
      <c r="U1289" t="inlineStr">
        <is>
          <t>30/03/2026 : FO faulty sur la Load Bande S1. Connector RRU sur la meed bande S1 et la SFP faulty au S2 || FO, &amp; SFP remplacee et refection connectique 28/03/2026 : suite d'intervention ce jour || 1/3 RRU UP après swap du SFP côté BBU. Le deux autres restent down après swap des SFP. Impossible pour nous d'investiguer sur le pylône actuellement pour cause de pluie. La suite de l'intervention se fera demain matin premières heures. 27/03/2026 : FME active || Suite d'intervention demain pour check en hauteur 26/03/2026 : Besoin d'analyse BO RAN || FME should check Connectivity between BBU and RRU 60/61/80/81</t>
        </is>
      </c>
    </row>
    <row r="1290">
      <c r="A1290" t="inlineStr">
        <is>
          <t>4/31/2026</t>
        </is>
      </c>
      <c r="B1290" t="inlineStr">
        <is>
          <t>Bafmeng</t>
        </is>
      </c>
      <c r="C1290" t="inlineStr">
        <is>
          <t>NRO_047</t>
        </is>
      </c>
      <c r="D1290" t="inlineStr"/>
      <c r="E1290" t="inlineStr">
        <is>
          <t>IHS</t>
        </is>
      </c>
      <c r="F1290" t="inlineStr">
        <is>
          <t>Hybrid-Gen</t>
        </is>
      </c>
      <c r="G1290" t="inlineStr">
        <is>
          <t>NORD-OUEST</t>
        </is>
      </c>
      <c r="H1290" t="inlineStr">
        <is>
          <t>Bafmeng</t>
        </is>
      </c>
      <c r="I1290" t="inlineStr"/>
      <c r="J1290" t="n">
        <v>0</v>
      </c>
      <c r="K1290" t="n">
        <v>0</v>
      </c>
      <c r="L1290" t="n">
        <v>0</v>
      </c>
      <c r="M1290" t="n">
        <v>0</v>
      </c>
      <c r="N1290" t="inlineStr">
        <is>
          <t>Insecurity</t>
        </is>
      </c>
      <c r="O1290" t="inlineStr"/>
      <c r="P1290" t="inlineStr">
        <is>
          <t>PDH</t>
        </is>
      </c>
      <c r="Q1290" t="inlineStr">
        <is>
          <t>TX ISSUE</t>
        </is>
      </c>
      <c r="R1290" t="inlineStr">
        <is>
          <t>MPR ISSUE</t>
        </is>
      </c>
      <c r="S1290" t="inlineStr">
        <is>
          <t>ACTIVE</t>
        </is>
      </c>
      <c r="T1290" t="inlineStr">
        <is>
          <t>30/03/2026 : Check breaker and  interconnection(sfp, optical fiber) between system and radio module, swap its if needed ||Ghost town..;30/03/2026 : Check breaker and  interconnection(sfp, optical fiber) between system and radio module, swap its if needed ||Ghost town..;30/03/2026 : Check breaker and  interconnection(sfp, optical fiber) between system and radio module, swap its if needed ||Ghost town</t>
        </is>
      </c>
      <c r="U1290" t="inlineStr">
        <is>
          <t>30/03/2026 : Check breaker and interconnection(sfp, optical fiber) between system and radio module, swap its if needed || Ghost town.;30/03/2026 : Check breaker and interconnection(sfp, optical fiber) between system and radio module, swap its if needed || Ghost town.;30/03/2026 : Check breaker and interconnection(sfp, optical fiber) between system and radio module, swap its if needed || Ghost town</t>
        </is>
      </c>
    </row>
    <row r="1291">
      <c r="A1291" t="inlineStr">
        <is>
          <t>4/31/2026</t>
        </is>
      </c>
      <c r="B1291" t="inlineStr">
        <is>
          <t>Kembong</t>
        </is>
      </c>
      <c r="C1291" t="inlineStr">
        <is>
          <t>NRO_026</t>
        </is>
      </c>
      <c r="D1291" t="inlineStr"/>
      <c r="E1291" t="inlineStr">
        <is>
          <t>IHS</t>
        </is>
      </c>
      <c r="F1291" t="inlineStr">
        <is>
          <t>Grid-Gen</t>
        </is>
      </c>
      <c r="G1291" t="inlineStr">
        <is>
          <t>NORD-OUEST</t>
        </is>
      </c>
      <c r="H1291" t="inlineStr">
        <is>
          <t>Kembong</t>
        </is>
      </c>
      <c r="I1291" t="inlineStr"/>
      <c r="J1291" t="n">
        <v>0</v>
      </c>
      <c r="K1291" t="n">
        <v>0</v>
      </c>
      <c r="L1291" t="n">
        <v>0</v>
      </c>
      <c r="M1291" t="n">
        <v>0</v>
      </c>
      <c r="N1291" t="inlineStr">
        <is>
          <t>Insecurity</t>
        </is>
      </c>
      <c r="O1291" t="inlineStr"/>
      <c r="P1291" t="inlineStr">
        <is>
          <t>BSS</t>
        </is>
      </c>
      <c r="Q1291" t="inlineStr">
        <is>
          <t>RAN ISSUE</t>
        </is>
      </c>
      <c r="R1291" t="inlineStr">
        <is>
          <t>BSS Hardware issue</t>
        </is>
      </c>
      <c r="S1291" t="inlineStr">
        <is>
          <t>ACTIVE</t>
        </is>
      </c>
      <c r="T1291" t="inlineStr">
        <is>
          <t>30/03/2026 : Check and clean jumper  on  FXDB antenna port 5  and ARGA antenna port 1 ||Ghost town..;30/03/2026 : Check and clean jumper  on  FXDB antenna port 5  and ARGA antenna port 1 ||Ghost town..;30/03/2026 : Check and clean jumper  on  FXDB antenna port 5  and ARGA antenna port 1 ||Ghost town..;30/03/2026 : Check and clean jumper  on  FXDB antenna port 5  and ARGA antenna port 1 ||Ghost town..;INC-20260331-00014164...Others Transmission equipement fault</t>
        </is>
      </c>
      <c r="U1291" t="inlineStr">
        <is>
          <t>30/03/2026 : Check and clean jumper on FXDB antenna port 5 and ARGA antenna port 1 || Ghost town.;30/03/2026 : Check and clean jumper on FXDB antenna port 5 and ARGA antenna port 1 || Ghost town.;30/03/2026 : Check and clean jumper on FXDB antenna port 5 and ARGA antenna port 1 || Ghost town.;30/03/2026 : Check and clean jumper on FXDB antenna port 5 and ARGA antenna port 1 || Ghost town.;.</t>
        </is>
      </c>
    </row>
    <row r="1292">
      <c r="A1292" t="inlineStr">
        <is>
          <t>4/31/2026</t>
        </is>
      </c>
      <c r="B1292" t="inlineStr">
        <is>
          <t>Ngoumou-Camrail</t>
        </is>
      </c>
      <c r="C1292" t="inlineStr">
        <is>
          <t>CTR_098</t>
        </is>
      </c>
      <c r="D1292" t="inlineStr"/>
      <c r="E1292" t="inlineStr">
        <is>
          <t>CAMUSAT</t>
        </is>
      </c>
      <c r="F1292" t="inlineStr">
        <is>
          <t>Medium Grid + Solar + GE</t>
        </is>
      </c>
      <c r="G1292" t="inlineStr">
        <is>
          <t>CENTRE</t>
        </is>
      </c>
      <c r="H1292" t="inlineStr">
        <is>
          <t>Ngoumou</t>
        </is>
      </c>
      <c r="I1292" t="inlineStr"/>
      <c r="J1292" t="n">
        <v>0</v>
      </c>
      <c r="K1292" t="n">
        <v>0</v>
      </c>
      <c r="L1292" t="n">
        <v>0</v>
      </c>
      <c r="M1292" t="n">
        <v>0</v>
      </c>
      <c r="N1292" t="inlineStr">
        <is>
          <t>Operationnel</t>
        </is>
      </c>
      <c r="O1292" t="inlineStr"/>
      <c r="P1292" t="inlineStr">
        <is>
          <t>TRAVAUX OCM</t>
        </is>
      </c>
      <c r="Q1292" t="inlineStr">
        <is>
          <t>TRAVAUX OCM</t>
        </is>
      </c>
      <c r="R1292" t="inlineStr">
        <is>
          <t>Projet OCM (ZTE, NOKIA, autres projets)</t>
        </is>
      </c>
      <c r="S1292" t="inlineStr">
        <is>
          <t>PLANNED WORKS</t>
        </is>
      </c>
      <c r="T1292" t="inlineStr">
        <is>
          <t>29/03/2026 : SWAP en cours..;29/03/2026 : SWAP en cours..;29/03/2026 : SWAP en cours</t>
        </is>
      </c>
      <c r="U1292" t="inlineStr">
        <is>
          <t>29/03/2026 : SWAP en cours.;29/03/2026 : SWAP en cours.;29/03/2026 : SWAP en cours</t>
        </is>
      </c>
    </row>
    <row r="1293">
      <c r="A1293" t="inlineStr">
        <is>
          <t>4/31/2026</t>
        </is>
      </c>
      <c r="B1293" t="inlineStr">
        <is>
          <t>Jabane</t>
        </is>
      </c>
      <c r="C1293" t="inlineStr">
        <is>
          <t>SUO_173</t>
        </is>
      </c>
      <c r="D1293" t="inlineStr"/>
      <c r="E1293" t="inlineStr">
        <is>
          <t>CAMUSAT</t>
        </is>
      </c>
      <c r="F1293" t="inlineStr">
        <is>
          <t>Good Grid no GE - 8h</t>
        </is>
      </c>
      <c r="G1293" t="inlineStr">
        <is>
          <t>SUD-OUEST</t>
        </is>
      </c>
      <c r="H1293" t="inlineStr">
        <is>
          <t>Jabane</t>
        </is>
      </c>
      <c r="I1293" t="inlineStr"/>
      <c r="J1293" t="n">
        <v>0</v>
      </c>
      <c r="K1293" t="n">
        <v>0</v>
      </c>
      <c r="L1293" t="n">
        <v>0</v>
      </c>
      <c r="M1293" t="n">
        <v>0</v>
      </c>
      <c r="N1293" t="inlineStr">
        <is>
          <t>Operationnel</t>
        </is>
      </c>
      <c r="O1293" t="inlineStr"/>
      <c r="P1293" t="inlineStr">
        <is>
          <t>PDH</t>
        </is>
      </c>
      <c r="Q1293" t="inlineStr">
        <is>
          <t>TX ISSUE</t>
        </is>
      </c>
      <c r="R1293" t="inlineStr">
        <is>
          <t>ODU HS</t>
        </is>
      </c>
      <c r="S1293" t="inlineStr">
        <is>
          <t>ACTIVE</t>
        </is>
      </c>
      <c r="T1293" t="inlineStr">
        <is>
          <t>29/03/2026 : need BO RAN analysis || 3G and 4G cells down =&gt; Transmission investigation needed..;29/03/2026 : need BO RAN analysis || 3G and 4G cells down =&gt; Transmission investigation needed..;31/03/2026 : Feedback BO TX : Probable faulty ODU at Jabane || Check antenna line and change ODU AT MPR LIMBE-BIMBA-CRTV if necesarry PN: 3DB29108AAAAC04
29/03/2026 : need BO RAN analysis || 3G and 4G cells down =&gt; Transmission investigation needed..;31/03/2026 : Feedback BO TX : Probable faulty ODU at Jabane || Check antenna line and change ODU AT MPR LIMBE-BIMBA-CRTV if necesarry PN: 3DB29108AAAAC04
29/03/2026 : need BO RAN analysis || 3G and 4G cells down =&gt; Transmission investigation needed..;31/03/2026 Arret des equipement par le BIR pour mauvais temps
30.03.26; Probable power issue; Awaitng Camusat feedback</t>
        </is>
      </c>
      <c r="U1293" t="inlineStr">
        <is>
          <t>29/03/2026 : need BO RAN analysis || 3G and 4G cells down =&gt; Transmission investigation needed.;29/03/2026 : need BO RAN analysis || 3G and 4G cells down =&gt; Transmission investigation needed.;31/03/2026 : Feedback BO TX : Probable faulty ODU at Jabane || Check antenna line and change ODU AT MPR LIMBE-BIMBA-CRTV if necesarry PN : 3DB29108AAAAC04 29/03/2026 : need BO RAN analysis || 3G and 4G cells down =&gt; Transmission investigation needed.;31/03/2026 : Feedback BO TX : Probable faulty ODU at Jabane || Check antenna line and change ODU AT MPR LIMBE-BIMBA-CRTV if necesarry PN : 3DB29108AAAAC04 29/03/2026 : need BO RAN analysis || 3G and 4G cells down =&gt; Transmission investigation needed.;31/03/2026 Arret des equipement par le BIR pour mauvais temps 30.03.26; Probable power issue; Awaitng Camusat feedback</t>
        </is>
      </c>
    </row>
    <row r="1294">
      <c r="A1294" t="inlineStr">
        <is>
          <t>4/31/2026</t>
        </is>
      </c>
      <c r="B1294" t="inlineStr">
        <is>
          <t>Dziguilao</t>
        </is>
      </c>
      <c r="C1294" t="inlineStr">
        <is>
          <t>EXN_074</t>
        </is>
      </c>
      <c r="D1294" t="inlineStr"/>
      <c r="E1294" t="inlineStr">
        <is>
          <t>IHS</t>
        </is>
      </c>
      <c r="F1294" t="inlineStr">
        <is>
          <t>Gen-Solar AER</t>
        </is>
      </c>
      <c r="G1294" t="inlineStr">
        <is>
          <t>EXTREME-NORD</t>
        </is>
      </c>
      <c r="H1294" t="inlineStr">
        <is>
          <t>Dziguilao</t>
        </is>
      </c>
      <c r="I1294" t="inlineStr"/>
      <c r="J1294" t="n">
        <v>0</v>
      </c>
      <c r="K1294" t="n">
        <v>0</v>
      </c>
      <c r="L1294" t="n">
        <v>0</v>
      </c>
      <c r="M1294" t="n">
        <v>0</v>
      </c>
      <c r="N1294" t="inlineStr">
        <is>
          <t>Insecurity</t>
        </is>
      </c>
      <c r="O1294" t="inlineStr"/>
      <c r="P1294" t="inlineStr">
        <is>
          <t>BSS</t>
        </is>
      </c>
      <c r="Q1294" t="inlineStr">
        <is>
          <t>RAN ISSUE</t>
        </is>
      </c>
      <c r="R1294" t="inlineStr">
        <is>
          <t>BSS Hardware issue</t>
        </is>
      </c>
      <c r="S1294" t="inlineStr">
        <is>
          <t>ACTIVE</t>
        </is>
      </c>
      <c r="T1294" t="inlineStr">
        <is>
          <t>29/03/2026 : need BO RAN analysis ||  FME should check and clean jumper, port 0 of RRU 71 || ETA 31032026..;29/03/2026 : need BO RAN analysis ||  FME should check and clean jumper, port 0 of RRU 71 || ETA 31032026..;29/03/2026 : need BO RAN analysis ||  FME should check and clean jumper, port 0 of RRU 71 || ETA 31032026..;29/03/2026 : need BO RAN analysis ||  FME should check and clean jumper, port 0 of RRU 71 || ETA 31032026</t>
        </is>
      </c>
      <c r="U1294" t="inlineStr">
        <is>
          <t>29/03/2026 : need BO RAN analysis || FME should check and clean jumper, port 0 of RRU 71 || ETA 31032026.;29/03/2026 : need BO RAN analysis || FME should check and clean jumper, port 0 of RRU 71 || ETA 31032026.;29/03/2026 : need BO RAN analysis || FME should check and clean jumper, port 0 of RRU 71 || ETA 31032026.;29/03/2026 : need BO RAN analysis || FME should check and clean jumper, port 0 of RRU 71 || ETA 31032026</t>
        </is>
      </c>
    </row>
    <row r="1295">
      <c r="A1295" t="inlineStr">
        <is>
          <t>4/31/2026</t>
        </is>
      </c>
      <c r="B1295" t="inlineStr">
        <is>
          <t>Djangane</t>
        </is>
      </c>
      <c r="C1295" t="inlineStr">
        <is>
          <t>EST_008</t>
        </is>
      </c>
      <c r="D1295" t="inlineStr"/>
      <c r="E1295" t="inlineStr">
        <is>
          <t>IHS</t>
        </is>
      </c>
      <c r="F1295" t="inlineStr">
        <is>
          <t>Grid-Gen</t>
        </is>
      </c>
      <c r="G1295" t="inlineStr">
        <is>
          <t>EST</t>
        </is>
      </c>
      <c r="H1295" t="inlineStr">
        <is>
          <t>Djangane</t>
        </is>
      </c>
      <c r="I1295" t="inlineStr"/>
      <c r="J1295" t="n">
        <v>0</v>
      </c>
      <c r="K1295" t="n">
        <v>0</v>
      </c>
      <c r="L1295" t="n">
        <v>0</v>
      </c>
      <c r="M1295" t="n">
        <v>0</v>
      </c>
      <c r="N1295" t="inlineStr">
        <is>
          <t>Operationnel</t>
        </is>
      </c>
      <c r="O1295" t="inlineStr"/>
      <c r="P1295" t="inlineStr">
        <is>
          <t>BSS</t>
        </is>
      </c>
      <c r="Q1295" t="inlineStr">
        <is>
          <t>RAN ISSUE</t>
        </is>
      </c>
      <c r="R1295" t="inlineStr">
        <is>
          <t>BSS Hardware issue</t>
        </is>
      </c>
      <c r="S1295" t="inlineStr">
        <is>
          <t>ACTIVE</t>
        </is>
      </c>
      <c r="T1295" t="inlineStr">
        <is>
          <t>27/03/2026 : Need BO RAN analysis || FME should check and replace FRGU on sites||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commande faite a ocm depuis le 17/03/2026 : Nous sollicitons l’obtention du câble FPFC pour stabiliser les Cellules sur le site de Djangane EST_008, l’objectif est de passer un 2nd départ pour réduire les pertes de l’ordre de 4v</t>
        </is>
      </c>
      <c r="U1295" t="inlineStr">
        <is>
          <t>27/03/2026 : Need BO RAN analysis || FME should check and replace FRGU on sites ||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 commande faite a ocm depuis le 17/03/2026 : Nous sollicitons l’obtention du câble FPFC pour stabiliser les Cellules sur le site de Djangane EST_008, l’objectif est de passer un 2nd départ pour réduire les pertes de l’ordre de 4v.;27/03/2026 : Need BO RAN analysis || FME should check and replace FRGU on sites || commande faite a ocm depuis le 17/03/2026 : Nous sollicitons l’obtention du câble FPFC pour stabiliser les Cellules sur le site de Djangane EST_008, l’objectif est de passer un 2nd départ pour réduire les pertes de l’ordre de 4v</t>
        </is>
      </c>
    </row>
    <row r="1296">
      <c r="A1296" t="inlineStr">
        <is>
          <t>4/31/2026</t>
        </is>
      </c>
      <c r="B1296" t="inlineStr">
        <is>
          <t>Bantoum-II-IHS</t>
        </is>
      </c>
      <c r="C1296" t="inlineStr">
        <is>
          <t>OST_301</t>
        </is>
      </c>
      <c r="D1296" t="inlineStr"/>
      <c r="E1296" t="inlineStr">
        <is>
          <t>IHS</t>
        </is>
      </c>
      <c r="F1296" t="inlineStr">
        <is>
          <t>Grid-Gen</t>
        </is>
      </c>
      <c r="G1296" t="inlineStr">
        <is>
          <t>OUEST</t>
        </is>
      </c>
      <c r="H1296" t="inlineStr">
        <is>
          <t>Bantoum</t>
        </is>
      </c>
      <c r="I1296" t="inlineStr"/>
      <c r="J1296" t="n">
        <v>0</v>
      </c>
      <c r="K1296" t="n">
        <v>0</v>
      </c>
      <c r="L1296" t="n">
        <v>0</v>
      </c>
      <c r="M1296" t="n">
        <v>0</v>
      </c>
      <c r="N1296" t="inlineStr">
        <is>
          <t>exclu</t>
        </is>
      </c>
      <c r="O1296" t="inlineStr">
        <is>
          <t>site vandalise</t>
        </is>
      </c>
      <c r="P1296" t="inlineStr">
        <is>
          <t>Exclu</t>
        </is>
      </c>
      <c r="Q1296" t="inlineStr">
        <is>
          <t>Exclu</t>
        </is>
      </c>
      <c r="R1296" t="inlineStr">
        <is>
          <t>exclu</t>
        </is>
      </c>
      <c r="S1296" t="inlineStr">
        <is>
          <t>Exclu</t>
        </is>
      </c>
      <c r="T1296" t="inlineStr">
        <is>
          <t>27/03/2026 : En attente de spare || Mail sent to OCM 
25/03/2026 : Power instability || Mail sent to HIS || Site vandalise..;27/03/2026 : En attente de spare || Mail sent to OCM 
25/03/2026 : Power instability || Mail sent to HIS || Site vandalise..;27/03/2026 : En attente de spare || Mail sent to OCM 
25/03/2026 : Power instability || Mail sent to HIS || Site vandalise..;27/03/2026 : En attente de spare || Mail sent to OCM 
25/03/2026 : Power instability || Mail sent to HIS || Site vandalise..;22.03.26; Site vendalisé, 6 câble de 2*16mm enlevés avec leur mise à la terre, commande passée à OCM
22.03.26; All RMODs are down. Need FME on site to check any disjunction; CM-20260321-00003548; FME Patrick activé pour investigations mais injoignable, escalade faite au PM
21.03.26; All RMODs are down. Need FME on site to check any disjunction; CM-20260321-00003548; FME Patrick activé pour investigations, update ASAP..;22.03.26; Site vendalisé, 6 câble de 2*16mm enlevés avec leur mise à la terre, commande passée à OCM
22.03.26; All RMODs are down. Need FME on site to check any disjunction; CM-20260321-00003548; FME Patrick activé pour investigations mais injoignable, escalade faite au PM
21.03.26; All RMODs are down. Need FME on site to check any disjunction; CM-20260321-00003548; FME Patrick activé pour investigations, update ASAP..;22.03.26; Site vendalisé, 6 câble de 2*16mm enlevés avec leur mise à la terre, commande passée à OCM
22.03.26; All RMODs are down. Need FME on site to check any disjunction; CM-20260321-00003548; FME Patrick activé pour investigations mais injoignable, escalade faite au PM
21.03.26; All RMODs are down. Need FME on site to check any disjunction; CM-20260321-00003548; FME Patrick activé pour investigations, update ASAP</t>
        </is>
      </c>
      <c r="U1296" t="inlineStr">
        <is>
          <t>27/03/2026 : En attente de spare || Mail sent to OCM 25/03/2026 : Power instability || Mail sent to HIS || Site vandalise.;27/03/2026 : En attente de spare || Mail sent to OCM 25/03/2026 : Power instability || Mail sent to HIS || Site vandalise.;27/03/2026 : En attente de spare || Mail sent to OCM 25/03/2026 : Power instability || Mail sent to HIS || Site vandalise.;27/03/2026 : En attente de spare || Mail sent to OCM 25/03/2026 : Power instability || Mail sent to HIS || Site vandalise.;22.03.26; Site vendalisé, 6 câble de 2*16mm enlevés avec leur mise à la terre, commande passée à OCM 22.03.26; All RMODs are down. Need FME on site to check any disjunction; ; FME Patrick activé pour investigations mais injoignable, escalade faite au PM 21.03.26; All RMODs are down. Need FME on site to check any disjunction; ; FME Patrick activé pour investigations, update ASAP.;22.03.26; Site vendalisé, 6 câble de 2*16mm enlevés avec leur mise à la terre, commande passée à OCM 22.03.26; All RMODs are down. Need FME on site to check any disjunction; ; FME Patrick activé pour investigations mais injoignable, escalade faite au PM 21.03.26; All RMODs are down. Need FME on site to check any disjunction; ; FME Patrick activé pour investigations, update ASAP.;22.03.26; Site vendalisé, 6 câble de 2*16mm enlevés avec leur mise à la terre, commande passée à OCM 22.03.26; All RMODs are down. Need FME on site to check any disjunction; ; FME Patrick activé pour investigations mais injoignable, escalade faite au PM 21.03.26; All RMODs are down. Need FME on site to check any disjunction; ; FME Patrick activé pour investigations, update ASAP</t>
        </is>
      </c>
    </row>
    <row r="1297">
      <c r="A1297" t="inlineStr">
        <is>
          <t>4/31/2026</t>
        </is>
      </c>
      <c r="B1297" t="inlineStr">
        <is>
          <t>Djabi-IHS</t>
        </is>
      </c>
      <c r="C1297" t="inlineStr">
        <is>
          <t>NRD_069</t>
        </is>
      </c>
      <c r="D1297" t="inlineStr"/>
      <c r="E1297" t="inlineStr">
        <is>
          <t>IHS</t>
        </is>
      </c>
      <c r="F1297" t="inlineStr">
        <is>
          <t>Solar-Gen</t>
        </is>
      </c>
      <c r="G1297" t="inlineStr">
        <is>
          <t>NORD</t>
        </is>
      </c>
      <c r="H1297" t="inlineStr">
        <is>
          <t>Djabi</t>
        </is>
      </c>
      <c r="I1297" t="inlineStr"/>
      <c r="J1297" t="n">
        <v>0</v>
      </c>
      <c r="K1297" t="n">
        <v>0</v>
      </c>
      <c r="L1297" t="n">
        <v>0</v>
      </c>
      <c r="M1297" t="n">
        <v>0</v>
      </c>
      <c r="N1297" t="inlineStr">
        <is>
          <t>Operationnel</t>
        </is>
      </c>
      <c r="O1297" t="inlineStr"/>
      <c r="P1297" t="inlineStr">
        <is>
          <t>TRAVAUX-HUAWEI</t>
        </is>
      </c>
      <c r="Q1297" t="inlineStr">
        <is>
          <t>TRAVAUX-HUAWEI</t>
        </is>
      </c>
      <c r="R1297" t="inlineStr">
        <is>
          <t>Projet OCM (HUAWEI)</t>
        </is>
      </c>
      <c r="S1297" t="inlineStr">
        <is>
          <t>PLANNED WORKS</t>
        </is>
      </c>
      <c r="T1297" t="inlineStr">
        <is>
          <t>25/03/2026 : SWAP le 13 fevrier</t>
        </is>
      </c>
      <c r="U1297" t="inlineStr">
        <is>
          <t>25/03/2026 : SWAP le 13 fevrier</t>
        </is>
      </c>
    </row>
    <row r="1298">
      <c r="A1298" t="inlineStr">
        <is>
          <t>4/31/2026</t>
        </is>
      </c>
      <c r="B1298" t="inlineStr">
        <is>
          <t>Koutaba-IHS</t>
        </is>
      </c>
      <c r="C1298" t="inlineStr">
        <is>
          <t>OST_138</t>
        </is>
      </c>
      <c r="D1298" t="inlineStr"/>
      <c r="E1298" t="inlineStr">
        <is>
          <t>IHS</t>
        </is>
      </c>
      <c r="F1298" t="inlineStr">
        <is>
          <t>Grid-Gen</t>
        </is>
      </c>
      <c r="G1298" t="inlineStr">
        <is>
          <t>OUEST</t>
        </is>
      </c>
      <c r="H1298" t="inlineStr">
        <is>
          <t>Koutaba</t>
        </is>
      </c>
      <c r="I1298" t="inlineStr"/>
      <c r="J1298" t="n">
        <v>0</v>
      </c>
      <c r="K1298" t="n">
        <v>0</v>
      </c>
      <c r="L1298" t="n">
        <v>0</v>
      </c>
      <c r="M1298" t="n">
        <v>0</v>
      </c>
      <c r="N1298" t="inlineStr">
        <is>
          <t>Operationnel</t>
        </is>
      </c>
      <c r="O1298" t="inlineStr"/>
      <c r="P1298" t="inlineStr">
        <is>
          <t>TRAVAUX OCM</t>
        </is>
      </c>
      <c r="Q1298" t="inlineStr">
        <is>
          <t>TRAVAUX OCM</t>
        </is>
      </c>
      <c r="R1298" t="inlineStr">
        <is>
          <t>Projet OCM (ZTE, NOKIA, autres projets)</t>
        </is>
      </c>
      <c r="S1298" t="inlineStr">
        <is>
          <t>PLANNED WORKS</t>
        </is>
      </c>
      <c r="T1298" t="inlineStr">
        <is>
          <t>25/03/2026 : SWAP le  13 Fevrier..;Power status check ongoing</t>
        </is>
      </c>
      <c r="U1298" t="inlineStr">
        <is>
          <t>25/03/2026 : SWAP le 13 Fevrier.;Power status check ongoing</t>
        </is>
      </c>
    </row>
    <row r="1299">
      <c r="A1299" t="inlineStr">
        <is>
          <t>4/31/2026</t>
        </is>
      </c>
      <c r="B1299" t="inlineStr">
        <is>
          <t>Bfsam-Tougang-EEC</t>
        </is>
      </c>
      <c r="C1299" t="inlineStr">
        <is>
          <t>OST_077</t>
        </is>
      </c>
      <c r="D1299" t="inlineStr"/>
      <c r="E1299" t="inlineStr">
        <is>
          <t>IHS</t>
        </is>
      </c>
      <c r="F1299" t="inlineStr">
        <is>
          <t>Grid-Gen</t>
        </is>
      </c>
      <c r="G1299" t="inlineStr">
        <is>
          <t>OUEST</t>
        </is>
      </c>
      <c r="H1299" t="inlineStr">
        <is>
          <t>Bafoussam</t>
        </is>
      </c>
      <c r="I1299" t="inlineStr"/>
      <c r="J1299" t="n">
        <v>0</v>
      </c>
      <c r="K1299" t="n">
        <v>0</v>
      </c>
      <c r="L1299" t="n">
        <v>0</v>
      </c>
      <c r="M1299" t="n">
        <v>0</v>
      </c>
      <c r="N1299" t="inlineStr">
        <is>
          <t>Operationnel</t>
        </is>
      </c>
      <c r="O1299" t="inlineStr"/>
      <c r="P1299" t="inlineStr">
        <is>
          <t>BSS</t>
        </is>
      </c>
      <c r="Q1299" t="inlineStr">
        <is>
          <t>RAN ISSUE</t>
        </is>
      </c>
      <c r="R1299" t="inlineStr">
        <is>
          <t>BSS Hardware issue</t>
        </is>
      </c>
      <c r="S1299" t="inlineStr">
        <is>
          <t>ACTIVE</t>
        </is>
      </c>
      <c r="T1299" t="inlineStr">
        <is>
          <t>24/03/2026: Verifier l'etat de la RRU</t>
        </is>
      </c>
      <c r="U1299" t="inlineStr">
        <is>
          <t>24/03/2026 : Verifier l'etat de la RRU</t>
        </is>
      </c>
    </row>
    <row r="1300">
      <c r="A1300" t="inlineStr">
        <is>
          <t>4/31/2026</t>
        </is>
      </c>
      <c r="B1300" t="inlineStr">
        <is>
          <t>Guidiguis</t>
        </is>
      </c>
      <c r="C1300" t="inlineStr">
        <is>
          <t>EXN_018</t>
        </is>
      </c>
      <c r="D1300" t="inlineStr"/>
      <c r="E1300" t="inlineStr">
        <is>
          <t>IHS</t>
        </is>
      </c>
      <c r="F1300" t="inlineStr">
        <is>
          <t>Grid-Gen</t>
        </is>
      </c>
      <c r="G1300" t="inlineStr">
        <is>
          <t>EXTREME-NORD</t>
        </is>
      </c>
      <c r="H1300" t="inlineStr">
        <is>
          <t>Guidiguis</t>
        </is>
      </c>
      <c r="I1300" t="inlineStr"/>
      <c r="J1300" t="n">
        <v>0</v>
      </c>
      <c r="K1300" t="n">
        <v>0</v>
      </c>
      <c r="L1300" t="n">
        <v>0</v>
      </c>
      <c r="M1300" t="n">
        <v>0</v>
      </c>
      <c r="N1300" t="inlineStr">
        <is>
          <t>Insecurity</t>
        </is>
      </c>
      <c r="O1300" t="inlineStr"/>
      <c r="P1300" t="inlineStr">
        <is>
          <t>TRAVAUX-HUAWEI</t>
        </is>
      </c>
      <c r="Q1300" t="inlineStr">
        <is>
          <t>TRAVAUX-HUAWEI</t>
        </is>
      </c>
      <c r="R1300" t="inlineStr">
        <is>
          <t>Projet OCM (HUAWEI)</t>
        </is>
      </c>
      <c r="S1300" t="inlineStr">
        <is>
          <t>PLANNED WORKS</t>
        </is>
      </c>
      <c r="T1300" t="inlineStr">
        <is>
          <t>19/03/2026 : SWAP le 17 Fevrier</t>
        </is>
      </c>
      <c r="U1300" t="inlineStr">
        <is>
          <t>19/03/2026 : SWAP le 17 Fevrier</t>
        </is>
      </c>
    </row>
    <row r="1301">
      <c r="A1301" t="inlineStr">
        <is>
          <t>4/31/2026</t>
        </is>
      </c>
      <c r="B1301" t="inlineStr">
        <is>
          <t>Ekata-IHS</t>
        </is>
      </c>
      <c r="C1301" t="inlineStr">
        <is>
          <t>SUO_266</t>
        </is>
      </c>
      <c r="D1301" t="inlineStr"/>
      <c r="E1301" t="inlineStr"/>
      <c r="F1301" t="inlineStr"/>
      <c r="G1301" t="inlineStr">
        <is>
          <t>SUD-OUEST</t>
        </is>
      </c>
      <c r="H1301" t="inlineStr">
        <is>
          <t>Bavenga</t>
        </is>
      </c>
      <c r="I1301" t="inlineStr"/>
      <c r="J1301" t="n">
        <v>0</v>
      </c>
      <c r="K1301" t="n">
        <v>0</v>
      </c>
      <c r="L1301" t="n">
        <v>0</v>
      </c>
      <c r="M1301" t="n">
        <v>0</v>
      </c>
      <c r="N1301" t="inlineStr">
        <is>
          <t>Insecurity</t>
        </is>
      </c>
      <c r="O1301" t="inlineStr"/>
      <c r="P1301" t="inlineStr">
        <is>
          <t>ACCESS-ISSUE</t>
        </is>
      </c>
      <c r="Q1301" t="inlineStr">
        <is>
          <t>ACCESS-ISSUE</t>
        </is>
      </c>
      <c r="R1301" t="inlineStr">
        <is>
          <t>ACCESS-ISSUE</t>
        </is>
      </c>
      <c r="S1301" t="inlineStr">
        <is>
          <t>ACCESS-ISSUE</t>
        </is>
      </c>
      <c r="T1301" t="inlineStr">
        <is>
          <t xml:space="preserve">18/03/2026 :Besoin d'analyse BO RAN || Désactivation du pooling des sites (4G) du grand Nord vers Douala et Yaoundé (Huawei) a la demande d'OCM..;31/03/2026 IHS:  ACCESS DENIED BY LOCAL BOYS. Escalade L3 IHS 
30/03/2026 IHS:  ACCESS DENIED BY LOCAL BOYS. Escalade L3 IHS 
29.03.2026 IHS: FME Gerald is unreachable; IENG Ibrahim is managing. Escalade L2 IHS ..;31/03/2026 IHS:  ACCESS DENIED BY LOCAL BOYS. Escalade L3 IHS 
30/03/2026 IHS:  ACCESS DENIED BY LOCAL BOYS. Escalade L3 IHS 
29.03.2026 IHS: FME Gerald is unreachable; IENG Ibrahim is managing. Escalade L2 IHS ..;31/03/2026 IHS:  ACCESS DENIED BY LOCAL BOYS. Escalade L3 IHS 
30/03/2026 IHS:  ACCESS DENIED BY LOCAL BOYS. Escalade L3 IHS 
29.03.2026 IHS: FME Gerald is unreachable; IENG Ibrahim is managing. Escalade L2 IHS </t>
        </is>
      </c>
      <c r="U1301" t="inlineStr">
        <is>
          <t>18/03/2026 : Besoin d'analyse BO RAN || Désactivation du pooling des sites (4G) du grand Nord vers Douala et Yaoundé (Huawei) a la demande d'OCM.;31/03/2026 IHS : ACCESS DENIED BY LOCAL BOYS. Escalade L3 IHS 30/03/2026 IHS : ACCESS DENIED BY LOCAL BOYS. Escalade L3 IHS 29.03.2026 IHS : FME Gerald is unreachable; IENG Ibrahim is managing. Escalade L2 IHS .;31/03/2026 IHS : ACCESS DENIED BY LOCAL BOYS. Escalade L3 IHS 30/03/2026 IHS : ACCESS DENIED BY LOCAL BOYS. Escalade L3 IHS 29.03.2026 IHS : FME Gerald is unreachable; IENG Ibrahim is managing. Escalade L2 IHS .;31/03/2026 IHS : ACCESS DENIED BY LOCAL BOYS. Escalade L3 IHS 30/03/2026 IHS : ACCESS DENIED BY LOCAL BOYS. Escalade L3 IHS 29.03.2026 IHS : FME Gerald is unreachable; IENG Ibrahim is managing. Escalade L2 IHS</t>
        </is>
      </c>
    </row>
    <row r="1302">
      <c r="A1302" t="inlineStr">
        <is>
          <t>4/31/2026</t>
        </is>
      </c>
      <c r="B1302" t="inlineStr">
        <is>
          <t>Muyuka</t>
        </is>
      </c>
      <c r="C1302" t="inlineStr">
        <is>
          <t>SUO_012</t>
        </is>
      </c>
      <c r="D1302" t="inlineStr"/>
      <c r="E1302" t="inlineStr">
        <is>
          <t>IHS</t>
        </is>
      </c>
      <c r="F1302" t="inlineStr">
        <is>
          <t>Grid-Gen</t>
        </is>
      </c>
      <c r="G1302" t="inlineStr">
        <is>
          <t>SUD-OUEST</t>
        </is>
      </c>
      <c r="H1302" t="inlineStr">
        <is>
          <t>Muyuka</t>
        </is>
      </c>
      <c r="I1302" t="inlineStr"/>
      <c r="J1302" t="n">
        <v>0</v>
      </c>
      <c r="K1302" t="n">
        <v>0</v>
      </c>
      <c r="L1302" t="n">
        <v>0</v>
      </c>
      <c r="M1302" t="n">
        <v>0</v>
      </c>
      <c r="N1302" t="inlineStr">
        <is>
          <t>Insecurity</t>
        </is>
      </c>
      <c r="O1302" t="inlineStr"/>
      <c r="P1302" t="inlineStr">
        <is>
          <t>TRAVAUX OCM</t>
        </is>
      </c>
      <c r="Q1302" t="inlineStr">
        <is>
          <t>TRAVAUX OCM</t>
        </is>
      </c>
      <c r="R1302" t="inlineStr">
        <is>
          <t>Projet OCM (ZTE, NOKIA, autres projets)</t>
        </is>
      </c>
      <c r="S1302" t="inlineStr">
        <is>
          <t>PLANNED WORKS</t>
        </is>
      </c>
      <c r="T1302" t="inlineStr">
        <is>
          <t>18/03/2026 :Besoin d'analyse BO RAN || Désactivation du pooling des sites (4G) du grand Nord vers Douala et Yaoundé (Huawei) a la demande d'OCM..;31/03/2026 fme activé eta asap 
 Nous constatons l'indisponibilité de MUYUKA dû à une déconnexion entre MPR et RTN à GBHS-MUYUKA au port 1/3.
Merci de dépêcher un FME à GBHS-MUYUKA  pour vérifier le statut de la RTN et l'interco entre MPR et RTN au port 1/3...;Power status check ongoing</t>
        </is>
      </c>
      <c r="U1302" t="inlineStr">
        <is>
          <t>18/03/2026 : Besoin d'analyse BO RAN || Désactivation du pooling des sites (4G) du grand Nord vers Douala et Yaoundé (Huawei) a la demande d'OCM.;31/03/2026 fme activé eta asap Nous constatons l'indisponibilité de MUYUKA dû à une déconnexion entre MPR et RTN à GBHS-MUYUKA au port 1/3. Merci de dépêcher un FME à GBHS-MUYUKA pour vérifier le statut de la RTN et l'interco entre MPR et RTN au port 1/3.;Power status check ongoing</t>
        </is>
      </c>
    </row>
    <row r="1303">
      <c r="A1303" t="inlineStr">
        <is>
          <t>4/31/2026</t>
        </is>
      </c>
      <c r="B1303" t="inlineStr">
        <is>
          <t>Yoke</t>
        </is>
      </c>
      <c r="C1303" t="inlineStr">
        <is>
          <t>SUO_070</t>
        </is>
      </c>
      <c r="D1303" t="inlineStr"/>
      <c r="E1303" t="inlineStr"/>
      <c r="F1303" t="inlineStr"/>
      <c r="G1303" t="inlineStr">
        <is>
          <t>SUD-OUEST</t>
        </is>
      </c>
      <c r="H1303" t="inlineStr">
        <is>
          <t>Yoke</t>
        </is>
      </c>
      <c r="I1303" t="inlineStr"/>
      <c r="J1303" t="n">
        <v>0</v>
      </c>
      <c r="K1303" t="n">
        <v>0</v>
      </c>
      <c r="L1303" t="n">
        <v>0</v>
      </c>
      <c r="M1303" t="n">
        <v>0</v>
      </c>
      <c r="N1303" t="inlineStr">
        <is>
          <t>Insecurity</t>
        </is>
      </c>
      <c r="O1303" t="inlineStr"/>
      <c r="P1303" t="inlineStr">
        <is>
          <t>TRAVAUX OCM</t>
        </is>
      </c>
      <c r="Q1303" t="inlineStr">
        <is>
          <t>TRAVAUX OCM</t>
        </is>
      </c>
      <c r="R1303" t="inlineStr">
        <is>
          <t>Projet OCM (ZTE, NOKIA, autres projets)</t>
        </is>
      </c>
      <c r="S1303" t="inlineStr">
        <is>
          <t>PLANNED WORKS</t>
        </is>
      </c>
      <c r="T1303" t="inlineStr">
        <is>
          <t>18/03/2026 :Besoin d'analyse BO RAN || Désactivation du pooling des sites (4G) du grand Nord vers Douala et Yaoundé (Huawei) a la demande d'OCM..;31/03/2026 fme activé eta asap 
 Nous constatons l'indisponibilité de MUYUKA dû à une déconnexion entre MPR et RTN à GBHS-MUYUKA au port 1/3.
Merci de dépêcher un FME à GBHS-MUYUKA  pour vérifier le statut de la RTN et l'interco entre MPR et RTN au port 1/3...;Power status check ongoing</t>
        </is>
      </c>
      <c r="U1303" t="inlineStr">
        <is>
          <t>18/03/2026 : Besoin d'analyse BO RAN || Désactivation du pooling des sites (4G) du grand Nord vers Douala et Yaoundé (Huawei) a la demande d'OCM.;31/03/2026 fme activé eta asap Nous constatons l'indisponibilité de MUYUKA dû à une déconnexion entre MPR et RTN à GBHS-MUYUKA au port 1/3. Merci de dépêcher un FME à GBHS-MUYUKA pour vérifier le statut de la RTN et l'interco entre MPR et RTN au port 1/3.;Power status check ongoing</t>
        </is>
      </c>
    </row>
    <row r="1304">
      <c r="A1304" t="inlineStr">
        <is>
          <t>4/31/2026</t>
        </is>
      </c>
      <c r="B1304" t="inlineStr">
        <is>
          <t>Baligam</t>
        </is>
      </c>
      <c r="C1304" t="inlineStr">
        <is>
          <t>OST_283</t>
        </is>
      </c>
      <c r="D1304" t="inlineStr"/>
      <c r="E1304" t="inlineStr">
        <is>
          <t>ESCO</t>
        </is>
      </c>
      <c r="F1304" t="inlineStr">
        <is>
          <t>Hybrid solar - S3</t>
        </is>
      </c>
      <c r="G1304" t="inlineStr">
        <is>
          <t>OUEST</t>
        </is>
      </c>
      <c r="H1304" t="inlineStr">
        <is>
          <t>Galim</t>
        </is>
      </c>
      <c r="I1304" t="inlineStr"/>
      <c r="J1304" t="n">
        <v>0</v>
      </c>
      <c r="K1304" t="n">
        <v>0</v>
      </c>
      <c r="L1304" t="n">
        <v>0</v>
      </c>
      <c r="M1304" t="n">
        <v>0</v>
      </c>
      <c r="N1304" t="inlineStr">
        <is>
          <t>Insecurity</t>
        </is>
      </c>
      <c r="O1304" t="inlineStr"/>
      <c r="P1304" t="inlineStr">
        <is>
          <t>TRAVAUX OCM</t>
        </is>
      </c>
      <c r="Q1304" t="inlineStr">
        <is>
          <t>TRAVAUX OCM</t>
        </is>
      </c>
      <c r="R1304" t="inlineStr">
        <is>
          <t>Projet OCM (ZTE, NOKIA, autres projets)</t>
        </is>
      </c>
      <c r="S1304" t="inlineStr">
        <is>
          <t>PLANNED WORKS</t>
        </is>
      </c>
      <c r="T1304" t="inlineStr">
        <is>
          <t>18/03/2026 :Besoin d'analyse BO RAN || Désactivation du pooling des sites (4G) du grand Nord vers Douala et Yaoundé (Huawei) a la demande d'OCM..;31/03/2026 Access negociation ongoing
29.03.2026: RM informed and managing to send FME on the site. Note that the site is located under red area
29.03.2026: Power Issue solved but site still down. Need FME on the site to check MPR status as it's not supervised
27/03/2026 FME a pris le point et manage, ETA en attente..;31/03/2026 Access negociation ongoing
29.03.2026: RM informed and managing to send FME on the site. Note that the site is located under red area
29.03.2026: Power Issue solved but site still down. Need FME on the site to check MPR status as it's not supervised
27/03/2026 FME a pris le point et manage, ETA en attente..;31/03/2026 Access negociation ongoing
29.03.2026: RM informed and managing to send FME on the site. Note that the site is located under red area
29.03.2026: Power Issue solved but site still down. Need FME on the site to check MPR status as it's not supervised
27/03/2026 FME a pris le point et manage, ETA en attente</t>
        </is>
      </c>
      <c r="U1304" t="inlineStr">
        <is>
          <t>18/03/2026 : Besoin d'analyse BO RAN || Désactivation du pooling des sites (4G) du grand Nord vers Douala et Yaoundé (Huawei) a la demande d'OCM.;31/03/2026 Access negociation ongoing 29.03.2026 : RM informed and managing to send FME on the site. Note that the site is located under red area 29.03.2026 : Power Issue solved but site still down. Need FME on the site to check MPR status as it's not supervised 27/03/2026 FME a pris le point et manage, ETA en attente.;31/03/2026 Access negociation ongoing 29.03.2026 : RM informed and managing to send FME on the site. Note that the site is located under red area 29.03.2026 : Power Issue solved but site still down. Need FME on the site to check MPR status as it's not supervised 27/03/2026 FME a pris le point et manage, ETA en attente.;31/03/2026 Access negociation ongoing 29.03.2026 : RM informed and managing to send FME on the site. Note that the site is located under red area 29.03.2026 : Power Issue solved but site still down. Need FME on the site to check MPR status as it's not supervised 27/03/2026 FME a pris le point et manage, ETA en attente</t>
        </is>
      </c>
    </row>
    <row r="1305">
      <c r="A1305" t="inlineStr">
        <is>
          <t>4/31/2026</t>
        </is>
      </c>
      <c r="B1305" t="inlineStr">
        <is>
          <t>Limbe-UQ</t>
        </is>
      </c>
      <c r="C1305" t="inlineStr">
        <is>
          <t>SUO_003</t>
        </is>
      </c>
      <c r="D1305" t="inlineStr"/>
      <c r="E1305" t="inlineStr">
        <is>
          <t>IHS</t>
        </is>
      </c>
      <c r="F1305" t="inlineStr">
        <is>
          <t>Grid-Gen</t>
        </is>
      </c>
      <c r="G1305" t="inlineStr">
        <is>
          <t>SUD-OUEST</t>
        </is>
      </c>
      <c r="H1305" t="inlineStr">
        <is>
          <t>Limbe</t>
        </is>
      </c>
      <c r="I1305" t="inlineStr"/>
      <c r="J1305" t="n">
        <v>0</v>
      </c>
      <c r="K1305" t="n">
        <v>0</v>
      </c>
      <c r="L1305" t="n">
        <v>0</v>
      </c>
      <c r="M1305" t="n">
        <v>0</v>
      </c>
      <c r="N1305" t="inlineStr">
        <is>
          <t>Operationnel</t>
        </is>
      </c>
      <c r="O1305" t="inlineStr"/>
      <c r="P1305" t="inlineStr">
        <is>
          <t>TRAVAUX OCM</t>
        </is>
      </c>
      <c r="Q1305" t="inlineStr">
        <is>
          <t>TRAVAUX OCM</t>
        </is>
      </c>
      <c r="R1305" t="inlineStr">
        <is>
          <t>Projet OCM (ZTE, NOKIA, autres projets)</t>
        </is>
      </c>
      <c r="S1305" t="inlineStr">
        <is>
          <t>PLANNED WORKS</t>
        </is>
      </c>
      <c r="T1305" t="inlineStr">
        <is>
          <t>18/03/2026 :Besoin d'analyse BO RAN || Désactivation du pooling des sites (4G) du grand Nord vers Douala et Yaoundé (Huawei) a la demande d'OCM</t>
        </is>
      </c>
      <c r="U1305" t="inlineStr">
        <is>
          <t>18/03/2026 : Besoin d'analyse BO RAN || Désactivation du pooling des sites (4G) du grand Nord vers Douala et Yaoundé (Huawei) a la demande d'OCM</t>
        </is>
      </c>
    </row>
    <row r="1306">
      <c r="A1306" t="inlineStr">
        <is>
          <t>4/31/2026</t>
        </is>
      </c>
      <c r="B1306" t="inlineStr">
        <is>
          <t>Limbe-Mile_1</t>
        </is>
      </c>
      <c r="C1306" t="inlineStr">
        <is>
          <t>SUO_234</t>
        </is>
      </c>
      <c r="D1306" t="inlineStr"/>
      <c r="E1306" t="inlineStr">
        <is>
          <t>ESCO</t>
        </is>
      </c>
      <c r="F1306" t="inlineStr">
        <is>
          <t>medium Grid + GE</t>
        </is>
      </c>
      <c r="G1306" t="inlineStr">
        <is>
          <t>SUD-OUEST</t>
        </is>
      </c>
      <c r="H1306" t="inlineStr">
        <is>
          <t>Limbe</t>
        </is>
      </c>
      <c r="I1306" t="inlineStr"/>
      <c r="J1306" t="n">
        <v>0</v>
      </c>
      <c r="K1306" t="n">
        <v>0</v>
      </c>
      <c r="L1306" t="n">
        <v>0</v>
      </c>
      <c r="M1306" t="n">
        <v>0</v>
      </c>
      <c r="N1306" t="inlineStr">
        <is>
          <t>Operationnel</t>
        </is>
      </c>
      <c r="O1306" t="inlineStr"/>
      <c r="P1306" t="inlineStr">
        <is>
          <t>TRAVAUX OCM</t>
        </is>
      </c>
      <c r="Q1306" t="inlineStr">
        <is>
          <t>TRAVAUX OCM</t>
        </is>
      </c>
      <c r="R1306" t="inlineStr">
        <is>
          <t>Projet OCM (ZTE, NOKIA, autres projets)</t>
        </is>
      </c>
      <c r="S1306" t="inlineStr">
        <is>
          <t>PLANNED WORKS</t>
        </is>
      </c>
      <c r="T1306" t="inlineStr">
        <is>
          <t>18/03/2026 :Besoin d'analyse BO RAN || Désactivation du pooling des sites (4G) du grand Nord vers Douala et Yaoundé (Huawei) a la demande d'OCM</t>
        </is>
      </c>
      <c r="U1306" t="inlineStr">
        <is>
          <t>18/03/2026 : Besoin d'analyse BO RAN || Désactivation du pooling des sites (4G) du grand Nord vers Douala et Yaoundé (Huawei) a la demande d'OCM</t>
        </is>
      </c>
    </row>
    <row r="1307">
      <c r="A1307" t="inlineStr">
        <is>
          <t>4/31/2026</t>
        </is>
      </c>
      <c r="B1307" t="inlineStr">
        <is>
          <t>NEW-Bonako</t>
        </is>
      </c>
      <c r="C1307" t="inlineStr">
        <is>
          <t>SUO_157</t>
        </is>
      </c>
      <c r="D1307" t="inlineStr"/>
      <c r="E1307" t="inlineStr">
        <is>
          <t>IHS</t>
        </is>
      </c>
      <c r="F1307" t="inlineStr">
        <is>
          <t>Grid-Gen</t>
        </is>
      </c>
      <c r="G1307" t="inlineStr">
        <is>
          <t>SUD-OUEST</t>
        </is>
      </c>
      <c r="H1307" t="inlineStr">
        <is>
          <t>Tiko</t>
        </is>
      </c>
      <c r="I1307" t="inlineStr"/>
      <c r="J1307" t="n">
        <v>0</v>
      </c>
      <c r="K1307" t="n">
        <v>0</v>
      </c>
      <c r="L1307" t="n">
        <v>0</v>
      </c>
      <c r="M1307" t="n">
        <v>0</v>
      </c>
      <c r="N1307" t="inlineStr">
        <is>
          <t>Insecurity</t>
        </is>
      </c>
      <c r="O1307" t="inlineStr"/>
      <c r="P1307" t="inlineStr">
        <is>
          <t>TRAVAUX OCM</t>
        </is>
      </c>
      <c r="Q1307" t="inlineStr">
        <is>
          <t>TRAVAUX OCM</t>
        </is>
      </c>
      <c r="R1307" t="inlineStr">
        <is>
          <t>Projet OCM (ZTE, NOKIA, autres projets)</t>
        </is>
      </c>
      <c r="S1307" t="inlineStr">
        <is>
          <t>PLANNED WORKS</t>
        </is>
      </c>
      <c r="T1307" t="inlineStr">
        <is>
          <t>18/03/2026 :Besoin d'analyse BO RAN || Désactivation du pooling des sites (4G) du grand Nord vers Douala et Yaoundé (Huawei) a la demande d'OCM</t>
        </is>
      </c>
      <c r="U1307" t="inlineStr">
        <is>
          <t>18/03/2026 : Besoin d'analyse BO RAN || Désactivation du pooling des sites (4G) du grand Nord vers Douala et Yaoundé (Huawei) a la demande d'OCM</t>
        </is>
      </c>
    </row>
    <row r="1308">
      <c r="A1308" t="inlineStr">
        <is>
          <t>4/31/2026</t>
        </is>
      </c>
      <c r="B1308" t="inlineStr">
        <is>
          <t>Mbonge</t>
        </is>
      </c>
      <c r="C1308" t="inlineStr">
        <is>
          <t>SUO_134</t>
        </is>
      </c>
      <c r="D1308" t="inlineStr"/>
      <c r="E1308" t="inlineStr">
        <is>
          <t>IHS</t>
        </is>
      </c>
      <c r="F1308" t="inlineStr">
        <is>
          <t>Hybrid-Gen</t>
        </is>
      </c>
      <c r="G1308" t="inlineStr">
        <is>
          <t>SUD-OUEST</t>
        </is>
      </c>
      <c r="H1308" t="inlineStr">
        <is>
          <t>Mbonge</t>
        </is>
      </c>
      <c r="I1308" t="inlineStr"/>
      <c r="J1308" t="n">
        <v>0</v>
      </c>
      <c r="K1308" t="n">
        <v>0</v>
      </c>
      <c r="L1308" t="n">
        <v>0</v>
      </c>
      <c r="M1308" t="n">
        <v>0</v>
      </c>
      <c r="N1308" t="inlineStr">
        <is>
          <t>Insecurity</t>
        </is>
      </c>
      <c r="O1308" t="inlineStr"/>
      <c r="P1308" t="inlineStr">
        <is>
          <t>TRAVAUX OCM</t>
        </is>
      </c>
      <c r="Q1308" t="inlineStr">
        <is>
          <t>TRAVAUX OCM</t>
        </is>
      </c>
      <c r="R1308" t="inlineStr">
        <is>
          <t>Projet OCM (ZTE, NOKIA, autres projets)</t>
        </is>
      </c>
      <c r="S1308" t="inlineStr">
        <is>
          <t>PLANNED WORKS</t>
        </is>
      </c>
      <c r="T1308" t="inlineStr">
        <is>
          <t>18/03/2026 :Besoin d'analyse BO RAN || Désactivation du pooling des sites (4G) du grand Nord vers Douala et Yaoundé (Huawei) a la demande d'OCM</t>
        </is>
      </c>
      <c r="U1308" t="inlineStr">
        <is>
          <t>18/03/2026 : Besoin d'analyse BO RAN || Désactivation du pooling des sites (4G) du grand Nord vers Douala et Yaoundé (Huawei) a la demande d'OCM</t>
        </is>
      </c>
    </row>
    <row r="1309">
      <c r="A1309" t="inlineStr">
        <is>
          <t>4/31/2026</t>
        </is>
      </c>
      <c r="B1309" t="inlineStr">
        <is>
          <t>Ekondo-Nege-MTN</t>
        </is>
      </c>
      <c r="C1309" t="inlineStr">
        <is>
          <t>SUO_047</t>
        </is>
      </c>
      <c r="D1309" t="inlineStr"/>
      <c r="E1309" t="inlineStr">
        <is>
          <t>IHS</t>
        </is>
      </c>
      <c r="F1309" t="inlineStr">
        <is>
          <t>Hybrid-Gen</t>
        </is>
      </c>
      <c r="G1309" t="inlineStr">
        <is>
          <t>SUD-OUEST</t>
        </is>
      </c>
      <c r="H1309" t="inlineStr">
        <is>
          <t>Ekondo-Nege</t>
        </is>
      </c>
      <c r="I1309" t="inlineStr"/>
      <c r="J1309" t="n">
        <v>0</v>
      </c>
      <c r="K1309" t="n">
        <v>0</v>
      </c>
      <c r="L1309" t="n">
        <v>0</v>
      </c>
      <c r="M1309" t="n">
        <v>0</v>
      </c>
      <c r="N1309" t="inlineStr">
        <is>
          <t>Insecurity</t>
        </is>
      </c>
      <c r="O1309" t="inlineStr"/>
      <c r="P1309" t="inlineStr">
        <is>
          <t>TRAVAUX OCM</t>
        </is>
      </c>
      <c r="Q1309" t="inlineStr">
        <is>
          <t>TRAVAUX OCM</t>
        </is>
      </c>
      <c r="R1309" t="inlineStr">
        <is>
          <t>Projet OCM (ZTE, NOKIA, autres projets)</t>
        </is>
      </c>
      <c r="S1309" t="inlineStr">
        <is>
          <t>PLANNED WORKS</t>
        </is>
      </c>
      <c r="T1309" t="inlineStr">
        <is>
          <t>18/03/2026 :Besoin d'analyse BO RAN || Désactivation du pooling des sites (4G) du grand Nord vers Douala et Yaoundé (Huawei) a la demande d'OCM</t>
        </is>
      </c>
      <c r="U1309" t="inlineStr">
        <is>
          <t>18/03/2026 : Besoin d'analyse BO RAN || Désactivation du pooling des sites (4G) du grand Nord vers Douala et Yaoundé (Huawei) a la demande d'OCM</t>
        </is>
      </c>
    </row>
    <row r="1310">
      <c r="A1310" t="inlineStr">
        <is>
          <t>4/31/2026</t>
        </is>
      </c>
      <c r="B1310" t="inlineStr">
        <is>
          <t>Bamendou-II</t>
        </is>
      </c>
      <c r="C1310" t="inlineStr">
        <is>
          <t>OST_310</t>
        </is>
      </c>
      <c r="D1310" t="inlineStr"/>
      <c r="E1310" t="inlineStr"/>
      <c r="F1310" t="inlineStr"/>
      <c r="G1310" t="inlineStr">
        <is>
          <t>OUEST</t>
        </is>
      </c>
      <c r="H1310" t="inlineStr">
        <is>
          <t>Bamendou</t>
        </is>
      </c>
      <c r="I1310" t="inlineStr"/>
      <c r="J1310" t="n">
        <v>0</v>
      </c>
      <c r="K1310" t="n">
        <v>0</v>
      </c>
      <c r="L1310" t="n">
        <v>0</v>
      </c>
      <c r="M1310" t="n">
        <v>0</v>
      </c>
      <c r="N1310" t="inlineStr">
        <is>
          <t>Operationnel</t>
        </is>
      </c>
      <c r="O1310" t="inlineStr"/>
      <c r="P1310" t="inlineStr">
        <is>
          <t>TRAVAUX OCM</t>
        </is>
      </c>
      <c r="Q1310" t="inlineStr">
        <is>
          <t>TRAVAUX OCM</t>
        </is>
      </c>
      <c r="R1310" t="inlineStr">
        <is>
          <t>Projet OCM (ZTE, NOKIA, autres projets)</t>
        </is>
      </c>
      <c r="S1310" t="inlineStr">
        <is>
          <t>PLANNED WORKS</t>
        </is>
      </c>
      <c r="T1310" t="inlineStr">
        <is>
          <t>18/03/2026 :Besoin d'analyse BO RAN || Désactivation du pooling des sites (4G) du grand Nord vers Douala et Yaoundé (Huawei) a la demande d'OCM</t>
        </is>
      </c>
      <c r="U1310" t="inlineStr">
        <is>
          <t>18/03/2026 : Besoin d'analyse BO RAN || Désactivation du pooling des sites (4G) du grand Nord vers Douala et Yaoundé (Huawei) a la demande d'OCM</t>
        </is>
      </c>
    </row>
    <row r="1311">
      <c r="A1311" t="inlineStr">
        <is>
          <t>4/31/2026</t>
        </is>
      </c>
      <c r="B1311" t="inlineStr">
        <is>
          <t>Bamendjing-IHS</t>
        </is>
      </c>
      <c r="C1311" t="inlineStr">
        <is>
          <t>OST_030</t>
        </is>
      </c>
      <c r="D1311" t="inlineStr"/>
      <c r="E1311" t="inlineStr">
        <is>
          <t>IHS</t>
        </is>
      </c>
      <c r="F1311" t="inlineStr">
        <is>
          <t>Grid-Hybrid-Gen</t>
        </is>
      </c>
      <c r="G1311" t="inlineStr">
        <is>
          <t>OUEST</t>
        </is>
      </c>
      <c r="H1311" t="inlineStr">
        <is>
          <t>Bamendjing</t>
        </is>
      </c>
      <c r="I1311" t="inlineStr"/>
      <c r="J1311" t="n">
        <v>0</v>
      </c>
      <c r="K1311" t="n">
        <v>0</v>
      </c>
      <c r="L1311" t="n">
        <v>0</v>
      </c>
      <c r="M1311" t="n">
        <v>0</v>
      </c>
      <c r="N1311" t="inlineStr">
        <is>
          <t>Operationnel</t>
        </is>
      </c>
      <c r="O1311" t="inlineStr"/>
      <c r="P1311" t="inlineStr">
        <is>
          <t>TRAVAUX OCM</t>
        </is>
      </c>
      <c r="Q1311" t="inlineStr">
        <is>
          <t>TRAVAUX OCM</t>
        </is>
      </c>
      <c r="R1311" t="inlineStr">
        <is>
          <t>Projet OCM (ZTE, NOKIA, autres projets)</t>
        </is>
      </c>
      <c r="S1311" t="inlineStr">
        <is>
          <t>PLANNED WORKS</t>
        </is>
      </c>
      <c r="T1311" t="inlineStr">
        <is>
          <t>18/03/2026 :Besoin d'analyse BO RAN || Désactivation du pooling des sites (4G) du grand Nord vers Douala et Yaoundé (Huawei) a la demande d'OCM</t>
        </is>
      </c>
      <c r="U1311" t="inlineStr">
        <is>
          <t>18/03/2026 : Besoin d'analyse BO RAN || Désactivation du pooling des sites (4G) du grand Nord vers Douala et Yaoundé (Huawei) a la demande d'OCM</t>
        </is>
      </c>
    </row>
    <row r="1312">
      <c r="A1312" t="inlineStr">
        <is>
          <t>4/31/2026</t>
        </is>
      </c>
      <c r="B1312" t="inlineStr">
        <is>
          <t>Bamendjing-MTN-IHS</t>
        </is>
      </c>
      <c r="C1312" t="inlineStr">
        <is>
          <t>OST_221</t>
        </is>
      </c>
      <c r="D1312" t="inlineStr"/>
      <c r="E1312" t="inlineStr">
        <is>
          <t>IHS</t>
        </is>
      </c>
      <c r="F1312" t="inlineStr">
        <is>
          <t>Grid-Gen</t>
        </is>
      </c>
      <c r="G1312" t="inlineStr">
        <is>
          <t>OUEST</t>
        </is>
      </c>
      <c r="H1312" t="inlineStr">
        <is>
          <t>Bamendjing</t>
        </is>
      </c>
      <c r="I1312" t="inlineStr"/>
      <c r="J1312" t="n">
        <v>0</v>
      </c>
      <c r="K1312" t="n">
        <v>0</v>
      </c>
      <c r="L1312" t="n">
        <v>0</v>
      </c>
      <c r="M1312" t="n">
        <v>0</v>
      </c>
      <c r="N1312" t="inlineStr">
        <is>
          <t>Operationnel</t>
        </is>
      </c>
      <c r="O1312" t="inlineStr"/>
      <c r="P1312" t="inlineStr">
        <is>
          <t>TRAVAUX OCM</t>
        </is>
      </c>
      <c r="Q1312" t="inlineStr">
        <is>
          <t>TRAVAUX OCM</t>
        </is>
      </c>
      <c r="R1312" t="inlineStr">
        <is>
          <t>Projet OCM (ZTE, NOKIA, autres projets)</t>
        </is>
      </c>
      <c r="S1312" t="inlineStr">
        <is>
          <t>PLANNED WORKS</t>
        </is>
      </c>
      <c r="T1312" t="inlineStr">
        <is>
          <t>18/03/2026 :Besoin d'analyse BO RAN || Désactivation du pooling des sites (4G) du grand Nord vers Douala et Yaoundé (Huawei) a la demande d'OCM</t>
        </is>
      </c>
      <c r="U1312" t="inlineStr">
        <is>
          <t>18/03/2026 : Besoin d'analyse BO RAN || Désactivation du pooling des sites (4G) du grand Nord vers Douala et Yaoundé (Huawei) a la demande d'OCM</t>
        </is>
      </c>
    </row>
    <row r="1313">
      <c r="A1313" t="inlineStr">
        <is>
          <t>4/31/2026</t>
        </is>
      </c>
      <c r="B1313" t="inlineStr">
        <is>
          <t>Bamendou</t>
        </is>
      </c>
      <c r="C1313" t="inlineStr">
        <is>
          <t>OST_056</t>
        </is>
      </c>
      <c r="D1313" t="inlineStr"/>
      <c r="E1313" t="inlineStr">
        <is>
          <t>IHS</t>
        </is>
      </c>
      <c r="F1313" t="inlineStr">
        <is>
          <t>Grid-Gen</t>
        </is>
      </c>
      <c r="G1313" t="inlineStr">
        <is>
          <t>OUEST</t>
        </is>
      </c>
      <c r="H1313" t="inlineStr">
        <is>
          <t>Bamendou</t>
        </is>
      </c>
      <c r="I1313" t="inlineStr"/>
      <c r="J1313" t="n">
        <v>0</v>
      </c>
      <c r="K1313" t="n">
        <v>0</v>
      </c>
      <c r="L1313" t="n">
        <v>0</v>
      </c>
      <c r="M1313" t="n">
        <v>0</v>
      </c>
      <c r="N1313" t="inlineStr">
        <is>
          <t>Operationnel</t>
        </is>
      </c>
      <c r="O1313" t="inlineStr"/>
      <c r="P1313" t="inlineStr">
        <is>
          <t>TRAVAUX OCM</t>
        </is>
      </c>
      <c r="Q1313" t="inlineStr">
        <is>
          <t>TRAVAUX OCM</t>
        </is>
      </c>
      <c r="R1313" t="inlineStr">
        <is>
          <t>Projet OCM (ZTE, NOKIA, autres projets)</t>
        </is>
      </c>
      <c r="S1313" t="inlineStr">
        <is>
          <t>PLANNED WORKS</t>
        </is>
      </c>
      <c r="T1313" t="inlineStr">
        <is>
          <t>18/03/2026 :Besoin d'analyse BO RAN || Désactivation du pooling des sites (4G) du grand Nord vers Douala et Yaoundé (Huawei) a la demande d'OCM</t>
        </is>
      </c>
      <c r="U1313" t="inlineStr">
        <is>
          <t>18/03/2026 : Besoin d'analyse BO RAN || Désactivation du pooling des sites (4G) du grand Nord vers Douala et Yaoundé (Huawei) a la demande d'OCM</t>
        </is>
      </c>
    </row>
    <row r="1314">
      <c r="A1314" t="inlineStr">
        <is>
          <t>4/31/2026</t>
        </is>
      </c>
      <c r="B1314" t="inlineStr">
        <is>
          <t>Muyuka-Beach-Bush-IHS</t>
        </is>
      </c>
      <c r="C1314" t="inlineStr">
        <is>
          <t>SUO_255</t>
        </is>
      </c>
      <c r="D1314" t="inlineStr"/>
      <c r="E1314" t="inlineStr">
        <is>
          <t xml:space="preserve">HIS </t>
        </is>
      </c>
      <c r="F1314" t="inlineStr">
        <is>
          <t>Hybrid-Gen</t>
        </is>
      </c>
      <c r="G1314" t="inlineStr">
        <is>
          <t>SUD-OUEST</t>
        </is>
      </c>
      <c r="H1314" t="inlineStr">
        <is>
          <t>Muyuka</t>
        </is>
      </c>
      <c r="I1314" t="inlineStr"/>
      <c r="J1314" t="n">
        <v>0</v>
      </c>
      <c r="K1314" t="n">
        <v>0</v>
      </c>
      <c r="L1314" t="n">
        <v>0</v>
      </c>
      <c r="M1314" t="n">
        <v>0</v>
      </c>
      <c r="N1314" t="inlineStr">
        <is>
          <t>Insecurity</t>
        </is>
      </c>
      <c r="O1314" t="inlineStr"/>
      <c r="P1314" t="inlineStr">
        <is>
          <t>TRAVAUX OCM</t>
        </is>
      </c>
      <c r="Q1314" t="inlineStr">
        <is>
          <t>TRAVAUX OCM</t>
        </is>
      </c>
      <c r="R1314" t="inlineStr">
        <is>
          <t>Projet OCM (ZTE, NOKIA, autres projets)</t>
        </is>
      </c>
      <c r="S1314" t="inlineStr">
        <is>
          <t>PLANNED WORKS</t>
        </is>
      </c>
      <c r="T1314" t="inlineStr">
        <is>
          <t>18/03/2026 :Besoin d'analyse BO RAN || Désactivation du pooling des sites (4G) du grand Nord vers Douala et Yaoundé (Huawei) a la demande d'OCM</t>
        </is>
      </c>
      <c r="U1314" t="inlineStr">
        <is>
          <t>18/03/2026 : Besoin d'analyse BO RAN || Désactivation du pooling des sites (4G) du grand Nord vers Douala et Yaoundé (Huawei) a la demande d'OCM</t>
        </is>
      </c>
    </row>
    <row r="1315">
      <c r="A1315" t="inlineStr">
        <is>
          <t>4/31/2026</t>
        </is>
      </c>
      <c r="B1315" t="inlineStr">
        <is>
          <t>Guirvidig</t>
        </is>
      </c>
      <c r="C1315" t="inlineStr">
        <is>
          <t>EXN_098</t>
        </is>
      </c>
      <c r="D1315" t="inlineStr"/>
      <c r="E1315" t="inlineStr">
        <is>
          <t>IHS</t>
        </is>
      </c>
      <c r="F1315" t="inlineStr">
        <is>
          <t>Grid-Gen</t>
        </is>
      </c>
      <c r="G1315" t="inlineStr">
        <is>
          <t>EXTREME-NORD</t>
        </is>
      </c>
      <c r="H1315" t="inlineStr">
        <is>
          <t>Guirvidig</t>
        </is>
      </c>
      <c r="I1315" t="inlineStr"/>
      <c r="J1315" t="n">
        <v>0</v>
      </c>
      <c r="K1315" t="n">
        <v>0</v>
      </c>
      <c r="L1315" t="n">
        <v>0</v>
      </c>
      <c r="M1315" t="n">
        <v>0</v>
      </c>
      <c r="N1315" t="inlineStr">
        <is>
          <t>Insecurity</t>
        </is>
      </c>
      <c r="O1315" t="inlineStr"/>
      <c r="P1315" t="inlineStr">
        <is>
          <t>TRAVAUX-HUAWEI</t>
        </is>
      </c>
      <c r="Q1315" t="inlineStr">
        <is>
          <t>TRAVAUX-HUAWEI</t>
        </is>
      </c>
      <c r="R1315" t="inlineStr">
        <is>
          <t>Projet OCM (HUAWEI)</t>
        </is>
      </c>
      <c r="S1315" t="inlineStr">
        <is>
          <t>PLANNED WORKS</t>
        </is>
      </c>
      <c r="T1315" t="inlineStr">
        <is>
          <t>18/03/2026 : SWAP le 22 Fevrier 2026</t>
        </is>
      </c>
      <c r="U1315" t="inlineStr">
        <is>
          <t>18/03/2026 : SWAP le 22 Fevrier 2026</t>
        </is>
      </c>
    </row>
    <row r="1316">
      <c r="A1316" t="inlineStr">
        <is>
          <t>4/31/2026</t>
        </is>
      </c>
      <c r="B1316" t="inlineStr">
        <is>
          <t>Bambili</t>
        </is>
      </c>
      <c r="C1316" t="inlineStr">
        <is>
          <t>SUO_010</t>
        </is>
      </c>
      <c r="D1316" t="inlineStr"/>
      <c r="E1316" t="inlineStr">
        <is>
          <t>IHS</t>
        </is>
      </c>
      <c r="F1316" t="inlineStr">
        <is>
          <t>Grid-Gen</t>
        </is>
      </c>
      <c r="G1316" t="inlineStr">
        <is>
          <t>SUD-OUEST</t>
        </is>
      </c>
      <c r="H1316" t="inlineStr">
        <is>
          <t>Bambili</t>
        </is>
      </c>
      <c r="I1316" t="inlineStr"/>
      <c r="J1316" t="n">
        <v>0</v>
      </c>
      <c r="K1316" t="n">
        <v>0</v>
      </c>
      <c r="L1316" t="n">
        <v>0</v>
      </c>
      <c r="M1316" t="n">
        <v>0</v>
      </c>
      <c r="N1316" t="inlineStr">
        <is>
          <t>Insecurity</t>
        </is>
      </c>
      <c r="O1316" t="inlineStr"/>
      <c r="P1316" t="inlineStr">
        <is>
          <t>TRAVAUX-HUAWEI</t>
        </is>
      </c>
      <c r="Q1316" t="inlineStr">
        <is>
          <t>TRAVAUX-HUAWEI</t>
        </is>
      </c>
      <c r="R1316" t="inlineStr">
        <is>
          <t>Projet OCM (HUAWEI)</t>
        </is>
      </c>
      <c r="S1316" t="inlineStr">
        <is>
          <t>PLANNED WORKS</t>
        </is>
      </c>
      <c r="T1316" t="inlineStr">
        <is>
          <t>18/03/2026 : SWAP en cours ce jour</t>
        </is>
      </c>
      <c r="U1316" t="inlineStr">
        <is>
          <t>18/03/2026 : SWAP en cours ce jour</t>
        </is>
      </c>
    </row>
    <row r="1317">
      <c r="A1317" t="inlineStr">
        <is>
          <t>4/31/2026</t>
        </is>
      </c>
      <c r="B1317" t="inlineStr">
        <is>
          <t>Kossehone</t>
        </is>
      </c>
      <c r="C1317" t="inlineStr">
        <is>
          <t>EXN_243</t>
        </is>
      </c>
      <c r="D1317" t="inlineStr"/>
      <c r="E1317" t="inlineStr">
        <is>
          <t>CAMUSAT</t>
        </is>
      </c>
      <c r="F1317" t="inlineStr">
        <is>
          <t>Bad Grid + GE</t>
        </is>
      </c>
      <c r="G1317" t="inlineStr">
        <is>
          <t>EXTREME-NORD</t>
        </is>
      </c>
      <c r="H1317" t="inlineStr">
        <is>
          <t>KOSSEHONE</t>
        </is>
      </c>
      <c r="I1317" t="inlineStr"/>
      <c r="J1317" t="n">
        <v>0</v>
      </c>
      <c r="K1317" t="n">
        <v>0</v>
      </c>
      <c r="L1317" t="n">
        <v>0</v>
      </c>
      <c r="M1317" t="n">
        <v>0</v>
      </c>
      <c r="N1317" t="inlineStr">
        <is>
          <t>Insecurity</t>
        </is>
      </c>
      <c r="O1317" t="inlineStr"/>
      <c r="P1317" t="inlineStr">
        <is>
          <t>TRAVAUX-HUAWEI</t>
        </is>
      </c>
      <c r="Q1317" t="inlineStr">
        <is>
          <t>TRAVAUX-HUAWEI</t>
        </is>
      </c>
      <c r="R1317" t="inlineStr">
        <is>
          <t>Projet OCM (HUAWEI)</t>
        </is>
      </c>
      <c r="S1317" t="inlineStr">
        <is>
          <t>PLANNED WORKS</t>
        </is>
      </c>
      <c r="T1317" t="inlineStr">
        <is>
          <t>17/03/2026 : Week 12
16/03/2026 : SWAP le 15 Mars 2026</t>
        </is>
      </c>
      <c r="U1317" t="inlineStr">
        <is>
          <t>17/03/2026 : Week 12 16/03/2026 : SWAP le 15 Mars 2026</t>
        </is>
      </c>
    </row>
    <row r="1318">
      <c r="A1318" t="inlineStr">
        <is>
          <t>4/31/2026</t>
        </is>
      </c>
      <c r="B1318" t="inlineStr">
        <is>
          <t>Ngd-Agence</t>
        </is>
      </c>
      <c r="C1318" t="inlineStr">
        <is>
          <t>ADM_026</t>
        </is>
      </c>
      <c r="D1318" t="inlineStr"/>
      <c r="E1318" t="inlineStr">
        <is>
          <t>OCM/Strategique</t>
        </is>
      </c>
      <c r="F1318" t="inlineStr"/>
      <c r="G1318" t="inlineStr">
        <is>
          <t>ADAMAOUA</t>
        </is>
      </c>
      <c r="H1318" t="inlineStr">
        <is>
          <t>Ngaoundere</t>
        </is>
      </c>
      <c r="I1318" t="inlineStr"/>
      <c r="J1318" t="n">
        <v>0</v>
      </c>
      <c r="K1318" t="n">
        <v>0</v>
      </c>
      <c r="L1318" t="n">
        <v>0</v>
      </c>
      <c r="M1318" t="n">
        <v>0</v>
      </c>
      <c r="N1318" t="inlineStr">
        <is>
          <t>Operationnel</t>
        </is>
      </c>
      <c r="O1318" t="inlineStr"/>
      <c r="P1318" t="inlineStr">
        <is>
          <t>TRAVAUX-HUAWEI</t>
        </is>
      </c>
      <c r="Q1318" t="inlineStr">
        <is>
          <t>TRAVAUX-HUAWEI</t>
        </is>
      </c>
      <c r="R1318" t="inlineStr">
        <is>
          <t>Projet OCM (HUAWEI)</t>
        </is>
      </c>
      <c r="S1318" t="inlineStr">
        <is>
          <t>PLANNED WORKS</t>
        </is>
      </c>
      <c r="T1318" t="inlineStr">
        <is>
          <t>17/03/2026 : Week 12
16/03/2026 : Swap le 13 Mars 2026</t>
        </is>
      </c>
      <c r="U1318" t="inlineStr">
        <is>
          <t>17/03/2026 : Week 12 16/03/2026 : Swap le 13 Mars 2026</t>
        </is>
      </c>
    </row>
    <row r="1319">
      <c r="A1319" t="inlineStr">
        <is>
          <t>4/31/2026</t>
        </is>
      </c>
      <c r="B1319" t="inlineStr">
        <is>
          <t>FOSSET</t>
        </is>
      </c>
      <c r="C1319" t="inlineStr">
        <is>
          <t>OST_264</t>
        </is>
      </c>
      <c r="D1319" t="inlineStr"/>
      <c r="E1319" t="inlineStr">
        <is>
          <t>IHS</t>
        </is>
      </c>
      <c r="F1319" t="inlineStr">
        <is>
          <t>Grid-Gen</t>
        </is>
      </c>
      <c r="G1319" t="inlineStr">
        <is>
          <t>OUEST</t>
        </is>
      </c>
      <c r="H1319" t="inlineStr">
        <is>
          <t>Foumbot</t>
        </is>
      </c>
      <c r="I1319" t="inlineStr"/>
      <c r="J1319" t="n">
        <v>0</v>
      </c>
      <c r="K1319" t="n">
        <v>0</v>
      </c>
      <c r="L1319" t="n">
        <v>0</v>
      </c>
      <c r="M1319" t="n">
        <v>0</v>
      </c>
      <c r="N1319" t="inlineStr">
        <is>
          <t>EXCLU</t>
        </is>
      </c>
      <c r="O1319" t="inlineStr">
        <is>
          <t>UE Relay</t>
        </is>
      </c>
      <c r="P1319" t="inlineStr">
        <is>
          <t>TRAVAUX-HUAWEI</t>
        </is>
      </c>
      <c r="Q1319" t="inlineStr">
        <is>
          <t>TRAVAUX-HUAWEI</t>
        </is>
      </c>
      <c r="R1319" t="inlineStr">
        <is>
          <t>Projet OCM (HUAWEI)</t>
        </is>
      </c>
      <c r="S1319" t="inlineStr">
        <is>
          <t>PLANNED WORKS</t>
        </is>
      </c>
      <c r="T1319" t="inlineStr">
        <is>
          <t>17/03/2026 : Week 12
14/03/2026 : Besoin d'analyse BO RAN ||Power stability / good breaker  ratings require onsite || Site vandalise</t>
        </is>
      </c>
      <c r="U1319" t="inlineStr">
        <is>
          <t>17/03/2026 : Week 12 14/03/2026 : Besoin d'analyse BO RAN || Power stability / good breaker ratings require onsite || Site vandalise</t>
        </is>
      </c>
    </row>
    <row r="1320">
      <c r="A1320" t="inlineStr">
        <is>
          <t>4/31/2026</t>
        </is>
      </c>
      <c r="B1320" t="inlineStr">
        <is>
          <t>Ilor-MTN</t>
        </is>
      </c>
      <c r="C1320" t="inlineStr">
        <is>
          <t>SUO_046</t>
        </is>
      </c>
      <c r="D1320" t="inlineStr"/>
      <c r="E1320" t="inlineStr">
        <is>
          <t>IHS</t>
        </is>
      </c>
      <c r="F1320" t="inlineStr">
        <is>
          <t>Gen Only</t>
        </is>
      </c>
      <c r="G1320" t="inlineStr">
        <is>
          <t>SUD-OUEST</t>
        </is>
      </c>
      <c r="H1320" t="inlineStr">
        <is>
          <t>Ilor</t>
        </is>
      </c>
      <c r="I1320" t="inlineStr"/>
      <c r="J1320" t="n">
        <v>0</v>
      </c>
      <c r="K1320" t="n">
        <v>0</v>
      </c>
      <c r="L1320" t="n">
        <v>0</v>
      </c>
      <c r="M1320" t="n">
        <v>0</v>
      </c>
      <c r="N1320" t="inlineStr">
        <is>
          <t>Insecurity</t>
        </is>
      </c>
      <c r="O1320" t="inlineStr"/>
      <c r="P1320" t="inlineStr">
        <is>
          <t>TRAVAUX-HUAWEI</t>
        </is>
      </c>
      <c r="Q1320" t="inlineStr">
        <is>
          <t>TRAVAUX-HUAWEI</t>
        </is>
      </c>
      <c r="R1320" t="inlineStr">
        <is>
          <t>Projet OCM (HUAWEI)</t>
        </is>
      </c>
      <c r="S1320" t="inlineStr">
        <is>
          <t>PLANNED WORKS</t>
        </is>
      </c>
      <c r="T1320" t="inlineStr">
        <is>
          <t>17/03/2026 : Week 12
13/03/2026 :  SWAP le 01 Fevrier 2026</t>
        </is>
      </c>
      <c r="U1320" t="inlineStr">
        <is>
          <t>17/03/2026 : Week 12 13/03/2026 : SWAP le 01 Fevrier 2026</t>
        </is>
      </c>
    </row>
    <row r="1321">
      <c r="A1321" t="inlineStr">
        <is>
          <t>4/31/2026</t>
        </is>
      </c>
      <c r="B1321" t="inlineStr">
        <is>
          <t>Zidim-IHS</t>
        </is>
      </c>
      <c r="C1321" t="inlineStr">
        <is>
          <t>EXN_154</t>
        </is>
      </c>
      <c r="D1321" t="inlineStr"/>
      <c r="E1321" t="inlineStr">
        <is>
          <t>IHS</t>
        </is>
      </c>
      <c r="F1321" t="inlineStr">
        <is>
          <t>Solar-Gen</t>
        </is>
      </c>
      <c r="G1321" t="inlineStr">
        <is>
          <t>EXTREME-NORD</t>
        </is>
      </c>
      <c r="H1321" t="inlineStr">
        <is>
          <t>Zidim</t>
        </is>
      </c>
      <c r="I1321" t="inlineStr"/>
      <c r="J1321" t="n">
        <v>0</v>
      </c>
      <c r="K1321" t="n">
        <v>0</v>
      </c>
      <c r="L1321" t="n">
        <v>0</v>
      </c>
      <c r="M1321" t="n">
        <v>0</v>
      </c>
      <c r="N1321" t="inlineStr">
        <is>
          <t>Insecurity</t>
        </is>
      </c>
      <c r="O1321" t="inlineStr"/>
      <c r="P1321" t="inlineStr">
        <is>
          <t>TRAVAUX-HUAWEI</t>
        </is>
      </c>
      <c r="Q1321" t="inlineStr">
        <is>
          <t>TRAVAUX-HUAWEI</t>
        </is>
      </c>
      <c r="R1321" t="inlineStr">
        <is>
          <t>Projet OCM (HUAWEI)</t>
        </is>
      </c>
      <c r="S1321" t="inlineStr">
        <is>
          <t>PLANNED WORKS</t>
        </is>
      </c>
      <c r="T1321" t="inlineStr">
        <is>
          <t>17/03/2026 : Week 12
12/03/2026 : SWAP le 20 Fevrier 2026</t>
        </is>
      </c>
      <c r="U1321" t="inlineStr">
        <is>
          <t>17/03/2026 : Week 12 12/03/2026 : SWAP le 20 Fevrier 2026</t>
        </is>
      </c>
    </row>
    <row r="1322">
      <c r="A1322" t="inlineStr">
        <is>
          <t>4/31/2026</t>
        </is>
      </c>
      <c r="B1322" t="inlineStr">
        <is>
          <t>Hina</t>
        </is>
      </c>
      <c r="C1322" t="inlineStr">
        <is>
          <t>EXN_047</t>
        </is>
      </c>
      <c r="D1322" t="inlineStr"/>
      <c r="E1322" t="inlineStr">
        <is>
          <t>IHS</t>
        </is>
      </c>
      <c r="F1322" t="inlineStr">
        <is>
          <t>Solar-Gen</t>
        </is>
      </c>
      <c r="G1322" t="inlineStr">
        <is>
          <t>EXTREME-NORD</t>
        </is>
      </c>
      <c r="H1322" t="inlineStr">
        <is>
          <t>Hina</t>
        </is>
      </c>
      <c r="I1322" t="inlineStr"/>
      <c r="J1322" t="n">
        <v>0</v>
      </c>
      <c r="K1322" t="n">
        <v>0</v>
      </c>
      <c r="L1322" t="n">
        <v>0</v>
      </c>
      <c r="M1322" t="n">
        <v>0</v>
      </c>
      <c r="N1322" t="inlineStr">
        <is>
          <t>Insecurity</t>
        </is>
      </c>
      <c r="O1322" t="inlineStr"/>
      <c r="P1322" t="inlineStr">
        <is>
          <t>TRAVAUX-HUAWEI</t>
        </is>
      </c>
      <c r="Q1322" t="inlineStr">
        <is>
          <t>TRAVAUX-HUAWEI</t>
        </is>
      </c>
      <c r="R1322" t="inlineStr">
        <is>
          <t>Projet OCM (HUAWEI)</t>
        </is>
      </c>
      <c r="S1322" t="inlineStr">
        <is>
          <t>PLANNED WORKS</t>
        </is>
      </c>
      <c r="T1322" t="inlineStr">
        <is>
          <t>17/03/2026 : Week 12
12/03/2026 : SWAP le 17 Fevrier 2026</t>
        </is>
      </c>
      <c r="U1322" t="inlineStr">
        <is>
          <t>17/03/2026 : Week 12 12/03/2026 : SWAP le 17 Fevrier 2026</t>
        </is>
      </c>
    </row>
    <row r="1323">
      <c r="A1323" t="inlineStr">
        <is>
          <t>4/31/2026</t>
        </is>
      </c>
      <c r="B1323" t="inlineStr">
        <is>
          <t>Malanden</t>
        </is>
      </c>
      <c r="C1323" t="inlineStr">
        <is>
          <t>OST_275</t>
        </is>
      </c>
      <c r="D1323" t="inlineStr"/>
      <c r="E1323" t="inlineStr">
        <is>
          <t>CAMUSAT</t>
        </is>
      </c>
      <c r="F1323" t="inlineStr">
        <is>
          <t>Hybrid Solar - S3</t>
        </is>
      </c>
      <c r="G1323" t="inlineStr">
        <is>
          <t>OUEST</t>
        </is>
      </c>
      <c r="H1323" t="inlineStr">
        <is>
          <t>Malanden</t>
        </is>
      </c>
      <c r="I1323" t="inlineStr"/>
      <c r="J1323" t="n">
        <v>0</v>
      </c>
      <c r="K1323" t="n">
        <v>0</v>
      </c>
      <c r="L1323" t="n">
        <v>0</v>
      </c>
      <c r="M1323" t="n">
        <v>0</v>
      </c>
      <c r="N1323" t="inlineStr">
        <is>
          <t>Operationnel</t>
        </is>
      </c>
      <c r="O1323" t="inlineStr"/>
      <c r="P1323" t="inlineStr">
        <is>
          <t>TRAVAUX-HUAWEI</t>
        </is>
      </c>
      <c r="Q1323" t="inlineStr">
        <is>
          <t>TRAVAUX-HUAWEI</t>
        </is>
      </c>
      <c r="R1323" t="inlineStr">
        <is>
          <t>Projet OCM (HUAWEI)</t>
        </is>
      </c>
      <c r="S1323" t="inlineStr">
        <is>
          <t>PLANNED WORKS</t>
        </is>
      </c>
      <c r="T1323" t="inlineStr">
        <is>
          <t>17/03/2026 : Week 12
12/03/2026 : SWAP le 17 Fevrier 2026</t>
        </is>
      </c>
      <c r="U1323" t="inlineStr">
        <is>
          <t>17/03/2026 : Week 12 12/03/2026 : SWAP le 17 Fevrier 2026</t>
        </is>
      </c>
    </row>
    <row r="1324">
      <c r="A1324" t="inlineStr">
        <is>
          <t>4/31/2026</t>
        </is>
      </c>
      <c r="B1324" t="inlineStr">
        <is>
          <t>Tongo-IHS</t>
        </is>
      </c>
      <c r="C1324" t="inlineStr">
        <is>
          <t>NRD_112</t>
        </is>
      </c>
      <c r="D1324" t="inlineStr"/>
      <c r="E1324" t="inlineStr">
        <is>
          <t>IHS</t>
        </is>
      </c>
      <c r="F1324" t="inlineStr">
        <is>
          <t>Hybrid-Gen</t>
        </is>
      </c>
      <c r="G1324" t="inlineStr">
        <is>
          <t>NORD</t>
        </is>
      </c>
      <c r="H1324" t="inlineStr">
        <is>
          <t>Tongo</t>
        </is>
      </c>
      <c r="I1324" t="inlineStr"/>
      <c r="J1324" t="n">
        <v>0</v>
      </c>
      <c r="K1324" t="n">
        <v>0</v>
      </c>
      <c r="L1324" t="n">
        <v>0</v>
      </c>
      <c r="M1324" t="n">
        <v>0</v>
      </c>
      <c r="N1324" t="inlineStr">
        <is>
          <t>Operationnel</t>
        </is>
      </c>
      <c r="O1324" t="inlineStr"/>
      <c r="P1324" t="inlineStr">
        <is>
          <t>TRAVAUX-HUAWEI</t>
        </is>
      </c>
      <c r="Q1324" t="inlineStr">
        <is>
          <t>TRAVAUX-HUAWEI</t>
        </is>
      </c>
      <c r="R1324" t="inlineStr">
        <is>
          <t>Projet OCM (HUAWEI)</t>
        </is>
      </c>
      <c r="S1324" t="inlineStr">
        <is>
          <t>PLANNED WORKS</t>
        </is>
      </c>
      <c r="T1324" t="inlineStr">
        <is>
          <t>17/03/2026 : Week 12
12/03/2026 : SWAP le 15 Fevrier 2026</t>
        </is>
      </c>
      <c r="U1324" t="inlineStr">
        <is>
          <t>17/03/2026 : Week 12 12/03/2026 : SWAP le 15 Fevrier 2026</t>
        </is>
      </c>
    </row>
    <row r="1325">
      <c r="A1325" t="inlineStr">
        <is>
          <t>4/31/2026</t>
        </is>
      </c>
      <c r="B1325" t="inlineStr">
        <is>
          <t>Meri</t>
        </is>
      </c>
      <c r="C1325" t="inlineStr">
        <is>
          <t>EXN_023</t>
        </is>
      </c>
      <c r="D1325" t="inlineStr"/>
      <c r="E1325" t="inlineStr">
        <is>
          <t>IHS</t>
        </is>
      </c>
      <c r="F1325" t="inlineStr">
        <is>
          <t>Grid-Gen</t>
        </is>
      </c>
      <c r="G1325" t="inlineStr">
        <is>
          <t>EXTREME-NORD</t>
        </is>
      </c>
      <c r="H1325" t="inlineStr">
        <is>
          <t>Meri</t>
        </is>
      </c>
      <c r="I1325" t="inlineStr"/>
      <c r="J1325" t="n">
        <v>0</v>
      </c>
      <c r="K1325" t="n">
        <v>0</v>
      </c>
      <c r="L1325" t="n">
        <v>0</v>
      </c>
      <c r="M1325" t="n">
        <v>0</v>
      </c>
      <c r="N1325" t="inlineStr">
        <is>
          <t>Insecurity</t>
        </is>
      </c>
      <c r="O1325" t="inlineStr"/>
      <c r="P1325" t="inlineStr">
        <is>
          <t>TRAVAUX-HUAWEI</t>
        </is>
      </c>
      <c r="Q1325" t="inlineStr">
        <is>
          <t>TRAVAUX-HUAWEI</t>
        </is>
      </c>
      <c r="R1325" t="inlineStr">
        <is>
          <t>Projet OCM (HUAWEI)</t>
        </is>
      </c>
      <c r="S1325" t="inlineStr">
        <is>
          <t>PLANNED WORKS</t>
        </is>
      </c>
      <c r="T1325" t="inlineStr">
        <is>
          <t>17/03/2026 : Week 12
12/03/2026 : SWAP le 14 Fevrier 2026</t>
        </is>
      </c>
      <c r="U1325" t="inlineStr">
        <is>
          <t>17/03/2026 : Week 12 12/03/2026 : SWAP le 14 Fevrier 2026</t>
        </is>
      </c>
    </row>
    <row r="1326">
      <c r="A1326" t="inlineStr">
        <is>
          <t>4/31/2026</t>
        </is>
      </c>
      <c r="B1326" t="inlineStr">
        <is>
          <t>Koupa-Matapit-IHS</t>
        </is>
      </c>
      <c r="C1326" t="inlineStr">
        <is>
          <t>OST_209</t>
        </is>
      </c>
      <c r="D1326" t="inlineStr"/>
      <c r="E1326" t="inlineStr">
        <is>
          <t>IHS</t>
        </is>
      </c>
      <c r="F1326" t="inlineStr">
        <is>
          <t>Hybrid-Gen</t>
        </is>
      </c>
      <c r="G1326" t="inlineStr">
        <is>
          <t>OUEST</t>
        </is>
      </c>
      <c r="H1326" t="inlineStr">
        <is>
          <t>Koupa-Matapit</t>
        </is>
      </c>
      <c r="I1326" t="inlineStr"/>
      <c r="J1326" t="n">
        <v>0</v>
      </c>
      <c r="K1326" t="n">
        <v>0</v>
      </c>
      <c r="L1326" t="n">
        <v>0</v>
      </c>
      <c r="M1326" t="n">
        <v>0</v>
      </c>
      <c r="N1326" t="inlineStr">
        <is>
          <t>Operationnel</t>
        </is>
      </c>
      <c r="O1326" t="inlineStr"/>
      <c r="P1326" t="inlineStr">
        <is>
          <t>TRAVAUX-HUAWEI</t>
        </is>
      </c>
      <c r="Q1326" t="inlineStr">
        <is>
          <t>TRAVAUX-HUAWEI</t>
        </is>
      </c>
      <c r="R1326" t="inlineStr">
        <is>
          <t>Projet OCM (HUAWEI)</t>
        </is>
      </c>
      <c r="S1326" t="inlineStr">
        <is>
          <t>PLANNED WORKS</t>
        </is>
      </c>
      <c r="T1326" t="inlineStr">
        <is>
          <t>17/03/2026 : Week 12
12/03/2026 : SWAP le 12 Fevrier 2026</t>
        </is>
      </c>
      <c r="U1326" t="inlineStr">
        <is>
          <t>17/03/2026 : Week 12 12/03/2026 : SWAP le 12 Fevrier 2026</t>
        </is>
      </c>
    </row>
    <row r="1327">
      <c r="A1327" t="inlineStr">
        <is>
          <t>4/31/2026</t>
        </is>
      </c>
      <c r="B1327" t="inlineStr">
        <is>
          <t>Bandja</t>
        </is>
      </c>
      <c r="C1327" t="inlineStr">
        <is>
          <t>OST_022</t>
        </is>
      </c>
      <c r="D1327" t="inlineStr"/>
      <c r="E1327" t="inlineStr">
        <is>
          <t>IHS</t>
        </is>
      </c>
      <c r="F1327" t="inlineStr">
        <is>
          <t>Grid-Gen</t>
        </is>
      </c>
      <c r="G1327" t="inlineStr">
        <is>
          <t>OUEST</t>
        </is>
      </c>
      <c r="H1327" t="inlineStr">
        <is>
          <t>Bandja</t>
        </is>
      </c>
      <c r="I1327" t="inlineStr"/>
      <c r="J1327" t="n">
        <v>0</v>
      </c>
      <c r="K1327" t="n">
        <v>0</v>
      </c>
      <c r="L1327" t="n">
        <v>0</v>
      </c>
      <c r="M1327" t="n">
        <v>0</v>
      </c>
      <c r="N1327" t="inlineStr">
        <is>
          <t>Operationnel</t>
        </is>
      </c>
      <c r="O1327" t="inlineStr"/>
      <c r="P1327" t="inlineStr">
        <is>
          <t>TRAVAUX-HUAWEI</t>
        </is>
      </c>
      <c r="Q1327" t="inlineStr">
        <is>
          <t>TRAVAUX-HUAWEI</t>
        </is>
      </c>
      <c r="R1327" t="inlineStr">
        <is>
          <t>Projet OCM (HUAWEI)</t>
        </is>
      </c>
      <c r="S1327" t="inlineStr">
        <is>
          <t>PLANNED WORKS</t>
        </is>
      </c>
      <c r="T1327" t="inlineStr">
        <is>
          <t>17/03/2026 : Week 12
12/03/2026 : SWAP le 05 Fevrier 2026</t>
        </is>
      </c>
      <c r="U1327" t="inlineStr">
        <is>
          <t>17/03/2026 : Week 12 12/03/2026 : SWAP le 05 Fevrier 2026</t>
        </is>
      </c>
    </row>
    <row r="1328">
      <c r="A1328" t="inlineStr">
        <is>
          <t>4/31/2026</t>
        </is>
      </c>
      <c r="B1328" t="inlineStr">
        <is>
          <t>Taram-FH</t>
        </is>
      </c>
      <c r="C1328" t="inlineStr">
        <is>
          <t>OST_092</t>
        </is>
      </c>
      <c r="D1328" t="inlineStr"/>
      <c r="E1328" t="inlineStr">
        <is>
          <t>IHS</t>
        </is>
      </c>
      <c r="F1328" t="inlineStr">
        <is>
          <t>Grid-Hybrid-Gen</t>
        </is>
      </c>
      <c r="G1328" t="inlineStr">
        <is>
          <t>OUEST</t>
        </is>
      </c>
      <c r="H1328" t="inlineStr">
        <is>
          <t>Taram</t>
        </is>
      </c>
      <c r="I1328" t="inlineStr"/>
      <c r="J1328" t="n">
        <v>0</v>
      </c>
      <c r="K1328" t="n">
        <v>0</v>
      </c>
      <c r="L1328" t="n">
        <v>0</v>
      </c>
      <c r="M1328" t="n">
        <v>0</v>
      </c>
      <c r="N1328" t="inlineStr">
        <is>
          <t>Operationnel</t>
        </is>
      </c>
      <c r="O1328" t="inlineStr"/>
      <c r="P1328" t="inlineStr">
        <is>
          <t>TRAVAUX-HUAWEI</t>
        </is>
      </c>
      <c r="Q1328" t="inlineStr">
        <is>
          <t>TRAVAUX-HUAWEI</t>
        </is>
      </c>
      <c r="R1328" t="inlineStr">
        <is>
          <t>Projet OCM (HUAWEI)</t>
        </is>
      </c>
      <c r="S1328" t="inlineStr">
        <is>
          <t>PLANNED WORKS</t>
        </is>
      </c>
      <c r="T1328" t="inlineStr">
        <is>
          <t>17/03/2026 : Week 12
12/03/2026 : SWAP ce jour 12032026</t>
        </is>
      </c>
      <c r="U1328" t="inlineStr">
        <is>
          <t>17/03/2026 : Week 12 12/03/2026 : SWAP ce jour 12032026</t>
        </is>
      </c>
    </row>
    <row r="1329">
      <c r="A1329" t="inlineStr">
        <is>
          <t>4/31/2026</t>
        </is>
      </c>
      <c r="B1329" t="inlineStr">
        <is>
          <t>Mindif</t>
        </is>
      </c>
      <c r="C1329" t="inlineStr">
        <is>
          <t>EXN_037</t>
        </is>
      </c>
      <c r="D1329" t="inlineStr"/>
      <c r="E1329" t="inlineStr">
        <is>
          <t>IHS</t>
        </is>
      </c>
      <c r="F1329" t="inlineStr">
        <is>
          <t>Grid-Gen</t>
        </is>
      </c>
      <c r="G1329" t="inlineStr">
        <is>
          <t>EXTREME-NORD</t>
        </is>
      </c>
      <c r="H1329" t="inlineStr">
        <is>
          <t>Mindif</t>
        </is>
      </c>
      <c r="I1329" t="inlineStr"/>
      <c r="J1329" t="n">
        <v>0</v>
      </c>
      <c r="K1329" t="n">
        <v>0</v>
      </c>
      <c r="L1329" t="n">
        <v>0</v>
      </c>
      <c r="M1329" t="n">
        <v>0</v>
      </c>
      <c r="N1329" t="inlineStr">
        <is>
          <t>Insecurity</t>
        </is>
      </c>
      <c r="O1329" t="inlineStr"/>
      <c r="P1329" t="inlineStr">
        <is>
          <t>TRAVAUX-HUAWEI</t>
        </is>
      </c>
      <c r="Q1329" t="inlineStr">
        <is>
          <t>TRAVAUX-HUAWEI</t>
        </is>
      </c>
      <c r="R1329" t="inlineStr">
        <is>
          <t>Projet OCM (HUAWEI)</t>
        </is>
      </c>
      <c r="S1329" t="inlineStr">
        <is>
          <t>PLANNED WORKS</t>
        </is>
      </c>
      <c r="T1329" t="inlineStr">
        <is>
          <t>17/03/2026 : Week 12
08/03/2026 : SWAP le 19 Fevrier 2026</t>
        </is>
      </c>
      <c r="U1329" t="inlineStr">
        <is>
          <t>17/03/2026 : Week 12 08/03/2026 : SWAP le 19 Fevrier 2026</t>
        </is>
      </c>
    </row>
    <row r="1330">
      <c r="A1330" t="inlineStr">
        <is>
          <t>4/31/2026</t>
        </is>
      </c>
      <c r="B1330" t="inlineStr">
        <is>
          <t>Kumbo</t>
        </is>
      </c>
      <c r="C1330" t="inlineStr">
        <is>
          <t>NRO_037</t>
        </is>
      </c>
      <c r="D1330" t="inlineStr"/>
      <c r="E1330" t="inlineStr">
        <is>
          <t>CAMUSAT</t>
        </is>
      </c>
      <c r="F1330" t="inlineStr">
        <is>
          <t>Medium Grid + Solar + GE</t>
        </is>
      </c>
      <c r="G1330" t="inlineStr">
        <is>
          <t>NORD-OUEST</t>
        </is>
      </c>
      <c r="H1330" t="inlineStr">
        <is>
          <t>Kumbo</t>
        </is>
      </c>
      <c r="I1330" t="inlineStr"/>
      <c r="J1330" t="n">
        <v>0</v>
      </c>
      <c r="K1330" t="n">
        <v>0</v>
      </c>
      <c r="L1330" t="n">
        <v>0</v>
      </c>
      <c r="M1330" t="n">
        <v>0</v>
      </c>
      <c r="N1330" t="inlineStr">
        <is>
          <t>Insecurity</t>
        </is>
      </c>
      <c r="O1330" t="inlineStr"/>
      <c r="P1330" t="inlineStr">
        <is>
          <t>TRAVAUX-HUAWEI</t>
        </is>
      </c>
      <c r="Q1330" t="inlineStr">
        <is>
          <t>TRAVAUX-HUAWEI</t>
        </is>
      </c>
      <c r="R1330" t="inlineStr">
        <is>
          <t>Projet OCM (HUAWEI)</t>
        </is>
      </c>
      <c r="S1330" t="inlineStr">
        <is>
          <t>PLANNED WORKS</t>
        </is>
      </c>
      <c r="T1330" t="inlineStr">
        <is>
          <t>17/03/2026 : SWAP en cours ce jour</t>
        </is>
      </c>
      <c r="U1330" t="inlineStr">
        <is>
          <t>17/03/2026 : SWAP en cours ce jour</t>
        </is>
      </c>
    </row>
    <row r="1331">
      <c r="A1331" t="inlineStr">
        <is>
          <t>4/31/2026</t>
        </is>
      </c>
      <c r="B1331" t="inlineStr">
        <is>
          <t>Fokoue-IHS</t>
        </is>
      </c>
      <c r="C1331" t="inlineStr">
        <is>
          <t>OST_139</t>
        </is>
      </c>
      <c r="D1331" t="inlineStr"/>
      <c r="E1331" t="inlineStr">
        <is>
          <t>IHS</t>
        </is>
      </c>
      <c r="F1331" t="inlineStr">
        <is>
          <t>Grid-Gen</t>
        </is>
      </c>
      <c r="G1331" t="inlineStr">
        <is>
          <t>OUEST</t>
        </is>
      </c>
      <c r="H1331" t="inlineStr">
        <is>
          <t>Fokoue</t>
        </is>
      </c>
      <c r="I1331" t="inlineStr"/>
      <c r="J1331" t="n">
        <v>0</v>
      </c>
      <c r="K1331" t="n">
        <v>0</v>
      </c>
      <c r="L1331" t="n">
        <v>0</v>
      </c>
      <c r="M1331" t="n">
        <v>0</v>
      </c>
      <c r="N1331" t="inlineStr">
        <is>
          <t>Operationnel</t>
        </is>
      </c>
      <c r="O1331" t="inlineStr"/>
      <c r="P1331" t="inlineStr">
        <is>
          <t>TRAVAUX OCM</t>
        </is>
      </c>
      <c r="Q1331" t="inlineStr">
        <is>
          <t>TRAVAUX OCM</t>
        </is>
      </c>
      <c r="R1331" t="inlineStr">
        <is>
          <t>Projet OCM (ZTE, NOKIA, autres projets)</t>
        </is>
      </c>
      <c r="S1331" t="inlineStr">
        <is>
          <t>PLANNED WORKS</t>
        </is>
      </c>
      <c r="T1331" t="inlineStr">
        <is>
          <t>16/03/2026 : SWAP le 20 Fevrier 2026..;Power status check ongoing</t>
        </is>
      </c>
      <c r="U1331" t="inlineStr">
        <is>
          <t>16/03/2026 : SWAP le 20 Fevrier 2026.;Power status check ongoing</t>
        </is>
      </c>
    </row>
    <row r="1332">
      <c r="A1332" t="inlineStr">
        <is>
          <t>4/31/2026</t>
        </is>
      </c>
      <c r="B1332" t="inlineStr">
        <is>
          <t>Nkolmeyang-IHS</t>
        </is>
      </c>
      <c r="C1332" t="inlineStr">
        <is>
          <t>CTR_442</t>
        </is>
      </c>
      <c r="D1332" t="inlineStr"/>
      <c r="E1332" t="inlineStr">
        <is>
          <t>IHS</t>
        </is>
      </c>
      <c r="F1332" t="inlineStr">
        <is>
          <t>Grid-Gen</t>
        </is>
      </c>
      <c r="G1332" t="inlineStr">
        <is>
          <t>CENTRE</t>
        </is>
      </c>
      <c r="H1332" t="inlineStr">
        <is>
          <t>Nkolmeyang</t>
        </is>
      </c>
      <c r="I1332" t="inlineStr"/>
      <c r="J1332" t="n">
        <v>0</v>
      </c>
      <c r="K1332" t="n">
        <v>0</v>
      </c>
      <c r="L1332" t="n">
        <v>0</v>
      </c>
      <c r="M1332" t="n">
        <v>0</v>
      </c>
      <c r="N1332" t="inlineStr">
        <is>
          <t>Operationnel</t>
        </is>
      </c>
      <c r="O1332" t="inlineStr"/>
      <c r="P1332" t="inlineStr">
        <is>
          <t>PDH</t>
        </is>
      </c>
      <c r="Q1332" t="inlineStr">
        <is>
          <t>TX ISSUE</t>
        </is>
      </c>
      <c r="R1332" t="inlineStr">
        <is>
          <t>MPR issue</t>
        </is>
      </c>
      <c r="S1332" t="inlineStr">
        <is>
          <t>ACTIVE</t>
        </is>
      </c>
      <c r="T1332" t="inlineStr">
        <is>
          <t>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reconnection)..;09.03.2026: Ce site prendra aussi sa transmission sur Tiga. Finalisation du site de Tiga (Fin Mars 26). ETR: Fin Mars 26
04/03/2026 OCM: installation de la liaison NKOMEYANG &lt;&gt; TIGA ETR=FIN MARS
28.02.26; Site UE Relay, plusieurs reset effectués sans succès (Technologie pas maîtrisée)
27.02.26; FME Rodrigue activer manage avec le level 0. Update ASAP (Plusieurs reset effectués sans succès)
BO TX; Site UE-RELAY. Cells L700 de son Donor Nkolbewae UP. Besoin d'un FME sur site pour:
Reset Physique du HMC si NOK, Check des Antennes Yagui(Deconnection et reconnection)</t>
        </is>
      </c>
      <c r="U1332" t="inlineStr">
        <is>
          <t>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reconnection).;09.03.2026 : Ce site prendra aussi sa transmission sur Tiga. Finalisation du site de Tiga (Fin Mars 26). ETR : Fin Mars 26 04/03/2026 OCM : installation de la liaison NKOMEYANG &lt;&gt; TIGA ETR=FIN MARS 28.02.26; Site UE Relay, plusieurs reset effectués sans succès (Technologie pas maîtrisée) 27.02.26; manage avec le level 0. Update ASAP (Plusieurs reset effectués sans succès) BO TX; Site UE-RELAY. Cells L700 de son Donor Nkolbewae UP. Besoin d'un FME sur site pour : Reset Physique du HMC si NOK, Check des Antennes Yagui(Deconnection et reconnection)</t>
        </is>
      </c>
    </row>
    <row r="1333">
      <c r="A1333" t="inlineStr">
        <is>
          <t>4/31/2026</t>
        </is>
      </c>
      <c r="B1333" t="inlineStr">
        <is>
          <t>Mendji-IHS</t>
        </is>
      </c>
      <c r="C1333" t="inlineStr">
        <is>
          <t>NRO_087</t>
        </is>
      </c>
      <c r="D1333" t="inlineStr"/>
      <c r="E1333" t="inlineStr">
        <is>
          <t>IHS</t>
        </is>
      </c>
      <c r="F1333" t="inlineStr">
        <is>
          <t>Hybrid-Gen</t>
        </is>
      </c>
      <c r="G1333" t="inlineStr">
        <is>
          <t>NORD-OUEST</t>
        </is>
      </c>
      <c r="H1333" t="inlineStr">
        <is>
          <t>Mendji</t>
        </is>
      </c>
      <c r="I1333" t="inlineStr"/>
      <c r="J1333" t="n">
        <v>0</v>
      </c>
      <c r="K1333" t="n">
        <v>0</v>
      </c>
      <c r="L1333" t="n">
        <v>0</v>
      </c>
      <c r="M1333" t="n">
        <v>0</v>
      </c>
      <c r="N1333" t="inlineStr">
        <is>
          <t>Insecurity</t>
        </is>
      </c>
      <c r="O1333" t="inlineStr"/>
      <c r="P1333" t="inlineStr">
        <is>
          <t>ACCESS-ISSUE</t>
        </is>
      </c>
      <c r="Q1333" t="inlineStr">
        <is>
          <t>ACCESS-ISSUE</t>
        </is>
      </c>
      <c r="R1333" t="inlineStr">
        <is>
          <t>ACCESS-ISSUE</t>
        </is>
      </c>
      <c r="S1333" t="inlineStr">
        <is>
          <t>ACCESS-ISSUE</t>
        </is>
      </c>
      <c r="T1333" t="inlineStr">
        <is>
          <t xml:space="preserve">
30/03/2026 :Ghost town
28/03/2026 : Probleme d'access
27/03/2026  : Access not granted for now we keep trying
26/03/2026 : Check breaker and  interconnection(sfp, optical fiber) between system and radio module, swap its if needed || || Pas d'access, et de visisbilite ..;
31/03/2026 :Relance faite
30/03/2026 :Ghost town
28/03/2026 : Probleme d'access
27/03/2026  : Access not granted for now we keep trying
26/03/2026 : Check breaker and  interconnection(sfp, optical fiber) between system and radio module, swap its if needed || Pas d'access, et de visisbilite ..;
31/03/2026 :Relance faite
30/03/2026 :Ghost town
28/03/2026 : Probleme d'access
27/03/2026  : Access not granted for now we keep trying
26/03/2026 : Check breaker and  interconnection(sfp, optical fiber) between system and radio module, swap its if needed || Pas d'access, et de visisbilite ..;
31/03/2026 :Relance faite
30/03/2026 :Ghost town
28/03/2026 : Probleme d'access
27/03/2026  : Access not granted for now we keep trying
26/03/2026 : Check breaker and  interconnection(sfp, optical fiber) between system and radio module, swap its if needed || Pas d'access, et de visisbilite </t>
        </is>
      </c>
      <c r="U1333" t="inlineStr">
        <is>
          <t>30/03/2026 : Ghost town 28/03/2026 : Probleme d'access 27/03/2026 : Access not granted for now we keep trying 26/03/2026 : Check breaker and interconnection(sfp, optical fiber) between system and radio module, swap its if needed || Pas d'access, et de visisbilite .; 31/03/2026 : Relance faite 30/03/2026 : Ghost town 28/03/2026 : Probleme d'access 27/03/2026 : Access not granted for now we keep trying 26/03/2026 : Check breaker and interconnection(sfp, optical fiber) between system and radio module, swap its if needed || Pas d'access, et de visisbilite .; 31/03/2026 : Relance faite 30/03/2026 : Ghost town 28/03/2026 : Probleme d'access 27/03/2026 : Access not granted for now we keep trying 26/03/2026 : Check breaker and interconnection(sfp, optical fiber) between system and radio module, swap its if needed || Pas d'access, et de visisbilite .; 31/03/2026 : Relance faite 30/03/2026 : Ghost town 28/03/2026 : Probleme d'access 27/03/2026 : Access not granted for now we keep trying 26/03/2026 : Check breaker and interconnection(sfp, optical fiber) between system and radio module, swap its if needed || Pas d'access, et de visisbilite</t>
        </is>
      </c>
    </row>
    <row r="1334">
      <c r="A1334" t="inlineStr">
        <is>
          <t>4/31/2026</t>
        </is>
      </c>
      <c r="B1334" t="inlineStr">
        <is>
          <t>Malantouen</t>
        </is>
      </c>
      <c r="C1334" t="inlineStr">
        <is>
          <t>OST_039</t>
        </is>
      </c>
      <c r="D1334" t="inlineStr"/>
      <c r="E1334" t="inlineStr">
        <is>
          <t>IHS</t>
        </is>
      </c>
      <c r="F1334" t="inlineStr">
        <is>
          <t>Grid-Gen</t>
        </is>
      </c>
      <c r="G1334" t="inlineStr">
        <is>
          <t>OUEST</t>
        </is>
      </c>
      <c r="H1334" t="inlineStr">
        <is>
          <t>Malantouen</t>
        </is>
      </c>
      <c r="I1334" t="inlineStr"/>
      <c r="J1334" t="n">
        <v>0</v>
      </c>
      <c r="K1334" t="n">
        <v>0</v>
      </c>
      <c r="L1334" t="n">
        <v>0</v>
      </c>
      <c r="M1334" t="n">
        <v>0</v>
      </c>
      <c r="N1334" t="inlineStr">
        <is>
          <t>Operationnel</t>
        </is>
      </c>
      <c r="O1334" t="inlineStr"/>
      <c r="P1334" t="inlineStr">
        <is>
          <t>TRAVAUX-HUAWEI</t>
        </is>
      </c>
      <c r="Q1334" t="inlineStr">
        <is>
          <t>TRAVAUX-HUAWEI</t>
        </is>
      </c>
      <c r="R1334" t="inlineStr">
        <is>
          <t>Projet OCM (HUAWEI)</t>
        </is>
      </c>
      <c r="S1334" t="inlineStr">
        <is>
          <t>PLANNED WORKS</t>
        </is>
      </c>
      <c r="T1334" t="inlineStr">
        <is>
          <t xml:space="preserve">
29/03/2026 : SWAP le O5 mars 2026</t>
        </is>
      </c>
      <c r="U1334" t="inlineStr">
        <is>
          <t>29/03/2026 : SWAP le O5 mars 2026</t>
        </is>
      </c>
    </row>
    <row r="1335">
      <c r="A1335" t="inlineStr">
        <is>
          <t>4/31/2026</t>
        </is>
      </c>
      <c r="B1335" t="inlineStr">
        <is>
          <t>Mankon-II</t>
        </is>
      </c>
      <c r="C1335" t="inlineStr">
        <is>
          <t>NRO_141</t>
        </is>
      </c>
      <c r="D1335" t="inlineStr"/>
      <c r="E1335" t="inlineStr">
        <is>
          <t>CAMUSAT</t>
        </is>
      </c>
      <c r="F1335" t="inlineStr"/>
      <c r="G1335" t="inlineStr">
        <is>
          <t>NORD-OUEST</t>
        </is>
      </c>
      <c r="H1335" t="inlineStr">
        <is>
          <t>Bamenda</t>
        </is>
      </c>
      <c r="I1335" t="inlineStr"/>
      <c r="J1335" t="n">
        <v>0</v>
      </c>
      <c r="K1335" t="n">
        <v>0</v>
      </c>
      <c r="L1335" t="n">
        <v>0</v>
      </c>
      <c r="M1335" t="n">
        <v>0</v>
      </c>
      <c r="N1335" t="inlineStr">
        <is>
          <t>Operationnel</t>
        </is>
      </c>
      <c r="O1335" t="inlineStr"/>
      <c r="P1335" t="inlineStr">
        <is>
          <t>TRAVAUX-HUAWEI</t>
        </is>
      </c>
      <c r="Q1335" t="inlineStr">
        <is>
          <t>TRAVAUX-HUAWEI</t>
        </is>
      </c>
      <c r="R1335" t="inlineStr">
        <is>
          <t>Projet OCM (HUAWEI)</t>
        </is>
      </c>
      <c r="S1335" t="inlineStr">
        <is>
          <t>PLANNED WORKS</t>
        </is>
      </c>
      <c r="T1335" t="inlineStr">
        <is>
          <t xml:space="preserve">
28/03/2026 : SWAP le 19 Fevrier 2026..;31/03/2026 Camusat: technicien sur site 
30/03/2026 Ghost town / technician will be on site tomorrown (escalated to L2)..;31/03/2026 Camusat: technicien sur site 
30/03/2026 Ghost town / technician will be on site tomorrown (escalated to L2)..;31/03/2026 Camusat: technicien sur site 
30/03/2026 Ghost town / technician will be on site tomorrown (escalated to L2)</t>
        </is>
      </c>
      <c r="U1335" t="inlineStr">
        <is>
          <t>28/03/2026 : SWAP le 19 Fevrier 2026.;31/03/2026 Camusat : technicien sur site 30/03/2026 Ghost town / technician will be on site tomorrown (escalated to L2).;31/03/2026 Camusat : technicien sur site 30/03/2026 Ghost town / technician will be on site tomorrown (escalated to L2).;31/03/2026 Camusat : technicien sur site 30/03/2026 Ghost town / technician will be on site tomorrown (escalated to L2)</t>
        </is>
      </c>
    </row>
  </sheetData>
  <pageMargins left="0.75" right="0.75" top="1" bottom="1" header="0.5" footer="0.5"/>
</worksheet>
</file>

<file path=xl/worksheets/sheet3.xml><?xml version="1.0" encoding="utf-8"?>
<worksheet xmlns="http://schemas.openxmlformats.org/spreadsheetml/2006/main">
  <sheetPr>
    <outlinePr summaryBelow="0"/>
    <pageSetUpPr/>
  </sheetPr>
  <dimension ref="A1:T337"/>
  <sheetViews>
    <sheetView workbookViewId="0">
      <selection activeCell="A1" sqref="A1"/>
    </sheetView>
  </sheetViews>
  <sheetFormatPr baseColWidth="8" defaultRowHeight="15"/>
  <cols>
    <col width="13.57642857142857" bestFit="1" customWidth="1" style="51" min="1" max="1"/>
    <col width="13.57642857142857" bestFit="1" customWidth="1" style="8" min="2" max="2"/>
    <col width="13.57642857142857" bestFit="1" customWidth="1" style="8" min="3" max="3"/>
    <col width="13.57642857142857" bestFit="1" customWidth="1" style="8" min="4" max="4"/>
    <col width="13.57642857142857" bestFit="1" customWidth="1" style="8" min="5" max="5"/>
    <col width="13.57642857142857" bestFit="1" customWidth="1" style="8" min="6" max="6"/>
    <col width="13.57642857142857" bestFit="1" customWidth="1" style="8" min="7" max="7"/>
    <col width="13.57642857142857" bestFit="1" customWidth="1" style="8" min="8" max="8"/>
    <col width="13.57642857142857" bestFit="1" customWidth="1" style="8" min="9" max="9"/>
    <col width="13.57642857142857" bestFit="1" customWidth="1" style="52" min="10" max="10"/>
    <col width="13.57642857142857" bestFit="1" customWidth="1" style="52" min="11" max="11"/>
    <col width="13.57642857142857" bestFit="1" customWidth="1" style="52" min="12" max="12"/>
    <col width="13.57642857142857" bestFit="1" customWidth="1" style="52" min="13" max="13"/>
    <col width="13.57642857142857" bestFit="1" customWidth="1" style="8" min="14" max="14"/>
    <col width="13.57642857142857" bestFit="1" customWidth="1" style="8" min="15" max="15"/>
    <col width="13.57642857142857" bestFit="1" customWidth="1" style="8" min="16" max="16"/>
    <col width="13.57642857142857" bestFit="1" customWidth="1" style="8" min="17" max="17"/>
    <col width="13.57642857142857" bestFit="1" customWidth="1" style="8" min="18" max="18"/>
    <col width="13.57642857142857" bestFit="1" customWidth="1" style="8" min="19" max="19"/>
    <col width="13.57642857142857" bestFit="1" customWidth="1" style="8" min="20" max="20"/>
  </cols>
  <sheetData>
    <row r="1" ht="18.75" customHeight="1">
      <c r="A1" s="14" t="inlineStr">
        <is>
          <t>DATE</t>
        </is>
      </c>
      <c r="B1" s="15" t="inlineStr">
        <is>
          <t>Nom du Physique</t>
        </is>
      </c>
      <c r="C1" s="15" t="inlineStr">
        <is>
          <t>Codesite</t>
        </is>
      </c>
      <c r="D1" s="15" t="inlineStr">
        <is>
          <t>CLUSTER</t>
        </is>
      </c>
      <c r="E1" s="15" t="inlineStr">
        <is>
          <t>Owner</t>
        </is>
      </c>
      <c r="F1" s="15" t="inlineStr">
        <is>
          <t>Topology</t>
        </is>
      </c>
      <c r="G1" s="15" t="inlineStr">
        <is>
          <t>Region</t>
        </is>
      </c>
      <c r="H1" s="15" t="inlineStr">
        <is>
          <t>Ville</t>
        </is>
      </c>
      <c r="I1" s="15" t="inlineStr">
        <is>
          <t>Equipementiers</t>
        </is>
      </c>
      <c r="J1" s="16" t="inlineStr">
        <is>
          <t>NUR 2G</t>
        </is>
      </c>
      <c r="K1" s="16" t="inlineStr">
        <is>
          <t>NUR 3G</t>
        </is>
      </c>
      <c r="L1" s="16" t="inlineStr">
        <is>
          <t>NUR 4G</t>
        </is>
      </c>
      <c r="M1" s="16" t="inlineStr">
        <is>
          <t>NUR  DU 29/04/2026</t>
        </is>
      </c>
      <c r="N1" s="15" t="inlineStr">
        <is>
          <t>oprationnel</t>
        </is>
      </c>
      <c r="O1" s="15" t="inlineStr">
        <is>
          <t>Raison d'exclusion</t>
        </is>
      </c>
      <c r="P1" s="17" t="inlineStr">
        <is>
          <t>OCM NOMENCLATURE</t>
        </is>
      </c>
      <c r="Q1" s="17" t="inlineStr">
        <is>
          <t>SUB RCA</t>
        </is>
      </c>
      <c r="R1" s="18" t="inlineStr">
        <is>
          <t>CAUSE</t>
        </is>
      </c>
      <c r="S1" s="17" t="inlineStr">
        <is>
          <t>CATEGORIE</t>
        </is>
      </c>
      <c r="T1" s="19" t="inlineStr">
        <is>
          <t>Verifications 29/04/2026</t>
        </is>
      </c>
    </row>
    <row r="2" ht="18.75" customHeight="1">
      <c r="A2" s="14" t="n">
        <v>46141</v>
      </c>
      <c r="B2" s="74" t="inlineStr">
        <is>
          <t>Rd-Pt-Longkak</t>
        </is>
      </c>
      <c r="C2" s="21" t="inlineStr">
        <is>
          <t>CTR_449</t>
        </is>
      </c>
      <c r="D2" s="53" t="inlineStr">
        <is>
          <t>Yaounde</t>
        </is>
      </c>
      <c r="E2" s="23" t="inlineStr">
        <is>
          <t>IHS</t>
        </is>
      </c>
      <c r="F2" s="23" t="inlineStr">
        <is>
          <t>Grid-Gen</t>
        </is>
      </c>
      <c r="G2" s="53" t="inlineStr">
        <is>
          <t>CENTRE</t>
        </is>
      </c>
      <c r="H2" s="23" t="inlineStr">
        <is>
          <t>Yaounde</t>
        </is>
      </c>
      <c r="I2" s="54" t="inlineStr">
        <is>
          <t>ZTE</t>
        </is>
      </c>
      <c r="J2" s="25" t="n">
        <v>26.04635025119001</v>
      </c>
      <c r="K2" s="25" t="n">
        <v>22.22736483844535</v>
      </c>
      <c r="L2" s="25" t="n">
        <v>86.09983184384075</v>
      </c>
      <c r="M2" s="25" t="n">
        <v>56.08147634497892</v>
      </c>
      <c r="N2" s="68" t="inlineStr">
        <is>
          <t>Operationnel</t>
        </is>
      </c>
      <c r="O2" s="27" t="n"/>
      <c r="P2" s="28" t="inlineStr">
        <is>
          <t>IHS GRID ONLY</t>
        </is>
      </c>
      <c r="Q2" s="28" t="inlineStr">
        <is>
          <t>POWER ISSUE</t>
        </is>
      </c>
      <c r="R2" s="29" t="inlineStr">
        <is>
          <t>Coupure ENEO &amp; Baisse de tension</t>
        </is>
      </c>
      <c r="S2" s="28" t="inlineStr">
        <is>
          <t>PASSIVE</t>
        </is>
      </c>
      <c r="T2" s="29" t="inlineStr">
        <is>
          <t>(04/29/2026 ocm ran 00h): Impacted by CTR_197_Z_Charles-Atangana (Power issue)..;..;(04/29/2026 com ran 17h): Impacted by CTR_197_Z_Charles-Atangana (Power issue)..;..;(04/29/2026 com ran 18h): Impacted by CTR_197_Z_Charles-Atangana (Power issue) ||04/29/2026: hardware issue,  site with GPS issue (alarm : TDD down 09Apr 02pm)</t>
        </is>
      </c>
    </row>
    <row r="3" ht="18.75" customHeight="1">
      <c r="A3" s="14" t="n">
        <v>46141</v>
      </c>
      <c r="B3" s="23" t="inlineStr">
        <is>
          <t>Emana-Bilick-IHS</t>
        </is>
      </c>
      <c r="C3" s="23" t="inlineStr">
        <is>
          <t>CTR_160</t>
        </is>
      </c>
      <c r="D3" s="53" t="inlineStr">
        <is>
          <t>Yaounde</t>
        </is>
      </c>
      <c r="E3" s="23" t="inlineStr">
        <is>
          <t>IHS</t>
        </is>
      </c>
      <c r="F3" s="23" t="inlineStr">
        <is>
          <t>Grid-Gen</t>
        </is>
      </c>
      <c r="G3" s="53" t="inlineStr">
        <is>
          <t>CENTRE</t>
        </is>
      </c>
      <c r="H3" s="23" t="inlineStr">
        <is>
          <t>Yaounde</t>
        </is>
      </c>
      <c r="I3" s="54" t="inlineStr">
        <is>
          <t>ZTE</t>
        </is>
      </c>
      <c r="J3" s="25" t="n">
        <v>17.95686306247977</v>
      </c>
      <c r="K3" s="25" t="n">
        <v>15.27548272590961</v>
      </c>
      <c r="L3" s="25" t="n">
        <v>39.76930102196044</v>
      </c>
      <c r="M3" s="25" t="n">
        <v>28.43162958397183</v>
      </c>
      <c r="N3" s="68" t="inlineStr">
        <is>
          <t>Operationnel</t>
        </is>
      </c>
      <c r="O3" s="27" t="n"/>
      <c r="P3" s="28" t="inlineStr">
        <is>
          <t>IHS</t>
        </is>
      </c>
      <c r="Q3" s="28" t="inlineStr">
        <is>
          <t>POWER ISSUE</t>
        </is>
      </c>
      <c r="R3" s="29" t="inlineStr">
        <is>
          <t>Defaut GE &amp; Power Cabinet</t>
        </is>
      </c>
      <c r="S3" s="28" t="inlineStr">
        <is>
          <t>PASSIVE</t>
        </is>
      </c>
      <c r="T3" s="29" t="inlineStr">
        <is>
          <t>(04/29/2026 ocm ran 00h): 28.04.26: Impacté par la coupure AOF CTR_799_Z_Pont-Emana-MTN&lt;&gt;Okolo, d'après le BO TX
27.04.26: IHS: Access issue ,Grid outage, site down because site behaves as Grid only site (Gen Noise)</t>
        </is>
      </c>
    </row>
    <row r="4" ht="18.75" customHeight="1">
      <c r="A4" s="14" t="n">
        <v>46141</v>
      </c>
      <c r="B4" s="23" t="inlineStr">
        <is>
          <t>Emana-Pont-IHS</t>
        </is>
      </c>
      <c r="C4" s="23" t="inlineStr">
        <is>
          <t>CTR_599</t>
        </is>
      </c>
      <c r="D4" s="53" t="inlineStr">
        <is>
          <t>Yaounde</t>
        </is>
      </c>
      <c r="E4" s="23" t="inlineStr">
        <is>
          <t>IHS</t>
        </is>
      </c>
      <c r="F4" s="23" t="inlineStr">
        <is>
          <t>Grid-Gen</t>
        </is>
      </c>
      <c r="G4" s="53" t="inlineStr">
        <is>
          <t>CENTRE</t>
        </is>
      </c>
      <c r="H4" s="23" t="inlineStr">
        <is>
          <t>Yaounde</t>
        </is>
      </c>
      <c r="I4" s="54" t="inlineStr">
        <is>
          <t>ZTE</t>
        </is>
      </c>
      <c r="J4" s="25" t="n">
        <v>17.16215244055969</v>
      </c>
      <c r="K4" s="25" t="n">
        <v>15.05989660366324</v>
      </c>
      <c r="L4" s="25" t="n">
        <v>39.45482903120602</v>
      </c>
      <c r="M4" s="25" t="n">
        <v>28.08177668769779</v>
      </c>
      <c r="N4" s="68" t="inlineStr">
        <is>
          <t>Operationnel</t>
        </is>
      </c>
      <c r="O4" s="27" t="n"/>
      <c r="P4" s="28" t="inlineStr">
        <is>
          <t>IHS GRID ONLY</t>
        </is>
      </c>
      <c r="Q4" s="28" t="inlineStr">
        <is>
          <t>POWER ISSUE</t>
        </is>
      </c>
      <c r="R4" s="29" t="inlineStr">
        <is>
          <t>Coupure ENEO &amp; Baisse de tension</t>
        </is>
      </c>
      <c r="S4" s="28" t="inlineStr">
        <is>
          <t>PASSIVE</t>
        </is>
      </c>
      <c r="T4" s="29" t="inlineStr">
        <is>
          <t>(04/29/2026 retour IHS): Power issue NUR to be checked   ||   (04/29/2026 hourly IHS): FME Ahanda is informed and will manage after Messassi MTN..;..;(04/29/2026 ocm ran 00h): Impacted by CTR_160_Z_Emana-Bilick-IHS (Power issue)</t>
        </is>
      </c>
    </row>
    <row r="5" ht="18.75" customHeight="1">
      <c r="A5" s="14" t="n">
        <v>46141</v>
      </c>
      <c r="B5" s="23" t="inlineStr">
        <is>
          <t>Obobogo-Paloma</t>
        </is>
      </c>
      <c r="C5" s="23" t="inlineStr">
        <is>
          <t>CTR_598</t>
        </is>
      </c>
      <c r="D5" s="53" t="inlineStr">
        <is>
          <t>Yaounde</t>
        </is>
      </c>
      <c r="E5" s="23" t="inlineStr">
        <is>
          <t>CAMUSAT</t>
        </is>
      </c>
      <c r="F5" s="23" t="inlineStr">
        <is>
          <t>Good Grid no GE - 8h</t>
        </is>
      </c>
      <c r="G5" s="53" t="inlineStr">
        <is>
          <t>CENTRE</t>
        </is>
      </c>
      <c r="H5" s="23" t="inlineStr">
        <is>
          <t>Yaounde</t>
        </is>
      </c>
      <c r="I5" s="54" t="inlineStr">
        <is>
          <t>ZTE</t>
        </is>
      </c>
      <c r="J5" s="25" t="n">
        <v>12.35991710929663</v>
      </c>
      <c r="K5" s="25" t="n">
        <v>10.56053241803265</v>
      </c>
      <c r="L5" s="25" t="n">
        <v>40.65334522957447</v>
      </c>
      <c r="M5" s="25" t="n">
        <v>26.51054195809185</v>
      </c>
      <c r="N5" s="68" t="inlineStr">
        <is>
          <t>Operationnel</t>
        </is>
      </c>
      <c r="O5" s="27" t="n"/>
      <c r="P5" s="28" t="inlineStr">
        <is>
          <t>AKTIVCO</t>
        </is>
      </c>
      <c r="Q5" s="28" t="inlineStr">
        <is>
          <t>POWER ISSUE</t>
        </is>
      </c>
      <c r="R5" s="29" t="inlineStr">
        <is>
          <t>AKTIVCO Defaut GE &amp; Power Cabinet</t>
        </is>
      </c>
      <c r="S5" s="28" t="inlineStr">
        <is>
          <t>PASSIVE</t>
        </is>
      </c>
      <c r="T5" s="29" t="inlineStr">
        <is>
          <t>(04/29/2026 incident ): impacted by  CTR_773_Z_Efoulan-Pont(CTR-773), soucis d'energie || Action : en ettente RCA CAMSUSAT..;..;(04/29/2026 cell zte): 29/04/2026 : Besoin d'analyse BO RAN..;..;(04/29/2026 ocm ran 00h): 28.04.26: Camusat: investigations ongoing / FME is trying to get level0 - Escalated to L2..;..;(04/29/2026 ticket): INC-20260429-00007383  ;  intervention en cours   ;  Others Transmission equipement fault</t>
        </is>
      </c>
    </row>
    <row r="6" ht="18.75" customHeight="1">
      <c r="A6" s="14" t="n">
        <v>46141</v>
      </c>
      <c r="B6" s="23" t="inlineStr">
        <is>
          <t>Moulanga</t>
        </is>
      </c>
      <c r="C6" s="21" t="inlineStr">
        <is>
          <t>LIT_670</t>
        </is>
      </c>
      <c r="D6" s="53" t="inlineStr">
        <is>
          <t>LITTORAL</t>
        </is>
      </c>
      <c r="E6" s="23" t="inlineStr">
        <is>
          <t>CAMUSAT</t>
        </is>
      </c>
      <c r="F6" s="23" t="inlineStr">
        <is>
          <t>Good Grid + GE</t>
        </is>
      </c>
      <c r="G6" s="53" t="inlineStr">
        <is>
          <t>LITTORAL</t>
        </is>
      </c>
      <c r="H6" s="23" t="inlineStr">
        <is>
          <t>Moulanga</t>
        </is>
      </c>
      <c r="I6" s="54" t="inlineStr">
        <is>
          <t>ZTE</t>
        </is>
      </c>
      <c r="J6" s="25" t="n">
        <v>15.37564595997746</v>
      </c>
      <c r="K6" s="25" t="n">
        <v>13.07749242632883</v>
      </c>
      <c r="L6" s="25" t="n">
        <v>25.39339950138662</v>
      </c>
      <c r="M6" s="25" t="n">
        <v>19.82827316491312</v>
      </c>
      <c r="N6" s="68" t="inlineStr">
        <is>
          <t>Operationnel</t>
        </is>
      </c>
      <c r="O6" s="27" t="n"/>
      <c r="P6" s="28" t="inlineStr">
        <is>
          <t>PDH</t>
        </is>
      </c>
      <c r="Q6" s="28" t="inlineStr">
        <is>
          <t>TX ISSUE</t>
        </is>
      </c>
      <c r="R6" s="29" t="inlineStr">
        <is>
          <t>ODU HS</t>
        </is>
      </c>
      <c r="S6" s="28" t="inlineStr">
        <is>
          <t>ACTIVE</t>
        </is>
      </c>
      <c r="T6" s="30" t="inlineStr">
        <is>
          <t xml:space="preserve">(04/29/2026 ocm ran 00h): Impacted by SUO_061_Z_Bekoko-MTN (TX issue) || (groupe whatsapp incident ):SUO_061_Z_Bekoko-MTN(SUO-061) -{ 28.04.26: Besoin d'un FME sur site pour vérifier la chaine antennaire de l'ODU 3.1; FME Pascal activé pour investigations, update ASAP } </t>
        </is>
      </c>
    </row>
    <row r="7" ht="18.75" customHeight="1">
      <c r="A7" s="14" t="n">
        <v>46141</v>
      </c>
      <c r="B7" s="23" t="inlineStr">
        <is>
          <t>Buea-Boduma-IHS</t>
        </is>
      </c>
      <c r="C7" s="21" t="inlineStr">
        <is>
          <t>SUO_186</t>
        </is>
      </c>
      <c r="D7" s="53" t="inlineStr">
        <is>
          <t>SUD-OUEST</t>
        </is>
      </c>
      <c r="E7" s="23" t="inlineStr">
        <is>
          <t>IHS</t>
        </is>
      </c>
      <c r="F7" s="23" t="inlineStr">
        <is>
          <t>Grid-Gen</t>
        </is>
      </c>
      <c r="G7" s="53" t="inlineStr">
        <is>
          <t>SUD-OUEST</t>
        </is>
      </c>
      <c r="H7" s="23" t="inlineStr">
        <is>
          <t>Buea</t>
        </is>
      </c>
      <c r="I7" s="55" t="inlineStr">
        <is>
          <t>Huawei</t>
        </is>
      </c>
      <c r="J7" s="25" t="n">
        <v>13.83718211575123</v>
      </c>
      <c r="K7" s="25" t="n">
        <v>17.66807429847914</v>
      </c>
      <c r="L7" s="25" t="n">
        <v>20.93094106162187</v>
      </c>
      <c r="M7" s="25" t="n">
        <v>18.82257093367348</v>
      </c>
      <c r="N7" s="68" t="inlineStr">
        <is>
          <t>Operationnel</t>
        </is>
      </c>
      <c r="O7" s="27" t="n"/>
      <c r="P7" s="28" t="inlineStr">
        <is>
          <t>PDH</t>
        </is>
      </c>
      <c r="Q7" s="28" t="inlineStr">
        <is>
          <t>TX ISSUE</t>
        </is>
      </c>
      <c r="R7" s="29" t="inlineStr">
        <is>
          <t>IP &amp; VLAN</t>
        </is>
      </c>
      <c r="S7" s="28" t="inlineStr">
        <is>
          <t>ACTIVE</t>
        </is>
      </c>
      <c r="T7" s="29" t="inlineStr">
        <is>
          <t>(04/29/2026 incident ): impacted by SUO_066_H_Berunda-MTN ,  RCA: Lien Optim Radio Berunda-MTN_Buea - Signal-Hill DOWN / Reroutage du trafic sur le FH</t>
        </is>
      </c>
    </row>
    <row r="8" ht="18.75" customHeight="1">
      <c r="A8" s="14" t="n">
        <v>46141</v>
      </c>
      <c r="B8" s="23" t="inlineStr">
        <is>
          <t>Mabanda-New</t>
        </is>
      </c>
      <c r="C8" s="23" t="inlineStr">
        <is>
          <t>LIT_791</t>
        </is>
      </c>
      <c r="D8" s="53" t="inlineStr">
        <is>
          <t>Douala</t>
        </is>
      </c>
      <c r="E8" s="23" t="inlineStr">
        <is>
          <t>CAMUSAT</t>
        </is>
      </c>
      <c r="F8" s="23" t="inlineStr">
        <is>
          <t>Good Grid no GE - 8h</t>
        </is>
      </c>
      <c r="G8" s="53" t="inlineStr">
        <is>
          <t>LITTORAL</t>
        </is>
      </c>
      <c r="H8" s="23" t="inlineStr">
        <is>
          <t>Douala</t>
        </is>
      </c>
      <c r="I8" s="54" t="inlineStr">
        <is>
          <t>ZTE</t>
        </is>
      </c>
      <c r="J8" s="25" t="n">
        <v>15.59683604506633</v>
      </c>
      <c r="K8" s="25" t="n">
        <v>13.26253098320022</v>
      </c>
      <c r="L8" s="25" t="n">
        <v>21.65119991157164</v>
      </c>
      <c r="M8" s="25" t="n">
        <v>17.97046439690326</v>
      </c>
      <c r="N8" s="68" t="inlineStr">
        <is>
          <t>Operationnel</t>
        </is>
      </c>
      <c r="O8" s="27" t="n"/>
      <c r="P8" s="28" t="inlineStr">
        <is>
          <t>PDH</t>
        </is>
      </c>
      <c r="Q8" s="28" t="inlineStr">
        <is>
          <t>TX ISSUE</t>
        </is>
      </c>
      <c r="R8" s="29" t="inlineStr">
        <is>
          <t>MPR ISSUE</t>
        </is>
      </c>
      <c r="S8" s="28" t="inlineStr">
        <is>
          <t>ACTIVE</t>
        </is>
      </c>
      <c r="T8" s="29" t="inlineStr">
        <is>
          <t xml:space="preserve">(04/29/2026 com ran 17h): Impacted by LIT_695_Z_Mabanda-CIMAF(LIT-695)..;..;(04/29/2026 com ran 18h): Impacted by LIT_695_Z_Mabanda-CIMAF(LIT-695)..;..;(04/29/2026 ticket): INC-20260429-00020771 || (groupe whatsapp incident): LIT_695_Z_Mabanda-CIMAF(LIT-695) -{ Besoin d'un fme sur site pour verifier le status du MPR FME BORIS activé escalade RM Honore } </t>
        </is>
      </c>
    </row>
    <row r="9" ht="18.75" customHeight="1">
      <c r="A9" s="14" t="n">
        <v>46141</v>
      </c>
      <c r="B9" s="23" t="inlineStr">
        <is>
          <t>Garoua-Ngalbidje-II</t>
        </is>
      </c>
      <c r="C9" s="21" t="inlineStr">
        <is>
          <t>NRD_158</t>
        </is>
      </c>
      <c r="D9" s="53" t="inlineStr">
        <is>
          <t>Garoua</t>
        </is>
      </c>
      <c r="E9" s="23" t="inlineStr">
        <is>
          <t>CAMUSAT</t>
        </is>
      </c>
      <c r="F9" s="23" t="inlineStr">
        <is>
          <t>Good Grid + Solar + GE</t>
        </is>
      </c>
      <c r="G9" s="53" t="inlineStr">
        <is>
          <t>NORD</t>
        </is>
      </c>
      <c r="H9" s="23" t="inlineStr">
        <is>
          <t>Garoua</t>
        </is>
      </c>
      <c r="I9" s="55" t="inlineStr">
        <is>
          <t>Huawei</t>
        </is>
      </c>
      <c r="J9" s="25" t="n">
        <v>13.9183642474891</v>
      </c>
      <c r="K9" s="25" t="n">
        <v>11.88895306533928</v>
      </c>
      <c r="L9" s="25" t="n">
        <v>18.21611924258044</v>
      </c>
      <c r="M9" s="25" t="n">
        <v>15.47829756330026</v>
      </c>
      <c r="N9" s="68" t="inlineStr">
        <is>
          <t>Operationnel</t>
        </is>
      </c>
      <c r="O9" s="27" t="n"/>
      <c r="P9" s="28" t="inlineStr">
        <is>
          <t>IHS</t>
        </is>
      </c>
      <c r="Q9" s="28" t="inlineStr">
        <is>
          <t>POWER ISSUE</t>
        </is>
      </c>
      <c r="R9" s="29" t="inlineStr">
        <is>
          <t>Defaut GE &amp; Power Cabinet</t>
        </is>
      </c>
      <c r="S9" s="28" t="inlineStr">
        <is>
          <t>PASSIVE</t>
        </is>
      </c>
      <c r="T9" s="29" t="inlineStr">
        <is>
          <t>(04/29/2026 incident ): impacted by   NRD_009_H_Garoua-Lainde , RCA: Power issue / En attente RCA IHS..;..;(04/29/2026 ocm ran 00h): 28/04/2026 CAMUSAT: grid outage and gen failed to start due to gen card alarming gen failed to start - Escalated to L2..;..;(04/29/2026 com ran 17h): Power status check ongoing..;..;(04/29/2026 com ran 18h): Power status check ongoing</t>
        </is>
      </c>
    </row>
    <row r="10" ht="18.75" customHeight="1">
      <c r="A10" s="14" t="n">
        <v>46141</v>
      </c>
      <c r="B10" s="23" t="inlineStr">
        <is>
          <t>Buea-Bwitingui-Road</t>
        </is>
      </c>
      <c r="C10" s="21" t="inlineStr">
        <is>
          <t>SUO_232</t>
        </is>
      </c>
      <c r="D10" s="53" t="inlineStr">
        <is>
          <t>SUD-OUEST</t>
        </is>
      </c>
      <c r="E10" s="23" t="inlineStr">
        <is>
          <t>CAMUSAT</t>
        </is>
      </c>
      <c r="F10" s="23" t="inlineStr">
        <is>
          <t>Medium Grid + GE</t>
        </is>
      </c>
      <c r="G10" s="53" t="inlineStr">
        <is>
          <t>SUD-OUEST</t>
        </is>
      </c>
      <c r="H10" s="23" t="inlineStr">
        <is>
          <t>Buea</t>
        </is>
      </c>
      <c r="I10" s="55" t="inlineStr">
        <is>
          <t>Huawei</t>
        </is>
      </c>
      <c r="J10" s="25" t="n">
        <v>17.99495621660292</v>
      </c>
      <c r="K10" s="25" t="n">
        <v>22.96805032793742</v>
      </c>
      <c r="L10" s="25" t="n">
        <v>2.774330384991694</v>
      </c>
      <c r="M10" s="25" t="n">
        <v>11.72709904603733</v>
      </c>
      <c r="N10" s="68" t="inlineStr">
        <is>
          <t>EXCLU</t>
        </is>
      </c>
      <c r="O10" s="68" t="inlineStr">
        <is>
          <t>site vandalise</t>
        </is>
      </c>
      <c r="P10" s="28" t="inlineStr">
        <is>
          <t>Exclu</t>
        </is>
      </c>
      <c r="Q10" s="28" t="inlineStr">
        <is>
          <t>Exclu</t>
        </is>
      </c>
      <c r="R10" s="29" t="inlineStr">
        <is>
          <t>EXCLU</t>
        </is>
      </c>
      <c r="S10" s="28" t="inlineStr">
        <is>
          <t>Exclu</t>
        </is>
      </c>
      <c r="T10" s="29" t="inlineStr">
        <is>
          <t>(04/29/2026 incident ): impacted by  SUO_023_H_Buea-Signal-Hill  Souci d'energie defaut GE || Action  En attente RCA  de OCM..;..;(04/29/2026 ocm ran 00h): 27/04/2026 Generateur vendalisé restauration en cours 
27/04/2026 Remplacemet du cable prevue pour Mardi / NB: Lundi ghost Townn
26/04/2026 Remplacemet du cable prevue pour Mardi / NB: Lundi ghost Townn
25/04/2026 C'est le Générateur qui a été vandalisé. Pas de câble sectionné de notre côté.Camusat doit être interpellé point transmis a camusat 
24.04.26: Site vendalisé et FME sera sur le site après l'intervention sur Ekata, ETA=18H UTC
23/04/2026 Site vandalisé inventaire demain 24/04/2026 
23.04.26; Camusat; investigations ongoing/Technician is trying to manage with level0</t>
        </is>
      </c>
    </row>
    <row r="11" ht="18.75" customHeight="1">
      <c r="A11" s="14" t="n">
        <v>46141</v>
      </c>
      <c r="B11" s="23" t="inlineStr">
        <is>
          <t>Buea-Low-Boduma-MTN</t>
        </is>
      </c>
      <c r="C11" s="21" t="inlineStr">
        <is>
          <t>SUO_170</t>
        </is>
      </c>
      <c r="D11" s="53" t="inlineStr">
        <is>
          <t>SUD-OUEST</t>
        </is>
      </c>
      <c r="E11" s="23" t="inlineStr">
        <is>
          <t>MTN sharing</t>
        </is>
      </c>
      <c r="F11" s="23" t="n"/>
      <c r="G11" s="53" t="inlineStr">
        <is>
          <t>SUD-OUEST</t>
        </is>
      </c>
      <c r="H11" s="23" t="inlineStr">
        <is>
          <t>Buea</t>
        </is>
      </c>
      <c r="I11" s="55" t="inlineStr">
        <is>
          <t>Huawei</t>
        </is>
      </c>
      <c r="J11" s="25" t="n">
        <v>13.7453838590938</v>
      </c>
      <c r="K11" s="25" t="n">
        <v>23.42254497451642</v>
      </c>
      <c r="L11" s="25" t="n">
        <v>2.599737724545655</v>
      </c>
      <c r="M11" s="25" t="n">
        <v>11.18179152648295</v>
      </c>
      <c r="N11" s="68" t="inlineStr">
        <is>
          <t>Operationnel</t>
        </is>
      </c>
      <c r="O11" s="27" t="n"/>
      <c r="P11" s="28" t="inlineStr">
        <is>
          <t>PDH</t>
        </is>
      </c>
      <c r="Q11" s="28" t="inlineStr">
        <is>
          <t>TX ISSUE</t>
        </is>
      </c>
      <c r="R11" s="29" t="inlineStr">
        <is>
          <t>IP &amp; VLAN</t>
        </is>
      </c>
      <c r="S11" s="28" t="inlineStr">
        <is>
          <t>ACTIVE</t>
        </is>
      </c>
      <c r="T11" s="29" t="inlineStr">
        <is>
          <t>(04/29/2026 incident ): impacted by SUO_066_H_Berunda-MTN ,  RCA: Lien Optim Radio Berunda-MTN_Buea - Signal-Hill DOWN / Reroutage du trafic sur le FH</t>
        </is>
      </c>
    </row>
    <row r="12" ht="18.75" customHeight="1">
      <c r="A12" s="14" t="n">
        <v>46141</v>
      </c>
      <c r="B12" s="23" t="inlineStr">
        <is>
          <t>Muea</t>
        </is>
      </c>
      <c r="C12" s="21" t="inlineStr">
        <is>
          <t>SUO_038</t>
        </is>
      </c>
      <c r="D12" s="53" t="inlineStr">
        <is>
          <t>SUD-OUEST</t>
        </is>
      </c>
      <c r="E12" s="23" t="inlineStr">
        <is>
          <t>IHS</t>
        </is>
      </c>
      <c r="F12" s="23" t="inlineStr">
        <is>
          <t>Grid-Gen</t>
        </is>
      </c>
      <c r="G12" s="53" t="inlineStr">
        <is>
          <t>SUD-OUEST</t>
        </is>
      </c>
      <c r="H12" s="23" t="inlineStr">
        <is>
          <t>Buea</t>
        </is>
      </c>
      <c r="I12" s="55" t="inlineStr">
        <is>
          <t>Huawei</t>
        </is>
      </c>
      <c r="J12" s="25" t="n">
        <v>7.262053922920439</v>
      </c>
      <c r="K12" s="25" t="n">
        <v>12.36623885199805</v>
      </c>
      <c r="L12" s="25" t="n">
        <v>11.3056015207927</v>
      </c>
      <c r="M12" s="25" t="n">
        <v>11.08425148316511</v>
      </c>
      <c r="N12" s="68" t="inlineStr">
        <is>
          <t>Operationnel</t>
        </is>
      </c>
      <c r="O12" s="27" t="n"/>
      <c r="P12" s="28" t="inlineStr">
        <is>
          <t>PDH</t>
        </is>
      </c>
      <c r="Q12" s="28" t="inlineStr">
        <is>
          <t>TX ISSUE</t>
        </is>
      </c>
      <c r="R12" s="29" t="inlineStr">
        <is>
          <t>ODU HS</t>
        </is>
      </c>
      <c r="S12" s="28" t="inlineStr">
        <is>
          <t>ACTIVE</t>
        </is>
      </c>
      <c r="T12" s="29" t="inlineStr">
        <is>
          <t>(04/29/2026 incident ): impacted by SUO_007_H_Buea-Orange, Plantage de l'ODU 5.1A Buea -signal-Hill  || Action site up after physique reset of ODU 5.1A Buea -signal-Hill</t>
        </is>
      </c>
    </row>
    <row r="13" ht="18.75" customHeight="1">
      <c r="A13" s="14" t="n">
        <v>46141</v>
      </c>
      <c r="B13" s="23" t="inlineStr">
        <is>
          <t>Bonakanda</t>
        </is>
      </c>
      <c r="C13" s="21" t="inlineStr">
        <is>
          <t>SUO_132</t>
        </is>
      </c>
      <c r="D13" s="53" t="inlineStr">
        <is>
          <t>SUD-OUEST</t>
        </is>
      </c>
      <c r="E13" s="23" t="inlineStr">
        <is>
          <t>IHS</t>
        </is>
      </c>
      <c r="F13" s="23" t="inlineStr">
        <is>
          <t>Grid-Gen</t>
        </is>
      </c>
      <c r="G13" s="53" t="inlineStr">
        <is>
          <t>SUD-OUEST</t>
        </is>
      </c>
      <c r="H13" s="23" t="inlineStr">
        <is>
          <t>Buea</t>
        </is>
      </c>
      <c r="I13" s="55" t="inlineStr">
        <is>
          <t>Huawei</t>
        </is>
      </c>
      <c r="J13" s="25" t="n">
        <v>7.260804967047548</v>
      </c>
      <c r="K13" s="25" t="n">
        <v>12.36857640482675</v>
      </c>
      <c r="L13" s="25" t="n">
        <v>11.2330968312441</v>
      </c>
      <c r="M13" s="25" t="n">
        <v>11.04704750979502</v>
      </c>
      <c r="N13" s="68" t="inlineStr">
        <is>
          <t>Insecurity</t>
        </is>
      </c>
      <c r="O13" s="27" t="n"/>
      <c r="P13" s="28" t="inlineStr">
        <is>
          <t>PDH</t>
        </is>
      </c>
      <c r="Q13" s="28" t="inlineStr">
        <is>
          <t>TX ISSUE</t>
        </is>
      </c>
      <c r="R13" s="29" t="inlineStr">
        <is>
          <t>ODU HS</t>
        </is>
      </c>
      <c r="S13" s="28" t="inlineStr">
        <is>
          <t>ACTIVE</t>
        </is>
      </c>
      <c r="T13" s="29" t="inlineStr">
        <is>
          <t>(04/29/2026 incident ): impacted by SUO_007_H_Buea-Orange, Plantage de l'ODU 5.1A Buea -signal-Hill  || Action site up after physique reset of ODU 5.1A Buea -signal-Hill</t>
        </is>
      </c>
    </row>
    <row r="14" ht="18.75" customHeight="1">
      <c r="A14" s="14" t="n">
        <v>46141</v>
      </c>
      <c r="B14" s="23" t="inlineStr">
        <is>
          <t>Bokova-IHS</t>
        </is>
      </c>
      <c r="C14" s="21" t="inlineStr">
        <is>
          <t>SUO_254</t>
        </is>
      </c>
      <c r="D14" s="53" t="inlineStr">
        <is>
          <t>SUD-OUEST</t>
        </is>
      </c>
      <c r="E14" s="23" t="inlineStr">
        <is>
          <t>IHS</t>
        </is>
      </c>
      <c r="F14" s="32" t="inlineStr">
        <is>
          <t>Grid-Gen</t>
        </is>
      </c>
      <c r="G14" s="53" t="inlineStr">
        <is>
          <t>SUD-OUEST</t>
        </is>
      </c>
      <c r="H14" s="23" t="inlineStr">
        <is>
          <t>Buea</t>
        </is>
      </c>
      <c r="I14" s="55" t="inlineStr">
        <is>
          <t>Huawei</t>
        </is>
      </c>
      <c r="J14" s="25" t="n">
        <v>7.259556011174658</v>
      </c>
      <c r="K14" s="25" t="n">
        <v>12.3684170262248</v>
      </c>
      <c r="L14" s="25" t="n">
        <v>10.98976151702793</v>
      </c>
      <c r="M14" s="25" t="n">
        <v>10.91991907154863</v>
      </c>
      <c r="N14" s="68" t="inlineStr">
        <is>
          <t>Operationnel</t>
        </is>
      </c>
      <c r="O14" s="27" t="n"/>
      <c r="P14" s="28" t="inlineStr">
        <is>
          <t>PDH</t>
        </is>
      </c>
      <c r="Q14" s="28" t="inlineStr">
        <is>
          <t>TX ISSUE</t>
        </is>
      </c>
      <c r="R14" s="29" t="inlineStr">
        <is>
          <t>ODU HS</t>
        </is>
      </c>
      <c r="S14" s="28" t="inlineStr">
        <is>
          <t>ACTIVE</t>
        </is>
      </c>
      <c r="T14" s="29" t="inlineStr">
        <is>
          <t>(04/29/2026 incident ): impacted by SUO_007_H_Buea-Orange, Plantage de l'ODU 5.1A Buea -signal-Hill  || Action site up after physique reset of ODU 5.1A Buea -signal-Hill</t>
        </is>
      </c>
    </row>
    <row r="15" ht="18.75" customHeight="1">
      <c r="A15" s="14" t="n">
        <v>46141</v>
      </c>
      <c r="B15" s="23" t="inlineStr">
        <is>
          <t>Buea-Prime22</t>
        </is>
      </c>
      <c r="C15" s="21" t="inlineStr">
        <is>
          <t>SUO_241</t>
        </is>
      </c>
      <c r="D15" s="53" t="inlineStr">
        <is>
          <t>SUD-OUEST</t>
        </is>
      </c>
      <c r="E15" s="23" t="inlineStr">
        <is>
          <t>CAMUSAT</t>
        </is>
      </c>
      <c r="F15" s="23" t="inlineStr">
        <is>
          <t>Medium Grid + GE</t>
        </is>
      </c>
      <c r="G15" s="53" t="inlineStr">
        <is>
          <t>SUD-OUEST</t>
        </is>
      </c>
      <c r="H15" s="23" t="inlineStr">
        <is>
          <t>Buea</t>
        </is>
      </c>
      <c r="I15" s="55" t="inlineStr">
        <is>
          <t>Huawei</t>
        </is>
      </c>
      <c r="J15" s="25" t="n">
        <v>13.3538361929427</v>
      </c>
      <c r="K15" s="25" t="n">
        <v>22.7127789338039</v>
      </c>
      <c r="L15" s="25" t="n">
        <v>1.805948175289527</v>
      </c>
      <c r="M15" s="25" t="n">
        <v>10.47364974189075</v>
      </c>
      <c r="N15" s="68" t="inlineStr">
        <is>
          <t>Operationnel</t>
        </is>
      </c>
      <c r="O15" s="27" t="n"/>
      <c r="P15" s="28" t="inlineStr">
        <is>
          <t>SST &amp; DC</t>
        </is>
      </c>
      <c r="Q15" s="28" t="inlineStr">
        <is>
          <t>POWER ISSUE</t>
        </is>
      </c>
      <c r="R15" s="29" t="inlineStr">
        <is>
          <t>Sites strategiques &amp; DataCenter</t>
        </is>
      </c>
      <c r="S15" s="28" t="inlineStr">
        <is>
          <t>PASSIVE</t>
        </is>
      </c>
      <c r="T15" s="29" t="inlineStr">
        <is>
          <t>(04/29/2026 incident ): impacted by  SUO_023_H_Buea-Signal-Hill  Souci d'energie defaut GE || Action  En attente RCA  de OCM..;..;(04/29/2026 ocm ran 00h): 28/04/2026 Besoin d'un fm sur site pour verifier le status du MPR et la chaine antennaire de l ODU; FME Fabien activé pour investigations, update ASAP</t>
        </is>
      </c>
    </row>
    <row r="16" ht="18.75" customHeight="1">
      <c r="A16" s="14" t="n">
        <v>46141</v>
      </c>
      <c r="B16" s="23" t="inlineStr">
        <is>
          <t>Buea-UB-Lamp-IHS</t>
        </is>
      </c>
      <c r="C16" s="21" t="inlineStr">
        <is>
          <t>SUO_200</t>
        </is>
      </c>
      <c r="D16" s="53" t="inlineStr">
        <is>
          <t>SUD-OUEST</t>
        </is>
      </c>
      <c r="E16" s="23" t="inlineStr">
        <is>
          <t>IHS</t>
        </is>
      </c>
      <c r="F16" s="23" t="inlineStr">
        <is>
          <t>Grid-Gen</t>
        </is>
      </c>
      <c r="G16" s="53" t="inlineStr">
        <is>
          <t>SUD-OUEST</t>
        </is>
      </c>
      <c r="H16" s="23" t="inlineStr">
        <is>
          <t>Buea</t>
        </is>
      </c>
      <c r="I16" s="55" t="inlineStr">
        <is>
          <t>Huawei</t>
        </is>
      </c>
      <c r="J16" s="25" t="n">
        <v>14.4691537874337</v>
      </c>
      <c r="K16" s="25" t="n">
        <v>24.62372837126118</v>
      </c>
      <c r="L16" s="25" t="n">
        <v>0</v>
      </c>
      <c r="M16" s="25" t="n">
        <v>10.33266344779173</v>
      </c>
      <c r="N16" s="68" t="inlineStr">
        <is>
          <t>Operationnel</t>
        </is>
      </c>
      <c r="O16" s="27" t="n"/>
      <c r="P16" s="28" t="inlineStr">
        <is>
          <t>SST &amp; DC</t>
        </is>
      </c>
      <c r="Q16" s="28" t="inlineStr">
        <is>
          <t>POWER ISSUE</t>
        </is>
      </c>
      <c r="R16" s="29" t="inlineStr">
        <is>
          <t>Sites strategiques &amp; DataCenter</t>
        </is>
      </c>
      <c r="S16" s="28" t="inlineStr">
        <is>
          <t>PASSIVE</t>
        </is>
      </c>
      <c r="T16" s="29" t="inlineStr">
        <is>
          <t>(04/29/2026 incident ): impacted by  SUO_801_H_BUEA-AGENCE, souci d'energie reporter a notre FME (Huawei ) sur site . OCM activer pour intervention. Update ASAP..;..;(04/29/2026 com ran 17h): Impactd by SUO_801_H_BUEA-AGENCE..;..;(04/29/2026 com ran 18h): Impactd by SUO_801_H_BUEA-AGENCE</t>
        </is>
      </c>
    </row>
    <row r="17" ht="18.75" customHeight="1">
      <c r="A17" s="14" t="n">
        <v>46141</v>
      </c>
      <c r="B17" s="23" t="inlineStr">
        <is>
          <t>Buea-Dirty-South-HIS</t>
        </is>
      </c>
      <c r="C17" s="21" t="inlineStr">
        <is>
          <t>SUO_260</t>
        </is>
      </c>
      <c r="D17" s="53" t="inlineStr">
        <is>
          <t>SUD-OUEST</t>
        </is>
      </c>
      <c r="E17" s="23" t="n"/>
      <c r="F17" s="23" t="n"/>
      <c r="G17" s="53" t="inlineStr">
        <is>
          <t>SUD-OUEST</t>
        </is>
      </c>
      <c r="H17" s="23" t="inlineStr">
        <is>
          <t>Buea</t>
        </is>
      </c>
      <c r="I17" s="55" t="inlineStr">
        <is>
          <t>Huawei</t>
        </is>
      </c>
      <c r="J17" s="25" t="n">
        <v>14.46790483156082</v>
      </c>
      <c r="K17" s="25" t="n">
        <v>24.62399400226444</v>
      </c>
      <c r="L17" s="25" t="n">
        <v>0</v>
      </c>
      <c r="M17" s="25" t="n">
        <v>10.33257427240014</v>
      </c>
      <c r="N17" s="68" t="inlineStr">
        <is>
          <t>Operationnel</t>
        </is>
      </c>
      <c r="O17" s="27" t="n"/>
      <c r="P17" s="28" t="inlineStr">
        <is>
          <t>SST &amp; DC</t>
        </is>
      </c>
      <c r="Q17" s="28" t="inlineStr">
        <is>
          <t>POWER ISSUE</t>
        </is>
      </c>
      <c r="R17" s="29" t="inlineStr">
        <is>
          <t>Sites strategiques &amp; DataCenter</t>
        </is>
      </c>
      <c r="S17" s="28" t="inlineStr">
        <is>
          <t>PASSIVE</t>
        </is>
      </c>
      <c r="T17" s="30" t="inlineStr">
        <is>
          <t>(04/29/2026 incident ): impacted by  SUO_801_H_BUEA-AGENCE, souci d'energie reporter a notre FME (Huawei ) sur site . OCM activer pour intervention. Update ASAP..;..;(04/29/2026 com ran 17h): Impactd by SUO_801_H_BUEA-AGENCE..;..;(04/29/2026 com ran 18h): Impactd by SUO_801_H_BUEA-AGENCE</t>
        </is>
      </c>
    </row>
    <row r="18" ht="18.75" customHeight="1">
      <c r="A18" s="14" t="n">
        <v>46141</v>
      </c>
      <c r="B18" s="23" t="inlineStr">
        <is>
          <t>Buea-Service-Center-IHS</t>
        </is>
      </c>
      <c r="C18" s="21" t="inlineStr">
        <is>
          <t>SUO_182</t>
        </is>
      </c>
      <c r="D18" s="53" t="inlineStr">
        <is>
          <t>SUD-OUEST</t>
        </is>
      </c>
      <c r="E18" s="23" t="inlineStr">
        <is>
          <t>IHS</t>
        </is>
      </c>
      <c r="F18" s="23" t="inlineStr">
        <is>
          <t>Grid-Gen</t>
        </is>
      </c>
      <c r="G18" s="53" t="inlineStr">
        <is>
          <t>SUD-OUEST</t>
        </is>
      </c>
      <c r="H18" s="23" t="inlineStr">
        <is>
          <t>Buea</t>
        </is>
      </c>
      <c r="I18" s="55" t="inlineStr">
        <is>
          <t>Huawei</t>
        </is>
      </c>
      <c r="J18" s="25" t="n">
        <v>14.46852930949726</v>
      </c>
      <c r="K18" s="25" t="n">
        <v>24.62319710925466</v>
      </c>
      <c r="L18" s="25" t="n">
        <v>0</v>
      </c>
      <c r="M18" s="25" t="n">
        <v>10.33239592161697</v>
      </c>
      <c r="N18" s="68" t="inlineStr">
        <is>
          <t>Operationnel</t>
        </is>
      </c>
      <c r="O18" s="27" t="n"/>
      <c r="P18" s="28" t="inlineStr">
        <is>
          <t>SST &amp; DC</t>
        </is>
      </c>
      <c r="Q18" s="28" t="inlineStr">
        <is>
          <t>POWER ISSUE</t>
        </is>
      </c>
      <c r="R18" s="29" t="inlineStr">
        <is>
          <t>Sites strategiques &amp; DataCenter</t>
        </is>
      </c>
      <c r="S18" s="28" t="inlineStr">
        <is>
          <t>PASSIVE</t>
        </is>
      </c>
      <c r="T18" s="29" t="inlineStr">
        <is>
          <t>(04/29/2026 incident ): impacted by  SUO_801_H_BUEA-AGENCE, souci d'energie reporter a notre FME (Huawei ) sur site . OCM activer pour intervention. Update ASAP..;..;(04/29/2026 com ran 17h): Impactd by SUO_801_H_BUEA-AGENCE..;..;(04/29/2026 com ran 18h): Impactd by SUO_801_H_BUEA-AGENCE</t>
        </is>
      </c>
    </row>
    <row r="19" ht="18.75" customHeight="1">
      <c r="A19" s="14" t="n">
        <v>46141</v>
      </c>
      <c r="B19" s="32" t="inlineStr">
        <is>
          <t>NRD_262_H_Gra-Doualare-Ancien-LAWANAT</t>
        </is>
      </c>
      <c r="C19" s="33" t="inlineStr">
        <is>
          <t>NRD_262</t>
        </is>
      </c>
      <c r="D19" s="53" t="n"/>
      <c r="E19" s="32" t="inlineStr">
        <is>
          <t>ESCO</t>
        </is>
      </c>
      <c r="F19" s="32" t="inlineStr">
        <is>
          <t>Good Grid + Solar + GE</t>
        </is>
      </c>
      <c r="G19" s="32" t="inlineStr">
        <is>
          <t>NRD</t>
        </is>
      </c>
      <c r="H19" s="32" t="inlineStr">
        <is>
          <t>Garoua</t>
        </is>
      </c>
      <c r="I19" s="55" t="inlineStr">
        <is>
          <t>Huawei</t>
        </is>
      </c>
      <c r="J19" s="25" t="n">
        <v>8.301809687101583</v>
      </c>
      <c r="K19" s="25" t="n">
        <v>10.6613659468704</v>
      </c>
      <c r="L19" s="25" t="n">
        <v>10.40100291769815</v>
      </c>
      <c r="M19" s="25" t="n">
        <v>10.18864519037876</v>
      </c>
      <c r="N19" s="68" t="inlineStr">
        <is>
          <t>Operationnel</t>
        </is>
      </c>
      <c r="O19" s="27" t="n"/>
      <c r="P19" s="28" t="inlineStr">
        <is>
          <t>IHS</t>
        </is>
      </c>
      <c r="Q19" s="28" t="inlineStr">
        <is>
          <t>POWER ISSUE</t>
        </is>
      </c>
      <c r="R19" s="29" t="inlineStr">
        <is>
          <t>Defaut GE &amp; Power Cabinet</t>
        </is>
      </c>
      <c r="S19" s="28" t="inlineStr">
        <is>
          <t>PASSIVE</t>
        </is>
      </c>
      <c r="T19" s="29" t="inlineStr">
        <is>
          <t>(04/29/2026 incident ): impacted by   NRD_009_H_Garoua-Lainde , RCA: Power issue / En attente RCA IHS</t>
        </is>
      </c>
    </row>
    <row r="20" ht="18.75" customHeight="1">
      <c r="A20" s="14" t="n">
        <v>46141</v>
      </c>
      <c r="B20" s="23" t="inlineStr">
        <is>
          <t>Buea-Orange</t>
        </is>
      </c>
      <c r="C20" s="21" t="inlineStr">
        <is>
          <t>SUO_007</t>
        </is>
      </c>
      <c r="D20" s="53" t="inlineStr">
        <is>
          <t>SUD-OUEST</t>
        </is>
      </c>
      <c r="E20" s="23" t="inlineStr">
        <is>
          <t>IHS</t>
        </is>
      </c>
      <c r="F20" s="23" t="inlineStr">
        <is>
          <t>Grid-Gen</t>
        </is>
      </c>
      <c r="G20" s="53" t="inlineStr">
        <is>
          <t>SUD-OUEST</t>
        </is>
      </c>
      <c r="H20" s="23" t="inlineStr">
        <is>
          <t>Buea</t>
        </is>
      </c>
      <c r="I20" s="55" t="inlineStr">
        <is>
          <t>Huawei</t>
        </is>
      </c>
      <c r="J20" s="25" t="n">
        <v>7.260804967047548</v>
      </c>
      <c r="K20" s="25" t="n">
        <v>12.36777951181696</v>
      </c>
      <c r="L20" s="25" t="n">
        <v>9.490761260935894</v>
      </c>
      <c r="M20" s="25" t="n">
        <v>10.13817191874053</v>
      </c>
      <c r="N20" s="68" t="inlineStr">
        <is>
          <t>Operationnel</t>
        </is>
      </c>
      <c r="O20" s="27" t="n"/>
      <c r="P20" s="28" t="inlineStr">
        <is>
          <t>PDH</t>
        </is>
      </c>
      <c r="Q20" s="28" t="inlineStr">
        <is>
          <t>TX ISSUE</t>
        </is>
      </c>
      <c r="R20" s="29" t="inlineStr">
        <is>
          <t>ODU HS</t>
        </is>
      </c>
      <c r="S20" s="28" t="inlineStr">
        <is>
          <t>ACTIVE</t>
        </is>
      </c>
      <c r="T20" s="29" t="inlineStr">
        <is>
          <t>(04/29/2026 incident ): impacted by SUO_007_H_Buea-Orange, Plantage de l'ODU 5.1A Buea -signal-Hill  || Action site up after physique reset of ODU 5.1A Buea -signal-Hill</t>
        </is>
      </c>
    </row>
    <row r="21" ht="18.75" customHeight="1">
      <c r="A21" s="14" t="n">
        <v>46141</v>
      </c>
      <c r="B21" s="23" t="inlineStr">
        <is>
          <t>Kanga</t>
        </is>
      </c>
      <c r="C21" s="21" t="inlineStr">
        <is>
          <t>LIT_510</t>
        </is>
      </c>
      <c r="D21" s="53" t="inlineStr">
        <is>
          <t>LITTORAL</t>
        </is>
      </c>
      <c r="E21" s="23" t="inlineStr">
        <is>
          <t>IHS</t>
        </is>
      </c>
      <c r="F21" s="23" t="inlineStr">
        <is>
          <t>Grid-Hybrid-Gen</t>
        </is>
      </c>
      <c r="G21" s="53" t="inlineStr">
        <is>
          <t>LITTORAL</t>
        </is>
      </c>
      <c r="H21" s="23" t="inlineStr">
        <is>
          <t>Massock-Songloulou</t>
        </is>
      </c>
      <c r="I21" s="56" t="inlineStr">
        <is>
          <t>NOKIA</t>
        </is>
      </c>
      <c r="J21" s="25" t="n">
        <v>32.36956404445883</v>
      </c>
      <c r="K21" s="25" t="n">
        <v>13.77031120903332</v>
      </c>
      <c r="L21" s="25" t="n">
        <v>0</v>
      </c>
      <c r="M21" s="25" t="n">
        <v>9.245223052623469</v>
      </c>
      <c r="N21" s="68" t="inlineStr">
        <is>
          <t>Operationnel</t>
        </is>
      </c>
      <c r="O21" s="27" t="n"/>
      <c r="P21" s="28" t="inlineStr">
        <is>
          <t>SPARE-ISSUE</t>
        </is>
      </c>
      <c r="Q21" s="28" t="inlineStr">
        <is>
          <t>SPARE-ISSUE</t>
        </is>
      </c>
      <c r="R21" s="29" t="inlineStr">
        <is>
          <t>Warehouse HUAWEI</t>
        </is>
      </c>
      <c r="S21" s="28" t="inlineStr">
        <is>
          <t>SPARE-ISSUE</t>
        </is>
      </c>
      <c r="T21" s="30" t="inlineStr">
        <is>
          <t>(04/29/2026 hourly IHS): Marcel is on site..;..;(04/29/2026 ocm ran 00h): Impacted by Songloulou-IHS_LIT_200 (TX issue)..;..;(04/29/2026 com ran 17h): Impacted by Songloulou-IHS_LIT_200 (TX issue)..;..;(04/29/2026 com ran 18h): Impacted by Songloulou-IHS_LIT_200 (TX issue)  || (roupe whatsapp incident mgmt ):Songloulou-IHS_G9U9U21_LIT_200: 28.04.2026: Spare dementelee et Expedition en cours vers EDEA ETD=28.04.2026 ETR=29/04/2026</t>
        </is>
      </c>
    </row>
    <row r="22" ht="18.75" customHeight="1">
      <c r="A22" s="14" t="n">
        <v>46141</v>
      </c>
      <c r="B22" s="23" t="inlineStr">
        <is>
          <t>Tatum</t>
        </is>
      </c>
      <c r="C22" s="21" t="inlineStr">
        <is>
          <t>NRO_073</t>
        </is>
      </c>
      <c r="D22" s="53" t="inlineStr">
        <is>
          <t>NORD-OUEST</t>
        </is>
      </c>
      <c r="E22" s="23" t="inlineStr">
        <is>
          <t>IHS</t>
        </is>
      </c>
      <c r="F22" s="23" t="inlineStr">
        <is>
          <t>Hybrid-Gen</t>
        </is>
      </c>
      <c r="G22" s="53" t="inlineStr">
        <is>
          <t>NORD-OUEST</t>
        </is>
      </c>
      <c r="H22" s="23" t="inlineStr">
        <is>
          <t>Tatum</t>
        </is>
      </c>
      <c r="I22" s="56" t="inlineStr">
        <is>
          <t>NOKIA</t>
        </is>
      </c>
      <c r="J22" s="25" t="n">
        <v>32.3643184297927</v>
      </c>
      <c r="K22" s="25" t="n">
        <v>13.77031120903332</v>
      </c>
      <c r="L22" s="25" t="n">
        <v>0</v>
      </c>
      <c r="M22" s="25" t="n">
        <v>9.24447397933414</v>
      </c>
      <c r="N22" s="68" t="inlineStr">
        <is>
          <t>Insecurity</t>
        </is>
      </c>
      <c r="O22" s="27" t="n"/>
      <c r="P22" s="28" t="inlineStr">
        <is>
          <t>SPARE-ISSUE</t>
        </is>
      </c>
      <c r="Q22" s="28" t="inlineStr">
        <is>
          <t>SPARE-ISSUE</t>
        </is>
      </c>
      <c r="R22" s="29" t="inlineStr">
        <is>
          <t>SPARE-ISSUE</t>
        </is>
      </c>
      <c r="S22" s="28" t="inlineStr">
        <is>
          <t>SPARE-ISSUE</t>
        </is>
      </c>
      <c r="T22" s="29" t="inlineStr">
        <is>
          <t>(04/29/2026 ocm ran 00h): 21.04.26; Dementellement des ODUs en cours pour MAD à Huawei, update ASAP
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arrivés..;..;(04/29/2026 com ran 17h): 21.04.26; Dementellement des ODUs en cours pour MAD à Huawei, update ASAP
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arrivés..;..;(04/29/2026 com ran 18h): 21.04.26; Dementellement des ODUs en cours pour MAD à Huawei, update ASAP
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t>
        </is>
      </c>
    </row>
    <row r="23" ht="18.75" customHeight="1">
      <c r="A23" s="14" t="n">
        <v>46141</v>
      </c>
      <c r="B23" s="23" t="inlineStr">
        <is>
          <t>Mbakaou-MTN-IHS</t>
        </is>
      </c>
      <c r="C23" s="21" t="inlineStr">
        <is>
          <t>ADM_109</t>
        </is>
      </c>
      <c r="D23" s="53" t="inlineStr">
        <is>
          <t>ADAMAOUA</t>
        </is>
      </c>
      <c r="E23" s="23" t="inlineStr">
        <is>
          <t>IHS</t>
        </is>
      </c>
      <c r="F23" s="23" t="inlineStr">
        <is>
          <t>Grid-Gen</t>
        </is>
      </c>
      <c r="G23" s="53" t="inlineStr">
        <is>
          <t>ADAMAOUA</t>
        </is>
      </c>
      <c r="H23" s="23" t="inlineStr">
        <is>
          <t>Mbakaou</t>
        </is>
      </c>
      <c r="I23" s="56" t="inlineStr">
        <is>
          <t>NOKIA</t>
        </is>
      </c>
      <c r="J23" s="25" t="n">
        <v>11.67361585714343</v>
      </c>
      <c r="K23" s="25" t="n">
        <v>9.788699560150082</v>
      </c>
      <c r="L23" s="25" t="n">
        <v>6.658187722028512</v>
      </c>
      <c r="M23" s="25" t="n">
        <v>8.425339327443821</v>
      </c>
      <c r="N23" s="68" t="inlineStr">
        <is>
          <t>Operationnel</t>
        </is>
      </c>
      <c r="O23" s="27" t="n"/>
      <c r="P23" s="28" t="inlineStr">
        <is>
          <t>IHS</t>
        </is>
      </c>
      <c r="Q23" s="28" t="inlineStr">
        <is>
          <t>POWER ISSUE</t>
        </is>
      </c>
      <c r="R23" s="29" t="inlineStr">
        <is>
          <t>Defaut GE &amp; Power Cabinet</t>
        </is>
      </c>
      <c r="S23" s="28" t="inlineStr">
        <is>
          <t>PASSIVE</t>
        </is>
      </c>
      <c r="T23" s="29" t="inlineStr">
        <is>
          <t xml:space="preserve">   (04/29/2026 incident ): impacted by   Tibati_2_ADM_044  , soucis d'energie || Action : en ettente RCA HIS ..;..;(04/29/2026 cell nokia): 29/04/2026 : Check breaker and  interconnection FRMF, FRGU, FXDB(sfp, optical fiber) between system and radio module, swap its if needed ||power issue ||Email to send IHS  ..;..;(04/29/2026 cell nokia): 29/04/2026 : Check breaker and  interconnection FRMF, FRGU, FXDB(sfp, optical fiber) between system and radio module, swap its if needed ||power issue ||Email to send IHS  ..;..;(04/29/2026 ticket): INC-20260429-00010132  ;  Others Transmission equipement fault</t>
        </is>
      </c>
    </row>
    <row r="24" ht="18.75" customHeight="1">
      <c r="A24" s="14" t="n">
        <v>46141</v>
      </c>
      <c r="B24" s="23" t="inlineStr">
        <is>
          <t>Ngo-Njo-II</t>
        </is>
      </c>
      <c r="C24" s="23" t="inlineStr">
        <is>
          <t>LIT_585</t>
        </is>
      </c>
      <c r="D24" s="53" t="inlineStr">
        <is>
          <t>Douala</t>
        </is>
      </c>
      <c r="E24" s="23" t="inlineStr">
        <is>
          <t>CAMUSAT</t>
        </is>
      </c>
      <c r="F24" s="23" t="inlineStr">
        <is>
          <t>Medium Grid + GE</t>
        </is>
      </c>
      <c r="G24" s="53" t="inlineStr">
        <is>
          <t>LITTORAL</t>
        </is>
      </c>
      <c r="H24" s="23" t="inlineStr">
        <is>
          <t>Douala</t>
        </is>
      </c>
      <c r="I24" s="54" t="inlineStr">
        <is>
          <t>ZTE</t>
        </is>
      </c>
      <c r="J24" s="25" t="n">
        <v>3.496576861743582</v>
      </c>
      <c r="K24" s="25" t="n">
        <v>2.957376211702385</v>
      </c>
      <c r="L24" s="25" t="n">
        <v>13.23836450214176</v>
      </c>
      <c r="M24" s="25" t="n">
        <v>8.395791777600854</v>
      </c>
      <c r="N24" s="68" t="inlineStr">
        <is>
          <t>Operationnel</t>
        </is>
      </c>
      <c r="O24" s="27" t="n"/>
      <c r="P24" s="28" t="inlineStr">
        <is>
          <t>AKTIVCO GRID ONLY</t>
        </is>
      </c>
      <c r="Q24" s="28" t="inlineStr">
        <is>
          <t>POWER ISSUE</t>
        </is>
      </c>
      <c r="R24" s="29" t="inlineStr">
        <is>
          <t>AKTIVCO Coupure ENEO &amp; Baisse de tension</t>
        </is>
      </c>
      <c r="S24" s="28" t="inlineStr">
        <is>
          <t>PASSIVE</t>
        </is>
      </c>
      <c r="T24" s="29" t="inlineStr">
        <is>
          <t>(04/29/2026 ticket): INC-20260429-00016625 || (04/29/2026 retour CAMUSAT): Impacté par Bonamoutongo-III</t>
        </is>
      </c>
    </row>
    <row r="25" ht="18.75" customHeight="1">
      <c r="A25" s="14" t="n">
        <v>46141</v>
      </c>
      <c r="B25" s="23" t="inlineStr">
        <is>
          <t>Buea-Bomaka-III-MTN</t>
        </is>
      </c>
      <c r="C25" s="21" t="inlineStr">
        <is>
          <t>SUO_169</t>
        </is>
      </c>
      <c r="D25" s="53" t="inlineStr">
        <is>
          <t>SUD-OUEST</t>
        </is>
      </c>
      <c r="E25" s="23" t="inlineStr">
        <is>
          <t>MTN sharing</t>
        </is>
      </c>
      <c r="F25" s="23" t="n"/>
      <c r="G25" s="53" t="inlineStr">
        <is>
          <t>SUD-OUEST</t>
        </is>
      </c>
      <c r="H25" s="23" t="inlineStr">
        <is>
          <t>Buea</t>
        </is>
      </c>
      <c r="I25" s="55" t="inlineStr">
        <is>
          <t>Huawei</t>
        </is>
      </c>
      <c r="J25" s="25" t="n">
        <v>0</v>
      </c>
      <c r="K25" s="25" t="n">
        <v>24.62447213807032</v>
      </c>
      <c r="L25" s="25" t="n">
        <v>0</v>
      </c>
      <c r="M25" s="25" t="n">
        <v>8.266719315817859</v>
      </c>
      <c r="N25" s="68" t="inlineStr">
        <is>
          <t>Operationnel</t>
        </is>
      </c>
      <c r="O25" s="27" t="n"/>
      <c r="P25" s="28" t="inlineStr">
        <is>
          <t>SST &amp; DC</t>
        </is>
      </c>
      <c r="Q25" s="28" t="inlineStr">
        <is>
          <t>POWER ISSUE</t>
        </is>
      </c>
      <c r="R25" s="29" t="inlineStr">
        <is>
          <t>Sites strategiques &amp; DataCenter</t>
        </is>
      </c>
      <c r="S25" s="28" t="inlineStr">
        <is>
          <t>PASSIVE</t>
        </is>
      </c>
      <c r="T25" s="30" t="inlineStr">
        <is>
          <t>(04/29/2026 incident ): impacted by  SUO_801_H_BUEA-AGENCE, souci d'energie reporter a notre FME (Huawei ) sur site . OCM activer pour intervention. Update ASAP..;..;(04/29/2026 com ran 17h): Impactd by SUO_801_H_BUEA-AGENCE..;..;(04/29/2026 com ran 18h): Impactd by SUO_801_H_BUEA-AGENCE</t>
        </is>
      </c>
    </row>
    <row r="26" ht="18.75" customHeight="1">
      <c r="A26" s="14" t="n">
        <v>46141</v>
      </c>
      <c r="B26" s="23" t="inlineStr">
        <is>
          <t>Mile16-Bolifamba-IHS</t>
        </is>
      </c>
      <c r="C26" s="21" t="inlineStr">
        <is>
          <t>SUO_220</t>
        </is>
      </c>
      <c r="D26" s="53" t="inlineStr">
        <is>
          <t>SUD-OUEST</t>
        </is>
      </c>
      <c r="E26" s="23" t="inlineStr">
        <is>
          <t>IHS</t>
        </is>
      </c>
      <c r="F26" s="23" t="inlineStr">
        <is>
          <t>Grid-Gen</t>
        </is>
      </c>
      <c r="G26" s="53" t="inlineStr">
        <is>
          <t>SUD-OUEST</t>
        </is>
      </c>
      <c r="H26" s="23" t="inlineStr">
        <is>
          <t>Buea</t>
        </is>
      </c>
      <c r="I26" s="55" t="inlineStr">
        <is>
          <t>Huawei</t>
        </is>
      </c>
      <c r="J26" s="25" t="n">
        <v>14.46728035362437</v>
      </c>
      <c r="K26" s="25" t="n">
        <v>18.46895177331008</v>
      </c>
      <c r="L26" s="25" t="n">
        <v>0</v>
      </c>
      <c r="M26" s="25" t="n">
        <v>8.266166428390022</v>
      </c>
      <c r="N26" s="68" t="inlineStr">
        <is>
          <t>Operationnel</t>
        </is>
      </c>
      <c r="O26" s="27" t="n"/>
      <c r="P26" s="28" t="inlineStr">
        <is>
          <t>SST &amp; DC</t>
        </is>
      </c>
      <c r="Q26" s="28" t="inlineStr">
        <is>
          <t>POWER ISSUE</t>
        </is>
      </c>
      <c r="R26" s="29" t="inlineStr">
        <is>
          <t>Sites strategiques &amp; DataCenter</t>
        </is>
      </c>
      <c r="S26" s="28" t="inlineStr">
        <is>
          <t>PASSIVE</t>
        </is>
      </c>
      <c r="T26" s="29" t="inlineStr">
        <is>
          <t>(04/29/2026 incident ): impacted by  SUO_801_H_BUEA-AGENCE, souci d'energie reporter a notre FME (Huawei ) sur site . OCM activer pour intervention. Update ASAP..;..;(04/29/2026 com ran 17h): Impactd by SUO_801_H_BUEA-AGENCE..;..;(04/29/2026 com ran 18h): Impactd by SUO_801_H_BUEA-AGENCE</t>
        </is>
      </c>
    </row>
    <row r="27" ht="18.75" customHeight="1">
      <c r="A27" s="14" t="n">
        <v>46141</v>
      </c>
      <c r="B27" s="23" t="inlineStr">
        <is>
          <t>Galim-Tignere</t>
        </is>
      </c>
      <c r="C27" s="23" t="inlineStr">
        <is>
          <t>ADM_024</t>
        </is>
      </c>
      <c r="D27" s="53" t="inlineStr">
        <is>
          <t>ADAMAOUA</t>
        </is>
      </c>
      <c r="E27" s="23" t="inlineStr">
        <is>
          <t>IHS</t>
        </is>
      </c>
      <c r="F27" s="23" t="inlineStr">
        <is>
          <t>Hybrid-Gen</t>
        </is>
      </c>
      <c r="G27" s="53" t="inlineStr">
        <is>
          <t>ADAMAOUA</t>
        </is>
      </c>
      <c r="H27" s="23" t="inlineStr">
        <is>
          <t>Galim-Tignere</t>
        </is>
      </c>
      <c r="I27" s="56" t="inlineStr">
        <is>
          <t>NOKIA</t>
        </is>
      </c>
      <c r="J27" s="25" t="n">
        <v>2.686878769348824</v>
      </c>
      <c r="K27" s="25" t="n">
        <v>18.15308487825011</v>
      </c>
      <c r="L27" s="25" t="n">
        <v>0</v>
      </c>
      <c r="M27" s="25" t="n">
        <v>6.477886011450997</v>
      </c>
      <c r="N27" s="68" t="inlineStr">
        <is>
          <t>Operationnel</t>
        </is>
      </c>
      <c r="O27" s="27" t="n"/>
      <c r="P27" s="28" t="inlineStr">
        <is>
          <t>IHS</t>
        </is>
      </c>
      <c r="Q27" s="28" t="inlineStr">
        <is>
          <t>POWER ISSUE</t>
        </is>
      </c>
      <c r="R27" s="29" t="inlineStr">
        <is>
          <t>Defaut GE &amp; Power Cabinet</t>
        </is>
      </c>
      <c r="S27" s="28" t="inlineStr">
        <is>
          <t>PASSIVE</t>
        </is>
      </c>
      <c r="T27" s="29" t="inlineStr">
        <is>
          <t xml:space="preserve">   (04/29/2026 incident ): impacted by   Tibati_2_ADM_044  , soucis d'energie || Action : en ettente RCA HIS ..;..;(04/29/2026 ticket): INC-20260429-00017928  ;  2026-04-30 00:05:58  ;  Grid outage and grid only site / Grid return awaited  ;  user:OCM_NOC.CAMUSAT</t>
        </is>
      </c>
    </row>
    <row r="28" ht="18.75" customHeight="1">
      <c r="A28" s="14" t="n">
        <v>46141</v>
      </c>
      <c r="B28" s="23" t="inlineStr">
        <is>
          <t>Garoua-Ngalbidje-IHS</t>
        </is>
      </c>
      <c r="C28" s="21" t="inlineStr">
        <is>
          <t>NRD_085</t>
        </is>
      </c>
      <c r="D28" s="53" t="inlineStr">
        <is>
          <t>Garoua</t>
        </is>
      </c>
      <c r="E28" s="23" t="inlineStr">
        <is>
          <t>IHS</t>
        </is>
      </c>
      <c r="F28" s="23" t="inlineStr">
        <is>
          <t>Grid-Gen</t>
        </is>
      </c>
      <c r="G28" s="53" t="inlineStr">
        <is>
          <t>NORD</t>
        </is>
      </c>
      <c r="H28" s="23" t="inlineStr">
        <is>
          <t>Garoua</t>
        </is>
      </c>
      <c r="I28" s="55" t="inlineStr">
        <is>
          <t>Huawei</t>
        </is>
      </c>
      <c r="J28" s="25" t="n">
        <v>8.743940066104736</v>
      </c>
      <c r="K28" s="25" t="n">
        <v>11.18428713988936</v>
      </c>
      <c r="L28" s="25" t="n">
        <v>2.245422354864764</v>
      </c>
      <c r="M28" s="25" t="n">
        <v>6.174290092542655</v>
      </c>
      <c r="N28" s="68" t="inlineStr">
        <is>
          <t>Operationnel</t>
        </is>
      </c>
      <c r="O28" s="27" t="n"/>
      <c r="P28" s="28" t="inlineStr">
        <is>
          <t>IHS GRID ONLY</t>
        </is>
      </c>
      <c r="Q28" s="28" t="inlineStr">
        <is>
          <t>POWER ISSUE</t>
        </is>
      </c>
      <c r="R28" s="29" t="inlineStr">
        <is>
          <t>Coupure ENEO &amp; Baisse de tension</t>
        </is>
      </c>
      <c r="S28" s="28" t="inlineStr">
        <is>
          <t>PASSIVE</t>
        </is>
      </c>
      <c r="T28" s="29" t="inlineStr">
        <is>
          <t>(04/29/2026 retour IHS): Power issue NUR to be checked   ||   (04/29/2026 incident ): impacted by   NRD_009_H_Garoua-Lainde , RCA: Power issue / En attente RCA IHS..;..;(04/29/2026 hourly IHS): fme merlin is on site..;..;(04/29/2026 com ran 17h): Power status check ongoing..;..;(04/29/2026 com ran 18h): Power status check ongoing..;..;(04/29/2026 ticket): INC-20260429-00016356  ;  Others Transmission equipement fault</t>
        </is>
      </c>
    </row>
    <row r="29" ht="18.75" customHeight="1">
      <c r="A29" s="14" t="n">
        <v>46141</v>
      </c>
      <c r="B29" s="23" t="inlineStr">
        <is>
          <t>Febadi-MTN</t>
        </is>
      </c>
      <c r="C29" s="21" t="inlineStr">
        <is>
          <t>ADM_063</t>
        </is>
      </c>
      <c r="D29" s="53" t="inlineStr">
        <is>
          <t>ADAMAOUA</t>
        </is>
      </c>
      <c r="E29" s="23" t="inlineStr">
        <is>
          <t>IHS</t>
        </is>
      </c>
      <c r="F29" s="23" t="inlineStr">
        <is>
          <t>Solar-Gen</t>
        </is>
      </c>
      <c r="G29" s="53" t="inlineStr">
        <is>
          <t>ADAMAOUA</t>
        </is>
      </c>
      <c r="H29" s="23" t="inlineStr">
        <is>
          <t>Febadi</t>
        </is>
      </c>
      <c r="I29" s="56" t="inlineStr">
        <is>
          <t>NOKIA</t>
        </is>
      </c>
      <c r="J29" s="25" t="n">
        <v>21.57621228652846</v>
      </c>
      <c r="K29" s="25" t="n">
        <v>9.180207472688883</v>
      </c>
      <c r="L29" s="25" t="n">
        <v>0</v>
      </c>
      <c r="M29" s="25" t="n">
        <v>6.162982652889426</v>
      </c>
      <c r="N29" s="68" t="inlineStr">
        <is>
          <t>Operationnel</t>
        </is>
      </c>
      <c r="O29" s="27" t="n"/>
      <c r="P29" s="28" t="inlineStr">
        <is>
          <t>BSS</t>
        </is>
      </c>
      <c r="Q29" s="28" t="inlineStr">
        <is>
          <t>RAN ISSUE</t>
        </is>
      </c>
      <c r="R29" s="29" t="inlineStr">
        <is>
          <t>BSS Hardware issue</t>
        </is>
      </c>
      <c r="S29" s="28" t="inlineStr">
        <is>
          <t>ACTIVE</t>
        </is>
      </c>
      <c r="T29" s="30" t="inlineStr">
        <is>
          <t>(04/29/2026 ocm ran 00h): Impacted by Febadi-MTN_G9U9L8L7_ADM_063..;..;(04/29/2026 com ran 17h): Impacted by Febadi-MTN_G9U9L8L7_ADM_063..;..;(04/29/2026 com ran 18h): Impacted by Febadi-MTN_G9U9L8L7_ADM_063|| (04/29/2026 top offenders): Impacted by ADM_122_N_Danfili-MTN-IHS  || (groupe whatsapp incident ): "Danfili-MTN-IHS_L8_ADM_122 -{ 28/08/2026 fme wily activé ETA=17H28 UTC 
Bo tx: activer le FME sur le site de Danfili-MTN-IHS-ADM_122 pour vérifier le statut du MPR et de la radio et des connectiques. } "</t>
        </is>
      </c>
    </row>
    <row r="30" ht="18.75" customHeight="1">
      <c r="A30" s="14" t="n">
        <v>46141</v>
      </c>
      <c r="B30" s="23" t="inlineStr">
        <is>
          <t>Bokwai-IHS</t>
        </is>
      </c>
      <c r="C30" s="21" t="inlineStr">
        <is>
          <t>SUO_197</t>
        </is>
      </c>
      <c r="D30" s="53" t="inlineStr">
        <is>
          <t>SUD-OUEST</t>
        </is>
      </c>
      <c r="E30" s="23" t="inlineStr">
        <is>
          <t>IHS</t>
        </is>
      </c>
      <c r="F30" s="23" t="inlineStr">
        <is>
          <t>Grid-Gen</t>
        </is>
      </c>
      <c r="G30" s="53" t="inlineStr">
        <is>
          <t>SUD-OUEST</t>
        </is>
      </c>
      <c r="H30" s="23" t="inlineStr">
        <is>
          <t>Buea</t>
        </is>
      </c>
      <c r="I30" s="55" t="inlineStr">
        <is>
          <t>Huawei</t>
        </is>
      </c>
      <c r="J30" s="25" t="n">
        <v>3.19670255666263</v>
      </c>
      <c r="K30" s="25" t="n">
        <v>4.092311236233939</v>
      </c>
      <c r="L30" s="25" t="n">
        <v>7.238669842645673</v>
      </c>
      <c r="M30" s="25" t="n">
        <v>5.605208413591185</v>
      </c>
      <c r="N30" s="68" t="inlineStr">
        <is>
          <t>Insecurity</t>
        </is>
      </c>
      <c r="O30" s="27" t="n"/>
      <c r="P30" s="28" t="inlineStr">
        <is>
          <t>PDH</t>
        </is>
      </c>
      <c r="Q30" s="28" t="inlineStr">
        <is>
          <t>TX ISSUE</t>
        </is>
      </c>
      <c r="R30" s="29" t="inlineStr">
        <is>
          <t>IP &amp; VLAN</t>
        </is>
      </c>
      <c r="S30" s="28" t="inlineStr">
        <is>
          <t>ACTIVE</t>
        </is>
      </c>
      <c r="T30" s="29" t="inlineStr">
        <is>
          <t>(04/29/2026 incident ): impacted by SUO_066_H_Berunda-MTN ,  RCA: Lien Optim Radio Berunda-MTN_Buea - Signal-Hill DOWN / Reroutage du trafic sur le FH</t>
        </is>
      </c>
    </row>
    <row r="31" ht="18.75" customHeight="1">
      <c r="A31" s="14" t="n">
        <v>46141</v>
      </c>
      <c r="B31" s="23" t="inlineStr">
        <is>
          <t>Ngalbidje-MTN-IHS</t>
        </is>
      </c>
      <c r="C31" s="21" t="inlineStr">
        <is>
          <t>NRD_117</t>
        </is>
      </c>
      <c r="D31" s="53" t="inlineStr">
        <is>
          <t>NORD</t>
        </is>
      </c>
      <c r="E31" s="23" t="inlineStr">
        <is>
          <t>IHS</t>
        </is>
      </c>
      <c r="F31" s="23" t="inlineStr">
        <is>
          <t>Grid-Gen</t>
        </is>
      </c>
      <c r="G31" s="53" t="inlineStr">
        <is>
          <t>NORD</t>
        </is>
      </c>
      <c r="H31" s="23" t="inlineStr">
        <is>
          <t>Garoua</t>
        </is>
      </c>
      <c r="I31" s="55" t="inlineStr">
        <is>
          <t>Huawei</t>
        </is>
      </c>
      <c r="J31" s="25" t="n">
        <v>4.685457957147825</v>
      </c>
      <c r="K31" s="25" t="n">
        <v>5.984666503462978</v>
      </c>
      <c r="L31" s="25" t="n">
        <v>5.557039849671786</v>
      </c>
      <c r="M31" s="25" t="n">
        <v>5.57613723593383</v>
      </c>
      <c r="N31" s="68" t="inlineStr">
        <is>
          <t>Operationnel</t>
        </is>
      </c>
      <c r="O31" s="27" t="n"/>
      <c r="P31" s="28" t="inlineStr">
        <is>
          <t>IHS</t>
        </is>
      </c>
      <c r="Q31" s="28" t="inlineStr">
        <is>
          <t>POWER ISSUE</t>
        </is>
      </c>
      <c r="R31" s="29" t="inlineStr">
        <is>
          <t>Defaut GE &amp; Power Cabinet</t>
        </is>
      </c>
      <c r="S31" s="28" t="inlineStr">
        <is>
          <t>PASSIVE</t>
        </is>
      </c>
      <c r="T31" s="29" t="inlineStr">
        <is>
          <t>(04/29/2026 incident ): impacted by   NRD_009_H_Garoua-Lainde , RCA: Power issue / En attente RCA IHS</t>
        </is>
      </c>
    </row>
    <row r="32" ht="18.75" customHeight="1">
      <c r="A32" s="14" t="n">
        <v>46141</v>
      </c>
      <c r="B32" s="23" t="inlineStr">
        <is>
          <t>BOVA-II-IHS</t>
        </is>
      </c>
      <c r="C32" s="21" t="inlineStr">
        <is>
          <t>SUO_221</t>
        </is>
      </c>
      <c r="D32" s="53" t="inlineStr">
        <is>
          <t>SUD-OUEST</t>
        </is>
      </c>
      <c r="E32" s="23" t="inlineStr">
        <is>
          <t>IHS</t>
        </is>
      </c>
      <c r="F32" s="23" t="inlineStr">
        <is>
          <t>Grid-Gen</t>
        </is>
      </c>
      <c r="G32" s="53" t="inlineStr">
        <is>
          <t>SUD-OUEST</t>
        </is>
      </c>
      <c r="H32" s="23" t="inlineStr">
        <is>
          <t>Buea</t>
        </is>
      </c>
      <c r="I32" s="55" t="inlineStr">
        <is>
          <t>Huawei</t>
        </is>
      </c>
      <c r="J32" s="25" t="n">
        <v>3.194829122853295</v>
      </c>
      <c r="K32" s="25" t="n">
        <v>5.460310903026408</v>
      </c>
      <c r="L32" s="25" t="n">
        <v>4.718618875952957</v>
      </c>
      <c r="M32" s="25" t="n">
        <v>4.750016408272051</v>
      </c>
      <c r="N32" s="68" t="inlineStr">
        <is>
          <t>Operationnel</t>
        </is>
      </c>
      <c r="O32" s="27" t="n"/>
      <c r="P32" s="28" t="inlineStr">
        <is>
          <t>PDH</t>
        </is>
      </c>
      <c r="Q32" s="28" t="inlineStr">
        <is>
          <t>TX ISSUE</t>
        </is>
      </c>
      <c r="R32" s="29" t="inlineStr">
        <is>
          <t>IP &amp; VLAN</t>
        </is>
      </c>
      <c r="S32" s="28" t="inlineStr">
        <is>
          <t>ACTIVE</t>
        </is>
      </c>
      <c r="T32" s="29" t="inlineStr">
        <is>
          <t>(04/29/2026 incident ): impacted by SUO_066_H_Berunda-MTN ,  RCA: Lien Optim Radio Berunda-MTN_Buea - Signal-Hill DOWN / Reroutage du trafic sur le FH</t>
        </is>
      </c>
    </row>
    <row r="33" ht="18.75" customHeight="1">
      <c r="A33" s="14" t="n">
        <v>46141</v>
      </c>
      <c r="B33" s="23" t="inlineStr">
        <is>
          <t>Berunda-MTN</t>
        </is>
      </c>
      <c r="C33" s="21" t="inlineStr">
        <is>
          <t>SUO_066</t>
        </is>
      </c>
      <c r="D33" s="53" t="inlineStr">
        <is>
          <t>SUD-OUEST</t>
        </is>
      </c>
      <c r="E33" s="23" t="inlineStr">
        <is>
          <t>IHS</t>
        </is>
      </c>
      <c r="F33" s="23" t="inlineStr">
        <is>
          <t>Grid-Gen</t>
        </is>
      </c>
      <c r="G33" s="53" t="inlineStr">
        <is>
          <t>SUD-OUEST</t>
        </is>
      </c>
      <c r="H33" s="23" t="inlineStr">
        <is>
          <t>Buea</t>
        </is>
      </c>
      <c r="I33" s="55" t="inlineStr">
        <is>
          <t>Huawei</t>
        </is>
      </c>
      <c r="J33" s="25" t="n">
        <v>3.19670255666263</v>
      </c>
      <c r="K33" s="25" t="n">
        <v>5.457920223997063</v>
      </c>
      <c r="L33" s="25" t="n">
        <v>4.644746173394007</v>
      </c>
      <c r="M33" s="25" t="n">
        <v>4.710957586756955</v>
      </c>
      <c r="N33" s="68" t="inlineStr">
        <is>
          <t>Operationnel</t>
        </is>
      </c>
      <c r="O33" s="27" t="n"/>
      <c r="P33" s="28" t="inlineStr">
        <is>
          <t>PDH</t>
        </is>
      </c>
      <c r="Q33" s="28" t="inlineStr">
        <is>
          <t>TX ISSUE</t>
        </is>
      </c>
      <c r="R33" s="29" t="inlineStr">
        <is>
          <t>IP &amp; VLAN</t>
        </is>
      </c>
      <c r="S33" s="28" t="inlineStr">
        <is>
          <t>ACTIVE</t>
        </is>
      </c>
      <c r="T33" s="29" t="inlineStr">
        <is>
          <t>(04/29/2026 incident ): impacted by SUO_066_H_Berunda-MTN ,  RCA: Lien Optim Radio Berunda-MTN_Buea - Signal-Hill DOWN / Reroutage du trafic sur le FH</t>
        </is>
      </c>
    </row>
    <row r="34" ht="18.75" customHeight="1">
      <c r="A34" s="14" t="n">
        <v>46141</v>
      </c>
      <c r="B34" s="32" t="inlineStr">
        <is>
          <t>LIT_838_Z_Logpom-Bagam</t>
        </is>
      </c>
      <c r="C34" s="35" t="inlineStr">
        <is>
          <t>LIT_838</t>
        </is>
      </c>
      <c r="D34" s="53" t="inlineStr">
        <is>
          <t>Douala</t>
        </is>
      </c>
      <c r="E34" s="32" t="inlineStr">
        <is>
          <t>ESCO</t>
        </is>
      </c>
      <c r="F34" s="32" t="inlineStr">
        <is>
          <t>Good Grid + Solar + GE</t>
        </is>
      </c>
      <c r="G34" s="32" t="inlineStr">
        <is>
          <t>LIT</t>
        </is>
      </c>
      <c r="H34" s="32" t="inlineStr">
        <is>
          <t>Douala</t>
        </is>
      </c>
      <c r="I34" s="54" t="inlineStr">
        <is>
          <t>ZTE</t>
        </is>
      </c>
      <c r="J34" s="25" t="n">
        <v>4.035376425308442</v>
      </c>
      <c r="K34" s="25" t="n">
        <v>3.431421300121383</v>
      </c>
      <c r="L34" s="25" t="n">
        <v>5.56972817034279</v>
      </c>
      <c r="M34" s="25" t="n">
        <v>4.632768603413491</v>
      </c>
      <c r="N34" s="68" t="inlineStr">
        <is>
          <t>Operationnel</t>
        </is>
      </c>
      <c r="O34" s="27" t="n"/>
      <c r="P34" s="28" t="inlineStr">
        <is>
          <t>AKTIVCO</t>
        </is>
      </c>
      <c r="Q34" s="28" t="inlineStr">
        <is>
          <t>POWER ISSUE</t>
        </is>
      </c>
      <c r="R34" s="29" t="inlineStr">
        <is>
          <t>AKTIVCO Defaut GE &amp; Power Cabinet</t>
        </is>
      </c>
      <c r="S34" s="28" t="inlineStr">
        <is>
          <t>PASSIVE</t>
        </is>
      </c>
      <c r="T34" s="29" t="inlineStr">
        <is>
          <t>(04/29/2026 ocm ran 00h): Impacted by LIT_841_Z_PK12-BASSA-SODIKOMBO (Power issue)..;..;(04/29/2026 com ran 17h): Power status check ongoing..;..;(04/29/2026 com ran 18h): Power status check ongoing</t>
        </is>
      </c>
    </row>
    <row r="35" ht="18.75" customHeight="1">
      <c r="A35" s="14" t="n">
        <v>46141</v>
      </c>
      <c r="B35" s="23" t="inlineStr">
        <is>
          <t>Baiboum</t>
        </is>
      </c>
      <c r="C35" s="21" t="inlineStr">
        <is>
          <t>ADM_008</t>
        </is>
      </c>
      <c r="D35" s="53" t="inlineStr">
        <is>
          <t>ADAMAOUA</t>
        </is>
      </c>
      <c r="E35" s="23" t="inlineStr">
        <is>
          <t>IHS</t>
        </is>
      </c>
      <c r="F35" s="23" t="inlineStr">
        <is>
          <t>Gen Only</t>
        </is>
      </c>
      <c r="G35" s="53" t="inlineStr">
        <is>
          <t>ADAMAOUA</t>
        </is>
      </c>
      <c r="H35" s="23" t="inlineStr">
        <is>
          <t>Baiboum</t>
        </is>
      </c>
      <c r="I35" s="56" t="inlineStr">
        <is>
          <t>NOKIA</t>
        </is>
      </c>
      <c r="J35" s="25" t="n">
        <v>11.02340942971676</v>
      </c>
      <c r="K35" s="25" t="n">
        <v>8.005231142484481</v>
      </c>
      <c r="L35" s="25" t="n">
        <v>0.5580611000067168</v>
      </c>
      <c r="M35" s="25" t="n">
        <v>4.552612752935965</v>
      </c>
      <c r="N35" s="68" t="inlineStr">
        <is>
          <t>Operationnel</t>
        </is>
      </c>
      <c r="O35" s="27" t="n"/>
      <c r="P35" s="28" t="inlineStr">
        <is>
          <t>IHS GRID ONLY</t>
        </is>
      </c>
      <c r="Q35" s="28" t="inlineStr">
        <is>
          <t>POWER ISSUE</t>
        </is>
      </c>
      <c r="R35" s="29" t="inlineStr">
        <is>
          <t>Coupure ENEO &amp; Baisse de tension</t>
        </is>
      </c>
      <c r="S35" s="28" t="inlineStr">
        <is>
          <t>PASSIVE</t>
        </is>
      </c>
      <c r="T35" s="29" t="inlineStr">
        <is>
          <t>(04/29/2026 retour IHS): Power issue NUR to be checked   ||   (04/29/2026 com ran 17h): Impacted by Magba_G_OST_023..;..;(04/29/2026 com ran 18h): Impacted by Magba_G_OST_023..;..;(04/29/2026 ticket): INC-20260429-00018300  ;  Others Transmission equipement fault</t>
        </is>
      </c>
    </row>
    <row r="36" ht="18.75" customHeight="1">
      <c r="A36" s="14" t="n">
        <v>46141</v>
      </c>
      <c r="B36" s="23" t="inlineStr">
        <is>
          <t>Ngd-CRTV</t>
        </is>
      </c>
      <c r="C36" s="23" t="inlineStr">
        <is>
          <t>ADM_007</t>
        </is>
      </c>
      <c r="D36" s="53" t="inlineStr">
        <is>
          <t>Ngaoundere</t>
        </is>
      </c>
      <c r="E36" s="23" t="inlineStr">
        <is>
          <t>CAMUSAT</t>
        </is>
      </c>
      <c r="F36" s="23" t="inlineStr">
        <is>
          <t>Good Grid + Solar + GE</t>
        </is>
      </c>
      <c r="G36" s="53" t="inlineStr">
        <is>
          <t>ADAMAOUA</t>
        </is>
      </c>
      <c r="H36" s="23" t="inlineStr">
        <is>
          <t>Ngaoundere</t>
        </is>
      </c>
      <c r="I36" s="55" t="inlineStr">
        <is>
          <t>Huawei</t>
        </is>
      </c>
      <c r="J36" s="25" t="n">
        <v>4.396949150510173</v>
      </c>
      <c r="K36" s="25" t="n">
        <v>5.62160204820629</v>
      </c>
      <c r="L36" s="25" t="n">
        <v>3.592060161928965</v>
      </c>
      <c r="M36" s="25" t="n">
        <v>4.38833885507358</v>
      </c>
      <c r="N36" s="68" t="inlineStr">
        <is>
          <t>Operationnel</t>
        </is>
      </c>
      <c r="O36" s="27" t="n"/>
      <c r="P36" s="28" t="inlineStr">
        <is>
          <t>AKTIVCO</t>
        </is>
      </c>
      <c r="Q36" s="28" t="inlineStr">
        <is>
          <t>POWER ISSUE</t>
        </is>
      </c>
      <c r="R36" s="29" t="inlineStr">
        <is>
          <t>AKTIVCO Defaut GE &amp; Power Cabinet</t>
        </is>
      </c>
      <c r="S36" s="28" t="inlineStr">
        <is>
          <t>PASSIVE</t>
        </is>
      </c>
      <c r="T36" s="29" t="inlineStr">
        <is>
          <t>(04/29/2026 incident ): impacted by  ADM_127_H_Ngd-University-II-HIS..;..;(04/29/2026 com ran 17h): Power status check ongoing..;..;(04/29/2026 com ran 18h): Power status check ongoing || (04/29/2026 retour CAMUSAT): Batterie GE faulty</t>
        </is>
      </c>
    </row>
    <row r="37" ht="18.75" customHeight="1">
      <c r="A37" s="14" t="n">
        <v>46141</v>
      </c>
      <c r="B37" s="23" t="inlineStr">
        <is>
          <t>Kay-Kay</t>
        </is>
      </c>
      <c r="C37" s="21" t="inlineStr">
        <is>
          <t>EXN_050</t>
        </is>
      </c>
      <c r="D37" s="53" t="inlineStr">
        <is>
          <t>EXTREME-NORD</t>
        </is>
      </c>
      <c r="E37" s="23" t="inlineStr">
        <is>
          <t>IHS</t>
        </is>
      </c>
      <c r="F37" s="23" t="inlineStr">
        <is>
          <t>Solar-Gen</t>
        </is>
      </c>
      <c r="G37" s="53" t="inlineStr">
        <is>
          <t>EXTREME-NORD</t>
        </is>
      </c>
      <c r="H37" s="23" t="inlineStr">
        <is>
          <t>Kay-Kay</t>
        </is>
      </c>
      <c r="I37" s="55" t="inlineStr">
        <is>
          <t>HUAWEI</t>
        </is>
      </c>
      <c r="J37" s="25" t="n">
        <v>0</v>
      </c>
      <c r="K37" s="25" t="n">
        <v>12.49836371301991</v>
      </c>
      <c r="L37" s="25" t="n">
        <v>0</v>
      </c>
      <c r="M37" s="25" t="n">
        <v>4.195844854793926</v>
      </c>
      <c r="N37" s="68" t="inlineStr">
        <is>
          <t>Insecurity</t>
        </is>
      </c>
      <c r="O37" s="27" t="n"/>
      <c r="P37" s="28" t="inlineStr">
        <is>
          <t>AKTIVCO</t>
        </is>
      </c>
      <c r="Q37" s="28" t="inlineStr">
        <is>
          <t>POWER ISSUE</t>
        </is>
      </c>
      <c r="R37" s="29" t="inlineStr">
        <is>
          <t>AKTIVCO Defaut GE &amp; Power Cabinet</t>
        </is>
      </c>
      <c r="S37" s="28" t="inlineStr">
        <is>
          <t>PASSIVE</t>
        </is>
      </c>
      <c r="T37" s="29" t="inlineStr">
        <is>
          <t>(04/29/2026 incident ): impacted by  Bagarao_G_EXN_202  ,Power issue observed from efms. Voltage  Drop (From 53v to 46v). CAMUSAT As disucussed please for support || Nouvelle ETA depasse ESCALADE faite au L2 SAMBA . Update ASAP..;..;(04/29/2026 com ran 17h): Impacted by Bagarao_G9U9U21_EXN_202..;..;(04/29/2026 com ran 18h): Impacted by Bagarao_G9U9U21_EXN_202</t>
        </is>
      </c>
    </row>
    <row r="38" ht="18.75" customHeight="1">
      <c r="A38" s="14" t="n">
        <v>46141</v>
      </c>
      <c r="B38" s="23" t="inlineStr">
        <is>
          <t>Doreissou-IHS</t>
        </is>
      </c>
      <c r="C38" s="21" t="inlineStr">
        <is>
          <t>EXN_118</t>
        </is>
      </c>
      <c r="D38" s="53" t="inlineStr">
        <is>
          <t>EXTREME-NORD</t>
        </is>
      </c>
      <c r="E38" s="23" t="inlineStr">
        <is>
          <t>IHS</t>
        </is>
      </c>
      <c r="F38" s="23" t="inlineStr">
        <is>
          <t>Hybrid-Gen</t>
        </is>
      </c>
      <c r="G38" s="53" t="inlineStr">
        <is>
          <t>EXTREME-NORD</t>
        </is>
      </c>
      <c r="H38" s="23" t="inlineStr">
        <is>
          <t>Doreissou</t>
        </is>
      </c>
      <c r="I38" s="55" t="inlineStr">
        <is>
          <t>Huawei</t>
        </is>
      </c>
      <c r="J38" s="25" t="n">
        <v>0</v>
      </c>
      <c r="K38" s="25" t="n">
        <v>12.49209482134297</v>
      </c>
      <c r="L38" s="25" t="n">
        <v>0</v>
      </c>
      <c r="M38" s="25" t="n">
        <v>4.193740315552475</v>
      </c>
      <c r="N38" s="68" t="inlineStr">
        <is>
          <t>Insecurity</t>
        </is>
      </c>
      <c r="O38" s="27" t="n"/>
      <c r="P38" s="28" t="inlineStr">
        <is>
          <t>AKTIVCO</t>
        </is>
      </c>
      <c r="Q38" s="28" t="inlineStr">
        <is>
          <t>POWER ISSUE</t>
        </is>
      </c>
      <c r="R38" s="29" t="inlineStr">
        <is>
          <t>AKTIVCO Defaut GE &amp; Power Cabinet</t>
        </is>
      </c>
      <c r="S38" s="28" t="inlineStr">
        <is>
          <t>PASSIVE</t>
        </is>
      </c>
      <c r="T38" s="29" t="inlineStr">
        <is>
          <t>(04/29/2026 incident ): impacted by  Bagarao_G_EXN_202  ,Power issue observed from efms. Voltage  Drop (From 53v to 46v). CAMUSAT As disucussed please for support || Nouvelle ETA depasse ESCALADE faite au L2 SAMBA . Update ASAP..;..;(04/29/2026 com ran 17h): Impacted by Bagarao_G9U9U21_EXN_202..;..;(04/29/2026 com ran 18h): Impacted by Bagarao_G9U9U21_EXN_202</t>
        </is>
      </c>
    </row>
    <row r="39" ht="18.75" customHeight="1">
      <c r="A39" s="14" t="n">
        <v>46141</v>
      </c>
      <c r="B39" s="23" t="inlineStr">
        <is>
          <t>Kotto-Village</t>
        </is>
      </c>
      <c r="C39" s="21" t="inlineStr">
        <is>
          <t>LIT_726</t>
        </is>
      </c>
      <c r="D39" s="53" t="inlineStr">
        <is>
          <t>Douala</t>
        </is>
      </c>
      <c r="E39" s="23" t="inlineStr">
        <is>
          <t>CAMUSAT</t>
        </is>
      </c>
      <c r="F39" s="23" t="inlineStr">
        <is>
          <t>Good Grid no GE - 8h</t>
        </is>
      </c>
      <c r="G39" s="53" t="inlineStr">
        <is>
          <t>LITTORAL</t>
        </is>
      </c>
      <c r="H39" s="23" t="inlineStr">
        <is>
          <t>Douala</t>
        </is>
      </c>
      <c r="I39" s="54" t="inlineStr">
        <is>
          <t>ZTE</t>
        </is>
      </c>
      <c r="J39" s="25" t="n">
        <v>2.871474447362005</v>
      </c>
      <c r="K39" s="25" t="n">
        <v>2.481312327658605</v>
      </c>
      <c r="L39" s="25" t="n">
        <v>5.14844856380522</v>
      </c>
      <c r="M39" s="25" t="n">
        <v>3.927908473231687</v>
      </c>
      <c r="N39" s="68" t="inlineStr">
        <is>
          <t>Operationnel</t>
        </is>
      </c>
      <c r="O39" s="27" t="n"/>
      <c r="P39" s="28" t="inlineStr">
        <is>
          <t>AKTIVCO GRID ONLY</t>
        </is>
      </c>
      <c r="Q39" s="28" t="inlineStr">
        <is>
          <t>POWER ISSUE</t>
        </is>
      </c>
      <c r="R39" s="29" t="inlineStr">
        <is>
          <t>AKTIVCO Coupure ENEO &amp; Baisse de tension</t>
        </is>
      </c>
      <c r="S39" s="28" t="inlineStr">
        <is>
          <t>PASSIVE</t>
        </is>
      </c>
      <c r="T39" s="30" t="inlineStr">
        <is>
          <t>(04/29/2026 ticket): INC-20260429-00005474  ;  2026-04-29 09:39:43  ;  Site impacted by NKOMENKUI CTR_696.
FME is on the way to the site, ETA : 11:10 AM.  ;  Others Transmission equipement fault  ;  user:ABANDA	Jean Roland || (04/29/2026 retour CAMUSAT): Carte GE alarmée</t>
        </is>
      </c>
    </row>
    <row r="40" ht="18.75" customHeight="1">
      <c r="A40" s="14" t="n">
        <v>46141</v>
      </c>
      <c r="B40" s="23" t="inlineStr">
        <is>
          <t>Meiganga</t>
        </is>
      </c>
      <c r="C40" s="21" t="inlineStr">
        <is>
          <t>ADM_004</t>
        </is>
      </c>
      <c r="D40" s="53" t="inlineStr">
        <is>
          <t>ADAMAOUA</t>
        </is>
      </c>
      <c r="E40" s="23" t="inlineStr">
        <is>
          <t>CAMUSAT</t>
        </is>
      </c>
      <c r="F40" s="23" t="inlineStr">
        <is>
          <t>Bad Grid + Solar + GE</t>
        </is>
      </c>
      <c r="G40" s="53" t="inlineStr">
        <is>
          <t>ADAMAOUA</t>
        </is>
      </c>
      <c r="H40" s="23" t="inlineStr">
        <is>
          <t>Meiganga</t>
        </is>
      </c>
      <c r="I40" s="55" t="inlineStr">
        <is>
          <t>HUAWEI</t>
        </is>
      </c>
      <c r="J40" s="25" t="n">
        <v>5.353649349144115</v>
      </c>
      <c r="K40" s="25" t="n">
        <v>4.469932270469313</v>
      </c>
      <c r="L40" s="25" t="n">
        <v>3.123686707510063</v>
      </c>
      <c r="M40" s="25" t="n">
        <v>3.894075329663588</v>
      </c>
      <c r="N40" s="68" t="inlineStr">
        <is>
          <t>Operationnel</t>
        </is>
      </c>
      <c r="O40" s="27" t="n"/>
      <c r="P40" s="28" t="inlineStr">
        <is>
          <t>AKTIVCO</t>
        </is>
      </c>
      <c r="Q40" s="28" t="inlineStr">
        <is>
          <t>POWER ISSUE</t>
        </is>
      </c>
      <c r="R40" s="29" t="inlineStr">
        <is>
          <t>AKTIVCO Defaut GE &amp; Power Cabinet</t>
        </is>
      </c>
      <c r="S40" s="28" t="inlineStr">
        <is>
          <t>PASSIVE</t>
        </is>
      </c>
      <c r="T40" s="29" t="inlineStr">
        <is>
          <t>(04/29/2026 incident ): impacted by    Magba_G_OST_023 , RCA: Power issue / En attente RCA CAMUSAT..;..;(04/29/2026 cell huawei): 29/04/2026 : Power instability || Mail sent to Camusat..;..;(04/29/2026 com ran 17h): Power status check ongoing..;..;(04/29/2026 com ran 18h): Power status check ongoing</t>
        </is>
      </c>
    </row>
    <row r="41" ht="18.75" customHeight="1">
      <c r="A41" s="14" t="n">
        <v>46141</v>
      </c>
      <c r="B41" s="23" t="inlineStr">
        <is>
          <t>Darassalam-IHS</t>
        </is>
      </c>
      <c r="C41" s="21" t="inlineStr">
        <is>
          <t>ADM_153</t>
        </is>
      </c>
      <c r="D41" s="53" t="inlineStr">
        <is>
          <t>ADAMAOUA</t>
        </is>
      </c>
      <c r="E41" s="23" t="inlineStr">
        <is>
          <t>IHS</t>
        </is>
      </c>
      <c r="F41" s="23" t="inlineStr">
        <is>
          <t>Hybrid-Gen</t>
        </is>
      </c>
      <c r="G41" s="53" t="inlineStr">
        <is>
          <t>ADAMAOUA</t>
        </is>
      </c>
      <c r="H41" s="23" t="inlineStr">
        <is>
          <t>Darra Salam</t>
        </is>
      </c>
      <c r="I41" s="56" t="inlineStr">
        <is>
          <t>NOKIA</t>
        </is>
      </c>
      <c r="J41" s="25" t="n">
        <v>1.359988049990208</v>
      </c>
      <c r="K41" s="25" t="n">
        <v>0.6700088607277745</v>
      </c>
      <c r="L41" s="25" t="n">
        <v>6.436980018254765</v>
      </c>
      <c r="M41" s="25" t="n">
        <v>3.775947300668038</v>
      </c>
      <c r="N41" s="68" t="inlineStr">
        <is>
          <t>Operationnel</t>
        </is>
      </c>
      <c r="O41" s="27" t="n"/>
      <c r="P41" s="28" t="inlineStr">
        <is>
          <t>IHS</t>
        </is>
      </c>
      <c r="Q41" s="28" t="inlineStr">
        <is>
          <t>POWER ISSUE</t>
        </is>
      </c>
      <c r="R41" s="29" t="inlineStr">
        <is>
          <t>Defaut GE &amp; Power Cabinet</t>
        </is>
      </c>
      <c r="S41" s="28" t="inlineStr">
        <is>
          <t>PASSIVE</t>
        </is>
      </c>
      <c r="T41" s="29" t="inlineStr">
        <is>
          <t xml:space="preserve">   (04/29/2026 incident ): impacted by   Tibati_2_ADM_044  , soucis d'energie || Action : en ettente RCA HIS ..;..;(04/29/2026 ocm ran 00h): 28.04.26: Besoin d'un FME sur site pour vérifier le statut de la MRBTS2 et son interco avec le MPR; FME Willy activé pour investigations, update ASAP..;..;(04/29/2026 com ran 17h): 29/04/2026 Module fsmf faulty commande ne cours 
28.04.26: Besoin d'un FME sur site pour vérifier le statut de la MRBTS2 et son interco avec le MPR; FME Willy activé pour investigations, update ASAP..;..;(04/29/2026 com ran 18h): 29/04/2026 Module fsmf faulty commande ne cours 
28.04.26: Besoin d'un FME sur site pour vérifier le statut de la MRBTS2 et son interco avec le MPR; FME Willy activé pour investigations, update ASAP..;..;(04/29/2026 ticket): INC-20260429-00012160  ;  Others Transmission equipement fault</t>
        </is>
      </c>
    </row>
    <row r="42" ht="18.75" customHeight="1">
      <c r="A42" s="14" t="n">
        <v>46141</v>
      </c>
      <c r="B42" s="53" t="inlineStr">
        <is>
          <t>Matsari</t>
        </is>
      </c>
      <c r="C42" s="36" t="inlineStr">
        <is>
          <t>CTR_301</t>
        </is>
      </c>
      <c r="D42" s="53" t="inlineStr">
        <is>
          <t>CENTRE</t>
        </is>
      </c>
      <c r="E42" s="53" t="inlineStr">
        <is>
          <t>IHS</t>
        </is>
      </c>
      <c r="F42" s="53" t="inlineStr">
        <is>
          <t>Hybrid-Gen</t>
        </is>
      </c>
      <c r="G42" s="53" t="inlineStr">
        <is>
          <t>CENTRE</t>
        </is>
      </c>
      <c r="H42" s="53" t="inlineStr">
        <is>
          <t>Matsari</t>
        </is>
      </c>
      <c r="I42" s="56" t="inlineStr">
        <is>
          <t>NOKIA</t>
        </is>
      </c>
      <c r="J42" s="25" t="n">
        <v>10.65134547518275</v>
      </c>
      <c r="K42" s="25" t="n">
        <v>4.556368598930336</v>
      </c>
      <c r="L42" s="25" t="n">
        <v>1.215020887861945</v>
      </c>
      <c r="M42" s="25" t="n">
        <v>3.68425613224191</v>
      </c>
      <c r="N42" s="68" t="inlineStr">
        <is>
          <t>Operationnel</t>
        </is>
      </c>
      <c r="O42" s="27" t="n"/>
      <c r="P42" s="28" t="inlineStr">
        <is>
          <t>BSS</t>
        </is>
      </c>
      <c r="Q42" s="28" t="inlineStr">
        <is>
          <t>RAN ISSUE</t>
        </is>
      </c>
      <c r="R42" s="29" t="inlineStr">
        <is>
          <t>BSS Hardware issue</t>
        </is>
      </c>
      <c r="S42" s="28" t="inlineStr">
        <is>
          <t>ACTIVE</t>
        </is>
      </c>
      <c r="T42" s="29" t="inlineStr">
        <is>
          <t>(04/29/2026 groupe whatsapp incident mgmt  ):   Deconnextion cable ethernet  , Action : apres le sertissage du cable radio ethernet ||    (04/29/2026 incident ): impacted by  CTR_301_N_Matsari ,UPDATE 3: ODU Matsari dir Yoko ne reagit pas après check avec le level 0, check en aérien du FME des l'aube sur site..;..;(04/29/2026 com ran 17h): Power status check ongoing..;..;(04/29/2026 com ran 18h): Power status check ongoing..;..;(04/29/2026 ticket): INC-20260429-00006738  ;  2026-04-29 10:13:04  ;  
FME Willy activer ETA=45 Minute(12H UTC +1)  ;  
En Attente RCA IHS  ;  Other  ;  
Souci Energie  ;  user:ABANDA	Jean Roland</t>
        </is>
      </c>
    </row>
    <row r="43" ht="18.75" customHeight="1">
      <c r="A43" s="14" t="n">
        <v>46141</v>
      </c>
      <c r="B43" s="23" t="inlineStr">
        <is>
          <t>Ngouetou</t>
        </is>
      </c>
      <c r="C43" s="21" t="inlineStr">
        <is>
          <t>CTR_300</t>
        </is>
      </c>
      <c r="D43" s="53" t="inlineStr">
        <is>
          <t>CENTRE</t>
        </is>
      </c>
      <c r="E43" s="23" t="inlineStr">
        <is>
          <t>IHS</t>
        </is>
      </c>
      <c r="F43" s="23" t="inlineStr">
        <is>
          <t>Hybrid-Gen</t>
        </is>
      </c>
      <c r="G43" s="53" t="inlineStr">
        <is>
          <t>CENTRE</t>
        </is>
      </c>
      <c r="H43" s="23" t="inlineStr">
        <is>
          <t>Ngouetou</t>
        </is>
      </c>
      <c r="I43" s="56" t="inlineStr">
        <is>
          <t>NOKIA</t>
        </is>
      </c>
      <c r="J43" s="25" t="n">
        <v>10.44963910171097</v>
      </c>
      <c r="K43" s="25" t="n">
        <v>4.461007068759755</v>
      </c>
      <c r="L43" s="25" t="n">
        <v>1.064298027782316</v>
      </c>
      <c r="M43" s="25" t="n">
        <v>3.544838268152627</v>
      </c>
      <c r="N43" s="68" t="inlineStr">
        <is>
          <t>Operationnel</t>
        </is>
      </c>
      <c r="O43" s="27" t="n"/>
      <c r="P43" s="28" t="inlineStr">
        <is>
          <t>BSS</t>
        </is>
      </c>
      <c r="Q43" s="28" t="inlineStr">
        <is>
          <t>RAN ISSUE</t>
        </is>
      </c>
      <c r="R43" s="29" t="inlineStr">
        <is>
          <t>BSS Hardware issue</t>
        </is>
      </c>
      <c r="S43" s="28" t="inlineStr">
        <is>
          <t>ACTIVE</t>
        </is>
      </c>
      <c r="T43" s="29" t="inlineStr">
        <is>
          <t>(04/29/2026 groupe whatsapp incident mgmt  ):   Deconnextion cable ethernet  , Action : apres le sertissage du cable radio ethernet ||   (04/29/2026 incident ): impacted by  CTR_301_N_Matsari ,UPDATE 3: ODU Matsari dir Yoko ne reagit pas après check avec le level 0, check en aérien du FME des l'aube sur site..;..;(04/29/2026 com ran 17h): Impacted by Magba_G_OST_023..;..;(04/29/2026 com ran 18h): Impacted by Magba_G_OST_023..;..;(04/29/2026 ticket): INC-20260429-00006774  ;  2026-04-29 10:13:04  ;  
FME Willy activer ETA=45 Minute(12H UTC +1)  ;  
En Attente RCA IHS  ;  Other  ;  
Souci Energie  ;  user:ABANDA	Jean Roland</t>
        </is>
      </c>
    </row>
    <row r="44" ht="18.75" customHeight="1">
      <c r="A44" s="14" t="n">
        <v>46141</v>
      </c>
      <c r="B44" s="23" t="inlineStr">
        <is>
          <t>Poumpoumrey-II</t>
        </is>
      </c>
      <c r="C44" s="21" t="inlineStr">
        <is>
          <t>NRD_148</t>
        </is>
      </c>
      <c r="D44" s="53" t="inlineStr">
        <is>
          <t>Garoua</t>
        </is>
      </c>
      <c r="E44" s="23" t="inlineStr">
        <is>
          <t>CAMUSAT</t>
        </is>
      </c>
      <c r="F44" s="23" t="inlineStr">
        <is>
          <t>Good Grid + GE</t>
        </is>
      </c>
      <c r="G44" s="53" t="inlineStr">
        <is>
          <t>NORD</t>
        </is>
      </c>
      <c r="H44" s="23" t="inlineStr">
        <is>
          <t>Garoua</t>
        </is>
      </c>
      <c r="I44" s="55" t="inlineStr">
        <is>
          <t>Huawei</t>
        </is>
      </c>
      <c r="J44" s="25" t="n">
        <v>3.992287447693728</v>
      </c>
      <c r="K44" s="25" t="n">
        <v>5.101177786617979</v>
      </c>
      <c r="L44" s="25" t="n">
        <v>2.308350953340906</v>
      </c>
      <c r="M44" s="25" t="n">
        <v>3.486401109484552</v>
      </c>
      <c r="N44" s="68" t="inlineStr">
        <is>
          <t>Operationnel</t>
        </is>
      </c>
      <c r="O44" s="27" t="n"/>
      <c r="P44" s="28" t="inlineStr">
        <is>
          <t>IHS</t>
        </is>
      </c>
      <c r="Q44" s="28" t="inlineStr">
        <is>
          <t>POWER ISSUE</t>
        </is>
      </c>
      <c r="R44" s="29" t="inlineStr">
        <is>
          <t>Defaut GE &amp; Power Cabinet</t>
        </is>
      </c>
      <c r="S44" s="28" t="inlineStr">
        <is>
          <t>PASSIVE</t>
        </is>
      </c>
      <c r="T44" s="29" t="inlineStr">
        <is>
          <t>(04/29/2026 incident ): impacted by   NRD_009_H_Garoua-Lainde , RCA: Power issue / En attente RCA IHS</t>
        </is>
      </c>
    </row>
    <row r="45" ht="18.75" customHeight="1">
      <c r="A45" s="14" t="n">
        <v>46141</v>
      </c>
      <c r="B45" s="23" t="inlineStr">
        <is>
          <t>Pitoa-Ville-IHS</t>
        </is>
      </c>
      <c r="C45" s="21" t="inlineStr">
        <is>
          <t>NRD_096</t>
        </is>
      </c>
      <c r="D45" s="53" t="inlineStr">
        <is>
          <t>NORD</t>
        </is>
      </c>
      <c r="E45" s="23" t="inlineStr">
        <is>
          <t>IHS</t>
        </is>
      </c>
      <c r="F45" s="23" t="inlineStr">
        <is>
          <t>Grid-Gen</t>
        </is>
      </c>
      <c r="G45" s="53" t="inlineStr">
        <is>
          <t>NORD</t>
        </is>
      </c>
      <c r="H45" s="23" t="inlineStr">
        <is>
          <t>Garoua</t>
        </is>
      </c>
      <c r="I45" s="55" t="inlineStr">
        <is>
          <t>Huawei</t>
        </is>
      </c>
      <c r="J45" s="25" t="n">
        <v>2.44108425356402</v>
      </c>
      <c r="K45" s="25" t="n">
        <v>3.984252544107497</v>
      </c>
      <c r="L45" s="25" t="n">
        <v>3.360865963179656</v>
      </c>
      <c r="M45" s="25" t="n">
        <v>3.438799285455422</v>
      </c>
      <c r="N45" s="68" t="inlineStr">
        <is>
          <t>Operationnel</t>
        </is>
      </c>
      <c r="O45" s="27" t="n"/>
      <c r="P45" s="28" t="inlineStr">
        <is>
          <t>IHS</t>
        </is>
      </c>
      <c r="Q45" s="28" t="inlineStr">
        <is>
          <t>POWER ISSUE</t>
        </is>
      </c>
      <c r="R45" s="29" t="inlineStr">
        <is>
          <t>Defaut GE &amp; Power Cabinet</t>
        </is>
      </c>
      <c r="S45" s="28" t="inlineStr">
        <is>
          <t>PASSIVE</t>
        </is>
      </c>
      <c r="T45" s="29" t="inlineStr">
        <is>
          <t>(04/29/2026 incident ): impacted by   NRD_009_H_Garoua-Lainde , RCA: Power issue / En attente RCA IHS</t>
        </is>
      </c>
    </row>
    <row r="46" ht="18.75" customHeight="1">
      <c r="A46" s="14" t="n">
        <v>46141</v>
      </c>
      <c r="B46" s="23" t="inlineStr">
        <is>
          <t>Pitoa-Entree</t>
        </is>
      </c>
      <c r="C46" s="21" t="inlineStr">
        <is>
          <t>NRD_133</t>
        </is>
      </c>
      <c r="D46" s="53" t="inlineStr">
        <is>
          <t>NORD</t>
        </is>
      </c>
      <c r="E46" s="23" t="inlineStr">
        <is>
          <t>CAMUSAT</t>
        </is>
      </c>
      <c r="F46" s="23" t="inlineStr">
        <is>
          <t>Medium Grid + GE</t>
        </is>
      </c>
      <c r="G46" s="53" t="inlineStr">
        <is>
          <t>NORD</t>
        </is>
      </c>
      <c r="H46" s="23" t="inlineStr">
        <is>
          <t>Garoua</t>
        </is>
      </c>
      <c r="I46" s="55" t="inlineStr">
        <is>
          <t>Huawei</t>
        </is>
      </c>
      <c r="J46" s="25" t="n">
        <v>2.39362393039419</v>
      </c>
      <c r="K46" s="25" t="n">
        <v>3.935323313306881</v>
      </c>
      <c r="L46" s="25" t="n">
        <v>3.252450932109345</v>
      </c>
      <c r="M46" s="25" t="n">
        <v>3.359058650298345</v>
      </c>
      <c r="N46" s="68" t="inlineStr">
        <is>
          <t>Operationnel</t>
        </is>
      </c>
      <c r="O46" s="27" t="n"/>
      <c r="P46" s="28" t="inlineStr">
        <is>
          <t>IHS</t>
        </is>
      </c>
      <c r="Q46" s="28" t="inlineStr">
        <is>
          <t>POWER ISSUE</t>
        </is>
      </c>
      <c r="R46" s="29" t="inlineStr">
        <is>
          <t>Defaut GE &amp; Power Cabinet</t>
        </is>
      </c>
      <c r="S46" s="28" t="inlineStr">
        <is>
          <t>PASSIVE</t>
        </is>
      </c>
      <c r="T46" s="29" t="inlineStr">
        <is>
          <t>(04/29/2026 incident ): impacted by   NRD_009_H_Garoua-Lainde , RCA: Power issue / En attente RCA IHS</t>
        </is>
      </c>
    </row>
    <row r="47" ht="18.75" customHeight="1">
      <c r="A47" s="14" t="n">
        <v>46141</v>
      </c>
      <c r="B47" s="23" t="inlineStr">
        <is>
          <t>Pitoa-II</t>
        </is>
      </c>
      <c r="C47" s="21" t="inlineStr">
        <is>
          <t>NRD_183</t>
        </is>
      </c>
      <c r="D47" s="53" t="inlineStr">
        <is>
          <t>NORD</t>
        </is>
      </c>
      <c r="E47" s="23" t="inlineStr">
        <is>
          <t>CAMUSAT</t>
        </is>
      </c>
      <c r="F47" s="23" t="inlineStr">
        <is>
          <t>Hybrid Solar - S1</t>
        </is>
      </c>
      <c r="G47" s="53" t="inlineStr">
        <is>
          <t>NORD</t>
        </is>
      </c>
      <c r="H47" s="23" t="inlineStr">
        <is>
          <t>Garoua</t>
        </is>
      </c>
      <c r="I47" s="55" t="inlineStr">
        <is>
          <t>Huawei</t>
        </is>
      </c>
      <c r="J47" s="25" t="n">
        <v>2.292458504690079</v>
      </c>
      <c r="K47" s="25" t="n">
        <v>3.933198265280796</v>
      </c>
      <c r="L47" s="25" t="n">
        <v>3.224406665397151</v>
      </c>
      <c r="M47" s="25" t="n">
        <v>3.329274069508295</v>
      </c>
      <c r="N47" s="68" t="inlineStr">
        <is>
          <t>Operationnel</t>
        </is>
      </c>
      <c r="O47" s="27" t="n"/>
      <c r="P47" s="28" t="inlineStr">
        <is>
          <t>IHS</t>
        </is>
      </c>
      <c r="Q47" s="28" t="inlineStr">
        <is>
          <t>POWER ISSUE</t>
        </is>
      </c>
      <c r="R47" s="29" t="inlineStr">
        <is>
          <t>Defaut GE &amp; Power Cabinet</t>
        </is>
      </c>
      <c r="S47" s="28" t="inlineStr">
        <is>
          <t>PASSIVE</t>
        </is>
      </c>
      <c r="T47" s="29" t="inlineStr">
        <is>
          <t>(04/29/2026 incident ): impacted by   NRD_009_H_Garoua-Lainde , RCA: Power issue / En attente RCA HIS</t>
        </is>
      </c>
    </row>
    <row r="48" ht="18.75" customHeight="1">
      <c r="A48" s="14" t="n">
        <v>46141</v>
      </c>
      <c r="B48" s="23" t="inlineStr">
        <is>
          <t>Pitoa</t>
        </is>
      </c>
      <c r="C48" s="21" t="inlineStr">
        <is>
          <t>NRD_013</t>
        </is>
      </c>
      <c r="D48" s="53" t="inlineStr">
        <is>
          <t>NORD</t>
        </is>
      </c>
      <c r="E48" s="23" t="inlineStr">
        <is>
          <t>IHS</t>
        </is>
      </c>
      <c r="F48" s="23" t="inlineStr">
        <is>
          <t>Grid-Gen</t>
        </is>
      </c>
      <c r="G48" s="53" t="inlineStr">
        <is>
          <t>NORD</t>
        </is>
      </c>
      <c r="H48" s="23" t="inlineStr">
        <is>
          <t>Garoua</t>
        </is>
      </c>
      <c r="I48" s="55" t="inlineStr">
        <is>
          <t>Huawei</t>
        </is>
      </c>
      <c r="J48" s="25" t="n">
        <v>2.376763026110172</v>
      </c>
      <c r="K48" s="25" t="n">
        <v>3.931179469656014</v>
      </c>
      <c r="L48" s="25" t="n">
        <v>3.172251169377521</v>
      </c>
      <c r="M48" s="25" t="n">
        <v>3.313436519962447</v>
      </c>
      <c r="N48" s="68" t="inlineStr">
        <is>
          <t>Operationnel</t>
        </is>
      </c>
      <c r="O48" s="27" t="n"/>
      <c r="P48" s="28" t="inlineStr">
        <is>
          <t>IHS</t>
        </is>
      </c>
      <c r="Q48" s="28" t="inlineStr">
        <is>
          <t>POWER ISSUE</t>
        </is>
      </c>
      <c r="R48" s="29" t="inlineStr">
        <is>
          <t>Defaut GE &amp; Power Cabinet</t>
        </is>
      </c>
      <c r="S48" s="28" t="inlineStr">
        <is>
          <t>PASSIVE</t>
        </is>
      </c>
      <c r="T48" s="29" t="inlineStr">
        <is>
          <t>(04/29/2026 incident ): impacted by   NRD_009_H_Garoua-Lainde , RCA: Power issue / En attente RCA IHS..;..;(04/29/2026 hourly IHS): FME RUBAIN is managing with the level zero (idrissou is informed )..;..;(04/29/2026 ticket): INC-20260429-00014728  ;  GE Fault</t>
        </is>
      </c>
    </row>
    <row r="49" ht="18.75" customHeight="1">
      <c r="A49" s="14" t="n">
        <v>46141</v>
      </c>
      <c r="B49" s="23" t="inlineStr">
        <is>
          <t>Fin-goudron-Mbangue</t>
        </is>
      </c>
      <c r="C49" s="21" t="inlineStr">
        <is>
          <t>LIT_844</t>
        </is>
      </c>
      <c r="D49" s="53" t="inlineStr">
        <is>
          <t>Douala</t>
        </is>
      </c>
      <c r="E49" s="23" t="inlineStr">
        <is>
          <t>CAMUSAT</t>
        </is>
      </c>
      <c r="F49" s="23" t="inlineStr">
        <is>
          <t>Bad-Grid-GE</t>
        </is>
      </c>
      <c r="G49" s="53" t="inlineStr">
        <is>
          <t>LITTORAL</t>
        </is>
      </c>
      <c r="H49" s="23" t="inlineStr">
        <is>
          <t>Douala</t>
        </is>
      </c>
      <c r="I49" s="54" t="inlineStr">
        <is>
          <t>ZTE</t>
        </is>
      </c>
      <c r="J49" s="25" t="n">
        <v>1.400204429097275</v>
      </c>
      <c r="K49" s="25" t="n">
        <v>1.1896018850026</v>
      </c>
      <c r="L49" s="25" t="n">
        <v>4.625354588972281</v>
      </c>
      <c r="M49" s="25" t="n">
        <v>3.011381633579028</v>
      </c>
      <c r="N49" s="68" t="inlineStr">
        <is>
          <t>Operationnel</t>
        </is>
      </c>
      <c r="O49" s="27" t="n"/>
      <c r="P49" s="28" t="inlineStr">
        <is>
          <t>AKTIVCO</t>
        </is>
      </c>
      <c r="Q49" s="28" t="inlineStr">
        <is>
          <t>POWER ISSUE</t>
        </is>
      </c>
      <c r="R49" s="29" t="inlineStr">
        <is>
          <t>AKTIVCO Defaut GE &amp; Power Cabinet</t>
        </is>
      </c>
      <c r="S49" s="28" t="inlineStr">
        <is>
          <t>PASSIVE</t>
        </is>
      </c>
      <c r="T49" s="29" t="inlineStr">
        <is>
          <t>(04/29/2026 retour CAMUSAT): Impacté par Kotto Denver (Grid only site)</t>
        </is>
      </c>
    </row>
    <row r="50" ht="18.75" customHeight="1">
      <c r="A50" s="14" t="n">
        <v>46141</v>
      </c>
      <c r="B50" s="23" t="inlineStr">
        <is>
          <t>Sabongari-NRO</t>
        </is>
      </c>
      <c r="C50" s="21" t="inlineStr">
        <is>
          <t>NRO_230</t>
        </is>
      </c>
      <c r="D50" s="53" t="inlineStr">
        <is>
          <t>NORD-OUEST</t>
        </is>
      </c>
      <c r="E50" s="23" t="inlineStr">
        <is>
          <t>IHS</t>
        </is>
      </c>
      <c r="F50" s="23" t="inlineStr">
        <is>
          <t>Hybrid-Gen</t>
        </is>
      </c>
      <c r="G50" s="53" t="inlineStr">
        <is>
          <t>NORD-OUEST</t>
        </is>
      </c>
      <c r="H50" s="23" t="inlineStr">
        <is>
          <t>Sabongari</t>
        </is>
      </c>
      <c r="I50" s="56" t="inlineStr">
        <is>
          <t>NOKIA</t>
        </is>
      </c>
      <c r="J50" s="25" t="n">
        <v>10.22132996814663</v>
      </c>
      <c r="K50" s="25" t="n">
        <v>4.395396210954368</v>
      </c>
      <c r="L50" s="25" t="n">
        <v>0</v>
      </c>
      <c r="M50" s="25" t="n">
        <v>2.935190179007114</v>
      </c>
      <c r="N50" s="68" t="inlineStr">
        <is>
          <t>Insecurity</t>
        </is>
      </c>
      <c r="O50" s="27" t="n"/>
      <c r="P50" s="28" t="inlineStr">
        <is>
          <t>AKTIVCO</t>
        </is>
      </c>
      <c r="Q50" s="28" t="inlineStr">
        <is>
          <t>POWER ISSUE</t>
        </is>
      </c>
      <c r="R50" s="29" t="inlineStr">
        <is>
          <t>AKTIVCO Defaut GE &amp; Power Cabinet</t>
        </is>
      </c>
      <c r="S50" s="28" t="inlineStr">
        <is>
          <t>PASSIVE</t>
        </is>
      </c>
      <c r="T50" s="29" t="inlineStr">
        <is>
          <t>(04/29/2026 hourly IHS): FME is managing with the level 0..;..;(04/29/2026 cell nokia): 29/04/2026: Need BO RAN analysis ..;..;(04/29/2026 cell nokia): 29/04/2026: Need BO RAN analysis ..;..;(04/29/2026 com ran 17h): Impacted by Magba_G_OST_023..;..;(04/29/2026 com ran 18h): Impacted by Magba_G_OST_023..;..;(04/29/2026 ticket): INC-20260429-00012965</t>
        </is>
      </c>
    </row>
    <row r="51" ht="18.75" customHeight="1">
      <c r="A51" s="14" t="n">
        <v>46141</v>
      </c>
      <c r="B51" s="23" t="inlineStr">
        <is>
          <t>Buea-Signal-Hill</t>
        </is>
      </c>
      <c r="C51" s="21" t="inlineStr">
        <is>
          <t>SUO_023</t>
        </is>
      </c>
      <c r="D51" s="53" t="inlineStr">
        <is>
          <t>SUD-OUEST</t>
        </is>
      </c>
      <c r="E51" s="23" t="inlineStr">
        <is>
          <t>OCM/Strategique</t>
        </is>
      </c>
      <c r="F51" s="23" t="n"/>
      <c r="G51" s="53" t="inlineStr">
        <is>
          <t>SUD-OUEST</t>
        </is>
      </c>
      <c r="H51" s="23" t="inlineStr">
        <is>
          <t>Buea</t>
        </is>
      </c>
      <c r="I51" s="55" t="inlineStr">
        <is>
          <t>Huawei</t>
        </is>
      </c>
      <c r="J51" s="25" t="n">
        <v>2.254365350566926</v>
      </c>
      <c r="K51" s="25" t="n">
        <v>3.90196005929734</v>
      </c>
      <c r="L51" s="25" t="n">
        <v>2.403427857560296</v>
      </c>
      <c r="M51" s="25" t="n">
        <v>2.885216289561771</v>
      </c>
      <c r="N51" s="68" t="inlineStr">
        <is>
          <t>Operationnel</t>
        </is>
      </c>
      <c r="O51" s="27" t="n"/>
      <c r="P51" s="28" t="inlineStr">
        <is>
          <t>SST &amp; DC</t>
        </is>
      </c>
      <c r="Q51" s="28" t="inlineStr">
        <is>
          <t>POWER ISSUE</t>
        </is>
      </c>
      <c r="R51" s="29" t="inlineStr">
        <is>
          <t>Sites strategiques &amp; DataCenter</t>
        </is>
      </c>
      <c r="S51" s="28" t="inlineStr">
        <is>
          <t>PASSIVE</t>
        </is>
      </c>
      <c r="T51" s="29" t="inlineStr">
        <is>
          <t>(04/29/2026 incident ): impacted by  SUO_023_H_Buea-Signal-Hill  Souci d'energie defaut GE || Action  En attente RCA  de OCM..;..;(04/29/2026 ticket): INC-20260429-00009049  ;  issue resolved   ;  Others Transmission equipement fault</t>
        </is>
      </c>
    </row>
    <row r="52" ht="18.75" customHeight="1">
      <c r="A52" s="14" t="n">
        <v>46141</v>
      </c>
      <c r="B52" s="23" t="inlineStr">
        <is>
          <t>Bankim</t>
        </is>
      </c>
      <c r="C52" s="21" t="inlineStr">
        <is>
          <t>ADM_012</t>
        </is>
      </c>
      <c r="D52" s="53" t="inlineStr">
        <is>
          <t>ADAMAOUA</t>
        </is>
      </c>
      <c r="E52" s="23" t="inlineStr">
        <is>
          <t>IHS</t>
        </is>
      </c>
      <c r="F52" s="23" t="inlineStr">
        <is>
          <t>Grid-Gen</t>
        </is>
      </c>
      <c r="G52" s="53" t="inlineStr">
        <is>
          <t>ADAMAOUA</t>
        </is>
      </c>
      <c r="H52" s="23" t="inlineStr">
        <is>
          <t>Bankim</t>
        </is>
      </c>
      <c r="I52" s="55" t="inlineStr">
        <is>
          <t>Huawei</t>
        </is>
      </c>
      <c r="J52" s="25" t="n">
        <v>0</v>
      </c>
      <c r="K52" s="25" t="n">
        <v>8.406636864993148</v>
      </c>
      <c r="L52" s="25" t="n">
        <v>0</v>
      </c>
      <c r="M52" s="25" t="n">
        <v>2.822204957866411</v>
      </c>
      <c r="N52" s="68" t="inlineStr">
        <is>
          <t>Operationnel</t>
        </is>
      </c>
      <c r="O52" s="27" t="n"/>
      <c r="P52" s="28" t="inlineStr">
        <is>
          <t>AKTIVCO</t>
        </is>
      </c>
      <c r="Q52" s="28" t="inlineStr">
        <is>
          <t>POWER ISSUE</t>
        </is>
      </c>
      <c r="R52" s="29" t="inlineStr">
        <is>
          <t>AKTIVCO Defaut GE &amp; Power Cabinet</t>
        </is>
      </c>
      <c r="S52" s="28" t="inlineStr">
        <is>
          <t>PASSIVE</t>
        </is>
      </c>
      <c r="T52" s="29" t="inlineStr">
        <is>
          <t>(04/29/2026 incident ): impacted by    Magba_G_OST_023 , RCA: Power issue / En attente RCA CAMUSAT..;..;(04/29/2026 com ran 17h): Impacted by Magba_G_OST_023..;..;(04/29/2026 com ran 18h): Impacted by Magba_G_OST_023</t>
        </is>
      </c>
    </row>
    <row r="53" ht="18.75" customHeight="1">
      <c r="A53" s="14" t="n">
        <v>46141</v>
      </c>
      <c r="B53" s="23" t="inlineStr">
        <is>
          <t>Bagarao</t>
        </is>
      </c>
      <c r="C53" s="21" t="inlineStr">
        <is>
          <t>EXN_202</t>
        </is>
      </c>
      <c r="D53" s="53" t="inlineStr">
        <is>
          <t>EXTREME-NORD</t>
        </is>
      </c>
      <c r="E53" s="23" t="inlineStr">
        <is>
          <t>CAMUSAT</t>
        </is>
      </c>
      <c r="F53" s="23" t="inlineStr">
        <is>
          <t>Hybrid Solar - S3</t>
        </is>
      </c>
      <c r="G53" s="53" t="inlineStr">
        <is>
          <t>EXTREME-NORD</t>
        </is>
      </c>
      <c r="H53" s="23" t="inlineStr">
        <is>
          <t>Bagarao</t>
        </is>
      </c>
      <c r="I53" s="56" t="inlineStr">
        <is>
          <t>NOKIA</t>
        </is>
      </c>
      <c r="J53" s="25" t="n">
        <v>9.787442697904552</v>
      </c>
      <c r="K53" s="25" t="n">
        <v>4.181539609572189</v>
      </c>
      <c r="L53" s="25" t="n">
        <v>0</v>
      </c>
      <c r="M53" s="25" t="n">
        <v>2.801436989222917</v>
      </c>
      <c r="N53" s="68" t="inlineStr">
        <is>
          <t>Insecurity</t>
        </is>
      </c>
      <c r="O53" s="27" t="n"/>
      <c r="P53" s="28" t="inlineStr">
        <is>
          <t>AKTIVCO</t>
        </is>
      </c>
      <c r="Q53" s="28" t="inlineStr">
        <is>
          <t>POWER ISSUE</t>
        </is>
      </c>
      <c r="R53" s="29" t="inlineStr">
        <is>
          <t>AKTIVCO Defaut GE &amp; Power Cabinet</t>
        </is>
      </c>
      <c r="S53" s="28" t="inlineStr">
        <is>
          <t>PASSIVE</t>
        </is>
      </c>
      <c r="T53" s="29" t="inlineStr">
        <is>
          <t>(04/29/2026 incident ): impacted by  Bagarao_G_EXN_202  ,Power issue observed from efms. Voltage  Drop (From 53v to 46v). CAMUSAT As disucussed please for support || Nouvelle ETA depasse ESCALADE faite au L2 SAMBA . Update ASAP..;..;(04/29/2026 com ran 17h): 29/04/2026 The level 0 is on the way to the site ETA 15h30..;..;(04/29/2026 com ran 18h): 29/04/2026 The level 0 is on the way to the site ETA 15h30..;..;(04/29/2026 ticket): INC-20260429-00009531</t>
        </is>
      </c>
    </row>
    <row r="54" ht="18.75" customHeight="1">
      <c r="A54" s="14" t="n">
        <v>46141</v>
      </c>
      <c r="B54" s="23" t="inlineStr">
        <is>
          <t>Limbe-Mile4-IHS</t>
        </is>
      </c>
      <c r="C54" s="21" t="inlineStr">
        <is>
          <t>SUO_212</t>
        </is>
      </c>
      <c r="D54" s="53" t="inlineStr">
        <is>
          <t>SUD-OUEST</t>
        </is>
      </c>
      <c r="E54" s="23" t="inlineStr">
        <is>
          <t>IHS</t>
        </is>
      </c>
      <c r="F54" s="23" t="inlineStr">
        <is>
          <t>Grid-Gen</t>
        </is>
      </c>
      <c r="G54" s="53" t="inlineStr">
        <is>
          <t>SUD-OUEST</t>
        </is>
      </c>
      <c r="H54" s="23" t="inlineStr">
        <is>
          <t>Limbe</t>
        </is>
      </c>
      <c r="I54" s="55" t="inlineStr">
        <is>
          <t>Huawei</t>
        </is>
      </c>
      <c r="J54" s="25" t="n">
        <v>1.772268383631284</v>
      </c>
      <c r="K54" s="25" t="n">
        <v>1.51011225353693</v>
      </c>
      <c r="L54" s="25" t="n">
        <v>3.86651777213062</v>
      </c>
      <c r="M54" s="25" t="n">
        <v>2.776386641669021</v>
      </c>
      <c r="N54" s="68" t="inlineStr">
        <is>
          <t>Operationnel</t>
        </is>
      </c>
      <c r="O54" s="27" t="n"/>
      <c r="P54" s="28" t="inlineStr">
        <is>
          <t>SST &amp; DC</t>
        </is>
      </c>
      <c r="Q54" s="28" t="inlineStr">
        <is>
          <t>POWER ISSUE</t>
        </is>
      </c>
      <c r="R54" s="29" t="inlineStr">
        <is>
          <t>Sites strategiques &amp; DataCenter</t>
        </is>
      </c>
      <c r="S54" s="28" t="inlineStr">
        <is>
          <t>PASSIVE</t>
        </is>
      </c>
      <c r="T54" s="29" t="inlineStr">
        <is>
          <t>(04/29/2026 incident ): impacted by  SUO_023_H_Buea-Signal-Hill  Souci d'energie defaut GE || Action  En attente RCA  de OCM</t>
        </is>
      </c>
    </row>
    <row r="55" ht="18.75" customHeight="1">
      <c r="A55" s="14" t="n">
        <v>46141</v>
      </c>
      <c r="B55" s="23" t="inlineStr">
        <is>
          <t>Mbamti-Katarko</t>
        </is>
      </c>
      <c r="C55" s="23" t="inlineStr">
        <is>
          <t>ADM_163</t>
        </is>
      </c>
      <c r="D55" s="53" t="inlineStr">
        <is>
          <t>ADAMAOUA</t>
        </is>
      </c>
      <c r="E55" s="23" t="inlineStr">
        <is>
          <t>CAMUSAT</t>
        </is>
      </c>
      <c r="F55" s="23" t="inlineStr">
        <is>
          <t>HGB</t>
        </is>
      </c>
      <c r="G55" s="53" t="inlineStr">
        <is>
          <t>ADAMAOUA</t>
        </is>
      </c>
      <c r="H55" s="23" t="inlineStr">
        <is>
          <t>Mbamti</t>
        </is>
      </c>
      <c r="I55" s="55" t="inlineStr">
        <is>
          <t>HUAWEI</t>
        </is>
      </c>
      <c r="J55" s="25" t="n">
        <v>0</v>
      </c>
      <c r="K55" s="25" t="n">
        <v>8.219473260095679</v>
      </c>
      <c r="L55" s="25" t="n">
        <v>0</v>
      </c>
      <c r="M55" s="25" t="n">
        <v>2.759371976954226</v>
      </c>
      <c r="N55" s="68" t="inlineStr">
        <is>
          <t>Operationnel</t>
        </is>
      </c>
      <c r="O55" s="27" t="n"/>
      <c r="P55" s="28" t="inlineStr">
        <is>
          <t>IHS</t>
        </is>
      </c>
      <c r="Q55" s="28" t="inlineStr">
        <is>
          <t>POWER ISSUE</t>
        </is>
      </c>
      <c r="R55" s="29" t="inlineStr">
        <is>
          <t>Defaut GE &amp; Power Cabinet</t>
        </is>
      </c>
      <c r="S55" s="28" t="inlineStr">
        <is>
          <t>PASSIVE</t>
        </is>
      </c>
      <c r="T55" s="29" t="inlineStr">
        <is>
          <t xml:space="preserve">   (04/29/2026 incident ): impacted by   Tibati_2_ADM_044  , soucis d'energie || Action : en ettente RCA HIS </t>
        </is>
      </c>
    </row>
    <row r="56" ht="18.75" customHeight="1">
      <c r="A56" s="14" t="n">
        <v>46141</v>
      </c>
      <c r="B56" s="23" t="inlineStr">
        <is>
          <t>Magba</t>
        </is>
      </c>
      <c r="C56" s="21" t="inlineStr">
        <is>
          <t>OST_023</t>
        </is>
      </c>
      <c r="D56" s="53" t="inlineStr">
        <is>
          <t>OUEST</t>
        </is>
      </c>
      <c r="E56" s="23" t="inlineStr">
        <is>
          <t>ESCO</t>
        </is>
      </c>
      <c r="F56" s="23" t="inlineStr">
        <is>
          <t>Bad Grid + Solar + GE</t>
        </is>
      </c>
      <c r="G56" s="53" t="inlineStr">
        <is>
          <t>OUEST</t>
        </is>
      </c>
      <c r="H56" s="23" t="inlineStr">
        <is>
          <t>Magba</t>
        </is>
      </c>
      <c r="I56" s="55" t="inlineStr">
        <is>
          <t>HUAWEI</t>
        </is>
      </c>
      <c r="J56" s="25" t="n">
        <v>0</v>
      </c>
      <c r="K56" s="25" t="n">
        <v>7.064456531717618</v>
      </c>
      <c r="L56" s="25" t="n">
        <v>0</v>
      </c>
      <c r="M56" s="25" t="n">
        <v>2.371619539255721</v>
      </c>
      <c r="N56" s="68" t="inlineStr">
        <is>
          <t>Operationnel</t>
        </is>
      </c>
      <c r="O56" s="27" t="n"/>
      <c r="P56" s="28" t="inlineStr">
        <is>
          <t>AKTIVCO</t>
        </is>
      </c>
      <c r="Q56" s="28" t="inlineStr">
        <is>
          <t>POWER ISSUE</t>
        </is>
      </c>
      <c r="R56" s="29" t="inlineStr">
        <is>
          <t>AKTIVCO Defaut GE &amp; Power Cabinet</t>
        </is>
      </c>
      <c r="S56" s="28" t="inlineStr">
        <is>
          <t>PASSIVE</t>
        </is>
      </c>
      <c r="T56" s="29" t="inlineStr">
        <is>
          <t>(04/29/2026 incident ): impacted by    Magba_G_OST_023 , RCA: Power issue / En attente RCA CAMUSAT..;..;(04/29/2026 com ran 17h): Impacted by Magba_G_OST_023..;..;(04/29/2026 com ran 18h): Impacted by Magba_G_OST_023</t>
        </is>
      </c>
    </row>
    <row r="57" ht="18.75" customHeight="1">
      <c r="A57" s="14" t="n">
        <v>46141</v>
      </c>
      <c r="B57" s="23" t="inlineStr">
        <is>
          <t>CTR_406_N_Mbimbim-MTN</t>
        </is>
      </c>
      <c r="C57" s="21" t="inlineStr">
        <is>
          <t>CTR_406</t>
        </is>
      </c>
      <c r="D57" s="53" t="inlineStr">
        <is>
          <t>CENTRE</t>
        </is>
      </c>
      <c r="E57" s="23" t="inlineStr">
        <is>
          <t>IHS</t>
        </is>
      </c>
      <c r="F57" s="23" t="inlineStr">
        <is>
          <t>Solar-Gen</t>
        </is>
      </c>
      <c r="G57" s="53" t="inlineStr">
        <is>
          <t>CENTRE</t>
        </is>
      </c>
      <c r="H57" s="23" t="inlineStr">
        <is>
          <t>Mbimbim</t>
        </is>
      </c>
      <c r="I57" s="56" t="inlineStr">
        <is>
          <t>NOKIA</t>
        </is>
      </c>
      <c r="J57" s="25" t="n">
        <v>6.96804971044207</v>
      </c>
      <c r="K57" s="25" t="n">
        <v>2.97294218849346</v>
      </c>
      <c r="L57" s="25" t="n">
        <v>0.7128474382878068</v>
      </c>
      <c r="M57" s="25" t="n">
        <v>2.364829620028063</v>
      </c>
      <c r="N57" s="68" t="inlineStr">
        <is>
          <t>Operationnel</t>
        </is>
      </c>
      <c r="O57" s="27" t="n"/>
      <c r="P57" s="28" t="inlineStr">
        <is>
          <t>BSS</t>
        </is>
      </c>
      <c r="Q57" s="28" t="inlineStr">
        <is>
          <t>RAN ISSUE</t>
        </is>
      </c>
      <c r="R57" s="29" t="inlineStr">
        <is>
          <t>BSS Hardware issue</t>
        </is>
      </c>
      <c r="S57" s="28" t="inlineStr">
        <is>
          <t>ACTIVE</t>
        </is>
      </c>
      <c r="T57" s="29" t="inlineStr">
        <is>
          <t>(04/29/2026 groupe whatsapp incident mgmt  ):   Deconnextion cable ethernet  , Action : apres le sertissage du cable radio ethernet ||    (04/29/2026 incident ): impacted by  CTR_301_N_Matsari ,UPDATE 3: ODU Matsari dir Yoko ne reagit pas après check avec le level 0, check en aérien du FME des l'aube sur site..;..;(04/29/2026 com ran 17h): Impacted by Magba_G_OST_023..;..;(04/29/2026 com ran 18h): Impacted by Magba_G_OST_023..;..;(04/29/2026 ticket): INC-20260429-00006419  ;  2026-04-29 10:13:04  ;  
FME Willy activer ETA=45 Minute(12H UTC +1)  ;  
En Attente RCA IHS  ;  Other  ;  
Souci Energie  ;  user:ABANDA	Jean Roland</t>
        </is>
      </c>
    </row>
    <row r="58" ht="18.75" customHeight="1">
      <c r="A58" s="14" t="n">
        <v>46141</v>
      </c>
      <c r="B58" s="23" t="inlineStr">
        <is>
          <t>Buea-Universite</t>
        </is>
      </c>
      <c r="C58" s="21" t="inlineStr">
        <is>
          <t>SUO_062</t>
        </is>
      </c>
      <c r="D58" s="53" t="inlineStr">
        <is>
          <t>SUD-OUEST</t>
        </is>
      </c>
      <c r="E58" s="23" t="inlineStr">
        <is>
          <t>IHS</t>
        </is>
      </c>
      <c r="F58" s="23" t="inlineStr">
        <is>
          <t>Grid-Gen</t>
        </is>
      </c>
      <c r="G58" s="53" t="inlineStr">
        <is>
          <t>SUD-OUEST</t>
        </is>
      </c>
      <c r="H58" s="23" t="inlineStr">
        <is>
          <t>Buea</t>
        </is>
      </c>
      <c r="I58" s="55" t="inlineStr">
        <is>
          <t>Huawei</t>
        </is>
      </c>
      <c r="J58" s="25" t="n">
        <v>1.997080440751532</v>
      </c>
      <c r="K58" s="25" t="n">
        <v>3.41840538096161</v>
      </c>
      <c r="L58" s="25" t="n">
        <v>1.635288552248247</v>
      </c>
      <c r="M58" s="25" t="n">
        <v>2.285565286374286</v>
      </c>
      <c r="N58" s="68" t="inlineStr">
        <is>
          <t>Operationnel</t>
        </is>
      </c>
      <c r="O58" s="27" t="n"/>
      <c r="P58" s="28" t="inlineStr">
        <is>
          <t>SST &amp; DC</t>
        </is>
      </c>
      <c r="Q58" s="28" t="inlineStr">
        <is>
          <t>POWER ISSUE</t>
        </is>
      </c>
      <c r="R58" s="29" t="inlineStr">
        <is>
          <t>Sites strategiques &amp; DataCenter</t>
        </is>
      </c>
      <c r="S58" s="28" t="inlineStr">
        <is>
          <t>PASSIVE</t>
        </is>
      </c>
      <c r="T58" s="29" t="inlineStr">
        <is>
          <t>(04/29/2026 incident ): impacted by  SUO_023_H_Buea-Signal-Hill  Souci d'energie defaut GE || Action  En attente RCA  de OCM..;..;(04/29/2026 hourly IHS): fme abdel will be on site at 03:35PM</t>
        </is>
      </c>
    </row>
    <row r="59" ht="18.75" customHeight="1">
      <c r="A59" s="14" t="n">
        <v>46141</v>
      </c>
      <c r="B59" s="23" t="inlineStr">
        <is>
          <t>Kuruda</t>
        </is>
      </c>
      <c r="C59" s="21" t="inlineStr">
        <is>
          <t>EXN_208</t>
        </is>
      </c>
      <c r="D59" s="53" t="inlineStr">
        <is>
          <t>EXTREME-NORD</t>
        </is>
      </c>
      <c r="E59" s="23" t="inlineStr">
        <is>
          <t>IHS</t>
        </is>
      </c>
      <c r="F59" s="23" t="inlineStr">
        <is>
          <t>Hybrid-Gen</t>
        </is>
      </c>
      <c r="G59" s="53" t="inlineStr">
        <is>
          <t>EXTREME-NORD</t>
        </is>
      </c>
      <c r="H59" s="23" t="inlineStr">
        <is>
          <t>Kuruda</t>
        </is>
      </c>
      <c r="I59" s="56" t="inlineStr">
        <is>
          <t>NOKIA</t>
        </is>
      </c>
      <c r="J59" s="25" t="n">
        <v>7.332869720913316</v>
      </c>
      <c r="K59" s="25" t="n">
        <v>3.131113436893346</v>
      </c>
      <c r="L59" s="25" t="n">
        <v>0</v>
      </c>
      <c r="M59" s="25" t="n">
        <v>2.098284013250052</v>
      </c>
      <c r="N59" s="68" t="inlineStr">
        <is>
          <t>Insecurity</t>
        </is>
      </c>
      <c r="O59" s="27" t="n"/>
      <c r="P59" s="28" t="inlineStr">
        <is>
          <t>AKTIVCO</t>
        </is>
      </c>
      <c r="Q59" s="28" t="inlineStr">
        <is>
          <t>POWER ISSUE</t>
        </is>
      </c>
      <c r="R59" s="29" t="inlineStr">
        <is>
          <t>AKTIVCO Defaut GE &amp; Power Cabinet</t>
        </is>
      </c>
      <c r="S59" s="28" t="inlineStr">
        <is>
          <t>PASSIVE</t>
        </is>
      </c>
      <c r="T59" s="29" t="inlineStr">
        <is>
          <t>(04/29/2026 incident ): impacted by  Bagarao_G_EXN_202  ,Power issue observed from efms. Voltage  Drop (From 53v to 46v). CAMUSAT As disucussed please for support || Nouvelle ETA depasse ESCALADE faite au L2 SAMBA . Update ASAP..;..;(04/29/2026 com ran 17h): Impacted by Bagarao_G9U9U21_EXN_202..;..;(04/29/2026 com ran 18h): Impacted by Bagarao_G9U9U21_EXN_202..;..;(04/29/2026 ticket): INC-20260429-00011199</t>
        </is>
      </c>
    </row>
    <row r="60" ht="18.75" customHeight="1">
      <c r="A60" s="14" t="n">
        <v>46141</v>
      </c>
      <c r="B60" s="23" t="inlineStr">
        <is>
          <t>Garoua-Lainde-II</t>
        </is>
      </c>
      <c r="C60" s="21" t="inlineStr">
        <is>
          <t>NRD_145</t>
        </is>
      </c>
      <c r="D60" s="53" t="inlineStr">
        <is>
          <t>Garoua</t>
        </is>
      </c>
      <c r="E60" s="23" t="inlineStr">
        <is>
          <t>CAMUSAT</t>
        </is>
      </c>
      <c r="F60" s="23" t="inlineStr">
        <is>
          <t>Medium Grid + GE</t>
        </is>
      </c>
      <c r="G60" s="53" t="inlineStr">
        <is>
          <t>NORD</t>
        </is>
      </c>
      <c r="H60" s="23" t="inlineStr">
        <is>
          <t>Garoua</t>
        </is>
      </c>
      <c r="I60" s="55" t="inlineStr">
        <is>
          <t>Huawei</t>
        </is>
      </c>
      <c r="J60" s="25" t="n">
        <v>1.542460503019476</v>
      </c>
      <c r="K60" s="25" t="n">
        <v>1.970450782187678</v>
      </c>
      <c r="L60" s="25" t="n">
        <v>2.129312250611229</v>
      </c>
      <c r="M60" s="25" t="n">
        <v>1.992178248053123</v>
      </c>
      <c r="N60" s="68" t="inlineStr">
        <is>
          <t>Operationnel</t>
        </is>
      </c>
      <c r="O60" s="27" t="n"/>
      <c r="P60" s="28" t="inlineStr">
        <is>
          <t>IHS</t>
        </is>
      </c>
      <c r="Q60" s="28" t="inlineStr">
        <is>
          <t>POWER ISSUE</t>
        </is>
      </c>
      <c r="R60" s="29" t="inlineStr">
        <is>
          <t>Defaut GE &amp; Power Cabinet</t>
        </is>
      </c>
      <c r="S60" s="28" t="inlineStr">
        <is>
          <t>PASSIVE</t>
        </is>
      </c>
      <c r="T60" s="29" t="inlineStr">
        <is>
          <t>(04/29/2026 incident ): impacted by   NRD_009_H_Garoua-Lainde , RCA: Power issue / En attente RCA IHS</t>
        </is>
      </c>
    </row>
    <row r="61" ht="18.75" customHeight="1">
      <c r="A61" s="14" t="n">
        <v>46141</v>
      </c>
      <c r="B61" s="23" t="inlineStr">
        <is>
          <t>Molyko-Paramount-Street-IHS</t>
        </is>
      </c>
      <c r="C61" s="21" t="inlineStr">
        <is>
          <t>SUO_179</t>
        </is>
      </c>
      <c r="D61" s="53" t="inlineStr">
        <is>
          <t>SUD-OUEST</t>
        </is>
      </c>
      <c r="E61" s="23" t="inlineStr">
        <is>
          <t>IHS</t>
        </is>
      </c>
      <c r="F61" s="23" t="inlineStr">
        <is>
          <t>Grid-Gen</t>
        </is>
      </c>
      <c r="G61" s="53" t="inlineStr">
        <is>
          <t>SUD-OUEST</t>
        </is>
      </c>
      <c r="H61" s="23" t="inlineStr">
        <is>
          <t>Buea</t>
        </is>
      </c>
      <c r="I61" s="55" t="inlineStr">
        <is>
          <t>Huawei</t>
        </is>
      </c>
      <c r="J61" s="25" t="n">
        <v>1.176516432262628</v>
      </c>
      <c r="K61" s="25" t="n">
        <v>1.50139955662998</v>
      </c>
      <c r="L61" s="25" t="n">
        <v>2.444981252749706</v>
      </c>
      <c r="M61" s="25" t="n">
        <v>1.947073334988429</v>
      </c>
      <c r="N61" s="68" t="inlineStr">
        <is>
          <t>Operationnel</t>
        </is>
      </c>
      <c r="O61" s="27" t="n"/>
      <c r="P61" s="28" t="inlineStr">
        <is>
          <t>SST &amp; DC</t>
        </is>
      </c>
      <c r="Q61" s="28" t="inlineStr">
        <is>
          <t>POWER ISSUE</t>
        </is>
      </c>
      <c r="R61" s="29" t="inlineStr">
        <is>
          <t>Sites strategiques &amp; DataCenter</t>
        </is>
      </c>
      <c r="S61" s="28" t="inlineStr">
        <is>
          <t>PASSIVE</t>
        </is>
      </c>
      <c r="T61" s="29" t="inlineStr">
        <is>
          <t>(04/29/2026 incident ): impacted by  SUO_023_H_Buea-Signal-Hill  Souci d'energie defaut GE || Action  En attente RCA  de OCM</t>
        </is>
      </c>
    </row>
    <row r="62" ht="18.75" customHeight="1">
      <c r="A62" s="14" t="n">
        <v>46141</v>
      </c>
      <c r="B62" s="23" t="inlineStr">
        <is>
          <t>Buea-Wokoko-IHS</t>
        </is>
      </c>
      <c r="C62" s="21" t="inlineStr">
        <is>
          <t>SUO_185</t>
        </is>
      </c>
      <c r="D62" s="53" t="inlineStr">
        <is>
          <t>SUD-OUEST</t>
        </is>
      </c>
      <c r="E62" s="23" t="inlineStr">
        <is>
          <t>IHS</t>
        </is>
      </c>
      <c r="F62" s="23" t="inlineStr">
        <is>
          <t>Grid-Gen</t>
        </is>
      </c>
      <c r="G62" s="53" t="inlineStr">
        <is>
          <t>SUD-OUEST</t>
        </is>
      </c>
      <c r="H62" s="23" t="inlineStr">
        <is>
          <t>Buea</t>
        </is>
      </c>
      <c r="I62" s="55" t="inlineStr">
        <is>
          <t>Huawei</t>
        </is>
      </c>
      <c r="J62" s="25" t="n">
        <v>1.175267476389738</v>
      </c>
      <c r="K62" s="25" t="n">
        <v>1.501133925626719</v>
      </c>
      <c r="L62" s="25" t="n">
        <v>2.443784241365648</v>
      </c>
      <c r="M62" s="25" t="n">
        <v>1.946181581072558</v>
      </c>
      <c r="N62" s="68" t="inlineStr">
        <is>
          <t>Operationnel</t>
        </is>
      </c>
      <c r="O62" s="27" t="n"/>
      <c r="P62" s="28" t="inlineStr">
        <is>
          <t>SST &amp; DC</t>
        </is>
      </c>
      <c r="Q62" s="28" t="inlineStr">
        <is>
          <t>POWER ISSUE</t>
        </is>
      </c>
      <c r="R62" s="29" t="inlineStr">
        <is>
          <t>Sites strategiques &amp; DataCenter</t>
        </is>
      </c>
      <c r="S62" s="28" t="inlineStr">
        <is>
          <t>PASSIVE</t>
        </is>
      </c>
      <c r="T62" s="29" t="inlineStr">
        <is>
          <t>(04/29/2026 incident ): impacted by  SUO_023_H_Buea-Signal-Hill  Souci d'energie defaut GE || Action  En attente RCA  de OCM</t>
        </is>
      </c>
    </row>
    <row r="63" ht="18.75" customHeight="1">
      <c r="A63" s="14" t="n">
        <v>46141</v>
      </c>
      <c r="B63" s="23" t="inlineStr">
        <is>
          <t>Hopital-General-Garoua</t>
        </is>
      </c>
      <c r="C63" s="21" t="inlineStr">
        <is>
          <t>NRD_189</t>
        </is>
      </c>
      <c r="D63" s="53" t="inlineStr">
        <is>
          <t>Garoua</t>
        </is>
      </c>
      <c r="E63" s="23" t="n"/>
      <c r="F63" s="23" t="n"/>
      <c r="G63" s="53" t="inlineStr">
        <is>
          <t>NORD</t>
        </is>
      </c>
      <c r="H63" s="23" t="inlineStr">
        <is>
          <t>Garoua</t>
        </is>
      </c>
      <c r="I63" s="55" t="inlineStr">
        <is>
          <t>Huawei</t>
        </is>
      </c>
      <c r="J63" s="25" t="n">
        <v>1.46877210651895</v>
      </c>
      <c r="K63" s="25" t="n">
        <v>1.878754959862093</v>
      </c>
      <c r="L63" s="25" t="n">
        <v>2.11169908310296</v>
      </c>
      <c r="M63" s="25" t="n">
        <v>1.941687141336575</v>
      </c>
      <c r="N63" s="68" t="inlineStr">
        <is>
          <t>Operationnel</t>
        </is>
      </c>
      <c r="O63" s="27" t="n"/>
      <c r="P63" s="28" t="inlineStr">
        <is>
          <t>IHS</t>
        </is>
      </c>
      <c r="Q63" s="28" t="inlineStr">
        <is>
          <t>POWER ISSUE</t>
        </is>
      </c>
      <c r="R63" s="29" t="inlineStr">
        <is>
          <t>Defaut GE &amp; Power Cabinet</t>
        </is>
      </c>
      <c r="S63" s="28" t="inlineStr">
        <is>
          <t>PASSIVE</t>
        </is>
      </c>
      <c r="T63" s="29" t="inlineStr">
        <is>
          <t>(04/29/2026 incident ): impacted by   NRD_009_H_Garoua-Lainde , RCA: Power issue / En attente RCA IHS</t>
        </is>
      </c>
    </row>
    <row r="64" ht="18.75" customHeight="1">
      <c r="A64" s="14" t="n">
        <v>46141</v>
      </c>
      <c r="B64" s="23" t="inlineStr">
        <is>
          <t>Efoulan</t>
        </is>
      </c>
      <c r="C64" s="23" t="inlineStr">
        <is>
          <t>CTR_209</t>
        </is>
      </c>
      <c r="D64" s="53" t="inlineStr">
        <is>
          <t>Yaounde</t>
        </is>
      </c>
      <c r="E64" s="23" t="inlineStr">
        <is>
          <t>IHS</t>
        </is>
      </c>
      <c r="F64" s="23" t="inlineStr">
        <is>
          <t>Grid-Gen</t>
        </is>
      </c>
      <c r="G64" s="53" t="inlineStr">
        <is>
          <t>CENTRE</t>
        </is>
      </c>
      <c r="H64" s="23" t="inlineStr">
        <is>
          <t>Yaounde</t>
        </is>
      </c>
      <c r="I64" s="54" t="inlineStr">
        <is>
          <t>ZTE</t>
        </is>
      </c>
      <c r="J64" s="25" t="n">
        <v>0.8741442154358956</v>
      </c>
      <c r="K64" s="25" t="n">
        <v>0.7407917418933674</v>
      </c>
      <c r="L64" s="25" t="n">
        <v>2.964484193430474</v>
      </c>
      <c r="M64" s="25" t="n">
        <v>1.9194646337531</v>
      </c>
      <c r="N64" s="68" t="inlineStr">
        <is>
          <t>Operationnel</t>
        </is>
      </c>
      <c r="O64" s="27" t="n"/>
      <c r="P64" s="28" t="inlineStr">
        <is>
          <t>AKTIVCO GRID ONLY</t>
        </is>
      </c>
      <c r="Q64" s="28" t="inlineStr">
        <is>
          <t>POWER ISSUE</t>
        </is>
      </c>
      <c r="R64" s="29" t="inlineStr">
        <is>
          <t>AKTIVCO Coupure ENEO &amp; Baisse de tension</t>
        </is>
      </c>
      <c r="S64" s="28" t="inlineStr">
        <is>
          <t>PASSIVE</t>
        </is>
      </c>
      <c r="T64" s="29" t="inlineStr">
        <is>
          <t>(04/29/2026 incident ): impacted by  CTR_773_Z_Efoulan-Pont(CTR-773), soucis d'energie || Action : en ettente RCA CAMSUSAT..;..;(04/29/2026 ticket): INC-20260429-00007543  ;  power   ;  Others Transmission equipement fault</t>
        </is>
      </c>
    </row>
    <row r="65" ht="18.75" customHeight="1">
      <c r="A65" s="14" t="n">
        <v>46141</v>
      </c>
      <c r="B65" s="32" t="inlineStr">
        <is>
          <t>NRD_255_H_Garoua-Universite</t>
        </is>
      </c>
      <c r="C65" s="33" t="inlineStr">
        <is>
          <t>NRD_255</t>
        </is>
      </c>
      <c r="D65" s="53" t="n"/>
      <c r="E65" s="32" t="inlineStr">
        <is>
          <t>ESCO</t>
        </is>
      </c>
      <c r="F65" s="32" t="inlineStr">
        <is>
          <t>Hybrid Solar - S1</t>
        </is>
      </c>
      <c r="G65" s="32" t="inlineStr">
        <is>
          <t>NRD</t>
        </is>
      </c>
      <c r="H65" s="32" t="inlineStr">
        <is>
          <t>Garoua</t>
        </is>
      </c>
      <c r="I65" s="55" t="inlineStr">
        <is>
          <t>Huawei</t>
        </is>
      </c>
      <c r="J65" s="25" t="n">
        <v>1.466898672709615</v>
      </c>
      <c r="K65" s="25" t="n">
        <v>1.881623774697308</v>
      </c>
      <c r="L65" s="25" t="n">
        <v>1.974726780441572</v>
      </c>
      <c r="M65" s="25" t="n">
        <v>1.870953220729783</v>
      </c>
      <c r="N65" s="68" t="inlineStr">
        <is>
          <t>EXCLU</t>
        </is>
      </c>
      <c r="O65" s="68" t="inlineStr">
        <is>
          <t xml:space="preserve"> not accepted</t>
        </is>
      </c>
      <c r="P65" s="28" t="inlineStr">
        <is>
          <t>Exclu</t>
        </is>
      </c>
      <c r="Q65" s="28" t="inlineStr">
        <is>
          <t>Exclu</t>
        </is>
      </c>
      <c r="R65" s="29" t="inlineStr">
        <is>
          <t>EXCLU</t>
        </is>
      </c>
      <c r="S65" s="28" t="inlineStr">
        <is>
          <t>Exclu</t>
        </is>
      </c>
      <c r="T65" s="29" t="inlineStr">
        <is>
          <t>(04/29/2026 incident ): impacted by   NRD_009_H_Garoua-Lainde , RCA: Power issue / En attente RCA IHS</t>
        </is>
      </c>
    </row>
    <row r="66" ht="18.75" customHeight="1">
      <c r="A66" s="14" t="n">
        <v>46141</v>
      </c>
      <c r="B66" s="23" t="inlineStr">
        <is>
          <t>Poumpoumrey</t>
        </is>
      </c>
      <c r="C66" s="21" t="inlineStr">
        <is>
          <t>NRD_038</t>
        </is>
      </c>
      <c r="D66" s="53" t="inlineStr">
        <is>
          <t>Garoua</t>
        </is>
      </c>
      <c r="E66" s="23" t="inlineStr">
        <is>
          <t>IHS</t>
        </is>
      </c>
      <c r="F66" s="23" t="inlineStr">
        <is>
          <t>Grid-Gen</t>
        </is>
      </c>
      <c r="G66" s="53" t="inlineStr">
        <is>
          <t>NORD</t>
        </is>
      </c>
      <c r="H66" s="23" t="inlineStr">
        <is>
          <t>Garoua</t>
        </is>
      </c>
      <c r="I66" s="55" t="inlineStr">
        <is>
          <t>Huawei</t>
        </is>
      </c>
      <c r="J66" s="25" t="n">
        <v>1.543709458892366</v>
      </c>
      <c r="K66" s="25" t="n">
        <v>1.970716413190938</v>
      </c>
      <c r="L66" s="25" t="n">
        <v>1.827836383455141</v>
      </c>
      <c r="M66" s="25" t="n">
        <v>1.835229558860039</v>
      </c>
      <c r="N66" s="68" t="inlineStr">
        <is>
          <t>Operationnel</t>
        </is>
      </c>
      <c r="O66" s="27" t="n"/>
      <c r="P66" s="28" t="inlineStr">
        <is>
          <t>IHS</t>
        </is>
      </c>
      <c r="Q66" s="28" t="inlineStr">
        <is>
          <t>POWER ISSUE</t>
        </is>
      </c>
      <c r="R66" s="29" t="inlineStr">
        <is>
          <t>Defaut GE &amp; Power Cabinet</t>
        </is>
      </c>
      <c r="S66" s="28" t="inlineStr">
        <is>
          <t>PASSIVE</t>
        </is>
      </c>
      <c r="T66" s="29" t="inlineStr">
        <is>
          <t>(04/29/2026 incident ): impacted by   NRD_009_H_Garoua-Lainde , RCA: Power issue / En attente RCA IHS</t>
        </is>
      </c>
    </row>
    <row r="67" ht="18.75" customHeight="1">
      <c r="A67" s="14" t="n">
        <v>46141</v>
      </c>
      <c r="B67" s="23" t="inlineStr">
        <is>
          <t>Garoua-Stade</t>
        </is>
      </c>
      <c r="C67" s="21" t="inlineStr">
        <is>
          <t>NRD_143</t>
        </is>
      </c>
      <c r="D67" s="53" t="inlineStr">
        <is>
          <t>Garoua</t>
        </is>
      </c>
      <c r="E67" s="23" t="inlineStr">
        <is>
          <t>CAMUSAT</t>
        </is>
      </c>
      <c r="F67" s="23" t="inlineStr">
        <is>
          <t>Good Grid + GE</t>
        </is>
      </c>
      <c r="G67" s="53" t="inlineStr">
        <is>
          <t>NORD</t>
        </is>
      </c>
      <c r="H67" s="23" t="inlineStr">
        <is>
          <t>Garoua</t>
        </is>
      </c>
      <c r="I67" s="55" t="inlineStr">
        <is>
          <t>Huawei</t>
        </is>
      </c>
      <c r="J67" s="25" t="n">
        <v>1.361986379386833</v>
      </c>
      <c r="K67" s="25" t="n">
        <v>1.731382879253071</v>
      </c>
      <c r="L67" s="25" t="n">
        <v>2.020897219540916</v>
      </c>
      <c r="M67" s="25" t="n">
        <v>1.829611509190059</v>
      </c>
      <c r="N67" s="68" t="inlineStr">
        <is>
          <t>Operationnel</t>
        </is>
      </c>
      <c r="O67" s="27" t="n"/>
      <c r="P67" s="28" t="inlineStr">
        <is>
          <t>IHS</t>
        </is>
      </c>
      <c r="Q67" s="28" t="inlineStr">
        <is>
          <t>POWER ISSUE</t>
        </is>
      </c>
      <c r="R67" s="29" t="inlineStr">
        <is>
          <t>Defaut GE &amp; Power Cabinet</t>
        </is>
      </c>
      <c r="S67" s="28" t="inlineStr">
        <is>
          <t>PASSIVE</t>
        </is>
      </c>
      <c r="T67" s="29" t="inlineStr">
        <is>
          <t>(04/29/2026 incident ): impacted by   NRD_009_H_Garoua-Lainde , RCA: Power issue / En attente RCA IHS</t>
        </is>
      </c>
    </row>
    <row r="68" ht="18.75" customHeight="1">
      <c r="A68" s="14" t="n">
        <v>46141</v>
      </c>
      <c r="B68" s="23" t="inlineStr">
        <is>
          <t>Marouare-New</t>
        </is>
      </c>
      <c r="C68" s="21" t="inlineStr">
        <is>
          <t>NRD_130</t>
        </is>
      </c>
      <c r="D68" s="53" t="inlineStr">
        <is>
          <t>Garoua</t>
        </is>
      </c>
      <c r="E68" s="23" t="inlineStr">
        <is>
          <t>IHS</t>
        </is>
      </c>
      <c r="F68" s="23" t="inlineStr">
        <is>
          <t>Grid-Gen</t>
        </is>
      </c>
      <c r="G68" s="53" t="inlineStr">
        <is>
          <t>NORD</t>
        </is>
      </c>
      <c r="H68" s="23" t="inlineStr">
        <is>
          <t>Garoua</t>
        </is>
      </c>
      <c r="I68" s="55" t="inlineStr">
        <is>
          <t>Huawei</t>
        </is>
      </c>
      <c r="J68" s="25" t="n">
        <v>1.354492644149491</v>
      </c>
      <c r="K68" s="25" t="n">
        <v>1.730851617246549</v>
      </c>
      <c r="L68" s="25" t="n">
        <v>1.994733970717955</v>
      </c>
      <c r="M68" s="25" t="n">
        <v>1.814719218795034</v>
      </c>
      <c r="N68" s="68" t="inlineStr">
        <is>
          <t>Operationnel</t>
        </is>
      </c>
      <c r="O68" s="27" t="n"/>
      <c r="P68" s="28" t="inlineStr">
        <is>
          <t>IHS</t>
        </is>
      </c>
      <c r="Q68" s="28" t="inlineStr">
        <is>
          <t>POWER ISSUE</t>
        </is>
      </c>
      <c r="R68" s="29" t="inlineStr">
        <is>
          <t>Defaut GE &amp; Power Cabinet</t>
        </is>
      </c>
      <c r="S68" s="28" t="inlineStr">
        <is>
          <t>PASSIVE</t>
        </is>
      </c>
      <c r="T68" s="29" t="inlineStr">
        <is>
          <t>(04/29/2026 incident ): impacted by   NRD_009_H_Garoua-Lainde , RCA: Power issue / En attente RCA IHS</t>
        </is>
      </c>
    </row>
    <row r="69" ht="18.75" customHeight="1">
      <c r="A69" s="14" t="n">
        <v>46141</v>
      </c>
      <c r="B69" s="23" t="inlineStr">
        <is>
          <t>MOLYKO-CHIEF-STREET-MTN</t>
        </is>
      </c>
      <c r="C69" s="21" t="inlineStr">
        <is>
          <t>SUO_228</t>
        </is>
      </c>
      <c r="D69" s="53" t="inlineStr">
        <is>
          <t>SUD-OUEST</t>
        </is>
      </c>
      <c r="E69" s="23" t="inlineStr">
        <is>
          <t>MTN sharing</t>
        </is>
      </c>
      <c r="F69" s="23" t="n"/>
      <c r="G69" s="53" t="inlineStr">
        <is>
          <t>SUD-OUEST</t>
        </is>
      </c>
      <c r="H69" s="23" t="inlineStr">
        <is>
          <t>Buea</t>
        </is>
      </c>
      <c r="I69" s="55" t="inlineStr">
        <is>
          <t>Huawei</t>
        </is>
      </c>
      <c r="J69" s="25" t="n">
        <v>1.305783365106771</v>
      </c>
      <c r="K69" s="25" t="n">
        <v>2.233850485020962</v>
      </c>
      <c r="L69" s="25" t="n">
        <v>1.680774984842416</v>
      </c>
      <c r="M69" s="25" t="n">
        <v>1.812900040806659</v>
      </c>
      <c r="N69" s="68" t="inlineStr">
        <is>
          <t>Operationnel</t>
        </is>
      </c>
      <c r="O69" s="27" t="n"/>
      <c r="P69" s="28" t="inlineStr">
        <is>
          <t>SST &amp; DC</t>
        </is>
      </c>
      <c r="Q69" s="28" t="inlineStr">
        <is>
          <t>POWER ISSUE</t>
        </is>
      </c>
      <c r="R69" s="29" t="inlineStr">
        <is>
          <t>Sites strategiques &amp; DataCenter</t>
        </is>
      </c>
      <c r="S69" s="28" t="inlineStr">
        <is>
          <t>PASSIVE</t>
        </is>
      </c>
      <c r="T69" s="29" t="inlineStr">
        <is>
          <t>(04/29/2026 incident ): impacted by  SUO_023_H_Buea-Signal-Hill  Souci d'energie defaut GE || Action  En attente RCA  de OCM</t>
        </is>
      </c>
    </row>
    <row r="70" ht="18.75" customHeight="1">
      <c r="A70" s="14" t="n">
        <v>46141</v>
      </c>
      <c r="B70" s="23" t="inlineStr">
        <is>
          <t>GSS-BUEA-TOWN-IHS</t>
        </is>
      </c>
      <c r="C70" s="21" t="inlineStr">
        <is>
          <t>SUO_184</t>
        </is>
      </c>
      <c r="D70" s="53" t="inlineStr">
        <is>
          <t>SUD-OUEST</t>
        </is>
      </c>
      <c r="E70" s="23" t="inlineStr">
        <is>
          <t>IHS</t>
        </is>
      </c>
      <c r="F70" s="23" t="inlineStr">
        <is>
          <t>Grid-Gen</t>
        </is>
      </c>
      <c r="G70" s="53" t="inlineStr">
        <is>
          <t>SUD-OUEST</t>
        </is>
      </c>
      <c r="H70" s="23" t="inlineStr">
        <is>
          <t>Buea</t>
        </is>
      </c>
      <c r="I70" s="55" t="inlineStr">
        <is>
          <t>Huawei</t>
        </is>
      </c>
      <c r="J70" s="25" t="n">
        <v>1.229597056860465</v>
      </c>
      <c r="K70" s="25" t="n">
        <v>2.080847027142814</v>
      </c>
      <c r="L70" s="25" t="n">
        <v>1.763710773594942</v>
      </c>
      <c r="M70" s="25" t="n">
        <v>1.793905682398633</v>
      </c>
      <c r="N70" s="68" t="inlineStr">
        <is>
          <t>Operationnel</t>
        </is>
      </c>
      <c r="O70" s="27" t="n"/>
      <c r="P70" s="28" t="inlineStr">
        <is>
          <t>SST &amp; DC</t>
        </is>
      </c>
      <c r="Q70" s="28" t="inlineStr">
        <is>
          <t>POWER ISSUE</t>
        </is>
      </c>
      <c r="R70" s="29" t="inlineStr">
        <is>
          <t>Sites strategiques &amp; DataCenter</t>
        </is>
      </c>
      <c r="S70" s="28" t="inlineStr">
        <is>
          <t>PASSIVE</t>
        </is>
      </c>
      <c r="T70" s="29" t="inlineStr">
        <is>
          <t>(04/29/2026 incident ): impacted by  SUO_023_H_Buea-Signal-Hill  Souci d'energie defaut GE || Action  En attente RCA  de OCM</t>
        </is>
      </c>
    </row>
    <row r="71" ht="18.75" customHeight="1">
      <c r="A71" s="14" t="n">
        <v>46141</v>
      </c>
      <c r="B71" s="23" t="inlineStr">
        <is>
          <t>Garoua-Sonayo</t>
        </is>
      </c>
      <c r="C71" s="21" t="inlineStr">
        <is>
          <t>NRD_162</t>
        </is>
      </c>
      <c r="D71" s="53" t="inlineStr">
        <is>
          <t>Garoua</t>
        </is>
      </c>
      <c r="E71" s="23" t="inlineStr">
        <is>
          <t>CAMUSAT</t>
        </is>
      </c>
      <c r="F71" s="23" t="inlineStr">
        <is>
          <t>Medium Grid + GE</t>
        </is>
      </c>
      <c r="G71" s="53" t="inlineStr">
        <is>
          <t>NORD</t>
        </is>
      </c>
      <c r="H71" s="23" t="inlineStr">
        <is>
          <t>Garoua</t>
        </is>
      </c>
      <c r="I71" s="55" t="inlineStr">
        <is>
          <t>Huawei</t>
        </is>
      </c>
      <c r="J71" s="25" t="n">
        <v>1.361986379386833</v>
      </c>
      <c r="K71" s="25" t="n">
        <v>1.730851617246549</v>
      </c>
      <c r="L71" s="25" t="n">
        <v>1.931634370615519</v>
      </c>
      <c r="M71" s="25" t="n">
        <v>1.782883603998482</v>
      </c>
      <c r="N71" s="68" t="inlineStr">
        <is>
          <t>Operationnel</t>
        </is>
      </c>
      <c r="O71" s="27" t="n"/>
      <c r="P71" s="28" t="inlineStr">
        <is>
          <t>IHS</t>
        </is>
      </c>
      <c r="Q71" s="28" t="inlineStr">
        <is>
          <t>POWER ISSUE</t>
        </is>
      </c>
      <c r="R71" s="29" t="inlineStr">
        <is>
          <t>Defaut GE &amp; Power Cabinet</t>
        </is>
      </c>
      <c r="S71" s="28" t="inlineStr">
        <is>
          <t>PASSIVE</t>
        </is>
      </c>
      <c r="T71" s="29" t="inlineStr">
        <is>
          <t>(04/29/2026 incident ): impacted by   NRD_009_H_Garoua-Lainde , RCA: Power issue / En attente RCA IHS</t>
        </is>
      </c>
    </row>
    <row r="72" ht="18.75" customHeight="1">
      <c r="A72" s="14" t="n">
        <v>46141</v>
      </c>
      <c r="B72" s="23" t="inlineStr">
        <is>
          <t>Buea-GRA-HIS</t>
        </is>
      </c>
      <c r="C72" s="21" t="inlineStr">
        <is>
          <t>SUO_242</t>
        </is>
      </c>
      <c r="D72" s="53" t="inlineStr">
        <is>
          <t>SUD-OUEST</t>
        </is>
      </c>
      <c r="E72" s="23" t="inlineStr">
        <is>
          <t>IHS</t>
        </is>
      </c>
      <c r="F72" s="23" t="inlineStr">
        <is>
          <t>Grid-Gen</t>
        </is>
      </c>
      <c r="G72" s="53" t="inlineStr">
        <is>
          <t>SUD-OUEST</t>
        </is>
      </c>
      <c r="H72" s="23" t="inlineStr">
        <is>
          <t>Buea</t>
        </is>
      </c>
      <c r="I72" s="55" t="inlineStr">
        <is>
          <t>Huawei</t>
        </is>
      </c>
      <c r="J72" s="25" t="n">
        <v>1.173394042580403</v>
      </c>
      <c r="K72" s="25" t="n">
        <v>2.009764170670257</v>
      </c>
      <c r="L72" s="25" t="n">
        <v>1.760803745947945</v>
      </c>
      <c r="M72" s="25" t="n">
        <v>1.76050058071015</v>
      </c>
      <c r="N72" s="68" t="inlineStr">
        <is>
          <t>Operationnel</t>
        </is>
      </c>
      <c r="O72" s="27" t="n"/>
      <c r="P72" s="28" t="inlineStr">
        <is>
          <t>SST &amp; DC</t>
        </is>
      </c>
      <c r="Q72" s="28" t="inlineStr">
        <is>
          <t>POWER ISSUE</t>
        </is>
      </c>
      <c r="R72" s="29" t="inlineStr">
        <is>
          <t>Sites strategiques &amp; DataCenter</t>
        </is>
      </c>
      <c r="S72" s="28" t="inlineStr">
        <is>
          <t>PASSIVE</t>
        </is>
      </c>
      <c r="T72" s="29" t="inlineStr">
        <is>
          <t>(04/29/2026 incident ): impacted by  SUO_023_H_Buea-Signal-Hill  Souci d'energie defaut GE || Action  En attente RCA  de OCM</t>
        </is>
      </c>
    </row>
    <row r="73" ht="18.75" customHeight="1">
      <c r="A73" s="14" t="n">
        <v>46141</v>
      </c>
      <c r="B73" s="23" t="inlineStr">
        <is>
          <t>Buea-Salvation-Pharmacy-HIS</t>
        </is>
      </c>
      <c r="C73" s="21" t="inlineStr">
        <is>
          <t>SUO_259</t>
        </is>
      </c>
      <c r="D73" s="53" t="inlineStr">
        <is>
          <t>SUD-OUEST</t>
        </is>
      </c>
      <c r="E73" s="23" t="inlineStr">
        <is>
          <t>IHS</t>
        </is>
      </c>
      <c r="F73" s="23" t="n"/>
      <c r="G73" s="53" t="inlineStr">
        <is>
          <t>SUD-OUEST</t>
        </is>
      </c>
      <c r="H73" s="23" t="inlineStr">
        <is>
          <t>Buea</t>
        </is>
      </c>
      <c r="I73" s="55" t="inlineStr">
        <is>
          <t>Huawei</t>
        </is>
      </c>
      <c r="J73" s="25" t="n">
        <v>1.177140910199074</v>
      </c>
      <c r="K73" s="25" t="n">
        <v>2.006310967627868</v>
      </c>
      <c r="L73" s="25" t="n">
        <v>1.755844698785424</v>
      </c>
      <c r="M73" s="25" t="n">
        <v>1.757290266613019</v>
      </c>
      <c r="N73" s="68" t="inlineStr">
        <is>
          <t>Operationnel</t>
        </is>
      </c>
      <c r="O73" s="27" t="n"/>
      <c r="P73" s="28" t="inlineStr">
        <is>
          <t>SST &amp; DC</t>
        </is>
      </c>
      <c r="Q73" s="28" t="inlineStr">
        <is>
          <t>POWER ISSUE</t>
        </is>
      </c>
      <c r="R73" s="29" t="inlineStr">
        <is>
          <t>Sites strategiques &amp; DataCenter</t>
        </is>
      </c>
      <c r="S73" s="28" t="inlineStr">
        <is>
          <t>PASSIVE</t>
        </is>
      </c>
      <c r="T73" s="29" t="inlineStr">
        <is>
          <t>(04/29/2026 incident ): impacted by  SUO_023_H_Buea-Signal-Hill  Souci d'energie defaut GE || Action  En attente RCA  de OCM</t>
        </is>
      </c>
    </row>
    <row r="74" ht="18.75" customHeight="1">
      <c r="A74" s="14" t="n">
        <v>46141</v>
      </c>
      <c r="B74" s="23" t="inlineStr">
        <is>
          <t>Buea-David-Square</t>
        </is>
      </c>
      <c r="C74" s="21" t="inlineStr">
        <is>
          <t>SUO_077</t>
        </is>
      </c>
      <c r="D74" s="53" t="inlineStr">
        <is>
          <t>SUD-OUEST</t>
        </is>
      </c>
      <c r="E74" s="23" t="inlineStr">
        <is>
          <t>IHS</t>
        </is>
      </c>
      <c r="F74" s="23" t="inlineStr">
        <is>
          <t>Grid-Gen</t>
        </is>
      </c>
      <c r="G74" s="53" t="inlineStr">
        <is>
          <t>SUD-OUEST</t>
        </is>
      </c>
      <c r="H74" s="23" t="inlineStr">
        <is>
          <t>Buea</t>
        </is>
      </c>
      <c r="I74" s="55" t="inlineStr">
        <is>
          <t>Huawei</t>
        </is>
      </c>
      <c r="J74" s="25" t="n">
        <v>1.176516432262628</v>
      </c>
      <c r="K74" s="25" t="n">
        <v>2.003229647990044</v>
      </c>
      <c r="L74" s="25" t="n">
        <v>1.757554715048363</v>
      </c>
      <c r="M74" s="25" t="n">
        <v>1.757058410594893</v>
      </c>
      <c r="N74" s="68" t="inlineStr">
        <is>
          <t>Operationnel</t>
        </is>
      </c>
      <c r="O74" s="27" t="n"/>
      <c r="P74" s="28" t="inlineStr">
        <is>
          <t>SST &amp; DC</t>
        </is>
      </c>
      <c r="Q74" s="28" t="inlineStr">
        <is>
          <t>POWER ISSUE</t>
        </is>
      </c>
      <c r="R74" s="29" t="inlineStr">
        <is>
          <t>Sites strategiques &amp; DataCenter</t>
        </is>
      </c>
      <c r="S74" s="28" t="inlineStr">
        <is>
          <t>PASSIVE</t>
        </is>
      </c>
      <c r="T74" s="29" t="inlineStr">
        <is>
          <t>(04/29/2026 incident ): impacted by  SUO_023_H_Buea-Signal-Hill  Souci d'energie defaut GE || Action  En attente RCA  de OCM</t>
        </is>
      </c>
    </row>
    <row r="75" ht="18.75" customHeight="1">
      <c r="A75" s="14" t="n">
        <v>46141</v>
      </c>
      <c r="B75" s="23" t="inlineStr">
        <is>
          <t>Tole-Tea-IHS</t>
        </is>
      </c>
      <c r="C75" s="21" t="inlineStr">
        <is>
          <t>SUO_152</t>
        </is>
      </c>
      <c r="D75" s="53" t="inlineStr">
        <is>
          <t>SUD-OUEST</t>
        </is>
      </c>
      <c r="E75" s="23" t="inlineStr">
        <is>
          <t>IHS</t>
        </is>
      </c>
      <c r="F75" s="23" t="inlineStr">
        <is>
          <t>Grid-Gen</t>
        </is>
      </c>
      <c r="G75" s="53" t="inlineStr">
        <is>
          <t>SUD-OUEST</t>
        </is>
      </c>
      <c r="H75" s="23" t="inlineStr">
        <is>
          <t>Buea</t>
        </is>
      </c>
      <c r="I75" s="55" t="inlineStr">
        <is>
          <t>Huawei</t>
        </is>
      </c>
      <c r="J75" s="25" t="n">
        <v>1.174642998453293</v>
      </c>
      <c r="K75" s="25" t="n">
        <v>2.012686111706125</v>
      </c>
      <c r="L75" s="25" t="n">
        <v>1.747123615844436</v>
      </c>
      <c r="M75" s="25" t="n">
        <v>1.754525829473822</v>
      </c>
      <c r="N75" s="68" t="inlineStr">
        <is>
          <t>Operationnel</t>
        </is>
      </c>
      <c r="O75" s="27" t="n"/>
      <c r="P75" s="28" t="inlineStr">
        <is>
          <t>SST &amp; DC</t>
        </is>
      </c>
      <c r="Q75" s="28" t="inlineStr">
        <is>
          <t>POWER ISSUE</t>
        </is>
      </c>
      <c r="R75" s="29" t="inlineStr">
        <is>
          <t>Sites strategiques &amp; DataCenter</t>
        </is>
      </c>
      <c r="S75" s="28" t="inlineStr">
        <is>
          <t>PASSIVE</t>
        </is>
      </c>
      <c r="T75" s="29" t="inlineStr">
        <is>
          <t>(04/29/2026 incident ): impacted by  SUO_023_H_Buea-Signal-Hill  Souci d'energie defaut GE || Action  En attente RCA  de OCM</t>
        </is>
      </c>
    </row>
    <row r="76" ht="18.75" customHeight="1">
      <c r="A76" s="14" t="n">
        <v>46141</v>
      </c>
      <c r="B76" s="23" t="inlineStr">
        <is>
          <t>Molyko-Buea-SC2</t>
        </is>
      </c>
      <c r="C76" s="21" t="inlineStr">
        <is>
          <t>SUO_213</t>
        </is>
      </c>
      <c r="D76" s="53" t="inlineStr">
        <is>
          <t>SUD-OUEST</t>
        </is>
      </c>
      <c r="E76" s="23" t="inlineStr">
        <is>
          <t>IHS</t>
        </is>
      </c>
      <c r="F76" s="23" t="inlineStr">
        <is>
          <t>Grid-Gen</t>
        </is>
      </c>
      <c r="G76" s="53" t="inlineStr">
        <is>
          <t>SUD-OUEST</t>
        </is>
      </c>
      <c r="H76" s="23" t="inlineStr">
        <is>
          <t>Buea</t>
        </is>
      </c>
      <c r="I76" s="55" t="inlineStr">
        <is>
          <t>Huawei</t>
        </is>
      </c>
      <c r="J76" s="25" t="n">
        <v>1.176516432262628</v>
      </c>
      <c r="K76" s="25" t="n">
        <v>2.008170384650693</v>
      </c>
      <c r="L76" s="25" t="n">
        <v>1.726774422315467</v>
      </c>
      <c r="M76" s="25" t="n">
        <v>1.742665502392754</v>
      </c>
      <c r="N76" s="68" t="inlineStr">
        <is>
          <t>Operationnel</t>
        </is>
      </c>
      <c r="O76" s="27" t="n"/>
      <c r="P76" s="28" t="inlineStr">
        <is>
          <t>SST &amp; DC</t>
        </is>
      </c>
      <c r="Q76" s="28" t="inlineStr">
        <is>
          <t>POWER ISSUE</t>
        </is>
      </c>
      <c r="R76" s="29" t="inlineStr">
        <is>
          <t>Sites strategiques &amp; DataCenter</t>
        </is>
      </c>
      <c r="S76" s="28" t="inlineStr">
        <is>
          <t>PASSIVE</t>
        </is>
      </c>
      <c r="T76" s="29" t="inlineStr">
        <is>
          <t>(04/29/2026 incident ): impacted by  SUO_023_H_Buea-Signal-Hill  Souci d'energie defaut GE || Action  En attente RCA  de OCM</t>
        </is>
      </c>
    </row>
    <row r="77" ht="18.75" customHeight="1">
      <c r="A77" s="14" t="n">
        <v>46141</v>
      </c>
      <c r="B77" s="23" t="inlineStr">
        <is>
          <t>Mountain-Hotel-IHS</t>
        </is>
      </c>
      <c r="C77" s="21" t="inlineStr">
        <is>
          <t>SUO_202</t>
        </is>
      </c>
      <c r="D77" s="53" t="inlineStr">
        <is>
          <t>SUD-OUEST</t>
        </is>
      </c>
      <c r="E77" s="23" t="inlineStr">
        <is>
          <t>IHS</t>
        </is>
      </c>
      <c r="F77" s="23" t="inlineStr">
        <is>
          <t>Grid-Gen (LL)</t>
        </is>
      </c>
      <c r="G77" s="53" t="inlineStr">
        <is>
          <t>SUD-OUEST</t>
        </is>
      </c>
      <c r="H77" s="23" t="inlineStr">
        <is>
          <t>Buea</t>
        </is>
      </c>
      <c r="I77" s="55" t="inlineStr">
        <is>
          <t>Huawei</t>
        </is>
      </c>
      <c r="J77" s="25" t="n">
        <v>1.175267476389738</v>
      </c>
      <c r="K77" s="25" t="n">
        <v>2.004982812611564</v>
      </c>
      <c r="L77" s="25" t="n">
        <v>1.726774422315466</v>
      </c>
      <c r="M77" s="25" t="n">
        <v>1.741417046910536</v>
      </c>
      <c r="N77" s="68" t="inlineStr">
        <is>
          <t>Operationnel</t>
        </is>
      </c>
      <c r="O77" s="27" t="n"/>
      <c r="P77" s="28" t="inlineStr">
        <is>
          <t>SST &amp; DC</t>
        </is>
      </c>
      <c r="Q77" s="28" t="inlineStr">
        <is>
          <t>POWER ISSUE</t>
        </is>
      </c>
      <c r="R77" s="29" t="inlineStr">
        <is>
          <t>Sites strategiques &amp; DataCenter</t>
        </is>
      </c>
      <c r="S77" s="28" t="inlineStr">
        <is>
          <t>PASSIVE</t>
        </is>
      </c>
      <c r="T77" s="29" t="inlineStr">
        <is>
          <t>(04/29/2026 incident ): impacted by  SUO_023_H_Buea-Signal-Hill  Souci d'energie defaut GE || Action  En attente RCA  de OCM..;..;(04/29/2026 ticket): INC-20260429-00009048  ;  Others Transmission equipement fault</t>
        </is>
      </c>
    </row>
    <row r="78" ht="18.75" customHeight="1">
      <c r="A78" s="14" t="n">
        <v>46141</v>
      </c>
      <c r="B78" s="23" t="inlineStr">
        <is>
          <t>Buea-Entree</t>
        </is>
      </c>
      <c r="C78" s="21" t="inlineStr">
        <is>
          <t>SUO_033</t>
        </is>
      </c>
      <c r="D78" s="53" t="inlineStr">
        <is>
          <t>SUD-OUEST</t>
        </is>
      </c>
      <c r="E78" s="23" t="inlineStr">
        <is>
          <t>IHS</t>
        </is>
      </c>
      <c r="F78" s="23" t="inlineStr">
        <is>
          <t>Grid-Gen</t>
        </is>
      </c>
      <c r="G78" s="53" t="inlineStr">
        <is>
          <t>SUD-OUEST</t>
        </is>
      </c>
      <c r="H78" s="23" t="inlineStr">
        <is>
          <t>Buea</t>
        </is>
      </c>
      <c r="I78" s="55" t="inlineStr">
        <is>
          <t>Huawei</t>
        </is>
      </c>
      <c r="J78" s="25" t="n">
        <v>1.175267476389738</v>
      </c>
      <c r="K78" s="25" t="n">
        <v>2.002220250177654</v>
      </c>
      <c r="L78" s="25" t="n">
        <v>1.726774422315466</v>
      </c>
      <c r="M78" s="25" t="n">
        <v>1.740489622838032</v>
      </c>
      <c r="N78" s="68" t="inlineStr">
        <is>
          <t>Operationnel</t>
        </is>
      </c>
      <c r="O78" s="27" t="n"/>
      <c r="P78" s="28" t="inlineStr">
        <is>
          <t>SST &amp; DC</t>
        </is>
      </c>
      <c r="Q78" s="28" t="inlineStr">
        <is>
          <t>POWER ISSUE</t>
        </is>
      </c>
      <c r="R78" s="29" t="inlineStr">
        <is>
          <t>Sites strategiques &amp; DataCenter</t>
        </is>
      </c>
      <c r="S78" s="28" t="inlineStr">
        <is>
          <t>PASSIVE</t>
        </is>
      </c>
      <c r="T78" s="29" t="inlineStr">
        <is>
          <t>(04/29/2026 incident ): impacted by  SUO_023_H_Buea-Signal-Hill  Souci d'energie defaut GE || Action  En attente RCA  de OCM</t>
        </is>
      </c>
    </row>
    <row r="79" ht="18.75" customHeight="1">
      <c r="A79" s="14" t="n">
        <v>46141</v>
      </c>
      <c r="B79" s="23" t="inlineStr">
        <is>
          <t>Efoulan-Pont</t>
        </is>
      </c>
      <c r="C79" s="23" t="inlineStr">
        <is>
          <t>CTR_773</t>
        </is>
      </c>
      <c r="D79" s="53" t="inlineStr">
        <is>
          <t>Yaounde</t>
        </is>
      </c>
      <c r="E79" s="23" t="inlineStr">
        <is>
          <t>CAMUSAT</t>
        </is>
      </c>
      <c r="F79" s="23" t="inlineStr">
        <is>
          <t>Good Grid no GE - 8h</t>
        </is>
      </c>
      <c r="G79" s="53" t="inlineStr">
        <is>
          <t>CENTRE</t>
        </is>
      </c>
      <c r="H79" s="23" t="inlineStr">
        <is>
          <t>Yaounde</t>
        </is>
      </c>
      <c r="I79" s="54" t="inlineStr">
        <is>
          <t>ZTE</t>
        </is>
      </c>
      <c r="J79" s="25" t="n">
        <v>1.074476737447494</v>
      </c>
      <c r="K79" s="25" t="n">
        <v>1.129197394861124</v>
      </c>
      <c r="L79" s="25" t="n">
        <v>2.308521954967202</v>
      </c>
      <c r="M79" s="25" t="n">
        <v>1.736387554825032</v>
      </c>
      <c r="N79" s="68" t="inlineStr">
        <is>
          <t>Operationnel</t>
        </is>
      </c>
      <c r="O79" s="27" t="n"/>
      <c r="P79" s="28" t="inlineStr">
        <is>
          <t>AKTIVCO</t>
        </is>
      </c>
      <c r="Q79" s="28" t="inlineStr">
        <is>
          <t>POWER ISSUE</t>
        </is>
      </c>
      <c r="R79" s="29" t="inlineStr">
        <is>
          <t>AKTIVCO Defaut GE &amp; Power Cabinet</t>
        </is>
      </c>
      <c r="S79" s="28" t="inlineStr">
        <is>
          <t>PASSIVE</t>
        </is>
      </c>
      <c r="T79" s="29" t="inlineStr">
        <is>
          <t xml:space="preserve">(04/29/2026 incident ): impacted by  CTR_773_Z_Efoulan-Pont(CTR-773), soucis d'energie || Action : en ettente RCA CAMSUSAT..;..;(04/29/2026 cell zte): 29/04/2026 : Besoin d'analyse BO RAN..;..;(04/29/2026 ticket): INC-20260429-00007470  ;  2026-04-29 11:02:35  ;  MTN activated for check power status  ;  user:NIONAN VENCESLA EBENEZER </t>
        </is>
      </c>
    </row>
    <row r="80" ht="18.75" customHeight="1">
      <c r="A80" s="14" t="n">
        <v>46141</v>
      </c>
      <c r="B80" s="23" t="inlineStr">
        <is>
          <t>Buea-Street2</t>
        </is>
      </c>
      <c r="C80" s="21" t="inlineStr">
        <is>
          <t>SUO_240</t>
        </is>
      </c>
      <c r="D80" s="53" t="inlineStr">
        <is>
          <t>SUD-OUEST</t>
        </is>
      </c>
      <c r="E80" s="23" t="inlineStr">
        <is>
          <t>CAMUSAT</t>
        </is>
      </c>
      <c r="F80" s="23" t="inlineStr">
        <is>
          <t>Medium Grid + GE</t>
        </is>
      </c>
      <c r="G80" s="53" t="inlineStr">
        <is>
          <t>SUD-OUEST</t>
        </is>
      </c>
      <c r="H80" s="23" t="inlineStr">
        <is>
          <t>Buea</t>
        </is>
      </c>
      <c r="I80" s="55" t="inlineStr">
        <is>
          <t>Huawei</t>
        </is>
      </c>
      <c r="J80" s="25" t="n">
        <v>1.175891954326183</v>
      </c>
      <c r="K80" s="25" t="n">
        <v>2.003973414799174</v>
      </c>
      <c r="L80" s="25" t="n">
        <v>1.703860204392088</v>
      </c>
      <c r="M80" s="25" t="n">
        <v>1.729217853341437</v>
      </c>
      <c r="N80" s="68" t="inlineStr">
        <is>
          <t>Operationnel</t>
        </is>
      </c>
      <c r="O80" s="27" t="n"/>
      <c r="P80" s="28" t="inlineStr">
        <is>
          <t>SST &amp; DC</t>
        </is>
      </c>
      <c r="Q80" s="28" t="inlineStr">
        <is>
          <t>POWER ISSUE</t>
        </is>
      </c>
      <c r="R80" s="29" t="inlineStr">
        <is>
          <t>Sites strategiques &amp; DataCenter</t>
        </is>
      </c>
      <c r="S80" s="28" t="inlineStr">
        <is>
          <t>PASSIVE</t>
        </is>
      </c>
      <c r="T80" s="29" t="inlineStr">
        <is>
          <t>(04/29/2026 incident ): impacted by  SUO_023_H_Buea-Signal-Hill  Souci d'energie defaut GE || Action  En attente RCA  de OCM</t>
        </is>
      </c>
    </row>
    <row r="81" ht="18.75" customHeight="1">
      <c r="A81" s="14" t="n">
        <v>46141</v>
      </c>
      <c r="B81" s="23" t="inlineStr">
        <is>
          <t>Buea-Sandpit-IHS</t>
        </is>
      </c>
      <c r="C81" s="21" t="inlineStr">
        <is>
          <t>SUO_180</t>
        </is>
      </c>
      <c r="D81" s="53" t="inlineStr">
        <is>
          <t>SUD-OUEST</t>
        </is>
      </c>
      <c r="E81" s="23" t="inlineStr">
        <is>
          <t>IHS</t>
        </is>
      </c>
      <c r="F81" s="23" t="inlineStr">
        <is>
          <t>Grid-Gen</t>
        </is>
      </c>
      <c r="G81" s="53" t="inlineStr">
        <is>
          <t>SUD-OUEST</t>
        </is>
      </c>
      <c r="H81" s="23" t="inlineStr">
        <is>
          <t>Buea</t>
        </is>
      </c>
      <c r="I81" s="55" t="inlineStr">
        <is>
          <t>Huawei</t>
        </is>
      </c>
      <c r="J81" s="25" t="n">
        <v>1.175267476389738</v>
      </c>
      <c r="K81" s="25" t="n">
        <v>2.004982812611564</v>
      </c>
      <c r="L81" s="25" t="n">
        <v>1.700611173492504</v>
      </c>
      <c r="M81" s="25" t="n">
        <v>1.727773211997728</v>
      </c>
      <c r="N81" s="68" t="inlineStr">
        <is>
          <t>Operationnel</t>
        </is>
      </c>
      <c r="O81" s="27" t="n"/>
      <c r="P81" s="28" t="inlineStr">
        <is>
          <t>SST &amp; DC</t>
        </is>
      </c>
      <c r="Q81" s="28" t="inlineStr">
        <is>
          <t>POWER ISSUE</t>
        </is>
      </c>
      <c r="R81" s="29" t="inlineStr">
        <is>
          <t>Sites strategiques &amp; DataCenter</t>
        </is>
      </c>
      <c r="S81" s="28" t="inlineStr">
        <is>
          <t>PASSIVE</t>
        </is>
      </c>
      <c r="T81" s="29" t="inlineStr">
        <is>
          <t>(04/29/2026 incident ): impacted by  SUO_023_H_Buea-Signal-Hill  Souci d'energie defaut GE || Action  En attente RCA  de OCM</t>
        </is>
      </c>
    </row>
    <row r="82" ht="18.75" customHeight="1">
      <c r="A82" s="14" t="n">
        <v>46141</v>
      </c>
      <c r="B82" s="23" t="inlineStr">
        <is>
          <t>Buea-Bomaka-II-IHS</t>
        </is>
      </c>
      <c r="C82" s="21" t="inlineStr">
        <is>
          <t>SUO_201</t>
        </is>
      </c>
      <c r="D82" s="53" t="inlineStr">
        <is>
          <t>SUD-OUEST</t>
        </is>
      </c>
      <c r="E82" s="23" t="inlineStr">
        <is>
          <t>IHS</t>
        </is>
      </c>
      <c r="F82" s="23" t="inlineStr">
        <is>
          <t>Grid-Gen</t>
        </is>
      </c>
      <c r="G82" s="53" t="inlineStr">
        <is>
          <t>SUD-OUEST</t>
        </is>
      </c>
      <c r="H82" s="23" t="inlineStr">
        <is>
          <t>Buea</t>
        </is>
      </c>
      <c r="I82" s="55" t="inlineStr">
        <is>
          <t>Huawei</t>
        </is>
      </c>
      <c r="J82" s="25" t="n">
        <v>1.174642998453293</v>
      </c>
      <c r="K82" s="25" t="n">
        <v>2.017148712560904</v>
      </c>
      <c r="L82" s="25" t="n">
        <v>1.69154808729893</v>
      </c>
      <c r="M82" s="25" t="n">
        <v>1.727041973786716</v>
      </c>
      <c r="N82" s="68" t="inlineStr">
        <is>
          <t>Operationnel</t>
        </is>
      </c>
      <c r="O82" s="27" t="n"/>
      <c r="P82" s="28" t="inlineStr">
        <is>
          <t>SST &amp; DC</t>
        </is>
      </c>
      <c r="Q82" s="28" t="inlineStr">
        <is>
          <t>POWER ISSUE</t>
        </is>
      </c>
      <c r="R82" s="29" t="inlineStr">
        <is>
          <t>Sites strategiques &amp; DataCenter</t>
        </is>
      </c>
      <c r="S82" s="28" t="inlineStr">
        <is>
          <t>PASSIVE</t>
        </is>
      </c>
      <c r="T82" s="29" t="inlineStr">
        <is>
          <t>(04/29/2026 incident ): impacted by  SUO_023_H_Buea-Signal-Hill  Souci d'energie defaut GE || Action  En attente RCA  de OCM</t>
        </is>
      </c>
    </row>
    <row r="83" ht="18.75" customHeight="1">
      <c r="A83" s="14" t="n">
        <v>46141</v>
      </c>
      <c r="B83" s="23" t="inlineStr">
        <is>
          <t>Garoua-Katasko-MTN-IHS</t>
        </is>
      </c>
      <c r="C83" s="21" t="inlineStr">
        <is>
          <t>NRD_116</t>
        </is>
      </c>
      <c r="D83" s="53" t="inlineStr">
        <is>
          <t>Garoua</t>
        </is>
      </c>
      <c r="E83" s="23" t="inlineStr">
        <is>
          <t>IHS</t>
        </is>
      </c>
      <c r="F83" s="23" t="inlineStr">
        <is>
          <t>Grid-Gen</t>
        </is>
      </c>
      <c r="G83" s="53" t="inlineStr">
        <is>
          <t>NORD</t>
        </is>
      </c>
      <c r="H83" s="23" t="inlineStr">
        <is>
          <t>Garoua</t>
        </is>
      </c>
      <c r="I83" s="55" t="inlineStr">
        <is>
          <t>Huawei</t>
        </is>
      </c>
      <c r="J83" s="25" t="n">
        <v>1.478139275565627</v>
      </c>
      <c r="K83" s="25" t="n">
        <v>1.876417407033399</v>
      </c>
      <c r="L83" s="25" t="n">
        <v>1.692061092177812</v>
      </c>
      <c r="M83" s="25" t="n">
        <v>1.723403617809967</v>
      </c>
      <c r="N83" s="68" t="inlineStr">
        <is>
          <t>Operationnel</t>
        </is>
      </c>
      <c r="O83" s="27" t="n"/>
      <c r="P83" s="28" t="inlineStr">
        <is>
          <t>IHS</t>
        </is>
      </c>
      <c r="Q83" s="28" t="inlineStr">
        <is>
          <t>POWER ISSUE</t>
        </is>
      </c>
      <c r="R83" s="29" t="inlineStr">
        <is>
          <t>Defaut GE &amp; Power Cabinet</t>
        </is>
      </c>
      <c r="S83" s="28" t="inlineStr">
        <is>
          <t>PASSIVE</t>
        </is>
      </c>
      <c r="T83" s="29" t="inlineStr">
        <is>
          <t>(04/29/2026 incident ): impacted by   NRD_009_H_Garoua-Lainde , RCA: Power issue / En attente RCA IHS</t>
        </is>
      </c>
    </row>
    <row r="84" ht="18.75" customHeight="1">
      <c r="A84" s="14" t="n">
        <v>46141</v>
      </c>
      <c r="B84" s="23" t="inlineStr">
        <is>
          <t>Buea-Soppo-University-IHS</t>
        </is>
      </c>
      <c r="C84" s="21" t="inlineStr">
        <is>
          <t>SUO_199</t>
        </is>
      </c>
      <c r="D84" s="53" t="inlineStr">
        <is>
          <t>SUD-OUEST</t>
        </is>
      </c>
      <c r="E84" s="23" t="inlineStr">
        <is>
          <t>IHS</t>
        </is>
      </c>
      <c r="F84" s="23" t="inlineStr">
        <is>
          <t>Grid-Gen</t>
        </is>
      </c>
      <c r="G84" s="53" t="inlineStr">
        <is>
          <t>SUD-OUEST</t>
        </is>
      </c>
      <c r="H84" s="23" t="inlineStr">
        <is>
          <t>Buea</t>
        </is>
      </c>
      <c r="I84" s="55" t="inlineStr">
        <is>
          <t>Huawei</t>
        </is>
      </c>
      <c r="J84" s="25" t="n">
        <v>1.174642998453293</v>
      </c>
      <c r="K84" s="25" t="n">
        <v>2.007639122644171</v>
      </c>
      <c r="L84" s="25" t="n">
        <v>1.667094854738906</v>
      </c>
      <c r="M84" s="25" t="n">
        <v>1.711097413770963</v>
      </c>
      <c r="N84" s="68" t="inlineStr">
        <is>
          <t>Operationnel</t>
        </is>
      </c>
      <c r="O84" s="27" t="n"/>
      <c r="P84" s="28" t="inlineStr">
        <is>
          <t>SST &amp; DC</t>
        </is>
      </c>
      <c r="Q84" s="28" t="inlineStr">
        <is>
          <t>POWER ISSUE</t>
        </is>
      </c>
      <c r="R84" s="29" t="inlineStr">
        <is>
          <t>Sites strategiques &amp; DataCenter</t>
        </is>
      </c>
      <c r="S84" s="28" t="inlineStr">
        <is>
          <t>PASSIVE</t>
        </is>
      </c>
      <c r="T84" s="29" t="inlineStr">
        <is>
          <t>(04/29/2026 incident ): impacted by  SUO_023_H_Buea-Signal-Hill  Souci d'energie defaut GE || Action  En attente RCA  de OCM</t>
        </is>
      </c>
    </row>
    <row r="85" ht="18.75" customHeight="1">
      <c r="A85" s="14" t="n">
        <v>46141</v>
      </c>
      <c r="B85" s="23" t="inlineStr">
        <is>
          <t>Great-Soppo-IHS</t>
        </is>
      </c>
      <c r="C85" s="21" t="inlineStr">
        <is>
          <t>SUO_181</t>
        </is>
      </c>
      <c r="D85" s="53" t="inlineStr">
        <is>
          <t>SUD-OUEST</t>
        </is>
      </c>
      <c r="E85" s="23" t="inlineStr">
        <is>
          <t>IHS</t>
        </is>
      </c>
      <c r="F85" s="23" t="inlineStr">
        <is>
          <t>Grid-Gen</t>
        </is>
      </c>
      <c r="G85" s="53" t="inlineStr">
        <is>
          <t>SUD-OUEST</t>
        </is>
      </c>
      <c r="H85" s="23" t="inlineStr">
        <is>
          <t>Buea</t>
        </is>
      </c>
      <c r="I85" s="55" t="inlineStr">
        <is>
          <t>Huawei</t>
        </is>
      </c>
      <c r="J85" s="25" t="n">
        <v>1.176516432262628</v>
      </c>
      <c r="K85" s="25" t="n">
        <v>2.008701646657214</v>
      </c>
      <c r="L85" s="25" t="n">
        <v>1.660425791313446</v>
      </c>
      <c r="M85" s="25" t="n">
        <v>1.70824380124018</v>
      </c>
      <c r="N85" s="68" t="inlineStr">
        <is>
          <t>Operationnel</t>
        </is>
      </c>
      <c r="O85" s="27" t="n"/>
      <c r="P85" s="28" t="inlineStr">
        <is>
          <t>SST &amp; DC</t>
        </is>
      </c>
      <c r="Q85" s="28" t="inlineStr">
        <is>
          <t>POWER ISSUE</t>
        </is>
      </c>
      <c r="R85" s="29" t="inlineStr">
        <is>
          <t>Sites strategiques &amp; DataCenter</t>
        </is>
      </c>
      <c r="S85" s="28" t="inlineStr">
        <is>
          <t>PASSIVE</t>
        </is>
      </c>
      <c r="T85" s="29" t="inlineStr">
        <is>
          <t>(04/29/2026 incident ): impacted by  SUO_023_H_Buea-Signal-Hill  Souci d'energie defaut GE || Action  En attente RCA  de OCM</t>
        </is>
      </c>
    </row>
    <row r="86" ht="18.75" customHeight="1">
      <c r="A86" s="14" t="n">
        <v>46141</v>
      </c>
      <c r="B86" s="23" t="inlineStr">
        <is>
          <t>Mile14-IHS</t>
        </is>
      </c>
      <c r="C86" s="21" t="inlineStr">
        <is>
          <t>SUO_079</t>
        </is>
      </c>
      <c r="D86" s="53" t="inlineStr">
        <is>
          <t>SUD-OUEST</t>
        </is>
      </c>
      <c r="E86" s="23" t="inlineStr">
        <is>
          <t>IHS</t>
        </is>
      </c>
      <c r="F86" s="23" t="inlineStr">
        <is>
          <t>Grid-Gen</t>
        </is>
      </c>
      <c r="G86" s="53" t="inlineStr">
        <is>
          <t>SUD-OUEST</t>
        </is>
      </c>
      <c r="H86" s="23" t="inlineStr">
        <is>
          <t>Buea</t>
        </is>
      </c>
      <c r="I86" s="55" t="inlineStr">
        <is>
          <t>Huawei</t>
        </is>
      </c>
      <c r="J86" s="25" t="n">
        <v>1.175891954326183</v>
      </c>
      <c r="K86" s="25" t="n">
        <v>2.011357956689821</v>
      </c>
      <c r="L86" s="25" t="n">
        <v>1.655979749029805</v>
      </c>
      <c r="M86" s="25" t="n">
        <v>1.706727819583201</v>
      </c>
      <c r="N86" s="68" t="inlineStr">
        <is>
          <t>Insecurity</t>
        </is>
      </c>
      <c r="O86" s="27" t="n"/>
      <c r="P86" s="28" t="inlineStr">
        <is>
          <t>SST &amp; DC</t>
        </is>
      </c>
      <c r="Q86" s="28" t="inlineStr">
        <is>
          <t>POWER ISSUE</t>
        </is>
      </c>
      <c r="R86" s="29" t="inlineStr">
        <is>
          <t>Sites strategiques &amp; DataCenter</t>
        </is>
      </c>
      <c r="S86" s="28" t="inlineStr">
        <is>
          <t>PASSIVE</t>
        </is>
      </c>
      <c r="T86" s="29" t="inlineStr">
        <is>
          <t>(04/29/2026 incident ): impacted by  SUO_023_H_Buea-Signal-Hill  Souci d'energie defaut GE || Action  En attente RCA  de OCM..;..;(04/29/2026 ticket): INC-20260429-00011041  ;  Others Transmission equipement fault</t>
        </is>
      </c>
    </row>
    <row r="87" ht="18.75" customHeight="1">
      <c r="A87" s="14" t="n">
        <v>46141</v>
      </c>
      <c r="B87" s="23" t="inlineStr">
        <is>
          <t>Buea-Kouma-IHS</t>
        </is>
      </c>
      <c r="C87" s="21" t="inlineStr">
        <is>
          <t>SUO_215</t>
        </is>
      </c>
      <c r="D87" s="53" t="inlineStr">
        <is>
          <t>SUD-OUEST</t>
        </is>
      </c>
      <c r="E87" s="23" t="inlineStr">
        <is>
          <t>IHS</t>
        </is>
      </c>
      <c r="F87" s="23" t="inlineStr">
        <is>
          <t>Grid-Gen</t>
        </is>
      </c>
      <c r="G87" s="53" t="inlineStr">
        <is>
          <t>SUD-OUEST</t>
        </is>
      </c>
      <c r="H87" s="23" t="inlineStr">
        <is>
          <t>Buea</t>
        </is>
      </c>
      <c r="I87" s="55" t="inlineStr">
        <is>
          <t>Huawei</t>
        </is>
      </c>
      <c r="J87" s="25" t="n">
        <v>1.175267476389738</v>
      </c>
      <c r="K87" s="25" t="n">
        <v>2.008436015653954</v>
      </c>
      <c r="L87" s="25" t="n">
        <v>1.614768357092984</v>
      </c>
      <c r="M87" s="25" t="n">
        <v>1.684166445511696</v>
      </c>
      <c r="N87" s="68" t="inlineStr">
        <is>
          <t>Operationnel</t>
        </is>
      </c>
      <c r="O87" s="27" t="n"/>
      <c r="P87" s="28" t="inlineStr">
        <is>
          <t>SST &amp; DC</t>
        </is>
      </c>
      <c r="Q87" s="28" t="inlineStr">
        <is>
          <t>POWER ISSUE</t>
        </is>
      </c>
      <c r="R87" s="29" t="inlineStr">
        <is>
          <t>Sites strategiques &amp; DataCenter</t>
        </is>
      </c>
      <c r="S87" s="28" t="inlineStr">
        <is>
          <t>PASSIVE</t>
        </is>
      </c>
      <c r="T87" s="29" t="inlineStr">
        <is>
          <t>(04/29/2026 incident ): impacted by  SUO_023_H_Buea-Signal-Hill  Souci d'energie defaut GE || Action  En attente RCA  de OCM</t>
        </is>
      </c>
    </row>
    <row r="88" ht="18.75" customHeight="1">
      <c r="A88" s="14" t="n">
        <v>46141</v>
      </c>
      <c r="B88" s="23" t="inlineStr">
        <is>
          <t>Molyko-IHS</t>
        </is>
      </c>
      <c r="C88" s="21" t="inlineStr">
        <is>
          <t>SUO_183</t>
        </is>
      </c>
      <c r="D88" s="53" t="inlineStr">
        <is>
          <t>SUD-OUEST</t>
        </is>
      </c>
      <c r="E88" s="23" t="inlineStr">
        <is>
          <t>IHS</t>
        </is>
      </c>
      <c r="F88" s="23" t="inlineStr">
        <is>
          <t>Grid-Gen</t>
        </is>
      </c>
      <c r="G88" s="53" t="inlineStr">
        <is>
          <t>SUD-OUEST</t>
        </is>
      </c>
      <c r="H88" s="23" t="inlineStr">
        <is>
          <t>Buea</t>
        </is>
      </c>
      <c r="I88" s="55" t="inlineStr">
        <is>
          <t>Huawei</t>
        </is>
      </c>
      <c r="J88" s="25" t="n">
        <v>1.176516432262628</v>
      </c>
      <c r="K88" s="25" t="n">
        <v>2.003707783795913</v>
      </c>
      <c r="L88" s="25" t="n">
        <v>1.613058340830045</v>
      </c>
      <c r="M88" s="25" t="n">
        <v>1.681865720408751</v>
      </c>
      <c r="N88" s="68" t="inlineStr">
        <is>
          <t>Operationnel</t>
        </is>
      </c>
      <c r="O88" s="27" t="n"/>
      <c r="P88" s="28" t="inlineStr">
        <is>
          <t>SST &amp; DC</t>
        </is>
      </c>
      <c r="Q88" s="28" t="inlineStr">
        <is>
          <t>POWER ISSUE</t>
        </is>
      </c>
      <c r="R88" s="29" t="inlineStr">
        <is>
          <t>Sites strategiques &amp; DataCenter</t>
        </is>
      </c>
      <c r="S88" s="28" t="inlineStr">
        <is>
          <t>PASSIVE</t>
        </is>
      </c>
      <c r="T88" s="29" t="inlineStr">
        <is>
          <t>(04/29/2026 incident ): impacted by  SUO_023_H_Buea-Signal-Hill  Souci d'energie defaut GE || Action  En attente RCA  de OCM</t>
        </is>
      </c>
    </row>
    <row r="89" ht="18.75" customHeight="1">
      <c r="A89" s="14" t="n">
        <v>46141</v>
      </c>
      <c r="B89" s="23" t="inlineStr">
        <is>
          <t>Buea-Centre-Ville</t>
        </is>
      </c>
      <c r="C89" s="21" t="inlineStr">
        <is>
          <t>SUO_063</t>
        </is>
      </c>
      <c r="D89" s="53" t="inlineStr">
        <is>
          <t>SUD-OUEST</t>
        </is>
      </c>
      <c r="E89" s="23" t="inlineStr">
        <is>
          <t>IHS</t>
        </is>
      </c>
      <c r="F89" s="23" t="inlineStr">
        <is>
          <t>Grid-Gen</t>
        </is>
      </c>
      <c r="G89" s="53" t="inlineStr">
        <is>
          <t>SUD-OUEST</t>
        </is>
      </c>
      <c r="H89" s="23" t="inlineStr">
        <is>
          <t>Buea</t>
        </is>
      </c>
      <c r="I89" s="55" t="inlineStr">
        <is>
          <t>Huawei</t>
        </is>
      </c>
      <c r="J89" s="25" t="n">
        <v>1.174642998453293</v>
      </c>
      <c r="K89" s="25" t="n">
        <v>2.007904753647432</v>
      </c>
      <c r="L89" s="25" t="n">
        <v>1.609809309930461</v>
      </c>
      <c r="M89" s="25" t="n">
        <v>1.681312832980912</v>
      </c>
      <c r="N89" s="68" t="inlineStr">
        <is>
          <t>Operationnel</t>
        </is>
      </c>
      <c r="O89" s="27" t="n"/>
      <c r="P89" s="28" t="inlineStr">
        <is>
          <t>SST &amp; DC</t>
        </is>
      </c>
      <c r="Q89" s="28" t="inlineStr">
        <is>
          <t>POWER ISSUE</t>
        </is>
      </c>
      <c r="R89" s="29" t="inlineStr">
        <is>
          <t>Sites strategiques &amp; DataCenter</t>
        </is>
      </c>
      <c r="S89" s="28" t="inlineStr">
        <is>
          <t>PASSIVE</t>
        </is>
      </c>
      <c r="T89" s="29" t="inlineStr">
        <is>
          <t>(04/29/2026 incident ): impacted by  SUO_023_H_Buea-Signal-Hill  Souci d'energie defaut GE || Action  En attente RCA  de OCM</t>
        </is>
      </c>
    </row>
    <row r="90" ht="18.75" customHeight="1">
      <c r="A90" s="14" t="n">
        <v>46141</v>
      </c>
      <c r="B90" s="23" t="inlineStr">
        <is>
          <t>Buea-Hospital</t>
        </is>
      </c>
      <c r="C90" s="21" t="inlineStr">
        <is>
          <t>SUO_163</t>
        </is>
      </c>
      <c r="D90" s="53" t="inlineStr">
        <is>
          <t>SUD-OUEST</t>
        </is>
      </c>
      <c r="E90" s="23" t="inlineStr">
        <is>
          <t>IHS</t>
        </is>
      </c>
      <c r="F90" s="23" t="inlineStr">
        <is>
          <t>Grid-Gen</t>
        </is>
      </c>
      <c r="G90" s="53" t="inlineStr">
        <is>
          <t>SUD-OUEST</t>
        </is>
      </c>
      <c r="H90" s="23" t="inlineStr">
        <is>
          <t>Buea</t>
        </is>
      </c>
      <c r="I90" s="55" t="inlineStr">
        <is>
          <t>Huawei</t>
        </is>
      </c>
      <c r="J90" s="25" t="n">
        <v>1.178389866071964</v>
      </c>
      <c r="K90" s="25" t="n">
        <v>2.004982812611564</v>
      </c>
      <c r="L90" s="25" t="n">
        <v>1.603653251383881</v>
      </c>
      <c r="M90" s="25" t="n">
        <v>1.677656641925846</v>
      </c>
      <c r="N90" s="68" t="inlineStr">
        <is>
          <t>Operationnel</t>
        </is>
      </c>
      <c r="O90" s="27" t="n"/>
      <c r="P90" s="28" t="inlineStr">
        <is>
          <t>SST &amp; DC</t>
        </is>
      </c>
      <c r="Q90" s="28" t="inlineStr">
        <is>
          <t>POWER ISSUE</t>
        </is>
      </c>
      <c r="R90" s="29" t="inlineStr">
        <is>
          <t>Sites strategiques &amp; DataCenter</t>
        </is>
      </c>
      <c r="S90" s="28" t="inlineStr">
        <is>
          <t>PASSIVE</t>
        </is>
      </c>
      <c r="T90" s="29" t="inlineStr">
        <is>
          <t>(04/29/2026 incident ): impacted by  SUO_023_H_Buea-Signal-Hill  Souci d'energie defaut GE || Action  En attente RCA  de OCM</t>
        </is>
      </c>
    </row>
    <row r="91" ht="18.75" customHeight="1">
      <c r="A91" s="14" t="n">
        <v>46141</v>
      </c>
      <c r="B91" s="23" t="inlineStr">
        <is>
          <t>Tole-II-IHS</t>
        </is>
      </c>
      <c r="C91" s="21" t="inlineStr">
        <is>
          <t>SUO_190</t>
        </is>
      </c>
      <c r="D91" s="53" t="inlineStr">
        <is>
          <t>SUD-OUEST</t>
        </is>
      </c>
      <c r="E91" s="23" t="inlineStr">
        <is>
          <t>IHS</t>
        </is>
      </c>
      <c r="F91" s="23" t="n"/>
      <c r="G91" s="53" t="inlineStr">
        <is>
          <t>SUD-OUEST</t>
        </is>
      </c>
      <c r="H91" s="23" t="inlineStr">
        <is>
          <t>Buea</t>
        </is>
      </c>
      <c r="I91" s="55" t="inlineStr">
        <is>
          <t>Huawei</t>
        </is>
      </c>
      <c r="J91" s="25" t="n">
        <v>1.177140910199074</v>
      </c>
      <c r="K91" s="25" t="n">
        <v>2.011995471097647</v>
      </c>
      <c r="L91" s="25" t="n">
        <v>1.588263105017434</v>
      </c>
      <c r="M91" s="25" t="n">
        <v>1.67180673623774</v>
      </c>
      <c r="N91" s="68" t="inlineStr">
        <is>
          <t>Operationnel</t>
        </is>
      </c>
      <c r="O91" s="27" t="n"/>
      <c r="P91" s="28" t="inlineStr">
        <is>
          <t>SST &amp; DC</t>
        </is>
      </c>
      <c r="Q91" s="28" t="inlineStr">
        <is>
          <t>POWER ISSUE</t>
        </is>
      </c>
      <c r="R91" s="29" t="inlineStr">
        <is>
          <t>Sites strategiques &amp; DataCenter</t>
        </is>
      </c>
      <c r="S91" s="28" t="inlineStr">
        <is>
          <t>PASSIVE</t>
        </is>
      </c>
      <c r="T91" s="29" t="inlineStr">
        <is>
          <t>(04/29/2026 incident ): impacted by  SUO_023_H_Buea-Signal-Hill  Souci d'energie defaut GE || Action  En attente RCA  de OCM</t>
        </is>
      </c>
    </row>
    <row r="92" ht="18.75" customHeight="1">
      <c r="A92" s="14" t="n">
        <v>46141</v>
      </c>
      <c r="B92" s="23" t="inlineStr">
        <is>
          <t>Mile16-Buea-HIS</t>
        </is>
      </c>
      <c r="C92" s="21" t="inlineStr">
        <is>
          <t>SUO_243</t>
        </is>
      </c>
      <c r="D92" s="53" t="inlineStr">
        <is>
          <t>SUD-OUEST</t>
        </is>
      </c>
      <c r="E92" s="23" t="inlineStr">
        <is>
          <t>IHS</t>
        </is>
      </c>
      <c r="F92" s="23" t="inlineStr">
        <is>
          <t>Grid-Gen</t>
        </is>
      </c>
      <c r="G92" s="53" t="inlineStr">
        <is>
          <t>SUD-OUEST</t>
        </is>
      </c>
      <c r="H92" s="23" t="inlineStr">
        <is>
          <t>Buea</t>
        </is>
      </c>
      <c r="I92" s="55" t="inlineStr">
        <is>
          <t>Huawei</t>
        </is>
      </c>
      <c r="J92" s="25" t="n">
        <v>1.174642998453293</v>
      </c>
      <c r="K92" s="25" t="n">
        <v>2.003017143187436</v>
      </c>
      <c r="L92" s="25" t="n">
        <v>1.586895092007083</v>
      </c>
      <c r="M92" s="25" t="n">
        <v>1.667722503303056</v>
      </c>
      <c r="N92" s="68" t="inlineStr">
        <is>
          <t>Operationnel</t>
        </is>
      </c>
      <c r="O92" s="27" t="n"/>
      <c r="P92" s="28" t="inlineStr">
        <is>
          <t>SST &amp; DC</t>
        </is>
      </c>
      <c r="Q92" s="28" t="inlineStr">
        <is>
          <t>POWER ISSUE</t>
        </is>
      </c>
      <c r="R92" s="29" t="inlineStr">
        <is>
          <t>Sites strategiques &amp; DataCenter</t>
        </is>
      </c>
      <c r="S92" s="28" t="inlineStr">
        <is>
          <t>PASSIVE</t>
        </is>
      </c>
      <c r="T92" s="29" t="inlineStr">
        <is>
          <t>(04/29/2026 incident ): impacted by  SUO_023_H_Buea-Signal-Hill  Souci d'energie defaut GE || Action  En attente RCA  de OCM</t>
        </is>
      </c>
    </row>
    <row r="93" ht="18.75" customHeight="1">
      <c r="A93" s="14" t="n">
        <v>46141</v>
      </c>
      <c r="B93" s="23" t="inlineStr">
        <is>
          <t>Buea-Camtel</t>
        </is>
      </c>
      <c r="C93" s="21" t="inlineStr">
        <is>
          <t>SUO_226</t>
        </is>
      </c>
      <c r="D93" s="53" t="inlineStr">
        <is>
          <t>SUD-OUEST</t>
        </is>
      </c>
      <c r="E93" s="23" t="inlineStr">
        <is>
          <t>CAMUSAT</t>
        </is>
      </c>
      <c r="F93" s="23" t="inlineStr">
        <is>
          <t>Good Grid no GE - 8h</t>
        </is>
      </c>
      <c r="G93" s="53" t="inlineStr">
        <is>
          <t>SUD-OUEST</t>
        </is>
      </c>
      <c r="H93" s="23" t="inlineStr">
        <is>
          <t>Buea</t>
        </is>
      </c>
      <c r="I93" s="55" t="inlineStr">
        <is>
          <t>Huawei</t>
        </is>
      </c>
      <c r="J93" s="25" t="n">
        <v>1.203368983529769</v>
      </c>
      <c r="K93" s="25" t="n">
        <v>2.05662147964544</v>
      </c>
      <c r="L93" s="25" t="n">
        <v>1.509773358548549</v>
      </c>
      <c r="M93" s="25" t="n">
        <v>1.649602063732582</v>
      </c>
      <c r="N93" s="68" t="inlineStr">
        <is>
          <t>Operationnel</t>
        </is>
      </c>
      <c r="O93" s="27" t="n"/>
      <c r="P93" s="28" t="inlineStr">
        <is>
          <t>SST &amp; DC</t>
        </is>
      </c>
      <c r="Q93" s="28" t="inlineStr">
        <is>
          <t>POWER ISSUE</t>
        </is>
      </c>
      <c r="R93" s="29" t="inlineStr">
        <is>
          <t>Sites strategiques &amp; DataCenter</t>
        </is>
      </c>
      <c r="S93" s="28" t="inlineStr">
        <is>
          <t>PASSIVE</t>
        </is>
      </c>
      <c r="T93" s="29" t="inlineStr">
        <is>
          <t>(04/29/2026 incident ): impacted by  SUO_023_H_Buea-Signal-Hill  Souci d'energie defaut GE || Action  En attente RCA  de OCM</t>
        </is>
      </c>
    </row>
    <row r="94" ht="18.75" customHeight="1">
      <c r="A94" s="14" t="n">
        <v>46141</v>
      </c>
      <c r="B94" s="23" t="inlineStr">
        <is>
          <t>Obobogo-New</t>
        </is>
      </c>
      <c r="C94" s="23" t="inlineStr">
        <is>
          <t>CTR_543</t>
        </is>
      </c>
      <c r="D94" s="53" t="inlineStr">
        <is>
          <t>Yaounde</t>
        </is>
      </c>
      <c r="E94" s="23" t="inlineStr">
        <is>
          <t>IHS</t>
        </is>
      </c>
      <c r="F94" s="23" t="inlineStr">
        <is>
          <t>Grid-Gen</t>
        </is>
      </c>
      <c r="G94" s="53" t="inlineStr">
        <is>
          <t>CENTRE</t>
        </is>
      </c>
      <c r="H94" s="23" t="inlineStr">
        <is>
          <t>Yaounde</t>
        </is>
      </c>
      <c r="I94" s="54" t="inlineStr">
        <is>
          <t>ZTE</t>
        </is>
      </c>
      <c r="J94" s="25" t="n">
        <v>0.8712716169282479</v>
      </c>
      <c r="K94" s="25" t="n">
        <v>0.7385604414659783</v>
      </c>
      <c r="L94" s="25" t="n">
        <v>2.447512076818855</v>
      </c>
      <c r="M94" s="25" t="n">
        <v>1.648710309816713</v>
      </c>
      <c r="N94" s="68" t="inlineStr">
        <is>
          <t>Operationnel</t>
        </is>
      </c>
      <c r="O94" s="27" t="n"/>
      <c r="P94" s="28" t="inlineStr">
        <is>
          <t>AKTIVCO GRID ONLY</t>
        </is>
      </c>
      <c r="Q94" s="28" t="inlineStr">
        <is>
          <t>POWER ISSUE</t>
        </is>
      </c>
      <c r="R94" s="29" t="inlineStr">
        <is>
          <t>AKTIVCO Coupure ENEO &amp; Baisse de tension</t>
        </is>
      </c>
      <c r="S94" s="28" t="inlineStr">
        <is>
          <t>PASSIVE</t>
        </is>
      </c>
      <c r="T94" s="29" t="inlineStr">
        <is>
          <t>(04/29/2026 incident ): impacted by  CTR_773_Z_Efoulan-Pont(CTR-773), soucis d'energie || Action : en ettente RCA CAMSUSAT..;..;(04/29/2026 ticket): INC-20260429-00007807</t>
        </is>
      </c>
    </row>
    <row r="95" ht="18.75" customHeight="1">
      <c r="A95" s="14" t="n">
        <v>46141</v>
      </c>
      <c r="B95" s="23" t="inlineStr">
        <is>
          <t>Garoua-Sabongari-Lainde-IHS</t>
        </is>
      </c>
      <c r="C95" s="23" t="inlineStr">
        <is>
          <t>NRD_083</t>
        </is>
      </c>
      <c r="D95" s="53" t="inlineStr">
        <is>
          <t>Garoua</t>
        </is>
      </c>
      <c r="E95" s="23" t="inlineStr">
        <is>
          <t>IHS</t>
        </is>
      </c>
      <c r="F95" s="23" t="inlineStr">
        <is>
          <t>Grid-Gen</t>
        </is>
      </c>
      <c r="G95" s="53" t="inlineStr">
        <is>
          <t>NORD</t>
        </is>
      </c>
      <c r="H95" s="23" t="inlineStr">
        <is>
          <t>Garoua</t>
        </is>
      </c>
      <c r="I95" s="55" t="inlineStr">
        <is>
          <t>Huawei</t>
        </is>
      </c>
      <c r="J95" s="25" t="n">
        <v>1.362610857323278</v>
      </c>
      <c r="K95" s="25" t="n">
        <v>1.72686715219764</v>
      </c>
      <c r="L95" s="25" t="n">
        <v>1.676328942558776</v>
      </c>
      <c r="M95" s="25" t="n">
        <v>1.648496288876904</v>
      </c>
      <c r="N95" s="68" t="inlineStr">
        <is>
          <t>Operationnel</t>
        </is>
      </c>
      <c r="O95" s="27" t="n"/>
      <c r="P95" s="28" t="inlineStr">
        <is>
          <t>IHS</t>
        </is>
      </c>
      <c r="Q95" s="28" t="inlineStr">
        <is>
          <t>POWER ISSUE</t>
        </is>
      </c>
      <c r="R95" s="29" t="inlineStr">
        <is>
          <t>Defaut GE &amp; Power Cabinet</t>
        </is>
      </c>
      <c r="S95" s="28" t="inlineStr">
        <is>
          <t>PASSIVE</t>
        </is>
      </c>
      <c r="T95" s="29" t="inlineStr">
        <is>
          <t>(04/29/2026 incident ): impacted by   NRD_009_H_Garoua-Lainde , RCA: Power issue / En attente RCA IHS</t>
        </is>
      </c>
    </row>
    <row r="96" ht="18.75" customHeight="1">
      <c r="A96" s="14" t="n">
        <v>46141</v>
      </c>
      <c r="B96" s="23" t="inlineStr">
        <is>
          <t>Nassarao</t>
        </is>
      </c>
      <c r="C96" s="21" t="inlineStr">
        <is>
          <t>NRD_037</t>
        </is>
      </c>
      <c r="D96" s="53" t="inlineStr">
        <is>
          <t>Garoua</t>
        </is>
      </c>
      <c r="E96" s="23" t="inlineStr">
        <is>
          <t>IHS</t>
        </is>
      </c>
      <c r="F96" s="23" t="inlineStr">
        <is>
          <t>Grid-Gen</t>
        </is>
      </c>
      <c r="G96" s="53" t="inlineStr">
        <is>
          <t>NORD</t>
        </is>
      </c>
      <c r="H96" s="23" t="inlineStr">
        <is>
          <t>Garoua</t>
        </is>
      </c>
      <c r="I96" s="55" t="inlineStr">
        <is>
          <t>Huawei</t>
        </is>
      </c>
      <c r="J96" s="25" t="n">
        <v>1.361361901450387</v>
      </c>
      <c r="K96" s="25" t="n">
        <v>1.726070259187858</v>
      </c>
      <c r="L96" s="25" t="n">
        <v>1.649310685604345</v>
      </c>
      <c r="M96" s="25" t="n">
        <v>1.633960700048226</v>
      </c>
      <c r="N96" s="68" t="inlineStr">
        <is>
          <t>Operationnel</t>
        </is>
      </c>
      <c r="O96" s="27" t="n"/>
      <c r="P96" s="28" t="inlineStr">
        <is>
          <t>IHS</t>
        </is>
      </c>
      <c r="Q96" s="28" t="inlineStr">
        <is>
          <t>POWER ISSUE</t>
        </is>
      </c>
      <c r="R96" s="29" t="inlineStr">
        <is>
          <t>Defaut GE &amp; Power Cabinet</t>
        </is>
      </c>
      <c r="S96" s="28" t="inlineStr">
        <is>
          <t>PASSIVE</t>
        </is>
      </c>
      <c r="T96" s="29" t="inlineStr">
        <is>
          <t>(04/29/2026 incident ): impacted by   NRD_009_H_Garoua-Lainde , RCA: Power issue / En attente RCA IHS</t>
        </is>
      </c>
    </row>
    <row r="97" ht="18.75" customHeight="1">
      <c r="A97" s="14" t="n">
        <v>46141</v>
      </c>
      <c r="B97" s="23" t="inlineStr">
        <is>
          <t>Garoua-Ouro-Lawan-II</t>
        </is>
      </c>
      <c r="C97" s="21" t="inlineStr">
        <is>
          <t>NRD_146</t>
        </is>
      </c>
      <c r="D97" s="53" t="inlineStr">
        <is>
          <t>Garoua</t>
        </is>
      </c>
      <c r="E97" s="23" t="inlineStr">
        <is>
          <t>CAMUSAT</t>
        </is>
      </c>
      <c r="F97" s="23" t="inlineStr">
        <is>
          <t>Hybrid Solar - S3</t>
        </is>
      </c>
      <c r="G97" s="53" t="inlineStr">
        <is>
          <t>NORD</t>
        </is>
      </c>
      <c r="H97" s="23" t="inlineStr">
        <is>
          <t>Garoua</t>
        </is>
      </c>
      <c r="I97" s="55" t="inlineStr">
        <is>
          <t>Huawei</t>
        </is>
      </c>
      <c r="J97" s="25" t="n">
        <v>1.361361901450387</v>
      </c>
      <c r="K97" s="25" t="n">
        <v>1.726814025996988</v>
      </c>
      <c r="L97" s="25" t="n">
        <v>1.648626679099169</v>
      </c>
      <c r="M97" s="25" t="n">
        <v>1.633853689578322</v>
      </c>
      <c r="N97" s="68" t="inlineStr">
        <is>
          <t>Operationnel</t>
        </is>
      </c>
      <c r="O97" s="27" t="n"/>
      <c r="P97" s="28" t="inlineStr">
        <is>
          <t>IHS</t>
        </is>
      </c>
      <c r="Q97" s="28" t="inlineStr">
        <is>
          <t>POWER ISSUE</t>
        </is>
      </c>
      <c r="R97" s="29" t="inlineStr">
        <is>
          <t>Defaut GE &amp; Power Cabinet</t>
        </is>
      </c>
      <c r="S97" s="28" t="inlineStr">
        <is>
          <t>PASSIVE</t>
        </is>
      </c>
      <c r="T97" s="29" t="inlineStr">
        <is>
          <t>(04/29/2026 incident ): impacted by   NRD_009_H_Garoua-Lainde , RCA: Power issue / En attente RCA IHS</t>
        </is>
      </c>
    </row>
    <row r="98" ht="18.75" customHeight="1">
      <c r="A98" s="14" t="n">
        <v>46141</v>
      </c>
      <c r="B98" s="23" t="inlineStr">
        <is>
          <t>Garoua-Ouro-Lawan</t>
        </is>
      </c>
      <c r="C98" s="21" t="inlineStr">
        <is>
          <t>NRD_054</t>
        </is>
      </c>
      <c r="D98" s="53" t="inlineStr">
        <is>
          <t>Garoua</t>
        </is>
      </c>
      <c r="E98" s="23" t="inlineStr">
        <is>
          <t>IHS</t>
        </is>
      </c>
      <c r="F98" s="23" t="inlineStr">
        <is>
          <t>Grid-Gen</t>
        </is>
      </c>
      <c r="G98" s="53" t="inlineStr">
        <is>
          <t>NORD</t>
        </is>
      </c>
      <c r="H98" s="23" t="inlineStr">
        <is>
          <t>Garoua</t>
        </is>
      </c>
      <c r="I98" s="55" t="inlineStr">
        <is>
          <t>Huawei</t>
        </is>
      </c>
      <c r="J98" s="25" t="n">
        <v>1.361986379386833</v>
      </c>
      <c r="K98" s="25" t="n">
        <v>1.728726569220465</v>
      </c>
      <c r="L98" s="25" t="n">
        <v>1.640418601037063</v>
      </c>
      <c r="M98" s="25" t="n">
        <v>1.63030450899316</v>
      </c>
      <c r="N98" s="68" t="inlineStr">
        <is>
          <t>Operationnel</t>
        </is>
      </c>
      <c r="O98" s="27" t="n"/>
      <c r="P98" s="28" t="inlineStr">
        <is>
          <t>IHS</t>
        </is>
      </c>
      <c r="Q98" s="28" t="inlineStr">
        <is>
          <t>POWER ISSUE</t>
        </is>
      </c>
      <c r="R98" s="29" t="inlineStr">
        <is>
          <t>Defaut GE &amp; Power Cabinet</t>
        </is>
      </c>
      <c r="S98" s="28" t="inlineStr">
        <is>
          <t>PASSIVE</t>
        </is>
      </c>
      <c r="T98" s="29" t="inlineStr">
        <is>
          <t>(04/29/2026 incident ): impacted by   NRD_009_H_Garoua-Lainde , RCA: Power issue / En attente RCA IHS</t>
        </is>
      </c>
    </row>
    <row r="99" ht="18.75" customHeight="1">
      <c r="A99" s="14" t="n">
        <v>46141</v>
      </c>
      <c r="B99" s="23" t="inlineStr">
        <is>
          <t>Nassarao-II</t>
        </is>
      </c>
      <c r="C99" s="21" t="inlineStr">
        <is>
          <t>NRD_147</t>
        </is>
      </c>
      <c r="D99" s="53" t="inlineStr">
        <is>
          <t>NORD</t>
        </is>
      </c>
      <c r="E99" s="23" t="inlineStr">
        <is>
          <t>CAMUSAT</t>
        </is>
      </c>
      <c r="F99" s="23" t="inlineStr">
        <is>
          <t>Good Grid + GE</t>
        </is>
      </c>
      <c r="G99" s="53" t="inlineStr">
        <is>
          <t>NORD</t>
        </is>
      </c>
      <c r="H99" s="23" t="inlineStr">
        <is>
          <t>Garoua</t>
        </is>
      </c>
      <c r="I99" s="55" t="inlineStr">
        <is>
          <t>Huawei</t>
        </is>
      </c>
      <c r="J99" s="25" t="n">
        <v>1.35199473240371</v>
      </c>
      <c r="K99" s="25" t="n">
        <v>1.724210842165033</v>
      </c>
      <c r="L99" s="25" t="n">
        <v>1.559534831800065</v>
      </c>
      <c r="M99" s="25" t="n">
        <v>1.585181760850149</v>
      </c>
      <c r="N99" s="68" t="inlineStr">
        <is>
          <t>Operationnel</t>
        </is>
      </c>
      <c r="O99" s="27" t="n"/>
      <c r="P99" s="28" t="inlineStr">
        <is>
          <t>IHS</t>
        </is>
      </c>
      <c r="Q99" s="28" t="inlineStr">
        <is>
          <t>POWER ISSUE</t>
        </is>
      </c>
      <c r="R99" s="29" t="inlineStr">
        <is>
          <t>Defaut GE &amp; Power Cabinet</t>
        </is>
      </c>
      <c r="S99" s="28" t="inlineStr">
        <is>
          <t>PASSIVE</t>
        </is>
      </c>
      <c r="T99" s="29" t="inlineStr">
        <is>
          <t>(04/29/2026 incident ): impacted by   NRD_009_H_Garoua-Lainde , RCA: Power issue / En attente RCA IHS</t>
        </is>
      </c>
    </row>
    <row r="100" ht="18.75" customHeight="1">
      <c r="A100" s="14" t="n">
        <v>46141</v>
      </c>
      <c r="B100" s="23" t="inlineStr">
        <is>
          <t>Mayo-Djinga-FH</t>
        </is>
      </c>
      <c r="C100" s="21" t="inlineStr">
        <is>
          <t>OST_093</t>
        </is>
      </c>
      <c r="D100" s="53" t="inlineStr">
        <is>
          <t>OUEST</t>
        </is>
      </c>
      <c r="E100" s="23" t="inlineStr">
        <is>
          <t>IHS</t>
        </is>
      </c>
      <c r="F100" s="23" t="inlineStr">
        <is>
          <t>Solar-Gen</t>
        </is>
      </c>
      <c r="G100" s="53" t="inlineStr">
        <is>
          <t>OUEST</t>
        </is>
      </c>
      <c r="H100" s="23" t="inlineStr">
        <is>
          <t>Mayo-Djinga</t>
        </is>
      </c>
      <c r="I100" s="56" t="inlineStr">
        <is>
          <t>NOKIA</t>
        </is>
      </c>
      <c r="J100" s="25" t="n">
        <v>2.761941017309529</v>
      </c>
      <c r="K100" s="25" t="n">
        <v>1.184919989818615</v>
      </c>
      <c r="L100" s="25" t="n">
        <v>1.516032018070905</v>
      </c>
      <c r="M100" s="25" t="n">
        <v>1.582789581033228</v>
      </c>
      <c r="N100" s="68" t="inlineStr">
        <is>
          <t>Operationnel</t>
        </is>
      </c>
      <c r="O100" s="27" t="n"/>
      <c r="P100" s="28" t="inlineStr">
        <is>
          <t>AKTIVCO</t>
        </is>
      </c>
      <c r="Q100" s="28" t="inlineStr">
        <is>
          <t>POWER ISSUE</t>
        </is>
      </c>
      <c r="R100" s="29" t="inlineStr">
        <is>
          <t>AKTIVCO Defaut GE &amp; Power Cabinet</t>
        </is>
      </c>
      <c r="S100" s="28" t="inlineStr">
        <is>
          <t>PASSIVE</t>
        </is>
      </c>
      <c r="T100" s="29" t="inlineStr">
        <is>
          <t>(04/29/2026 incident ): impacted by    Magba_G_OST_023 , RCA: Power issue / En attente RCA CAMUSAT..;..;(04/29/2026 com ran 17h): Impacted by Magba_G_OST_023..;..;(04/29/2026 com ran 18h): Impacted by Magba_G_OST_023..;..;(04/29/2026 ticket): INC-20260429-00013819</t>
        </is>
      </c>
    </row>
    <row r="101" ht="18.75" customHeight="1">
      <c r="A101" s="14" t="n">
        <v>46141</v>
      </c>
      <c r="B101" s="23" t="inlineStr">
        <is>
          <t>Buea-Bakwere-Town-MTN</t>
        </is>
      </c>
      <c r="C101" s="21" t="inlineStr">
        <is>
          <t>SUO_222</t>
        </is>
      </c>
      <c r="D101" s="53" t="inlineStr">
        <is>
          <t>SUD-OUEST</t>
        </is>
      </c>
      <c r="E101" s="23" t="inlineStr">
        <is>
          <t>MTN sharing</t>
        </is>
      </c>
      <c r="F101" s="23" t="inlineStr">
        <is>
          <t>MTN</t>
        </is>
      </c>
      <c r="G101" s="53" t="inlineStr">
        <is>
          <t>SUD-OUEST</t>
        </is>
      </c>
      <c r="H101" s="23" t="inlineStr">
        <is>
          <t>Buea</t>
        </is>
      </c>
      <c r="I101" s="55" t="inlineStr">
        <is>
          <t>Huawei</t>
        </is>
      </c>
      <c r="J101" s="25" t="n">
        <v>0</v>
      </c>
      <c r="K101" s="25" t="n">
        <v>2.643772249252833</v>
      </c>
      <c r="L101" s="25" t="n">
        <v>1.053199016343925</v>
      </c>
      <c r="M101" s="25" t="n">
        <v>1.436776074171097</v>
      </c>
      <c r="N101" s="68" t="inlineStr">
        <is>
          <t>Operationnel</t>
        </is>
      </c>
      <c r="O101" s="27" t="n"/>
      <c r="P101" s="28" t="inlineStr">
        <is>
          <t>SST &amp; DC</t>
        </is>
      </c>
      <c r="Q101" s="28" t="inlineStr">
        <is>
          <t>POWER ISSUE</t>
        </is>
      </c>
      <c r="R101" s="29" t="inlineStr">
        <is>
          <t>Sites strategiques &amp; DataCenter</t>
        </is>
      </c>
      <c r="S101" s="28" t="inlineStr">
        <is>
          <t>PASSIVE</t>
        </is>
      </c>
      <c r="T101" s="29" t="inlineStr">
        <is>
          <t>(04/29/2026 incident ): impacted by  SUO_023_H_Buea-Signal-Hill  Souci d'energie defaut GE || Action  En attente RCA  de OCM</t>
        </is>
      </c>
    </row>
    <row r="102" ht="18.75" customHeight="1">
      <c r="A102" s="14" t="n">
        <v>46141</v>
      </c>
      <c r="B102" s="23" t="inlineStr">
        <is>
          <t>Abattoir</t>
        </is>
      </c>
      <c r="C102" s="21" t="inlineStr">
        <is>
          <t>CTR_104</t>
        </is>
      </c>
      <c r="D102" s="53" t="inlineStr">
        <is>
          <t>Yaounde</t>
        </is>
      </c>
      <c r="E102" s="23" t="inlineStr">
        <is>
          <t>IHS</t>
        </is>
      </c>
      <c r="F102" s="23" t="inlineStr">
        <is>
          <t>GridOnly</t>
        </is>
      </c>
      <c r="G102" s="53" t="inlineStr">
        <is>
          <t>CENTRE</t>
        </is>
      </c>
      <c r="H102" s="23" t="inlineStr">
        <is>
          <t>Yaounde</t>
        </is>
      </c>
      <c r="I102" s="54" t="inlineStr">
        <is>
          <t>ZTE</t>
        </is>
      </c>
      <c r="J102" s="25" t="n">
        <v>0</v>
      </c>
      <c r="K102" s="25" t="n">
        <v>0</v>
      </c>
      <c r="L102" s="25" t="n">
        <v>2.37962443118019</v>
      </c>
      <c r="M102" s="25" t="n">
        <v>1.24094691424609</v>
      </c>
      <c r="N102" s="68" t="inlineStr">
        <is>
          <t>Operationnel</t>
        </is>
      </c>
      <c r="O102" s="27" t="n"/>
      <c r="P102" s="28" t="inlineStr">
        <is>
          <t>AKTIVCO GRID ONLY</t>
        </is>
      </c>
      <c r="Q102" s="28" t="inlineStr">
        <is>
          <t>POWER ISSUE</t>
        </is>
      </c>
      <c r="R102" s="29" t="inlineStr">
        <is>
          <t>AKTIVCO Coupure ENEO &amp; Baisse de tension</t>
        </is>
      </c>
      <c r="S102" s="28" t="inlineStr">
        <is>
          <t>PASSIVE</t>
        </is>
      </c>
      <c r="T102" s="29" t="inlineStr">
        <is>
          <t>(04/29/2026 incident ): impacted by  CTR_773_Z_Efoulan-Pont(CTR-773), soucis d'energie || Action : en ettente RCA CAMSUSAT</t>
        </is>
      </c>
    </row>
    <row r="103" ht="18.75" customHeight="1">
      <c r="A103" s="14" t="n">
        <v>46141</v>
      </c>
      <c r="B103" s="23" t="inlineStr">
        <is>
          <t>Mantoum-Ville</t>
        </is>
      </c>
      <c r="C103" s="21" t="inlineStr">
        <is>
          <t>OST_201</t>
        </is>
      </c>
      <c r="D103" s="53" t="inlineStr">
        <is>
          <t>OUEST</t>
        </is>
      </c>
      <c r="E103" s="23" t="inlineStr">
        <is>
          <t>IHS</t>
        </is>
      </c>
      <c r="F103" s="23" t="inlineStr">
        <is>
          <t>Hybrid-Gen</t>
        </is>
      </c>
      <c r="G103" s="53" t="inlineStr">
        <is>
          <t>OUEST</t>
        </is>
      </c>
      <c r="H103" s="23" t="inlineStr">
        <is>
          <t>Mantoum</t>
        </is>
      </c>
      <c r="I103" s="56" t="inlineStr">
        <is>
          <t>NOKIA</t>
        </is>
      </c>
      <c r="J103" s="25" t="n">
        <v>4.223219388591138</v>
      </c>
      <c r="K103" s="25" t="n">
        <v>1.816384800296487</v>
      </c>
      <c r="L103" s="25" t="n">
        <v>0</v>
      </c>
      <c r="M103" s="25" t="n">
        <v>1.212856665896191</v>
      </c>
      <c r="N103" s="68" t="inlineStr">
        <is>
          <t>Operationnel</t>
        </is>
      </c>
      <c r="O103" s="27" t="n"/>
      <c r="P103" s="28" t="inlineStr">
        <is>
          <t>AKTIVCO</t>
        </is>
      </c>
      <c r="Q103" s="28" t="inlineStr">
        <is>
          <t>POWER ISSUE</t>
        </is>
      </c>
      <c r="R103" s="29" t="inlineStr">
        <is>
          <t>AKTIVCO Defaut GE &amp; Power Cabinet</t>
        </is>
      </c>
      <c r="S103" s="28" t="inlineStr">
        <is>
          <t>PASSIVE</t>
        </is>
      </c>
      <c r="T103" s="29" t="inlineStr">
        <is>
          <t>(04/29/2026 com ran 17h): Impacted by Magba_G_OST_023..;..;(04/29/2026 com ran 18h): Impacted by Magba_G_OST_023..;..;(04/29/2026 ticket): INC-20260429-00012952  ;  remontée des sites Mayo DJINGA, mayo Darle, Pangari après un reset physique du MPR qui porte ces directions.  ;  Transmission  ;  remontée des sites Mayo DJINGA, mayo Darle, Pangari après un reset physique du MPR qui porte ces directions.</t>
        </is>
      </c>
    </row>
    <row r="104" ht="18.75" customHeight="1">
      <c r="A104" s="14" t="n">
        <v>46141</v>
      </c>
      <c r="B104" s="23" t="inlineStr">
        <is>
          <t>Mantoum-Village</t>
        </is>
      </c>
      <c r="C104" s="21" t="inlineStr">
        <is>
          <t>OST_200</t>
        </is>
      </c>
      <c r="D104" s="53" t="inlineStr">
        <is>
          <t>OUEST</t>
        </is>
      </c>
      <c r="E104" s="23" t="inlineStr">
        <is>
          <t>IHS</t>
        </is>
      </c>
      <c r="F104" s="23" t="inlineStr">
        <is>
          <t>Hybrid-Gen</t>
        </is>
      </c>
      <c r="G104" s="53" t="inlineStr">
        <is>
          <t>OUEST</t>
        </is>
      </c>
      <c r="H104" s="23" t="inlineStr">
        <is>
          <t>Mantoum</t>
        </is>
      </c>
      <c r="I104" s="56" t="inlineStr">
        <is>
          <t>NOKIA</t>
        </is>
      </c>
      <c r="J104" s="25" t="n">
        <v>4.222095328305537</v>
      </c>
      <c r="K104" s="25" t="n">
        <v>1.811869073241055</v>
      </c>
      <c r="L104" s="25" t="n">
        <v>0</v>
      </c>
      <c r="M104" s="25" t="n">
        <v>1.211180168534356</v>
      </c>
      <c r="N104" s="68" t="inlineStr">
        <is>
          <t>Operationnel</t>
        </is>
      </c>
      <c r="O104" s="27" t="n"/>
      <c r="P104" s="28" t="inlineStr">
        <is>
          <t>AKTIVCO</t>
        </is>
      </c>
      <c r="Q104" s="28" t="inlineStr">
        <is>
          <t>POWER ISSUE</t>
        </is>
      </c>
      <c r="R104" s="29" t="inlineStr">
        <is>
          <t>AKTIVCO Defaut GE &amp; Power Cabinet</t>
        </is>
      </c>
      <c r="S104" s="28" t="inlineStr">
        <is>
          <t>PASSIVE</t>
        </is>
      </c>
      <c r="T104" s="29" t="inlineStr">
        <is>
          <t xml:space="preserve">(04/29/2026 incident ): impacted by    Magba_G_OST_023 , RCA: Power issue / En attente RCA CAMUSAT..;..;(04/29/2026 com ran 17h): Impacted by Magba_G_OST_023..;..;(04/29/2026 com ran 18h): Impacted by Magba_G_OST_023..;..;(04/29/2026 ticket): INC-20260429-00006903  ;  2026-04-29 14:19:29  ;  
	No power issue, U=49.5V site on GEN, FME TX Honore 677551851 / HUAWEI is informed.  ;  	No power issue, U=49.5V site on GEN, FME TX Honore 677551851 / HUAWEI is informed.  ;  Equipement crash (Plantage)  ;  	No power issue, U=49.5V site on GEN, FME TX Honore 677551851 / HUAWEI is informed.  ;  user:TCHOUPOU BAUDOIN VALDAS </t>
        </is>
      </c>
    </row>
    <row r="105" ht="18.75" customHeight="1">
      <c r="A105" s="14" t="n">
        <v>46141</v>
      </c>
      <c r="B105" s="23" t="inlineStr">
        <is>
          <t>Mayo-Baleo-IHS</t>
        </is>
      </c>
      <c r="C105" s="21" t="inlineStr">
        <is>
          <t>ADM_075</t>
        </is>
      </c>
      <c r="D105" s="53" t="inlineStr">
        <is>
          <t>ADAMAOUA</t>
        </is>
      </c>
      <c r="E105" s="23" t="inlineStr">
        <is>
          <t>IHS</t>
        </is>
      </c>
      <c r="F105" s="23" t="inlineStr">
        <is>
          <t>Hybrid-Gen</t>
        </is>
      </c>
      <c r="G105" s="53" t="inlineStr">
        <is>
          <t>ADAMAOUA</t>
        </is>
      </c>
      <c r="H105" s="23" t="inlineStr">
        <is>
          <t>Mayo-Baleo</t>
        </is>
      </c>
      <c r="I105" s="56" t="inlineStr">
        <is>
          <t>NOKIA</t>
        </is>
      </c>
      <c r="J105" s="25" t="n">
        <v>8.397729498139554</v>
      </c>
      <c r="K105" s="25" t="n">
        <v>0</v>
      </c>
      <c r="L105" s="25" t="n">
        <v>0</v>
      </c>
      <c r="M105" s="25" t="n">
        <v>1.199194995905066</v>
      </c>
      <c r="N105" s="68" t="inlineStr">
        <is>
          <t>Operationnel</t>
        </is>
      </c>
      <c r="O105" s="27" t="n"/>
      <c r="P105" s="28" t="inlineStr">
        <is>
          <t>IHS</t>
        </is>
      </c>
      <c r="Q105" s="28" t="inlineStr">
        <is>
          <t>POWER ISSUE</t>
        </is>
      </c>
      <c r="R105" s="29" t="inlineStr">
        <is>
          <t>Defaut GE &amp; Power Cabinet</t>
        </is>
      </c>
      <c r="S105" s="28" t="inlineStr">
        <is>
          <t>PASSIVE</t>
        </is>
      </c>
      <c r="T105" s="29" t="inlineStr">
        <is>
          <t>(04/29/2026 hourly IHS): Supervisor is informed and managing ( Ali Abakar is informed )..;..;(04/29/2026 ticket): INC-20260429-00000745  ;  2026-04-29 03:34:30  ;  IMPACTED BY Mayo-Baleo  ;  power issue in the parent site of Mayo Baleo   ;  Others Transmission equipement fault  ;  user:OCM_NOC.IHS</t>
        </is>
      </c>
    </row>
    <row r="106" ht="18.75" customHeight="1">
      <c r="A106" s="14" t="n">
        <v>46141</v>
      </c>
      <c r="B106" s="23" t="inlineStr">
        <is>
          <t>Lamape</t>
        </is>
      </c>
      <c r="C106" s="21" t="inlineStr">
        <is>
          <t>OST_027</t>
        </is>
      </c>
      <c r="D106" s="53" t="inlineStr">
        <is>
          <t>OUEST</t>
        </is>
      </c>
      <c r="E106" s="23" t="inlineStr">
        <is>
          <t>IHS</t>
        </is>
      </c>
      <c r="F106" s="23" t="inlineStr">
        <is>
          <t>Grid-Gen</t>
        </is>
      </c>
      <c r="G106" s="53" t="inlineStr">
        <is>
          <t>OUEST</t>
        </is>
      </c>
      <c r="H106" s="23" t="inlineStr">
        <is>
          <t>Lamape</t>
        </is>
      </c>
      <c r="I106" s="55" t="inlineStr">
        <is>
          <t>Huawei</t>
        </is>
      </c>
      <c r="J106" s="25" t="n">
        <v>0</v>
      </c>
      <c r="K106" s="25" t="n">
        <v>3.412348994087266</v>
      </c>
      <c r="L106" s="25" t="n">
        <v>0</v>
      </c>
      <c r="M106" s="25" t="n">
        <v>1.145564915404657</v>
      </c>
      <c r="N106" s="68" t="inlineStr">
        <is>
          <t>Operationnel</t>
        </is>
      </c>
      <c r="O106" s="27" t="n"/>
      <c r="P106" s="28" t="inlineStr">
        <is>
          <t>AKTIVCO</t>
        </is>
      </c>
      <c r="Q106" s="28" t="inlineStr">
        <is>
          <t>POWER ISSUE</t>
        </is>
      </c>
      <c r="R106" s="29" t="inlineStr">
        <is>
          <t>AKTIVCO Defaut GE &amp; Power Cabinet</t>
        </is>
      </c>
      <c r="S106" s="28" t="inlineStr">
        <is>
          <t>PASSIVE</t>
        </is>
      </c>
      <c r="T106" s="29" t="inlineStr">
        <is>
          <t>(04/29/2026 incident ): impacted by    Magba_G_OST_023 , RCA: Power issue / En attente RCA CAMUSAT..;..;(04/29/2026 com ran 17h): Impacted by Magba_G_OST_023..;..;(04/29/2026 com ran 18h): Impacted by Magba_G_OST_023</t>
        </is>
      </c>
    </row>
    <row r="107" ht="18.75" customHeight="1">
      <c r="A107" s="14" t="n">
        <v>46141</v>
      </c>
      <c r="B107" s="23" t="inlineStr">
        <is>
          <t>Tole-HIS</t>
        </is>
      </c>
      <c r="C107" s="21" t="inlineStr">
        <is>
          <t>SUO_196</t>
        </is>
      </c>
      <c r="D107" s="53" t="inlineStr">
        <is>
          <t>SUD-OUEST</t>
        </is>
      </c>
      <c r="E107" s="23" t="inlineStr">
        <is>
          <t>IHS</t>
        </is>
      </c>
      <c r="F107" s="23" t="inlineStr">
        <is>
          <t>Grid-Gen</t>
        </is>
      </c>
      <c r="G107" s="53" t="inlineStr">
        <is>
          <t>SUD-OUEST</t>
        </is>
      </c>
      <c r="H107" s="23" t="inlineStr">
        <is>
          <t>Buea</t>
        </is>
      </c>
      <c r="I107" s="55" t="inlineStr">
        <is>
          <t>Huawei</t>
        </is>
      </c>
      <c r="J107" s="25" t="n">
        <v>1.173394042580403</v>
      </c>
      <c r="K107" s="25" t="n">
        <v>2.012420480702864</v>
      </c>
      <c r="L107" s="25" t="n">
        <v>0.5776434936206818</v>
      </c>
      <c r="M107" s="25" t="n">
        <v>1.144387800235708</v>
      </c>
      <c r="N107" s="68" t="inlineStr">
        <is>
          <t>Operationnel</t>
        </is>
      </c>
      <c r="O107" s="27" t="n"/>
      <c r="P107" s="28" t="inlineStr">
        <is>
          <t>SST &amp; DC</t>
        </is>
      </c>
      <c r="Q107" s="28" t="inlineStr">
        <is>
          <t>POWER ISSUE</t>
        </is>
      </c>
      <c r="R107" s="29" t="inlineStr">
        <is>
          <t>Sites strategiques &amp; DataCenter</t>
        </is>
      </c>
      <c r="S107" s="28" t="inlineStr">
        <is>
          <t>PASSIVE</t>
        </is>
      </c>
      <c r="T107" s="29" t="inlineStr">
        <is>
          <t>(04/29/2026 incident ): impacted by  SUO_023_H_Buea-Signal-Hill  Souci d'energie defaut GE || Action  En attente RCA  de OCM</t>
        </is>
      </c>
    </row>
    <row r="108" ht="18.75" customHeight="1">
      <c r="A108" s="14" t="n">
        <v>46141</v>
      </c>
      <c r="B108" s="23" t="inlineStr">
        <is>
          <t>Doumofe-MTN</t>
        </is>
      </c>
      <c r="C108" s="21" t="inlineStr">
        <is>
          <t>OST_116</t>
        </is>
      </c>
      <c r="D108" s="53" t="inlineStr">
        <is>
          <t>OUEST</t>
        </is>
      </c>
      <c r="E108" s="23" t="inlineStr">
        <is>
          <t>IHS</t>
        </is>
      </c>
      <c r="F108" s="23" t="inlineStr">
        <is>
          <t>Solar-Gen</t>
        </is>
      </c>
      <c r="G108" s="53" t="inlineStr">
        <is>
          <t>OUEST</t>
        </is>
      </c>
      <c r="H108" s="23" t="inlineStr">
        <is>
          <t>Doumofe</t>
        </is>
      </c>
      <c r="I108" s="56" t="inlineStr">
        <is>
          <t>NOKIA</t>
        </is>
      </c>
      <c r="J108" s="25" t="n">
        <v>3.950697217126482</v>
      </c>
      <c r="K108" s="25" t="n">
        <v>1.702960361904179</v>
      </c>
      <c r="L108" s="25" t="n">
        <v>0</v>
      </c>
      <c r="M108" s="25" t="n">
        <v>1.135862632799993</v>
      </c>
      <c r="N108" s="68" t="inlineStr">
        <is>
          <t>Operationnel</t>
        </is>
      </c>
      <c r="O108" s="27" t="n"/>
      <c r="P108" s="28" t="inlineStr">
        <is>
          <t>AKTIVCO</t>
        </is>
      </c>
      <c r="Q108" s="28" t="inlineStr">
        <is>
          <t>POWER ISSUE</t>
        </is>
      </c>
      <c r="R108" s="29" t="inlineStr">
        <is>
          <t>AKTIVCO Defaut GE &amp; Power Cabinet</t>
        </is>
      </c>
      <c r="S108" s="28" t="inlineStr">
        <is>
          <t>PASSIVE</t>
        </is>
      </c>
      <c r="T108" s="29" t="inlineStr">
        <is>
          <t>(04/29/2026 com ran 17h): Impacted by Magba_G_OST_023..;..;(04/29/2026 com ran 18h): Impacted by Magba_G_OST_023..;..;(04/29/2026 ticket): INC-20260429-00013931  ;  Others Transmission equipement fault</t>
        </is>
      </c>
    </row>
    <row r="109" ht="18.75" customHeight="1">
      <c r="A109" s="14" t="n">
        <v>46141</v>
      </c>
      <c r="B109" s="23" t="inlineStr">
        <is>
          <t>Mayo-Darle-MTN</t>
        </is>
      </c>
      <c r="C109" s="21" t="inlineStr">
        <is>
          <t>ADM_068</t>
        </is>
      </c>
      <c r="D109" s="53" t="inlineStr">
        <is>
          <t>ADAMAOUA</t>
        </is>
      </c>
      <c r="E109" s="23" t="inlineStr">
        <is>
          <t>IHS</t>
        </is>
      </c>
      <c r="F109" s="23" t="inlineStr">
        <is>
          <t>Hybrid-Gen</t>
        </is>
      </c>
      <c r="G109" s="53" t="inlineStr">
        <is>
          <t>ADAMAOUA</t>
        </is>
      </c>
      <c r="H109" s="23" t="inlineStr">
        <is>
          <t>Mayo-Darle</t>
        </is>
      </c>
      <c r="I109" s="56" t="inlineStr">
        <is>
          <t>NOKIA</t>
        </is>
      </c>
      <c r="J109" s="25" t="n">
        <v>3.021224256521548</v>
      </c>
      <c r="K109" s="25" t="n">
        <v>1.305006051567049</v>
      </c>
      <c r="L109" s="25" t="n">
        <v>0.3051062354329175</v>
      </c>
      <c r="M109" s="25" t="n">
        <v>1.028645538857319</v>
      </c>
      <c r="N109" s="68" t="inlineStr">
        <is>
          <t>Operationnel</t>
        </is>
      </c>
      <c r="O109" s="27" t="n"/>
      <c r="P109" s="28" t="inlineStr">
        <is>
          <t>IHS</t>
        </is>
      </c>
      <c r="Q109" s="28" t="inlineStr">
        <is>
          <t>POWER ISSUE</t>
        </is>
      </c>
      <c r="R109" s="29" t="inlineStr">
        <is>
          <t>Defaut GE &amp; Power Cabinet</t>
        </is>
      </c>
      <c r="S109" s="28" t="inlineStr">
        <is>
          <t>PASSIVE</t>
        </is>
      </c>
      <c r="T109" s="29" t="inlineStr">
        <is>
          <t>(04/29/2026 com ran 17h): Impacted by Magba_G_OST_023..;..;(04/29/2026 com ran 18h): Impacted by Magba_G_OST_023..;..;(04/29/2026 ticket): INC-20260429-00005286  ;  2026-04-29 10:01:38  ;  No power issue on site Ubaie: 52 V Site on Grid. Brice (+237 674016397/ Huawei) is informed. Site up without intervention.  ;  user:OCM_NOC.IHS</t>
        </is>
      </c>
    </row>
    <row r="110" ht="18.75" customHeight="1">
      <c r="A110" s="14" t="n">
        <v>46141</v>
      </c>
      <c r="B110" s="23" t="inlineStr">
        <is>
          <t>Garoua-Lainde</t>
        </is>
      </c>
      <c r="C110" s="21" t="inlineStr">
        <is>
          <t>NRD_009</t>
        </is>
      </c>
      <c r="D110" s="53" t="inlineStr">
        <is>
          <t>Garoua</t>
        </is>
      </c>
      <c r="E110" s="23" t="inlineStr">
        <is>
          <t>IHS</t>
        </is>
      </c>
      <c r="F110" s="23" t="inlineStr">
        <is>
          <t>Grid-Gen</t>
        </is>
      </c>
      <c r="G110" s="53" t="inlineStr">
        <is>
          <t>NORD</t>
        </is>
      </c>
      <c r="H110" s="23" t="inlineStr">
        <is>
          <t>Garoua</t>
        </is>
      </c>
      <c r="I110" s="55" t="inlineStr">
        <is>
          <t>Huawei</t>
        </is>
      </c>
      <c r="J110" s="25" t="n">
        <v>1.352619210340156</v>
      </c>
      <c r="K110" s="25" t="n">
        <v>1.727398414204161</v>
      </c>
      <c r="L110" s="25" t="n">
        <v>0.2691565597865462</v>
      </c>
      <c r="M110" s="25" t="n">
        <v>0.9134235360254315</v>
      </c>
      <c r="N110" s="68" t="inlineStr">
        <is>
          <t>Operationnel</t>
        </is>
      </c>
      <c r="O110" s="27" t="n"/>
      <c r="P110" s="28" t="inlineStr">
        <is>
          <t>IHS</t>
        </is>
      </c>
      <c r="Q110" s="28" t="inlineStr">
        <is>
          <t>POWER ISSUE</t>
        </is>
      </c>
      <c r="R110" s="29" t="inlineStr">
        <is>
          <t>Defaut GE &amp; Power Cabinet</t>
        </is>
      </c>
      <c r="S110" s="28" t="inlineStr">
        <is>
          <t>PASSIVE</t>
        </is>
      </c>
      <c r="T110" s="29" t="inlineStr">
        <is>
          <t>(04/29/2026 incident ): impacted by   NRD_009_H_Garoua-Lainde , RCA: Power issue / En attente RCA IHS..;..;(04/29/2026 hourly IHS): FME is on the way , ETA ASAP ( Franklin is informed )</t>
        </is>
      </c>
    </row>
    <row r="111" ht="18.75" customHeight="1">
      <c r="A111" s="14" t="n">
        <v>46141</v>
      </c>
      <c r="B111" s="23" t="inlineStr">
        <is>
          <t>Wotutu-IHS</t>
        </is>
      </c>
      <c r="C111" s="21" t="inlineStr">
        <is>
          <t>SUO_127</t>
        </is>
      </c>
      <c r="D111" s="53" t="inlineStr">
        <is>
          <t>SUD-OUEST</t>
        </is>
      </c>
      <c r="E111" s="23" t="inlineStr">
        <is>
          <t>IHS</t>
        </is>
      </c>
      <c r="F111" s="23" t="inlineStr">
        <is>
          <t>Grid-Gen</t>
        </is>
      </c>
      <c r="G111" s="53" t="inlineStr">
        <is>
          <t>SUD-OUEST</t>
        </is>
      </c>
      <c r="H111" s="23" t="inlineStr">
        <is>
          <t>Wotutu</t>
        </is>
      </c>
      <c r="I111" s="55" t="inlineStr">
        <is>
          <t>HUAWEI</t>
        </is>
      </c>
      <c r="J111" s="25" t="n">
        <v>0</v>
      </c>
      <c r="K111" s="25" t="n">
        <v>2.64021279380914</v>
      </c>
      <c r="L111" s="25" t="n">
        <v>0</v>
      </c>
      <c r="M111" s="25" t="n">
        <v>0.8863498871396244</v>
      </c>
      <c r="N111" s="68" t="inlineStr">
        <is>
          <t>Insecurity</t>
        </is>
      </c>
      <c r="O111" s="27" t="n"/>
      <c r="P111" s="28" t="inlineStr">
        <is>
          <t>SST &amp; DC</t>
        </is>
      </c>
      <c r="Q111" s="28" t="inlineStr">
        <is>
          <t>POWER ISSUE</t>
        </is>
      </c>
      <c r="R111" s="29" t="inlineStr">
        <is>
          <t>Sites strategiques &amp; DataCenter</t>
        </is>
      </c>
      <c r="S111" s="28" t="inlineStr">
        <is>
          <t>PASSIVE</t>
        </is>
      </c>
      <c r="T111" s="29" t="inlineStr">
        <is>
          <t>(04/29/2026 incident ): impacted by  SUO_023_H_Buea-Signal-Hill  Souci d'energie defaut GE || Action  En attente RCA  de OCM</t>
        </is>
      </c>
    </row>
    <row r="112" ht="18.75" customHeight="1">
      <c r="A112" s="14" t="n">
        <v>46141</v>
      </c>
      <c r="B112" s="23" t="inlineStr">
        <is>
          <t>Wadjiri-IHS</t>
        </is>
      </c>
      <c r="C112" s="21" t="inlineStr">
        <is>
          <t>ADM_103</t>
        </is>
      </c>
      <c r="D112" s="53" t="inlineStr">
        <is>
          <t>ADAMAOUA</t>
        </is>
      </c>
      <c r="E112" s="23" t="inlineStr">
        <is>
          <t>IHS</t>
        </is>
      </c>
      <c r="F112" s="23" t="inlineStr">
        <is>
          <t>Hybrid-Gen</t>
        </is>
      </c>
      <c r="G112" s="53" t="inlineStr">
        <is>
          <t>ADAMAOUA</t>
        </is>
      </c>
      <c r="H112" s="23" t="inlineStr">
        <is>
          <t>Wadjiri</t>
        </is>
      </c>
      <c r="I112" s="56" t="inlineStr">
        <is>
          <t>NOKIA</t>
        </is>
      </c>
      <c r="J112" s="25" t="n">
        <v>2.16406584095696</v>
      </c>
      <c r="K112" s="25" t="n">
        <v>0.5063806055144126</v>
      </c>
      <c r="L112" s="25" t="n">
        <v>0.6398196849411316</v>
      </c>
      <c r="M112" s="25" t="n">
        <v>0.8126848570408031</v>
      </c>
      <c r="N112" s="68" t="inlineStr">
        <is>
          <t>Operationnel</t>
        </is>
      </c>
      <c r="O112" s="27" t="n"/>
      <c r="P112" s="28" t="inlineStr">
        <is>
          <t>IHS</t>
        </is>
      </c>
      <c r="Q112" s="28" t="inlineStr">
        <is>
          <t>POWER ISSUE</t>
        </is>
      </c>
      <c r="R112" s="29" t="inlineStr">
        <is>
          <t>Defaut GE &amp; Power Cabinet</t>
        </is>
      </c>
      <c r="S112" s="28" t="inlineStr">
        <is>
          <t>PASSIVE</t>
        </is>
      </c>
      <c r="T112" s="29" t="inlineStr">
        <is>
          <t xml:space="preserve">   (04/29/2026 incident ): impacted by   Tibati_2_ADM_044  , soucis d'energie || Action : en ettente RCA HIS ..;..;(04/29/2026 ticket): INC-20260429-00006638  ;  Others Transmission equipement fault</t>
        </is>
      </c>
    </row>
    <row r="113" ht="18.75" customHeight="1">
      <c r="A113" s="14" t="n">
        <v>46141</v>
      </c>
      <c r="B113" s="23" t="inlineStr">
        <is>
          <t>Pangari-MTN</t>
        </is>
      </c>
      <c r="C113" s="21" t="inlineStr">
        <is>
          <t>OST_115</t>
        </is>
      </c>
      <c r="D113" s="53" t="inlineStr">
        <is>
          <t>OUEST</t>
        </is>
      </c>
      <c r="E113" s="23" t="inlineStr">
        <is>
          <t>IHS</t>
        </is>
      </c>
      <c r="F113" s="23" t="inlineStr">
        <is>
          <t>Solar-Gen</t>
        </is>
      </c>
      <c r="G113" s="53" t="inlineStr">
        <is>
          <t>OUEST</t>
        </is>
      </c>
      <c r="H113" s="23" t="inlineStr">
        <is>
          <t>Pangari</t>
        </is>
      </c>
      <c r="I113" s="56" t="inlineStr">
        <is>
          <t>NOKIA</t>
        </is>
      </c>
      <c r="J113" s="25" t="n">
        <v>2.765313198166333</v>
      </c>
      <c r="K113" s="25" t="n">
        <v>1.179075093007851</v>
      </c>
      <c r="L113" s="25" t="n">
        <v>0.01635019845595613</v>
      </c>
      <c r="M113" s="25" t="n">
        <v>0.7992420186427754</v>
      </c>
      <c r="N113" s="68" t="inlineStr">
        <is>
          <t>Operationnel</t>
        </is>
      </c>
      <c r="O113" s="27" t="n"/>
      <c r="P113" s="28" t="inlineStr">
        <is>
          <t>AKTIVCO</t>
        </is>
      </c>
      <c r="Q113" s="28" t="inlineStr">
        <is>
          <t>POWER ISSUE</t>
        </is>
      </c>
      <c r="R113" s="29" t="inlineStr">
        <is>
          <t>AKTIVCO Defaut GE &amp; Power Cabinet</t>
        </is>
      </c>
      <c r="S113" s="28" t="inlineStr">
        <is>
          <t>PASSIVE</t>
        </is>
      </c>
      <c r="T113" s="29" t="inlineStr">
        <is>
          <t>(04/29/2026 incident ): impacted by    Magba_G_OST_023 , RCA: Power issue / En attente RCA CAMUSAT..;..;(04/29/2026 com ran 17h): Impacted by Magba_G_OST_023..;..;(04/29/2026 com ran 18h): Impacted by Magba_G_OST_023..;..;(04/29/2026 ticket): INC-20260429-00011468  ;  Others Transmission equipement fault</t>
        </is>
      </c>
    </row>
    <row r="114" ht="18.75" customHeight="1">
      <c r="A114" s="14" t="n">
        <v>46141</v>
      </c>
      <c r="B114" s="23" t="inlineStr">
        <is>
          <t>Mbantinbang-FH</t>
        </is>
      </c>
      <c r="C114" s="21" t="inlineStr">
        <is>
          <t>ADM_055</t>
        </is>
      </c>
      <c r="D114" s="53" t="inlineStr">
        <is>
          <t>ADAMAOUA</t>
        </is>
      </c>
      <c r="E114" s="23" t="inlineStr">
        <is>
          <t>IHS</t>
        </is>
      </c>
      <c r="F114" s="23" t="inlineStr">
        <is>
          <t>Solar-Gen</t>
        </is>
      </c>
      <c r="G114" s="53" t="inlineStr">
        <is>
          <t>ADAMAOUA</t>
        </is>
      </c>
      <c r="H114" s="23" t="inlineStr">
        <is>
          <t>Mbantinbang</t>
        </is>
      </c>
      <c r="I114" s="56" t="inlineStr">
        <is>
          <t>NOKIA</t>
        </is>
      </c>
      <c r="J114" s="25" t="n">
        <v>1.344875683928236</v>
      </c>
      <c r="K114" s="25" t="n">
        <v>0.5863494209707809</v>
      </c>
      <c r="L114" s="25" t="n">
        <v>0.7574688038313124</v>
      </c>
      <c r="M114" s="25" t="n">
        <v>0.7839037014791844</v>
      </c>
      <c r="N114" s="68" t="inlineStr">
        <is>
          <t>Operationnel</t>
        </is>
      </c>
      <c r="O114" s="27" t="n"/>
      <c r="P114" s="28" t="inlineStr">
        <is>
          <t>IHS</t>
        </is>
      </c>
      <c r="Q114" s="28" t="inlineStr">
        <is>
          <t>POWER ISSUE</t>
        </is>
      </c>
      <c r="R114" s="29" t="inlineStr">
        <is>
          <t>Defaut GE &amp; Power Cabinet</t>
        </is>
      </c>
      <c r="S114" s="28" t="inlineStr">
        <is>
          <t>PASSIVE</t>
        </is>
      </c>
      <c r="T114" s="29" t="inlineStr">
        <is>
          <t xml:space="preserve">   (04/29/2026 incident ): impacted by   Tibati_2_ADM_044  , soucis d'energie || Action : en ettente RCA HIS ..;..;(04/29/2026 ticket): INC-20260429-00006900  ;  Others Transmission equipement fault</t>
        </is>
      </c>
    </row>
    <row r="115" ht="18.75" customHeight="1">
      <c r="A115" s="14" t="n">
        <v>46141</v>
      </c>
      <c r="B115" s="53" t="inlineStr">
        <is>
          <t>Ngoum-II-MTN</t>
        </is>
      </c>
      <c r="C115" s="36" t="inlineStr">
        <is>
          <t>CTR_367</t>
        </is>
      </c>
      <c r="D115" s="53" t="inlineStr">
        <is>
          <t>CENTRE</t>
        </is>
      </c>
      <c r="E115" s="53" t="inlineStr">
        <is>
          <t>IHS</t>
        </is>
      </c>
      <c r="F115" s="53" t="inlineStr">
        <is>
          <t>Solar-Gen</t>
        </is>
      </c>
      <c r="G115" s="53" t="inlineStr">
        <is>
          <t>CENTRE</t>
        </is>
      </c>
      <c r="H115" s="53" t="inlineStr">
        <is>
          <t>Ngoum-II</t>
        </is>
      </c>
      <c r="I115" s="56" t="inlineStr">
        <is>
          <t>NOKIA</t>
        </is>
      </c>
      <c r="J115" s="25" t="n">
        <v>1.345250370690103</v>
      </c>
      <c r="K115" s="25" t="n">
        <v>0.5912946132582593</v>
      </c>
      <c r="L115" s="25" t="n">
        <v>0.7540487713054346</v>
      </c>
      <c r="M115" s="25" t="n">
        <v>0.7838338569712325</v>
      </c>
      <c r="N115" s="68" t="inlineStr">
        <is>
          <t>Operationnel</t>
        </is>
      </c>
      <c r="O115" s="27" t="n"/>
      <c r="P115" s="28" t="inlineStr">
        <is>
          <t>IHS</t>
        </is>
      </c>
      <c r="Q115" s="28" t="inlineStr">
        <is>
          <t>POWER ISSUE</t>
        </is>
      </c>
      <c r="R115" s="29" t="inlineStr">
        <is>
          <t>Defaut GE &amp; Power Cabinet</t>
        </is>
      </c>
      <c r="S115" s="28" t="inlineStr">
        <is>
          <t>PASSIVE</t>
        </is>
      </c>
      <c r="T115" s="29" t="inlineStr">
        <is>
          <t xml:space="preserve">   (04/29/2026 incident ): impacted by   Tibati_2_ADM_044  , soucis d'energie || Action : en ettente RCA HIS ..;..;(04/29/2026 ticket): INC-20260429-00006444  ;  2026-04-29 10:13:04  ;  
FME Willy activer ETA=45 Minute(12H UTC +1)  ;  
En Attente RCA IHS  ;  Other  ;  
Souci Energie  ;  user:ABANDA	Jean Roland</t>
        </is>
      </c>
    </row>
    <row r="116" ht="18.75" customHeight="1">
      <c r="A116" s="14" t="n">
        <v>46141</v>
      </c>
      <c r="B116" s="23" t="inlineStr">
        <is>
          <t>Tibati-Market-MTN-IHS</t>
        </is>
      </c>
      <c r="C116" s="21" t="inlineStr">
        <is>
          <t>ADM_105</t>
        </is>
      </c>
      <c r="D116" s="53" t="inlineStr">
        <is>
          <t>ADAMAOUA</t>
        </is>
      </c>
      <c r="E116" s="23" t="inlineStr">
        <is>
          <t>IHS</t>
        </is>
      </c>
      <c r="F116" s="23" t="inlineStr">
        <is>
          <t>Grid-Gen</t>
        </is>
      </c>
      <c r="G116" s="53" t="inlineStr">
        <is>
          <t>ADAMAOUA</t>
        </is>
      </c>
      <c r="H116" s="23" t="inlineStr">
        <is>
          <t>Tibati</t>
        </is>
      </c>
      <c r="I116" s="55" t="inlineStr">
        <is>
          <t>HUAWEI</t>
        </is>
      </c>
      <c r="J116" s="25" t="n">
        <v>0</v>
      </c>
      <c r="K116" s="25" t="n">
        <v>2.310458466361339</v>
      </c>
      <c r="L116" s="25" t="n">
        <v>0</v>
      </c>
      <c r="M116" s="25" t="n">
        <v>0.7756475560235478</v>
      </c>
      <c r="N116" s="68" t="inlineStr">
        <is>
          <t>Operationnel</t>
        </is>
      </c>
      <c r="O116" s="27" t="n"/>
      <c r="P116" s="28" t="inlineStr">
        <is>
          <t>IHS</t>
        </is>
      </c>
      <c r="Q116" s="28" t="inlineStr">
        <is>
          <t>POWER ISSUE</t>
        </is>
      </c>
      <c r="R116" s="29" t="inlineStr">
        <is>
          <t>Defaut GE &amp; Power Cabinet</t>
        </is>
      </c>
      <c r="S116" s="28" t="inlineStr">
        <is>
          <t>PASSIVE</t>
        </is>
      </c>
      <c r="T116" s="29" t="inlineStr">
        <is>
          <t xml:space="preserve">   (04/29/2026 incident ): impacted by   Tibati_2_ADM_044  , soucis d'energie || Action : en ettente RCA HIS </t>
        </is>
      </c>
    </row>
    <row r="117" ht="18.75" customHeight="1">
      <c r="A117" s="14" t="n">
        <v>46141</v>
      </c>
      <c r="B117" s="23" t="inlineStr">
        <is>
          <t>Mbong</t>
        </is>
      </c>
      <c r="C117" s="21" t="inlineStr">
        <is>
          <t>ADM_042</t>
        </is>
      </c>
      <c r="D117" s="53" t="inlineStr">
        <is>
          <t>ADAMAOUA</t>
        </is>
      </c>
      <c r="E117" s="23" t="inlineStr">
        <is>
          <t>IHS</t>
        </is>
      </c>
      <c r="F117" s="23" t="inlineStr">
        <is>
          <t>Hybrid-Gen</t>
        </is>
      </c>
      <c r="G117" s="53" t="inlineStr">
        <is>
          <t>ADAMAOUA</t>
        </is>
      </c>
      <c r="H117" s="23" t="inlineStr">
        <is>
          <t>Mbong</t>
        </is>
      </c>
      <c r="I117" s="56" t="inlineStr">
        <is>
          <t>NOKIA</t>
        </is>
      </c>
      <c r="J117" s="25" t="n">
        <v>1.29816473428214</v>
      </c>
      <c r="K117" s="25" t="n">
        <v>0.5722685331993937</v>
      </c>
      <c r="L117" s="25" t="n">
        <v>0.7247048922334071</v>
      </c>
      <c r="M117" s="25" t="n">
        <v>0.7554202607263664</v>
      </c>
      <c r="N117" s="68" t="inlineStr">
        <is>
          <t>Operationnel</t>
        </is>
      </c>
      <c r="O117" s="27" t="n"/>
      <c r="P117" s="28" t="inlineStr">
        <is>
          <t>IHS</t>
        </is>
      </c>
      <c r="Q117" s="28" t="inlineStr">
        <is>
          <t>POWER ISSUE</t>
        </is>
      </c>
      <c r="R117" s="29" t="inlineStr">
        <is>
          <t>Defaut GE &amp; Power Cabinet</t>
        </is>
      </c>
      <c r="S117" s="28" t="inlineStr">
        <is>
          <t>PASSIVE</t>
        </is>
      </c>
      <c r="T117" s="29" t="inlineStr">
        <is>
          <t xml:space="preserve">   (04/29/2026 incident ): impacted by   Tibati_2_ADM_044  , soucis d'energie || Action : en ettente RCA HIS ..;..;(04/29/2026 ticket): INC-20260429-00006796  ;  Others Transmission equipement fault</t>
        </is>
      </c>
    </row>
    <row r="118" ht="18.75" customHeight="1">
      <c r="A118" s="14" t="n">
        <v>46141</v>
      </c>
      <c r="B118" s="23" t="inlineStr">
        <is>
          <t>Kanje-I</t>
        </is>
      </c>
      <c r="C118" s="21" t="inlineStr">
        <is>
          <t>ADM_041</t>
        </is>
      </c>
      <c r="D118" s="53" t="inlineStr">
        <is>
          <t>ADAMAOUA</t>
        </is>
      </c>
      <c r="E118" s="23" t="inlineStr">
        <is>
          <t>IHS</t>
        </is>
      </c>
      <c r="F118" s="23" t="inlineStr">
        <is>
          <t>Hybrid-Gen</t>
        </is>
      </c>
      <c r="G118" s="53" t="inlineStr">
        <is>
          <t>ADAMAOUA</t>
        </is>
      </c>
      <c r="H118" s="23" t="inlineStr">
        <is>
          <t>Kanje-I</t>
        </is>
      </c>
      <c r="I118" s="56" t="inlineStr">
        <is>
          <t>NOKIA</t>
        </is>
      </c>
      <c r="J118" s="25" t="n">
        <v>1.258323041936941</v>
      </c>
      <c r="K118" s="25" t="n">
        <v>0.5454351432954294</v>
      </c>
      <c r="L118" s="25" t="n">
        <v>0.7011750684553715</v>
      </c>
      <c r="M118" s="25" t="n">
        <v>0.7284520583732265</v>
      </c>
      <c r="N118" s="68" t="inlineStr">
        <is>
          <t>Operationnel</t>
        </is>
      </c>
      <c r="O118" s="27" t="n"/>
      <c r="P118" s="28" t="inlineStr">
        <is>
          <t>IHS</t>
        </is>
      </c>
      <c r="Q118" s="28" t="inlineStr">
        <is>
          <t>POWER ISSUE</t>
        </is>
      </c>
      <c r="R118" s="29" t="inlineStr">
        <is>
          <t>Defaut GE &amp; Power Cabinet</t>
        </is>
      </c>
      <c r="S118" s="28" t="inlineStr">
        <is>
          <t>PASSIVE</t>
        </is>
      </c>
      <c r="T118" s="29" t="inlineStr">
        <is>
          <t xml:space="preserve">   (04/29/2026 incident ): impacted by   Tibati_2_ADM_044  , soucis d'energie || Action : en ettente RCA HIS ..;..;(04/29/2026 ticket): INC-20260429-00006930  ;  Others Transmission equipement fault</t>
        </is>
      </c>
    </row>
    <row r="119" ht="18.75" customHeight="1">
      <c r="A119" s="14" t="n">
        <v>46141</v>
      </c>
      <c r="B119" s="23" t="inlineStr">
        <is>
          <t>Tibati-II</t>
        </is>
      </c>
      <c r="C119" s="21" t="inlineStr">
        <is>
          <t>ADM_044</t>
        </is>
      </c>
      <c r="D119" s="53" t="inlineStr">
        <is>
          <t>ADAMAOUA</t>
        </is>
      </c>
      <c r="E119" s="23" t="inlineStr">
        <is>
          <t>IHS</t>
        </is>
      </c>
      <c r="F119" s="23" t="inlineStr">
        <is>
          <t>Grid-Gen</t>
        </is>
      </c>
      <c r="G119" s="53" t="inlineStr">
        <is>
          <t>ADAMAOUA</t>
        </is>
      </c>
      <c r="H119" s="23" t="inlineStr">
        <is>
          <t>Tibati</t>
        </is>
      </c>
      <c r="I119" s="55" t="inlineStr">
        <is>
          <t>HUAWEI</t>
        </is>
      </c>
      <c r="J119" s="25" t="n">
        <v>0</v>
      </c>
      <c r="K119" s="25" t="n">
        <v>2.168505258218836</v>
      </c>
      <c r="L119" s="25" t="n">
        <v>0</v>
      </c>
      <c r="M119" s="25" t="n">
        <v>0.7279922267594664</v>
      </c>
      <c r="N119" s="68" t="inlineStr">
        <is>
          <t>Operationnel</t>
        </is>
      </c>
      <c r="O119" s="27" t="n"/>
      <c r="P119" s="28" t="inlineStr">
        <is>
          <t>IHS</t>
        </is>
      </c>
      <c r="Q119" s="28" t="inlineStr">
        <is>
          <t>POWER ISSUE</t>
        </is>
      </c>
      <c r="R119" s="29" t="inlineStr">
        <is>
          <t>Defaut GE &amp; Power Cabinet</t>
        </is>
      </c>
      <c r="S119" s="28" t="inlineStr">
        <is>
          <t>PASSIVE</t>
        </is>
      </c>
      <c r="T119" s="29" t="inlineStr">
        <is>
          <t xml:space="preserve">   (04/29/2026 incident ): impacted by   Tibati_2_ADM_044  , soucis d'energie || Action : en ettente RCA HIS </t>
        </is>
      </c>
    </row>
    <row r="120" ht="18.75" customHeight="1">
      <c r="A120" s="14" t="n">
        <v>46141</v>
      </c>
      <c r="B120" s="23" t="inlineStr">
        <is>
          <t>Tignere</t>
        </is>
      </c>
      <c r="C120" s="21" t="inlineStr">
        <is>
          <t>ADM_011</t>
        </is>
      </c>
      <c r="D120" s="53" t="inlineStr">
        <is>
          <t>ADAMAOUA</t>
        </is>
      </c>
      <c r="E120" s="23" t="inlineStr">
        <is>
          <t>IHS</t>
        </is>
      </c>
      <c r="F120" s="23" t="inlineStr">
        <is>
          <t>Grid-Gen</t>
        </is>
      </c>
      <c r="G120" s="53" t="inlineStr">
        <is>
          <t>ADAMAOUA</t>
        </is>
      </c>
      <c r="H120" s="23" t="inlineStr">
        <is>
          <t>Tignere</t>
        </is>
      </c>
      <c r="I120" s="55" t="inlineStr">
        <is>
          <t>HUAWEI</t>
        </is>
      </c>
      <c r="J120" s="25" t="n">
        <v>0</v>
      </c>
      <c r="K120" s="25" t="n">
        <v>2.161173842528842</v>
      </c>
      <c r="L120" s="25" t="n">
        <v>0</v>
      </c>
      <c r="M120" s="25" t="n">
        <v>0.7255309859516657</v>
      </c>
      <c r="N120" s="68" t="inlineStr">
        <is>
          <t>Operationnel</t>
        </is>
      </c>
      <c r="O120" s="27" t="n"/>
      <c r="P120" s="28" t="inlineStr">
        <is>
          <t>IHS</t>
        </is>
      </c>
      <c r="Q120" s="28" t="inlineStr">
        <is>
          <t>POWER ISSUE</t>
        </is>
      </c>
      <c r="R120" s="29" t="inlineStr">
        <is>
          <t>Defaut GE &amp; Power Cabinet</t>
        </is>
      </c>
      <c r="S120" s="28" t="inlineStr">
        <is>
          <t>PASSIVE</t>
        </is>
      </c>
      <c r="T120" s="29" t="inlineStr">
        <is>
          <t xml:space="preserve">   (04/29/2026 incident ): impacted by   Tibati_2_ADM_044  , soucis d'energie || Action : en ettente RCA HIS </t>
        </is>
      </c>
    </row>
    <row r="121" ht="18.75" customHeight="1">
      <c r="A121" s="14" t="n">
        <v>46141</v>
      </c>
      <c r="B121" s="23" t="inlineStr">
        <is>
          <t>CTR_302_N_Doume-Centre</t>
        </is>
      </c>
      <c r="C121" s="21" t="inlineStr">
        <is>
          <t>CTR_302</t>
        </is>
      </c>
      <c r="D121" s="53" t="inlineStr">
        <is>
          <t>CENTRE</t>
        </is>
      </c>
      <c r="E121" s="23" t="inlineStr">
        <is>
          <t>IHS</t>
        </is>
      </c>
      <c r="F121" s="23" t="inlineStr">
        <is>
          <t>Hybrid-Gen</t>
        </is>
      </c>
      <c r="G121" s="53" t="inlineStr">
        <is>
          <t>CENTRE</t>
        </is>
      </c>
      <c r="H121" s="23" t="inlineStr">
        <is>
          <t>Doume</t>
        </is>
      </c>
      <c r="I121" s="56" t="inlineStr">
        <is>
          <t>NOKIA</t>
        </is>
      </c>
      <c r="J121" s="25" t="n">
        <v>1.344251205991791</v>
      </c>
      <c r="K121" s="25" t="n">
        <v>0.5825287901506577</v>
      </c>
      <c r="L121" s="25" t="n">
        <v>0.3783923986630683</v>
      </c>
      <c r="M121" s="25" t="n">
        <v>0.5848478881840466</v>
      </c>
      <c r="N121" s="68" t="inlineStr">
        <is>
          <t>Operationnel</t>
        </is>
      </c>
      <c r="O121" s="27" t="n"/>
      <c r="P121" s="28" t="inlineStr">
        <is>
          <t>IHS</t>
        </is>
      </c>
      <c r="Q121" s="28" t="inlineStr">
        <is>
          <t>POWER ISSUE</t>
        </is>
      </c>
      <c r="R121" s="29" t="inlineStr">
        <is>
          <t>Defaut GE &amp; Power Cabinet</t>
        </is>
      </c>
      <c r="S121" s="28" t="inlineStr">
        <is>
          <t>PASSIVE</t>
        </is>
      </c>
      <c r="T121" s="29" t="inlineStr">
        <is>
          <t xml:space="preserve">   (04/29/2026 incident ): impacted by   Tibati_2_ADM_044  , soucis d'energie || Action : en ettente RCA HIS ..;..;(04/29/2026 ticket): INC-20260429-00006477  ;  2026-04-29 10:13:04  ;  
FME Willy activer ETA=45 Minute(12H UTC +1)  ;  
En Attente RCA IHS  ;  Other  ;  
Souci Energie  ;  user:ABANDA	Jean Roland</t>
        </is>
      </c>
    </row>
    <row r="122" ht="18.75" customHeight="1">
      <c r="A122" s="14" t="n">
        <v>46141</v>
      </c>
      <c r="B122" s="23" t="inlineStr">
        <is>
          <t>Pang-Camtel</t>
        </is>
      </c>
      <c r="C122" s="23" t="inlineStr">
        <is>
          <t>ADM_038</t>
        </is>
      </c>
      <c r="D122" s="53" t="inlineStr">
        <is>
          <t>ADAMAOUA</t>
        </is>
      </c>
      <c r="E122" s="23" t="inlineStr">
        <is>
          <t>CAMUSAT</t>
        </is>
      </c>
      <c r="F122" s="23" t="inlineStr">
        <is>
          <t>Hybrid Solar - S3</t>
        </is>
      </c>
      <c r="G122" s="53" t="inlineStr">
        <is>
          <t>ADAMAOUA</t>
        </is>
      </c>
      <c r="H122" s="23" t="inlineStr">
        <is>
          <t>Pang</t>
        </is>
      </c>
      <c r="I122" s="56" t="inlineStr">
        <is>
          <t>NOKIA</t>
        </is>
      </c>
      <c r="J122" s="25" t="n">
        <v>1.61752275098018</v>
      </c>
      <c r="K122" s="25" t="n">
        <v>1.0508080022546</v>
      </c>
      <c r="L122" s="25" t="n">
        <v>0</v>
      </c>
      <c r="M122" s="25" t="n">
        <v>0.5837504656822875</v>
      </c>
      <c r="N122" s="68" t="inlineStr">
        <is>
          <t>Operationnel</t>
        </is>
      </c>
      <c r="O122" s="27" t="n"/>
      <c r="P122" s="28" t="inlineStr">
        <is>
          <t>IHS</t>
        </is>
      </c>
      <c r="Q122" s="28" t="inlineStr">
        <is>
          <t>POWER ISSUE</t>
        </is>
      </c>
      <c r="R122" s="29" t="inlineStr">
        <is>
          <t>Defaut GE &amp; Power Cabinet</t>
        </is>
      </c>
      <c r="S122" s="28" t="inlineStr">
        <is>
          <t>PASSIVE</t>
        </is>
      </c>
      <c r="T122" s="29" t="inlineStr">
        <is>
          <t xml:space="preserve">   (04/29/2026 incident ): impacted by   Tibati_2_ADM_044  , soucis d'energie || Action : en ettente RCA HIS ..;..;(04/29/2026 ticket): INC-20260429-00006413  ;  Others Transmission equipement fault</t>
        </is>
      </c>
    </row>
    <row r="123" ht="18.75" customHeight="1">
      <c r="A123" s="14" t="n">
        <v>46141</v>
      </c>
      <c r="B123" s="23" t="inlineStr">
        <is>
          <t>SONGKOLONG-IHS</t>
        </is>
      </c>
      <c r="C123" s="21" t="inlineStr">
        <is>
          <t>NRO_094</t>
        </is>
      </c>
      <c r="D123" s="53" t="inlineStr">
        <is>
          <t>NORD-OUEST</t>
        </is>
      </c>
      <c r="E123" s="23" t="inlineStr">
        <is>
          <t>IHS</t>
        </is>
      </c>
      <c r="F123" s="23" t="inlineStr">
        <is>
          <t>Gen Only</t>
        </is>
      </c>
      <c r="G123" s="53" t="inlineStr">
        <is>
          <t>NORD-OUEST</t>
        </is>
      </c>
      <c r="H123" s="23" t="inlineStr">
        <is>
          <t>Songkolong</t>
        </is>
      </c>
      <c r="I123" s="56" t="inlineStr">
        <is>
          <t>NOKIA</t>
        </is>
      </c>
      <c r="J123" s="25" t="n">
        <v>1.944499398502852</v>
      </c>
      <c r="K123" s="25" t="n">
        <v>0.8818949308254362</v>
      </c>
      <c r="L123" s="25" t="n">
        <v>0</v>
      </c>
      <c r="M123" s="25" t="n">
        <v>0.5737366343923087</v>
      </c>
      <c r="N123" s="68" t="inlineStr">
        <is>
          <t>Insecurity</t>
        </is>
      </c>
      <c r="O123" s="27" t="n"/>
      <c r="P123" s="28" t="inlineStr">
        <is>
          <t>AKTIVCO</t>
        </is>
      </c>
      <c r="Q123" s="28" t="inlineStr">
        <is>
          <t>POWER ISSUE</t>
        </is>
      </c>
      <c r="R123" s="29" t="inlineStr">
        <is>
          <t>AKTIVCO Defaut GE &amp; Power Cabinet</t>
        </is>
      </c>
      <c r="S123" s="28" t="inlineStr">
        <is>
          <t>PASSIVE</t>
        </is>
      </c>
      <c r="T123" s="29" t="inlineStr">
        <is>
          <t>(04/29/2026 com ran 17h): Impacted by Magba_G_OST_023..;..;(04/29/2026 com ran 18h): Impacted by Magba_G_OST_023..;..;(04/29/2026 ticket): INC-20260429-00014028  ;  GE Fault</t>
        </is>
      </c>
    </row>
    <row r="124" ht="18.75" customHeight="1">
      <c r="A124" s="14" t="n">
        <v>46141</v>
      </c>
      <c r="B124" s="23" t="inlineStr">
        <is>
          <t>ADM_098_N_Maakola-MTN-IHS</t>
        </is>
      </c>
      <c r="C124" s="21" t="inlineStr">
        <is>
          <t>ADM_098</t>
        </is>
      </c>
      <c r="D124" s="53" t="inlineStr">
        <is>
          <t>ADAMAOUA</t>
        </is>
      </c>
      <c r="E124" s="23" t="inlineStr">
        <is>
          <t>IHS</t>
        </is>
      </c>
      <c r="F124" s="23" t="inlineStr">
        <is>
          <t>Solar-Gen</t>
        </is>
      </c>
      <c r="G124" s="53" t="inlineStr">
        <is>
          <t>ADAMAOUA</t>
        </is>
      </c>
      <c r="H124" s="23" t="inlineStr">
        <is>
          <t>Maakola</t>
        </is>
      </c>
      <c r="I124" s="56" t="inlineStr">
        <is>
          <t>NOKIA</t>
        </is>
      </c>
      <c r="J124" s="25" t="n">
        <v>0.9293480650176452</v>
      </c>
      <c r="K124" s="25" t="n">
        <v>0.4123309022866565</v>
      </c>
      <c r="L124" s="25" t="n">
        <v>0.5685120067765892</v>
      </c>
      <c r="M124" s="25" t="n">
        <v>0.5676075643588713</v>
      </c>
      <c r="N124" s="68" t="inlineStr">
        <is>
          <t>Operationnel</t>
        </is>
      </c>
      <c r="O124" s="27" t="n"/>
      <c r="P124" s="28" t="inlineStr">
        <is>
          <t>IHS</t>
        </is>
      </c>
      <c r="Q124" s="28" t="inlineStr">
        <is>
          <t>POWER ISSUE</t>
        </is>
      </c>
      <c r="R124" s="29" t="inlineStr">
        <is>
          <t>Defaut GE &amp; Power Cabinet</t>
        </is>
      </c>
      <c r="S124" s="28" t="inlineStr">
        <is>
          <t>PASSIVE</t>
        </is>
      </c>
      <c r="T124" s="29" t="inlineStr">
        <is>
          <t xml:space="preserve">   (04/29/2026 incident ): impacted by   Tibati_2_ADM_044  , soucis d'energie || Action : en ettente RCA HIS ..;..;(04/29/2026 ticket): INC-20260429-00006491  ;  Others Transmission equipement fault</t>
        </is>
      </c>
    </row>
    <row r="125" ht="18.75" customHeight="1">
      <c r="A125" s="14" t="n">
        <v>46141</v>
      </c>
      <c r="B125" s="23" t="inlineStr">
        <is>
          <t>Mbamti-New</t>
        </is>
      </c>
      <c r="C125" s="21" t="inlineStr">
        <is>
          <t>ADM_154</t>
        </is>
      </c>
      <c r="D125" s="53" t="inlineStr">
        <is>
          <t>ADAMAOUA</t>
        </is>
      </c>
      <c r="E125" s="23" t="inlineStr">
        <is>
          <t>IHS</t>
        </is>
      </c>
      <c r="F125" s="23" t="inlineStr">
        <is>
          <t>Solar-Gen</t>
        </is>
      </c>
      <c r="G125" s="53" t="inlineStr">
        <is>
          <t>ADAMAOUA</t>
        </is>
      </c>
      <c r="H125" s="23" t="inlineStr">
        <is>
          <t>Mbamti</t>
        </is>
      </c>
      <c r="I125" s="56" t="inlineStr">
        <is>
          <t>NOKIA</t>
        </is>
      </c>
      <c r="J125" s="25" t="n">
        <v>1.257074086064051</v>
      </c>
      <c r="K125" s="25" t="n">
        <v>0.5449037890399052</v>
      </c>
      <c r="L125" s="25" t="n">
        <v>0.3494931238194049</v>
      </c>
      <c r="M125" s="25" t="n">
        <v>0.5446972155000421</v>
      </c>
      <c r="N125" s="68" t="inlineStr">
        <is>
          <t>Operationnel</t>
        </is>
      </c>
      <c r="O125" s="27" t="n"/>
      <c r="P125" s="28" t="inlineStr">
        <is>
          <t>IHS</t>
        </is>
      </c>
      <c r="Q125" s="28" t="inlineStr">
        <is>
          <t>POWER ISSUE</t>
        </is>
      </c>
      <c r="R125" s="29" t="inlineStr">
        <is>
          <t>Defaut GE &amp; Power Cabinet</t>
        </is>
      </c>
      <c r="S125" s="28" t="inlineStr">
        <is>
          <t>PASSIVE</t>
        </is>
      </c>
      <c r="T125" s="29" t="inlineStr">
        <is>
          <t xml:space="preserve">   (04/29/2026 incident ): impacted by   Tibati_2_ADM_044  , soucis d'energie || Action : en ettente RCA HIS ..;..;(04/29/2026 ticket): INC-20260429-00006649  ;  Others Transmission equipement fault</t>
        </is>
      </c>
    </row>
    <row r="126" ht="18.75" customHeight="1">
      <c r="A126" s="14" t="n">
        <v>46141</v>
      </c>
      <c r="B126" s="23" t="inlineStr">
        <is>
          <t>Mayo-Tolere-I</t>
        </is>
      </c>
      <c r="C126" s="21" t="inlineStr">
        <is>
          <t>ADM_043</t>
        </is>
      </c>
      <c r="D126" s="53" t="inlineStr">
        <is>
          <t>ADAMAOUA</t>
        </is>
      </c>
      <c r="E126" s="23" t="inlineStr">
        <is>
          <t>IHS</t>
        </is>
      </c>
      <c r="F126" s="23" t="inlineStr">
        <is>
          <t>Solar-Gen</t>
        </is>
      </c>
      <c r="G126" s="53" t="inlineStr">
        <is>
          <t>ADAMAOUA</t>
        </is>
      </c>
      <c r="H126" s="23" t="inlineStr">
        <is>
          <t>Mayo-Tolere</t>
        </is>
      </c>
      <c r="I126" s="56" t="inlineStr">
        <is>
          <t>NOKIA</t>
        </is>
      </c>
      <c r="J126" s="25" t="n">
        <v>1.258572833111519</v>
      </c>
      <c r="K126" s="25" t="n">
        <v>0.5435754034010961</v>
      </c>
      <c r="L126" s="25" t="n">
        <v>0.3492195212173348</v>
      </c>
      <c r="M126" s="25" t="n">
        <v>0.5443226014327417</v>
      </c>
      <c r="N126" s="68" t="inlineStr">
        <is>
          <t>Operationnel</t>
        </is>
      </c>
      <c r="O126" s="27" t="n"/>
      <c r="P126" s="28" t="inlineStr">
        <is>
          <t>IHS</t>
        </is>
      </c>
      <c r="Q126" s="28" t="inlineStr">
        <is>
          <t>POWER ISSUE</t>
        </is>
      </c>
      <c r="R126" s="29" t="inlineStr">
        <is>
          <t>Defaut GE &amp; Power Cabinet</t>
        </is>
      </c>
      <c r="S126" s="28" t="inlineStr">
        <is>
          <t>PASSIVE</t>
        </is>
      </c>
      <c r="T126" s="29" t="inlineStr">
        <is>
          <t xml:space="preserve">   (04/29/2026 incident ): impacted by   Tibati_2_ADM_044  , soucis d'energie || Action : en ettente RCA HIS ..;..;(04/29/2026 ticket): INC-20260429-00006894  ;  Others Transmission equipement fault</t>
        </is>
      </c>
    </row>
    <row r="127" ht="18.75" customHeight="1">
      <c r="A127" s="14" t="n">
        <v>46141</v>
      </c>
      <c r="B127" s="23" t="inlineStr">
        <is>
          <t>Djoa-IHS</t>
        </is>
      </c>
      <c r="C127" s="21" t="inlineStr">
        <is>
          <t>ADM_187</t>
        </is>
      </c>
      <c r="D127" s="53" t="inlineStr">
        <is>
          <t>ADAMAOUA</t>
        </is>
      </c>
      <c r="E127" s="23" t="n"/>
      <c r="F127" s="23" t="n"/>
      <c r="G127" s="53" t="inlineStr">
        <is>
          <t>ADAMAOUA</t>
        </is>
      </c>
      <c r="H127" s="23" t="inlineStr">
        <is>
          <t>Tibati</t>
        </is>
      </c>
      <c r="I127" s="55" t="inlineStr">
        <is>
          <t>HUAWEI</t>
        </is>
      </c>
      <c r="J127" s="25" t="n">
        <v>0</v>
      </c>
      <c r="K127" s="25" t="n">
        <v>1.295429276701654</v>
      </c>
      <c r="L127" s="25" t="n">
        <v>0</v>
      </c>
      <c r="M127" s="25" t="n">
        <v>0.4348905496913818</v>
      </c>
      <c r="N127" s="68" t="inlineStr">
        <is>
          <t>Operationnel</t>
        </is>
      </c>
      <c r="O127" s="27" t="n"/>
      <c r="P127" s="28" t="inlineStr">
        <is>
          <t>IHS</t>
        </is>
      </c>
      <c r="Q127" s="28" t="inlineStr">
        <is>
          <t>POWER ISSUE</t>
        </is>
      </c>
      <c r="R127" s="29" t="inlineStr">
        <is>
          <t>Defaut GE &amp; Power Cabinet</t>
        </is>
      </c>
      <c r="S127" s="28" t="inlineStr">
        <is>
          <t>PASSIVE</t>
        </is>
      </c>
      <c r="T127" s="29" t="inlineStr">
        <is>
          <t xml:space="preserve">   (04/29/2026 incident ): impacted by   Tibati_2_ADM_044  , soucis d'energie || Action : en ettente RCA HIS </t>
        </is>
      </c>
    </row>
    <row r="128" ht="18.75" customHeight="1">
      <c r="A128" s="14" t="n">
        <v>46141</v>
      </c>
      <c r="B128" s="23" t="inlineStr">
        <is>
          <t>Ngd-Trouamala</t>
        </is>
      </c>
      <c r="C128" s="21" t="inlineStr">
        <is>
          <t>ADM_058</t>
        </is>
      </c>
      <c r="D128" s="53" t="inlineStr">
        <is>
          <t>Ngaoundere</t>
        </is>
      </c>
      <c r="E128" s="23" t="inlineStr">
        <is>
          <t>IHS</t>
        </is>
      </c>
      <c r="F128" s="23" t="inlineStr">
        <is>
          <t>Grid-Gen</t>
        </is>
      </c>
      <c r="G128" s="53" t="inlineStr">
        <is>
          <t>ADAMAOUA</t>
        </is>
      </c>
      <c r="H128" s="23" t="inlineStr">
        <is>
          <t>Ngaoundere</t>
        </is>
      </c>
      <c r="I128" s="55" t="inlineStr">
        <is>
          <t>Huawei</t>
        </is>
      </c>
      <c r="J128" s="25" t="n">
        <v>0.6363430172375895</v>
      </c>
      <c r="K128" s="25" t="n">
        <v>0.8103339385470112</v>
      </c>
      <c r="L128" s="25" t="n">
        <v>0.05950856595026559</v>
      </c>
      <c r="M128" s="25" t="n">
        <v>0.3939412098746408</v>
      </c>
      <c r="N128" s="68" t="inlineStr">
        <is>
          <t>Operationnel</t>
        </is>
      </c>
      <c r="O128" s="27" t="n"/>
      <c r="P128" s="28" t="inlineStr">
        <is>
          <t>AKTIVCO</t>
        </is>
      </c>
      <c r="Q128" s="28" t="inlineStr">
        <is>
          <t>POWER ISSUE</t>
        </is>
      </c>
      <c r="R128" s="29" t="inlineStr">
        <is>
          <t>AKTIVCO Defaut GE &amp; Power Cabinet</t>
        </is>
      </c>
      <c r="S128" s="28" t="inlineStr">
        <is>
          <t>PASSIVE</t>
        </is>
      </c>
      <c r="T128" s="29" t="inlineStr">
        <is>
          <t>(04/29/2026 incident ): impacted by    Magba_G_OST_023 , RCA: Power issue / En attente RCA CAMUSAT..;..;(04/29/2026 hourly IHS): Yannick is informed and managing (Richarr is informed</t>
        </is>
      </c>
    </row>
    <row r="129" ht="18.75" customHeight="1">
      <c r="A129" s="14" t="n">
        <v>46141</v>
      </c>
      <c r="B129" s="23" t="inlineStr">
        <is>
          <t>Wada-MTN-IHS</t>
        </is>
      </c>
      <c r="C129" s="21" t="inlineStr">
        <is>
          <t>ADM_099</t>
        </is>
      </c>
      <c r="D129" s="53" t="inlineStr">
        <is>
          <t>ADAMAOUA</t>
        </is>
      </c>
      <c r="E129" s="23" t="inlineStr">
        <is>
          <t>IHS</t>
        </is>
      </c>
      <c r="F129" s="23" t="inlineStr">
        <is>
          <t>Solar-Gen</t>
        </is>
      </c>
      <c r="G129" s="53" t="inlineStr">
        <is>
          <t>ADAMAOUA</t>
        </is>
      </c>
      <c r="H129" s="23" t="inlineStr">
        <is>
          <t>Wada</t>
        </is>
      </c>
      <c r="I129" s="56" t="inlineStr">
        <is>
          <t>NOKIA</t>
        </is>
      </c>
      <c r="J129" s="25" t="n">
        <v>0.8793898301020346</v>
      </c>
      <c r="K129" s="25" t="n">
        <v>0.3900140235546472</v>
      </c>
      <c r="L129" s="25" t="n">
        <v>0.2540400160221681</v>
      </c>
      <c r="M129" s="25" t="n">
        <v>0.3889879543098745</v>
      </c>
      <c r="N129" s="68" t="inlineStr">
        <is>
          <t>Operationnel</t>
        </is>
      </c>
      <c r="O129" s="27" t="n"/>
      <c r="P129" s="28" t="inlineStr">
        <is>
          <t>IHS</t>
        </is>
      </c>
      <c r="Q129" s="28" t="inlineStr">
        <is>
          <t>POWER ISSUE</t>
        </is>
      </c>
      <c r="R129" s="29" t="inlineStr">
        <is>
          <t>Defaut GE &amp; Power Cabinet</t>
        </is>
      </c>
      <c r="S129" s="28" t="inlineStr">
        <is>
          <t>PASSIVE</t>
        </is>
      </c>
      <c r="T129" s="29" t="inlineStr">
        <is>
          <t xml:space="preserve">   (04/29/2026 incident ): impacted by   Tibati_2_ADM_044  , soucis d'energie || Action : en ettente RCA HIS ..;..;(04/29/2026 ticket): INC-20260429-00006907  ;  Others Transmission equipement fault</t>
        </is>
      </c>
    </row>
    <row r="130" ht="18.75" customHeight="1">
      <c r="A130" s="14" t="n">
        <v>46141</v>
      </c>
      <c r="B130" s="23" t="inlineStr">
        <is>
          <t>Meidjamba-MTN</t>
        </is>
      </c>
      <c r="C130" s="21" t="inlineStr">
        <is>
          <t>ADM_054</t>
        </is>
      </c>
      <c r="D130" s="53" t="inlineStr">
        <is>
          <t>ADAMAOUA</t>
        </is>
      </c>
      <c r="E130" s="23" t="inlineStr">
        <is>
          <t>IHS</t>
        </is>
      </c>
      <c r="F130" s="23" t="inlineStr">
        <is>
          <t>Hybrid-Gen</t>
        </is>
      </c>
      <c r="G130" s="53" t="inlineStr">
        <is>
          <t>ADAMAOUA</t>
        </is>
      </c>
      <c r="H130" s="23" t="inlineStr">
        <is>
          <t>Meidjamba</t>
        </is>
      </c>
      <c r="I130" s="56" t="inlineStr">
        <is>
          <t>NOKIA</t>
        </is>
      </c>
      <c r="J130" s="25" t="n">
        <v>0.8956262564496081</v>
      </c>
      <c r="K130" s="25" t="n">
        <v>0.3868258980215034</v>
      </c>
      <c r="L130" s="25" t="n">
        <v>0.2514065909772427</v>
      </c>
      <c r="M130" s="25" t="n">
        <v>0.3888629229473278</v>
      </c>
      <c r="N130" s="68" t="inlineStr">
        <is>
          <t>Operationnel</t>
        </is>
      </c>
      <c r="O130" s="27" t="n"/>
      <c r="P130" s="28" t="inlineStr">
        <is>
          <t>IHS</t>
        </is>
      </c>
      <c r="Q130" s="28" t="inlineStr">
        <is>
          <t>POWER ISSUE</t>
        </is>
      </c>
      <c r="R130" s="29" t="inlineStr">
        <is>
          <t>Defaut GE &amp; Power Cabinet</t>
        </is>
      </c>
      <c r="S130" s="28" t="inlineStr">
        <is>
          <t>PASSIVE</t>
        </is>
      </c>
      <c r="T130" s="29" t="inlineStr">
        <is>
          <t xml:space="preserve">   (04/29/2026 incident ): impacted by   Tibati_2_ADM_044  , soucis d'energie || Action : en ettente RCA HIS ..;..;(04/29/2026 ticket): INC-20260429-00006805</t>
        </is>
      </c>
    </row>
    <row r="131" ht="18.75" customHeight="1">
      <c r="A131" s="14" t="n">
        <v>46141</v>
      </c>
      <c r="B131" s="23" t="inlineStr">
        <is>
          <t>Mile4</t>
        </is>
      </c>
      <c r="C131" s="21" t="inlineStr">
        <is>
          <t>SUO_021</t>
        </is>
      </c>
      <c r="D131" s="53" t="inlineStr">
        <is>
          <t>SUD-OUEST</t>
        </is>
      </c>
      <c r="E131" s="23" t="inlineStr">
        <is>
          <t>IHS</t>
        </is>
      </c>
      <c r="F131" s="23" t="inlineStr">
        <is>
          <t>Grid-Gen</t>
        </is>
      </c>
      <c r="G131" s="53" t="inlineStr">
        <is>
          <t>SUD-OUEST</t>
        </is>
      </c>
      <c r="H131" s="23" t="inlineStr">
        <is>
          <t>Limbe</t>
        </is>
      </c>
      <c r="I131" s="55" t="inlineStr">
        <is>
          <t>HUAWEI</t>
        </is>
      </c>
      <c r="J131" s="25" t="n">
        <v>0</v>
      </c>
      <c r="K131" s="25" t="n">
        <v>1.003553930318825</v>
      </c>
      <c r="L131" s="25" t="n">
        <v>0</v>
      </c>
      <c r="M131" s="25" t="n">
        <v>0.3369046294156087</v>
      </c>
      <c r="N131" s="68" t="inlineStr">
        <is>
          <t>Operationnel</t>
        </is>
      </c>
      <c r="O131" s="27" t="n"/>
      <c r="P131" s="28" t="inlineStr">
        <is>
          <t>SST &amp; DC</t>
        </is>
      </c>
      <c r="Q131" s="28" t="inlineStr">
        <is>
          <t>POWER ISSUE</t>
        </is>
      </c>
      <c r="R131" s="29" t="inlineStr">
        <is>
          <t>Sites strategiques &amp; DataCenter</t>
        </is>
      </c>
      <c r="S131" s="28" t="inlineStr">
        <is>
          <t>PASSIVE</t>
        </is>
      </c>
      <c r="T131" s="29" t="inlineStr">
        <is>
          <t>(04/29/2026 incident ): impacted by  SUO_023_H_Buea-Signal-Hill  Souci d'energie defaut GE || Action  En attente RCA  de OCM</t>
        </is>
      </c>
    </row>
    <row r="132" ht="18.75" customHeight="1">
      <c r="A132" s="14" t="n">
        <v>46141</v>
      </c>
      <c r="B132" s="23" t="inlineStr">
        <is>
          <t>Doualayel-MTN</t>
        </is>
      </c>
      <c r="C132" s="21" t="inlineStr">
        <is>
          <t>ADM_067</t>
        </is>
      </c>
      <c r="D132" s="53" t="inlineStr">
        <is>
          <t>ADAMAOUA</t>
        </is>
      </c>
      <c r="E132" s="23" t="inlineStr">
        <is>
          <t>IHS</t>
        </is>
      </c>
      <c r="F132" s="23" t="inlineStr">
        <is>
          <t>Hybrid-Gen</t>
        </is>
      </c>
      <c r="G132" s="53" t="inlineStr">
        <is>
          <t>ADAMAOUA</t>
        </is>
      </c>
      <c r="H132" s="23" t="inlineStr">
        <is>
          <t>Doualayel</t>
        </is>
      </c>
      <c r="I132" s="56" t="inlineStr">
        <is>
          <t>NOKIA</t>
        </is>
      </c>
      <c r="J132" s="25" t="n">
        <v>1.128681422330931</v>
      </c>
      <c r="K132" s="25" t="n">
        <v>0.5034581571090305</v>
      </c>
      <c r="L132" s="25" t="n">
        <v>0</v>
      </c>
      <c r="M132" s="25" t="n">
        <v>0.3301923129904936</v>
      </c>
      <c r="N132" s="68" t="inlineStr">
        <is>
          <t>Operationnel</t>
        </is>
      </c>
      <c r="O132" s="27" t="n"/>
      <c r="P132" s="28" t="inlineStr">
        <is>
          <t>IHS</t>
        </is>
      </c>
      <c r="Q132" s="28" t="inlineStr">
        <is>
          <t>POWER ISSUE</t>
        </is>
      </c>
      <c r="R132" s="29" t="inlineStr">
        <is>
          <t>Defaut GE &amp; Power Cabinet</t>
        </is>
      </c>
      <c r="S132" s="28" t="inlineStr">
        <is>
          <t>PASSIVE</t>
        </is>
      </c>
      <c r="T132" s="29" t="inlineStr">
        <is>
          <t xml:space="preserve">   (04/29/2026 incident ): impacted by   Tibati_2_ADM_044  , soucis d'energie || Action : en ettente RCA HIS ..;..;(04/29/2026 ticket): INC-20260429-00006151  ;  power Grid outage here the site is only on Grid   ;  Others Transmission equipement fault</t>
        </is>
      </c>
    </row>
    <row r="133" ht="18.75" customHeight="1">
      <c r="A133" s="14" t="n">
        <v>46141</v>
      </c>
      <c r="B133" s="23" t="inlineStr">
        <is>
          <t>Koba-MTN</t>
        </is>
      </c>
      <c r="C133" s="21" t="inlineStr">
        <is>
          <t>ADM_064</t>
        </is>
      </c>
      <c r="D133" s="53" t="inlineStr">
        <is>
          <t>ADAMAOUA</t>
        </is>
      </c>
      <c r="E133" s="23" t="inlineStr">
        <is>
          <t>IHS</t>
        </is>
      </c>
      <c r="F133" s="23" t="inlineStr">
        <is>
          <t>Hybrid-Gen</t>
        </is>
      </c>
      <c r="G133" s="53" t="inlineStr">
        <is>
          <t>ADAMAOUA</t>
        </is>
      </c>
      <c r="H133" s="23" t="inlineStr">
        <is>
          <t>Koba</t>
        </is>
      </c>
      <c r="I133" s="56" t="inlineStr">
        <is>
          <t>NOKIA</t>
        </is>
      </c>
      <c r="J133" s="25" t="n">
        <v>1.097332629921386</v>
      </c>
      <c r="K133" s="25" t="n">
        <v>0.5000043544481243</v>
      </c>
      <c r="L133" s="25" t="n">
        <v>0</v>
      </c>
      <c r="M133" s="25" t="n">
        <v>0.3245562269433441</v>
      </c>
      <c r="N133" s="68" t="inlineStr">
        <is>
          <t>Operationnel</t>
        </is>
      </c>
      <c r="O133" s="27" t="n"/>
      <c r="P133" s="28" t="inlineStr">
        <is>
          <t>IHS</t>
        </is>
      </c>
      <c r="Q133" s="28" t="inlineStr">
        <is>
          <t>POWER ISSUE</t>
        </is>
      </c>
      <c r="R133" s="29" t="inlineStr">
        <is>
          <t>Defaut GE &amp; Power Cabinet</t>
        </is>
      </c>
      <c r="S133" s="28" t="inlineStr">
        <is>
          <t>PASSIVE</t>
        </is>
      </c>
      <c r="T133" s="29" t="inlineStr">
        <is>
          <t xml:space="preserve">   (04/29/2026 incident ): impacted by   Tibati_2_ADM_044  , soucis d'energie || Action : en ettente RCA HIS ..;..;(04/29/2026 ticket): INC-20260429-00006797  ;  Others Transmission equipement fault</t>
        </is>
      </c>
    </row>
    <row r="134" ht="18.75" customHeight="1">
      <c r="A134" s="14" t="n">
        <v>46141</v>
      </c>
      <c r="B134" s="23" t="inlineStr">
        <is>
          <t>Nyazoro-MTN-IHS</t>
        </is>
      </c>
      <c r="C134" s="21" t="inlineStr">
        <is>
          <t>CTR_169</t>
        </is>
      </c>
      <c r="D134" s="53" t="inlineStr">
        <is>
          <t>CENTRE</t>
        </is>
      </c>
      <c r="E134" s="23" t="inlineStr">
        <is>
          <t>IHS</t>
        </is>
      </c>
      <c r="F134" s="23" t="inlineStr">
        <is>
          <t>Solar-Gen</t>
        </is>
      </c>
      <c r="G134" s="53" t="inlineStr">
        <is>
          <t>CENTRE</t>
        </is>
      </c>
      <c r="H134" s="23" t="inlineStr">
        <is>
          <t>Nyazoro</t>
        </is>
      </c>
      <c r="I134" s="56" t="inlineStr">
        <is>
          <t>NOKIA</t>
        </is>
      </c>
      <c r="J134" s="25" t="n">
        <v>1.095334300524761</v>
      </c>
      <c r="K134" s="25" t="n">
        <v>0.5005357087036485</v>
      </c>
      <c r="L134" s="25" t="n">
        <v>0</v>
      </c>
      <c r="M134" s="25" t="n">
        <v>0.324449247442494</v>
      </c>
      <c r="N134" s="68" t="inlineStr">
        <is>
          <t>Operationnel</t>
        </is>
      </c>
      <c r="O134" s="27" t="n"/>
      <c r="P134" s="28" t="inlineStr">
        <is>
          <t>IHS</t>
        </is>
      </c>
      <c r="Q134" s="28" t="inlineStr">
        <is>
          <t>POWER ISSUE</t>
        </is>
      </c>
      <c r="R134" s="29" t="inlineStr">
        <is>
          <t>Defaut GE &amp; Power Cabinet</t>
        </is>
      </c>
      <c r="S134" s="28" t="inlineStr">
        <is>
          <t>PASSIVE</t>
        </is>
      </c>
      <c r="T134" s="29" t="inlineStr">
        <is>
          <t xml:space="preserve">   (04/29/2026 incident ): impacted by   Tibati_2_ADM_044  , soucis d'energie || Action : en ettente RCA HIS ..;..;(04/29/2026 ticket): INC-20260429-00006481  ;  2026-04-29 10:13:04  ;  
FME Willy activer ETA=45 Minute(12H UTC +1)  ;  
En Attente RCA IHS  ;  Other  ;  
Souci Energie  ;  user:ABANDA	Jean Roland</t>
        </is>
      </c>
    </row>
    <row r="135" ht="18.75" customHeight="1">
      <c r="A135" s="14" t="n">
        <v>46141</v>
      </c>
      <c r="B135" s="53" t="inlineStr">
        <is>
          <t>Mambine</t>
        </is>
      </c>
      <c r="C135" s="36" t="inlineStr">
        <is>
          <t>CTR_097</t>
        </is>
      </c>
      <c r="D135" s="53" t="inlineStr">
        <is>
          <t>CENTRE</t>
        </is>
      </c>
      <c r="E135" s="53" t="inlineStr">
        <is>
          <t>IHS</t>
        </is>
      </c>
      <c r="F135" s="53" t="inlineStr">
        <is>
          <t>Grid-Gen</t>
        </is>
      </c>
      <c r="G135" s="53" t="inlineStr">
        <is>
          <t>CENTRE</t>
        </is>
      </c>
      <c r="H135" s="53" t="inlineStr">
        <is>
          <t>Mambine</t>
        </is>
      </c>
      <c r="I135" s="56" t="inlineStr">
        <is>
          <t>NOKIA</t>
        </is>
      </c>
      <c r="J135" s="25" t="n">
        <v>1.070854765416112</v>
      </c>
      <c r="K135" s="25" t="n">
        <v>0.4855734739605111</v>
      </c>
      <c r="L135" s="25" t="n">
        <v>0</v>
      </c>
      <c r="M135" s="25" t="n">
        <v>0.315930577314351</v>
      </c>
      <c r="N135" s="68" t="inlineStr">
        <is>
          <t>Operationnel</t>
        </is>
      </c>
      <c r="O135" s="27" t="n"/>
      <c r="P135" s="28" t="inlineStr">
        <is>
          <t>PDH</t>
        </is>
      </c>
      <c r="Q135" s="28" t="inlineStr">
        <is>
          <t>TX ISSUE</t>
        </is>
      </c>
      <c r="R135" s="29" t="inlineStr">
        <is>
          <t>ODU HS</t>
        </is>
      </c>
      <c r="S135" s="28" t="inlineStr">
        <is>
          <t>ACTIVE</t>
        </is>
      </c>
      <c r="T135" s="29" t="inlineStr">
        <is>
          <t>(04/29/2026 incident ): impacted by Mbankomo-Okoa-Maria_Z_CTR_541, RCA: Plantage ODU à Nomayos / Soft reset ODU 3/1 à Nomayos..;..;(04/29/2026 ticket): INC-20260429-00012891</t>
        </is>
      </c>
    </row>
    <row r="136" ht="18.75" customHeight="1">
      <c r="A136" s="14" t="n">
        <v>46141</v>
      </c>
      <c r="B136" s="23" t="inlineStr">
        <is>
          <t>Koundoum</t>
        </is>
      </c>
      <c r="C136" s="23" t="inlineStr">
        <is>
          <t>OST_252</t>
        </is>
      </c>
      <c r="D136" s="53" t="inlineStr">
        <is>
          <t>OUEST</t>
        </is>
      </c>
      <c r="E136" s="23" t="inlineStr">
        <is>
          <t>IHS</t>
        </is>
      </c>
      <c r="F136" s="23" t="inlineStr">
        <is>
          <t>Gen-Lithium</t>
        </is>
      </c>
      <c r="G136" s="53" t="inlineStr">
        <is>
          <t>OUEST</t>
        </is>
      </c>
      <c r="H136" s="23" t="inlineStr">
        <is>
          <t>Koundoum</t>
        </is>
      </c>
      <c r="I136" s="55" t="inlineStr">
        <is>
          <t>HUAWEI</t>
        </is>
      </c>
      <c r="J136" s="25" t="n">
        <v>0</v>
      </c>
      <c r="K136" s="25" t="n">
        <v>0.8911388897389081</v>
      </c>
      <c r="L136" s="25" t="n">
        <v>0</v>
      </c>
      <c r="M136" s="25" t="n">
        <v>0.2991656036959989</v>
      </c>
      <c r="N136" s="68" t="inlineStr">
        <is>
          <t>Operationnel</t>
        </is>
      </c>
      <c r="O136" s="27" t="n"/>
      <c r="P136" s="28" t="inlineStr">
        <is>
          <t>AKTIVCO</t>
        </is>
      </c>
      <c r="Q136" s="28" t="inlineStr">
        <is>
          <t>POWER ISSUE</t>
        </is>
      </c>
      <c r="R136" s="29" t="inlineStr">
        <is>
          <t>AKTIVCO Defaut GE &amp; Power Cabinet</t>
        </is>
      </c>
      <c r="S136" s="28" t="inlineStr">
        <is>
          <t>PASSIVE</t>
        </is>
      </c>
      <c r="T136" s="29" t="inlineStr">
        <is>
          <t>(04/29/2026 incident ): impacted by    Magba_G_OST_023 , RCA: Power issue / En attente RCA CAMUSAT</t>
        </is>
      </c>
    </row>
    <row r="137" ht="18.75" customHeight="1">
      <c r="A137" s="14" t="n">
        <v>46141</v>
      </c>
      <c r="B137" s="23" t="inlineStr">
        <is>
          <t>Sambo-Labo-IHS</t>
        </is>
      </c>
      <c r="C137" s="21" t="inlineStr">
        <is>
          <t>ADM_144</t>
        </is>
      </c>
      <c r="D137" s="53" t="inlineStr">
        <is>
          <t>ADAMAOUA</t>
        </is>
      </c>
      <c r="E137" s="23" t="inlineStr">
        <is>
          <t>IHS</t>
        </is>
      </c>
      <c r="F137" s="23" t="inlineStr">
        <is>
          <t>Hybrid-Gen</t>
        </is>
      </c>
      <c r="G137" s="53" t="inlineStr">
        <is>
          <t>ADAMAOUA</t>
        </is>
      </c>
      <c r="H137" s="23" t="inlineStr">
        <is>
          <t>Sambo Lambo</t>
        </is>
      </c>
      <c r="I137" s="56" t="inlineStr">
        <is>
          <t>NOKIA</t>
        </is>
      </c>
      <c r="J137" s="25" t="n">
        <v>0.8400477201059914</v>
      </c>
      <c r="K137" s="25" t="n">
        <v>0.3623836022673974</v>
      </c>
      <c r="L137" s="25" t="n">
        <v>0</v>
      </c>
      <c r="M137" s="25" t="n">
        <v>0.2416150917824138</v>
      </c>
      <c r="N137" s="68" t="inlineStr">
        <is>
          <t>Operationnel</t>
        </is>
      </c>
      <c r="O137" s="27" t="n"/>
      <c r="P137" s="28" t="inlineStr">
        <is>
          <t>IHS</t>
        </is>
      </c>
      <c r="Q137" s="28" t="inlineStr">
        <is>
          <t>POWER ISSUE</t>
        </is>
      </c>
      <c r="R137" s="29" t="inlineStr">
        <is>
          <t>Defaut GE &amp; Power Cabinet</t>
        </is>
      </c>
      <c r="S137" s="28" t="inlineStr">
        <is>
          <t>PASSIVE</t>
        </is>
      </c>
      <c r="T137" s="29" t="inlineStr">
        <is>
          <t xml:space="preserve">   (04/29/2026 incident ): impacted by   Tibati_2_ADM_044  , soucis d'energie || Action : en ettente RCA HIS ..;..;(04/29/2026 ticket): INC-20260429-00006442  ;  Others Transmission equipement fault</t>
        </is>
      </c>
    </row>
    <row r="138" ht="18.75" customHeight="1">
      <c r="A138" s="14" t="n">
        <v>46141</v>
      </c>
      <c r="B138" s="23" t="inlineStr">
        <is>
          <t>Ngd-Chateau</t>
        </is>
      </c>
      <c r="C138" s="21" t="inlineStr">
        <is>
          <t>ADM_001</t>
        </is>
      </c>
      <c r="D138" s="53" t="inlineStr">
        <is>
          <t>Ngaoundere</t>
        </is>
      </c>
      <c r="E138" s="23" t="inlineStr">
        <is>
          <t>CAMUSAT</t>
        </is>
      </c>
      <c r="F138" s="23" t="inlineStr">
        <is>
          <t>Good Grid + Solar + GE</t>
        </is>
      </c>
      <c r="G138" s="53" t="inlineStr">
        <is>
          <t>ADAMAOUA</t>
        </is>
      </c>
      <c r="H138" s="23" t="inlineStr">
        <is>
          <t>Ngaoundere</t>
        </is>
      </c>
      <c r="I138" s="55" t="inlineStr">
        <is>
          <t>Huawei</t>
        </is>
      </c>
      <c r="J138" s="25" t="n">
        <v>0</v>
      </c>
      <c r="K138" s="25" t="n">
        <v>0</v>
      </c>
      <c r="L138" s="25" t="n">
        <v>0</v>
      </c>
      <c r="M138" s="25" t="n">
        <v>0</v>
      </c>
      <c r="N138" s="68" t="inlineStr">
        <is>
          <t>Operationnel</t>
        </is>
      </c>
      <c r="O138" s="27" t="n"/>
      <c r="P138" s="28" t="inlineStr">
        <is>
          <t>AKTIVCO</t>
        </is>
      </c>
      <c r="Q138" s="28" t="inlineStr">
        <is>
          <t>POWER ISSUE</t>
        </is>
      </c>
      <c r="R138" s="29" t="inlineStr">
        <is>
          <t>AKTIVCO Defaut GE &amp; Power Cabinet</t>
        </is>
      </c>
      <c r="S138" s="28" t="inlineStr">
        <is>
          <t>PASSIVE</t>
        </is>
      </c>
      <c r="T138" s="29" t="inlineStr">
        <is>
          <t>(04/29/2026 incident ): impacted by    Magba_G_OST_023 , RCA: Power issue / En attente RCA CAMUSAT</t>
        </is>
      </c>
    </row>
    <row r="139" ht="18.75" customHeight="1">
      <c r="A139" s="14" t="n">
        <v>46141</v>
      </c>
      <c r="B139" s="23" t="inlineStr">
        <is>
          <t>Bfsam-Tamdja</t>
        </is>
      </c>
      <c r="C139" s="23" t="inlineStr">
        <is>
          <t>OST_019</t>
        </is>
      </c>
      <c r="D139" s="53" t="inlineStr">
        <is>
          <t>Bafoussam</t>
        </is>
      </c>
      <c r="E139" s="23" t="inlineStr">
        <is>
          <t>CAMUSAT</t>
        </is>
      </c>
      <c r="F139" s="23" t="inlineStr">
        <is>
          <t>Good Grid + GE</t>
        </is>
      </c>
      <c r="G139" s="53" t="inlineStr">
        <is>
          <t>OUEST</t>
        </is>
      </c>
      <c r="H139" s="23" t="inlineStr">
        <is>
          <t>Bafoussam</t>
        </is>
      </c>
      <c r="I139" s="55" t="inlineStr">
        <is>
          <t>Huawei</t>
        </is>
      </c>
      <c r="J139" s="25" t="n">
        <v>0</v>
      </c>
      <c r="K139" s="25" t="n">
        <v>0</v>
      </c>
      <c r="L139" s="25" t="n">
        <v>0</v>
      </c>
      <c r="M139" s="25" t="n">
        <v>0</v>
      </c>
      <c r="N139" s="68" t="inlineStr">
        <is>
          <t>Operationnel</t>
        </is>
      </c>
      <c r="O139" s="27" t="n"/>
      <c r="P139" s="28" t="inlineStr">
        <is>
          <t>AKTIVCO</t>
        </is>
      </c>
      <c r="Q139" s="28" t="inlineStr">
        <is>
          <t>POWER ISSUE</t>
        </is>
      </c>
      <c r="R139" s="29" t="inlineStr">
        <is>
          <t>AKTIVCO Defaut GE &amp; Power Cabinet</t>
        </is>
      </c>
      <c r="S139" s="28" t="inlineStr">
        <is>
          <t>PASSIVE</t>
        </is>
      </c>
      <c r="T139" s="29" t="inlineStr">
        <is>
          <t>(04/29/2026 incident ): impacted by    Magba_G_OST_023 , RCA: Power issue / En attente RCA CAMUSAT</t>
        </is>
      </c>
    </row>
    <row r="140" ht="18.75" customHeight="1">
      <c r="A140" s="14" t="n">
        <v>46141</v>
      </c>
      <c r="B140" s="23" t="inlineStr">
        <is>
          <t>Mbankomo-Okoa-Maria</t>
        </is>
      </c>
      <c r="C140" s="21" t="inlineStr">
        <is>
          <t>CTR_541</t>
        </is>
      </c>
      <c r="D140" s="53" t="inlineStr">
        <is>
          <t>CENTRE</t>
        </is>
      </c>
      <c r="E140" s="23" t="inlineStr">
        <is>
          <t>IHS</t>
        </is>
      </c>
      <c r="F140" s="23" t="inlineStr">
        <is>
          <t>Grid-Gen</t>
        </is>
      </c>
      <c r="G140" s="53" t="inlineStr">
        <is>
          <t>CENTRE</t>
        </is>
      </c>
      <c r="H140" s="23" t="inlineStr">
        <is>
          <t>Mbankomo</t>
        </is>
      </c>
      <c r="I140" s="54" t="inlineStr">
        <is>
          <t>ZTE</t>
        </is>
      </c>
      <c r="J140" s="25" t="n">
        <v>0</v>
      </c>
      <c r="K140" s="25" t="n">
        <v>0</v>
      </c>
      <c r="L140" s="25" t="n">
        <v>0</v>
      </c>
      <c r="M140" s="25" t="n">
        <v>0</v>
      </c>
      <c r="N140" s="68" t="inlineStr">
        <is>
          <t>EXCLU</t>
        </is>
      </c>
      <c r="O140" s="27" t="n"/>
      <c r="P140" s="28" t="inlineStr">
        <is>
          <t>Exclu</t>
        </is>
      </c>
      <c r="Q140" s="28" t="inlineStr">
        <is>
          <t>Exclu</t>
        </is>
      </c>
      <c r="R140" s="29" t="inlineStr">
        <is>
          <t>EXCLU</t>
        </is>
      </c>
      <c r="S140" s="28" t="inlineStr">
        <is>
          <t>Exclu</t>
        </is>
      </c>
      <c r="T140" s="29" t="inlineStr">
        <is>
          <t>(04/29/2026 incident ): impacted by Mbankomo-Okoa-Maria_Z_CTR_541, RCA: Plantage ODU à Nomayos / Soft reset ODU 3/1 à Nomayos</t>
        </is>
      </c>
    </row>
    <row r="141" ht="18.75" customHeight="1">
      <c r="A141" s="14" t="n">
        <v>46141</v>
      </c>
      <c r="B141" s="23" t="inlineStr">
        <is>
          <t>Zoetele</t>
        </is>
      </c>
      <c r="C141" s="21" t="inlineStr">
        <is>
          <t>CTR_111</t>
        </is>
      </c>
      <c r="D141" s="53" t="inlineStr">
        <is>
          <t>CENTRE</t>
        </is>
      </c>
      <c r="E141" s="23" t="inlineStr">
        <is>
          <t>IHS</t>
        </is>
      </c>
      <c r="F141" s="23" t="inlineStr">
        <is>
          <t>Grid-Gen</t>
        </is>
      </c>
      <c r="G141" s="53" t="inlineStr">
        <is>
          <t>CENTRE</t>
        </is>
      </c>
      <c r="H141" s="23" t="inlineStr">
        <is>
          <t>Zoetele</t>
        </is>
      </c>
      <c r="I141" s="54" t="inlineStr">
        <is>
          <t>ZTE</t>
        </is>
      </c>
      <c r="J141" s="25" t="n">
        <v>0</v>
      </c>
      <c r="K141" s="25" t="n">
        <v>0</v>
      </c>
      <c r="L141" s="25" t="n">
        <v>0</v>
      </c>
      <c r="M141" s="25" t="n">
        <v>0</v>
      </c>
      <c r="N141" s="68" t="inlineStr">
        <is>
          <t>EXCLU</t>
        </is>
      </c>
      <c r="O141" s="27" t="n"/>
      <c r="P141" s="28" t="inlineStr">
        <is>
          <t>Exclu</t>
        </is>
      </c>
      <c r="Q141" s="28" t="inlineStr">
        <is>
          <t>Exclu</t>
        </is>
      </c>
      <c r="R141" s="29" t="inlineStr">
        <is>
          <t>EXCLU</t>
        </is>
      </c>
      <c r="S141" s="28" t="inlineStr">
        <is>
          <t>Exclu</t>
        </is>
      </c>
      <c r="T141" s="29" t="inlineStr">
        <is>
          <t xml:space="preserve">   (04/29/2026 incident ): impacted by   Tibati_2_ADM_044  , soucis d'energie || Action : en ettente RCA HIS </t>
        </is>
      </c>
    </row>
    <row r="142" ht="18.75" customHeight="1">
      <c r="A142" s="14" t="n">
        <v>46141</v>
      </c>
      <c r="B142" s="23" t="inlineStr">
        <is>
          <t>Nji-Camtel</t>
        </is>
      </c>
      <c r="C142" s="21" t="inlineStr">
        <is>
          <t>CTR_139</t>
        </is>
      </c>
      <c r="D142" s="53" t="inlineStr">
        <is>
          <t>CENTRE</t>
        </is>
      </c>
      <c r="E142" s="23" t="inlineStr">
        <is>
          <t>CAMUSAT</t>
        </is>
      </c>
      <c r="F142" s="23" t="inlineStr">
        <is>
          <t>Hybrid Solar - S3</t>
        </is>
      </c>
      <c r="G142" s="53" t="inlineStr">
        <is>
          <t>CENTRE</t>
        </is>
      </c>
      <c r="H142" s="23" t="inlineStr">
        <is>
          <t>Nji</t>
        </is>
      </c>
      <c r="I142" s="54" t="inlineStr">
        <is>
          <t>ZTE</t>
        </is>
      </c>
      <c r="J142" s="25" t="n">
        <v>0</v>
      </c>
      <c r="K142" s="25" t="n">
        <v>0</v>
      </c>
      <c r="L142" s="25" t="n">
        <v>0</v>
      </c>
      <c r="M142" s="25" t="n">
        <v>0</v>
      </c>
      <c r="N142" s="68" t="inlineStr">
        <is>
          <t>EXCLU</t>
        </is>
      </c>
      <c r="O142" s="27" t="n"/>
      <c r="P142" s="28" t="inlineStr">
        <is>
          <t>Exclu</t>
        </is>
      </c>
      <c r="Q142" s="28" t="inlineStr">
        <is>
          <t>Exclu</t>
        </is>
      </c>
      <c r="R142" s="29" t="inlineStr">
        <is>
          <t>EXCLU</t>
        </is>
      </c>
      <c r="S142" s="28" t="inlineStr">
        <is>
          <t>Exclu</t>
        </is>
      </c>
      <c r="T142" s="29" t="inlineStr">
        <is>
          <t>(04/29/2026 incident ): impacted by EST_076_N_Diang-MTN</t>
        </is>
      </c>
    </row>
    <row r="143" ht="18.75" customHeight="1">
      <c r="A143" s="14" t="n">
        <v>46141</v>
      </c>
      <c r="B143" s="23" t="inlineStr">
        <is>
          <t>Nguelemendouka-FH</t>
        </is>
      </c>
      <c r="C143" s="21" t="inlineStr">
        <is>
          <t>EST_024</t>
        </is>
      </c>
      <c r="D143" s="53" t="inlineStr">
        <is>
          <t>CENTRE</t>
        </is>
      </c>
      <c r="E143" s="23" t="inlineStr">
        <is>
          <t>IHS</t>
        </is>
      </c>
      <c r="F143" s="23" t="inlineStr">
        <is>
          <t>Hybrid-Gen-Lithium</t>
        </is>
      </c>
      <c r="G143" s="53" t="inlineStr">
        <is>
          <t>EST</t>
        </is>
      </c>
      <c r="H143" s="23" t="inlineStr">
        <is>
          <t>Nguelemendouka</t>
        </is>
      </c>
      <c r="I143" s="54" t="inlineStr">
        <is>
          <t>ZTE</t>
        </is>
      </c>
      <c r="J143" s="25" t="n">
        <v>0</v>
      </c>
      <c r="K143" s="25" t="n">
        <v>0</v>
      </c>
      <c r="L143" s="25" t="n">
        <v>0</v>
      </c>
      <c r="M143" s="25" t="n">
        <v>0</v>
      </c>
      <c r="N143" s="68" t="inlineStr">
        <is>
          <t>EXCLU</t>
        </is>
      </c>
      <c r="O143" s="27" t="n"/>
      <c r="P143" s="28" t="inlineStr">
        <is>
          <t>Exclu</t>
        </is>
      </c>
      <c r="Q143" s="28" t="inlineStr">
        <is>
          <t>Exclu</t>
        </is>
      </c>
      <c r="R143" s="29" t="inlineStr">
        <is>
          <t>EXCLU</t>
        </is>
      </c>
      <c r="S143" s="28" t="inlineStr">
        <is>
          <t>Exclu</t>
        </is>
      </c>
      <c r="T143" s="29" t="inlineStr">
        <is>
          <t>(04/29/2026 incident ): impacted by EST_076_N_Diang-MTN</t>
        </is>
      </c>
    </row>
    <row r="144" ht="18.75" customHeight="1">
      <c r="A144" s="14" t="n">
        <v>46141</v>
      </c>
      <c r="B144" s="23" t="inlineStr">
        <is>
          <t>Nguem-MTN</t>
        </is>
      </c>
      <c r="C144" s="21" t="inlineStr">
        <is>
          <t>EST_077</t>
        </is>
      </c>
      <c r="D144" s="53" t="inlineStr">
        <is>
          <t>CENTRE</t>
        </is>
      </c>
      <c r="E144" s="23" t="inlineStr">
        <is>
          <t>IHS</t>
        </is>
      </c>
      <c r="F144" s="23" t="inlineStr">
        <is>
          <t>Grid-Gen</t>
        </is>
      </c>
      <c r="G144" s="53" t="inlineStr">
        <is>
          <t>EST</t>
        </is>
      </c>
      <c r="H144" s="23" t="inlineStr">
        <is>
          <t>Nguem</t>
        </is>
      </c>
      <c r="I144" s="54" t="inlineStr">
        <is>
          <t>ZTE</t>
        </is>
      </c>
      <c r="J144" s="25" t="n">
        <v>0</v>
      </c>
      <c r="K144" s="25" t="n">
        <v>0</v>
      </c>
      <c r="L144" s="25" t="n">
        <v>0</v>
      </c>
      <c r="M144" s="25" t="n">
        <v>0</v>
      </c>
      <c r="N144" s="68" t="inlineStr">
        <is>
          <t>EXCLU</t>
        </is>
      </c>
      <c r="O144" s="27" t="n"/>
      <c r="P144" s="28" t="inlineStr">
        <is>
          <t>Exclu</t>
        </is>
      </c>
      <c r="Q144" s="28" t="inlineStr">
        <is>
          <t>Exclu</t>
        </is>
      </c>
      <c r="R144" s="29" t="inlineStr">
        <is>
          <t>EXCLU</t>
        </is>
      </c>
      <c r="S144" s="28" t="inlineStr">
        <is>
          <t>Exclu</t>
        </is>
      </c>
      <c r="T144" s="29" t="inlineStr">
        <is>
          <t>(04/29/2026 incident ): impacted by EST_076_N_Diang-MTN</t>
        </is>
      </c>
    </row>
    <row r="145" ht="18.75" customHeight="1">
      <c r="A145" s="14" t="n">
        <v>46141</v>
      </c>
      <c r="B145" s="23" t="inlineStr">
        <is>
          <t>Andom</t>
        </is>
      </c>
      <c r="C145" s="21" t="inlineStr">
        <is>
          <t>EST_150</t>
        </is>
      </c>
      <c r="D145" s="53" t="inlineStr">
        <is>
          <t>CENTRE</t>
        </is>
      </c>
      <c r="E145" s="23" t="inlineStr">
        <is>
          <t>CAMUSAT</t>
        </is>
      </c>
      <c r="F145" s="23" t="n"/>
      <c r="G145" s="53" t="inlineStr">
        <is>
          <t>EST</t>
        </is>
      </c>
      <c r="H145" s="23" t="inlineStr">
        <is>
          <t>Andom</t>
        </is>
      </c>
      <c r="I145" s="54" t="inlineStr">
        <is>
          <t>ZTE</t>
        </is>
      </c>
      <c r="J145" s="25" t="n">
        <v>0</v>
      </c>
      <c r="K145" s="25" t="n">
        <v>0</v>
      </c>
      <c r="L145" s="25" t="n">
        <v>0</v>
      </c>
      <c r="M145" s="25" t="n">
        <v>0</v>
      </c>
      <c r="N145" s="68" t="inlineStr">
        <is>
          <t>EXCLU</t>
        </is>
      </c>
      <c r="O145" s="27" t="n"/>
      <c r="P145" s="28" t="inlineStr">
        <is>
          <t>Exclu</t>
        </is>
      </c>
      <c r="Q145" s="28" t="inlineStr">
        <is>
          <t>Exclu</t>
        </is>
      </c>
      <c r="R145" s="29" t="inlineStr">
        <is>
          <t>EXCLU</t>
        </is>
      </c>
      <c r="S145" s="28" t="inlineStr">
        <is>
          <t>Exclu</t>
        </is>
      </c>
      <c r="T145" s="29" t="inlineStr">
        <is>
          <t>(04/29/2026 incident ): impacted by EST_076_N_Diang-MTN</t>
        </is>
      </c>
    </row>
    <row r="146" ht="18.75" customHeight="1">
      <c r="A146" s="14" t="n">
        <v>46141</v>
      </c>
      <c r="B146" s="23" t="inlineStr">
        <is>
          <t>Meba-CAMTEL</t>
        </is>
      </c>
      <c r="C146" s="21" t="inlineStr">
        <is>
          <t>CTR_407</t>
        </is>
      </c>
      <c r="D146" s="53" t="inlineStr">
        <is>
          <t>CENTRE</t>
        </is>
      </c>
      <c r="E146" s="23" t="inlineStr">
        <is>
          <t>CAMUSAT</t>
        </is>
      </c>
      <c r="F146" s="23" t="inlineStr">
        <is>
          <t>Hybrid Solar - S3</t>
        </is>
      </c>
      <c r="G146" s="53" t="inlineStr">
        <is>
          <t>CENTRE</t>
        </is>
      </c>
      <c r="H146" s="23" t="inlineStr">
        <is>
          <t>Meba</t>
        </is>
      </c>
      <c r="I146" s="54" t="inlineStr">
        <is>
          <t>ZTE</t>
        </is>
      </c>
      <c r="J146" s="25" t="n">
        <v>0</v>
      </c>
      <c r="K146" s="25" t="n">
        <v>0</v>
      </c>
      <c r="L146" s="25" t="n">
        <v>0</v>
      </c>
      <c r="M146" s="25" t="n">
        <v>0</v>
      </c>
      <c r="N146" s="68" t="inlineStr">
        <is>
          <t>EXCLU</t>
        </is>
      </c>
      <c r="O146" s="27" t="n"/>
      <c r="P146" s="28" t="inlineStr">
        <is>
          <t>Exclu</t>
        </is>
      </c>
      <c r="Q146" s="28" t="inlineStr">
        <is>
          <t>Exclu</t>
        </is>
      </c>
      <c r="R146" s="29" t="inlineStr">
        <is>
          <t>EXCLU</t>
        </is>
      </c>
      <c r="S146" s="28" t="inlineStr">
        <is>
          <t>Exclu</t>
        </is>
      </c>
      <c r="T146" s="29" t="inlineStr">
        <is>
          <t>(04/29/2026 incident ): impacted by EST_076_N_Diang-MTN</t>
        </is>
      </c>
    </row>
    <row r="147" ht="18.75" customHeight="1">
      <c r="A147" s="14" t="n">
        <v>46141</v>
      </c>
      <c r="B147" s="23" t="inlineStr">
        <is>
          <t>Minisite-Elig-Edzoa</t>
        </is>
      </c>
      <c r="C147" s="23" t="inlineStr">
        <is>
          <t>CTR_684</t>
        </is>
      </c>
      <c r="D147" s="53" t="inlineStr">
        <is>
          <t>Yaounde</t>
        </is>
      </c>
      <c r="E147" s="23" t="inlineStr">
        <is>
          <t>CAMUSAT</t>
        </is>
      </c>
      <c r="F147" s="23" t="inlineStr">
        <is>
          <t>Good Grid no GE - 8h</t>
        </is>
      </c>
      <c r="G147" s="53" t="inlineStr">
        <is>
          <t>CENTRE</t>
        </is>
      </c>
      <c r="H147" s="23" t="inlineStr">
        <is>
          <t>Yaounde</t>
        </is>
      </c>
      <c r="I147" s="54" t="inlineStr">
        <is>
          <t>ZTE</t>
        </is>
      </c>
      <c r="J147" s="25" t="n">
        <v>0</v>
      </c>
      <c r="K147" s="25" t="n">
        <v>0</v>
      </c>
      <c r="L147" s="25" t="n">
        <v>0</v>
      </c>
      <c r="M147" s="25" t="n">
        <v>0</v>
      </c>
      <c r="N147" s="68" t="inlineStr">
        <is>
          <t>Operationnel</t>
        </is>
      </c>
      <c r="O147" s="27" t="n"/>
      <c r="P147" s="28" t="inlineStr">
        <is>
          <t>IHS</t>
        </is>
      </c>
      <c r="Q147" s="28" t="inlineStr">
        <is>
          <t>POWER ISSUE</t>
        </is>
      </c>
      <c r="R147" s="29" t="inlineStr">
        <is>
          <t>Defaut GE &amp; Power Cabinet</t>
        </is>
      </c>
      <c r="S147" s="28" t="inlineStr">
        <is>
          <t>PASSIVE</t>
        </is>
      </c>
      <c r="T147" s="29" t="inlineStr">
        <is>
          <t>(04/29/2026 ocm ran 00h): 28/04/2026 Impacted by CTR_197_Z_Charles-Atangana (Power issue)
28/04/2026Power issue resolved FME activated to check MPR STATUS ETA ASAP
27/04/2026 grid only site, grid outage / grid return awaited..;..;(04/29/2026 com ran 17h): 28/04/2026 Impacted by CTR_197_Z_Charles-Atangana (Power issue)
28/04/2026Power issue resolved FME activated to check MPR STATUS ETA ASAP
27/04/2026 grid only site, grid outage / grid return awaited..;..;(04/29/2026 com ran 18h): 28/04/2026 Impacted by CTR_197_Z_Charles-Atangana (Power issue)
28/04/2026Power issue resolved FME activated to check MPR STATUS ETA ASAP
27/04/2026 grid only site, grid outage / grid return awaited</t>
        </is>
      </c>
    </row>
    <row r="148" ht="18.75" customHeight="1">
      <c r="A148" s="14" t="n">
        <v>46141</v>
      </c>
      <c r="B148" s="23" t="inlineStr">
        <is>
          <t>Malantouen</t>
        </is>
      </c>
      <c r="C148" s="21" t="inlineStr">
        <is>
          <t>OST_039</t>
        </is>
      </c>
      <c r="D148" s="53" t="inlineStr">
        <is>
          <t>OUEST</t>
        </is>
      </c>
      <c r="E148" s="23" t="inlineStr">
        <is>
          <t>IHS</t>
        </is>
      </c>
      <c r="F148" s="23" t="inlineStr">
        <is>
          <t>Grid-Gen</t>
        </is>
      </c>
      <c r="G148" s="53" t="inlineStr">
        <is>
          <t>OUEST</t>
        </is>
      </c>
      <c r="H148" s="23" t="inlineStr">
        <is>
          <t>Malantouen</t>
        </is>
      </c>
      <c r="I148" s="56" t="inlineStr">
        <is>
          <t>NOKIA</t>
        </is>
      </c>
      <c r="J148" s="25" t="n">
        <v>0</v>
      </c>
      <c r="K148" s="25" t="n">
        <v>0</v>
      </c>
      <c r="L148" s="25" t="n">
        <v>0</v>
      </c>
      <c r="M148" s="25" t="n">
        <v>0</v>
      </c>
      <c r="N148" s="68" t="inlineStr">
        <is>
          <t>Operationnel</t>
        </is>
      </c>
      <c r="O148" s="27" t="n"/>
      <c r="P148" s="28" t="inlineStr">
        <is>
          <t>AKTIVCO</t>
        </is>
      </c>
      <c r="Q148" s="28" t="inlineStr">
        <is>
          <t>POWER ISSUE</t>
        </is>
      </c>
      <c r="R148" s="29" t="inlineStr">
        <is>
          <t>AKTIVCO Defaut GE &amp; Power Cabinet</t>
        </is>
      </c>
      <c r="S148" s="28" t="inlineStr">
        <is>
          <t>PASSIVE</t>
        </is>
      </c>
      <c r="T148" s="29" t="inlineStr">
        <is>
          <t>(04/29/2026 incident ): impacted by    Magba_G_OST_023 , RCA: Power issue / En attente RCA CAMUSAT..;..;(04/29/2026 com ran 17h): Impacted by Magba_G_OST_023..;..;(04/29/2026 com ran 18h): Impacted by Magba_G_OST_023</t>
        </is>
      </c>
    </row>
    <row r="149" ht="18.75" customHeight="1">
      <c r="A149" s="14" t="n">
        <v>46141</v>
      </c>
      <c r="B149" s="23" t="inlineStr">
        <is>
          <t>Ebeba</t>
        </is>
      </c>
      <c r="C149" s="21" t="inlineStr">
        <is>
          <t>CTR_116</t>
        </is>
      </c>
      <c r="D149" s="53" t="inlineStr">
        <is>
          <t>CENTRE</t>
        </is>
      </c>
      <c r="E149" s="23" t="inlineStr">
        <is>
          <t>IHS</t>
        </is>
      </c>
      <c r="F149" s="23" t="inlineStr">
        <is>
          <t>Grid-Gen-Lithium</t>
        </is>
      </c>
      <c r="G149" s="53" t="inlineStr">
        <is>
          <t>CENTRE</t>
        </is>
      </c>
      <c r="H149" s="23" t="inlineStr">
        <is>
          <t>Ebeba</t>
        </is>
      </c>
      <c r="I149" s="54" t="inlineStr">
        <is>
          <t>ZTE</t>
        </is>
      </c>
      <c r="J149" s="25" t="n">
        <v>0</v>
      </c>
      <c r="K149" s="25" t="n">
        <v>0</v>
      </c>
      <c r="L149" s="25" t="n">
        <v>0</v>
      </c>
      <c r="M149" s="25" t="n">
        <v>0</v>
      </c>
      <c r="N149" s="68" t="inlineStr">
        <is>
          <t>Operationnel</t>
        </is>
      </c>
      <c r="O149" s="27" t="n"/>
      <c r="P149" s="28" t="inlineStr">
        <is>
          <t>PDH</t>
        </is>
      </c>
      <c r="Q149" s="28" t="inlineStr">
        <is>
          <t>TX ISSUE</t>
        </is>
      </c>
      <c r="R149" s="29" t="inlineStr">
        <is>
          <t>ODU HS</t>
        </is>
      </c>
      <c r="S149" s="28" t="inlineStr">
        <is>
          <t>ACTIVE</t>
        </is>
      </c>
      <c r="T149" s="29" t="inlineStr">
        <is>
          <t>(04/29/2026 incident ): impacted by Mbankomo-Okoa-Maria_Z_CTR_541, RCA: Plantage ODU à Nomayos / Soft reset ODU 3/1 à Nomayos</t>
        </is>
      </c>
    </row>
    <row r="150" ht="18.75" customHeight="1">
      <c r="A150" s="14" t="n">
        <v>46141</v>
      </c>
      <c r="B150" s="53" t="inlineStr">
        <is>
          <t>LIT_857_Z_Bois-des-Singes-III-IHS</t>
        </is>
      </c>
      <c r="C150" s="36" t="inlineStr">
        <is>
          <t>LIT_857</t>
        </is>
      </c>
      <c r="D150" s="53" t="inlineStr">
        <is>
          <t>Yaounde</t>
        </is>
      </c>
      <c r="E150" s="53" t="inlineStr">
        <is>
          <t>ESCO</t>
        </is>
      </c>
      <c r="F150" s="53" t="inlineStr">
        <is>
          <t>Grid-Gen</t>
        </is>
      </c>
      <c r="G150" s="53" t="inlineStr">
        <is>
          <t>LITTORAL</t>
        </is>
      </c>
      <c r="H150" s="53" t="inlineStr">
        <is>
          <t>Yaounde</t>
        </is>
      </c>
      <c r="I150" s="54" t="inlineStr">
        <is>
          <t>ZTE</t>
        </is>
      </c>
      <c r="J150" s="25" t="n">
        <v>0</v>
      </c>
      <c r="K150" s="25" t="n">
        <v>0</v>
      </c>
      <c r="L150" s="25" t="n">
        <v>0</v>
      </c>
      <c r="M150" s="25" t="n">
        <v>0</v>
      </c>
      <c r="N150" s="68" t="inlineStr">
        <is>
          <t>Operationnel</t>
        </is>
      </c>
      <c r="O150" s="27" t="n"/>
      <c r="P150" s="28" t="inlineStr">
        <is>
          <t>AKTIVCO</t>
        </is>
      </c>
      <c r="Q150" s="28" t="inlineStr">
        <is>
          <t>POWER ISSUE</t>
        </is>
      </c>
      <c r="R150" s="29" t="inlineStr">
        <is>
          <t>AKTIVCO Defaut GE &amp; Power Cabinet</t>
        </is>
      </c>
      <c r="S150" s="28" t="inlineStr">
        <is>
          <t>PASSIVE</t>
        </is>
      </c>
      <c r="T150" s="29" t="inlineStr">
        <is>
          <t>(04/29/2026 ocm ran 00h): Impacted by LIT_568_Z_Bobongo-II (Power issue)..;..;(04/29/2026 com ran 17h): Impacted by LIT_568_Z_Bobongo-II (Power issue)..;..;(04/29/2026 com ran 18h): Impacted by LIT_568_Z_Bobongo-II (Power issue)..;..;(04/29/2026 ticket): INC-20260429-00020041  ;  2026-04-30 00:57:34  ;  investigation ongoing / Our FME is trying to reach the security guard.
We will revert back to you  ;  user:OCM_NOC.CAMUSAT</t>
        </is>
      </c>
    </row>
    <row r="151" ht="18.75" customHeight="1">
      <c r="A151" s="14" t="n">
        <v>46141</v>
      </c>
      <c r="B151" s="23" t="inlineStr">
        <is>
          <t>Mbongo-IHS</t>
        </is>
      </c>
      <c r="C151" s="21" t="inlineStr">
        <is>
          <t>LIT_480</t>
        </is>
      </c>
      <c r="D151" s="53" t="inlineStr">
        <is>
          <t>LITTORAL</t>
        </is>
      </c>
      <c r="E151" s="23" t="inlineStr">
        <is>
          <t>IHS</t>
        </is>
      </c>
      <c r="F151" s="23" t="inlineStr">
        <is>
          <t>Grid-Gen</t>
        </is>
      </c>
      <c r="G151" s="53" t="inlineStr">
        <is>
          <t>LITTORAL</t>
        </is>
      </c>
      <c r="H151" s="23" t="inlineStr">
        <is>
          <t>Mbongo</t>
        </is>
      </c>
      <c r="I151" s="54" t="inlineStr">
        <is>
          <t>ZTE</t>
        </is>
      </c>
      <c r="J151" s="25" t="n">
        <v>0</v>
      </c>
      <c r="K151" s="25" t="n">
        <v>0</v>
      </c>
      <c r="L151" s="25" t="n">
        <v>0</v>
      </c>
      <c r="M151" s="25" t="n">
        <v>0</v>
      </c>
      <c r="N151" s="68" t="inlineStr">
        <is>
          <t>Operationnel</t>
        </is>
      </c>
      <c r="O151" s="27" t="n"/>
      <c r="P151" s="28" t="inlineStr">
        <is>
          <t>PDH</t>
        </is>
      </c>
      <c r="Q151" s="28" t="inlineStr">
        <is>
          <t>TX ISSUE</t>
        </is>
      </c>
      <c r="R151" s="29" t="inlineStr">
        <is>
          <t>ODU HS</t>
        </is>
      </c>
      <c r="S151" s="28" t="inlineStr">
        <is>
          <t>ACTIVE</t>
        </is>
      </c>
      <c r="T151" s="29" t="inlineStr">
        <is>
          <t>(04/29/2026 incident ): impacted by  LIT_480_Z_Mbongo-IHS(LIT-480), ODU en perte de rendement   || plusieur s reset ODU . Notons egalement pour stabiliser le site , le FME EST EN ROUTE POUR canibaliser l 'ODU  de mbonguen . ETA =1H  pour son arriver a Mbonguen</t>
        </is>
      </c>
    </row>
    <row r="152" ht="18.75" customHeight="1">
      <c r="A152" s="14" t="n">
        <v>46141</v>
      </c>
      <c r="B152" s="23" t="inlineStr">
        <is>
          <t>Abuh</t>
        </is>
      </c>
      <c r="C152" s="21" t="inlineStr">
        <is>
          <t>NRO_079</t>
        </is>
      </c>
      <c r="D152" s="53" t="inlineStr">
        <is>
          <t>NORD-OUEST</t>
        </is>
      </c>
      <c r="E152" s="23" t="inlineStr">
        <is>
          <t>IHS</t>
        </is>
      </c>
      <c r="F152" s="23" t="inlineStr">
        <is>
          <t>Hybrid-Gen</t>
        </is>
      </c>
      <c r="G152" s="53" t="inlineStr">
        <is>
          <t>NORD-OUEST</t>
        </is>
      </c>
      <c r="H152" s="23" t="inlineStr">
        <is>
          <t>Abuh</t>
        </is>
      </c>
      <c r="I152" s="56" t="inlineStr">
        <is>
          <t>NOKIA</t>
        </is>
      </c>
      <c r="J152" s="25" t="n">
        <v>0</v>
      </c>
      <c r="K152" s="25" t="n">
        <v>0</v>
      </c>
      <c r="L152" s="25" t="n">
        <v>0</v>
      </c>
      <c r="M152" s="25" t="n">
        <v>0</v>
      </c>
      <c r="N152" s="68" t="inlineStr">
        <is>
          <t>Insecurity</t>
        </is>
      </c>
      <c r="O152" s="27" t="n"/>
      <c r="P152" s="28" t="inlineStr">
        <is>
          <t>ACCESS-ISSUE</t>
        </is>
      </c>
      <c r="Q152" s="28" t="inlineStr">
        <is>
          <t>ACCESS-ISSUE</t>
        </is>
      </c>
      <c r="R152" s="29" t="inlineStr">
        <is>
          <t>ACCESS-ISSUE</t>
        </is>
      </c>
      <c r="S152" s="28" t="inlineStr">
        <is>
          <t>ACCESS-ISSUE</t>
        </is>
      </c>
      <c r="T152" s="29" t="inlineStr">
        <is>
          <t>(04/29/2026 ocm ran 00h):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Impacted by NRO_047_N_Bafmeng (TX issue)
16/04/2026 access not granted for this site for now we keep trying ESCLADE FM THEOPHILE PLAN TO 18/04/2026
16/04/2026 access not granted for this site for now we keep trying ESCLADE FM THEOPHILE
15/04/2026 access not granted for this site for now we keep trying
14/04/2026 RED ZONE negociation d'accès en cours 
13/04/2026 Besoin d"un FME sur site pour verifier l'interco MPR et BTS S1P3 FME activé zone rouge manage avec level 0..;..;(04/29/2026 com ran 17h): 29/04/2026 |plan for this weekend if access possible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Impacted by NRO_047_N_Bafmeng (TX issue)
16/04/2026 access not granted for this site for now we keep trying ESCLADE FM THEOPHILE PLAN TO 18/04/2026
16/04/2026 access not granted for this site for now we keep trying ESCLADE FM THEOPHILE
15/04/2026 access not granted for this site for now we keep trying
14/04/2026 RED ZONE negociation d'accès en cours 
13/04/2026 Besoin d"un FME sur site pour verifier l'interco MPR et BTS S1P3 FME activé zone rouge manage avec level 0..;..;(04/29/2026 com ran 18h): 29/04/2026 |plan for this weekend if access possible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Impacted by NRO_047_N_Bafmeng (TX issue)
16/04/2026 access not granted for this site for now we keep trying ESCLADE FM THEOPHILE PLAN TO 18/04/2026
16/04/2026 access not granted for this site for now we keep trying ESCLADE FM THEOPHILE
15/04/2026 access not granted for this site for now we keep trying
14/04/2026 RED ZONE negociation d'accès en cours 
13/04/2026 Besoin d"un FME sur site pour verifier l'interco MPR et BTS S1P3 FME activé zone rouge manage avec level 0</t>
        </is>
      </c>
    </row>
    <row r="153" ht="18.75" customHeight="1">
      <c r="A153" s="14" t="n">
        <v>46141</v>
      </c>
      <c r="B153" s="23" t="inlineStr">
        <is>
          <t>Manoka-IHS</t>
        </is>
      </c>
      <c r="C153" s="21" t="inlineStr">
        <is>
          <t>LIT_497</t>
        </is>
      </c>
      <c r="D153" s="53" t="inlineStr">
        <is>
          <t>LITTORAL</t>
        </is>
      </c>
      <c r="E153" s="23" t="inlineStr">
        <is>
          <t>IHS</t>
        </is>
      </c>
      <c r="F153" s="23" t="inlineStr">
        <is>
          <t>Solar-Gen-Lithium</t>
        </is>
      </c>
      <c r="G153" s="53" t="inlineStr">
        <is>
          <t>LITTORAL</t>
        </is>
      </c>
      <c r="H153" s="23" t="inlineStr">
        <is>
          <t>Manoka</t>
        </is>
      </c>
      <c r="I153" s="54" t="inlineStr">
        <is>
          <t>ZTE</t>
        </is>
      </c>
      <c r="J153" s="25" t="n">
        <v>0</v>
      </c>
      <c r="K153" s="25" t="n">
        <v>0</v>
      </c>
      <c r="L153" s="25" t="n">
        <v>0</v>
      </c>
      <c r="M153" s="25" t="n">
        <v>0</v>
      </c>
      <c r="N153" s="68" t="inlineStr">
        <is>
          <t>Operationnel</t>
        </is>
      </c>
      <c r="O153" s="27" t="n"/>
      <c r="P153" s="28" t="inlineStr">
        <is>
          <t>PDH</t>
        </is>
      </c>
      <c r="Q153" s="28" t="inlineStr">
        <is>
          <t>TX ISSUE</t>
        </is>
      </c>
      <c r="R153" s="29" t="inlineStr">
        <is>
          <t>ODU HS</t>
        </is>
      </c>
      <c r="S153" s="28" t="inlineStr">
        <is>
          <t>ACTIVE</t>
        </is>
      </c>
      <c r="T153" s="29" t="inlineStr">
        <is>
          <t>(04/29/2026 incident ): impacted by  LIT_480_Z_Mbongo-IHS(LIT-480), ODU en perte de rendement   || plusieur s reset ODU . Notons egalement pour stabiliser le site , le FME EST EN ROUTE POUR canibaliser l 'ODU  de mbonguen . ETA =1H  pour son arriver a Mbonguen..;..;(04/29/2026 ocm ran 00h): Impacted by LIT_480_Z_Mbongo-IHS (ODU en perte de rendement)..;..;(04/29/2026 com ran 17h): Power status check ongoing..;..;(04/29/2026 com ran 18h): Power status check ongoing</t>
        </is>
      </c>
    </row>
    <row r="154" ht="18.75" customHeight="1">
      <c r="A154" s="14" t="n">
        <v>46141</v>
      </c>
      <c r="B154" s="23" t="inlineStr">
        <is>
          <t>Mbankomo-IHS</t>
        </is>
      </c>
      <c r="C154" s="21" t="inlineStr">
        <is>
          <t>CTR_528</t>
        </is>
      </c>
      <c r="D154" s="53" t="inlineStr">
        <is>
          <t>CENTRE</t>
        </is>
      </c>
      <c r="E154" s="23" t="inlineStr">
        <is>
          <t>IHS</t>
        </is>
      </c>
      <c r="F154" s="23" t="inlineStr">
        <is>
          <t>Grid-Gen</t>
        </is>
      </c>
      <c r="G154" s="53" t="inlineStr">
        <is>
          <t>CENTRE</t>
        </is>
      </c>
      <c r="H154" s="23" t="inlineStr">
        <is>
          <t>Mbankomo</t>
        </is>
      </c>
      <c r="I154" s="54" t="inlineStr">
        <is>
          <t>ZTE</t>
        </is>
      </c>
      <c r="J154" s="25" t="n">
        <v>0</v>
      </c>
      <c r="K154" s="25" t="n">
        <v>0</v>
      </c>
      <c r="L154" s="25" t="n">
        <v>0</v>
      </c>
      <c r="M154" s="25" t="n">
        <v>0</v>
      </c>
      <c r="N154" s="68" t="inlineStr">
        <is>
          <t>Operationnel</t>
        </is>
      </c>
      <c r="O154" s="27" t="n"/>
      <c r="P154" s="28" t="inlineStr">
        <is>
          <t>PDH</t>
        </is>
      </c>
      <c r="Q154" s="28" t="inlineStr">
        <is>
          <t>TX ISSUE</t>
        </is>
      </c>
      <c r="R154" s="29" t="inlineStr">
        <is>
          <t>ODU HS</t>
        </is>
      </c>
      <c r="S154" s="28" t="inlineStr">
        <is>
          <t>ACTIVE</t>
        </is>
      </c>
      <c r="T154" s="29" t="inlineStr">
        <is>
          <t>(04/29/2026 incident ): impacted by Mbankomo-Okoa-Maria_Z_CTR_541, RCA: Plantage ODU à Nomayos / Soft reset ODU 3/1 à Nomayos</t>
        </is>
      </c>
    </row>
    <row r="155" ht="18.75" customHeight="1">
      <c r="A155" s="14" t="n">
        <v>46141</v>
      </c>
      <c r="B155" s="23" t="inlineStr">
        <is>
          <t>Angongo</t>
        </is>
      </c>
      <c r="C155" s="21" t="inlineStr">
        <is>
          <t>CTR_358</t>
        </is>
      </c>
      <c r="D155" s="53" t="inlineStr">
        <is>
          <t>CENTRE</t>
        </is>
      </c>
      <c r="E155" s="23" t="inlineStr">
        <is>
          <t>IHS</t>
        </is>
      </c>
      <c r="F155" s="23" t="inlineStr">
        <is>
          <t>Grid-Gen</t>
        </is>
      </c>
      <c r="G155" s="53" t="inlineStr">
        <is>
          <t>CENTRE</t>
        </is>
      </c>
      <c r="H155" s="23" t="inlineStr">
        <is>
          <t>Angongo</t>
        </is>
      </c>
      <c r="I155" s="54" t="inlineStr">
        <is>
          <t>ZTE</t>
        </is>
      </c>
      <c r="J155" s="25" t="n">
        <v>0</v>
      </c>
      <c r="K155" s="25" t="n">
        <v>0</v>
      </c>
      <c r="L155" s="25" t="n">
        <v>0</v>
      </c>
      <c r="M155" s="25" t="n">
        <v>0</v>
      </c>
      <c r="N155" s="68" t="inlineStr">
        <is>
          <t>Operationnel</t>
        </is>
      </c>
      <c r="O155" s="27" t="n"/>
      <c r="P155" s="28" t="inlineStr">
        <is>
          <t>PDH</t>
        </is>
      </c>
      <c r="Q155" s="28" t="inlineStr">
        <is>
          <t>TX ISSUE</t>
        </is>
      </c>
      <c r="R155" s="29" t="inlineStr">
        <is>
          <t>ODU HS</t>
        </is>
      </c>
      <c r="S155" s="28" t="inlineStr">
        <is>
          <t>ACTIVE</t>
        </is>
      </c>
      <c r="T155" s="29" t="inlineStr">
        <is>
          <t>(04/29/2026 incident ): impacted by Mbankomo-Okoa-Maria_Z_CTR_541, RCA: Plantage ODU à Nomayos / Soft reset ODU 3/1 à Nomayos</t>
        </is>
      </c>
    </row>
    <row r="156" ht="18.75" customHeight="1">
      <c r="A156" s="14" t="n">
        <v>46141</v>
      </c>
      <c r="B156" s="23" t="inlineStr">
        <is>
          <t>Nkongtock-IHS</t>
        </is>
      </c>
      <c r="C156" s="21" t="inlineStr">
        <is>
          <t>CTR_733</t>
        </is>
      </c>
      <c r="D156" s="53" t="inlineStr">
        <is>
          <t>CENTRE</t>
        </is>
      </c>
      <c r="E156" s="23" t="inlineStr">
        <is>
          <t>IHS</t>
        </is>
      </c>
      <c r="F156" s="23" t="inlineStr">
        <is>
          <t>Solar-Gen</t>
        </is>
      </c>
      <c r="G156" s="53" t="inlineStr">
        <is>
          <t>CENTRE</t>
        </is>
      </c>
      <c r="H156" s="23" t="inlineStr">
        <is>
          <t>Nkongtock</t>
        </is>
      </c>
      <c r="I156" s="54" t="inlineStr">
        <is>
          <t>ZTE</t>
        </is>
      </c>
      <c r="J156" s="25" t="n">
        <v>0</v>
      </c>
      <c r="K156" s="25" t="n">
        <v>0</v>
      </c>
      <c r="L156" s="25" t="n">
        <v>0</v>
      </c>
      <c r="M156" s="25" t="n">
        <v>0</v>
      </c>
      <c r="N156" s="68" t="inlineStr">
        <is>
          <t>Operationnel</t>
        </is>
      </c>
      <c r="O156" s="27" t="n"/>
      <c r="P156" s="28" t="inlineStr">
        <is>
          <t>PDH</t>
        </is>
      </c>
      <c r="Q156" s="28" t="inlineStr">
        <is>
          <t>TX ISSUE</t>
        </is>
      </c>
      <c r="R156" s="29" t="inlineStr">
        <is>
          <t>ODU HS</t>
        </is>
      </c>
      <c r="S156" s="28" t="inlineStr">
        <is>
          <t>ACTIVE</t>
        </is>
      </c>
      <c r="T156" s="29" t="inlineStr">
        <is>
          <t>(04/29/2026 incident ): impacted by Mbankomo-Okoa-Maria_Z_CTR_541, RCA: Plantage ODU à Nomayos / Soft reset ODU 3/1 à Nomayos</t>
        </is>
      </c>
    </row>
    <row r="157" ht="18.75" customHeight="1">
      <c r="A157" s="14" t="n">
        <v>46141</v>
      </c>
      <c r="B157" s="23" t="inlineStr">
        <is>
          <t>Mandoumba</t>
        </is>
      </c>
      <c r="C157" s="21" t="inlineStr">
        <is>
          <t>CTR_066</t>
        </is>
      </c>
      <c r="D157" s="53" t="inlineStr">
        <is>
          <t>CENTRE</t>
        </is>
      </c>
      <c r="E157" s="23" t="inlineStr">
        <is>
          <t>IHS</t>
        </is>
      </c>
      <c r="F157" s="23" t="inlineStr">
        <is>
          <t>Solar-Grid-Gen-Lithium</t>
        </is>
      </c>
      <c r="G157" s="53" t="inlineStr">
        <is>
          <t>CENTRE</t>
        </is>
      </c>
      <c r="H157" s="23" t="inlineStr">
        <is>
          <t>Mandoumba</t>
        </is>
      </c>
      <c r="I157" s="54" t="inlineStr">
        <is>
          <t>ZTE</t>
        </is>
      </c>
      <c r="J157" s="25" t="n">
        <v>0</v>
      </c>
      <c r="K157" s="25" t="n">
        <v>0</v>
      </c>
      <c r="L157" s="25" t="n">
        <v>0</v>
      </c>
      <c r="M157" s="25" t="n">
        <v>0</v>
      </c>
      <c r="N157" s="68" t="inlineStr">
        <is>
          <t>Operationnel</t>
        </is>
      </c>
      <c r="O157" s="27" t="n"/>
      <c r="P157" s="28" t="inlineStr">
        <is>
          <t>PDH</t>
        </is>
      </c>
      <c r="Q157" s="28" t="inlineStr">
        <is>
          <t>TX ISSUE</t>
        </is>
      </c>
      <c r="R157" s="29" t="inlineStr">
        <is>
          <t>ODU HS</t>
        </is>
      </c>
      <c r="S157" s="28" t="inlineStr">
        <is>
          <t>ACTIVE</t>
        </is>
      </c>
      <c r="T157" s="29" t="inlineStr">
        <is>
          <t>(04/29/2026 incident ): impacted by Mbankomo-Okoa-Maria_Z_CTR_541, RCA: Plantage ODU à Nomayos / Soft reset ODU 3/1 à Nomayos</t>
        </is>
      </c>
    </row>
    <row r="158" ht="18.75" customHeight="1">
      <c r="A158" s="14" t="n">
        <v>46141</v>
      </c>
      <c r="B158" s="23" t="inlineStr">
        <is>
          <t>Nkenglikok</t>
        </is>
      </c>
      <c r="C158" s="21" t="inlineStr">
        <is>
          <t>CTR_060</t>
        </is>
      </c>
      <c r="D158" s="53" t="inlineStr">
        <is>
          <t>CENTRE</t>
        </is>
      </c>
      <c r="E158" s="23" t="inlineStr">
        <is>
          <t>IHS</t>
        </is>
      </c>
      <c r="F158" s="23" t="inlineStr">
        <is>
          <t>Solar-Grid-Gen</t>
        </is>
      </c>
      <c r="G158" s="53" t="inlineStr">
        <is>
          <t>CENTRE</t>
        </is>
      </c>
      <c r="H158" s="23" t="inlineStr">
        <is>
          <t>Nkeng-likok</t>
        </is>
      </c>
      <c r="I158" s="54" t="inlineStr">
        <is>
          <t>ZTE</t>
        </is>
      </c>
      <c r="J158" s="25" t="n">
        <v>0</v>
      </c>
      <c r="K158" s="25" t="n">
        <v>0</v>
      </c>
      <c r="L158" s="25" t="n">
        <v>0</v>
      </c>
      <c r="M158" s="25" t="n">
        <v>0</v>
      </c>
      <c r="N158" s="68" t="inlineStr">
        <is>
          <t>Operationnel</t>
        </is>
      </c>
      <c r="O158" s="27" t="n"/>
      <c r="P158" s="28" t="inlineStr">
        <is>
          <t>PDH</t>
        </is>
      </c>
      <c r="Q158" s="28" t="inlineStr">
        <is>
          <t>TX ISSUE</t>
        </is>
      </c>
      <c r="R158" s="29" t="inlineStr">
        <is>
          <t>ODU HS</t>
        </is>
      </c>
      <c r="S158" s="28" t="inlineStr">
        <is>
          <t>ACTIVE</t>
        </is>
      </c>
      <c r="T158" s="29" t="inlineStr">
        <is>
          <t>(04/29/2026 incident ): impacted by Mbankomo-Okoa-Maria_Z_CTR_541, RCA: Plantage ODU à Nomayos / Soft reset ODU 3/1 à Nomayos</t>
        </is>
      </c>
    </row>
    <row r="159" ht="18.75" customHeight="1">
      <c r="A159" s="14" t="n">
        <v>46139</v>
      </c>
      <c r="B159" s="74" t="inlineStr">
        <is>
          <t>Rd-Pt-Longkak</t>
        </is>
      </c>
      <c r="C159" s="21" t="inlineStr">
        <is>
          <t>CTR_449</t>
        </is>
      </c>
      <c r="D159" s="53" t="inlineStr">
        <is>
          <t>Yaounde</t>
        </is>
      </c>
      <c r="E159" s="23" t="inlineStr">
        <is>
          <t>IHS</t>
        </is>
      </c>
      <c r="F159" s="23" t="inlineStr">
        <is>
          <t>Grid-Gen</t>
        </is>
      </c>
      <c r="G159" s="53" t="inlineStr">
        <is>
          <t>CENTRE</t>
        </is>
      </c>
      <c r="H159" s="23" t="inlineStr">
        <is>
          <t>Yaounde</t>
        </is>
      </c>
      <c r="I159" s="54" t="inlineStr">
        <is>
          <t>ZTE</t>
        </is>
      </c>
      <c r="J159" s="25" t="n">
        <v>25.2838626907905</v>
      </c>
      <c r="K159" s="25" t="n">
        <v>21.52057386496935</v>
      </c>
      <c r="L159" s="25" t="n">
        <v>87.03989618422868</v>
      </c>
      <c r="M159" s="25" t="n">
        <v>56.22554810762686</v>
      </c>
      <c r="N159" s="68" t="inlineStr">
        <is>
          <t>Operationnel</t>
        </is>
      </c>
      <c r="O159" s="27" t="n"/>
      <c r="P159" s="28" t="inlineStr">
        <is>
          <t>BSS</t>
        </is>
      </c>
      <c r="Q159" s="28" t="inlineStr">
        <is>
          <t>RAN ISSUE</t>
        </is>
      </c>
      <c r="R159" s="29" t="inlineStr">
        <is>
          <t>BSS Hardware issue</t>
        </is>
      </c>
      <c r="S159" s="28" t="inlineStr">
        <is>
          <t>ACTIVE</t>
        </is>
      </c>
      <c r="T159" s="29" t="inlineStr">
        <is>
          <t>(04/27/2026 ocm ran 17h):-Impacted by CTR_197_Z_Charles-Atangana(CTR-197)..;..;(04/27/2026 ocm ran 11h):-Impacted by CTR_197_Z_Charles-Atangana(CTR-197)..;..;(04/27/2026 ticket):-INC-20260427-00002062…2026-04-27 19:15:19…Site impacted by CTR_197_Z_Charles-Atangana(CTR-197)  //  En attente de retour ENEO sur CTR_197_Z_Charles-Atangana(CTR-197)…power issues responsabilité ihs  || 04/27/2026: hardware issue,  site with GPS issue (alarm : TDD down 09Apr 02pm)</t>
        </is>
      </c>
    </row>
    <row r="160" ht="18.75" customHeight="1">
      <c r="A160" s="14" t="n">
        <v>46139</v>
      </c>
      <c r="B160" s="23" t="inlineStr">
        <is>
          <t>Mboppi-New</t>
        </is>
      </c>
      <c r="C160" s="21" t="inlineStr">
        <is>
          <t>LIT_736</t>
        </is>
      </c>
      <c r="D160" s="53" t="inlineStr">
        <is>
          <t>Douala</t>
        </is>
      </c>
      <c r="E160" s="23" t="inlineStr">
        <is>
          <t>CAMUSAT</t>
        </is>
      </c>
      <c r="F160" s="23" t="inlineStr">
        <is>
          <t>Good Grid no GE - 8h</t>
        </is>
      </c>
      <c r="G160" s="53" t="inlineStr">
        <is>
          <t>LITTORAL</t>
        </is>
      </c>
      <c r="H160" s="23" t="inlineStr">
        <is>
          <t>Douala</t>
        </is>
      </c>
      <c r="I160" s="54" t="inlineStr">
        <is>
          <t>ZTE</t>
        </is>
      </c>
      <c r="J160" s="25" t="n">
        <v>25.79793292807213</v>
      </c>
      <c r="K160" s="25" t="n">
        <v>21.99297204116813</v>
      </c>
      <c r="L160" s="25" t="n">
        <v>66.36231113212375</v>
      </c>
      <c r="M160" s="25" t="n">
        <v>45.67442278552531</v>
      </c>
      <c r="N160" s="68" t="inlineStr">
        <is>
          <t>Operationnel</t>
        </is>
      </c>
      <c r="O160" s="27" t="n"/>
      <c r="P160" s="28" t="inlineStr">
        <is>
          <t>AKTIVCO GRID ONLY</t>
        </is>
      </c>
      <c r="Q160" s="28" t="inlineStr">
        <is>
          <t>POWER ISSUE</t>
        </is>
      </c>
      <c r="R160" s="29" t="inlineStr">
        <is>
          <t>AKTIVCO Coupure ENEO &amp; Baisse de tension</t>
        </is>
      </c>
      <c r="S160" s="28" t="inlineStr">
        <is>
          <t>PASSIVE</t>
        </is>
      </c>
      <c r="T160" s="29" t="inlineStr">
        <is>
          <t>(04/27/2026 incident ) :impacted by  LIT_736_Z_Mboppi-New  ,Grid outage et batterie frelon dechargee  || Actrion :installation de la betterie Frelon..;..;(04/27/2026 cell zte):-23/04/2026 : Site down..;..;(04/27/2026 ocm ran 11h):-26/04/2026 ENEO a fini les travaux dans la zone / Pas eu d'accès site pour diagnostiguer / site à l'interieur du marcher sans accès
24.04.26: Grid outage, Grid only site / Grid return awaited - Escalade L4
23.04.26: Grid outage, Grid only site / Grid return awaited - Escalade L4
23.04.26: Grid outage, Grid only site / Grid return awaited - Escalade L3</t>
        </is>
      </c>
    </row>
    <row r="161" ht="18.75" customHeight="1">
      <c r="A161" s="14" t="n">
        <v>46139</v>
      </c>
      <c r="B161" s="23" t="inlineStr">
        <is>
          <t>Babylone-dispensaire</t>
        </is>
      </c>
      <c r="C161" s="23" t="inlineStr">
        <is>
          <t>LIT_648</t>
        </is>
      </c>
      <c r="D161" s="53" t="inlineStr">
        <is>
          <t>Douala</t>
        </is>
      </c>
      <c r="E161" s="23" t="inlineStr">
        <is>
          <t>CAMUSAT</t>
        </is>
      </c>
      <c r="F161" s="23" t="inlineStr">
        <is>
          <t>Good Grid no GE - 12h</t>
        </is>
      </c>
      <c r="G161" s="53" t="inlineStr">
        <is>
          <t>LITTORAL</t>
        </is>
      </c>
      <c r="H161" s="23" t="inlineStr">
        <is>
          <t>Douala</t>
        </is>
      </c>
      <c r="I161" s="54" t="inlineStr">
        <is>
          <t>ZTE</t>
        </is>
      </c>
      <c r="J161" s="25" t="n">
        <v>10.03998157540296</v>
      </c>
      <c r="K161" s="25" t="n">
        <v>8.690543281278158</v>
      </c>
      <c r="L161" s="25" t="n">
        <v>34.42389278498994</v>
      </c>
      <c r="M161" s="25" t="n">
        <v>22.3028902814518</v>
      </c>
      <c r="N161" s="68" t="inlineStr">
        <is>
          <t>Operationnel</t>
        </is>
      </c>
      <c r="O161" s="27" t="n"/>
      <c r="P161" s="28" t="inlineStr">
        <is>
          <t>AKTIVCO GRID ONLY</t>
        </is>
      </c>
      <c r="Q161" s="28" t="inlineStr">
        <is>
          <t>POWER ISSUE</t>
        </is>
      </c>
      <c r="R161" s="29" t="inlineStr">
        <is>
          <t>AKTIVCO Coupure ENEO &amp; Baisse de tension</t>
        </is>
      </c>
      <c r="S161" s="28" t="inlineStr">
        <is>
          <t>PASSIVE</t>
        </is>
      </c>
      <c r="T161" s="29" t="inlineStr">
        <is>
          <t>(04/27/2026 cell zte):-27/04/2026 : Site down..;..;(04/27/2026 ocm ran 17h):-Impacter par LIT_616_Z_Buca-Voyage(LIT-616)..;..;(04/27/2026 ticket):-INC-20260427-00010419…2026-04-27 19:56:59…Grid outage and Grid only site / Grid return awaited</t>
        </is>
      </c>
    </row>
    <row r="162" ht="18.75" customHeight="1">
      <c r="A162" s="14" t="n">
        <v>46139</v>
      </c>
      <c r="B162" s="23" t="inlineStr">
        <is>
          <t>Makepe-Nodal</t>
        </is>
      </c>
      <c r="C162" s="21" t="inlineStr">
        <is>
          <t>LIT_103</t>
        </is>
      </c>
      <c r="D162" s="53" t="inlineStr">
        <is>
          <t>Douala</t>
        </is>
      </c>
      <c r="E162" s="23" t="n"/>
      <c r="F162" s="23" t="n"/>
      <c r="G162" s="53" t="inlineStr">
        <is>
          <t>LITTORAL</t>
        </is>
      </c>
      <c r="H162" s="23" t="inlineStr">
        <is>
          <t>Douala</t>
        </is>
      </c>
      <c r="I162" s="54" t="inlineStr">
        <is>
          <t>ZTE</t>
        </is>
      </c>
      <c r="J162" s="25" t="n">
        <v>0</v>
      </c>
      <c r="K162" s="25" t="n">
        <v>0</v>
      </c>
      <c r="L162" s="25" t="n">
        <v>42.76490751137639</v>
      </c>
      <c r="M162" s="25" t="n">
        <v>22.30140996995145</v>
      </c>
      <c r="N162" s="68" t="inlineStr">
        <is>
          <t>Operationnel</t>
        </is>
      </c>
      <c r="O162" s="27" t="n"/>
      <c r="P162" s="28" t="inlineStr">
        <is>
          <t>AKTIVCO</t>
        </is>
      </c>
      <c r="Q162" s="28" t="inlineStr">
        <is>
          <t>POWER ISSUE</t>
        </is>
      </c>
      <c r="R162" s="29" t="inlineStr">
        <is>
          <t>AKTIVCO Defaut GE &amp; Power Cabinet</t>
        </is>
      </c>
      <c r="S162" s="28" t="inlineStr">
        <is>
          <t>PASSIVE</t>
        </is>
      </c>
      <c r="T162" s="29" t="inlineStr">
        <is>
          <t>(04/27/2026 incident ) :impacted by impacted by  LIT_666_Z_Parcours-Vita(LIT-666), probleme d'energie || Action : RCA CAMUSAT attentdu..;..;(04/27/2026 cell zte):-27/04/2026 : Besoin d'analyse BO RAN</t>
        </is>
      </c>
    </row>
    <row r="163" ht="18.75" customHeight="1">
      <c r="A163" s="14" t="n">
        <v>46139</v>
      </c>
      <c r="B163" s="53" t="inlineStr">
        <is>
          <t>CTR_935_Z_BATA-Mokolo-II-HIS</t>
        </is>
      </c>
      <c r="C163" s="36" t="inlineStr">
        <is>
          <t>CTR_935</t>
        </is>
      </c>
      <c r="D163" s="53" t="inlineStr">
        <is>
          <t>Yaounde</t>
        </is>
      </c>
      <c r="E163" s="53" t="inlineStr">
        <is>
          <t>I_HS</t>
        </is>
      </c>
      <c r="F163" s="53" t="inlineStr">
        <is>
          <t>Grid Only</t>
        </is>
      </c>
      <c r="G163" s="53" t="inlineStr">
        <is>
          <t>CENTRE</t>
        </is>
      </c>
      <c r="H163" s="53" t="inlineStr">
        <is>
          <t>Yaoundé</t>
        </is>
      </c>
      <c r="I163" s="54" t="inlineStr">
        <is>
          <t>ZTE</t>
        </is>
      </c>
      <c r="J163" s="25" t="n">
        <v>9.436361202035098</v>
      </c>
      <c r="K163" s="25" t="n">
        <v>8.086551506064037</v>
      </c>
      <c r="L163" s="25" t="n">
        <v>31.61354945750076</v>
      </c>
      <c r="M163" s="25" t="n">
        <v>20.54836445197799</v>
      </c>
      <c r="N163" s="68" t="inlineStr">
        <is>
          <t>Operationnel</t>
        </is>
      </c>
      <c r="O163" s="27" t="n"/>
      <c r="P163" s="28" t="inlineStr">
        <is>
          <t>IHS</t>
        </is>
      </c>
      <c r="Q163" s="28" t="inlineStr">
        <is>
          <t>POWER ISSUE</t>
        </is>
      </c>
      <c r="R163" s="29" t="inlineStr">
        <is>
          <t>Defaut GE &amp; Power Cabinet</t>
        </is>
      </c>
      <c r="S163" s="28" t="inlineStr">
        <is>
          <t>PASSIVE</t>
        </is>
      </c>
      <c r="T163" s="29" t="inlineStr">
        <is>
          <t>(04/27/2026 ocm ran 17h):-27/04/2026 besoin d'un fme sur site pour verifier le status du MPR FME brice tsague activé ..;..;(04/27/2026 ticket):-INC-20260427-00010262…impacté par entré cité verte qui à un problème de power.…Others Transmission equipement fault</t>
        </is>
      </c>
    </row>
    <row r="164" ht="18.75" customHeight="1">
      <c r="A164" s="14" t="n">
        <v>46139</v>
      </c>
      <c r="B164" s="23" t="inlineStr">
        <is>
          <t>Bambalang</t>
        </is>
      </c>
      <c r="C164" s="23" t="inlineStr">
        <is>
          <t>NRO_100</t>
        </is>
      </c>
      <c r="D164" s="53" t="inlineStr">
        <is>
          <t>NORD-OUEST</t>
        </is>
      </c>
      <c r="E164" s="23" t="inlineStr">
        <is>
          <t>IHS</t>
        </is>
      </c>
      <c r="F164" s="23" t="inlineStr">
        <is>
          <t>Hybrid-Gen</t>
        </is>
      </c>
      <c r="G164" s="53" t="inlineStr">
        <is>
          <t>NORD-OUEST</t>
        </is>
      </c>
      <c r="H164" s="23" t="inlineStr">
        <is>
          <t>Bambalang</t>
        </is>
      </c>
      <c r="I164" s="55" t="inlineStr">
        <is>
          <t>HUAWEI</t>
        </is>
      </c>
      <c r="J164" s="25" t="n">
        <v>0</v>
      </c>
      <c r="K164" s="25" t="n">
        <v>48.48206756972707</v>
      </c>
      <c r="L164" s="25" t="n">
        <v>0</v>
      </c>
      <c r="M164" s="25" t="n">
        <v>16.27598927612411</v>
      </c>
      <c r="N164" s="68" t="inlineStr">
        <is>
          <t>Insecurity</t>
        </is>
      </c>
      <c r="O164" s="27" t="n"/>
      <c r="P164" s="28" t="inlineStr">
        <is>
          <t>IHS</t>
        </is>
      </c>
      <c r="Q164" s="28" t="inlineStr">
        <is>
          <t>POWER ISSUE</t>
        </is>
      </c>
      <c r="R164" s="29" t="inlineStr">
        <is>
          <t>Defaut GE &amp; Power Cabinet</t>
        </is>
      </c>
      <c r="S164" s="28" t="inlineStr">
        <is>
          <t>PASSIVE</t>
        </is>
      </c>
      <c r="T164" s="29" t="inlineStr">
        <is>
          <t>(04/27/2026 incident ) :impacted by   NRO_100_H_Bambalang ,   souci de connu , de redresseur . Point deja escaladera HIS par aocm (IHS remonre un probleme d'access du a l'insecurity..;..;(04/27/2026 ocm ran 17h):-power status check ongoing..;..;(04/27/2026 ocm ran 11h):-power status check ongoing</t>
        </is>
      </c>
    </row>
    <row r="165" ht="18.75" customHeight="1">
      <c r="A165" s="14" t="n">
        <v>46139</v>
      </c>
      <c r="B165" s="23" t="inlineStr">
        <is>
          <t>Mboppi-Market-IHS</t>
        </is>
      </c>
      <c r="C165" s="21" t="inlineStr">
        <is>
          <t>LIT_761</t>
        </is>
      </c>
      <c r="D165" s="53" t="inlineStr">
        <is>
          <t>Douala</t>
        </is>
      </c>
      <c r="E165" s="23" t="inlineStr">
        <is>
          <t>IHS</t>
        </is>
      </c>
      <c r="F165" s="23" t="inlineStr">
        <is>
          <t xml:space="preserve">Grid Gen </t>
        </is>
      </c>
      <c r="G165" s="53" t="inlineStr">
        <is>
          <t>LITTORAL</t>
        </is>
      </c>
      <c r="H165" s="23" t="inlineStr">
        <is>
          <t>Douala</t>
        </is>
      </c>
      <c r="I165" s="54" t="inlineStr">
        <is>
          <t>ZTE</t>
        </is>
      </c>
      <c r="J165" s="25" t="n">
        <v>13.65583372300756</v>
      </c>
      <c r="K165" s="25" t="n">
        <v>11.61615002499056</v>
      </c>
      <c r="L165" s="25" t="n">
        <v>18.72970552699144</v>
      </c>
      <c r="M165" s="25" t="n">
        <v>15.6170544726096</v>
      </c>
      <c r="N165" s="68" t="inlineStr">
        <is>
          <t>Operationnel</t>
        </is>
      </c>
      <c r="O165" s="27" t="n"/>
      <c r="P165" s="28" t="inlineStr">
        <is>
          <t>AKTIVCO GRID ONLY</t>
        </is>
      </c>
      <c r="Q165" s="28" t="inlineStr">
        <is>
          <t>POWER ISSUE</t>
        </is>
      </c>
      <c r="R165" s="29" t="inlineStr">
        <is>
          <t>AKTIVCO Coupure ENEO &amp; Baisse de tension</t>
        </is>
      </c>
      <c r="S165" s="28" t="inlineStr">
        <is>
          <t>PASSIVE</t>
        </is>
      </c>
      <c r="T165" s="29" t="inlineStr">
        <is>
          <t>(04/27/2026 incident ) :impacted by  LIT_736_Z_Mboppi-New  ,Grid outage et batterie frelon dechargee  || Actrion :installation de la betterie Frelon</t>
        </is>
      </c>
    </row>
    <row r="166" ht="18.75" customHeight="1">
      <c r="A166" s="14" t="n">
        <v>46139</v>
      </c>
      <c r="B166" s="23" t="inlineStr">
        <is>
          <t>Nkongoa-Mfou</t>
        </is>
      </c>
      <c r="C166" s="21" t="inlineStr">
        <is>
          <t>CTR_896</t>
        </is>
      </c>
      <c r="D166" s="53" t="inlineStr">
        <is>
          <t>CENTRE</t>
        </is>
      </c>
      <c r="E166" s="23" t="inlineStr">
        <is>
          <t>CAMUSAT</t>
        </is>
      </c>
      <c r="F166" s="23" t="inlineStr">
        <is>
          <t>Good Grid + GE</t>
        </is>
      </c>
      <c r="G166" s="53" t="inlineStr">
        <is>
          <t>CENTRE</t>
        </is>
      </c>
      <c r="H166" s="23" t="inlineStr">
        <is>
          <t>Mfou</t>
        </is>
      </c>
      <c r="I166" s="54" t="inlineStr">
        <is>
          <t>ZTE</t>
        </is>
      </c>
      <c r="J166" s="25" t="n">
        <v>32.37293622531563</v>
      </c>
      <c r="K166" s="25" t="n">
        <v>27.54062241806665</v>
      </c>
      <c r="L166" s="25" t="n">
        <v>0</v>
      </c>
      <c r="M166" s="25" t="n">
        <v>13.86855689960706</v>
      </c>
      <c r="N166" s="68" t="inlineStr">
        <is>
          <t>Operationnel</t>
        </is>
      </c>
      <c r="O166" s="27" t="n"/>
      <c r="P166" s="28" t="inlineStr">
        <is>
          <t>Exclu</t>
        </is>
      </c>
      <c r="Q166" s="28" t="inlineStr">
        <is>
          <t>Exclu</t>
        </is>
      </c>
      <c r="R166" s="29" t="inlineStr">
        <is>
          <t>EXCLU</t>
        </is>
      </c>
      <c r="S166" s="28" t="inlineStr">
        <is>
          <t>Exclu</t>
        </is>
      </c>
      <c r="T166" s="29" t="inlineStr">
        <is>
          <t>(04/27/2026 ocm ran 17h):-Impacted by CTR_629_Z_Nkongoa(CTR-629)..;..;(04/27/2026 ocm ran 11h):-Impacted by CTR_629_Z_Nkongoa(CTR-629)</t>
        </is>
      </c>
    </row>
    <row r="167" ht="18.75" customHeight="1">
      <c r="A167" s="14" t="n">
        <v>46139</v>
      </c>
      <c r="B167" s="23" t="inlineStr">
        <is>
          <t>Kanga</t>
        </is>
      </c>
      <c r="C167" s="21" t="inlineStr">
        <is>
          <t>LIT_510</t>
        </is>
      </c>
      <c r="D167" s="53" t="inlineStr">
        <is>
          <t>LITTORAL</t>
        </is>
      </c>
      <c r="E167" s="23" t="inlineStr">
        <is>
          <t>IHS</t>
        </is>
      </c>
      <c r="F167" s="23" t="inlineStr">
        <is>
          <t>Grid-Hybrid-Gen</t>
        </is>
      </c>
      <c r="G167" s="53" t="inlineStr">
        <is>
          <t>LITTORAL</t>
        </is>
      </c>
      <c r="H167" s="23" t="inlineStr">
        <is>
          <t>Massock-Songloulou</t>
        </is>
      </c>
      <c r="I167" s="56" t="inlineStr">
        <is>
          <t>NOKIA</t>
        </is>
      </c>
      <c r="J167" s="25" t="n">
        <v>32.36881467093509</v>
      </c>
      <c r="K167" s="25" t="n">
        <v>13.77031120903332</v>
      </c>
      <c r="L167" s="25" t="n">
        <v>0</v>
      </c>
      <c r="M167" s="25" t="n">
        <v>9.245116042153564</v>
      </c>
      <c r="N167" s="68" t="inlineStr">
        <is>
          <t>Operationnel</t>
        </is>
      </c>
      <c r="O167" s="27" t="n"/>
      <c r="P167" s="28" t="inlineStr">
        <is>
          <t>ENVTECH</t>
        </is>
      </c>
      <c r="Q167" s="28" t="inlineStr">
        <is>
          <t>ENVTECH</t>
        </is>
      </c>
      <c r="R167" s="29" t="inlineStr">
        <is>
          <t>Sites strategiques, MLL, Pylone, etc.</t>
        </is>
      </c>
      <c r="S167" s="28" t="inlineStr">
        <is>
          <t>PASSIVE</t>
        </is>
      </c>
      <c r="T167" s="29" t="inlineStr">
        <is>
          <t>(04/27/2026 ocm ran 17h):-Impacted by Songloulou-IHS_LIT_200 (TX issue)..;..;(04/27/2026 ocm ran 11h):-Impacted by Songloulou-IHS_LIT_200 (TX issue)</t>
        </is>
      </c>
    </row>
    <row r="168" ht="18.75" customHeight="1">
      <c r="A168" s="14" t="n">
        <v>46139</v>
      </c>
      <c r="B168" s="23" t="inlineStr">
        <is>
          <t>TCHEVI-IHS</t>
        </is>
      </c>
      <c r="C168" s="23" t="inlineStr">
        <is>
          <t>EXN_227</t>
        </is>
      </c>
      <c r="D168" s="53" t="inlineStr">
        <is>
          <t>EXTREME-NORD</t>
        </is>
      </c>
      <c r="E168" s="23" t="inlineStr">
        <is>
          <t>IHS</t>
        </is>
      </c>
      <c r="F168" s="23" t="inlineStr">
        <is>
          <t>Grid-Gen</t>
        </is>
      </c>
      <c r="G168" s="53" t="inlineStr">
        <is>
          <t>EXTREME-NORD</t>
        </is>
      </c>
      <c r="H168" s="23" t="inlineStr">
        <is>
          <t>Tchevi</t>
        </is>
      </c>
      <c r="I168" s="56" t="inlineStr">
        <is>
          <t>NOKIA</t>
        </is>
      </c>
      <c r="J168" s="25" t="n">
        <v>32.36694123712576</v>
      </c>
      <c r="K168" s="25" t="n">
        <v>13.77031120903332</v>
      </c>
      <c r="L168" s="25" t="n">
        <v>0</v>
      </c>
      <c r="M168" s="25" t="n">
        <v>9.244848515978804</v>
      </c>
      <c r="N168" s="68" t="inlineStr">
        <is>
          <t>Insecurity</t>
        </is>
      </c>
      <c r="O168" s="27" t="n"/>
      <c r="P168" s="28" t="inlineStr">
        <is>
          <t>Exclu</t>
        </is>
      </c>
      <c r="Q168" s="28" t="inlineStr">
        <is>
          <t>Exclu</t>
        </is>
      </c>
      <c r="R168" s="29" t="inlineStr">
        <is>
          <t>EXCLU</t>
        </is>
      </c>
      <c r="S168" s="28" t="inlineStr">
        <is>
          <t>Exclu</t>
        </is>
      </c>
      <c r="T168" s="29" t="inlineStr">
        <is>
          <t>(04/27/2026 cell nokia):-23/04/2026 : Relance faite hier 
22/04/2026 : Cable d'alimentation SPM vandaliser
21/04/2026 : Check breaker and  interconnection FXED, FXDB, FRMF (sfp, optical fiber) between system and radio module, swap its if needed || FME Tsafack ervis activer..;..;(04/27/2026 cell nokia):-23/04/2026 : Relance faite hier 
22/04/2026 : Cable d'alimentation SPM vandaliser
21/04/2026 : Check breaker and  interconnection FXED, FXDB, FRMF (sfp, optical fiber) between system and radio module, swap its if needed || FME Tsafack ervis activer..;..;(04/27/2026 ticket):-INC-20260427-00001240…impacté par mazavou…Others Transmission equipement fault</t>
        </is>
      </c>
    </row>
    <row r="169" ht="18.75" customHeight="1">
      <c r="A169" s="14" t="n">
        <v>46139</v>
      </c>
      <c r="B169" s="23" t="inlineStr">
        <is>
          <t>Tatum</t>
        </is>
      </c>
      <c r="C169" s="21" t="inlineStr">
        <is>
          <t>NRO_073</t>
        </is>
      </c>
      <c r="D169" s="53" t="inlineStr">
        <is>
          <t>NORD-OUEST</t>
        </is>
      </c>
      <c r="E169" s="23" t="inlineStr">
        <is>
          <t>IHS</t>
        </is>
      </c>
      <c r="F169" s="23" t="inlineStr">
        <is>
          <t>Hybrid-Gen</t>
        </is>
      </c>
      <c r="G169" s="53" t="inlineStr">
        <is>
          <t>NORD-OUEST</t>
        </is>
      </c>
      <c r="H169" s="23" t="inlineStr">
        <is>
          <t>Tatum</t>
        </is>
      </c>
      <c r="I169" s="56" t="inlineStr">
        <is>
          <t>NOKIA</t>
        </is>
      </c>
      <c r="J169" s="25" t="n">
        <v>32.36394374303083</v>
      </c>
      <c r="K169" s="25" t="n">
        <v>13.77031120903332</v>
      </c>
      <c r="L169" s="25" t="n">
        <v>0</v>
      </c>
      <c r="M169" s="25" t="n">
        <v>9.244420474099186</v>
      </c>
      <c r="N169" s="68" t="inlineStr">
        <is>
          <t>Insecurity</t>
        </is>
      </c>
      <c r="O169" s="27" t="n"/>
      <c r="P169" s="28" t="inlineStr">
        <is>
          <t>ENVTECH</t>
        </is>
      </c>
      <c r="Q169" s="28" t="inlineStr">
        <is>
          <t>ENVTECH</t>
        </is>
      </c>
      <c r="R169" s="29" t="inlineStr">
        <is>
          <t>Sites strategiques, MLL, Pylone, etc.</t>
        </is>
      </c>
      <c r="S169" s="28" t="inlineStr">
        <is>
          <t>PASSIVE</t>
        </is>
      </c>
      <c r="T169" s="29" t="inlineStr">
        <is>
          <t>(04/27/2026 ocm ran 17h):-21.04.26; Dementellement des ODUs en cours pour MAD à Huawei, update ASAP
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arrivés..;..;(04/27/2026 ocm ran 11h):-21.04.26; Dementellement des ODUs en cours pour MAD à Huawei, update ASAP
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t>
        </is>
      </c>
    </row>
    <row r="170" ht="18.75" customHeight="1">
      <c r="A170" s="14" t="n">
        <v>46139</v>
      </c>
      <c r="B170" s="23" t="inlineStr">
        <is>
          <t>Entree-Cite-Verte-IHS</t>
        </is>
      </c>
      <c r="C170" s="21" t="inlineStr">
        <is>
          <t>CTR_519</t>
        </is>
      </c>
      <c r="D170" s="53" t="inlineStr">
        <is>
          <t>Yaounde</t>
        </is>
      </c>
      <c r="E170" s="23" t="inlineStr">
        <is>
          <t>IHS</t>
        </is>
      </c>
      <c r="F170" s="23" t="inlineStr">
        <is>
          <t>Grid-Gen</t>
        </is>
      </c>
      <c r="G170" s="53" t="inlineStr">
        <is>
          <t>CENTRE</t>
        </is>
      </c>
      <c r="H170" s="23" t="inlineStr">
        <is>
          <t>Yaounde</t>
        </is>
      </c>
      <c r="I170" s="54" t="inlineStr">
        <is>
          <t>ZTE</t>
        </is>
      </c>
      <c r="J170" s="25" t="n">
        <v>7.339863873801502</v>
      </c>
      <c r="K170" s="25" t="n">
        <v>6.282066974713628</v>
      </c>
      <c r="L170" s="25" t="n">
        <v>8.014983025694567</v>
      </c>
      <c r="M170" s="25" t="n">
        <v>7.336816167427154</v>
      </c>
      <c r="N170" s="68" t="inlineStr">
        <is>
          <t>Operationnel</t>
        </is>
      </c>
      <c r="O170" s="27" t="n"/>
      <c r="P170" s="28" t="inlineStr">
        <is>
          <t>IHS</t>
        </is>
      </c>
      <c r="Q170" s="28" t="inlineStr">
        <is>
          <t>POWER ISSUE</t>
        </is>
      </c>
      <c r="R170" s="29" t="inlineStr">
        <is>
          <t>Defaut GE &amp; Power Cabinet</t>
        </is>
      </c>
      <c r="S170" s="28" t="inlineStr">
        <is>
          <t>PASSIVE</t>
        </is>
      </c>
      <c r="T170" s="29" t="inlineStr">
        <is>
          <t>(04/27/2026 ocm ran 17h):-Impacted by CTR_519_Z_Entree-Cite-Verte-IHS(CTR-519)..;..;(04/27/2026 ticket):-INC-20260427-00010264…2026-04-27 20:22:29…Bo Trans analyse en cours…power issue (grid outage)…Others Transmission equipement fault</t>
        </is>
      </c>
    </row>
    <row r="171" ht="18.75" customHeight="1">
      <c r="A171" s="14" t="n">
        <v>46139</v>
      </c>
      <c r="B171" s="23" t="inlineStr">
        <is>
          <t>Crf-Patrick-Mboma</t>
        </is>
      </c>
      <c r="C171" s="21" t="inlineStr">
        <is>
          <t>LIT_697</t>
        </is>
      </c>
      <c r="D171" s="53" t="inlineStr">
        <is>
          <t>Douala</t>
        </is>
      </c>
      <c r="E171" s="23" t="inlineStr">
        <is>
          <t>CAMUSAT</t>
        </is>
      </c>
      <c r="F171" s="23" t="inlineStr">
        <is>
          <t>Good Grid + GE</t>
        </is>
      </c>
      <c r="G171" s="53" t="inlineStr">
        <is>
          <t>LITTORAL</t>
        </is>
      </c>
      <c r="H171" s="23" t="inlineStr">
        <is>
          <t>Douala</t>
        </is>
      </c>
      <c r="I171" s="54" t="inlineStr">
        <is>
          <t>ZTE</t>
        </is>
      </c>
      <c r="J171" s="25" t="n">
        <v>2.680384198809795</v>
      </c>
      <c r="K171" s="25" t="n">
        <v>2.277520221957015</v>
      </c>
      <c r="L171" s="25" t="n">
        <v>5.885568174107564</v>
      </c>
      <c r="M171" s="25" t="n">
        <v>4.216604885955376</v>
      </c>
      <c r="N171" s="68" t="inlineStr">
        <is>
          <t>Operationnel</t>
        </is>
      </c>
      <c r="O171" s="27" t="n"/>
      <c r="P171" s="28" t="inlineStr">
        <is>
          <t>AKTIVCO</t>
        </is>
      </c>
      <c r="Q171" s="28" t="inlineStr">
        <is>
          <t>POWER ISSUE</t>
        </is>
      </c>
      <c r="R171" s="29" t="inlineStr">
        <is>
          <t>AKTIVCO Defaut GE &amp; Power Cabinet</t>
        </is>
      </c>
      <c r="S171" s="28" t="inlineStr">
        <is>
          <t>PASSIVE</t>
        </is>
      </c>
      <c r="T171" s="29" t="inlineStr">
        <is>
          <t>(04/27/2026 incident ) :impacted by impacted by  LIT_666_Z_Parcours-Vita(LIT-666), probleme d'energie || Action : RCA CAMUSAT attentdu..;..;(04/27/2026 ticket):-INC-20260427-00010682…Site impacté par makepe parcours vita qui est un site Grid only.…Others Transmission equipement fault</t>
        </is>
      </c>
    </row>
    <row r="172" ht="18.75" customHeight="1">
      <c r="A172" s="14" t="n">
        <v>46139</v>
      </c>
      <c r="B172" s="23" t="inlineStr">
        <is>
          <t>Parcours-Vita</t>
        </is>
      </c>
      <c r="C172" s="21" t="inlineStr">
        <is>
          <t>LIT_666</t>
        </is>
      </c>
      <c r="D172" s="53" t="inlineStr">
        <is>
          <t>Douala</t>
        </is>
      </c>
      <c r="E172" s="23" t="inlineStr">
        <is>
          <t>CAMUSAT</t>
        </is>
      </c>
      <c r="F172" s="23" t="inlineStr">
        <is>
          <t>Good Grid no GE - 12h</t>
        </is>
      </c>
      <c r="G172" s="53" t="inlineStr">
        <is>
          <t>LITTORAL</t>
        </is>
      </c>
      <c r="H172" s="23" t="inlineStr">
        <is>
          <t>Douala</t>
        </is>
      </c>
      <c r="I172" s="54" t="inlineStr">
        <is>
          <t>ZTE</t>
        </is>
      </c>
      <c r="J172" s="25" t="n">
        <v>2.674888792969078</v>
      </c>
      <c r="K172" s="25" t="n">
        <v>2.418092148882564</v>
      </c>
      <c r="L172" s="25" t="n">
        <v>5.540452691921283</v>
      </c>
      <c r="M172" s="25" t="n">
        <v>4.083037984436398</v>
      </c>
      <c r="N172" s="68" t="inlineStr">
        <is>
          <t>Operationnel</t>
        </is>
      </c>
      <c r="O172" s="27" t="n"/>
      <c r="P172" s="28" t="inlineStr">
        <is>
          <t>AKTIVCO</t>
        </is>
      </c>
      <c r="Q172" s="28" t="inlineStr">
        <is>
          <t>POWER ISSUE</t>
        </is>
      </c>
      <c r="R172" s="29" t="inlineStr">
        <is>
          <t>AKTIVCO Defaut GE &amp; Power Cabinet</t>
        </is>
      </c>
      <c r="S172" s="28" t="inlineStr">
        <is>
          <t>PASSIVE</t>
        </is>
      </c>
      <c r="T172" s="29" t="inlineStr">
        <is>
          <t>(04/27/2026 incident ) :impacted by impacted by  LIT_666_Z_Parcours-Vita(LIT-666), probleme d'energie || Action : RCA CAMUSAT attentdu..;..;(04/27/2026 cell zte):-27/04/2026 : Besoin d'analyse BO RAN..;..;(04/27/2026 ticket):-INC-20260427-00010684…2026-04-27 16:07:27…Remplacement du démarreur GE…Remplacement du démarreur GE par notre technicien…Others…le démarreur du GE est passé HS ce qui à cause l'arret du GE</t>
        </is>
      </c>
    </row>
    <row r="173" ht="18.75" customHeight="1">
      <c r="A173" s="14" t="n">
        <v>46139</v>
      </c>
      <c r="B173" s="23" t="inlineStr">
        <is>
          <t>Nkan</t>
        </is>
      </c>
      <c r="C173" s="21" t="inlineStr">
        <is>
          <t>LIT_514</t>
        </is>
      </c>
      <c r="D173" s="53" t="inlineStr">
        <is>
          <t>LITTORAL</t>
        </is>
      </c>
      <c r="E173" s="23" t="inlineStr">
        <is>
          <t>IHS</t>
        </is>
      </c>
      <c r="F173" s="23" t="inlineStr">
        <is>
          <t>Hybrid-Gen</t>
        </is>
      </c>
      <c r="G173" s="53" t="inlineStr">
        <is>
          <t>LITTORAL</t>
        </is>
      </c>
      <c r="H173" s="23" t="inlineStr">
        <is>
          <t>Nkan</t>
        </is>
      </c>
      <c r="I173" s="56" t="inlineStr">
        <is>
          <t>NOKIA</t>
        </is>
      </c>
      <c r="J173" s="25" t="n">
        <v>12.64043259834778</v>
      </c>
      <c r="K173" s="25" t="n">
        <v>5.64226814025997</v>
      </c>
      <c r="L173" s="25" t="n">
        <v>0</v>
      </c>
      <c r="M173" s="25" t="n">
        <v>3.699227099046037</v>
      </c>
      <c r="N173" s="68" t="inlineStr">
        <is>
          <t>Operationnel</t>
        </is>
      </c>
      <c r="O173" s="27" t="n"/>
      <c r="P173" s="28" t="inlineStr">
        <is>
          <t>IHS</t>
        </is>
      </c>
      <c r="Q173" s="28" t="inlineStr">
        <is>
          <t>POWER ISSUE</t>
        </is>
      </c>
      <c r="R173" s="29" t="inlineStr">
        <is>
          <t>Defaut GE &amp; Power Cabinet</t>
        </is>
      </c>
      <c r="S173" s="28" t="inlineStr">
        <is>
          <t>PASSIVE</t>
        </is>
      </c>
      <c r="T173" s="29" t="inlineStr">
        <is>
          <t>(04/27/2026 incident ) :impacted by  LIT_138_Z_Sackbayeme(LIT-138) ,defaut , Disjoncteur dans la baie TX  || Action : remplacement ..;..;(04/27/2026 ocm ran 11h):-power status check ongoing..;..;(04/27/2026 ticket):-INC-20260427-00005917…we check the power issue on site to Sackbayeme…Others Transmission equipement fault</t>
        </is>
      </c>
    </row>
    <row r="174" ht="18.75" customHeight="1">
      <c r="A174" s="14" t="n">
        <v>46139</v>
      </c>
      <c r="B174" s="23" t="inlineStr">
        <is>
          <t>Bagarao</t>
        </is>
      </c>
      <c r="C174" s="21" t="inlineStr">
        <is>
          <t>EXN_202</t>
        </is>
      </c>
      <c r="D174" s="53" t="inlineStr">
        <is>
          <t>EXTREME-NORD</t>
        </is>
      </c>
      <c r="E174" s="23" t="inlineStr">
        <is>
          <t>CAMUSAT</t>
        </is>
      </c>
      <c r="F174" s="23" t="inlineStr">
        <is>
          <t>Hybrid Solar - S3</t>
        </is>
      </c>
      <c r="G174" s="53" t="inlineStr">
        <is>
          <t>EXTREME-NORD</t>
        </is>
      </c>
      <c r="H174" s="23" t="inlineStr">
        <is>
          <t>Bagarao</t>
        </is>
      </c>
      <c r="I174" s="56" t="inlineStr">
        <is>
          <t>NOKIA</t>
        </is>
      </c>
      <c r="J174" s="25" t="n">
        <v>12.2031731472489</v>
      </c>
      <c r="K174" s="25" t="n">
        <v>5.197672161221147</v>
      </c>
      <c r="L174" s="25" t="n">
        <v>0</v>
      </c>
      <c r="M174" s="25" t="n">
        <v>3.487530491716149</v>
      </c>
      <c r="N174" s="68" t="inlineStr">
        <is>
          <t>Insecurity</t>
        </is>
      </c>
      <c r="O174" s="27" t="n"/>
      <c r="P174" s="28" t="inlineStr">
        <is>
          <t>AKTIVCO</t>
        </is>
      </c>
      <c r="Q174" s="28" t="inlineStr">
        <is>
          <t>POWER ISSUE</t>
        </is>
      </c>
      <c r="R174" s="29" t="inlineStr">
        <is>
          <t>AKTIVCO Defaut GE &amp; Power Cabinet</t>
        </is>
      </c>
      <c r="S174" s="28" t="inlineStr">
        <is>
          <t>PASSIVE</t>
        </is>
      </c>
      <c r="T174" s="29" t="inlineStr">
        <is>
          <t>(04/27/2026 incident ) :impacted by bagaroa__G_EXN_202, souci d'energie || Action en attente RCA camusat</t>
        </is>
      </c>
    </row>
    <row r="175" ht="18.75" customHeight="1">
      <c r="A175" s="14" t="n">
        <v>46139</v>
      </c>
      <c r="B175" s="23" t="inlineStr">
        <is>
          <t>Torock-IHS</t>
        </is>
      </c>
      <c r="C175" s="21" t="inlineStr">
        <is>
          <t>EXN_178</t>
        </is>
      </c>
      <c r="D175" s="53" t="inlineStr">
        <is>
          <t>EXTREME-NORD</t>
        </is>
      </c>
      <c r="E175" s="23" t="inlineStr">
        <is>
          <t>IHS</t>
        </is>
      </c>
      <c r="F175" s="23" t="inlineStr">
        <is>
          <t>Solar-Grid-Gen</t>
        </is>
      </c>
      <c r="G175" s="53" t="inlineStr">
        <is>
          <t>EXTREME-NORD</t>
        </is>
      </c>
      <c r="H175" s="23" t="inlineStr">
        <is>
          <t>Torock</t>
        </is>
      </c>
      <c r="I175" s="55" t="inlineStr">
        <is>
          <t>HUAWEI</t>
        </is>
      </c>
      <c r="J175" s="25" t="n">
        <v>0</v>
      </c>
      <c r="K175" s="25" t="n">
        <v>10.28778250388459</v>
      </c>
      <c r="L175" s="25" t="n">
        <v>0</v>
      </c>
      <c r="M175" s="25" t="n">
        <v>3.453727246007083</v>
      </c>
      <c r="N175" s="68" t="inlineStr">
        <is>
          <t>Insecurity</t>
        </is>
      </c>
      <c r="O175" s="27" t="n"/>
      <c r="P175" s="28" t="inlineStr">
        <is>
          <t>IHS</t>
        </is>
      </c>
      <c r="Q175" s="28" t="inlineStr">
        <is>
          <t>POWER ISSUE</t>
        </is>
      </c>
      <c r="R175" s="29" t="inlineStr">
        <is>
          <t>Defaut GE &amp; Power Cabinet</t>
        </is>
      </c>
      <c r="S175" s="28" t="inlineStr">
        <is>
          <t>PASSIVE</t>
        </is>
      </c>
      <c r="T175" s="29" t="inlineStr">
        <is>
          <t>(04/27/2026 incident ) :impacted by EXN_011_N_Kaele  , probleme d'energie , chute de tenssion  U=46v  || Action RCA attendu</t>
        </is>
      </c>
    </row>
    <row r="176" ht="18.75" customHeight="1">
      <c r="A176" s="14" t="n">
        <v>46139</v>
      </c>
      <c r="B176" s="23" t="inlineStr">
        <is>
          <t>Bsadi-ZoneA-New</t>
        </is>
      </c>
      <c r="C176" s="21" t="inlineStr">
        <is>
          <t>LIT_277</t>
        </is>
      </c>
      <c r="D176" s="53" t="inlineStr">
        <is>
          <t>Douala</t>
        </is>
      </c>
      <c r="E176" s="23" t="inlineStr">
        <is>
          <t>IHS</t>
        </is>
      </c>
      <c r="F176" s="23" t="inlineStr">
        <is>
          <t>GridOnly</t>
        </is>
      </c>
      <c r="G176" s="53" t="inlineStr">
        <is>
          <t>LITTORAL</t>
        </is>
      </c>
      <c r="H176" s="23" t="inlineStr">
        <is>
          <t>Douala</t>
        </is>
      </c>
      <c r="I176" s="54" t="inlineStr">
        <is>
          <t>ZTE</t>
        </is>
      </c>
      <c r="J176" s="25" t="n">
        <v>2.680259303222506</v>
      </c>
      <c r="K176" s="25" t="n">
        <v>2.277201464753104</v>
      </c>
      <c r="L176" s="25" t="n">
        <v>4.409584736914683</v>
      </c>
      <c r="M176" s="25" t="n">
        <v>3.446771565463298</v>
      </c>
      <c r="N176" s="68" t="inlineStr">
        <is>
          <t>Operationnel</t>
        </is>
      </c>
      <c r="O176" s="27" t="n"/>
      <c r="P176" s="28" t="inlineStr">
        <is>
          <t>AKTIVCO</t>
        </is>
      </c>
      <c r="Q176" s="28" t="inlineStr">
        <is>
          <t>POWER ISSUE</t>
        </is>
      </c>
      <c r="R176" s="29" t="inlineStr">
        <is>
          <t>AKTIVCO Defaut GE &amp; Power Cabinet</t>
        </is>
      </c>
      <c r="S176" s="28" t="inlineStr">
        <is>
          <t>PASSIVE</t>
        </is>
      </c>
      <c r="T176" s="29" t="inlineStr">
        <is>
          <t>(04/27/2026 incident ) :impacted by impacted by  LIT_666_Z_Parcours-Vita(LIT-666), probleme d'energie || Action : RCA CAMUSAT attentdu..;..;(04/27/2026 ticket):-INC-20260427-00010679…power issue grid outage no backup awaiting grid return …Others Transmission equipement fault</t>
        </is>
      </c>
    </row>
    <row r="177" ht="18.75" customHeight="1">
      <c r="A177" s="14" t="n">
        <v>46139</v>
      </c>
      <c r="B177" s="23" t="inlineStr">
        <is>
          <t>Makepe-Ecole-Sira</t>
        </is>
      </c>
      <c r="C177" s="21" t="inlineStr">
        <is>
          <t>LIT_167</t>
        </is>
      </c>
      <c r="D177" s="53" t="inlineStr">
        <is>
          <t>Douala</t>
        </is>
      </c>
      <c r="E177" s="23" t="inlineStr">
        <is>
          <t>IHS</t>
        </is>
      </c>
      <c r="F177" s="23" t="inlineStr">
        <is>
          <t>Grid-Gen</t>
        </is>
      </c>
      <c r="G177" s="53" t="inlineStr">
        <is>
          <t>LITTORAL</t>
        </is>
      </c>
      <c r="H177" s="23" t="inlineStr">
        <is>
          <t>Douala</t>
        </is>
      </c>
      <c r="I177" s="54" t="inlineStr">
        <is>
          <t>ZTE</t>
        </is>
      </c>
      <c r="J177" s="25" t="n">
        <v>2.679884616460639</v>
      </c>
      <c r="K177" s="25" t="n">
        <v>2.276882707549192</v>
      </c>
      <c r="L177" s="25" t="n">
        <v>3.677013769871756</v>
      </c>
      <c r="M177" s="25" t="n">
        <v>3.064583672199821</v>
      </c>
      <c r="N177" s="68" t="inlineStr">
        <is>
          <t>Operationnel</t>
        </is>
      </c>
      <c r="O177" s="27" t="n"/>
      <c r="P177" s="28" t="inlineStr">
        <is>
          <t>AKTIVCO</t>
        </is>
      </c>
      <c r="Q177" s="28" t="inlineStr">
        <is>
          <t>POWER ISSUE</t>
        </is>
      </c>
      <c r="R177" s="29" t="inlineStr">
        <is>
          <t>AKTIVCO Defaut GE &amp; Power Cabinet</t>
        </is>
      </c>
      <c r="S177" s="28" t="inlineStr">
        <is>
          <t>PASSIVE</t>
        </is>
      </c>
      <c r="T177" s="29" t="inlineStr">
        <is>
          <t>(04/27/2026 incident ) :impacted by impacted by  LIT_666_Z_Parcours-Vita(LIT-666), probleme d'energie || Action : RCA CAMUSAT attentdu..;..;(04/27/2026 ticket):-INC-20260427-00010503…Site impacté par makepe parcours vita qui est un site Grid only.…Others Transmission equipement fault</t>
        </is>
      </c>
    </row>
    <row r="178" ht="18.75" customHeight="1">
      <c r="A178" s="14" t="n">
        <v>46139</v>
      </c>
      <c r="B178" s="23" t="inlineStr">
        <is>
          <t>Makepe-AES</t>
        </is>
      </c>
      <c r="C178" s="21" t="inlineStr">
        <is>
          <t>LIT_357</t>
        </is>
      </c>
      <c r="D178" s="53" t="inlineStr">
        <is>
          <t>Douala</t>
        </is>
      </c>
      <c r="E178" s="23" t="inlineStr">
        <is>
          <t>IHS</t>
        </is>
      </c>
      <c r="F178" s="23" t="inlineStr">
        <is>
          <t>Grid-Gen</t>
        </is>
      </c>
      <c r="G178" s="53" t="inlineStr">
        <is>
          <t>LITTORAL</t>
        </is>
      </c>
      <c r="H178" s="23" t="inlineStr">
        <is>
          <t>Douala</t>
        </is>
      </c>
      <c r="I178" s="54" t="inlineStr">
        <is>
          <t>ZTE</t>
        </is>
      </c>
      <c r="J178" s="25" t="n">
        <v>2.680259303222506</v>
      </c>
      <c r="K178" s="25" t="n">
        <v>2.279432765180493</v>
      </c>
      <c r="L178" s="25" t="n">
        <v>3.673833139622691</v>
      </c>
      <c r="M178" s="25" t="n">
        <v>3.06383459891049</v>
      </c>
      <c r="N178" s="68" t="inlineStr">
        <is>
          <t>Operationnel</t>
        </is>
      </c>
      <c r="O178" s="27" t="n"/>
      <c r="P178" s="28" t="inlineStr">
        <is>
          <t>AKTIVCO</t>
        </is>
      </c>
      <c r="Q178" s="28" t="inlineStr">
        <is>
          <t>POWER ISSUE</t>
        </is>
      </c>
      <c r="R178" s="29" t="inlineStr">
        <is>
          <t>AKTIVCO Defaut GE &amp; Power Cabinet</t>
        </is>
      </c>
      <c r="S178" s="28" t="inlineStr">
        <is>
          <t>PASSIVE</t>
        </is>
      </c>
      <c r="T178" s="29" t="inlineStr">
        <is>
          <t>(04/27/2026 incident ) :impacted by impacted by  LIT_666_Z_Parcours-Vita(LIT-666), probleme d'energie || Action : RCA CAMUSAT attentdu..;..;(04/27/2026 ticket):-INC-20260427-00010687…Site impacté par makepe parcours vita qui est un site Grid only.…Others Transmission equipement fault</t>
        </is>
      </c>
    </row>
    <row r="179" ht="18.75" customHeight="1">
      <c r="A179" s="14" t="n">
        <v>46139</v>
      </c>
      <c r="B179" s="23" t="inlineStr">
        <is>
          <t>GOUZOUGOUI-IHS</t>
        </is>
      </c>
      <c r="C179" s="21" t="inlineStr">
        <is>
          <t>EXN_100</t>
        </is>
      </c>
      <c r="D179" s="53" t="inlineStr">
        <is>
          <t>EXTREME-NORD</t>
        </is>
      </c>
      <c r="E179" s="23" t="inlineStr">
        <is>
          <t>IHS</t>
        </is>
      </c>
      <c r="F179" s="23" t="inlineStr">
        <is>
          <t>Grid-Gen</t>
        </is>
      </c>
      <c r="G179" s="53" t="inlineStr">
        <is>
          <t>EXTREME-NORD</t>
        </is>
      </c>
      <c r="H179" s="23" t="inlineStr">
        <is>
          <t>Kaele</t>
        </is>
      </c>
      <c r="I179" s="56" t="inlineStr">
        <is>
          <t>NOKIA</t>
        </is>
      </c>
      <c r="J179" s="25" t="n">
        <v>5.262850257184994</v>
      </c>
      <c r="K179" s="25" t="n">
        <v>0.3063079990742646</v>
      </c>
      <c r="L179" s="25" t="n">
        <v>2.837293183793095</v>
      </c>
      <c r="M179" s="25" t="n">
        <v>2.333981590678653</v>
      </c>
      <c r="N179" s="68" t="inlineStr">
        <is>
          <t>Insecurity</t>
        </is>
      </c>
      <c r="O179" s="27" t="n"/>
      <c r="P179" s="28" t="inlineStr">
        <is>
          <t>IHS</t>
        </is>
      </c>
      <c r="Q179" s="28" t="inlineStr">
        <is>
          <t>POWER ISSUE</t>
        </is>
      </c>
      <c r="R179" s="29" t="inlineStr">
        <is>
          <t>Defaut GE &amp; Power Cabinet</t>
        </is>
      </c>
      <c r="S179" s="28" t="inlineStr">
        <is>
          <t>PASSIVE</t>
        </is>
      </c>
      <c r="T179" s="29" t="inlineStr">
        <is>
          <t>(04/27/2026 incident ) :impacted by EXN_011_N_Kaele  , probleme d'energie , chute de tenssion  U=46v  || Action RCA attendu..;..;(04/27/2026 ocm ran 17h):-power status check ongoing..;..;(04/27/2026 ticket):-INC-20260427-00013206…Others Transmission equipement fault</t>
        </is>
      </c>
    </row>
    <row r="180" ht="18.75" customHeight="1">
      <c r="A180" s="14" t="n">
        <v>46139</v>
      </c>
      <c r="B180" s="23" t="inlineStr">
        <is>
          <t>Ashum-MTN</t>
        </is>
      </c>
      <c r="C180" s="23" t="inlineStr">
        <is>
          <t>SUO_089</t>
        </is>
      </c>
      <c r="D180" s="53" t="inlineStr">
        <is>
          <t>SUD-OUEST</t>
        </is>
      </c>
      <c r="E180" s="23" t="inlineStr">
        <is>
          <t>IHS</t>
        </is>
      </c>
      <c r="F180" s="23" t="inlineStr">
        <is>
          <t>Gen Only</t>
        </is>
      </c>
      <c r="G180" s="53" t="inlineStr">
        <is>
          <t>SUD-OUEST</t>
        </is>
      </c>
      <c r="H180" s="23" t="inlineStr">
        <is>
          <t>Ashum</t>
        </is>
      </c>
      <c r="I180" s="55" t="inlineStr">
        <is>
          <t>HUAWEI</t>
        </is>
      </c>
      <c r="J180" s="25" t="n">
        <v>0</v>
      </c>
      <c r="K180" s="25" t="n">
        <v>5.793784064519858</v>
      </c>
      <c r="L180" s="25" t="n">
        <v>0</v>
      </c>
      <c r="M180" s="25" t="n">
        <v>1.945040136060246</v>
      </c>
      <c r="N180" s="68" t="inlineStr">
        <is>
          <t>Operationnel</t>
        </is>
      </c>
      <c r="O180" s="27" t="n"/>
      <c r="P180" s="28" t="inlineStr">
        <is>
          <t>BSS</t>
        </is>
      </c>
      <c r="Q180" s="28" t="inlineStr">
        <is>
          <t>RAN ISSUE</t>
        </is>
      </c>
      <c r="R180" s="29" t="inlineStr">
        <is>
          <t>BSS Hardware issue</t>
        </is>
      </c>
      <c r="S180" s="28" t="inlineStr">
        <is>
          <t>ACTIVE</t>
        </is>
      </c>
      <c r="T180" s="29" t="inlineStr">
        <is>
          <t>(04/27/2026 ocm ran 17h):-Impacted by SUO_040_H_Tinto..;..;(04/27/2026 ocm ran 11h):-power status check ongoing</t>
        </is>
      </c>
    </row>
    <row r="181" ht="18.75" customHeight="1">
      <c r="A181" s="14" t="n">
        <v>46139</v>
      </c>
      <c r="B181" s="23" t="inlineStr">
        <is>
          <t>Guili-Centre-IHS</t>
        </is>
      </c>
      <c r="C181" s="21" t="inlineStr">
        <is>
          <t>EXN_173</t>
        </is>
      </c>
      <c r="D181" s="53" t="inlineStr">
        <is>
          <t>EXTREME-NORD</t>
        </is>
      </c>
      <c r="E181" s="23" t="inlineStr">
        <is>
          <t>IHS</t>
        </is>
      </c>
      <c r="F181" s="23" t="inlineStr">
        <is>
          <t>Grid-Gen</t>
        </is>
      </c>
      <c r="G181" s="53" t="inlineStr">
        <is>
          <t>EXTREME-NORD</t>
        </is>
      </c>
      <c r="H181" s="23" t="inlineStr">
        <is>
          <t>Guili</t>
        </is>
      </c>
      <c r="I181" s="56" t="inlineStr">
        <is>
          <t>NOKIA</t>
        </is>
      </c>
      <c r="J181" s="25" t="n">
        <v>4.592785431379367</v>
      </c>
      <c r="K181" s="25" t="n">
        <v>1.961646370480805</v>
      </c>
      <c r="L181" s="25" t="n">
        <v>0</v>
      </c>
      <c r="M181" s="25" t="n">
        <v>1.314396647197587</v>
      </c>
      <c r="N181" s="68" t="inlineStr">
        <is>
          <t>Insecurity</t>
        </is>
      </c>
      <c r="O181" s="27" t="n"/>
      <c r="P181" s="28" t="inlineStr">
        <is>
          <t>AKTIVCO</t>
        </is>
      </c>
      <c r="Q181" s="28" t="inlineStr">
        <is>
          <t>POWER ISSUE</t>
        </is>
      </c>
      <c r="R181" s="29" t="inlineStr">
        <is>
          <t>AKTIVCO Defaut GE &amp; Power Cabinet</t>
        </is>
      </c>
      <c r="S181" s="28" t="inlineStr">
        <is>
          <t>PASSIVE</t>
        </is>
      </c>
      <c r="T181" s="29" t="inlineStr">
        <is>
          <t>(04/27/2026 ticket):-INC-20260427-00001155…impacté par mazavou…Others Transmission equipement fault</t>
        </is>
      </c>
    </row>
    <row r="182" ht="18.75" customHeight="1">
      <c r="A182" s="14" t="n">
        <v>46139</v>
      </c>
      <c r="B182" s="23" t="inlineStr">
        <is>
          <t>Boukoula-IHS</t>
        </is>
      </c>
      <c r="C182" s="23" t="inlineStr">
        <is>
          <t>NRD_014</t>
        </is>
      </c>
      <c r="D182" s="53" t="inlineStr">
        <is>
          <t>EXTREME-NORD</t>
        </is>
      </c>
      <c r="E182" s="23" t="inlineStr">
        <is>
          <t>IHS</t>
        </is>
      </c>
      <c r="F182" s="23" t="inlineStr">
        <is>
          <t>Grid-Gen</t>
        </is>
      </c>
      <c r="G182" s="53" t="inlineStr">
        <is>
          <t>NORD</t>
        </is>
      </c>
      <c r="H182" s="23" t="inlineStr">
        <is>
          <t>Boukoula</t>
        </is>
      </c>
      <c r="I182" s="56" t="inlineStr">
        <is>
          <t>NOKIA</t>
        </is>
      </c>
      <c r="J182" s="25" t="n">
        <v>4.581170141761487</v>
      </c>
      <c r="K182" s="25" t="n">
        <v>1.964302987992291</v>
      </c>
      <c r="L182" s="25" t="n">
        <v>0</v>
      </c>
      <c r="M182" s="25" t="n">
        <v>1.313629842054145</v>
      </c>
      <c r="N182" s="68" t="inlineStr">
        <is>
          <t>Operationnel</t>
        </is>
      </c>
      <c r="O182" s="27" t="n"/>
      <c r="P182" s="28" t="inlineStr">
        <is>
          <t>AKTIVCO</t>
        </is>
      </c>
      <c r="Q182" s="28" t="inlineStr">
        <is>
          <t>POWER ISSUE</t>
        </is>
      </c>
      <c r="R182" s="29" t="inlineStr">
        <is>
          <t>AKTIVCO Defaut GE &amp; Power Cabinet</t>
        </is>
      </c>
      <c r="S182" s="28" t="inlineStr">
        <is>
          <t>PASSIVE</t>
        </is>
      </c>
      <c r="T182" s="29" t="inlineStr">
        <is>
          <t>(04/27/2026 incident ) :impacted by..;..;(04/27/2026 ticket):-INC-20260427-00001161…impacté par mazavou…Others Transmission equipement fault || Hello Victorine.
FME manage avec le level 0 qui est sur site et en parallèle il est aussi en chemin ETA 09 :00.…RCA attendu de CAMUSAT…Others…Probleme d'energie</t>
        </is>
      </c>
    </row>
    <row r="183" ht="18.75" customHeight="1">
      <c r="A183" s="14" t="n">
        <v>46139</v>
      </c>
      <c r="B183" s="23" t="inlineStr">
        <is>
          <t>Dourbeye</t>
        </is>
      </c>
      <c r="C183" s="23" t="inlineStr">
        <is>
          <t>NRD_057</t>
        </is>
      </c>
      <c r="D183" s="53" t="inlineStr">
        <is>
          <t>NORD</t>
        </is>
      </c>
      <c r="E183" s="23" t="inlineStr">
        <is>
          <t>IHS</t>
        </is>
      </c>
      <c r="F183" s="23" t="inlineStr">
        <is>
          <t>Grid-Gen</t>
        </is>
      </c>
      <c r="G183" s="53" t="inlineStr">
        <is>
          <t>NORD</t>
        </is>
      </c>
      <c r="H183" s="23" t="inlineStr">
        <is>
          <t>Dourbeye</t>
        </is>
      </c>
      <c r="I183" s="56" t="inlineStr">
        <is>
          <t>NOKIA</t>
        </is>
      </c>
      <c r="J183" s="25" t="n">
        <v>4.580170977063175</v>
      </c>
      <c r="K183" s="25" t="n">
        <v>0</v>
      </c>
      <c r="L183" s="25" t="n">
        <v>1.256920911148504</v>
      </c>
      <c r="M183" s="25" t="n">
        <v>1.309517866084168</v>
      </c>
      <c r="N183" s="68" t="inlineStr">
        <is>
          <t>Operationnel</t>
        </is>
      </c>
      <c r="O183" s="27" t="n"/>
      <c r="P183" s="28" t="inlineStr">
        <is>
          <t>AKTIVCO</t>
        </is>
      </c>
      <c r="Q183" s="28" t="inlineStr">
        <is>
          <t>POWER ISSUE</t>
        </is>
      </c>
      <c r="R183" s="29" t="inlineStr">
        <is>
          <t>AKTIVCO Defaut GE &amp; Power Cabinet</t>
        </is>
      </c>
      <c r="S183" s="28" t="inlineStr">
        <is>
          <t>PASSIVE</t>
        </is>
      </c>
      <c r="T183" s="29" t="inlineStr">
        <is>
          <t>(04/27/2026 ticket):-INC-20260427-00001160…impacté par mazavou…Others Transmission equipement fault</t>
        </is>
      </c>
    </row>
    <row r="184" ht="18.75" customHeight="1">
      <c r="A184" s="14" t="n">
        <v>46139</v>
      </c>
      <c r="B184" s="23" t="inlineStr">
        <is>
          <t>Messassi-MTN-IHS</t>
        </is>
      </c>
      <c r="C184" s="23" t="inlineStr">
        <is>
          <t>CTR_468</t>
        </is>
      </c>
      <c r="D184" s="53" t="inlineStr">
        <is>
          <t>Yaounde</t>
        </is>
      </c>
      <c r="E184" s="23" t="inlineStr">
        <is>
          <t>IHS</t>
        </is>
      </c>
      <c r="F184" s="23" t="inlineStr">
        <is>
          <t>Grid-Gen</t>
        </is>
      </c>
      <c r="G184" s="53" t="inlineStr">
        <is>
          <t>CENTRE</t>
        </is>
      </c>
      <c r="H184" s="23" t="inlineStr">
        <is>
          <t>Yaounde</t>
        </is>
      </c>
      <c r="I184" s="54" t="inlineStr">
        <is>
          <t>ZTE</t>
        </is>
      </c>
      <c r="J184" s="25" t="n">
        <v>0.2591583436247298</v>
      </c>
      <c r="K184" s="25" t="n">
        <v>0.1756352193559584</v>
      </c>
      <c r="L184" s="25" t="n">
        <v>2.044666445595763</v>
      </c>
      <c r="M184" s="25" t="n">
        <v>1.162240713631422</v>
      </c>
      <c r="N184" s="68" t="inlineStr">
        <is>
          <t>Operationnel</t>
        </is>
      </c>
      <c r="O184" s="27" t="n"/>
      <c r="P184" s="28" t="inlineStr">
        <is>
          <t>IHS</t>
        </is>
      </c>
      <c r="Q184" s="28" t="inlineStr">
        <is>
          <t>POWER ISSUE</t>
        </is>
      </c>
      <c r="R184" s="29" t="inlineStr">
        <is>
          <t>Defaut GE &amp; Power Cabinet</t>
        </is>
      </c>
      <c r="S184" s="28" t="inlineStr">
        <is>
          <t>PASSIVE</t>
        </is>
      </c>
      <c r="T184" s="29" t="inlineStr">
        <is>
          <t>(04/27/2026 ticket):-INC-20260427-00011232…IMPACTED BY OLEMBE CTR_080…GE Fault</t>
        </is>
      </c>
    </row>
    <row r="185" ht="18.75" customHeight="1">
      <c r="A185" s="14" t="n">
        <v>46139</v>
      </c>
      <c r="B185" s="23" t="inlineStr">
        <is>
          <t>Nkambe-Entrance-IHS</t>
        </is>
      </c>
      <c r="C185" s="23" t="inlineStr">
        <is>
          <t>NRO_090</t>
        </is>
      </c>
      <c r="D185" s="53" t="inlineStr">
        <is>
          <t>NORD-OUEST</t>
        </is>
      </c>
      <c r="E185" s="23" t="inlineStr">
        <is>
          <t>IHS</t>
        </is>
      </c>
      <c r="F185" s="23" t="inlineStr">
        <is>
          <t>Grid-Gen</t>
        </is>
      </c>
      <c r="G185" s="53" t="inlineStr">
        <is>
          <t>NORD-OUEST</t>
        </is>
      </c>
      <c r="H185" s="23" t="inlineStr">
        <is>
          <t>Nkambe</t>
        </is>
      </c>
      <c r="I185" s="56" t="inlineStr">
        <is>
          <t>NOKIA</t>
        </is>
      </c>
      <c r="J185" s="25" t="n">
        <v>2.086755472425053</v>
      </c>
      <c r="K185" s="25" t="n">
        <v>1.042601687798144</v>
      </c>
      <c r="L185" s="25" t="n">
        <v>0.6182121751328991</v>
      </c>
      <c r="M185" s="25" t="n">
        <v>0.9703924765264027</v>
      </c>
      <c r="N185" s="68" t="inlineStr">
        <is>
          <t>Insecurity</t>
        </is>
      </c>
      <c r="O185" s="27" t="n"/>
      <c r="P185" s="28" t="inlineStr">
        <is>
          <t>IHS</t>
        </is>
      </c>
      <c r="Q185" s="28" t="inlineStr">
        <is>
          <t>POWER ISSUE</t>
        </is>
      </c>
      <c r="R185" s="29" t="inlineStr">
        <is>
          <t>Defaut GE &amp; Power Cabinet</t>
        </is>
      </c>
      <c r="S185" s="28" t="inlineStr">
        <is>
          <t>PASSIVE</t>
        </is>
      </c>
      <c r="T185" s="29" t="inlineStr">
        <is>
          <t>(04/27/2026 incident ) :impacted by   NRO_100_H_Bambalang ,   souci de connu , de redresseur . Point deja escaladera HIS par aocm (IHS remonre un probleme d'access du a l'insecurity..;..;(04/27/2026 ticket):-INC-20260427-00013651</t>
        </is>
      </c>
    </row>
    <row r="186" ht="18.75" customHeight="1">
      <c r="A186" s="14" t="n">
        <v>46139</v>
      </c>
      <c r="B186" s="23" t="inlineStr">
        <is>
          <t>Boudva-IHS</t>
        </is>
      </c>
      <c r="C186" s="21" t="inlineStr">
        <is>
          <t>NRD_092</t>
        </is>
      </c>
      <c r="D186" s="53" t="inlineStr">
        <is>
          <t>NORD</t>
        </is>
      </c>
      <c r="E186" s="23" t="inlineStr">
        <is>
          <t>IHS</t>
        </is>
      </c>
      <c r="F186" s="23" t="inlineStr">
        <is>
          <t>Gen Only</t>
        </is>
      </c>
      <c r="G186" s="53" t="inlineStr">
        <is>
          <t>NORD</t>
        </is>
      </c>
      <c r="H186" s="23" t="inlineStr">
        <is>
          <t>Boudva</t>
        </is>
      </c>
      <c r="I186" s="55" t="inlineStr">
        <is>
          <t>HUAWEI</t>
        </is>
      </c>
      <c r="J186" s="25" t="n">
        <v>0</v>
      </c>
      <c r="K186" s="25" t="n">
        <v>2.598986862103084</v>
      </c>
      <c r="L186" s="25" t="n">
        <v>0</v>
      </c>
      <c r="M186" s="25" t="n">
        <v>0.8725098663653252</v>
      </c>
      <c r="N186" s="68" t="inlineStr">
        <is>
          <t>Operationnel</t>
        </is>
      </c>
      <c r="O186" s="27" t="n"/>
      <c r="P186" s="28" t="inlineStr">
        <is>
          <t>IHS</t>
        </is>
      </c>
      <c r="Q186" s="28" t="inlineStr">
        <is>
          <t>POWER ISSUE</t>
        </is>
      </c>
      <c r="R186" s="29" t="inlineStr">
        <is>
          <t>Defaut GE &amp; Power Cabinet</t>
        </is>
      </c>
      <c r="S186" s="28" t="inlineStr">
        <is>
          <t>PASSIVE</t>
        </is>
      </c>
      <c r="T186" s="29" t="inlineStr">
        <is>
          <t>(04/27/2026 incident ) :impacted by EXN_011_N_Kaele  , probleme d'energie , chute de tenssion  U=46v  || Action RCA attendu</t>
        </is>
      </c>
    </row>
    <row r="187" ht="18.75" customHeight="1">
      <c r="A187" s="14" t="n">
        <v>46139</v>
      </c>
      <c r="B187" s="23" t="inlineStr">
        <is>
          <t>Logbong</t>
        </is>
      </c>
      <c r="C187" s="21" t="inlineStr">
        <is>
          <t>LIT_508</t>
        </is>
      </c>
      <c r="D187" s="53" t="inlineStr">
        <is>
          <t>LITTORAL</t>
        </is>
      </c>
      <c r="E187" s="23" t="inlineStr">
        <is>
          <t>IHS</t>
        </is>
      </c>
      <c r="F187" s="53" t="inlineStr">
        <is>
          <t>Grid-Gen</t>
        </is>
      </c>
      <c r="G187" s="53" t="inlineStr">
        <is>
          <t>LITTORAL</t>
        </is>
      </c>
      <c r="H187" s="23" t="inlineStr">
        <is>
          <t>Logbong</t>
        </is>
      </c>
      <c r="I187" s="56" t="inlineStr">
        <is>
          <t>NOKIA</t>
        </is>
      </c>
      <c r="J187" s="25" t="n">
        <v>2.977261009795811</v>
      </c>
      <c r="K187" s="25" t="n">
        <v>1.286185317788181</v>
      </c>
      <c r="L187" s="25" t="n">
        <v>0</v>
      </c>
      <c r="M187" s="25" t="n">
        <v>0.8569398429942383</v>
      </c>
      <c r="N187" s="68" t="inlineStr">
        <is>
          <t>Operationnel</t>
        </is>
      </c>
      <c r="O187" s="27" t="n"/>
      <c r="P187" s="28" t="inlineStr">
        <is>
          <t>IHS</t>
        </is>
      </c>
      <c r="Q187" s="28" t="inlineStr">
        <is>
          <t>POWER ISSUE</t>
        </is>
      </c>
      <c r="R187" s="29" t="inlineStr">
        <is>
          <t>Defaut GE &amp; Power Cabinet</t>
        </is>
      </c>
      <c r="S187" s="28" t="inlineStr">
        <is>
          <t>PASSIVE</t>
        </is>
      </c>
      <c r="T187" s="29" t="inlineStr">
        <is>
          <t>(04/27/2026 incident ) :impacted by  LIT_138_Z_Sackbayeme(LIT-138) ,defaut , Disjoncteur dans la baie TX  || Action : remplacement ..;..;(04/27/2026 cell nokia):-27/04/2026 : Check and replace FRGU || ETA : 28/04/2026 ..;..;(04/27/2026 ocm ran 11h):-power status check ongoing..;..;(04/27/2026 ticket):-INC-20260427-00005633…we check the power issue on site to Sackbayeme…Others Transmission equipement fault</t>
        </is>
      </c>
    </row>
    <row r="188" ht="18.75" customHeight="1">
      <c r="A188" s="14" t="n">
        <v>46139</v>
      </c>
      <c r="B188" s="23" t="inlineStr">
        <is>
          <t>Fotokol-Town-IHS</t>
        </is>
      </c>
      <c r="C188" s="21" t="inlineStr">
        <is>
          <t>EXN_259</t>
        </is>
      </c>
      <c r="D188" s="53" t="inlineStr">
        <is>
          <t>EXTREME-NORD</t>
        </is>
      </c>
      <c r="E188" s="23" t="inlineStr">
        <is>
          <t>IHS</t>
        </is>
      </c>
      <c r="F188" s="23" t="inlineStr">
        <is>
          <t>Hybrid-Gen</t>
        </is>
      </c>
      <c r="G188" s="53" t="inlineStr">
        <is>
          <t>EXTREME-NORD</t>
        </is>
      </c>
      <c r="H188" s="23" t="inlineStr">
        <is>
          <t>Fotokol</t>
        </is>
      </c>
      <c r="I188" s="55" t="inlineStr">
        <is>
          <t>HUAWEI</t>
        </is>
      </c>
      <c r="J188" s="25" t="n">
        <v>0</v>
      </c>
      <c r="K188" s="25" t="n">
        <v>2.291386160327223</v>
      </c>
      <c r="L188" s="25" t="n">
        <v>0</v>
      </c>
      <c r="M188" s="25" t="n">
        <v>0.7692447629076028</v>
      </c>
      <c r="N188" s="68" t="inlineStr">
        <is>
          <t>Insecurity</t>
        </is>
      </c>
      <c r="O188" s="27" t="n"/>
      <c r="P188" s="28" t="inlineStr">
        <is>
          <t>IHS</t>
        </is>
      </c>
      <c r="Q188" s="28" t="inlineStr">
        <is>
          <t>POWER ISSUE</t>
        </is>
      </c>
      <c r="R188" s="29" t="inlineStr">
        <is>
          <t>Defaut GE &amp; Power Cabinet</t>
        </is>
      </c>
      <c r="S188" s="28" t="inlineStr">
        <is>
          <t>PASSIVE</t>
        </is>
      </c>
      <c r="T188" s="29" t="inlineStr">
        <is>
          <t>(04/27/2026 incident ) :impacted by  EXN_013_H_Fotokol, Solar Gen site ,solar outage and DG was is manuel mode  || Action DG start manuely</t>
        </is>
      </c>
    </row>
    <row r="189" ht="18.75" customHeight="1">
      <c r="A189" s="14" t="n">
        <v>46139</v>
      </c>
      <c r="B189" s="23" t="inlineStr">
        <is>
          <t>Kaele-Guiedame</t>
        </is>
      </c>
      <c r="C189" s="21" t="inlineStr">
        <is>
          <t>EXN_095</t>
        </is>
      </c>
      <c r="D189" s="53" t="inlineStr">
        <is>
          <t>EXTREME-NORD</t>
        </is>
      </c>
      <c r="E189" s="23" t="inlineStr">
        <is>
          <t>IHS</t>
        </is>
      </c>
      <c r="F189" s="23" t="inlineStr">
        <is>
          <t>Grid-Gen</t>
        </is>
      </c>
      <c r="G189" s="53" t="inlineStr">
        <is>
          <t>EXTREME-NORD</t>
        </is>
      </c>
      <c r="H189" s="23" t="inlineStr">
        <is>
          <t>Kaele</t>
        </is>
      </c>
      <c r="I189" s="56" t="inlineStr">
        <is>
          <t>NOKIA</t>
        </is>
      </c>
      <c r="J189" s="25" t="n">
        <v>1.432552386205133</v>
      </c>
      <c r="K189" s="25" t="n">
        <v>0.3105585870926416</v>
      </c>
      <c r="L189" s="25" t="n">
        <v>0.3936115434032224</v>
      </c>
      <c r="M189" s="25" t="n">
        <v>0.5140903643303044</v>
      </c>
      <c r="N189" s="68" t="inlineStr">
        <is>
          <t>Insecurity</t>
        </is>
      </c>
      <c r="O189" s="27" t="n"/>
      <c r="P189" s="28" t="inlineStr">
        <is>
          <t>IHS</t>
        </is>
      </c>
      <c r="Q189" s="28" t="inlineStr">
        <is>
          <t>POWER ISSUE</t>
        </is>
      </c>
      <c r="R189" s="29" t="inlineStr">
        <is>
          <t>Defaut GE &amp; Power Cabinet</t>
        </is>
      </c>
      <c r="S189" s="28" t="inlineStr">
        <is>
          <t>PASSIVE</t>
        </is>
      </c>
      <c r="T189" s="29" t="inlineStr">
        <is>
          <t>(04/27/2026 incident ) :impacted by EXN_011_N_Kaele  , probleme d'energie , chute de tenssion  U=46v  || Action RCA attendu..;..;(04/27/2026 ticket):-INC-20260427-00013172…Others Transmission equipement fault</t>
        </is>
      </c>
    </row>
    <row r="190" ht="18.75" customHeight="1">
      <c r="A190" s="14" t="n">
        <v>46139</v>
      </c>
      <c r="B190" s="23" t="inlineStr">
        <is>
          <t>Kaele</t>
        </is>
      </c>
      <c r="C190" s="21" t="inlineStr">
        <is>
          <t>EXN_011</t>
        </is>
      </c>
      <c r="D190" s="53" t="inlineStr">
        <is>
          <t>EXTREME-NORD</t>
        </is>
      </c>
      <c r="E190" s="23" t="inlineStr">
        <is>
          <t>IHS</t>
        </is>
      </c>
      <c r="F190" s="23" t="inlineStr">
        <is>
          <t>Grid-Gen</t>
        </is>
      </c>
      <c r="G190" s="53" t="inlineStr">
        <is>
          <t>EXTREME-NORD</t>
        </is>
      </c>
      <c r="H190" s="23" t="inlineStr">
        <is>
          <t>Kaele</t>
        </is>
      </c>
      <c r="I190" s="56" t="inlineStr">
        <is>
          <t>NOKIA</t>
        </is>
      </c>
      <c r="J190" s="25" t="n">
        <v>1.597789248188514</v>
      </c>
      <c r="K190" s="25" t="n">
        <v>0.5921180478448458</v>
      </c>
      <c r="L190" s="25" t="n">
        <v>0</v>
      </c>
      <c r="M190" s="25" t="n">
        <v>0.4269450150752874</v>
      </c>
      <c r="N190" s="68" t="inlineStr">
        <is>
          <t>Insecurity</t>
        </is>
      </c>
      <c r="O190" s="27" t="n"/>
      <c r="P190" s="28" t="inlineStr">
        <is>
          <t>IHS</t>
        </is>
      </c>
      <c r="Q190" s="28" t="inlineStr">
        <is>
          <t>POWER ISSUE</t>
        </is>
      </c>
      <c r="R190" s="29" t="inlineStr">
        <is>
          <t>Defaut GE &amp; Power Cabinet</t>
        </is>
      </c>
      <c r="S190" s="28" t="inlineStr">
        <is>
          <t>PASSIVE</t>
        </is>
      </c>
      <c r="T190" s="29" t="inlineStr">
        <is>
          <t>(04/27/2026 incident ) :impacted by EXN_011_N_Kaele  , probleme d'energie , chute de tenssion  U=46v  || Action RCA attendu..;..;(04/27/2026 ticket):-INC-20260427-00013035…2026-04-27 18:56:06…	Bad grid voltage, Gen failed to start. // Grid switched off and Manual start of Gen.…IHS…Others…Probleme energie, chute de tension, U:46V</t>
        </is>
      </c>
    </row>
    <row r="191" ht="18.75" customHeight="1">
      <c r="A191" s="14" t="n">
        <v>46139</v>
      </c>
      <c r="B191" s="23" t="inlineStr">
        <is>
          <t>Magada-IHS</t>
        </is>
      </c>
      <c r="C191" s="21" t="inlineStr">
        <is>
          <t>EXN_128</t>
        </is>
      </c>
      <c r="D191" s="53" t="inlineStr">
        <is>
          <t>EXTREME-NORD</t>
        </is>
      </c>
      <c r="E191" s="23" t="inlineStr">
        <is>
          <t>IHS</t>
        </is>
      </c>
      <c r="F191" s="23" t="inlineStr">
        <is>
          <t>Gen Only</t>
        </is>
      </c>
      <c r="G191" s="53" t="inlineStr">
        <is>
          <t>EXTREME-NORD</t>
        </is>
      </c>
      <c r="H191" s="23" t="inlineStr">
        <is>
          <t>Magada</t>
        </is>
      </c>
      <c r="I191" s="56" t="inlineStr">
        <is>
          <t>NOKIA</t>
        </is>
      </c>
      <c r="J191" s="25" t="n">
        <v>0.6977916461837903</v>
      </c>
      <c r="K191" s="25" t="n">
        <v>0.3028543963093329</v>
      </c>
      <c r="L191" s="25" t="n">
        <v>0.3846510581854232</v>
      </c>
      <c r="M191" s="25" t="n">
        <v>0.401907422363686</v>
      </c>
      <c r="N191" s="68" t="inlineStr">
        <is>
          <t>Insecurity</t>
        </is>
      </c>
      <c r="O191" s="27" t="n"/>
      <c r="P191" s="28" t="inlineStr">
        <is>
          <t>IHS</t>
        </is>
      </c>
      <c r="Q191" s="28" t="inlineStr">
        <is>
          <t>POWER ISSUE</t>
        </is>
      </c>
      <c r="R191" s="29" t="inlineStr">
        <is>
          <t>Defaut GE &amp; Power Cabinet</t>
        </is>
      </c>
      <c r="S191" s="28" t="inlineStr">
        <is>
          <t>PASSIVE</t>
        </is>
      </c>
      <c r="T191" s="29" t="inlineStr">
        <is>
          <t>(04/27/2026 incident ) :impacted by EXN_011_N_Kaele  , probleme d'energie , chute de tenssion  U=46v  || Action RCA attendu</t>
        </is>
      </c>
    </row>
    <row r="192" ht="18.75" customHeight="1">
      <c r="A192" s="14" t="n">
        <v>46139</v>
      </c>
      <c r="B192" s="23" t="inlineStr">
        <is>
          <t>Kaele-MTN-IHS</t>
        </is>
      </c>
      <c r="C192" s="21" t="inlineStr">
        <is>
          <t>EXN_160</t>
        </is>
      </c>
      <c r="D192" s="53" t="inlineStr">
        <is>
          <t>EXTREME-NORD</t>
        </is>
      </c>
      <c r="E192" s="23" t="inlineStr">
        <is>
          <t>IHS</t>
        </is>
      </c>
      <c r="F192" s="23" t="inlineStr">
        <is>
          <t>Grid-Gen</t>
        </is>
      </c>
      <c r="G192" s="53" t="inlineStr">
        <is>
          <t>EXTREME-NORD</t>
        </is>
      </c>
      <c r="H192" s="23" t="inlineStr">
        <is>
          <t>Kaele</t>
        </is>
      </c>
      <c r="I192" s="56" t="inlineStr">
        <is>
          <t>NOKIA</t>
        </is>
      </c>
      <c r="J192" s="25" t="n">
        <v>1.390087886526864</v>
      </c>
      <c r="K192" s="25" t="n">
        <v>0.5074139446937083</v>
      </c>
      <c r="L192" s="25" t="n">
        <v>0</v>
      </c>
      <c r="M192" s="25" t="n">
        <v>0.3688491354270987</v>
      </c>
      <c r="N192" s="68" t="inlineStr">
        <is>
          <t>Insecurity</t>
        </is>
      </c>
      <c r="O192" s="27" t="n"/>
      <c r="P192" s="28" t="inlineStr">
        <is>
          <t>IHS</t>
        </is>
      </c>
      <c r="Q192" s="28" t="inlineStr">
        <is>
          <t>POWER ISSUE</t>
        </is>
      </c>
      <c r="R192" s="29" t="inlineStr">
        <is>
          <t>Defaut GE &amp; Power Cabinet</t>
        </is>
      </c>
      <c r="S192" s="28" t="inlineStr">
        <is>
          <t>PASSIVE</t>
        </is>
      </c>
      <c r="T192" s="29" t="inlineStr">
        <is>
          <t>(04/27/2026 incident ) :impacted by EXN_011_N_Kaele  , probleme d'energie , chute de tenssion  U=46v  || Action RCA attendu..;..;(04/27/2026 ticket):-INC-20260427-00013040…Others Transmission equipement fault</t>
        </is>
      </c>
    </row>
    <row r="193" ht="18.75" customHeight="1">
      <c r="A193" s="14" t="n">
        <v>46139</v>
      </c>
      <c r="B193" s="23" t="inlineStr">
        <is>
          <t>Matafal</t>
        </is>
      </c>
      <c r="C193" s="21" t="inlineStr">
        <is>
          <t>EXN_207</t>
        </is>
      </c>
      <c r="D193" s="53" t="inlineStr">
        <is>
          <t>EXTREME-NORD</t>
        </is>
      </c>
      <c r="E193" s="23" t="inlineStr">
        <is>
          <t>IHS</t>
        </is>
      </c>
      <c r="F193" s="23" t="inlineStr">
        <is>
          <t>Hybrid-Gen</t>
        </is>
      </c>
      <c r="G193" s="53" t="inlineStr">
        <is>
          <t>EXTREME-NORD</t>
        </is>
      </c>
      <c r="H193" s="23" t="inlineStr">
        <is>
          <t>Matafal</t>
        </is>
      </c>
      <c r="I193" s="56" t="inlineStr">
        <is>
          <t>NOKIA</t>
        </is>
      </c>
      <c r="J193" s="25" t="n">
        <v>1.455907861028181</v>
      </c>
      <c r="K193" s="25" t="n">
        <v>0.302323072807036</v>
      </c>
      <c r="L193" s="25" t="n">
        <v>0</v>
      </c>
      <c r="M193" s="25" t="n">
        <v>0.3093968504865127</v>
      </c>
      <c r="N193" s="68" t="inlineStr">
        <is>
          <t>Insecurity</t>
        </is>
      </c>
      <c r="O193" s="27" t="n"/>
      <c r="P193" s="28" t="inlineStr">
        <is>
          <t>IHS</t>
        </is>
      </c>
      <c r="Q193" s="28" t="inlineStr">
        <is>
          <t>POWER ISSUE</t>
        </is>
      </c>
      <c r="R193" s="29" t="inlineStr">
        <is>
          <t>Defaut GE &amp; Power Cabinet</t>
        </is>
      </c>
      <c r="S193" s="28" t="inlineStr">
        <is>
          <t>PASSIVE</t>
        </is>
      </c>
      <c r="T193" s="29" t="inlineStr">
        <is>
          <t>(04/27/2026 incident ) :impacted by EXN_011_N_Kaele  , probleme d'energie , chute de tenssion  U=46v  || Action RCA attendu..;..;(04/27/2026 ocm ran 17h):-power status check ongoing</t>
        </is>
      </c>
    </row>
    <row r="194" ht="18.75" customHeight="1">
      <c r="A194" s="14" t="n">
        <v>46139</v>
      </c>
      <c r="B194" s="23" t="inlineStr">
        <is>
          <t>Kong-Kong-IHS</t>
        </is>
      </c>
      <c r="C194" s="21" t="inlineStr">
        <is>
          <t>NRD_070</t>
        </is>
      </c>
      <c r="D194" s="53" t="inlineStr">
        <is>
          <t>NORD</t>
        </is>
      </c>
      <c r="E194" s="23" t="inlineStr">
        <is>
          <t>IHS</t>
        </is>
      </c>
      <c r="F194" s="23" t="inlineStr">
        <is>
          <t>Solar-Gen</t>
        </is>
      </c>
      <c r="G194" s="53" t="inlineStr">
        <is>
          <t>NORD</t>
        </is>
      </c>
      <c r="H194" s="23" t="inlineStr">
        <is>
          <t>KongKong</t>
        </is>
      </c>
      <c r="I194" s="56" t="inlineStr">
        <is>
          <t>NOKIA</t>
        </is>
      </c>
      <c r="J194" s="25" t="n">
        <v>0.6972920638346343</v>
      </c>
      <c r="K194" s="25" t="n">
        <v>0.3025887345581845</v>
      </c>
      <c r="L194" s="25" t="n">
        <v>0.1921374273037886</v>
      </c>
      <c r="M194" s="25" t="n">
        <v>0.3013532404877876</v>
      </c>
      <c r="N194" s="68" t="inlineStr">
        <is>
          <t>Operationnel</t>
        </is>
      </c>
      <c r="O194" s="27" t="n"/>
      <c r="P194" s="28" t="inlineStr">
        <is>
          <t>IHS</t>
        </is>
      </c>
      <c r="Q194" s="28" t="inlineStr">
        <is>
          <t>POWER ISSUE</t>
        </is>
      </c>
      <c r="R194" s="29" t="inlineStr">
        <is>
          <t>Defaut GE &amp; Power Cabinet</t>
        </is>
      </c>
      <c r="S194" s="28" t="inlineStr">
        <is>
          <t>PASSIVE</t>
        </is>
      </c>
      <c r="T194" s="29" t="inlineStr">
        <is>
          <t>(04/27/2026 incident ) :impacted by EXN_011_N_Kaele  , probleme d'energie , chute de tenssion  U=46v  || Action RCA attendu..;..;(04/27/2026 ocm ran 17h):-power status check ongoing..;..;(04/27/2026 ticket):-INC-20260427-00013270…Others Transmission equipement fault</t>
        </is>
      </c>
    </row>
    <row r="195" ht="18.75" customHeight="1">
      <c r="A195" s="14" t="n">
        <v>46139</v>
      </c>
      <c r="B195" s="23" t="inlineStr">
        <is>
          <t>Nji-Camtel</t>
        </is>
      </c>
      <c r="C195" s="21" t="inlineStr">
        <is>
          <t>CTR_139</t>
        </is>
      </c>
      <c r="D195" s="53" t="inlineStr">
        <is>
          <t>CENTRE</t>
        </is>
      </c>
      <c r="E195" s="23" t="inlineStr">
        <is>
          <t>CAMUSAT</t>
        </is>
      </c>
      <c r="F195" s="23" t="inlineStr">
        <is>
          <t>Hybrid Solar - S3</t>
        </is>
      </c>
      <c r="G195" s="53" t="inlineStr">
        <is>
          <t>CENTRE</t>
        </is>
      </c>
      <c r="H195" s="23" t="inlineStr">
        <is>
          <t>Nji</t>
        </is>
      </c>
      <c r="I195" s="54" t="inlineStr">
        <is>
          <t>ZTE</t>
        </is>
      </c>
      <c r="J195" s="25" t="n">
        <v>0</v>
      </c>
      <c r="K195" s="25" t="n">
        <v>0</v>
      </c>
      <c r="L195" s="25" t="n">
        <v>0</v>
      </c>
      <c r="M195" s="25" t="n">
        <v>0</v>
      </c>
      <c r="N195" s="68" t="inlineStr">
        <is>
          <t>EXCLU</t>
        </is>
      </c>
      <c r="O195" s="27" t="n"/>
      <c r="P195" s="28" t="inlineStr">
        <is>
          <t>Exclu</t>
        </is>
      </c>
      <c r="Q195" s="28" t="inlineStr">
        <is>
          <t>Exclu</t>
        </is>
      </c>
      <c r="R195" s="29" t="inlineStr">
        <is>
          <t>EXCLU</t>
        </is>
      </c>
      <c r="S195" s="28" t="inlineStr">
        <is>
          <t>Exclu</t>
        </is>
      </c>
      <c r="T195" s="29" t="inlineStr">
        <is>
          <t>(04/27/2026 incident ) :impacted by CTR_139_Z_Nji-Camtel(CTR-139), probleme d'energie || Action : RCA CAMUSAT attentdu..;..;(04/27/2026 ocm ran 17h):-power status check ongoing</t>
        </is>
      </c>
    </row>
    <row r="196" ht="18.75" customHeight="1">
      <c r="A196" s="14" t="n">
        <v>46139</v>
      </c>
      <c r="B196" s="23" t="inlineStr">
        <is>
          <t>Fotokol</t>
        </is>
      </c>
      <c r="C196" s="21" t="inlineStr">
        <is>
          <t>EXN_013</t>
        </is>
      </c>
      <c r="D196" s="53" t="inlineStr">
        <is>
          <t>EXTREME-NORD</t>
        </is>
      </c>
      <c r="E196" s="23" t="inlineStr">
        <is>
          <t>IHS</t>
        </is>
      </c>
      <c r="F196" s="23" t="inlineStr">
        <is>
          <t>Solar-Gen</t>
        </is>
      </c>
      <c r="G196" s="53" t="inlineStr">
        <is>
          <t>EXTREME-NORD</t>
        </is>
      </c>
      <c r="H196" s="23" t="inlineStr">
        <is>
          <t>Fotokol</t>
        </is>
      </c>
      <c r="I196" s="56" t="inlineStr">
        <is>
          <t>NOKIA</t>
        </is>
      </c>
      <c r="J196" s="25" t="n">
        <v>0</v>
      </c>
      <c r="K196" s="25" t="n">
        <v>0</v>
      </c>
      <c r="L196" s="25" t="n">
        <v>0</v>
      </c>
      <c r="M196" s="25" t="n">
        <v>0</v>
      </c>
      <c r="N196" s="68" t="inlineStr">
        <is>
          <t>Insecurity</t>
        </is>
      </c>
      <c r="O196" s="27" t="n"/>
      <c r="P196" s="28" t="inlineStr">
        <is>
          <t>IHS</t>
        </is>
      </c>
      <c r="Q196" s="28" t="inlineStr">
        <is>
          <t>POWER ISSUE</t>
        </is>
      </c>
      <c r="R196" s="29" t="inlineStr">
        <is>
          <t>Defaut GE &amp; Power Cabinet</t>
        </is>
      </c>
      <c r="S196" s="28" t="inlineStr">
        <is>
          <t>PASSIVE</t>
        </is>
      </c>
      <c r="T196" s="29" t="inlineStr">
        <is>
          <t>(04/27/2026 incident ) :impacted by  EXN_013_H_Fotokol, Solar Gen site ,solar outage and DG was is manuel mode  || Action DG start manuely</t>
        </is>
      </c>
    </row>
    <row r="197" ht="18.75" customHeight="1">
      <c r="A197" s="14" t="n">
        <v>46139</v>
      </c>
      <c r="B197" s="23" t="inlineStr">
        <is>
          <t>Ndokoa-IHS</t>
        </is>
      </c>
      <c r="C197" s="21" t="inlineStr">
        <is>
          <t>CTR_757</t>
        </is>
      </c>
      <c r="D197" s="53" t="inlineStr">
        <is>
          <t>CENTRE</t>
        </is>
      </c>
      <c r="E197" s="23" t="inlineStr">
        <is>
          <t>IHS</t>
        </is>
      </c>
      <c r="F197" s="23" t="inlineStr">
        <is>
          <t>Solar-Gen-Lithium</t>
        </is>
      </c>
      <c r="G197" s="53" t="inlineStr">
        <is>
          <t>CENTRE</t>
        </is>
      </c>
      <c r="H197" s="23" t="inlineStr">
        <is>
          <t>Ndokoa</t>
        </is>
      </c>
      <c r="I197" s="54" t="inlineStr">
        <is>
          <t>ZTE</t>
        </is>
      </c>
      <c r="J197" s="25" t="n">
        <v>0</v>
      </c>
      <c r="K197" s="25" t="n">
        <v>0</v>
      </c>
      <c r="L197" s="25" t="n">
        <v>0</v>
      </c>
      <c r="M197" s="25" t="n">
        <v>0</v>
      </c>
      <c r="N197" s="68" t="inlineStr">
        <is>
          <t>Operationnel</t>
        </is>
      </c>
      <c r="O197" s="27" t="n"/>
      <c r="P197" s="28" t="inlineStr">
        <is>
          <t>ACCESS-ISSUE</t>
        </is>
      </c>
      <c r="Q197" s="28" t="inlineStr">
        <is>
          <t>ACCESS-ISSUE</t>
        </is>
      </c>
      <c r="R197" s="29" t="inlineStr">
        <is>
          <t>ACCESS-ISSUE</t>
        </is>
      </c>
      <c r="S197" s="28" t="inlineStr">
        <is>
          <t>ACCESS-ISSUE</t>
        </is>
      </c>
      <c r="T197" s="29" t="inlineStr">
        <is>
          <t>(04/27/2026 ocm ran 17h):-Impacted by CTR_699_N_Batchenga-Nachtigal-IHS (TX issue)..;..;(04/27/2026 ocm ran 11h):-Impacted by CTR_699_N_Batchenga-Nachtigal-IHS (TX issue)</t>
        </is>
      </c>
    </row>
    <row r="198" ht="18.75" customHeight="1">
      <c r="A198" s="14" t="n">
        <v>46139</v>
      </c>
      <c r="B198" s="23" t="inlineStr">
        <is>
          <t>Abuh</t>
        </is>
      </c>
      <c r="C198" s="21" t="inlineStr">
        <is>
          <t>NRO_079</t>
        </is>
      </c>
      <c r="D198" s="53" t="inlineStr">
        <is>
          <t>NORD-OUEST</t>
        </is>
      </c>
      <c r="E198" s="23" t="inlineStr">
        <is>
          <t>IHS</t>
        </is>
      </c>
      <c r="F198" s="23" t="inlineStr">
        <is>
          <t>Hybrid-Gen</t>
        </is>
      </c>
      <c r="G198" s="53" t="inlineStr">
        <is>
          <t>NORD-OUEST</t>
        </is>
      </c>
      <c r="H198" s="23" t="inlineStr">
        <is>
          <t>Abuh</t>
        </is>
      </c>
      <c r="I198" s="56" t="inlineStr">
        <is>
          <t>NOKIA</t>
        </is>
      </c>
      <c r="J198" s="25" t="n">
        <v>0</v>
      </c>
      <c r="K198" s="25" t="n">
        <v>0</v>
      </c>
      <c r="L198" s="25" t="n">
        <v>0</v>
      </c>
      <c r="M198" s="25" t="n">
        <v>0</v>
      </c>
      <c r="N198" s="68" t="inlineStr">
        <is>
          <t>Insecurity</t>
        </is>
      </c>
      <c r="O198" s="27" t="n"/>
      <c r="P198" s="28" t="inlineStr">
        <is>
          <t>ACCESS-ISSUE</t>
        </is>
      </c>
      <c r="Q198" s="28" t="inlineStr">
        <is>
          <t>ACCESS-ISSUE</t>
        </is>
      </c>
      <c r="R198" s="29" t="inlineStr">
        <is>
          <t>ACCESS-ISSUE</t>
        </is>
      </c>
      <c r="S198" s="28" t="inlineStr">
        <is>
          <t>ACCESS-ISSUE</t>
        </is>
      </c>
      <c r="T198" s="29" t="inlineStr">
        <is>
          <t>(04/27/2026 ocm ran 17h):-27.04.26; Access banned by Separatist
25/04/2026 Retour fme :  Je suis bloqué à Fundong depuis ce matin. Les routes qui mènent hors de Fundong sont bloquées, je ne peux donc pas continuer.
24.04.26; MRBTS2 down. FME Jeremiah will be on site this 25.04.26
Impacted by NRO_047_N_Bafmeng (TX issue)
16/04/2026 access not granted for this site for now we keep trying ESCLADE FM THEOPHILE PLAN TO 18/04/2026
16/04/2026 access not granted for this site for now we keep trying ESCLADE FM THEOPHILE
15/04/2026 access not granted for this site for now we keep trying
14/04/2026 RED ZONE negociation d'accès en cours 
13/04/2026 Besoin d"un FME sur site pour verifier l'interco MPR et BTS S1P3 FME activé zone rouge manage avec level 0..;..;(04/27/2026 ocm ran 11h):-27.04.26; Access banned by Separatist
25/04/2026 Retour fme :  Je suis bloqué à Fundong depuis ce matin. Les routes qui mènent hors de Fundong sont bloquées, je ne peux donc pas continuer.
24.04.26; MRBTS2 down. FME Jeremiah will be on site this 25.04.26
Impacted by NRO_047_N_Bafmeng (TX issue)
16/04/2026 access not granted for this site for now we keep trying ESCLADE FM THEOPHILE PLAN TO 18/04/2026
16/04/2026 access not granted for this site for now we keep trying ESCLADE FM THEOPHILE
15/04/2026 access not granted for this site for now we keep trying
14/04/2026 RED ZONE negociation d'accès en cours 
13/04/2026 Besoin d"un FME sur site pour verifier l'interco MPR et BTS S1P3 FME activé zone rouge manage avec level 0</t>
        </is>
      </c>
    </row>
    <row r="199" ht="18.75" customHeight="1">
      <c r="A199" s="14" t="n">
        <v>46139</v>
      </c>
      <c r="B199" s="23" t="inlineStr">
        <is>
          <t>Pella</t>
        </is>
      </c>
      <c r="C199" s="21" t="inlineStr">
        <is>
          <t>CTR_894</t>
        </is>
      </c>
      <c r="D199" s="53" t="inlineStr">
        <is>
          <t>CENTRE</t>
        </is>
      </c>
      <c r="E199" s="23" t="inlineStr">
        <is>
          <t>CAMUSAT</t>
        </is>
      </c>
      <c r="F199" s="23" t="inlineStr">
        <is>
          <t>HGB</t>
        </is>
      </c>
      <c r="G199" s="53" t="inlineStr">
        <is>
          <t>CENTRE</t>
        </is>
      </c>
      <c r="H199" s="23" t="inlineStr">
        <is>
          <t>Pella</t>
        </is>
      </c>
      <c r="I199" s="54" t="inlineStr">
        <is>
          <t>ZTE</t>
        </is>
      </c>
      <c r="J199" s="25" t="n">
        <v>0</v>
      </c>
      <c r="K199" s="25" t="n">
        <v>0</v>
      </c>
      <c r="L199" s="25" t="n">
        <v>0</v>
      </c>
      <c r="M199" s="25" t="n">
        <v>0</v>
      </c>
      <c r="N199" s="68" t="inlineStr">
        <is>
          <t>Operationnel</t>
        </is>
      </c>
      <c r="O199" s="27" t="n"/>
      <c r="P199" s="28" t="inlineStr">
        <is>
          <t>AKTIVCO</t>
        </is>
      </c>
      <c r="Q199" s="28" t="inlineStr">
        <is>
          <t>POWER ISSUE</t>
        </is>
      </c>
      <c r="R199" s="29" t="inlineStr">
        <is>
          <t>AKTIVCO Defaut GE &amp; Power Cabinet</t>
        </is>
      </c>
      <c r="S199" s="28" t="inlineStr">
        <is>
          <t>PASSIVE</t>
        </is>
      </c>
      <c r="T199" s="29" t="inlineStr">
        <is>
          <t>(04/27/2026 incident ) :impacted by CTR_139_Z_Nji-Camtel(CTR-139), probleme d'energie || Action : RCA CAMUSAT attentdu..;..;(04/27/2026 ocm ran 17h):-power status check ongoing</t>
        </is>
      </c>
    </row>
    <row r="200" ht="18.75" customHeight="1">
      <c r="A200" s="14" t="n">
        <v>46139</v>
      </c>
      <c r="B200" s="23" t="inlineStr">
        <is>
          <t>MENGUE-BIBEY-IHS</t>
        </is>
      </c>
      <c r="C200" s="21" t="inlineStr">
        <is>
          <t>CTR_870</t>
        </is>
      </c>
      <c r="D200" s="53" t="inlineStr">
        <is>
          <t>CENTRE</t>
        </is>
      </c>
      <c r="E200" s="23" t="inlineStr">
        <is>
          <t>IHS</t>
        </is>
      </c>
      <c r="F200" s="23" t="inlineStr">
        <is>
          <t>Hybrid Gen</t>
        </is>
      </c>
      <c r="G200" s="53" t="inlineStr">
        <is>
          <t>CENTRE</t>
        </is>
      </c>
      <c r="H200" s="23" t="inlineStr">
        <is>
          <t>Mengue Bibey</t>
        </is>
      </c>
      <c r="I200" s="54" t="inlineStr">
        <is>
          <t>ZTE</t>
        </is>
      </c>
      <c r="J200" s="25" t="n">
        <v>0</v>
      </c>
      <c r="K200" s="25" t="n">
        <v>0</v>
      </c>
      <c r="L200" s="25" t="n">
        <v>0</v>
      </c>
      <c r="M200" s="25" t="n">
        <v>0</v>
      </c>
      <c r="N200" s="68" t="inlineStr">
        <is>
          <t>Operationnel</t>
        </is>
      </c>
      <c r="O200" s="27" t="n"/>
      <c r="P200" s="28" t="inlineStr">
        <is>
          <t>AKTIVCO</t>
        </is>
      </c>
      <c r="Q200" s="28" t="inlineStr">
        <is>
          <t>POWER ISSUE</t>
        </is>
      </c>
      <c r="R200" s="29" t="inlineStr">
        <is>
          <t>AKTIVCO Defaut GE &amp; Power Cabinet</t>
        </is>
      </c>
      <c r="S200" s="28" t="inlineStr">
        <is>
          <t>PASSIVE</t>
        </is>
      </c>
      <c r="T200" s="29" t="inlineStr">
        <is>
          <t>(04/27/2026 incident ) :impacted by CTR_139_Z_Nji-Camtel(CTR-139), probleme d'energie || Action : RCA CAMUSAT attentdu..;..;(04/27/2026 ocm ran 17h):-power status check ongoing</t>
        </is>
      </c>
    </row>
    <row r="201" ht="18.75" customHeight="1">
      <c r="A201" s="14" t="n">
        <v>46139</v>
      </c>
      <c r="B201" s="23" t="inlineStr">
        <is>
          <t>Bihaing-IHS</t>
        </is>
      </c>
      <c r="C201" s="21" t="inlineStr">
        <is>
          <t>LIT_517</t>
        </is>
      </c>
      <c r="D201" s="53" t="inlineStr">
        <is>
          <t>LITTORAL</t>
        </is>
      </c>
      <c r="E201" s="23" t="inlineStr">
        <is>
          <t>HIS</t>
        </is>
      </c>
      <c r="F201" s="23" t="inlineStr">
        <is>
          <t>Grid-Gen</t>
        </is>
      </c>
      <c r="G201" s="53" t="inlineStr">
        <is>
          <t>LITTORAL</t>
        </is>
      </c>
      <c r="H201" s="23" t="inlineStr">
        <is>
          <t>Bihaing</t>
        </is>
      </c>
      <c r="I201" s="54" t="inlineStr">
        <is>
          <t>ZTE</t>
        </is>
      </c>
      <c r="J201" s="25" t="n">
        <v>0</v>
      </c>
      <c r="K201" s="25" t="n">
        <v>0</v>
      </c>
      <c r="L201" s="25" t="n">
        <v>0</v>
      </c>
      <c r="M201" s="25" t="n">
        <v>0</v>
      </c>
      <c r="N201" s="68" t="inlineStr">
        <is>
          <t>Operationnel</t>
        </is>
      </c>
      <c r="O201" s="27" t="n"/>
      <c r="P201" s="28" t="inlineStr">
        <is>
          <t>IHS</t>
        </is>
      </c>
      <c r="Q201" s="28" t="inlineStr">
        <is>
          <t>POWER ISSUE</t>
        </is>
      </c>
      <c r="R201" s="29" t="inlineStr">
        <is>
          <t>Defaut GE &amp; Power Cabinet</t>
        </is>
      </c>
      <c r="S201" s="28" t="inlineStr">
        <is>
          <t>PASSIVE</t>
        </is>
      </c>
      <c r="T201" s="29" t="inlineStr">
        <is>
          <t>(04/27/2026 incident ) :impacted by  LIT_138_Z_Sackbayeme(LIT-138) ,defaut , Disjoncteur dans la baie TX  || Action : remplacement ..;..;(04/27/2026 ocm ran 11h):-Impacted by LIT_138_Z_Sackbayeme(LIT-138)</t>
        </is>
      </c>
    </row>
    <row r="202" ht="18.75" customHeight="1">
      <c r="A202" s="14" t="n">
        <v>46139</v>
      </c>
      <c r="B202" s="23" t="inlineStr">
        <is>
          <t>Botko</t>
        </is>
      </c>
      <c r="C202" s="21" t="inlineStr">
        <is>
          <t>LIT_319</t>
        </is>
      </c>
      <c r="D202" s="53" t="inlineStr">
        <is>
          <t>LITTORAL</t>
        </is>
      </c>
      <c r="E202" s="23" t="inlineStr">
        <is>
          <t>IHS</t>
        </is>
      </c>
      <c r="F202" s="23" t="inlineStr">
        <is>
          <t>Grid-Gen</t>
        </is>
      </c>
      <c r="G202" s="53" t="inlineStr">
        <is>
          <t>LITTORAL</t>
        </is>
      </c>
      <c r="H202" s="23" t="inlineStr">
        <is>
          <t>Botko</t>
        </is>
      </c>
      <c r="I202" s="54" t="inlineStr">
        <is>
          <t>ZTE</t>
        </is>
      </c>
      <c r="J202" s="25" t="n">
        <v>0</v>
      </c>
      <c r="K202" s="25" t="n">
        <v>0</v>
      </c>
      <c r="L202" s="25" t="n">
        <v>0</v>
      </c>
      <c r="M202" s="25" t="n">
        <v>0</v>
      </c>
      <c r="N202" s="68" t="inlineStr">
        <is>
          <t>Operationnel</t>
        </is>
      </c>
      <c r="O202" s="27" t="n"/>
      <c r="P202" s="28" t="inlineStr">
        <is>
          <t>IHS</t>
        </is>
      </c>
      <c r="Q202" s="28" t="inlineStr">
        <is>
          <t>POWER ISSUE</t>
        </is>
      </c>
      <c r="R202" s="29" t="inlineStr">
        <is>
          <t>Defaut GE &amp; Power Cabinet</t>
        </is>
      </c>
      <c r="S202" s="28" t="inlineStr">
        <is>
          <t>PASSIVE</t>
        </is>
      </c>
      <c r="T202" s="29" t="inlineStr">
        <is>
          <t>(04/27/2026 incident ) :impacted by  LIT_138_Z_Sackbayeme(LIT-138) ,defaut , Disjoncteur dans la baie TX  || Action : remplacement ..;..;(04/27/2026 ocm ran 11h):-Impacted by LIT_138_Z_Sackbayeme(LIT-138)</t>
        </is>
      </c>
    </row>
    <row r="203" ht="18.75" customHeight="1">
      <c r="A203" s="14" t="n">
        <v>46139</v>
      </c>
      <c r="B203" s="53" t="inlineStr">
        <is>
          <t>Poutkak</t>
        </is>
      </c>
      <c r="C203" s="36" t="inlineStr">
        <is>
          <t>LIT_513</t>
        </is>
      </c>
      <c r="D203" s="53" t="inlineStr">
        <is>
          <t>LITTORAL</t>
        </is>
      </c>
      <c r="E203" s="53" t="inlineStr">
        <is>
          <t>IHS</t>
        </is>
      </c>
      <c r="F203" s="53" t="inlineStr">
        <is>
          <t>Hybrid-Gen</t>
        </is>
      </c>
      <c r="G203" s="53" t="inlineStr">
        <is>
          <t>LITTORAL</t>
        </is>
      </c>
      <c r="H203" s="53" t="inlineStr">
        <is>
          <t>Poutkak</t>
        </is>
      </c>
      <c r="I203" s="54" t="inlineStr">
        <is>
          <t>ZTE</t>
        </is>
      </c>
      <c r="J203" s="25" t="n">
        <v>0</v>
      </c>
      <c r="K203" s="25" t="n">
        <v>0</v>
      </c>
      <c r="L203" s="25" t="n">
        <v>0</v>
      </c>
      <c r="M203" s="25" t="n">
        <v>0</v>
      </c>
      <c r="N203" s="68" t="inlineStr">
        <is>
          <t>Operationnel</t>
        </is>
      </c>
      <c r="O203" s="27" t="n"/>
      <c r="P203" s="28" t="inlineStr">
        <is>
          <t>IHS</t>
        </is>
      </c>
      <c r="Q203" s="28" t="inlineStr">
        <is>
          <t>POWER ISSUE</t>
        </is>
      </c>
      <c r="R203" s="29" t="inlineStr">
        <is>
          <t>Defaut GE &amp; Power Cabinet</t>
        </is>
      </c>
      <c r="S203" s="28" t="inlineStr">
        <is>
          <t>PASSIVE</t>
        </is>
      </c>
      <c r="T203" s="29" t="inlineStr">
        <is>
          <t>(04/27/2026 incident ) :impacted by  LIT_138_Z_Sackbayeme(LIT-138) ,defaut , Disjoncteur dans la baie TX  || Action : remplacement ..;..;(04/27/2026 ocm ran 11h):-Impacted by LIT_138_Z_Sackbayeme(LIT-138)</t>
        </is>
      </c>
    </row>
    <row r="204" ht="18.75" customHeight="1">
      <c r="A204" s="14" t="n">
        <v>46139</v>
      </c>
      <c r="B204" s="23" t="inlineStr">
        <is>
          <t>Pouma-Makob</t>
        </is>
      </c>
      <c r="C204" s="21" t="inlineStr">
        <is>
          <t>LIT_201</t>
        </is>
      </c>
      <c r="D204" s="53" t="inlineStr">
        <is>
          <t>LITTORAL</t>
        </is>
      </c>
      <c r="E204" s="23" t="n"/>
      <c r="F204" s="23" t="n"/>
      <c r="G204" s="53" t="inlineStr">
        <is>
          <t>LITTORAL</t>
        </is>
      </c>
      <c r="H204" s="23" t="inlineStr">
        <is>
          <t>Pouma</t>
        </is>
      </c>
      <c r="I204" s="54" t="inlineStr">
        <is>
          <t>ZTE</t>
        </is>
      </c>
      <c r="J204" s="25" t="n">
        <v>0</v>
      </c>
      <c r="K204" s="25" t="n">
        <v>0</v>
      </c>
      <c r="L204" s="25" t="n">
        <v>0</v>
      </c>
      <c r="M204" s="25" t="n">
        <v>0</v>
      </c>
      <c r="N204" s="68" t="inlineStr">
        <is>
          <t>Operationnel</t>
        </is>
      </c>
      <c r="O204" s="27" t="n"/>
      <c r="P204" s="28" t="inlineStr">
        <is>
          <t>IHS</t>
        </is>
      </c>
      <c r="Q204" s="28" t="inlineStr">
        <is>
          <t>POWER ISSUE</t>
        </is>
      </c>
      <c r="R204" s="29" t="inlineStr">
        <is>
          <t>Defaut GE &amp; Power Cabinet</t>
        </is>
      </c>
      <c r="S204" s="28" t="inlineStr">
        <is>
          <t>PASSIVE</t>
        </is>
      </c>
      <c r="T204" s="29" t="inlineStr">
        <is>
          <t>(04/27/2026 incident ) :impacted by  LIT_138_Z_Sackbayeme(LIT-138) ,defaut , Disjoncteur dans la baie TX  || Action : remplacement ..;..;(04/27/2026 ocm ran 11h):-Impacted by LIT_138_Z_Sackbayeme(LIT-138)</t>
        </is>
      </c>
    </row>
    <row r="205" ht="18.75" customHeight="1">
      <c r="A205" s="14" t="n">
        <v>46139</v>
      </c>
      <c r="B205" s="23" t="inlineStr">
        <is>
          <t>Sackbayeme</t>
        </is>
      </c>
      <c r="C205" s="21" t="inlineStr">
        <is>
          <t>LIT_138</t>
        </is>
      </c>
      <c r="D205" s="53" t="inlineStr">
        <is>
          <t>LITTORAL</t>
        </is>
      </c>
      <c r="E205" s="23" t="inlineStr">
        <is>
          <t>IHS</t>
        </is>
      </c>
      <c r="F205" s="23" t="inlineStr">
        <is>
          <t>Grid-Gen</t>
        </is>
      </c>
      <c r="G205" s="53" t="inlineStr">
        <is>
          <t>LITTORAL</t>
        </is>
      </c>
      <c r="H205" s="23" t="inlineStr">
        <is>
          <t>Sacbayeme</t>
        </is>
      </c>
      <c r="I205" s="54" t="inlineStr">
        <is>
          <t>ZTE</t>
        </is>
      </c>
      <c r="J205" s="25" t="n">
        <v>0</v>
      </c>
      <c r="K205" s="25" t="n">
        <v>0</v>
      </c>
      <c r="L205" s="25" t="n">
        <v>0</v>
      </c>
      <c r="M205" s="25" t="n">
        <v>0</v>
      </c>
      <c r="N205" s="68" t="inlineStr">
        <is>
          <t>Operationnel</t>
        </is>
      </c>
      <c r="O205" s="27" t="n"/>
      <c r="P205" s="28" t="inlineStr">
        <is>
          <t>IHS</t>
        </is>
      </c>
      <c r="Q205" s="28" t="inlineStr">
        <is>
          <t>POWER ISSUE</t>
        </is>
      </c>
      <c r="R205" s="29" t="inlineStr">
        <is>
          <t>Defaut GE &amp; Power Cabinet</t>
        </is>
      </c>
      <c r="S205" s="28" t="inlineStr">
        <is>
          <t>PASSIVE</t>
        </is>
      </c>
      <c r="T205" s="29" t="inlineStr">
        <is>
          <t>(04/27/2026 incident ) :impacted by  LIT_138_Z_Sackbayeme(LIT-138) ,defaut , Disjoncteur dans la baie TX  || Action : remplacement ..;..;(04/27/2026 cell zte):-27/04/2026 : Besoin d'analyse BO RAN..;..;(04/27/2026 ocm ran 11h):-Impacted by LIT_138_Z_Sackbayeme(LIT-138)..;..;(04/27/2026 ticket):-INC-20260427-00005660…2026-04-27 11:48:53…
Apres Un Conf call avec le RM(Honore). Le FME yannick est plus Proche du Site de Sackbayeme. Il a pris la route ETA=1H(13H45 UTC+ 1)…
Remplacement Disjoncteur dans la Baie TX…Disconnection…
Defaut Disjoncteur dans la Baie TX</t>
        </is>
      </c>
    </row>
    <row r="206" ht="18.75" customHeight="1">
      <c r="A206" s="14" t="n">
        <v>46140</v>
      </c>
      <c r="B206" s="23" t="inlineStr">
        <is>
          <t>Zileng-IHS</t>
        </is>
      </c>
      <c r="C206" s="21" t="inlineStr">
        <is>
          <t>EXN_174</t>
        </is>
      </c>
      <c r="D206" s="53" t="inlineStr">
        <is>
          <t>EXTREME-NORD</t>
        </is>
      </c>
      <c r="E206" s="23" t="inlineStr">
        <is>
          <t>IHS</t>
        </is>
      </c>
      <c r="F206" s="23" t="inlineStr">
        <is>
          <t>Grid-Gen</t>
        </is>
      </c>
      <c r="G206" s="53" t="inlineStr">
        <is>
          <t>EXTREME-NORD</t>
        </is>
      </c>
      <c r="H206" s="23" t="inlineStr">
        <is>
          <t>Zileng</t>
        </is>
      </c>
      <c r="I206" s="56" t="inlineStr">
        <is>
          <t>NOKIA</t>
        </is>
      </c>
      <c r="J206" s="25" t="n">
        <v>32.36806529741136</v>
      </c>
      <c r="K206" s="25" t="n">
        <v>55.08124483613329</v>
      </c>
      <c r="L206" s="25" t="n">
        <v>0</v>
      </c>
      <c r="M206" s="25" t="n">
        <v>23.11356593129072</v>
      </c>
      <c r="N206" s="68" t="inlineStr">
        <is>
          <t>Insecurity</t>
        </is>
      </c>
      <c r="O206" s="27" t="n"/>
      <c r="P206" s="28" t="inlineStr">
        <is>
          <t>AKTIVCO</t>
        </is>
      </c>
      <c r="Q206" s="28" t="inlineStr">
        <is>
          <t>POWER ISSUE</t>
        </is>
      </c>
      <c r="R206" s="29" t="inlineStr">
        <is>
          <t>AKTIVCO Defaut GE &amp; Power Cabinet</t>
        </is>
      </c>
      <c r="S206" s="28" t="inlineStr">
        <is>
          <t>PASSIVE</t>
        </is>
      </c>
      <c r="T206" s="29" t="inlineStr">
        <is>
          <t>(0428/2026 incident ): impacted by EXN_012_N_Mokolo   ,RCA: Non demarrage du GE / Démarrage manuel du GE et reset MPR..;..;(04/28/2026 ticket): INC-20260428-00005709…Others Transmission equipement fault</t>
        </is>
      </c>
    </row>
    <row r="207" ht="18.75" customHeight="1">
      <c r="A207" s="14" t="n">
        <v>46140</v>
      </c>
      <c r="B207" s="23" t="inlineStr">
        <is>
          <t>Edea-Ekite</t>
        </is>
      </c>
      <c r="C207" s="21" t="inlineStr">
        <is>
          <t>LIT_322</t>
        </is>
      </c>
      <c r="D207" s="53" t="inlineStr">
        <is>
          <t>LITTORAL</t>
        </is>
      </c>
      <c r="E207" s="23" t="inlineStr">
        <is>
          <t>IHS</t>
        </is>
      </c>
      <c r="F207" s="23" t="inlineStr">
        <is>
          <t>Grid-Gen</t>
        </is>
      </c>
      <c r="G207" s="53" t="inlineStr">
        <is>
          <t>LITTORAL</t>
        </is>
      </c>
      <c r="H207" s="23" t="inlineStr">
        <is>
          <t>Edea</t>
        </is>
      </c>
      <c r="I207" s="54" t="inlineStr">
        <is>
          <t>ZTE</t>
        </is>
      </c>
      <c r="J207" s="25" t="n">
        <v>14.2950493387528</v>
      </c>
      <c r="K207" s="25" t="n">
        <v>24.32590289040532</v>
      </c>
      <c r="L207" s="25" t="n">
        <v>23.88184772592461</v>
      </c>
      <c r="M207" s="25" t="n">
        <v>22.6619282430593</v>
      </c>
      <c r="N207" s="68" t="inlineStr">
        <is>
          <t>Operationnel</t>
        </is>
      </c>
      <c r="O207" s="27" t="n"/>
      <c r="P207" s="28" t="inlineStr">
        <is>
          <t>IHS</t>
        </is>
      </c>
      <c r="Q207" s="28" t="inlineStr">
        <is>
          <t>POWER ISSUE</t>
        </is>
      </c>
      <c r="R207" s="29" t="inlineStr">
        <is>
          <t>Defaut GE &amp; Power Cabinet</t>
        </is>
      </c>
      <c r="S207" s="28" t="inlineStr">
        <is>
          <t>PASSIVE</t>
        </is>
      </c>
      <c r="T207" s="37" t="inlineStr">
        <is>
          <t>(04/28/2026 ocm ran 00h): Impacted by LIT_209_Z_Cellucam-New (Power issue)</t>
        </is>
      </c>
    </row>
    <row r="208" ht="18.75" customHeight="1">
      <c r="A208" s="14" t="n">
        <v>46140</v>
      </c>
      <c r="B208" s="23" t="inlineStr">
        <is>
          <t>Edea-Entree</t>
        </is>
      </c>
      <c r="C208" s="23" t="inlineStr">
        <is>
          <t>LIT_229</t>
        </is>
      </c>
      <c r="D208" s="53" t="inlineStr">
        <is>
          <t>LITTORAL</t>
        </is>
      </c>
      <c r="E208" s="23" t="inlineStr">
        <is>
          <t>IHS</t>
        </is>
      </c>
      <c r="F208" s="23" t="inlineStr">
        <is>
          <t>Solar-Grid-Gen</t>
        </is>
      </c>
      <c r="G208" s="53" t="inlineStr">
        <is>
          <t>LITTORAL</t>
        </is>
      </c>
      <c r="H208" s="23" t="inlineStr">
        <is>
          <t>Edea</t>
        </is>
      </c>
      <c r="I208" s="54" t="inlineStr">
        <is>
          <t>ZTE</t>
        </is>
      </c>
      <c r="J208" s="25" t="n">
        <v>14.27181875951704</v>
      </c>
      <c r="K208" s="25" t="n">
        <v>24.28876767614949</v>
      </c>
      <c r="L208" s="25" t="n">
        <v>23.83147064681844</v>
      </c>
      <c r="M208" s="25" t="n">
        <v>22.61987312838688</v>
      </c>
      <c r="N208" s="68" t="inlineStr">
        <is>
          <t>EXCLU</t>
        </is>
      </c>
      <c r="O208" s="68" t="inlineStr">
        <is>
          <t>site vandalise</t>
        </is>
      </c>
      <c r="P208" s="28" t="inlineStr">
        <is>
          <t>Exclu</t>
        </is>
      </c>
      <c r="Q208" s="28" t="inlineStr">
        <is>
          <t>Exclu</t>
        </is>
      </c>
      <c r="R208" s="29" t="inlineStr">
        <is>
          <t>EXCLU</t>
        </is>
      </c>
      <c r="S208" s="28" t="inlineStr">
        <is>
          <t>Exclu</t>
        </is>
      </c>
      <c r="T208" s="29" t="inlineStr">
        <is>
          <t>(04/28/2026 ocm ran 00h): Impacted by LIT_209_Z_Cellucam-New (Power issue)</t>
        </is>
      </c>
    </row>
    <row r="209" ht="18.75" customHeight="1">
      <c r="A209" s="14" t="n">
        <v>46140</v>
      </c>
      <c r="B209" s="23" t="inlineStr">
        <is>
          <t>Nkongoa-Mfou</t>
        </is>
      </c>
      <c r="C209" s="21" t="inlineStr">
        <is>
          <t>CTR_896</t>
        </is>
      </c>
      <c r="D209" s="53" t="inlineStr">
        <is>
          <t>CENTRE</t>
        </is>
      </c>
      <c r="E209" s="23" t="inlineStr">
        <is>
          <t>CAMUSAT</t>
        </is>
      </c>
      <c r="F209" s="23" t="inlineStr">
        <is>
          <t>Good Grid + GE</t>
        </is>
      </c>
      <c r="G209" s="53" t="inlineStr">
        <is>
          <t>CENTRE</t>
        </is>
      </c>
      <c r="H209" s="23" t="inlineStr">
        <is>
          <t>Mfou</t>
        </is>
      </c>
      <c r="I209" s="54" t="inlineStr">
        <is>
          <t>ZTE</t>
        </is>
      </c>
      <c r="J209" s="25" t="n">
        <v>20.7733834514346</v>
      </c>
      <c r="K209" s="25" t="n">
        <v>17.66711802686741</v>
      </c>
      <c r="L209" s="25" t="n">
        <v>22.69902947684993</v>
      </c>
      <c r="M209" s="25" t="n">
        <v>20.7347766905514</v>
      </c>
      <c r="N209" s="68" t="inlineStr">
        <is>
          <t>EXCLU</t>
        </is>
      </c>
      <c r="O209" s="68" t="inlineStr">
        <is>
          <t>site vandalise</t>
        </is>
      </c>
      <c r="P209" s="28" t="inlineStr">
        <is>
          <t>Exclu</t>
        </is>
      </c>
      <c r="Q209" s="28" t="inlineStr">
        <is>
          <t>Exclu</t>
        </is>
      </c>
      <c r="R209" s="29" t="inlineStr">
        <is>
          <t>EXCLU</t>
        </is>
      </c>
      <c r="S209" s="28" t="inlineStr">
        <is>
          <t>Exclu</t>
        </is>
      </c>
      <c r="T209" s="29" t="inlineStr">
        <is>
          <t>(04/28/2026 ocm ran 14h): Impacted by CTR_629_Z_Nkongoa(CTR-629)..;..;(04/28/2026 com ran 10h): Impacted by CTR_629_Z_Nkongoa(CTR-629)..;..;(04/28/2026 ocm ran 00h): Impacted by CTR_629_Z_Nkongoa(CTR-629)</t>
        </is>
      </c>
    </row>
    <row r="210" ht="18.75" customHeight="1">
      <c r="A210" s="14" t="n">
        <v>46140</v>
      </c>
      <c r="B210" s="23" t="inlineStr">
        <is>
          <t>Moulanga</t>
        </is>
      </c>
      <c r="C210" s="21" t="inlineStr">
        <is>
          <t>LIT_670</t>
        </is>
      </c>
      <c r="D210" s="53" t="inlineStr">
        <is>
          <t>LITTORAL</t>
        </is>
      </c>
      <c r="E210" s="23" t="inlineStr">
        <is>
          <t>CAMUSAT</t>
        </is>
      </c>
      <c r="F210" s="23" t="inlineStr">
        <is>
          <t>Good Grid + GE</t>
        </is>
      </c>
      <c r="G210" s="53" t="inlineStr">
        <is>
          <t>LITTORAL</t>
        </is>
      </c>
      <c r="H210" s="23" t="inlineStr">
        <is>
          <t>Moulanga</t>
        </is>
      </c>
      <c r="I210" s="54" t="inlineStr">
        <is>
          <t>ZTE</t>
        </is>
      </c>
      <c r="J210" s="25" t="n">
        <v>13.62560899088362</v>
      </c>
      <c r="K210" s="25" t="n">
        <v>11.66523863439314</v>
      </c>
      <c r="L210" s="25" t="n">
        <v>23.26990130606937</v>
      </c>
      <c r="M210" s="25" t="n">
        <v>17.99687814789132</v>
      </c>
      <c r="N210" s="68" t="inlineStr">
        <is>
          <t>Operationnel</t>
        </is>
      </c>
      <c r="O210" s="27" t="n"/>
      <c r="P210" s="28" t="inlineStr">
        <is>
          <t>PDH</t>
        </is>
      </c>
      <c r="Q210" s="28" t="inlineStr">
        <is>
          <t>TX ISSUE</t>
        </is>
      </c>
      <c r="R210" s="29" t="inlineStr">
        <is>
          <t>ODU HS</t>
        </is>
      </c>
      <c r="S210" s="28" t="inlineStr">
        <is>
          <t>ACTIVE</t>
        </is>
      </c>
      <c r="T210" s="29" t="inlineStr">
        <is>
          <t xml:space="preserve">(04/28/2026 ocm ran 19h): Impacted by SUO_061_Z_Bekoko-MTN(SUO-061)..;..;(04/28/2026 ocm ran 14h): Power status check ongoing || (groupe whatsapp): SUO_061_Z_Bekoko-MTN(SUO-061) -{ 28.04.26: Besoin d'un FME sur site pour vérifier la chaine antennaire de l'ODU 3.1; FME Pascal activé pour investigations, update ASAP } </t>
        </is>
      </c>
    </row>
    <row r="211" ht="18.75" customHeight="1">
      <c r="A211" s="14" t="n">
        <v>46140</v>
      </c>
      <c r="B211" s="23" t="inlineStr">
        <is>
          <t>Bambalang</t>
        </is>
      </c>
      <c r="C211" s="23" t="inlineStr">
        <is>
          <t>NRO_100</t>
        </is>
      </c>
      <c r="D211" s="53" t="inlineStr">
        <is>
          <t>NORD-OUEST</t>
        </is>
      </c>
      <c r="E211" s="23" t="inlineStr">
        <is>
          <t>IHS</t>
        </is>
      </c>
      <c r="F211" s="23" t="inlineStr">
        <is>
          <t>Hybrid-Gen</t>
        </is>
      </c>
      <c r="G211" s="53" t="inlineStr">
        <is>
          <t>NORD-OUEST</t>
        </is>
      </c>
      <c r="H211" s="23" t="inlineStr">
        <is>
          <t>Bambalang</t>
        </is>
      </c>
      <c r="I211" s="55" t="inlineStr">
        <is>
          <t>HUAWEI</t>
        </is>
      </c>
      <c r="J211" s="25" t="n">
        <v>0</v>
      </c>
      <c r="K211" s="25" t="n">
        <v>46.3646697165356</v>
      </c>
      <c r="L211" s="25" t="n">
        <v>0</v>
      </c>
      <c r="M211" s="25" t="n">
        <v>15.56515439470598</v>
      </c>
      <c r="N211" s="68" t="inlineStr">
        <is>
          <t>Insecurity</t>
        </is>
      </c>
      <c r="O211" s="27" t="n"/>
      <c r="P211" s="28" t="inlineStr">
        <is>
          <t>IHS</t>
        </is>
      </c>
      <c r="Q211" s="28" t="inlineStr">
        <is>
          <t>POWER ISSUE</t>
        </is>
      </c>
      <c r="R211" s="29" t="inlineStr">
        <is>
          <t>Defaut GE &amp; Power Cabinet</t>
        </is>
      </c>
      <c r="S211" s="28" t="inlineStr">
        <is>
          <t>PASSIVE</t>
        </is>
      </c>
      <c r="T211" s="29" t="inlineStr">
        <is>
          <t>(0428/2026 incident ): impacted by  NRO_100_H_Bambalang ,retour IHS : FME reports GEN overloads, insecurity area, ||Gen overlaod, insecurity area / point escalade L3, pour un ETA  our intervenir ||Feedback HIS :FME manage toujours avec le level0 pour un acces au site car zone tres insecurisee..;..;(04/28/2026 hourly IHS): FME reports GEN Overload, Insecurity area...;..;(04/28/2026 cell huawei): 28/04/2026 : Besoin d'analyse BO RAN</t>
        </is>
      </c>
    </row>
    <row r="212" ht="18.75" customHeight="1">
      <c r="A212" s="14" t="n">
        <v>46140</v>
      </c>
      <c r="B212" s="74" t="inlineStr">
        <is>
          <t>Rd-Pt-Longkak</t>
        </is>
      </c>
      <c r="C212" s="21" t="inlineStr">
        <is>
          <t>CTR_449</t>
        </is>
      </c>
      <c r="D212" s="53" t="inlineStr">
        <is>
          <t>Yaounde</t>
        </is>
      </c>
      <c r="E212" s="23" t="inlineStr">
        <is>
          <t>IHS</t>
        </is>
      </c>
      <c r="F212" s="23" t="inlineStr">
        <is>
          <t>Grid-Gen</t>
        </is>
      </c>
      <c r="G212" s="53" t="inlineStr">
        <is>
          <t>CENTRE</t>
        </is>
      </c>
      <c r="H212" s="23" t="inlineStr">
        <is>
          <t>Yaounde</t>
        </is>
      </c>
      <c r="I212" s="54" t="inlineStr">
        <is>
          <t>ZTE</t>
        </is>
      </c>
      <c r="J212" s="25" t="n">
        <v>32.37293622531563</v>
      </c>
      <c r="K212" s="25" t="n">
        <v>27.54062241806665</v>
      </c>
      <c r="L212" s="25" t="n">
        <v>0</v>
      </c>
      <c r="M212" s="25" t="n">
        <v>13.86855689960706</v>
      </c>
      <c r="N212" s="68" t="inlineStr">
        <is>
          <t>Operationnel</t>
        </is>
      </c>
      <c r="O212" s="27" t="n"/>
      <c r="P212" s="28" t="inlineStr">
        <is>
          <t>BSS</t>
        </is>
      </c>
      <c r="Q212" s="28" t="inlineStr">
        <is>
          <t>RAN ISSUE</t>
        </is>
      </c>
      <c r="R212" s="29" t="inlineStr">
        <is>
          <t>BSS Hardware issue</t>
        </is>
      </c>
      <c r="S212" s="28" t="inlineStr">
        <is>
          <t>ACTIVE</t>
        </is>
      </c>
      <c r="T212" s="37" t="inlineStr">
        <is>
          <t>(04/28/2026 ocm ran 19h): Impacted by CTR_197_Z_Charles-Atangana(CTR-197)..;..;(04/28/2026 ocm ran 14h): Impacted by CTR_197_Z_Charles-Atangana(CTR-197)..;..;(04/28/2026 com ran 10h): Impacted by CTR_197_Z_Charles-Atangana(CTR-197)..;..;(04/28/2026 ocm ran 00h): Impacted by CTR_197_Z_Charles-Atangana(CTR-197) ||   04/28/2026: hardware issue,  site with GPS issue (alarm : TDD down 09Apr 02pm)</t>
        </is>
      </c>
    </row>
    <row r="213" ht="18.75" customHeight="1">
      <c r="A213" s="14" t="n">
        <v>46140</v>
      </c>
      <c r="B213" s="23" t="inlineStr">
        <is>
          <t>Kribi-LONDJI</t>
        </is>
      </c>
      <c r="C213" s="23" t="inlineStr">
        <is>
          <t>SUD_079</t>
        </is>
      </c>
      <c r="D213" s="53" t="inlineStr">
        <is>
          <t>CENTRE</t>
        </is>
      </c>
      <c r="E213" s="23" t="inlineStr">
        <is>
          <t>CAMUSAT</t>
        </is>
      </c>
      <c r="F213" s="23" t="inlineStr">
        <is>
          <t>Medium Grid + Solar + GE</t>
        </is>
      </c>
      <c r="G213" s="53" t="inlineStr">
        <is>
          <t>SUD</t>
        </is>
      </c>
      <c r="H213" s="23" t="inlineStr">
        <is>
          <t>Kribi</t>
        </is>
      </c>
      <c r="I213" s="54" t="inlineStr">
        <is>
          <t>ZTE</t>
        </is>
      </c>
      <c r="J213" s="25" t="n">
        <v>8.662633038779582</v>
      </c>
      <c r="K213" s="25" t="n">
        <v>14.76855251928694</v>
      </c>
      <c r="L213" s="25" t="n">
        <v>14.23585118863915</v>
      </c>
      <c r="M213" s="25" t="n">
        <v>13.61883013300688</v>
      </c>
      <c r="N213" s="68" t="inlineStr">
        <is>
          <t>Operationnel</t>
        </is>
      </c>
      <c r="O213" s="27" t="n"/>
      <c r="P213" s="28" t="inlineStr">
        <is>
          <t>PDH</t>
        </is>
      </c>
      <c r="Q213" s="28" t="inlineStr">
        <is>
          <t>TX ISSUE</t>
        </is>
      </c>
      <c r="R213" s="29" t="inlineStr">
        <is>
          <t>MPR ISSUE</t>
        </is>
      </c>
      <c r="S213" s="28" t="inlineStr">
        <is>
          <t>ACTIVE</t>
        </is>
      </c>
      <c r="T213" s="29" t="inlineStr">
        <is>
          <t>(04/28/2026 ocm ran 19h): Impacted by SUD_021_Z_Mpoloungoue(SUD-021)..;..;(04/28/2026 ocm ran 14h): Power status check ongoing..;..;(04/28/2026 ticket): INC-20260428-00009510…2026-04-28 14:19:58…Transmission issue main site SUD_021_Z_Mpoloungoue(SUD-021) Down not under our scope / Npo action done…impacted by Kribi Lolo …Others Transmission equipement fault</t>
        </is>
      </c>
    </row>
    <row r="214" ht="18.75" customHeight="1">
      <c r="A214" s="14" t="n">
        <v>46140</v>
      </c>
      <c r="B214" s="23" t="inlineStr">
        <is>
          <t>Mpoloungoue</t>
        </is>
      </c>
      <c r="C214" s="21" t="inlineStr">
        <is>
          <t>SUD_021</t>
        </is>
      </c>
      <c r="D214" s="53" t="inlineStr">
        <is>
          <t>CENTRE</t>
        </is>
      </c>
      <c r="E214" s="23" t="inlineStr">
        <is>
          <t>IHS</t>
        </is>
      </c>
      <c r="F214" s="23" t="inlineStr">
        <is>
          <t>Grid-Gen-Lithium</t>
        </is>
      </c>
      <c r="G214" s="53" t="inlineStr">
        <is>
          <t>SUD</t>
        </is>
      </c>
      <c r="H214" s="23" t="inlineStr">
        <is>
          <t>Mpoloungoue</t>
        </is>
      </c>
      <c r="I214" s="54" t="inlineStr">
        <is>
          <t>ZTE</t>
        </is>
      </c>
      <c r="J214" s="25" t="n">
        <v>8.64739577713032</v>
      </c>
      <c r="K214" s="25" t="n">
        <v>14.70262290427764</v>
      </c>
      <c r="L214" s="25" t="n">
        <v>14.21078235022446</v>
      </c>
      <c r="M214" s="25" t="n">
        <v>13.58144780885362</v>
      </c>
      <c r="N214" s="68" t="inlineStr">
        <is>
          <t>Operationnel</t>
        </is>
      </c>
      <c r="O214" s="27" t="n"/>
      <c r="P214" s="28" t="inlineStr">
        <is>
          <t>PDH</t>
        </is>
      </c>
      <c r="Q214" s="28" t="inlineStr">
        <is>
          <t>TX ISSUE</t>
        </is>
      </c>
      <c r="R214" s="29" t="inlineStr">
        <is>
          <t>MPR ISSUE</t>
        </is>
      </c>
      <c r="S214" s="28" t="inlineStr">
        <is>
          <t>ACTIVE</t>
        </is>
      </c>
      <c r="T214" s="30" t="inlineStr">
        <is>
          <t>(04/28/2026 hourly IHS): FME manage ETA ASAP..;..;(04/28/2026 ocm ran 19h): Impacted by SUD_021_Z_Mpoloungoue(SUD-021)..;..;(04/28/2026 ocm ran 14h): Power status check ongoing..;..;(04/28/2026 ticket): INC-20260428-00009530…2026-04-28 18:28:46…FME LUCIEN activé ETA ASAP…impacted by Kribi Lolo …Others Transmission equipement fault  || (groupe whatapp) : SUD_021_Z_Mpoloungoue(SUD-021)+3(SUD_079_Z_Kribi-Londji(SUD-079/SUD_176_Z_Kribi-Mpolongwe-II(SUD-176/SUD_053_Z_Kribi-Mpala(SUD-053)
besoin d'un fme sur site pour verifier le status du MPR</t>
        </is>
      </c>
    </row>
    <row r="215" ht="18.75" customHeight="1">
      <c r="A215" s="14" t="n">
        <v>46140</v>
      </c>
      <c r="B215" s="23" t="inlineStr">
        <is>
          <t>Kribi-Mpala</t>
        </is>
      </c>
      <c r="C215" s="21" t="inlineStr">
        <is>
          <t>SUD_053</t>
        </is>
      </c>
      <c r="D215" s="53" t="inlineStr">
        <is>
          <t>LITTORAL</t>
        </is>
      </c>
      <c r="E215" s="23" t="inlineStr">
        <is>
          <t>IHS</t>
        </is>
      </c>
      <c r="F215" s="23" t="inlineStr">
        <is>
          <t>Grid-Gen</t>
        </is>
      </c>
      <c r="G215" s="53" t="inlineStr">
        <is>
          <t>SUD</t>
        </is>
      </c>
      <c r="H215" s="23" t="inlineStr">
        <is>
          <t>Kribi</t>
        </is>
      </c>
      <c r="I215" s="54" t="inlineStr">
        <is>
          <t>ZTE</t>
        </is>
      </c>
      <c r="J215" s="25" t="n">
        <v>8.647520672717608</v>
      </c>
      <c r="K215" s="25" t="n">
        <v>14.69768216761698</v>
      </c>
      <c r="L215" s="25" t="n">
        <v>14.20982474111722</v>
      </c>
      <c r="M215" s="25" t="n">
        <v>13.57930759945553</v>
      </c>
      <c r="N215" s="68" t="inlineStr">
        <is>
          <t>Operationnel</t>
        </is>
      </c>
      <c r="O215" s="27" t="n"/>
      <c r="P215" s="28" t="inlineStr">
        <is>
          <t>IHS</t>
        </is>
      </c>
      <c r="Q215" s="28" t="inlineStr">
        <is>
          <t>POWER ISSUE</t>
        </is>
      </c>
      <c r="R215" s="29" t="inlineStr">
        <is>
          <t>Defaut GE &amp; Power Cabinet</t>
        </is>
      </c>
      <c r="S215" s="28" t="inlineStr">
        <is>
          <t>PASSIVE</t>
        </is>
      </c>
      <c r="T215" s="29" t="inlineStr">
        <is>
          <t>(04/28/2026 hourly IHS): Grid outage // awaiting grid returned..;..;(04/28/2026 ocm ran 19h): Impacted by SUD_021_Z_Mpoloungoue(SUD-021)..;..;(04/28/2026 ocm ran 14h): Power status check ongoing..;..;(04/28/2026 ticket): INC-20260428-00009539…2026-04-28 18:26:24…Site impacted by SUD_021_Z_Mpoloungoue(SUD-021)…impacted by Kribi Lolo …Others Transmission equipement fault</t>
        </is>
      </c>
    </row>
    <row r="216" ht="18.75" customHeight="1">
      <c r="A216" s="14" t="n">
        <v>46140</v>
      </c>
      <c r="B216" s="23" t="inlineStr">
        <is>
          <t>Emana-Pont-IHS</t>
        </is>
      </c>
      <c r="C216" s="23" t="inlineStr">
        <is>
          <t>CTR_599</t>
        </is>
      </c>
      <c r="D216" s="53" t="inlineStr">
        <is>
          <t>Yaounde</t>
        </is>
      </c>
      <c r="E216" s="23" t="inlineStr">
        <is>
          <t>IHS</t>
        </is>
      </c>
      <c r="F216" s="23" t="inlineStr">
        <is>
          <t>Grid-Gen</t>
        </is>
      </c>
      <c r="G216" s="53" t="inlineStr">
        <is>
          <t>CENTRE</t>
        </is>
      </c>
      <c r="H216" s="23" t="inlineStr">
        <is>
          <t>Yaounde</t>
        </is>
      </c>
      <c r="I216" s="54" t="inlineStr">
        <is>
          <t>ZTE</t>
        </is>
      </c>
      <c r="J216" s="25" t="n">
        <v>32.10341154794592</v>
      </c>
      <c r="K216" s="25" t="n">
        <v>25.44978766520124</v>
      </c>
      <c r="L216" s="25" t="n">
        <v>0</v>
      </c>
      <c r="M216" s="25" t="n">
        <v>13.12815145833869</v>
      </c>
      <c r="N216" s="68" t="inlineStr">
        <is>
          <t>Operationnel</t>
        </is>
      </c>
      <c r="O216" s="27" t="n"/>
      <c r="P216" s="28" t="inlineStr">
        <is>
          <t>IHS</t>
        </is>
      </c>
      <c r="Q216" s="28" t="inlineStr">
        <is>
          <t>POWER ISSUE</t>
        </is>
      </c>
      <c r="R216" s="29" t="inlineStr">
        <is>
          <t>Defaut GE &amp; Power Cabinet</t>
        </is>
      </c>
      <c r="S216" s="28" t="inlineStr">
        <is>
          <t>PASSIVE</t>
        </is>
      </c>
      <c r="T216" s="29" t="inlineStr">
        <is>
          <t>(04/28/2026 hourly IHS): DJANKO WANDJ BIGANSTILE (650631358) from Dowen service is working on site(corrections to the DC box installation)..;..;(04/28/2026 ocm ran 19h): Impacted by CTR_160_Z_Emana-Bilick-IHS (Power issue)..;..;(04/28/2026 ocm ran 14h): Impacted by CTR_160_Z_Emana-Bilick-IHS (Power issue)..;..;(04/28/2026 com ran 10h): Impacted by CTR_160_Z_Emana-Bilick-IHS (Power issue)..;..;(04/28/2026 ocm ran 00h): Impacted by CTR_160_Z_Emana-Bilick-IHS (Power issue)</t>
        </is>
      </c>
    </row>
    <row r="217" ht="18.75" customHeight="1">
      <c r="A217" s="14" t="n">
        <v>46140</v>
      </c>
      <c r="B217" s="23" t="inlineStr">
        <is>
          <t>Kanga</t>
        </is>
      </c>
      <c r="C217" s="21" t="inlineStr">
        <is>
          <t>LIT_510</t>
        </is>
      </c>
      <c r="D217" s="53" t="inlineStr">
        <is>
          <t>LITTORAL</t>
        </is>
      </c>
      <c r="E217" s="23" t="inlineStr">
        <is>
          <t>IHS</t>
        </is>
      </c>
      <c r="F217" s="23" t="inlineStr">
        <is>
          <t>Grid-Hybrid-Gen</t>
        </is>
      </c>
      <c r="G217" s="53" t="inlineStr">
        <is>
          <t>LITTORAL</t>
        </is>
      </c>
      <c r="H217" s="23" t="inlineStr">
        <is>
          <t>Massock-Songloulou</t>
        </is>
      </c>
      <c r="I217" s="56" t="inlineStr">
        <is>
          <t>NOKIA</t>
        </is>
      </c>
      <c r="J217" s="25" t="n">
        <v>32.36881467093509</v>
      </c>
      <c r="K217" s="25" t="n">
        <v>13.77031120903332</v>
      </c>
      <c r="L217" s="25" t="n">
        <v>0</v>
      </c>
      <c r="M217" s="25" t="n">
        <v>9.245116042153564</v>
      </c>
      <c r="N217" s="68" t="inlineStr">
        <is>
          <t>Operationnel</t>
        </is>
      </c>
      <c r="O217" s="27" t="n"/>
      <c r="P217" s="28" t="inlineStr">
        <is>
          <t>SPARE-ISSUE</t>
        </is>
      </c>
      <c r="Q217" s="28" t="inlineStr">
        <is>
          <t>SPARE-ISSUE</t>
        </is>
      </c>
      <c r="R217" s="29" t="inlineStr">
        <is>
          <t>Warehouse HUAWEI</t>
        </is>
      </c>
      <c r="S217" s="28" t="inlineStr">
        <is>
          <t>SPARE-ISSUE</t>
        </is>
      </c>
      <c r="T217" s="30" t="inlineStr">
        <is>
          <t>(04/28/2026 ocm ran 19h): Impacted by Songloulou-IHS_LIT_200 (TX issue)..;..;(04/28/2026 ocm ran 14h): Impacted by Songloulou-IHS_LIT_200 (TX issue)..;..;(04/28/2026 com ran 10h): Impacted by Songloulou-IHS_LIT_200 (TX issue)..;..;(04/28/2026 ocm ran 00h): Impacted by Songloulou-IHS_LIT_200 (TX issue)</t>
        </is>
      </c>
    </row>
    <row r="218" ht="18.75" customHeight="1">
      <c r="A218" s="14" t="n">
        <v>46140</v>
      </c>
      <c r="B218" s="23" t="inlineStr">
        <is>
          <t>Tatum</t>
        </is>
      </c>
      <c r="C218" s="21" t="inlineStr">
        <is>
          <t>NRO_073</t>
        </is>
      </c>
      <c r="D218" s="53" t="inlineStr">
        <is>
          <t>NORD-OUEST</t>
        </is>
      </c>
      <c r="E218" s="23" t="inlineStr">
        <is>
          <t>IHS</t>
        </is>
      </c>
      <c r="F218" s="23" t="inlineStr">
        <is>
          <t>Hybrid-Gen</t>
        </is>
      </c>
      <c r="G218" s="53" t="inlineStr">
        <is>
          <t>NORD-OUEST</t>
        </is>
      </c>
      <c r="H218" s="23" t="inlineStr">
        <is>
          <t>Tatum</t>
        </is>
      </c>
      <c r="I218" s="56" t="inlineStr">
        <is>
          <t>NOKIA</t>
        </is>
      </c>
      <c r="J218" s="25" t="n">
        <v>32.36356905626896</v>
      </c>
      <c r="K218" s="25" t="n">
        <v>13.77031120903332</v>
      </c>
      <c r="L218" s="25" t="n">
        <v>0</v>
      </c>
      <c r="M218" s="25" t="n">
        <v>9.244366968864234</v>
      </c>
      <c r="N218" s="68" t="inlineStr">
        <is>
          <t>Insecurity</t>
        </is>
      </c>
      <c r="O218" s="27" t="n"/>
      <c r="P218" s="28" t="inlineStr">
        <is>
          <t>SPARE-ISSUE</t>
        </is>
      </c>
      <c r="Q218" s="28" t="inlineStr">
        <is>
          <t>SPARE-ISSUE</t>
        </is>
      </c>
      <c r="R218" s="29" t="inlineStr">
        <is>
          <t>SPARE-ISSUE</t>
        </is>
      </c>
      <c r="S218" s="28" t="inlineStr">
        <is>
          <t>SPARE-ISSUE</t>
        </is>
      </c>
      <c r="T218" s="29" t="inlineStr">
        <is>
          <t>(04/28/2026 ocm ran 19h): 21.04.26; Dementellement des ODUs en cours pour MAD à Huawei, update ASAP
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arrivés..;..;(04/28/2026 ocm ran 14h): 21.04.26; Dementellement des ODUs en cours pour MAD à Huawei, update ASAP
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arrivés..;..;(04/28/2026 com ran 10h): 21.04.26; Dementellement des ODUs en cours pour MAD à Huawei, update ASAP
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arrivés..;..;(04/28/2026 ocm ran 00h): 21.04.26; Dementellement des ODUs en cours pour MAD à Huawei, update ASAP
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t>
        </is>
      </c>
    </row>
    <row r="219" ht="18.75" customHeight="1">
      <c r="A219" s="14" t="n">
        <v>46140</v>
      </c>
      <c r="B219" s="23" t="inlineStr">
        <is>
          <t>Bangolan</t>
        </is>
      </c>
      <c r="C219" s="21" t="inlineStr">
        <is>
          <t>NRO_050</t>
        </is>
      </c>
      <c r="D219" s="53" t="inlineStr">
        <is>
          <t>NORD-OUEST</t>
        </is>
      </c>
      <c r="E219" s="23" t="inlineStr">
        <is>
          <t>IHS</t>
        </is>
      </c>
      <c r="F219" s="23" t="inlineStr">
        <is>
          <t>Hybrid-Gen</t>
        </is>
      </c>
      <c r="G219" s="53" t="inlineStr">
        <is>
          <t>NORD-OUEST</t>
        </is>
      </c>
      <c r="H219" s="23" t="inlineStr">
        <is>
          <t>Bangolan</t>
        </is>
      </c>
      <c r="I219" s="56" t="inlineStr">
        <is>
          <t>NOKIA</t>
        </is>
      </c>
      <c r="J219" s="25" t="n">
        <v>31.53476193901898</v>
      </c>
      <c r="K219" s="25" t="n">
        <v>13.05948264430776</v>
      </c>
      <c r="L219" s="25" t="n">
        <v>0</v>
      </c>
      <c r="M219" s="25" t="n">
        <v>8.887380041263237</v>
      </c>
      <c r="N219" s="68" t="inlineStr">
        <is>
          <t>Insecurity</t>
        </is>
      </c>
      <c r="O219" s="27" t="n"/>
      <c r="P219" s="28" t="inlineStr">
        <is>
          <t>IHS</t>
        </is>
      </c>
      <c r="Q219" s="28" t="inlineStr">
        <is>
          <t>POWER ISSUE</t>
        </is>
      </c>
      <c r="R219" s="29" t="inlineStr">
        <is>
          <t>Defaut GE &amp; Power Cabinet</t>
        </is>
      </c>
      <c r="S219" s="28" t="inlineStr">
        <is>
          <t>PASSIVE</t>
        </is>
      </c>
      <c r="T219" s="29" t="inlineStr">
        <is>
          <t>(0428/2026 incident ): impacted by  NRO_100_H_Bambalang ,retour IHS : FME reports GEN overloads, insecurity area, ||Gen overlaod, insecurity area / point escalade L3, pour un ETA  our intervenir ||Feedback HIS :FME manage toujours avec le level0 pour un acces au site car zone tres insecurisee..;..;(04/28/2026 hourly IHS): FME is informed and managing with L0...;..;(04/28/2026 ocm ran 19h): Power status check ongoing..;..;(04/28/2026 ocm ran 14h): Power status check ongoing..;..;(04/28/2026 ocm ran 00h): P1 incident at Bambalang..;..;(04/28/2026 ticket): INC-20260428-00016036…Others Transmission equipement fault</t>
        </is>
      </c>
    </row>
    <row r="220" ht="18.75" customHeight="1">
      <c r="A220" s="14" t="n">
        <v>46140</v>
      </c>
      <c r="B220" s="23" t="inlineStr">
        <is>
          <t>Ngo-Njo-II</t>
        </is>
      </c>
      <c r="C220" s="23" t="inlineStr">
        <is>
          <t>LIT_585</t>
        </is>
      </c>
      <c r="D220" s="53" t="inlineStr">
        <is>
          <t>Douala</t>
        </is>
      </c>
      <c r="E220" s="23" t="inlineStr">
        <is>
          <t>CAMUSAT</t>
        </is>
      </c>
      <c r="F220" s="23" t="inlineStr">
        <is>
          <t>Medium Grid + GE</t>
        </is>
      </c>
      <c r="G220" s="53" t="inlineStr">
        <is>
          <t>LITTORAL</t>
        </is>
      </c>
      <c r="H220" s="23" t="inlineStr">
        <is>
          <t>Douala</t>
        </is>
      </c>
      <c r="I220" s="54" t="inlineStr">
        <is>
          <t>ZTE</t>
        </is>
      </c>
      <c r="J220" s="25" t="n">
        <v>3.221556778533146</v>
      </c>
      <c r="K220" s="25" t="n">
        <v>2.717192658554082</v>
      </c>
      <c r="L220" s="25" t="n">
        <v>12.67665836009167</v>
      </c>
      <c r="M220" s="25" t="n">
        <v>7.982963219788091</v>
      </c>
      <c r="N220" s="68" t="inlineStr">
        <is>
          <t>Operationnel</t>
        </is>
      </c>
      <c r="O220" s="27" t="n"/>
      <c r="P220" s="28" t="inlineStr">
        <is>
          <t>AKTIVCO GRID ONLY</t>
        </is>
      </c>
      <c r="Q220" s="28" t="inlineStr">
        <is>
          <t>POWER ISSUE</t>
        </is>
      </c>
      <c r="R220" s="29" t="inlineStr">
        <is>
          <t>AKTIVCO Coupure ENEO &amp; Baisse de tension</t>
        </is>
      </c>
      <c r="S220" s="28" t="inlineStr">
        <is>
          <t>PASSIVE</t>
        </is>
      </c>
      <c r="T220" s="29" t="inlineStr">
        <is>
          <t>(04/28/2026 cell zte): 28/04/2026 : Besoin d'analyse BO RAN..;..;(04/28/2026 ticket): INC-20260428-00008903…impacté par bonamoutongo lll power issue grid outage no backup awaiting grid return …Others Transmission equipement fault</t>
        </is>
      </c>
    </row>
    <row r="221" ht="18.75" customHeight="1">
      <c r="A221" s="14" t="n">
        <v>46140</v>
      </c>
      <c r="B221" s="23" t="inlineStr">
        <is>
          <t>Fin-goudron-Mbangue</t>
        </is>
      </c>
      <c r="C221" s="21" t="inlineStr">
        <is>
          <t>LIT_844</t>
        </is>
      </c>
      <c r="D221" s="53" t="inlineStr">
        <is>
          <t>Douala</t>
        </is>
      </c>
      <c r="E221" s="23" t="inlineStr">
        <is>
          <t>CAMUSAT</t>
        </is>
      </c>
      <c r="F221" s="23" t="inlineStr">
        <is>
          <t>Bad-Grid-GE</t>
        </is>
      </c>
      <c r="G221" s="53" t="inlineStr">
        <is>
          <t>LITTORAL</t>
        </is>
      </c>
      <c r="H221" s="23" t="inlineStr">
        <is>
          <t>Douala</t>
        </is>
      </c>
      <c r="I221" s="54" t="inlineStr">
        <is>
          <t>ZTE</t>
        </is>
      </c>
      <c r="J221" s="25" t="n">
        <v>3.375303246485938</v>
      </c>
      <c r="K221" s="25" t="n">
        <v>2.871364892846578</v>
      </c>
      <c r="L221" s="25" t="n">
        <v>11.22670137042071</v>
      </c>
      <c r="M221" s="25" t="n">
        <v>7.300539618129571</v>
      </c>
      <c r="N221" s="68" t="inlineStr">
        <is>
          <t>Operationnel</t>
        </is>
      </c>
      <c r="O221" s="27" t="n"/>
      <c r="P221" s="28" t="inlineStr">
        <is>
          <t>AKTIVCO GRID ONLY</t>
        </is>
      </c>
      <c r="Q221" s="28" t="inlineStr">
        <is>
          <t>POWER ISSUE</t>
        </is>
      </c>
      <c r="R221" s="29" t="inlineStr">
        <is>
          <t>AKTIVCO Coupure ENEO &amp; Baisse de tension</t>
        </is>
      </c>
      <c r="S221" s="28" t="inlineStr">
        <is>
          <t>PASSIVE</t>
        </is>
      </c>
      <c r="T221" s="29" t="inlineStr">
        <is>
          <t>(04/28/2026 ocm ran 00h): Impacted by LIT_657_Z_Kotto-Denver (Power issue)</t>
        </is>
      </c>
    </row>
    <row r="222" ht="18.75" customHeight="1">
      <c r="A222" s="14" t="n">
        <v>46140</v>
      </c>
      <c r="B222" s="23" t="inlineStr">
        <is>
          <t>MABETA</t>
        </is>
      </c>
      <c r="C222" s="21" t="inlineStr">
        <is>
          <t>SUO_165</t>
        </is>
      </c>
      <c r="D222" s="53" t="inlineStr">
        <is>
          <t>SUD-OUEST</t>
        </is>
      </c>
      <c r="E222" s="23" t="inlineStr">
        <is>
          <t>IHS</t>
        </is>
      </c>
      <c r="F222" s="23" t="inlineStr">
        <is>
          <t>Hybrid-Gen</t>
        </is>
      </c>
      <c r="G222" s="53" t="inlineStr">
        <is>
          <t>SUD-OUEST</t>
        </is>
      </c>
      <c r="H222" s="23" t="inlineStr">
        <is>
          <t>Limbe</t>
        </is>
      </c>
      <c r="I222" s="56" t="inlineStr">
        <is>
          <t>NOKIA</t>
        </is>
      </c>
      <c r="J222" s="25" t="n">
        <v>9.546019527674863</v>
      </c>
      <c r="K222" s="25" t="n">
        <v>8.813636688189153</v>
      </c>
      <c r="L222" s="25" t="n">
        <v>3.8707012856867</v>
      </c>
      <c r="M222" s="25" t="n">
        <v>6.340536632437956</v>
      </c>
      <c r="N222" s="68" t="inlineStr">
        <is>
          <t>Operationnel</t>
        </is>
      </c>
      <c r="O222" s="27" t="n"/>
      <c r="P222" s="28" t="inlineStr">
        <is>
          <t>AKTIVCO</t>
        </is>
      </c>
      <c r="Q222" s="28" t="inlineStr">
        <is>
          <t>POWER ISSUE</t>
        </is>
      </c>
      <c r="R222" s="29" t="inlineStr">
        <is>
          <t>AKTIVCO Defaut GE &amp; Power Cabinet</t>
        </is>
      </c>
      <c r="S222" s="28" t="inlineStr">
        <is>
          <t>PASSIVE</t>
        </is>
      </c>
      <c r="T222" s="30" t="inlineStr">
        <is>
          <t>(04/28/2026 ocm ran 19h): Impacted by SUO_081_H_Limbe-Bimbia-CRTV..;..;(04/28/2026 ticket): INC-20260428-00017059</t>
        </is>
      </c>
    </row>
    <row r="223" ht="18.75" customHeight="1">
      <c r="A223" s="14" t="n">
        <v>46140</v>
      </c>
      <c r="B223" s="53" t="inlineStr">
        <is>
          <t>LIT_871_Z_Bonamatoumbe-III-IHS</t>
        </is>
      </c>
      <c r="C223" s="53" t="inlineStr">
        <is>
          <t>LIT_871</t>
        </is>
      </c>
      <c r="D223" s="53" t="inlineStr">
        <is>
          <t>Douala</t>
        </is>
      </c>
      <c r="E223" s="53" t="inlineStr">
        <is>
          <t>I_HS</t>
        </is>
      </c>
      <c r="F223" s="53" t="inlineStr">
        <is>
          <t>Grid-Gen</t>
        </is>
      </c>
      <c r="G223" s="53" t="inlineStr">
        <is>
          <t>LITTORAL</t>
        </is>
      </c>
      <c r="H223" s="53" t="inlineStr">
        <is>
          <t>Douala</t>
        </is>
      </c>
      <c r="I223" s="54" t="inlineStr">
        <is>
          <t>ZTE</t>
        </is>
      </c>
      <c r="J223" s="25" t="n">
        <v>3.513312870440312</v>
      </c>
      <c r="K223" s="25" t="n">
        <v>3.099488798446846</v>
      </c>
      <c r="L223" s="25" t="n">
        <v>6.603398800963957</v>
      </c>
      <c r="M223" s="25" t="n">
        <v>4.985831813784661</v>
      </c>
      <c r="N223" s="68" t="inlineStr">
        <is>
          <t>Operationnel</t>
        </is>
      </c>
      <c r="O223" s="27" t="n"/>
      <c r="P223" s="28" t="inlineStr">
        <is>
          <t>IHS</t>
        </is>
      </c>
      <c r="Q223" s="28" t="inlineStr">
        <is>
          <t>POWER ISSUE</t>
        </is>
      </c>
      <c r="R223" s="29" t="inlineStr">
        <is>
          <t>Defaut GE &amp; Power Cabinet</t>
        </is>
      </c>
      <c r="S223" s="28" t="inlineStr">
        <is>
          <t>PASSIVE</t>
        </is>
      </c>
      <c r="T223" s="29" t="inlineStr">
        <is>
          <t>(04/28/2026 retour IHS ): Power issue NUR to be checked   ||  (0428/2026 incident ): impacted by LIT_181_Z_Bonendale(LIT-181)   Grid outage , Gen fault to start due to alarm "highvolt"" ||  Action : He reset Gen card and  Gen started..;..;(04/28/2026 hourly IHS): FME is on the way ETA 14:55 Maxime is informed..;..;(04/28/2026 ocm ran 14h): Power status check ongoing..;..;(04/28/2026 ticket): INC-20260428-00015333…2026-04-28 23:07:28…Grid outage, Gen failed to start due to alarm "s2 high volt"// He reset Gen card and Gen started…power issue GE failure manque secteur IHS est informé …Others…Grid outage, Gen failed to start due to alarm " high volt</t>
        </is>
      </c>
    </row>
    <row r="224" ht="18.75" customHeight="1">
      <c r="A224" s="14" t="n">
        <v>46140</v>
      </c>
      <c r="B224" s="23" t="inlineStr">
        <is>
          <t>Bberi-Excellence</t>
        </is>
      </c>
      <c r="C224" s="23" t="inlineStr">
        <is>
          <t>LIT_645</t>
        </is>
      </c>
      <c r="D224" s="53" t="inlineStr">
        <is>
          <t>Douala</t>
        </is>
      </c>
      <c r="E224" s="23" t="inlineStr">
        <is>
          <t>CAMUSAT</t>
        </is>
      </c>
      <c r="F224" s="23" t="inlineStr">
        <is>
          <t>Good Grid no GE - 8h</t>
        </is>
      </c>
      <c r="G224" s="53" t="inlineStr">
        <is>
          <t>LITTORAL</t>
        </is>
      </c>
      <c r="H224" s="23" t="inlineStr">
        <is>
          <t>Douala</t>
        </is>
      </c>
      <c r="I224" s="54" t="inlineStr">
        <is>
          <t>ZTE</t>
        </is>
      </c>
      <c r="J224" s="25" t="n">
        <v>3.62771722839706</v>
      </c>
      <c r="K224" s="25" t="n">
        <v>3.149533679461157</v>
      </c>
      <c r="L224" s="25" t="n">
        <v>5.286446876224371</v>
      </c>
      <c r="M224" s="25" t="n">
        <v>4.332194028530417</v>
      </c>
      <c r="N224" s="68" t="inlineStr">
        <is>
          <t>Operationnel</t>
        </is>
      </c>
      <c r="O224" s="27" t="n"/>
      <c r="P224" s="28" t="inlineStr">
        <is>
          <t>IHS</t>
        </is>
      </c>
      <c r="Q224" s="28" t="inlineStr">
        <is>
          <t>POWER ISSUE</t>
        </is>
      </c>
      <c r="R224" s="29" t="inlineStr">
        <is>
          <t>Defaut GE &amp; Power Cabinet</t>
        </is>
      </c>
      <c r="S224" s="28" t="inlineStr">
        <is>
          <t>PASSIVE</t>
        </is>
      </c>
      <c r="T224" s="29" t="inlineStr">
        <is>
          <t>(0428/2026 incident ): impacted by LIT_181_Z_Bonendale(LIT-181)   Grid outage , Gen fault to start due to alarm "highvolt"" ||  Action : He reset Gen card and  Gen started..;..;(04/28/2026 ocm ran 14h): Power status check ongoing..;..;(04/28/2026 ticket): INC-20260428-00015328…2026-04-28 23:07:28…Grid outage, Gen failed to start due to alarm "s2 high volt"// He reset Gen card and Gen started…He reset Gen card and Gen started.…Others…Grid outage, Gen failed to start due to alarm " high volt</t>
        </is>
      </c>
    </row>
    <row r="225" ht="18.75" customHeight="1">
      <c r="A225" s="14" t="n">
        <v>46140</v>
      </c>
      <c r="B225" s="23" t="inlineStr">
        <is>
          <t>Sodiko-III-MTN</t>
        </is>
      </c>
      <c r="C225" s="21" t="inlineStr">
        <is>
          <t>LIT_741</t>
        </is>
      </c>
      <c r="D225" s="53" t="inlineStr">
        <is>
          <t>Douala</t>
        </is>
      </c>
      <c r="E225" s="23" t="inlineStr">
        <is>
          <t>MTN</t>
        </is>
      </c>
      <c r="F225" s="23" t="n"/>
      <c r="G225" s="53" t="inlineStr">
        <is>
          <t>LITTORAL</t>
        </is>
      </c>
      <c r="H225" s="23" t="inlineStr">
        <is>
          <t>Douala</t>
        </is>
      </c>
      <c r="I225" s="54" t="inlineStr">
        <is>
          <t>ZTE</t>
        </is>
      </c>
      <c r="J225" s="25" t="n">
        <v>3.584128668433189</v>
      </c>
      <c r="K225" s="25" t="n">
        <v>3.047690752811013</v>
      </c>
      <c r="L225" s="25" t="n">
        <v>4.926693654827335</v>
      </c>
      <c r="M225" s="25" t="n">
        <v>4.104172552242511</v>
      </c>
      <c r="N225" s="68" t="inlineStr">
        <is>
          <t>Operationnel</t>
        </is>
      </c>
      <c r="O225" s="27" t="n"/>
      <c r="P225" s="28" t="inlineStr">
        <is>
          <t>IHS</t>
        </is>
      </c>
      <c r="Q225" s="28" t="inlineStr">
        <is>
          <t>POWER ISSUE</t>
        </is>
      </c>
      <c r="R225" s="29" t="inlineStr">
        <is>
          <t>Defaut GE &amp; Power Cabinet</t>
        </is>
      </c>
      <c r="S225" s="28" t="inlineStr">
        <is>
          <t>PASSIVE</t>
        </is>
      </c>
      <c r="T225" s="29" t="inlineStr">
        <is>
          <t>(0428/2026 incident ): impacted by LIT_181_Z_Bonendale(LIT-181)   Grid outage , Gen fault to start due to alarm "highvolt"" ||  Action : He reset Gen card and  Gen started..;..;(04/28/2026 ocm ran 14h): Power status check ongoing..;..;(04/28/2026 ticket): INC-20260428-00015345…2026-04-28 23:07:28…Grid outage, Gen failed to start due to alarm "s2 high volt"// He reset Gen card and Gen started…He reset Gen card and Gen started.…Others…Grid outage, Gen failed to start due to alarm " high volt</t>
        </is>
      </c>
    </row>
    <row r="226" ht="18.75" customHeight="1">
      <c r="A226" s="14" t="n">
        <v>46140</v>
      </c>
      <c r="B226" s="23" t="inlineStr">
        <is>
          <t>Febadi-MTN</t>
        </is>
      </c>
      <c r="C226" s="21" t="inlineStr">
        <is>
          <t>ADM_063</t>
        </is>
      </c>
      <c r="D226" s="53" t="inlineStr">
        <is>
          <t>ADAMAOUA</t>
        </is>
      </c>
      <c r="E226" s="23" t="inlineStr">
        <is>
          <t>IHS</t>
        </is>
      </c>
      <c r="F226" s="23" t="inlineStr">
        <is>
          <t>Solar-Gen</t>
        </is>
      </c>
      <c r="G226" s="53" t="inlineStr">
        <is>
          <t>ADAMAOUA</t>
        </is>
      </c>
      <c r="H226" s="23" t="inlineStr">
        <is>
          <t>Febadi</t>
        </is>
      </c>
      <c r="I226" s="56" t="inlineStr">
        <is>
          <t>NOKIA</t>
        </is>
      </c>
      <c r="J226" s="25" t="n">
        <v>11.48152644389291</v>
      </c>
      <c r="K226" s="25" t="n">
        <v>4.890053213587763</v>
      </c>
      <c r="L226" s="25" t="n">
        <v>0</v>
      </c>
      <c r="M226" s="25" t="n">
        <v>3.281208180395694</v>
      </c>
      <c r="N226" s="68" t="inlineStr">
        <is>
          <t>Operationnel</t>
        </is>
      </c>
      <c r="O226" s="27" t="n"/>
      <c r="P226" s="28" t="inlineStr">
        <is>
          <t>PDH</t>
        </is>
      </c>
      <c r="Q226" s="28" t="inlineStr">
        <is>
          <t>TX ISSUE</t>
        </is>
      </c>
      <c r="R226" s="29" t="inlineStr">
        <is>
          <t>MPR ISSUE</t>
        </is>
      </c>
      <c r="S226" s="28" t="inlineStr">
        <is>
          <t>ACTIVE</t>
        </is>
      </c>
      <c r="T226" s="30" t="inlineStr">
        <is>
          <t>(04/28/2026 ocm ran 19h): Impacted by Febadi-MTN_G9U9L8L7_ADM_063..;..;(04/28/2026 ocm ran 14h): Power status check ongoing..;..;(04/28/2026 ticket): INC-20260428-00007165…2026-04-28 16:45:27…Impacted by DANFILI-IHS_ADM_122</t>
        </is>
      </c>
    </row>
    <row r="227" ht="18.75" customHeight="1">
      <c r="A227" s="14" t="n">
        <v>46140</v>
      </c>
      <c r="B227" s="23" t="inlineStr">
        <is>
          <t>Ayos</t>
        </is>
      </c>
      <c r="C227" s="21" t="inlineStr">
        <is>
          <t>EST_018</t>
        </is>
      </c>
      <c r="D227" s="53" t="inlineStr">
        <is>
          <t>CENTRE</t>
        </is>
      </c>
      <c r="E227" s="23" t="inlineStr">
        <is>
          <t>IHS</t>
        </is>
      </c>
      <c r="F227" s="23" t="inlineStr">
        <is>
          <t>Grid-Gen</t>
        </is>
      </c>
      <c r="G227" s="53" t="inlineStr">
        <is>
          <t>EST</t>
        </is>
      </c>
      <c r="H227" s="23" t="inlineStr">
        <is>
          <t>Ayos</t>
        </is>
      </c>
      <c r="I227" s="56" t="inlineStr">
        <is>
          <t>NOKIA</t>
        </is>
      </c>
      <c r="J227" s="25" t="n">
        <v>4.832460063387009</v>
      </c>
      <c r="K227" s="25" t="n">
        <v>5.64226814025997</v>
      </c>
      <c r="L227" s="25" t="n">
        <v>0.9104400049734503</v>
      </c>
      <c r="M227" s="25" t="n">
        <v>3.059033388695934</v>
      </c>
      <c r="N227" s="68" t="inlineStr">
        <is>
          <t>Operationnel</t>
        </is>
      </c>
      <c r="O227" s="27" t="n"/>
      <c r="P227" s="28" t="inlineStr">
        <is>
          <t>IHS</t>
        </is>
      </c>
      <c r="Q227" s="28" t="inlineStr">
        <is>
          <t>POWER ISSUE</t>
        </is>
      </c>
      <c r="R227" s="29" t="inlineStr">
        <is>
          <t>Defaut GE &amp; Power Cabinet</t>
        </is>
      </c>
      <c r="S227" s="28" t="inlineStr">
        <is>
          <t>PASSIVE</t>
        </is>
      </c>
      <c r="T227" s="29" t="inlineStr">
        <is>
          <t>(04/28/2026 hourly IHS): Honnest reports swapping the Bay on site..;..;(04/28/2026 cell nokia): 28/04/2026 : Check breaker and  interconnection ARMA(sfp, optical fiber) between system and radio module, swap its if needed || FME essiane  activer ||Cell impacter par le swap de la baie d'energie par IHS ..;..;(04/28/2026 ocm ran 14h): Power status check ongoing</t>
        </is>
      </c>
    </row>
    <row r="228" ht="18.75" customHeight="1">
      <c r="A228" s="14" t="n">
        <v>46140</v>
      </c>
      <c r="B228" s="53" t="inlineStr">
        <is>
          <t>LIT_862_Z_Bonamatoumbe-Village</t>
        </is>
      </c>
      <c r="C228" s="36" t="inlineStr">
        <is>
          <t>LIT_862</t>
        </is>
      </c>
      <c r="D228" s="53" t="inlineStr">
        <is>
          <t>Douala</t>
        </is>
      </c>
      <c r="E228" s="23" t="inlineStr">
        <is>
          <t>ESCO</t>
        </is>
      </c>
      <c r="F228" s="53" t="inlineStr">
        <is>
          <t>GE</t>
        </is>
      </c>
      <c r="G228" s="53" t="inlineStr">
        <is>
          <t>LITTORAL</t>
        </is>
      </c>
      <c r="H228" s="53" t="inlineStr">
        <is>
          <t>Douala</t>
        </is>
      </c>
      <c r="I228" s="54" t="inlineStr">
        <is>
          <t>ZTE</t>
        </is>
      </c>
      <c r="J228" s="25" t="n">
        <v>2.506279750128892</v>
      </c>
      <c r="K228" s="25" t="n">
        <v>2.26987004906311</v>
      </c>
      <c r="L228" s="25" t="n">
        <v>3.681699214432209</v>
      </c>
      <c r="M228" s="25" t="n">
        <v>3.039882088730228</v>
      </c>
      <c r="N228" s="68" t="inlineStr">
        <is>
          <t>Operationnel</t>
        </is>
      </c>
      <c r="O228" s="27" t="n"/>
      <c r="P228" s="28" t="inlineStr">
        <is>
          <t>IHS</t>
        </is>
      </c>
      <c r="Q228" s="28" t="inlineStr">
        <is>
          <t>POWER ISSUE</t>
        </is>
      </c>
      <c r="R228" s="29" t="inlineStr">
        <is>
          <t>Defaut GE &amp; Power Cabinet</t>
        </is>
      </c>
      <c r="S228" s="28" t="inlineStr">
        <is>
          <t>PASSIVE</t>
        </is>
      </c>
      <c r="T228" s="29" t="inlineStr">
        <is>
          <t>(0428/2026 incident ): impacted by LIT_181_Z_Bonendale(LIT-181)   Grid outage , Gen fault to start due to alarm "highvolt"" ||  Action : He reset Gen card and  Gen started</t>
        </is>
      </c>
    </row>
    <row r="229" ht="18.75" customHeight="1">
      <c r="A229" s="14" t="n">
        <v>46140</v>
      </c>
      <c r="B229" s="23" t="inlineStr">
        <is>
          <t>Ossing-IHS</t>
        </is>
      </c>
      <c r="C229" s="21" t="inlineStr">
        <is>
          <t>SUO_100</t>
        </is>
      </c>
      <c r="D229" s="53" t="inlineStr">
        <is>
          <t>SUD-OUEST</t>
        </is>
      </c>
      <c r="E229" s="23" t="inlineStr">
        <is>
          <t>IHS</t>
        </is>
      </c>
      <c r="F229" s="23" t="inlineStr">
        <is>
          <t>Hybrid-Gen</t>
        </is>
      </c>
      <c r="G229" s="53" t="inlineStr">
        <is>
          <t>SUD-OUEST</t>
        </is>
      </c>
      <c r="H229" s="23" t="inlineStr">
        <is>
          <t>Ossing</t>
        </is>
      </c>
      <c r="I229" s="56" t="inlineStr">
        <is>
          <t>NOKIA</t>
        </is>
      </c>
      <c r="J229" s="25" t="n">
        <v>7.533077347337626</v>
      </c>
      <c r="K229" s="25" t="n">
        <v>4.448256780603241</v>
      </c>
      <c r="L229" s="25" t="n">
        <v>0</v>
      </c>
      <c r="M229" s="25" t="n">
        <v>2.569053856229293</v>
      </c>
      <c r="N229" s="68" t="inlineStr">
        <is>
          <t>Insecurity</t>
        </is>
      </c>
      <c r="O229" s="27" t="n"/>
      <c r="P229" s="28" t="inlineStr">
        <is>
          <t>IHS</t>
        </is>
      </c>
      <c r="Q229" s="28" t="inlineStr">
        <is>
          <t>POWER ISSUE</t>
        </is>
      </c>
      <c r="R229" s="29" t="inlineStr">
        <is>
          <t>Defaut GE &amp; Power Cabinet</t>
        </is>
      </c>
      <c r="S229" s="28" t="inlineStr">
        <is>
          <t>PASSIVE</t>
        </is>
      </c>
      <c r="T229" s="29" t="inlineStr">
        <is>
          <t>(0428/2026 incident ): impacted by SUO_030_N_Bachuo-Ntai , Power issue at OST_029_N_Meguia || Action :en attente RCA HIS..;..;(04/28/2026 ticket): INC-20260428-00002892…power instability …Others Transmission equipement fault</t>
        </is>
      </c>
    </row>
    <row r="230" ht="18.75" customHeight="1">
      <c r="A230" s="14" t="n">
        <v>46140</v>
      </c>
      <c r="B230" s="23" t="inlineStr">
        <is>
          <t>Bonendale</t>
        </is>
      </c>
      <c r="C230" s="23" t="inlineStr">
        <is>
          <t>LIT_181</t>
        </is>
      </c>
      <c r="D230" s="53" t="inlineStr">
        <is>
          <t>Douala</t>
        </is>
      </c>
      <c r="E230" s="23" t="inlineStr">
        <is>
          <t>IHS</t>
        </is>
      </c>
      <c r="F230" s="23" t="inlineStr">
        <is>
          <t>Grid-Gen</t>
        </is>
      </c>
      <c r="G230" s="53" t="inlineStr">
        <is>
          <t>LITTORAL</t>
        </is>
      </c>
      <c r="H230" s="23" t="inlineStr">
        <is>
          <t>Douala</t>
        </is>
      </c>
      <c r="I230" s="54" t="inlineStr">
        <is>
          <t>ZTE</t>
        </is>
      </c>
      <c r="J230" s="25" t="n">
        <v>1.727305972207235</v>
      </c>
      <c r="K230" s="25" t="n">
        <v>1.530565840788001</v>
      </c>
      <c r="L230" s="25" t="n">
        <v>2.772141564175132</v>
      </c>
      <c r="M230" s="25" t="n">
        <v>2.206127847548604</v>
      </c>
      <c r="N230" s="68" t="inlineStr">
        <is>
          <t>Operationnel</t>
        </is>
      </c>
      <c r="O230" s="27" t="n"/>
      <c r="P230" s="28" t="inlineStr">
        <is>
          <t>IHS</t>
        </is>
      </c>
      <c r="Q230" s="28" t="inlineStr">
        <is>
          <t>POWER ISSUE</t>
        </is>
      </c>
      <c r="R230" s="29" t="inlineStr">
        <is>
          <t>Defaut GE &amp; Power Cabinet</t>
        </is>
      </c>
      <c r="S230" s="28" t="inlineStr">
        <is>
          <t>PASSIVE</t>
        </is>
      </c>
      <c r="T230" s="29" t="inlineStr">
        <is>
          <t>(0428/2026 incident ): impacted by LIT_181_Z_Bonendale(LIT-181)   Grid outage , Gen fault to start due to alarm "highvolt"" ||  Action : He reset Gen card and  Gen started..;..;(04/28/2026 hourly IHS): fme is on the way to site ETA=09:10 PM..;..;(04/28/2026 ticket): INC-20260428-00015338…2026-04-28 23:07:28…Grid outage, Gen failed to start due to alarm "s2 high volt"// He reset Gen card and Gen started…He reset Gen card and Gen started.…Others…Grid outage, Gen failed to start due to alarm " high volt</t>
        </is>
      </c>
    </row>
    <row r="231" ht="18.75" customHeight="1">
      <c r="A231" s="14" t="n">
        <v>46140</v>
      </c>
      <c r="B231" s="23" t="inlineStr">
        <is>
          <t>Bonendale-II</t>
        </is>
      </c>
      <c r="C231" s="23" t="inlineStr">
        <is>
          <t>LIT_641</t>
        </is>
      </c>
      <c r="D231" s="53" t="inlineStr">
        <is>
          <t>Douala</t>
        </is>
      </c>
      <c r="E231" s="23" t="inlineStr">
        <is>
          <t>CAMUSAT</t>
        </is>
      </c>
      <c r="F231" s="23" t="inlineStr">
        <is>
          <t>Good Grid + GE</t>
        </is>
      </c>
      <c r="G231" s="53" t="inlineStr">
        <is>
          <t>LITTORAL</t>
        </is>
      </c>
      <c r="H231" s="23" t="inlineStr">
        <is>
          <t>Douala</t>
        </is>
      </c>
      <c r="I231" s="54" t="inlineStr">
        <is>
          <t>ZTE</t>
        </is>
      </c>
      <c r="J231" s="25" t="n">
        <v>1.648746647802437</v>
      </c>
      <c r="K231" s="25" t="n">
        <v>1.40061915399288</v>
      </c>
      <c r="L231" s="25" t="n">
        <v>2.262043712940527</v>
      </c>
      <c r="M231" s="25" t="n">
        <v>1.885274788618652</v>
      </c>
      <c r="N231" s="68" t="inlineStr">
        <is>
          <t>Operationnel</t>
        </is>
      </c>
      <c r="O231" s="27" t="n"/>
      <c r="P231" s="28" t="inlineStr">
        <is>
          <t>IHS</t>
        </is>
      </c>
      <c r="Q231" s="28" t="inlineStr">
        <is>
          <t>POWER ISSUE</t>
        </is>
      </c>
      <c r="R231" s="29" t="inlineStr">
        <is>
          <t>Defaut GE &amp; Power Cabinet</t>
        </is>
      </c>
      <c r="S231" s="28" t="inlineStr">
        <is>
          <t>PASSIVE</t>
        </is>
      </c>
      <c r="T231" s="29" t="inlineStr">
        <is>
          <t>(0428/2026 incident ): impacted by LIT_181_Z_Bonendale(LIT-181)   Grid outage , Gen fault to start due to alarm "highvolt"" ||  Action : He reset Gen card and  Gen started..;..;(04/28/2026 ticket): INC-20260428-00015327…2026-04-28 23:07:28…Grid outage, Gen failed to start due to alarm "s2 high volt"// He reset Gen card and Gen started…He reset Gen card and Gen started.…Others…Grid outage, Gen failed to start due to alarm " high volt</t>
        </is>
      </c>
    </row>
    <row r="232" ht="18.75" customHeight="1">
      <c r="A232" s="14" t="n">
        <v>46140</v>
      </c>
      <c r="B232" s="23" t="inlineStr">
        <is>
          <t>Bachuo-Ntai</t>
        </is>
      </c>
      <c r="C232" s="21" t="inlineStr">
        <is>
          <t>SUO_030</t>
        </is>
      </c>
      <c r="D232" s="53" t="inlineStr">
        <is>
          <t>SUD-OUEST</t>
        </is>
      </c>
      <c r="E232" s="23" t="inlineStr">
        <is>
          <t>IHS</t>
        </is>
      </c>
      <c r="F232" s="23" t="inlineStr">
        <is>
          <t>Grid-Gen</t>
        </is>
      </c>
      <c r="G232" s="53" t="inlineStr">
        <is>
          <t>SUD-OUEST</t>
        </is>
      </c>
      <c r="H232" s="23" t="inlineStr">
        <is>
          <t>Bashuo-Ntai</t>
        </is>
      </c>
      <c r="I232" s="56" t="inlineStr">
        <is>
          <t>NOKIA</t>
        </is>
      </c>
      <c r="J232" s="25" t="n">
        <v>5.028296344256201</v>
      </c>
      <c r="K232" s="25" t="n">
        <v>3.052100227465141</v>
      </c>
      <c r="L232" s="25" t="n">
        <v>0</v>
      </c>
      <c r="M232" s="25" t="n">
        <v>1.742665502392754</v>
      </c>
      <c r="N232" s="68" t="inlineStr">
        <is>
          <t>Insecurity</t>
        </is>
      </c>
      <c r="O232" s="27" t="n"/>
      <c r="P232" s="28" t="inlineStr">
        <is>
          <t>IHS</t>
        </is>
      </c>
      <c r="Q232" s="28" t="inlineStr">
        <is>
          <t>POWER ISSUE</t>
        </is>
      </c>
      <c r="R232" s="29" t="inlineStr">
        <is>
          <t>Defaut GE &amp; Power Cabinet</t>
        </is>
      </c>
      <c r="S232" s="28" t="inlineStr">
        <is>
          <t>PASSIVE</t>
        </is>
      </c>
      <c r="T232" s="29" t="inlineStr">
        <is>
          <t>(0428/2026 incident ): impacted by SUO_030_N_Bachuo-Ntai , Power issue at OST_029_N_Meguia || Action :en attente RCA HIS..;..;(04/28/2026 ticket): INC-20260428-00010714…Others Transmission equipement fault</t>
        </is>
      </c>
    </row>
    <row r="233" ht="18.75" customHeight="1">
      <c r="A233" s="14" t="n">
        <v>46140</v>
      </c>
      <c r="B233" s="23" t="inlineStr">
        <is>
          <t>Gabarairou</t>
        </is>
      </c>
      <c r="C233" s="21" t="inlineStr">
        <is>
          <t>EXN_210</t>
        </is>
      </c>
      <c r="D233" s="53" t="inlineStr">
        <is>
          <t>EXTREME-NORD</t>
        </is>
      </c>
      <c r="E233" s="23" t="inlineStr">
        <is>
          <t>IHS</t>
        </is>
      </c>
      <c r="F233" s="23" t="inlineStr">
        <is>
          <t>Hybrid-Gen</t>
        </is>
      </c>
      <c r="G233" s="53" t="inlineStr">
        <is>
          <t>EXTREME-NORD</t>
        </is>
      </c>
      <c r="H233" s="23" t="inlineStr">
        <is>
          <t>Moulvoudaye</t>
        </is>
      </c>
      <c r="I233" s="55" t="inlineStr">
        <is>
          <t>HUAWEI</t>
        </is>
      </c>
      <c r="J233" s="25" t="n">
        <v>0</v>
      </c>
      <c r="K233" s="25" t="n">
        <v>4.031959872293114</v>
      </c>
      <c r="L233" s="25" t="n">
        <v>0</v>
      </c>
      <c r="M233" s="25" t="n">
        <v>1.353575433820445</v>
      </c>
      <c r="N233" s="68" t="inlineStr">
        <is>
          <t>Insecurity</t>
        </is>
      </c>
      <c r="O233" s="27" t="n"/>
      <c r="P233" s="28" t="inlineStr">
        <is>
          <t>PDH</t>
        </is>
      </c>
      <c r="Q233" s="28" t="inlineStr">
        <is>
          <t>TX ISSUE</t>
        </is>
      </c>
      <c r="R233" s="29" t="inlineStr">
        <is>
          <t>ODU HS</t>
        </is>
      </c>
      <c r="S233" s="28" t="inlineStr">
        <is>
          <t>ACTIVE</t>
        </is>
      </c>
      <c r="T233" s="29" t="inlineStr">
        <is>
          <t>(0428/2026 incident ): impacted by EXN_190_H_Dargala-New,   Jack IN - jack out cable ODU direction Dargala - MPR</t>
        </is>
      </c>
    </row>
    <row r="234" ht="18.75" customHeight="1">
      <c r="A234" s="14" t="n">
        <v>46140</v>
      </c>
      <c r="B234" s="23" t="inlineStr">
        <is>
          <t>Sedek</t>
        </is>
      </c>
      <c r="C234" s="21" t="inlineStr">
        <is>
          <t>EXN_218</t>
        </is>
      </c>
      <c r="D234" s="53" t="inlineStr">
        <is>
          <t>EXTREME-NORD</t>
        </is>
      </c>
      <c r="E234" s="23" t="inlineStr">
        <is>
          <t>IHS</t>
        </is>
      </c>
      <c r="F234" s="23" t="inlineStr">
        <is>
          <t>Hybrid-Gen</t>
        </is>
      </c>
      <c r="G234" s="53" t="inlineStr">
        <is>
          <t>EXTREME-NORD</t>
        </is>
      </c>
      <c r="H234" s="23" t="inlineStr">
        <is>
          <t>Sedek</t>
        </is>
      </c>
      <c r="I234" s="55" t="inlineStr">
        <is>
          <t>HUAWEI</t>
        </is>
      </c>
      <c r="J234" s="25" t="n">
        <v>0</v>
      </c>
      <c r="K234" s="25" t="n">
        <v>4.031853619891809</v>
      </c>
      <c r="L234" s="25" t="n">
        <v>0</v>
      </c>
      <c r="M234" s="25" t="n">
        <v>1.35353976366381</v>
      </c>
      <c r="N234" s="68" t="inlineStr">
        <is>
          <t>Insecurity</t>
        </is>
      </c>
      <c r="O234" s="27" t="n"/>
      <c r="P234" s="28" t="inlineStr">
        <is>
          <t>PDH</t>
        </is>
      </c>
      <c r="Q234" s="28" t="inlineStr">
        <is>
          <t>TX ISSUE</t>
        </is>
      </c>
      <c r="R234" s="29" t="inlineStr">
        <is>
          <t>ODU HS</t>
        </is>
      </c>
      <c r="S234" s="28" t="inlineStr">
        <is>
          <t>ACTIVE</t>
        </is>
      </c>
      <c r="T234" s="29" t="inlineStr">
        <is>
          <t>(0428/2026 incident ): impacted by EXN_190_H_Dargala-New,   Jack IN - jack out cable ODU direction Dargala - MPR</t>
        </is>
      </c>
    </row>
    <row r="235" ht="18.75" customHeight="1">
      <c r="A235" s="14" t="n">
        <v>46140</v>
      </c>
      <c r="B235" s="23" t="inlineStr">
        <is>
          <t>Ouro-Zangui</t>
        </is>
      </c>
      <c r="C235" s="21" t="inlineStr">
        <is>
          <t>EXN_199</t>
        </is>
      </c>
      <c r="D235" s="53" t="inlineStr">
        <is>
          <t>EXTREME-NORD</t>
        </is>
      </c>
      <c r="E235" s="23" t="inlineStr">
        <is>
          <t>IHS</t>
        </is>
      </c>
      <c r="F235" s="23" t="inlineStr">
        <is>
          <t>Hybrid-Gen</t>
        </is>
      </c>
      <c r="G235" s="53" t="inlineStr">
        <is>
          <t>EXTREME-NORD</t>
        </is>
      </c>
      <c r="H235" s="23" t="inlineStr">
        <is>
          <t>Ouro Zangui</t>
        </is>
      </c>
      <c r="I235" s="55" t="inlineStr">
        <is>
          <t>HUAWEI</t>
        </is>
      </c>
      <c r="J235" s="25" t="n">
        <v>0</v>
      </c>
      <c r="K235" s="25" t="n">
        <v>4.025690980616162</v>
      </c>
      <c r="L235" s="25" t="n">
        <v>0</v>
      </c>
      <c r="M235" s="25" t="n">
        <v>1.351470894578992</v>
      </c>
      <c r="N235" s="68" t="inlineStr">
        <is>
          <t>Insecurity</t>
        </is>
      </c>
      <c r="O235" s="27" t="n"/>
      <c r="P235" s="28" t="inlineStr">
        <is>
          <t>PDH</t>
        </is>
      </c>
      <c r="Q235" s="28" t="inlineStr">
        <is>
          <t>TX ISSUE</t>
        </is>
      </c>
      <c r="R235" s="29" t="inlineStr">
        <is>
          <t>ODU HS</t>
        </is>
      </c>
      <c r="S235" s="28" t="inlineStr">
        <is>
          <t>ACTIVE</t>
        </is>
      </c>
      <c r="T235" s="29" t="inlineStr">
        <is>
          <t>(0428/2026 incident ): impacted by EXN_190_H_Dargala-New,   Jack IN - jack out cable ODU direction Dargala - MPR</t>
        </is>
      </c>
    </row>
    <row r="236" ht="18.75" customHeight="1">
      <c r="A236" s="14" t="n">
        <v>46140</v>
      </c>
      <c r="B236" s="23" t="inlineStr">
        <is>
          <t>Dargala-New</t>
        </is>
      </c>
      <c r="C236" s="21" t="inlineStr">
        <is>
          <t>EXN_190</t>
        </is>
      </c>
      <c r="D236" s="53" t="inlineStr">
        <is>
          <t>EXTREME-NORD</t>
        </is>
      </c>
      <c r="E236" s="23" t="inlineStr">
        <is>
          <t>IHS</t>
        </is>
      </c>
      <c r="F236" s="23" t="inlineStr">
        <is>
          <t>Grid-Gen</t>
        </is>
      </c>
      <c r="G236" s="53" t="inlineStr">
        <is>
          <t>EXTREME-NORD</t>
        </is>
      </c>
      <c r="H236" s="23" t="inlineStr">
        <is>
          <t>Dargala</t>
        </is>
      </c>
      <c r="I236" s="55" t="inlineStr">
        <is>
          <t>HUAWEI</t>
        </is>
      </c>
      <c r="J236" s="25" t="n">
        <v>0</v>
      </c>
      <c r="K236" s="25" t="n">
        <v>4.025531602014206</v>
      </c>
      <c r="L236" s="25" t="n">
        <v>0</v>
      </c>
      <c r="M236" s="25" t="n">
        <v>1.35141738934404</v>
      </c>
      <c r="N236" s="68" t="inlineStr">
        <is>
          <t>Insecurity</t>
        </is>
      </c>
      <c r="O236" s="27" t="n"/>
      <c r="P236" s="28" t="inlineStr">
        <is>
          <t>PDH</t>
        </is>
      </c>
      <c r="Q236" s="28" t="inlineStr">
        <is>
          <t>TX ISSUE</t>
        </is>
      </c>
      <c r="R236" s="29" t="inlineStr">
        <is>
          <t>ODU HS</t>
        </is>
      </c>
      <c r="S236" s="28" t="inlineStr">
        <is>
          <t>ACTIVE</t>
        </is>
      </c>
      <c r="T236" s="29" t="inlineStr">
        <is>
          <t>(0428/2026 incident ): impacted by EXN_190_H_Dargala-New,   Jack IN - jack out cable ODU direction Dargala - MPR</t>
        </is>
      </c>
    </row>
    <row r="237" ht="18.75" customHeight="1">
      <c r="A237" s="14" t="n">
        <v>46140</v>
      </c>
      <c r="B237" s="23" t="inlineStr">
        <is>
          <t>Gagadje</t>
        </is>
      </c>
      <c r="C237" s="21" t="inlineStr">
        <is>
          <t>EXN_209</t>
        </is>
      </c>
      <c r="D237" s="53" t="inlineStr">
        <is>
          <t>EXTREME-NORD</t>
        </is>
      </c>
      <c r="E237" s="23" t="inlineStr">
        <is>
          <t>CAMUSAT</t>
        </is>
      </c>
      <c r="F237" s="23" t="inlineStr">
        <is>
          <t>Hybrid Solar - S3</t>
        </is>
      </c>
      <c r="G237" s="53" t="inlineStr">
        <is>
          <t>EXTREME-NORD</t>
        </is>
      </c>
      <c r="H237" s="23" t="inlineStr">
        <is>
          <t>Mindif</t>
        </is>
      </c>
      <c r="I237" s="55" t="inlineStr">
        <is>
          <t>Huawei</t>
        </is>
      </c>
      <c r="J237" s="25" t="n">
        <v>0</v>
      </c>
      <c r="K237" s="25" t="n">
        <v>4.022981544382903</v>
      </c>
      <c r="L237" s="25" t="n">
        <v>0</v>
      </c>
      <c r="M237" s="25" t="n">
        <v>1.350561305584805</v>
      </c>
      <c r="N237" s="68" t="inlineStr">
        <is>
          <t>Insecurity</t>
        </is>
      </c>
      <c r="O237" s="27" t="n"/>
      <c r="P237" s="28" t="inlineStr">
        <is>
          <t>PDH</t>
        </is>
      </c>
      <c r="Q237" s="28" t="inlineStr">
        <is>
          <t>TX ISSUE</t>
        </is>
      </c>
      <c r="R237" s="29" t="inlineStr">
        <is>
          <t>ODU HS</t>
        </is>
      </c>
      <c r="S237" s="28" t="inlineStr">
        <is>
          <t>ACTIVE</t>
        </is>
      </c>
      <c r="T237" s="29" t="inlineStr">
        <is>
          <t>(0428/2026 incident ): impacted by EXN_190_H_Dargala-New,   Jack IN - jack out cable ODU direction Dargala - MPR</t>
        </is>
      </c>
    </row>
    <row r="238" ht="18.75" customHeight="1">
      <c r="A238" s="14" t="n">
        <v>46140</v>
      </c>
      <c r="B238" s="23" t="inlineStr">
        <is>
          <t>Mokolo</t>
        </is>
      </c>
      <c r="C238" s="21" t="inlineStr">
        <is>
          <t>EXN_012</t>
        </is>
      </c>
      <c r="D238" s="53" t="inlineStr">
        <is>
          <t>EXTREME-NORD</t>
        </is>
      </c>
      <c r="E238" s="23" t="inlineStr">
        <is>
          <t>CAMUSAT</t>
        </is>
      </c>
      <c r="F238" s="23" t="inlineStr">
        <is>
          <t>Medium Grid + GE</t>
        </is>
      </c>
      <c r="G238" s="53" t="inlineStr">
        <is>
          <t>EXTREME-NORD</t>
        </is>
      </c>
      <c r="H238" s="23" t="inlineStr">
        <is>
          <t>Mokolo</t>
        </is>
      </c>
      <c r="I238" s="56" t="inlineStr">
        <is>
          <t>NOKIA</t>
        </is>
      </c>
      <c r="J238" s="25" t="n">
        <v>2.706862063315068</v>
      </c>
      <c r="K238" s="25" t="n">
        <v>0.9075962269577322</v>
      </c>
      <c r="L238" s="25" t="n">
        <v>0.4149867466899557</v>
      </c>
      <c r="M238" s="25" t="n">
        <v>0.9076410142957604</v>
      </c>
      <c r="N238" s="68" t="inlineStr">
        <is>
          <t>Insecurity</t>
        </is>
      </c>
      <c r="O238" s="27" t="n"/>
      <c r="P238" s="28" t="inlineStr">
        <is>
          <t>AKTIVCO</t>
        </is>
      </c>
      <c r="Q238" s="28" t="inlineStr">
        <is>
          <t>POWER ISSUE</t>
        </is>
      </c>
      <c r="R238" s="29" t="inlineStr">
        <is>
          <t>AKTIVCO Defaut GE &amp; Power Cabinet</t>
        </is>
      </c>
      <c r="S238" s="28" t="inlineStr">
        <is>
          <t>PASSIVE</t>
        </is>
      </c>
      <c r="T238" s="29" t="inlineStr">
        <is>
          <t>(0428/2026 incident ): impacted by EXN_012_N_Mokolo   ,RCA: Non demarrage du GE / Démarrage manuel du GE et reset MPR..;..;(04/28/2026 ticket): INC-20260428-00005635…2026-04-28 09:37:03…Nous constatons l'indisponibilité de MOKOLO EXN_012 dû à un souci d'énergie.
Merci de vérifier l'énergie à MOKOLO EXN_012.
Si énergie ok, dépêcher un FME pour investigation et troubleshooting au besoin avec le BO.…Démarrage manuel du GE et reset MPR…GE start system…Non demarrage du GE</t>
        </is>
      </c>
    </row>
    <row r="239" ht="18.75" customHeight="1">
      <c r="A239" s="14" t="n">
        <v>46140</v>
      </c>
      <c r="B239" s="23" t="inlineStr">
        <is>
          <t>Mokolo3-IHS</t>
        </is>
      </c>
      <c r="C239" s="21" t="inlineStr">
        <is>
          <t>EXN_156</t>
        </is>
      </c>
      <c r="D239" s="53" t="inlineStr">
        <is>
          <t>Maroua</t>
        </is>
      </c>
      <c r="E239" s="23" t="inlineStr">
        <is>
          <t>IHS</t>
        </is>
      </c>
      <c r="F239" s="23" t="inlineStr">
        <is>
          <t>Grid-Gen</t>
        </is>
      </c>
      <c r="G239" s="53" t="inlineStr">
        <is>
          <t>EXTREME-NORD</t>
        </is>
      </c>
      <c r="H239" s="23" t="inlineStr">
        <is>
          <t>Maroua</t>
        </is>
      </c>
      <c r="I239" s="56" t="inlineStr">
        <is>
          <t>NOKIA</t>
        </is>
      </c>
      <c r="J239" s="25" t="n">
        <v>2.795662825877566</v>
      </c>
      <c r="K239" s="25" t="n">
        <v>1.211347475995756</v>
      </c>
      <c r="L239" s="25" t="n">
        <v>0</v>
      </c>
      <c r="M239" s="25" t="n">
        <v>0.8058837124501264</v>
      </c>
      <c r="N239" s="68" t="inlineStr">
        <is>
          <t>Operationnel</t>
        </is>
      </c>
      <c r="O239" s="27" t="n"/>
      <c r="P239" s="28" t="inlineStr">
        <is>
          <t>AKTIVCO</t>
        </is>
      </c>
      <c r="Q239" s="28" t="inlineStr">
        <is>
          <t>POWER ISSUE</t>
        </is>
      </c>
      <c r="R239" s="29" t="inlineStr">
        <is>
          <t>AKTIVCO Defaut GE &amp; Power Cabinet</t>
        </is>
      </c>
      <c r="S239" s="28" t="inlineStr">
        <is>
          <t>PASSIVE</t>
        </is>
      </c>
      <c r="T239" s="29" t="inlineStr">
        <is>
          <t>(0428/2026 incident ): impacted by EXN_012_N_Mokolo   ,RCA: Non demarrage du GE / Démarrage manuel du GE et reset MPR..;..;(04/28/2026 ticket): INC-20260428-00005866…Others Transmission equipement fault</t>
        </is>
      </c>
    </row>
    <row r="240" ht="18.75" customHeight="1">
      <c r="A240" s="14" t="n">
        <v>46140</v>
      </c>
      <c r="B240" s="23" t="inlineStr">
        <is>
          <t>Mokola-MTN</t>
        </is>
      </c>
      <c r="C240" s="21" t="inlineStr">
        <is>
          <t>EXN_142</t>
        </is>
      </c>
      <c r="D240" s="53" t="inlineStr">
        <is>
          <t>EXTREME-NORD</t>
        </is>
      </c>
      <c r="E240" s="23" t="inlineStr">
        <is>
          <t>IHS</t>
        </is>
      </c>
      <c r="F240" s="23" t="inlineStr">
        <is>
          <t>Grid-Gen</t>
        </is>
      </c>
      <c r="G240" s="53" t="inlineStr">
        <is>
          <t>EXTREME-NORD</t>
        </is>
      </c>
      <c r="H240" s="23" t="inlineStr">
        <is>
          <t>Mokola</t>
        </is>
      </c>
      <c r="I240" s="56" t="inlineStr">
        <is>
          <t>NOKIA</t>
        </is>
      </c>
      <c r="J240" s="25" t="n">
        <v>3.004862934586686</v>
      </c>
      <c r="K240" s="25" t="n">
        <v>0.599298224966321</v>
      </c>
      <c r="L240" s="25" t="n">
        <v>0</v>
      </c>
      <c r="M240" s="25" t="n">
        <v>0.6302854756750301</v>
      </c>
      <c r="N240" s="68" t="inlineStr">
        <is>
          <t>Insecurity</t>
        </is>
      </c>
      <c r="O240" s="27" t="n"/>
      <c r="P240" s="28" t="inlineStr">
        <is>
          <t>AKTIVCO</t>
        </is>
      </c>
      <c r="Q240" s="28" t="inlineStr">
        <is>
          <t>POWER ISSUE</t>
        </is>
      </c>
      <c r="R240" s="29" t="inlineStr">
        <is>
          <t>AKTIVCO Defaut GE &amp; Power Cabinet</t>
        </is>
      </c>
      <c r="S240" s="28" t="inlineStr">
        <is>
          <t>PASSIVE</t>
        </is>
      </c>
      <c r="T240" s="29" t="inlineStr">
        <is>
          <t>(0428/2026 incident ): impacted by EXN_012_N_Mokolo   ,RCA: Non demarrage du GE / Démarrage manuel du GE et reset MPR..;..;(04/28/2026 ticket): INC-20260428-00005609…no power issue u 50v…no power issue u 50v…GE Fault</t>
        </is>
      </c>
    </row>
    <row r="241" ht="18.75" customHeight="1">
      <c r="A241" s="14" t="n">
        <v>46140</v>
      </c>
      <c r="B241" s="23" t="inlineStr">
        <is>
          <t>Mokolo-Djimeta-IHS</t>
        </is>
      </c>
      <c r="C241" s="21" t="inlineStr">
        <is>
          <t>EXN_140</t>
        </is>
      </c>
      <c r="D241" s="53" t="inlineStr">
        <is>
          <t>EXTREME-NORD</t>
        </is>
      </c>
      <c r="E241" s="23" t="n"/>
      <c r="F241" s="23" t="n"/>
      <c r="G241" s="53" t="inlineStr">
        <is>
          <t>EXTREME-NORD</t>
        </is>
      </c>
      <c r="H241" s="23" t="inlineStr">
        <is>
          <t>Mokolo</t>
        </is>
      </c>
      <c r="I241" s="56" t="inlineStr">
        <is>
          <t>NOKIA</t>
        </is>
      </c>
      <c r="J241" s="25" t="n">
        <v>1.343751623642635</v>
      </c>
      <c r="K241" s="25" t="n">
        <v>1.202581145577365</v>
      </c>
      <c r="L241" s="25" t="n">
        <v>0</v>
      </c>
      <c r="M241" s="25" t="n">
        <v>0.5956079687779456</v>
      </c>
      <c r="N241" s="68" t="inlineStr">
        <is>
          <t>Insecurity</t>
        </is>
      </c>
      <c r="O241" s="27" t="n"/>
      <c r="P241" s="28" t="inlineStr">
        <is>
          <t>AKTIVCO</t>
        </is>
      </c>
      <c r="Q241" s="28" t="inlineStr">
        <is>
          <t>POWER ISSUE</t>
        </is>
      </c>
      <c r="R241" s="29" t="inlineStr">
        <is>
          <t>AKTIVCO Defaut GE &amp; Power Cabinet</t>
        </is>
      </c>
      <c r="S241" s="28" t="inlineStr">
        <is>
          <t>PASSIVE</t>
        </is>
      </c>
      <c r="T241" s="29" t="inlineStr">
        <is>
          <t>(0428/2026 incident ): impacted by EXN_012_N_Mokolo   ,RCA: Non demarrage du GE / Démarrage manuel du GE et reset MPR..;..;(04/28/2026 ticket): INC-20260428-00005671…Others Transmission equipement fault</t>
        </is>
      </c>
    </row>
    <row r="242" ht="18.75" customHeight="1">
      <c r="A242" s="14" t="n">
        <v>46140</v>
      </c>
      <c r="B242" s="23" t="inlineStr">
        <is>
          <t>Nkambe-Entrance-IHS</t>
        </is>
      </c>
      <c r="C242" s="23" t="inlineStr">
        <is>
          <t>NRO_090</t>
        </is>
      </c>
      <c r="D242" s="53" t="inlineStr">
        <is>
          <t>NORD-OUEST</t>
        </is>
      </c>
      <c r="E242" s="23" t="inlineStr">
        <is>
          <t>IHS</t>
        </is>
      </c>
      <c r="F242" s="23" t="inlineStr">
        <is>
          <t>Grid-Gen</t>
        </is>
      </c>
      <c r="G242" s="53" t="inlineStr">
        <is>
          <t>NORD-OUEST</t>
        </is>
      </c>
      <c r="H242" s="23" t="inlineStr">
        <is>
          <t>Nkambe</t>
        </is>
      </c>
      <c r="I242" s="56" t="inlineStr">
        <is>
          <t>NOKIA</t>
        </is>
      </c>
      <c r="J242" s="25" t="n">
        <v>0.1907155617903433</v>
      </c>
      <c r="K242" s="25" t="n">
        <v>0.1035960912716626</v>
      </c>
      <c r="L242" s="25" t="n">
        <v>0.06282599750036692</v>
      </c>
      <c r="M242" s="25" t="n">
        <v>0.09477560617864197</v>
      </c>
      <c r="N242" s="68" t="inlineStr">
        <is>
          <t>Insecurity</t>
        </is>
      </c>
      <c r="O242" s="27" t="n"/>
      <c r="P242" s="28" t="inlineStr">
        <is>
          <t>IHS</t>
        </is>
      </c>
      <c r="Q242" s="28" t="inlineStr">
        <is>
          <t>POWER ISSUE</t>
        </is>
      </c>
      <c r="R242" s="29" t="inlineStr">
        <is>
          <t>Defaut GE &amp; Power Cabinet</t>
        </is>
      </c>
      <c r="S242" s="28" t="inlineStr">
        <is>
          <t>PASSIVE</t>
        </is>
      </c>
      <c r="T242" s="29" t="inlineStr">
        <is>
          <t>(0428/2026 incident ): impacted by  NRO_100_H_Bambalang ,retour IHS : FME reports GEN overloads, insecurity area, ||Gen overlaod, insecurity area / point escalade L3, pour un ETA  our intervenir ||Feedback HIS :FME manage toujours avec le level0 pour un acces au site car zone tres insecurisee</t>
        </is>
      </c>
    </row>
    <row r="243" ht="18.75" customHeight="1">
      <c r="A243" s="14" t="n">
        <v>46140</v>
      </c>
      <c r="B243" s="23" t="inlineStr">
        <is>
          <t>Mamfe-Camtel</t>
        </is>
      </c>
      <c r="C243" s="21" t="inlineStr">
        <is>
          <t>SUO_245</t>
        </is>
      </c>
      <c r="D243" s="53" t="inlineStr">
        <is>
          <t>SUD-OUEST</t>
        </is>
      </c>
      <c r="E243" s="23" t="inlineStr">
        <is>
          <t>ESCO</t>
        </is>
      </c>
      <c r="F243" s="23" t="inlineStr">
        <is>
          <t>HGB</t>
        </is>
      </c>
      <c r="G243" s="53" t="inlineStr">
        <is>
          <t>SUD-OUEST</t>
        </is>
      </c>
      <c r="H243" s="23" t="inlineStr">
        <is>
          <t>Mamfe</t>
        </is>
      </c>
      <c r="I243" s="56" t="inlineStr">
        <is>
          <t>NOKIA</t>
        </is>
      </c>
      <c r="J243" s="25" t="n">
        <v>0</v>
      </c>
      <c r="K243" s="25" t="n">
        <v>0</v>
      </c>
      <c r="L243" s="25" t="n">
        <v>0</v>
      </c>
      <c r="M243" s="25" t="n">
        <v>0</v>
      </c>
      <c r="N243" s="68" t="inlineStr">
        <is>
          <t>Insecurity</t>
        </is>
      </c>
      <c r="O243" s="27" t="n"/>
      <c r="P243" s="28" t="inlineStr">
        <is>
          <t>IHS</t>
        </is>
      </c>
      <c r="Q243" s="28" t="inlineStr">
        <is>
          <t>POWER ISSUE</t>
        </is>
      </c>
      <c r="R243" s="29" t="inlineStr">
        <is>
          <t>Defaut GE &amp; Power Cabinet</t>
        </is>
      </c>
      <c r="S243" s="28" t="inlineStr">
        <is>
          <t>PASSIVE</t>
        </is>
      </c>
      <c r="T243" s="29" t="inlineStr">
        <is>
          <t>(0428/2026 incident ): impacted by SUO_030_N_Bachuo-Ntai , Power issue at OST_029_N_Meguia || Action :en attente RCA HIS..;..;(04/28/2026 ticket): INC-20260428-00010304…Others Transmission equipement fault</t>
        </is>
      </c>
    </row>
    <row r="244" ht="18.75" customHeight="1">
      <c r="A244" s="14" t="n">
        <v>46140</v>
      </c>
      <c r="B244" s="23" t="inlineStr">
        <is>
          <t>Kembong</t>
        </is>
      </c>
      <c r="C244" s="21" t="inlineStr">
        <is>
          <t>NRO_026</t>
        </is>
      </c>
      <c r="D244" s="53" t="inlineStr">
        <is>
          <t>NORD-OUEST</t>
        </is>
      </c>
      <c r="E244" s="23" t="inlineStr">
        <is>
          <t>IHS</t>
        </is>
      </c>
      <c r="F244" s="23" t="inlineStr">
        <is>
          <t>Grid-Gen</t>
        </is>
      </c>
      <c r="G244" s="53" t="inlineStr">
        <is>
          <t>NORD-OUEST</t>
        </is>
      </c>
      <c r="H244" s="23" t="inlineStr">
        <is>
          <t>Kembong</t>
        </is>
      </c>
      <c r="I244" s="56" t="inlineStr">
        <is>
          <t>NOKIA</t>
        </is>
      </c>
      <c r="J244" s="25" t="n">
        <v>0</v>
      </c>
      <c r="K244" s="25" t="n">
        <v>0</v>
      </c>
      <c r="L244" s="25" t="n">
        <v>0</v>
      </c>
      <c r="M244" s="25" t="n">
        <v>0</v>
      </c>
      <c r="N244" s="68" t="inlineStr">
        <is>
          <t>Insecurity</t>
        </is>
      </c>
      <c r="O244" s="27" t="n"/>
      <c r="P244" s="28" t="inlineStr">
        <is>
          <t>IHS</t>
        </is>
      </c>
      <c r="Q244" s="28" t="inlineStr">
        <is>
          <t>POWER ISSUE</t>
        </is>
      </c>
      <c r="R244" s="29" t="inlineStr">
        <is>
          <t>Defaut GE &amp; Power Cabinet</t>
        </is>
      </c>
      <c r="S244" s="28" t="inlineStr">
        <is>
          <t>PASSIVE</t>
        </is>
      </c>
      <c r="T244" s="29" t="inlineStr">
        <is>
          <t>(0428/2026 incident ): impacted by SUO_030_N_Bachuo-Ntai , Power issue at OST_029_N_Meguia || Action :en attente RCA HIS..;..;(04/28/2026 cell nokia): 28/04/2026 : En attente d'analyse BO RAN ..;..;(04/28/2026 cell nokia): 28/04/2026 : En attente d'analyse BO RAN ..;..;(04/28/2026 ticket): INC-20260428-00018882</t>
        </is>
      </c>
    </row>
    <row r="245" ht="18.75" customHeight="1">
      <c r="A245" s="14" t="n">
        <v>46140</v>
      </c>
      <c r="B245" s="23" t="inlineStr">
        <is>
          <t>Mamfe-Brasserie</t>
        </is>
      </c>
      <c r="C245" s="21" t="inlineStr">
        <is>
          <t>SUO_073</t>
        </is>
      </c>
      <c r="D245" s="53" t="inlineStr">
        <is>
          <t>SUD-OUEST</t>
        </is>
      </c>
      <c r="E245" s="23" t="inlineStr">
        <is>
          <t>IHS</t>
        </is>
      </c>
      <c r="F245" s="23" t="inlineStr">
        <is>
          <t>Grid-Gen</t>
        </is>
      </c>
      <c r="G245" s="53" t="inlineStr">
        <is>
          <t>SUD-OUEST</t>
        </is>
      </c>
      <c r="H245" s="23" t="inlineStr">
        <is>
          <t>Mamfe</t>
        </is>
      </c>
      <c r="I245" s="55" t="inlineStr">
        <is>
          <t>Huawei</t>
        </is>
      </c>
      <c r="J245" s="25" t="n">
        <v>0</v>
      </c>
      <c r="K245" s="25" t="n">
        <v>0</v>
      </c>
      <c r="L245" s="25" t="n">
        <v>0</v>
      </c>
      <c r="M245" s="25" t="n">
        <v>0</v>
      </c>
      <c r="N245" s="68" t="inlineStr">
        <is>
          <t>Insecurity</t>
        </is>
      </c>
      <c r="O245" s="27" t="n"/>
      <c r="P245" s="28" t="inlineStr">
        <is>
          <t>IHS</t>
        </is>
      </c>
      <c r="Q245" s="28" t="inlineStr">
        <is>
          <t>POWER ISSUE</t>
        </is>
      </c>
      <c r="R245" s="29" t="inlineStr">
        <is>
          <t>Defaut GE &amp; Power Cabinet</t>
        </is>
      </c>
      <c r="S245" s="28" t="inlineStr">
        <is>
          <t>PASSIVE</t>
        </is>
      </c>
      <c r="T245" s="29" t="inlineStr">
        <is>
          <t>(0428/2026 incident ): impacted by SUO_030_N_Bachuo-Ntai , Power issue at OST_029_N_Meguia || Action :en attente RCA HIS</t>
        </is>
      </c>
    </row>
    <row r="246" ht="18.75" customHeight="1">
      <c r="A246" s="14" t="n">
        <v>46140</v>
      </c>
      <c r="B246" s="23" t="inlineStr">
        <is>
          <t>Mile29-Mamfe-IHS</t>
        </is>
      </c>
      <c r="C246" s="21" t="inlineStr">
        <is>
          <t>SUO_102</t>
        </is>
      </c>
      <c r="D246" s="53" t="inlineStr">
        <is>
          <t>SUD-OUEST</t>
        </is>
      </c>
      <c r="E246" s="23" t="inlineStr">
        <is>
          <t>IHS</t>
        </is>
      </c>
      <c r="F246" s="23" t="inlineStr">
        <is>
          <t>Solar-Gen</t>
        </is>
      </c>
      <c r="G246" s="53" t="inlineStr">
        <is>
          <t>SUD-OUEST</t>
        </is>
      </c>
      <c r="H246" s="23" t="inlineStr">
        <is>
          <t>Mile29</t>
        </is>
      </c>
      <c r="I246" s="56" t="inlineStr">
        <is>
          <t>NOKIA</t>
        </is>
      </c>
      <c r="J246" s="25" t="n">
        <v>0</v>
      </c>
      <c r="K246" s="25" t="n">
        <v>0</v>
      </c>
      <c r="L246" s="25" t="n">
        <v>0</v>
      </c>
      <c r="M246" s="25" t="n">
        <v>0</v>
      </c>
      <c r="N246" s="68" t="inlineStr">
        <is>
          <t>Insecurity</t>
        </is>
      </c>
      <c r="O246" s="27" t="n"/>
      <c r="P246" s="28" t="inlineStr">
        <is>
          <t>IHS</t>
        </is>
      </c>
      <c r="Q246" s="28" t="inlineStr">
        <is>
          <t>POWER ISSUE</t>
        </is>
      </c>
      <c r="R246" s="29" t="inlineStr">
        <is>
          <t>Defaut GE &amp; Power Cabinet</t>
        </is>
      </c>
      <c r="S246" s="28" t="inlineStr">
        <is>
          <t>PASSIVE</t>
        </is>
      </c>
      <c r="T246" s="29" t="inlineStr">
        <is>
          <t>(0428/2026 incident ): impacted by SUO_030_N_Bachuo-Ntai , Power issue at OST_029_N_Meguia || Action :en attente RCA HIS</t>
        </is>
      </c>
    </row>
    <row r="247" ht="18.75" customHeight="1">
      <c r="A247" s="14" t="n">
        <v>46140</v>
      </c>
      <c r="B247" s="23" t="inlineStr">
        <is>
          <t>Bakwele-IHS</t>
        </is>
      </c>
      <c r="C247" s="21" t="inlineStr">
        <is>
          <t>SUO_249</t>
        </is>
      </c>
      <c r="D247" s="53" t="inlineStr">
        <is>
          <t>SUD-OUEST</t>
        </is>
      </c>
      <c r="E247" s="23" t="inlineStr">
        <is>
          <t>IHS</t>
        </is>
      </c>
      <c r="F247" s="23" t="inlineStr">
        <is>
          <t>Hybrid Gen</t>
        </is>
      </c>
      <c r="G247" s="53" t="inlineStr">
        <is>
          <t>SUD-OUEST</t>
        </is>
      </c>
      <c r="H247" s="23" t="inlineStr">
        <is>
          <t>Pella</t>
        </is>
      </c>
      <c r="I247" s="56" t="inlineStr">
        <is>
          <t>NOKIA</t>
        </is>
      </c>
      <c r="J247" s="25" t="n">
        <v>0</v>
      </c>
      <c r="K247" s="25" t="n">
        <v>0</v>
      </c>
      <c r="L247" s="25" t="n">
        <v>0</v>
      </c>
      <c r="M247" s="25" t="n">
        <v>0</v>
      </c>
      <c r="N247" s="68" t="inlineStr">
        <is>
          <t>Insecurity</t>
        </is>
      </c>
      <c r="O247" s="27" t="n"/>
      <c r="P247" s="28" t="inlineStr">
        <is>
          <t>IHS</t>
        </is>
      </c>
      <c r="Q247" s="28" t="inlineStr">
        <is>
          <t>POWER ISSUE</t>
        </is>
      </c>
      <c r="R247" s="29" t="inlineStr">
        <is>
          <t>Defaut GE &amp; Power Cabinet</t>
        </is>
      </c>
      <c r="S247" s="28" t="inlineStr">
        <is>
          <t>PASSIVE</t>
        </is>
      </c>
      <c r="T247" s="29" t="inlineStr">
        <is>
          <t>(0428/2026 incident ): impacted by SUO_030_N_Bachuo-Ntai , Power issue at OST_029_N_Meguia || Action :en attente RCA HIS</t>
        </is>
      </c>
    </row>
    <row r="248" ht="18.75" customHeight="1">
      <c r="A248" s="14" t="n">
        <v>46140</v>
      </c>
      <c r="B248" s="23" t="inlineStr">
        <is>
          <t>Minisite-Elig-Edzoa</t>
        </is>
      </c>
      <c r="C248" s="23" t="inlineStr">
        <is>
          <t>CTR_684</t>
        </is>
      </c>
      <c r="D248" s="53" t="inlineStr">
        <is>
          <t>Yaounde</t>
        </is>
      </c>
      <c r="E248" s="23" t="inlineStr">
        <is>
          <t>CAMUSAT</t>
        </is>
      </c>
      <c r="F248" s="23" t="inlineStr">
        <is>
          <t>Good Grid no GE - 8h</t>
        </is>
      </c>
      <c r="G248" s="53" t="inlineStr">
        <is>
          <t>CENTRE</t>
        </is>
      </c>
      <c r="H248" s="23" t="inlineStr">
        <is>
          <t>Yaounde</t>
        </is>
      </c>
      <c r="I248" s="54" t="inlineStr">
        <is>
          <t>ZTE</t>
        </is>
      </c>
      <c r="J248" s="25" t="n">
        <v>0</v>
      </c>
      <c r="K248" s="25" t="n">
        <v>0</v>
      </c>
      <c r="L248" s="25" t="n">
        <v>0</v>
      </c>
      <c r="M248" s="25" t="n">
        <v>0</v>
      </c>
      <c r="N248" s="68" t="inlineStr">
        <is>
          <t>Operationnel</t>
        </is>
      </c>
      <c r="O248" s="27" t="n"/>
      <c r="P248" s="28" t="inlineStr">
        <is>
          <t>IHS GRID ONLY</t>
        </is>
      </c>
      <c r="Q248" s="28" t="inlineStr">
        <is>
          <t>POWER ISSUE</t>
        </is>
      </c>
      <c r="R248" s="29" t="inlineStr">
        <is>
          <t>Coupure ENEO &amp; Baisse de tension</t>
        </is>
      </c>
      <c r="S248" s="28" t="inlineStr">
        <is>
          <t>PASSIVE</t>
        </is>
      </c>
      <c r="T248" s="37" t="inlineStr">
        <is>
          <t>(04/28/2026 ocm ran 19h): 28/04/2026 Impacted by CTR_197_Z_Charles-Atangana
28/04/2026Power issue resolved FME activated to check MPR STATUS ETA ASAP
27/04/2026 grid only site, grid outage / grid return awaited..;..;(04/28/2026 ocm ran 14h): 28/04/2026 Impacted by CTR_197_Z_Charles-Atangana
28/04/2026Power issue resolved FME activated to check MPR STATUS ETA ASAP
27/04/2026 grid only site, grid outage / grid return awaited..;..;(04/28/2026 com ran 10h): 27/04/2026 grid only site, grid outage / grid return awaited..;..;(04/28/2026 ocm ran 00h): 27/04/2026 grid only site, grid outage / grid return awaited</t>
        </is>
      </c>
    </row>
    <row r="249" ht="18.75" customHeight="1">
      <c r="A249" s="14" t="n">
        <v>46140</v>
      </c>
      <c r="B249" s="23" t="inlineStr">
        <is>
          <t>Mamfe</t>
        </is>
      </c>
      <c r="C249" s="21" t="inlineStr">
        <is>
          <t>SUO_009</t>
        </is>
      </c>
      <c r="D249" s="53" t="inlineStr">
        <is>
          <t>SUD-OUEST</t>
        </is>
      </c>
      <c r="E249" s="23" t="inlineStr">
        <is>
          <t>CAMUSAT</t>
        </is>
      </c>
      <c r="F249" s="23" t="inlineStr">
        <is>
          <t>Bad Grid + GE</t>
        </is>
      </c>
      <c r="G249" s="53" t="inlineStr">
        <is>
          <t>SUD-OUEST</t>
        </is>
      </c>
      <c r="H249" s="23" t="inlineStr">
        <is>
          <t>Mamfe</t>
        </is>
      </c>
      <c r="I249" s="56" t="inlineStr">
        <is>
          <t>NOKIA</t>
        </is>
      </c>
      <c r="J249" s="25" t="n">
        <v>0</v>
      </c>
      <c r="K249" s="25" t="n">
        <v>0</v>
      </c>
      <c r="L249" s="25" t="n">
        <v>0</v>
      </c>
      <c r="M249" s="25" t="n">
        <v>0</v>
      </c>
      <c r="N249" s="68" t="inlineStr">
        <is>
          <t>Insecurity</t>
        </is>
      </c>
      <c r="O249" s="27" t="n"/>
      <c r="P249" s="28" t="inlineStr">
        <is>
          <t>IHS</t>
        </is>
      </c>
      <c r="Q249" s="28" t="inlineStr">
        <is>
          <t>POWER ISSUE</t>
        </is>
      </c>
      <c r="R249" s="29" t="inlineStr">
        <is>
          <t>Defaut GE &amp; Power Cabinet</t>
        </is>
      </c>
      <c r="S249" s="28" t="inlineStr">
        <is>
          <t>PASSIVE</t>
        </is>
      </c>
      <c r="T249" s="29" t="inlineStr">
        <is>
          <t>(0428/2026 incident ): impacted by SUO_030_N_Bachuo-Ntai , Power issue at OST_029_N_Meguia || Action :en attente RCA HIS</t>
        </is>
      </c>
    </row>
    <row r="250" ht="18.75" customHeight="1">
      <c r="A250" s="14" t="n">
        <v>46140</v>
      </c>
      <c r="B250" s="53" t="inlineStr">
        <is>
          <t>LIT_857_Z_Bois-des-Singes-III-IHS</t>
        </is>
      </c>
      <c r="C250" s="36" t="inlineStr">
        <is>
          <t>LIT_857</t>
        </is>
      </c>
      <c r="D250" s="53" t="inlineStr">
        <is>
          <t>Yaounde</t>
        </is>
      </c>
      <c r="E250" s="53" t="inlineStr">
        <is>
          <t>ESCO</t>
        </is>
      </c>
      <c r="F250" s="53" t="inlineStr">
        <is>
          <t>Grid-Gen</t>
        </is>
      </c>
      <c r="G250" s="53" t="inlineStr">
        <is>
          <t>LITTORAL</t>
        </is>
      </c>
      <c r="H250" s="53" t="inlineStr">
        <is>
          <t>Yaounde</t>
        </is>
      </c>
      <c r="I250" s="54" t="inlineStr">
        <is>
          <t>ZTE</t>
        </is>
      </c>
      <c r="J250" s="25" t="n">
        <v>0</v>
      </c>
      <c r="K250" s="25" t="n">
        <v>0</v>
      </c>
      <c r="L250" s="25" t="n">
        <v>0</v>
      </c>
      <c r="M250" s="25" t="n">
        <v>0</v>
      </c>
      <c r="N250" s="68" t="inlineStr">
        <is>
          <t>Operationnel</t>
        </is>
      </c>
      <c r="O250" s="27" t="n"/>
      <c r="P250" s="28" t="inlineStr">
        <is>
          <t>AKTIVCO</t>
        </is>
      </c>
      <c r="Q250" s="28" t="inlineStr">
        <is>
          <t>POWER ISSUE</t>
        </is>
      </c>
      <c r="R250" s="29" t="inlineStr">
        <is>
          <t>AKTIVCO Defaut GE &amp; Power Cabinet</t>
        </is>
      </c>
      <c r="S250" s="28" t="inlineStr">
        <is>
          <t>PASSIVE</t>
        </is>
      </c>
      <c r="T250" s="29" t="inlineStr">
        <is>
          <t xml:space="preserve">(04/28/2026 ocm ran 19h): Power status check ongoing..;..;(04/28/2026 ticket): INC-20260428-00014522…2026-04-29 02:50:52…Impacte par un power issue sur le site de Bobongo-II.
BV activer le powerco pour check et remonter le site, interpeller le FME pour check statut du chassis si Energie OK.…Power issue, generator failure </t>
        </is>
      </c>
    </row>
    <row r="251" ht="18.75" customHeight="1">
      <c r="A251" s="14" t="n">
        <v>46140</v>
      </c>
      <c r="B251" s="23" t="inlineStr">
        <is>
          <t>Mbongo-IHS</t>
        </is>
      </c>
      <c r="C251" s="21" t="inlineStr">
        <is>
          <t>LIT_480</t>
        </is>
      </c>
      <c r="D251" s="53" t="inlineStr">
        <is>
          <t>LITTORAL</t>
        </is>
      </c>
      <c r="E251" s="23" t="inlineStr">
        <is>
          <t>IHS</t>
        </is>
      </c>
      <c r="F251" s="23" t="inlineStr">
        <is>
          <t>Grid-Gen</t>
        </is>
      </c>
      <c r="G251" s="53" t="inlineStr">
        <is>
          <t>LITTORAL</t>
        </is>
      </c>
      <c r="H251" s="23" t="inlineStr">
        <is>
          <t>Mbongo</t>
        </is>
      </c>
      <c r="I251" s="54" t="inlineStr">
        <is>
          <t>ZTE</t>
        </is>
      </c>
      <c r="J251" s="25" t="n">
        <v>0</v>
      </c>
      <c r="K251" s="25" t="n">
        <v>0</v>
      </c>
      <c r="L251" s="25" t="n">
        <v>0</v>
      </c>
      <c r="M251" s="25" t="n">
        <v>0</v>
      </c>
      <c r="N251" s="68" t="inlineStr">
        <is>
          <t>Operationnel</t>
        </is>
      </c>
      <c r="O251" s="27" t="n"/>
      <c r="P251" s="28" t="inlineStr">
        <is>
          <t>BSS</t>
        </is>
      </c>
      <c r="Q251" s="28" t="inlineStr">
        <is>
          <t>RAN ISSUE</t>
        </is>
      </c>
      <c r="R251" s="29" t="inlineStr">
        <is>
          <t>BSS Hardware issue</t>
        </is>
      </c>
      <c r="S251" s="28" t="inlineStr">
        <is>
          <t>ACTIVE</t>
        </is>
      </c>
      <c r="T251" s="30" t="inlineStr">
        <is>
          <t>(0428/2026 incident ): impacted by LIT_480_Z_Mbongo-IHS(LIT-480)   Defaut de radio  || Action : reset physique radio..;..;(04/28/2026 ocm ran 14h): Power status check ongoing</t>
        </is>
      </c>
    </row>
    <row r="252" ht="18.75" customHeight="1">
      <c r="A252" s="14" t="n">
        <v>46140</v>
      </c>
      <c r="B252" s="23" t="inlineStr">
        <is>
          <t>Ndokoa-IHS</t>
        </is>
      </c>
      <c r="C252" s="21" t="inlineStr">
        <is>
          <t>CTR_757</t>
        </is>
      </c>
      <c r="D252" s="53" t="inlineStr">
        <is>
          <t>CENTRE</t>
        </is>
      </c>
      <c r="E252" s="23" t="inlineStr">
        <is>
          <t>IHS</t>
        </is>
      </c>
      <c r="F252" s="23" t="inlineStr">
        <is>
          <t>Solar-Gen-Lithium</t>
        </is>
      </c>
      <c r="G252" s="53" t="inlineStr">
        <is>
          <t>CENTRE</t>
        </is>
      </c>
      <c r="H252" s="23" t="inlineStr">
        <is>
          <t>Ndokoa</t>
        </is>
      </c>
      <c r="I252" s="54" t="inlineStr">
        <is>
          <t>ZTE</t>
        </is>
      </c>
      <c r="J252" s="25" t="n">
        <v>0</v>
      </c>
      <c r="K252" s="25" t="n">
        <v>0</v>
      </c>
      <c r="L252" s="25" t="n">
        <v>0</v>
      </c>
      <c r="M252" s="25" t="n">
        <v>0</v>
      </c>
      <c r="N252" s="68" t="inlineStr">
        <is>
          <t>Operationnel</t>
        </is>
      </c>
      <c r="O252" s="27" t="n"/>
      <c r="P252" s="28" t="inlineStr">
        <is>
          <t>ACCESS-ISSUE</t>
        </is>
      </c>
      <c r="Q252" s="28" t="inlineStr">
        <is>
          <t>ACCESS-ISSUE</t>
        </is>
      </c>
      <c r="R252" s="29" t="inlineStr">
        <is>
          <t>ACCESS-ISSUE</t>
        </is>
      </c>
      <c r="S252" s="28" t="inlineStr">
        <is>
          <t>ACCESS-ISSUE</t>
        </is>
      </c>
      <c r="T252" s="30" t="inlineStr">
        <is>
          <t>(04/28/2026 ocm ran 19h): Impacted by CTR_699_N_Batchenga-Nachtigal-IHS (TX issue)..;..;(04/28/2026 ocm ran 14h): Impacted by CTR_699_N_Batchenga-Nachtigal-IHS (TX issue)..;..;(04/28/2026 com ran 10h): Impacted by CTR_699_N_Batchenga-Nachtigal-IHS (TX issue)..;..;(04/28/2026 ocm ran 00h): Impacted by CTR_699_N_Batchenga-Nachtigal-IHS (TX issue)</t>
        </is>
      </c>
    </row>
    <row r="253" ht="18.75" customHeight="1">
      <c r="A253" s="14" t="n">
        <v>46140</v>
      </c>
      <c r="B253" s="23" t="inlineStr">
        <is>
          <t>Abuh</t>
        </is>
      </c>
      <c r="C253" s="21" t="inlineStr">
        <is>
          <t>NRO_079</t>
        </is>
      </c>
      <c r="D253" s="53" t="inlineStr">
        <is>
          <t>NORD-OUEST</t>
        </is>
      </c>
      <c r="E253" s="23" t="inlineStr">
        <is>
          <t>IHS</t>
        </is>
      </c>
      <c r="F253" s="23" t="inlineStr">
        <is>
          <t>Hybrid-Gen</t>
        </is>
      </c>
      <c r="G253" s="53" t="inlineStr">
        <is>
          <t>NORD-OUEST</t>
        </is>
      </c>
      <c r="H253" s="23" t="inlineStr">
        <is>
          <t>Abuh</t>
        </is>
      </c>
      <c r="I253" s="56" t="inlineStr">
        <is>
          <t>NOKIA</t>
        </is>
      </c>
      <c r="J253" s="25" t="n">
        <v>0</v>
      </c>
      <c r="K253" s="25" t="n">
        <v>0</v>
      </c>
      <c r="L253" s="25" t="n">
        <v>0</v>
      </c>
      <c r="M253" s="25" t="n">
        <v>0</v>
      </c>
      <c r="N253" s="68" t="inlineStr">
        <is>
          <t>Insecurity</t>
        </is>
      </c>
      <c r="O253" s="27" t="n"/>
      <c r="P253" s="28" t="inlineStr">
        <is>
          <t>ACCESS-ISSUE</t>
        </is>
      </c>
      <c r="Q253" s="28" t="inlineStr">
        <is>
          <t>ACCESS-ISSUE</t>
        </is>
      </c>
      <c r="R253" s="29" t="inlineStr">
        <is>
          <t>ACCESS-ISSUE</t>
        </is>
      </c>
      <c r="S253" s="28" t="inlineStr">
        <is>
          <t>ACCESS-ISSUE</t>
        </is>
      </c>
      <c r="T253" s="29" t="inlineStr">
        <is>
          <t>(04/28/2026 ocm ran 19h):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Impacted by NRO_047_N_Bafmeng (TX issue)
16/04/2026 access not granted for this site for now we keep trying ESCLADE FM THEOPHILE PLAN TO 18/04/2026
16/04/2026 access not granted for this site for now we keep trying ESCLADE FM THEOPHILE
15/04/2026 access not granted for this site for now we keep trying
14/04/2026 RED ZONE negociation d'accès en cours 
13/04/2026 Besoin d"un FME sur site pour verifier l'interco MPR et BTS S1P3 FME activé zone rouge manage avec level 0..;..;(04/28/2026 ocm ran 14h):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Impacted by NRO_047_N_Bafmeng (TX issue)
16/04/2026 access not granted for this site for now we keep trying ESCLADE FM THEOPHILE PLAN TO 18/04/2026
16/04/2026 access not granted for this site for now we keep trying ESCLADE FM THEOPHILE
15/04/2026 access not granted for this site for now we keep trying
14/04/2026 RED ZONE negociation d'accès en cours 
13/04/2026 Besoin d"un FME sur site pour verifier l'interco MPR et BTS S1P3 FME activé zone rouge manage avec level 0..;..;(04/28/2026 com ran 10h): 28.04.2026: Site to be visited this weekend depending on access
27.04.26; Road blocked No traffic if we can Go as planned on 28.04.2026
25/04/2026 Retour fme :  Je suis bloqué à Fundong depuis ce matin. Les routes qui mènent hors de Fundong sont bloquées, je ne peux donc pas continuer.
24.04.26; MRBTS2 down. FME Jeremiah will be on site this 25.04.26
Impacted by NRO_047_N_Bafmeng (TX issue)
16/04/2026 access not granted for this site for now we keep trying ESCLADE FM THEOPHILE PLAN TO 18/04/2026
16/04/2026 access not granted for this site for now we keep trying ESCLADE FM THEOPHILE
15/04/2026 access not granted for this site for now we keep trying
14/04/2026 RED ZONE negociation d'accès en cours 
13/04/2026 Besoin d"un FME sur site pour verifier l'interco MPR et BTS S1P3 FME activé zone rouge manage avec level 0..;..;(04/28/2026 ocm ran 00h): 27.04.26; Road blocked No traffic if we can Go as planned on 28.04.2026
25/04/2026 Retour fme :  Je suis bloqué à Fundong depuis ce matin. Les routes qui mènent hors de Fundong sont bloquées, je ne peux donc pas continuer.
24.04.26; MRBTS2 down. FME Jeremiah will be on site this 25.04.26
Impacted by NRO_047_N_Bafmeng (TX issue)
16/04/2026 access not granted for this site for now we keep trying ESCLADE FM THEOPHILE PLAN TO 18/04/2026
16/04/2026 access not granted for this site for now we keep trying ESCLADE FM THEOPHILE
15/04/2026 access not granted for this site for now we keep trying
14/04/2026 RED ZONE negociation d'accès en cours 
13/04/2026 Besoin d"un FME sur site pour verifier l'interco MPR et BTS S1P3 FME activé zone rouge manage avec level 0</t>
        </is>
      </c>
    </row>
    <row r="254" ht="18.75" customHeight="1">
      <c r="A254" s="14" t="n">
        <v>46140</v>
      </c>
      <c r="B254" s="23" t="inlineStr">
        <is>
          <t>Manoka-IHS</t>
        </is>
      </c>
      <c r="C254" s="21" t="inlineStr">
        <is>
          <t>LIT_497</t>
        </is>
      </c>
      <c r="D254" s="53" t="inlineStr">
        <is>
          <t>LITTORAL</t>
        </is>
      </c>
      <c r="E254" s="23" t="inlineStr">
        <is>
          <t>IHS</t>
        </is>
      </c>
      <c r="F254" s="23" t="inlineStr">
        <is>
          <t>Solar-Gen-Lithium</t>
        </is>
      </c>
      <c r="G254" s="53" t="inlineStr">
        <is>
          <t>LITTORAL</t>
        </is>
      </c>
      <c r="H254" s="23" t="inlineStr">
        <is>
          <t>Manoka</t>
        </is>
      </c>
      <c r="I254" s="54" t="inlineStr">
        <is>
          <t>ZTE</t>
        </is>
      </c>
      <c r="J254" s="25" t="n">
        <v>0</v>
      </c>
      <c r="K254" s="25" t="n">
        <v>0</v>
      </c>
      <c r="L254" s="25" t="n">
        <v>0</v>
      </c>
      <c r="M254" s="25" t="n">
        <v>0</v>
      </c>
      <c r="N254" s="68" t="inlineStr">
        <is>
          <t>Operationnel</t>
        </is>
      </c>
      <c r="O254" s="27" t="n"/>
      <c r="P254" s="28" t="inlineStr">
        <is>
          <t>BSS</t>
        </is>
      </c>
      <c r="Q254" s="28" t="inlineStr">
        <is>
          <t>RAN ISSUE</t>
        </is>
      </c>
      <c r="R254" s="29" t="inlineStr">
        <is>
          <t>BSS Hardware issue</t>
        </is>
      </c>
      <c r="S254" s="28" t="inlineStr">
        <is>
          <t>ACTIVE</t>
        </is>
      </c>
      <c r="T254" s="29" t="inlineStr">
        <is>
          <t>(0428/2026 incident ): impacted by LIT_480_Z_Mbongo-IHS(LIT-480)   Defaut de radio  || Action : reset physique radio..;..;(04/28/2026 hourly IHS): FME manage ETA ASAP..;..;(04/28/2026 ocm ran 19h): Impacted b y LIT_480_Z_Mbongo-IHS(LIT-480)..;..;(04/28/2026 ocm ran 14h): Power status check ongoing</t>
        </is>
      </c>
    </row>
    <row r="255" ht="18.75" customHeight="1">
      <c r="A255" s="14" t="n">
        <v>46142</v>
      </c>
      <c r="B255" s="23" t="inlineStr">
        <is>
          <t>Camp-Yabassi</t>
        </is>
      </c>
      <c r="C255" s="23" t="inlineStr">
        <is>
          <t>LIT_162</t>
        </is>
      </c>
      <c r="D255" s="53" t="n"/>
      <c r="E255" s="23" t="inlineStr">
        <is>
          <t>IHS</t>
        </is>
      </c>
      <c r="F255" s="23" t="inlineStr">
        <is>
          <t>Grid-Gen-Lithium</t>
        </is>
      </c>
      <c r="G255" s="53" t="inlineStr">
        <is>
          <t>LITTORAL</t>
        </is>
      </c>
      <c r="H255" s="23" t="inlineStr">
        <is>
          <t>Douala</t>
        </is>
      </c>
      <c r="I255" s="74" t="inlineStr">
        <is>
          <t>ZTE</t>
        </is>
      </c>
      <c r="J255" s="38" t="n">
        <v>0.2925054654308997</v>
      </c>
      <c r="K255" s="38" t="n">
        <v>23.9284657833267</v>
      </c>
      <c r="L255" s="38" t="n">
        <v>69.80970391820813</v>
      </c>
      <c r="M255" s="39" t="n">
        <v>44.47979356966952</v>
      </c>
      <c r="N255" s="40" t="inlineStr">
        <is>
          <t>Operationnel</t>
        </is>
      </c>
      <c r="O255" s="41" t="n"/>
      <c r="P255" s="42" t="inlineStr">
        <is>
          <t>Fiber AOF</t>
        </is>
      </c>
      <c r="Q255" s="43" t="inlineStr">
        <is>
          <t>TX ISSUE</t>
        </is>
      </c>
      <c r="R255" s="29" t="inlineStr">
        <is>
          <t>fiber AOF</t>
        </is>
      </c>
      <c r="S255" s="44" t="inlineStr">
        <is>
          <t>ACTIVE</t>
        </is>
      </c>
      <c r="T255" s="29" t="inlineStr">
        <is>
          <t xml:space="preserve">30/03/20256 Site impacté par coupure  AOF MBOPPI-NEW_NR-PK5 
CDS activé
30/03/2026 FME sur qsite travaux en cours AOF DOWN 
30/03/2026 FME activé ETA 12h UTC ….30/03/2026 FME sur site 
30/03/2026 FME activé ETA 12h utc….30/03/2026 FME activé ETA 12h utc….INC-20260330-00001855.,,2026-03-30 15:55:52.,,Site impacté par coupure  AOF MBOPPI-NEW_NR-PK5 
CDS activé.,,affecté par Mboppi New grid only site manque secteur en attente du retour secteur </t>
        </is>
      </c>
    </row>
    <row r="256" ht="18.75" customHeight="1">
      <c r="A256" s="14" t="n">
        <v>46142</v>
      </c>
      <c r="B256" s="23" t="inlineStr">
        <is>
          <t>PK18-Crf-Lapaix</t>
        </is>
      </c>
      <c r="C256" s="23" t="inlineStr">
        <is>
          <t>LIT_731</t>
        </is>
      </c>
      <c r="D256" s="53" t="n"/>
      <c r="E256" s="23" t="inlineStr">
        <is>
          <t>CAMUSAT</t>
        </is>
      </c>
      <c r="F256" s="23" t="inlineStr">
        <is>
          <t>Good Grid + GE</t>
        </is>
      </c>
      <c r="G256" s="53" t="inlineStr">
        <is>
          <t>LITTORAL</t>
        </is>
      </c>
      <c r="H256" s="23" t="inlineStr">
        <is>
          <t>Douala</t>
        </is>
      </c>
      <c r="I256" s="74" t="inlineStr">
        <is>
          <t>ZTE</t>
        </is>
      </c>
      <c r="J256" s="38" t="n">
        <v>14.76977746603839</v>
      </c>
      <c r="K256" s="38" t="n">
        <v>12.56827779307812</v>
      </c>
      <c r="L256" s="38" t="n">
        <v>48.75598368890733</v>
      </c>
      <c r="M256" s="39" t="n">
        <v>31.75412632371954</v>
      </c>
      <c r="N256" s="40" t="inlineStr">
        <is>
          <t>Operationnel</t>
        </is>
      </c>
      <c r="O256" s="41" t="n"/>
      <c r="P256" s="42" t="inlineStr">
        <is>
          <t>Fiber AOF</t>
        </is>
      </c>
      <c r="Q256" s="43" t="inlineStr">
        <is>
          <t>TX ISSUE</t>
        </is>
      </c>
      <c r="R256" s="29" t="inlineStr">
        <is>
          <t>fiber AOF</t>
        </is>
      </c>
      <c r="S256" s="44" t="inlineStr">
        <is>
          <t>ACTIVE</t>
        </is>
      </c>
      <c r="T256" s="29" t="inlineStr">
        <is>
          <t>Impacted by LIT_234_Z_PK17-University-IHS(LIT-234)….Impacté par P2 sur LIT_234_Z_PK17-University-IHS(LIT-234)….INC-20260330-00007361.,,2026-03-30 15:27:59.,,Grid outage / Grid return awaited.,,impacté par pk 17 université power issue ihs informé .,,Others Transmission equipement fault</t>
        </is>
      </c>
    </row>
    <row r="257" ht="18.75" customHeight="1">
      <c r="A257" s="14" t="n">
        <v>46142</v>
      </c>
      <c r="B257" s="23" t="inlineStr">
        <is>
          <t>PK17-University-IHS</t>
        </is>
      </c>
      <c r="C257" s="23" t="inlineStr">
        <is>
          <t>LIT_234</t>
        </is>
      </c>
      <c r="D257" s="53" t="n"/>
      <c r="E257" s="23" t="inlineStr">
        <is>
          <t>IHS</t>
        </is>
      </c>
      <c r="F257" s="23" t="inlineStr">
        <is>
          <t>Grid-Gen</t>
        </is>
      </c>
      <c r="G257" s="53" t="inlineStr">
        <is>
          <t>LITTORAL</t>
        </is>
      </c>
      <c r="H257" s="23" t="inlineStr">
        <is>
          <t>Douala</t>
        </is>
      </c>
      <c r="I257" s="74" t="inlineStr">
        <is>
          <t>ZTE</t>
        </is>
      </c>
      <c r="J257" s="38" t="n">
        <v>14.72256693404314</v>
      </c>
      <c r="K257" s="38" t="n">
        <v>12.557758805349</v>
      </c>
      <c r="L257" s="38" t="n">
        <v>48.75598368890733</v>
      </c>
      <c r="M257" s="39" t="n">
        <v>31.74385331860872</v>
      </c>
      <c r="N257" s="40" t="inlineStr">
        <is>
          <t>Operationnel</t>
        </is>
      </c>
      <c r="O257" s="41" t="n"/>
      <c r="P257" s="42" t="inlineStr">
        <is>
          <t>Fiber AOF</t>
        </is>
      </c>
      <c r="Q257" s="43" t="inlineStr">
        <is>
          <t>TX ISSUE</t>
        </is>
      </c>
      <c r="R257" s="29" t="inlineStr">
        <is>
          <t>fiber AOF</t>
        </is>
      </c>
      <c r="S257" s="44" t="inlineStr">
        <is>
          <t>ACTIVE</t>
        </is>
      </c>
      <c r="T257" s="29" t="inlineStr">
        <is>
          <t>Impacted by LIT_234_Z_PK17-University-IHS(LIT-234)….Impacté par P2 sur LIT_234_Z_PK17-University-IHS(LIT-234)….INC-20260330-00007386.,,2026-03-30 20:55:07.,,Les sites sont UP à 20H20 UTC après actions BO TX.,,impacté par pk 17 université power issue ihs informé .,,Others</t>
        </is>
      </c>
    </row>
    <row r="258" ht="18.75" customHeight="1">
      <c r="A258" s="14" t="n">
        <v>46142</v>
      </c>
      <c r="B258" s="23" t="inlineStr">
        <is>
          <t>Camp-Yabassi-IHS</t>
        </is>
      </c>
      <c r="C258" s="23" t="inlineStr">
        <is>
          <t>LIT_587</t>
        </is>
      </c>
      <c r="D258" s="53" t="n"/>
      <c r="E258" s="23" t="inlineStr">
        <is>
          <t>IHS</t>
        </is>
      </c>
      <c r="F258" s="23" t="inlineStr">
        <is>
          <t>Grid-Gen</t>
        </is>
      </c>
      <c r="G258" s="53" t="inlineStr">
        <is>
          <t>LITTORAL</t>
        </is>
      </c>
      <c r="H258" s="23" t="inlineStr">
        <is>
          <t>Douala</t>
        </is>
      </c>
      <c r="I258" s="74" t="inlineStr">
        <is>
          <t>ZTE</t>
        </is>
      </c>
      <c r="J258" s="38" t="n">
        <v>0.07119048475474504</v>
      </c>
      <c r="K258" s="38" t="n">
        <v>23.92782826891888</v>
      </c>
      <c r="L258" s="38" t="n">
        <v>38.78316884344895</v>
      </c>
      <c r="M258" s="39" t="n">
        <v>28.26799274040972</v>
      </c>
      <c r="N258" s="40" t="inlineStr">
        <is>
          <t>Operationnel</t>
        </is>
      </c>
      <c r="O258" s="41" t="n"/>
      <c r="P258" s="42" t="inlineStr">
        <is>
          <t>Fiber AOF</t>
        </is>
      </c>
      <c r="Q258" s="43" t="inlineStr">
        <is>
          <t>TX ISSUE</t>
        </is>
      </c>
      <c r="R258" s="29" t="inlineStr">
        <is>
          <t>fiber AOF</t>
        </is>
      </c>
      <c r="S258" s="44" t="inlineStr">
        <is>
          <t>ACTIVE</t>
        </is>
      </c>
      <c r="T258" s="29" t="inlineStr">
        <is>
          <t xml:space="preserve">Impacted by LIT_162_Z_Camp-Yabassi(LIT-162)….Impacted by LIT_162_Z_Camp-Yabassi(LIT-162)….Impacted by LIT_162_Z_Camp-Yabassi(LIT-162)….INC-20260330-00001846.,,2026-03-30 12:59:29.,,Site impacté par coupure  AOF MBOPPI-NEW_NR-PK5 
CDS activé.,,affecté par Mboppi New grid only site manque secteur en attente du retour secteur </t>
        </is>
      </c>
    </row>
    <row r="259" ht="18.75" customHeight="1">
      <c r="A259" s="14" t="n">
        <v>46142</v>
      </c>
      <c r="B259" s="23" t="inlineStr">
        <is>
          <t>Kumba-Nkamlikum</t>
        </is>
      </c>
      <c r="C259" s="23" t="inlineStr">
        <is>
          <t>SUO_216</t>
        </is>
      </c>
      <c r="D259" s="53" t="n"/>
      <c r="E259" s="23" t="inlineStr">
        <is>
          <t>IHS</t>
        </is>
      </c>
      <c r="F259" s="23" t="inlineStr">
        <is>
          <t>Grid-Gen</t>
        </is>
      </c>
      <c r="G259" s="53" t="inlineStr">
        <is>
          <t>SUD-OUEST</t>
        </is>
      </c>
      <c r="H259" s="23" t="inlineStr">
        <is>
          <t>Kumba</t>
        </is>
      </c>
      <c r="I259" s="77" t="inlineStr">
        <is>
          <t>Huawei</t>
        </is>
      </c>
      <c r="J259" s="38" t="n">
        <v>27.87232373735557</v>
      </c>
      <c r="K259" s="38" t="n">
        <v>47.43425951426502</v>
      </c>
      <c r="L259" s="38" t="n">
        <v>14.68151562708622</v>
      </c>
      <c r="M259" s="39" t="n">
        <v>27.56063569926348</v>
      </c>
      <c r="N259" s="40" t="inlineStr">
        <is>
          <t>Operationnel</t>
        </is>
      </c>
      <c r="O259" s="41" t="n"/>
      <c r="P259" s="42" t="inlineStr">
        <is>
          <t>SST &amp; DC</t>
        </is>
      </c>
      <c r="Q259" s="43" t="inlineStr">
        <is>
          <t>POWER ISSUE</t>
        </is>
      </c>
      <c r="R259" s="29" t="inlineStr">
        <is>
          <t>Sites strategiques &amp; DataCenter</t>
        </is>
      </c>
      <c r="S259" s="44" t="inlineStr">
        <is>
          <t>PASSIVE</t>
        </is>
      </c>
      <c r="T259" s="29" t="inlineStr">
        <is>
          <t>30/03/2026 Impacté par le power issue de kumba-agence ….Power status check ongoing</t>
        </is>
      </c>
    </row>
    <row r="260" ht="18.75" customHeight="1">
      <c r="A260" s="14" t="n">
        <v>46142</v>
      </c>
      <c r="B260" s="23" t="inlineStr">
        <is>
          <t>Nkolfoulou-I</t>
        </is>
      </c>
      <c r="C260" s="23" t="inlineStr">
        <is>
          <t>CTR_671</t>
        </is>
      </c>
      <c r="D260" s="53" t="n"/>
      <c r="E260" s="23" t="inlineStr">
        <is>
          <t>CAMUSAT</t>
        </is>
      </c>
      <c r="F260" s="23" t="inlineStr">
        <is>
          <t>Good Grid + GE</t>
        </is>
      </c>
      <c r="G260" s="53" t="inlineStr">
        <is>
          <t>CENTRE</t>
        </is>
      </c>
      <c r="H260" s="23" t="inlineStr">
        <is>
          <t>Yaounde</t>
        </is>
      </c>
      <c r="I260" s="74" t="inlineStr">
        <is>
          <t>ZTE</t>
        </is>
      </c>
      <c r="J260" s="38" t="n">
        <v>12.28298142752659</v>
      </c>
      <c r="K260" s="38" t="n">
        <v>10.45874261758316</v>
      </c>
      <c r="L260" s="38" t="n">
        <v>40.99934992021749</v>
      </c>
      <c r="M260" s="39" t="n">
        <v>26.6458210271293</v>
      </c>
      <c r="N260" s="40" t="inlineStr">
        <is>
          <t>Operationnel</t>
        </is>
      </c>
      <c r="O260" s="41" t="n"/>
      <c r="P260" s="42" t="inlineStr">
        <is>
          <t>Fiber AOF</t>
        </is>
      </c>
      <c r="Q260" s="43" t="inlineStr">
        <is>
          <t>TX ISSUE</t>
        </is>
      </c>
      <c r="R260" s="29" t="inlineStr">
        <is>
          <t>fiber AOF</t>
        </is>
      </c>
      <c r="S260" s="44" t="inlineStr">
        <is>
          <t>ACTIVE</t>
        </is>
      </c>
      <c r="T260" s="29" t="inlineStr">
        <is>
          <t>30/03/2026 Nous constatons l'indisponibilité de NKOLFOULOU-I dû à la coupure de l'AOF ELEVEUR---NKOLFOULOU-I.
Merci d'impacter CDS pour prise en charge et correction de l'AOF.….Power status check ongoing….INC-20260330-00008735.,,2026-03-30 23:33:16.,,CDS Feedback : Team will be reach to the site tomorrow
Nous constatons l'indisponibilité de NKOLFOULOU-I dû à la coupure de l'AOF ELEVEUR---NKOLFOULOU-I.
Merci d'impacter CDS pour prise en charge et correction de l'AOF.
U=52,50V Load=66A evidences.,,Power issue (CB fallen in IHS DC Cabinet)</t>
        </is>
      </c>
    </row>
    <row r="261" ht="18.75" customHeight="1">
      <c r="A261" s="14" t="n">
        <v>46142</v>
      </c>
      <c r="B261" s="23" t="inlineStr">
        <is>
          <t>ARMP</t>
        </is>
      </c>
      <c r="C261" s="23" t="inlineStr">
        <is>
          <t>CTR_124</t>
        </is>
      </c>
      <c r="D261" s="53" t="n"/>
      <c r="E261" s="23" t="inlineStr">
        <is>
          <t>IHS</t>
        </is>
      </c>
      <c r="F261" s="23" t="inlineStr">
        <is>
          <t>GridOnly</t>
        </is>
      </c>
      <c r="G261" s="53" t="inlineStr">
        <is>
          <t>CENTRE</t>
        </is>
      </c>
      <c r="H261" s="23" t="inlineStr">
        <is>
          <t>Yaounde</t>
        </is>
      </c>
      <c r="I261" s="74" t="inlineStr">
        <is>
          <t>ZTE</t>
        </is>
      </c>
      <c r="J261" s="38" t="n">
        <v>20.23096191583836</v>
      </c>
      <c r="K261" s="38" t="n">
        <v>17.19440109346472</v>
      </c>
      <c r="L261" s="38" t="n">
        <v>33.20485639146623</v>
      </c>
      <c r="M261" s="39" t="n">
        <v>25.97729095148003</v>
      </c>
      <c r="N261" s="40" t="inlineStr">
        <is>
          <t>Operationnel</t>
        </is>
      </c>
      <c r="O261" s="41" t="n"/>
      <c r="P261" s="42" t="inlineStr">
        <is>
          <t>PDH</t>
        </is>
      </c>
      <c r="Q261" s="43" t="inlineStr">
        <is>
          <t>TX ISSUE</t>
        </is>
      </c>
      <c r="R261" s="46" t="inlineStr">
        <is>
          <t>MPR issue</t>
        </is>
      </c>
      <c r="S261" s="44" t="inlineStr">
        <is>
          <t>ACTIVE</t>
        </is>
      </c>
      <c r="T261" s="29" t="inlineStr">
        <is>
          <t>Impacted by CTR_020_Z_Masque(CTR-020) P2</t>
        </is>
      </c>
    </row>
    <row r="262" ht="18.75" customHeight="1">
      <c r="A262" s="14" t="n">
        <v>46142</v>
      </c>
      <c r="B262" s="23" t="inlineStr">
        <is>
          <t>PK19</t>
        </is>
      </c>
      <c r="C262" s="23" t="inlineStr">
        <is>
          <t>LIT_584</t>
        </is>
      </c>
      <c r="D262" s="53" t="n"/>
      <c r="E262" s="23" t="inlineStr">
        <is>
          <t>CAMUSAT</t>
        </is>
      </c>
      <c r="F262" s="23" t="inlineStr">
        <is>
          <t>HGB</t>
        </is>
      </c>
      <c r="G262" s="53" t="inlineStr">
        <is>
          <t>LITTORAL</t>
        </is>
      </c>
      <c r="H262" s="23" t="inlineStr">
        <is>
          <t>Douala</t>
        </is>
      </c>
      <c r="I262" s="74" t="inlineStr">
        <is>
          <t>ZTE</t>
        </is>
      </c>
      <c r="J262" s="38" t="n">
        <v>11.61191743702265</v>
      </c>
      <c r="K262" s="38" t="n">
        <v>9.902830053959217</v>
      </c>
      <c r="L262" s="38" t="n">
        <v>38.29297558151497</v>
      </c>
      <c r="M262" s="39" t="n">
        <v>24.9520236393262</v>
      </c>
      <c r="N262" s="40" t="inlineStr">
        <is>
          <t>Operationnel</t>
        </is>
      </c>
      <c r="O262" s="41" t="n"/>
      <c r="P262" s="42" t="inlineStr">
        <is>
          <t>Fiber AOF</t>
        </is>
      </c>
      <c r="Q262" s="43" t="inlineStr">
        <is>
          <t>TX ISSUE</t>
        </is>
      </c>
      <c r="R262" s="29" t="inlineStr">
        <is>
          <t>fiber AOF</t>
        </is>
      </c>
      <c r="S262" s="44" t="inlineStr">
        <is>
          <t>ACTIVE</t>
        </is>
      </c>
      <c r="T262" s="29" t="inlineStr">
        <is>
          <t>Impacted by LIT_234_Z_PK17-University-IHS(LIT-234)….Impacté par P2 sur LIT_234_Z_PK17-University-IHS(LIT-234)….INC-20260330-00007368.,,2026-03-30 15:32:32.,,technician is managing the point feedback awaited.,,impacté par pk 17 université power issue ihs informé .,,Others Transmission equipement fault</t>
        </is>
      </c>
    </row>
    <row r="263" ht="18.75" customHeight="1">
      <c r="A263" s="14" t="n">
        <v>46142</v>
      </c>
      <c r="B263" s="23" t="inlineStr">
        <is>
          <t>PK15</t>
        </is>
      </c>
      <c r="C263" s="23" t="inlineStr">
        <is>
          <t>LIT_271</t>
        </is>
      </c>
      <c r="D263" s="53" t="n"/>
      <c r="E263" s="23" t="inlineStr">
        <is>
          <t>IHS</t>
        </is>
      </c>
      <c r="F263" s="23" t="inlineStr">
        <is>
          <t>Grid-Gen</t>
        </is>
      </c>
      <c r="G263" s="53" t="inlineStr">
        <is>
          <t>LITTORAL</t>
        </is>
      </c>
      <c r="H263" s="23" t="inlineStr">
        <is>
          <t>Douala</t>
        </is>
      </c>
      <c r="I263" s="74" t="inlineStr">
        <is>
          <t>ZTE</t>
        </is>
      </c>
      <c r="J263" s="38" t="n">
        <v>11.33689735381221</v>
      </c>
      <c r="K263" s="38" t="n">
        <v>9.62583004375899</v>
      </c>
      <c r="L263" s="38" t="n">
        <v>37.21610994009197</v>
      </c>
      <c r="M263" s="39" t="n">
        <v>24.25818558754455</v>
      </c>
      <c r="N263" s="40" t="inlineStr">
        <is>
          <t>Operationnel</t>
        </is>
      </c>
      <c r="O263" s="41" t="n"/>
      <c r="P263" s="42" t="inlineStr">
        <is>
          <t>Fiber AOF</t>
        </is>
      </c>
      <c r="Q263" s="43" t="inlineStr">
        <is>
          <t>TX ISSUE</t>
        </is>
      </c>
      <c r="R263" s="29" t="inlineStr">
        <is>
          <t>fiber AOF</t>
        </is>
      </c>
      <c r="S263" s="44" t="inlineStr">
        <is>
          <t>ACTIVE</t>
        </is>
      </c>
      <c r="T263" s="29" t="inlineStr">
        <is>
          <t>Impacted by LIT_234_Z_PK17-University-IHS(LIT-234)….Impacté par P2 sur LIT_234_Z_PK17-University-IHS(LIT-234)….INC-20260330-00007268.,,impacté par pk 17 université power issue ihs informé .,,Others Transmission equipement fault</t>
        </is>
      </c>
    </row>
    <row r="264" ht="18.75" customHeight="1">
      <c r="A264" s="14" t="n">
        <v>46142</v>
      </c>
      <c r="B264" s="23" t="inlineStr">
        <is>
          <t>Mballa-II</t>
        </is>
      </c>
      <c r="C264" s="23" t="inlineStr">
        <is>
          <t>CTR_824</t>
        </is>
      </c>
      <c r="D264" s="53" t="n"/>
      <c r="E264" s="23" t="inlineStr">
        <is>
          <t>CAMUSAT</t>
        </is>
      </c>
      <c r="F264" s="23" t="inlineStr">
        <is>
          <t>Good Grid no GE - 8h</t>
        </is>
      </c>
      <c r="G264" s="53" t="inlineStr">
        <is>
          <t>CENTRE</t>
        </is>
      </c>
      <c r="H264" s="23" t="inlineStr">
        <is>
          <t>Yaounde</t>
        </is>
      </c>
      <c r="I264" s="74" t="inlineStr">
        <is>
          <t>ZTE</t>
        </is>
      </c>
      <c r="J264" s="38" t="n">
        <v>20.30802249319569</v>
      </c>
      <c r="K264" s="38" t="n">
        <v>17.27711858788008</v>
      </c>
      <c r="L264" s="38" t="n">
        <v>28.10049204691956</v>
      </c>
      <c r="M264" s="39" t="n">
        <v>23.35419680794902</v>
      </c>
      <c r="N264" s="40" t="inlineStr">
        <is>
          <t>Operationnel</t>
        </is>
      </c>
      <c r="O264" s="41" t="n"/>
      <c r="P264" s="42" t="inlineStr">
        <is>
          <t>PDH</t>
        </is>
      </c>
      <c r="Q264" s="43" t="inlineStr">
        <is>
          <t>TX ISSUE</t>
        </is>
      </c>
      <c r="R264" s="46" t="inlineStr">
        <is>
          <t>MPR issue</t>
        </is>
      </c>
      <c r="S264" s="44" t="inlineStr">
        <is>
          <t>ACTIVE</t>
        </is>
      </c>
      <c r="T264" s="29" t="inlineStr">
        <is>
          <t>Impacted by CTR_020_Z_Masque(CTR-020) P2</t>
        </is>
      </c>
    </row>
    <row r="265" ht="18.75" customHeight="1">
      <c r="A265" s="14" t="n">
        <v>46142</v>
      </c>
      <c r="B265" s="23" t="inlineStr">
        <is>
          <t>Dragage</t>
        </is>
      </c>
      <c r="C265" s="23" t="inlineStr">
        <is>
          <t>CTR_344</t>
        </is>
      </c>
      <c r="D265" s="53" t="n"/>
      <c r="E265" s="23" t="inlineStr">
        <is>
          <t>IHS</t>
        </is>
      </c>
      <c r="F265" s="23" t="inlineStr">
        <is>
          <t>Grid-Gen</t>
        </is>
      </c>
      <c r="G265" s="53" t="inlineStr">
        <is>
          <t>CENTRE</t>
        </is>
      </c>
      <c r="H265" s="23" t="inlineStr">
        <is>
          <t>Yaounde</t>
        </is>
      </c>
      <c r="I265" s="74" t="inlineStr">
        <is>
          <t>ZTE</t>
        </is>
      </c>
      <c r="J265" s="38" t="n">
        <v>20.1986139587305</v>
      </c>
      <c r="K265" s="38" t="n">
        <v>17.1766569424469</v>
      </c>
      <c r="L265" s="38" t="n">
        <v>27.70876152140557</v>
      </c>
      <c r="M265" s="39" t="n">
        <v>23.10056415919733</v>
      </c>
      <c r="N265" s="40" t="inlineStr">
        <is>
          <t>Operationnel</t>
        </is>
      </c>
      <c r="O265" s="41" t="n"/>
      <c r="P265" s="42" t="inlineStr">
        <is>
          <t>PDH</t>
        </is>
      </c>
      <c r="Q265" s="43" t="inlineStr">
        <is>
          <t>TX ISSUE</t>
        </is>
      </c>
      <c r="R265" s="46" t="inlineStr">
        <is>
          <t>MPR issue</t>
        </is>
      </c>
      <c r="S265" s="44" t="inlineStr">
        <is>
          <t>ACTIVE</t>
        </is>
      </c>
      <c r="T265" s="29" t="inlineStr">
        <is>
          <t>Impacted by CTR_020_Z_Masque(CTR-020) P2</t>
        </is>
      </c>
    </row>
    <row r="266" ht="18.75" customHeight="1">
      <c r="A266" s="14" t="n">
        <v>46142</v>
      </c>
      <c r="B266" s="23" t="inlineStr">
        <is>
          <t>Bastos-Bir-IHS</t>
        </is>
      </c>
      <c r="C266" s="23" t="inlineStr">
        <is>
          <t>CTR_640</t>
        </is>
      </c>
      <c r="D266" s="53" t="n"/>
      <c r="E266" s="23" t="inlineStr">
        <is>
          <t>IHS</t>
        </is>
      </c>
      <c r="F266" s="23" t="inlineStr">
        <is>
          <t>Grid-Gen</t>
        </is>
      </c>
      <c r="G266" s="53" t="inlineStr">
        <is>
          <t>CENTRE</t>
        </is>
      </c>
      <c r="H266" s="23" t="inlineStr">
        <is>
          <t>Yaounde</t>
        </is>
      </c>
      <c r="I266" s="74" t="inlineStr">
        <is>
          <t>ZTE</t>
        </is>
      </c>
      <c r="J266" s="38" t="n">
        <v>20.23858054666299</v>
      </c>
      <c r="K266" s="38" t="n">
        <v>17.17336311800647</v>
      </c>
      <c r="L266" s="38" t="n">
        <v>27.66963634930954</v>
      </c>
      <c r="M266" s="39" t="n">
        <v>23.08476227980812</v>
      </c>
      <c r="N266" s="40" t="inlineStr">
        <is>
          <t>Operationnel</t>
        </is>
      </c>
      <c r="O266" s="41" t="n"/>
      <c r="P266" s="42" t="inlineStr">
        <is>
          <t>PDH</t>
        </is>
      </c>
      <c r="Q266" s="43" t="inlineStr">
        <is>
          <t>TX ISSUE</t>
        </is>
      </c>
      <c r="R266" s="46" t="inlineStr">
        <is>
          <t>MPR issue</t>
        </is>
      </c>
      <c r="S266" s="44" t="inlineStr">
        <is>
          <t>ACTIVE</t>
        </is>
      </c>
      <c r="T266" s="29" t="inlineStr">
        <is>
          <t>Impacted by CTR_020_Z_Masque(CTR-020) P2</t>
        </is>
      </c>
    </row>
    <row r="267" ht="18.75" customHeight="1">
      <c r="A267" s="14" t="n">
        <v>46142</v>
      </c>
      <c r="B267" s="23" t="inlineStr">
        <is>
          <t>Logbessou-PK21-IHS</t>
        </is>
      </c>
      <c r="C267" s="23" t="inlineStr">
        <is>
          <t>LIT_235</t>
        </is>
      </c>
      <c r="D267" s="53" t="n"/>
      <c r="E267" s="23" t="inlineStr">
        <is>
          <t>IHS</t>
        </is>
      </c>
      <c r="F267" s="23" t="inlineStr">
        <is>
          <t>Grid-Gen</t>
        </is>
      </c>
      <c r="G267" s="53" t="inlineStr">
        <is>
          <t>LITTORAL</t>
        </is>
      </c>
      <c r="H267" s="23" t="inlineStr">
        <is>
          <t>Douala</t>
        </is>
      </c>
      <c r="I267" s="74" t="inlineStr">
        <is>
          <t>ZTE</t>
        </is>
      </c>
      <c r="J267" s="38" t="n">
        <v>11.6386450927025</v>
      </c>
      <c r="K267" s="38" t="n">
        <v>9.900279996327919</v>
      </c>
      <c r="L267" s="38" t="n">
        <v>31.90609903976431</v>
      </c>
      <c r="M267" s="39" t="n">
        <v>21.62430122163153</v>
      </c>
      <c r="N267" s="40" t="inlineStr">
        <is>
          <t>Operationnel</t>
        </is>
      </c>
      <c r="O267" s="41" t="n"/>
      <c r="P267" s="42" t="inlineStr">
        <is>
          <t>Fiber AOF</t>
        </is>
      </c>
      <c r="Q267" s="43" t="inlineStr">
        <is>
          <t>TX ISSUE</t>
        </is>
      </c>
      <c r="R267" s="29" t="inlineStr">
        <is>
          <t>fiber AOF</t>
        </is>
      </c>
      <c r="S267" s="44" t="inlineStr">
        <is>
          <t>ACTIVE</t>
        </is>
      </c>
      <c r="T267" s="29" t="inlineStr">
        <is>
          <t>Impacted by LIT_234_Z_PK17-University-IHS(LIT-234)….Impacté par P2 sur LIT_234_Z_PK17-University-IHS(LIT-234)….INC-20260330-00007365.,,2026-03-30 15:32:32.,,technician is managing the point feedback awaited.,,impacté par pk 17 université power issue ihs informé .,,Others Transmission equipement fault</t>
        </is>
      </c>
    </row>
    <row r="268" ht="18.75" customHeight="1">
      <c r="A268" s="14" t="n">
        <v>46142</v>
      </c>
      <c r="B268" s="23" t="inlineStr">
        <is>
          <t>PK15-Auberge</t>
        </is>
      </c>
      <c r="C268" s="23" t="inlineStr">
        <is>
          <t>LIT_728</t>
        </is>
      </c>
      <c r="D268" s="53" t="n"/>
      <c r="E268" s="23" t="inlineStr">
        <is>
          <t>CAMUSAT</t>
        </is>
      </c>
      <c r="F268" s="23" t="inlineStr">
        <is>
          <t>Good Grid no GE - 8h</t>
        </is>
      </c>
      <c r="G268" s="53" t="inlineStr">
        <is>
          <t>LITTORAL</t>
        </is>
      </c>
      <c r="H268" s="23" t="inlineStr">
        <is>
          <t>Douala</t>
        </is>
      </c>
      <c r="I268" s="74" t="inlineStr">
        <is>
          <t>ZTE</t>
        </is>
      </c>
      <c r="J268" s="38" t="n">
        <v>11.31666426867139</v>
      </c>
      <c r="K268" s="38" t="n">
        <v>9.632577071241812</v>
      </c>
      <c r="L268" s="38" t="n">
        <v>29.10355338643412</v>
      </c>
      <c r="M268" s="39" t="n">
        <v>20.02695593736891</v>
      </c>
      <c r="N268" s="40" t="inlineStr">
        <is>
          <t>Operationnel</t>
        </is>
      </c>
      <c r="O268" s="41" t="n"/>
      <c r="P268" s="42" t="inlineStr">
        <is>
          <t>Fiber AOF</t>
        </is>
      </c>
      <c r="Q268" s="43" t="inlineStr">
        <is>
          <t>TX ISSUE</t>
        </is>
      </c>
      <c r="R268" s="29" t="inlineStr">
        <is>
          <t>fiber AOF</t>
        </is>
      </c>
      <c r="S268" s="44" t="inlineStr">
        <is>
          <t>ACTIVE</t>
        </is>
      </c>
      <c r="T268" s="29" t="inlineStr">
        <is>
          <t>Impacted by LIT_234_Z_PK17-University-IHS(LIT-234)….Impacté par P2 sur LIT_234_Z_PK17-University-IHS(LIT-234)….INC-20260330-00007385.,,2026-03-30 15:27:59.,,Grid outage / Grid return awaited.,,impacté par pk 17 université power issue ihs informé .,,Others Transmission equipement fault</t>
        </is>
      </c>
    </row>
    <row r="269" ht="18.75" customHeight="1">
      <c r="A269" s="14" t="n">
        <v>46142</v>
      </c>
      <c r="B269" s="23" t="inlineStr">
        <is>
          <t>Mvog-Ada-TKC</t>
        </is>
      </c>
      <c r="C269" s="23" t="inlineStr">
        <is>
          <t>CTR_096</t>
        </is>
      </c>
      <c r="D269" s="53" t="n"/>
      <c r="E269" s="23" t="inlineStr">
        <is>
          <t>IHS</t>
        </is>
      </c>
      <c r="F269" s="23" t="inlineStr">
        <is>
          <t>Grid-Lithium</t>
        </is>
      </c>
      <c r="G269" s="53" t="inlineStr">
        <is>
          <t>CENTRE</t>
        </is>
      </c>
      <c r="H269" s="23" t="inlineStr">
        <is>
          <t>Yaounde</t>
        </is>
      </c>
      <c r="I269" s="74" t="inlineStr">
        <is>
          <t>ZTE</t>
        </is>
      </c>
      <c r="J269" s="38" t="n">
        <v>16.18809175529258</v>
      </c>
      <c r="K269" s="38" t="n">
        <v>13.76754864659941</v>
      </c>
      <c r="L269" s="38" t="n">
        <v>22.1931040652969</v>
      </c>
      <c r="M269" s="39" t="n">
        <v>18.50703272808212</v>
      </c>
      <c r="N269" s="40" t="inlineStr">
        <is>
          <t>Operationnel</t>
        </is>
      </c>
      <c r="O269" s="41" t="n"/>
      <c r="P269" s="42" t="inlineStr">
        <is>
          <t>PDH</t>
        </is>
      </c>
      <c r="Q269" s="43" t="inlineStr">
        <is>
          <t>TX ISSUE</t>
        </is>
      </c>
      <c r="R269" s="47" t="inlineStr">
        <is>
          <t>MPR issue</t>
        </is>
      </c>
      <c r="S269" s="44" t="inlineStr">
        <is>
          <t>ACTIVE</t>
        </is>
      </c>
      <c r="T269" s="29" t="inlineStr">
        <is>
          <t>Impacted by CTR_270_Z_Montesquieux(CTR-270)</t>
        </is>
      </c>
    </row>
    <row r="270" ht="18.75" customHeight="1">
      <c r="A270" s="14" t="n">
        <v>46142</v>
      </c>
      <c r="B270" s="23" t="inlineStr">
        <is>
          <t>Marche-Central-Bonawon-New</t>
        </is>
      </c>
      <c r="C270" s="23" t="inlineStr">
        <is>
          <t>LIT_740</t>
        </is>
      </c>
      <c r="D270" s="53" t="n"/>
      <c r="E270" s="23" t="inlineStr">
        <is>
          <t>CAMUSAT</t>
        </is>
      </c>
      <c r="F270" s="23" t="inlineStr">
        <is>
          <t>Good Grid no GE - 8h</t>
        </is>
      </c>
      <c r="G270" s="53" t="inlineStr">
        <is>
          <t>LITTORAL</t>
        </is>
      </c>
      <c r="H270" s="23" t="inlineStr">
        <is>
          <t>Douala</t>
        </is>
      </c>
      <c r="I270" s="74" t="inlineStr">
        <is>
          <t>ZTE</t>
        </is>
      </c>
      <c r="J270" s="38" t="n">
        <v>32.37293622531563</v>
      </c>
      <c r="K270" s="38" t="n">
        <v>32.13072615441109</v>
      </c>
      <c r="L270" s="38" t="n">
        <v>0</v>
      </c>
      <c r="M270" s="39" t="n">
        <v>15.40950766623007</v>
      </c>
      <c r="N270" s="40" t="inlineStr">
        <is>
          <t>Operationnel</t>
        </is>
      </c>
      <c r="O270" s="41" t="n"/>
      <c r="P270" s="42" t="inlineStr">
        <is>
          <t>AKTIVCO GRID ONLY</t>
        </is>
      </c>
      <c r="Q270" s="43" t="inlineStr">
        <is>
          <t>POWER ISSUE</t>
        </is>
      </c>
      <c r="R270" s="29" t="inlineStr">
        <is>
          <t>AKTIVCO Coupure ENEO &amp; Baisse de tension</t>
        </is>
      </c>
      <c r="S270" s="44" t="inlineStr">
        <is>
          <t>PASSIVE</t>
        </is>
      </c>
      <c r="T270" s="29" t="inlineStr">
        <is>
          <t>Impacted by LIT_547_Z_Marche-Congo (Power issue)….Impacted by LIT_547_Z_Marche-Congo (Power issue)….Impacted by LIT_547_Z_Marche-Congo (Power issue)</t>
        </is>
      </c>
    </row>
    <row r="271" ht="18.75" customHeight="1">
      <c r="A271" s="14" t="n">
        <v>46142</v>
      </c>
      <c r="B271" s="23" t="inlineStr">
        <is>
          <t>Tatum</t>
        </is>
      </c>
      <c r="C271" s="23" t="inlineStr">
        <is>
          <t>NRO_073</t>
        </is>
      </c>
      <c r="D271" s="53" t="n"/>
      <c r="E271" s="23" t="inlineStr">
        <is>
          <t>IHS</t>
        </is>
      </c>
      <c r="F271" s="23" t="inlineStr">
        <is>
          <t>Hybrid-Gen</t>
        </is>
      </c>
      <c r="G271" s="53" t="inlineStr">
        <is>
          <t>NORD-OUEST</t>
        </is>
      </c>
      <c r="H271" s="23" t="inlineStr">
        <is>
          <t>Tatum</t>
        </is>
      </c>
      <c r="I271" s="76" t="inlineStr">
        <is>
          <t>NOKIA</t>
        </is>
      </c>
      <c r="J271" s="38" t="n">
        <v>32.727702604394</v>
      </c>
      <c r="K271" s="38" t="n">
        <v>13.77031120903332</v>
      </c>
      <c r="L271" s="38" t="n">
        <v>0</v>
      </c>
      <c r="M271" s="39" t="n">
        <v>9.296365205869778</v>
      </c>
      <c r="N271" s="40" t="inlineStr">
        <is>
          <t>Insecurity</t>
        </is>
      </c>
      <c r="O271" s="41" t="n"/>
      <c r="P271" s="42" t="inlineStr">
        <is>
          <t>PDH</t>
        </is>
      </c>
      <c r="Q271" s="43" t="inlineStr">
        <is>
          <t>TX ISSUE</t>
        </is>
      </c>
      <c r="R271" s="29" t="inlineStr">
        <is>
          <t>ODU HS</t>
        </is>
      </c>
      <c r="S271" s="44" t="inlineStr">
        <is>
          <t>ACTIVE</t>
        </is>
      </c>
      <c r="T271" s="29" t="inlineStr">
        <is>
          <t>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
06/03/2026 02 3DB20858AC ou AB  // 02 3DB20859AC ou AB Pas disponible 
06/03/2026 Verification de la disponibilité en cours par le SPMS update dans 1H 
26.02.26; Compte tenu des Swaps NGOKOLO en cours, le site de Tatum impacté bénéficiera des ODUs retours sites. ETD DOUALA fixé au 02/03. A noter que swap du Lien TX Mah&lt;&gt;Tatum est planifié dans le cadre des swaps TX NOSO avec Huawei et les matériels Huawei ne sont pas encore arrivés
12.02.26; Lien TX Mah&lt;&gt;Tatum à swaper suite aux recommandations du BO TX (escaladé à l'ing OCM)
Recap des recos du BO TX;
-Les ODUs et branching ont été remplacés des deux côtés 4 fois déjà
-Les 02 sites fonctionnent actuellement avec les ODU et les Branching testés OK.
-Les FME ont effectué des réalignements du lien sans résultats positifs.
- La seule solution qui restera sera le SWAP de ce lien en WAVENCE
10.02.26; IR sent and waiting for next recomandations after several intervention done on site with BO BEnoit
07.02.2026: Reminder Send to RM. Awaiting Update from him. Update ASAP
06/05/2026 FME sur site travaux en cours….09.03.2026: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
06/03/2026 02 3DB20858AC ou AB  // 02 3DB20859AC ou AB Pas disponible 
06/03/2026 Verification de la disponibilité en cours par le SPMS update dans 1H 
26.02.26; Compte tenu des Swaps NGOKOLO en cours, le site de Tatum impacté bénéficiera des ODUs retours sites. ETD DOUALA fixé au 02/03. A noter que swap du Lien TX Mah&lt;&gt;Tatum est planifié dans le cadre des swaps TX NOSO avec Huawei et les matériels Huawei ne sont pas encore arrivés
12.02.26; Lien TX Mah&lt;&gt;Tatum à swaper suite aux recommandations du BO TX (escaladé à l'ing OCM)
Recap des recos du BO TX;
-Les ODUs et branching ont été remplacés des deux côtés 4 fois déjà
-Les 02 sites fonctionnent actuellement avec les ODU et les Branching testés OK.
-Les FME ont effectué des réalignements du lien sans résultats positifs.
- La seule solution qui restera sera le SWAP de ce lien en WAVENCE
10.02.26; IR sent and waiting for next recomandations after several intervention done on site with BO BEnoit
07.02.2026: Reminder Send to RM. Awaiting Update from him. Update ASAP
06/05/2026 FME sur site travaux en cours….09.03.2026: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
06/03/2026 02 3DB20858AC ou AB  // 02 3DB20859AC ou AB Pas disponible 
06/03/2026 Verification de la disponibilité en cours par le SPMS update dans 1H 
26.02.26; Compte tenu des Swaps NGOKOLO en cours, le site de Tatum impacté bénéficiera des ODUs retours sites. ETD DOUALA fixé au 02/03. A noter que swap du Lien TX Mah&lt;&gt;Tatum est planifié dans le cadre des swaps TX NOSO avec Huawei et les matériels Huawei ne sont pas encore arrivés
12.02.26; Lien TX Mah&lt;&gt;Tatum à swaper suite aux recommandations du BO TX (escaladé à l'ing OCM)
Recap des recos du BO TX;
-Les ODUs et branching ont été remplacés des deux côtés 4 fois déjà
-Les 02 sites fonctionnent actuellement avec les ODU et les Branching testés OK.
-Les FME ont effectué des réalignements du lien sans résultats positifs.
- La seule solution qui restera sera le SWAP de ce lien en WAVENCE
10.02.26; IR sent and waiting for next recomandations after several intervention done on site with BO BEnoit
07.02.2026: Reminder Send to RM. Awaiting Update from him. Update ASAP
06/05/2026 FME sur site travaux en cours</t>
        </is>
      </c>
    </row>
    <row r="272" ht="18.75" customHeight="1">
      <c r="A272" s="14" t="n">
        <v>46142</v>
      </c>
      <c r="B272" s="23" t="inlineStr">
        <is>
          <t>Touloum-IHS</t>
        </is>
      </c>
      <c r="C272" s="23" t="inlineStr">
        <is>
          <t>EXN_125</t>
        </is>
      </c>
      <c r="D272" s="53" t="n"/>
      <c r="E272" s="23" t="inlineStr">
        <is>
          <t>IHS</t>
        </is>
      </c>
      <c r="F272" s="23" t="inlineStr">
        <is>
          <t>Grid-Gen</t>
        </is>
      </c>
      <c r="G272" s="53" t="inlineStr">
        <is>
          <t>EXTREME-NORD</t>
        </is>
      </c>
      <c r="H272" s="23" t="inlineStr">
        <is>
          <t>Touloum</t>
        </is>
      </c>
      <c r="I272" s="76" t="inlineStr">
        <is>
          <t>NOKIA</t>
        </is>
      </c>
      <c r="J272" s="38" t="n">
        <v>19.95858391127924</v>
      </c>
      <c r="K272" s="38" t="n">
        <v>14.81664838911863</v>
      </c>
      <c r="L272" s="38" t="n">
        <v>1.104602105207861</v>
      </c>
      <c r="M272" s="39" t="n">
        <v>8.400241056408161</v>
      </c>
      <c r="N272" s="40" t="inlineStr">
        <is>
          <t>Insecurity</t>
        </is>
      </c>
      <c r="O272" s="41" t="n"/>
      <c r="P272" s="42" t="inlineStr">
        <is>
          <t>TRAVAUX OCM</t>
        </is>
      </c>
      <c r="Q272" s="43" t="inlineStr">
        <is>
          <t>TRAVAUX OCM</t>
        </is>
      </c>
      <c r="R272" s="46" t="inlineStr">
        <is>
          <t>Projet OCM (ZTE, NOKIA, autres projets)</t>
        </is>
      </c>
      <c r="S272" s="44" t="inlineStr">
        <is>
          <t>PLANNED WORKS</t>
        </is>
      </c>
      <c r="T272" s="29" t="inlineStr">
        <is>
          <t>Impacted by EXN_037_H_Mindif….INC-20260330-00010205</t>
        </is>
      </c>
    </row>
    <row r="273" ht="18.75" customHeight="1">
      <c r="A273" s="14" t="n">
        <v>46142</v>
      </c>
      <c r="B273" s="23" t="inlineStr">
        <is>
          <t>Mbonso</t>
        </is>
      </c>
      <c r="C273" s="23" t="inlineStr">
        <is>
          <t>NRO_057</t>
        </is>
      </c>
      <c r="D273" s="53" t="n"/>
      <c r="E273" s="23" t="inlineStr">
        <is>
          <t>IHS</t>
        </is>
      </c>
      <c r="F273" s="23" t="inlineStr">
        <is>
          <t>Gen Only</t>
        </is>
      </c>
      <c r="G273" s="53" t="inlineStr">
        <is>
          <t>NORD-OUEST</t>
        </is>
      </c>
      <c r="H273" s="23" t="inlineStr">
        <is>
          <t>Mbonso</t>
        </is>
      </c>
      <c r="I273" s="76" t="inlineStr">
        <is>
          <t>NOKIA</t>
        </is>
      </c>
      <c r="J273" s="38" t="n">
        <v>17.1273309811339</v>
      </c>
      <c r="K273" s="38" t="n">
        <v>13.77031120903332</v>
      </c>
      <c r="L273" s="38" t="n">
        <v>0</v>
      </c>
      <c r="M273" s="39" t="n">
        <v>7.068633580432512</v>
      </c>
      <c r="N273" s="40" t="inlineStr">
        <is>
          <t>Insecurity</t>
        </is>
      </c>
      <c r="O273" s="41" t="n"/>
      <c r="P273" s="42" t="inlineStr">
        <is>
          <t>TRAVAUX OCM</t>
        </is>
      </c>
      <c r="Q273" s="43" t="inlineStr">
        <is>
          <t>TRAVAUX OCM</t>
        </is>
      </c>
      <c r="R273" s="29" t="inlineStr">
        <is>
          <t>Projet OCM (ZTE, NOKIA, autres projets)</t>
        </is>
      </c>
      <c r="S273" s="44" t="inlineStr">
        <is>
          <t>PLANNED WORKS</t>
        </is>
      </c>
      <c r="T273" s="29" t="inlineStr">
        <is>
          <t>27/03/2026 : Under PROJECT WORK
23/03/2026 : check FXED and FAN needed….27/03/2026 : Under PROJECT WORK
23/03/2026 : check FXED and FAN needed….Impacted by Ntem_L18L8_NRO_056</t>
        </is>
      </c>
    </row>
    <row r="274" ht="18.75" customHeight="1">
      <c r="A274" s="14" t="n">
        <v>46142</v>
      </c>
      <c r="B274" s="23" t="inlineStr">
        <is>
          <t>Tchatibali</t>
        </is>
      </c>
      <c r="C274" s="23" t="inlineStr">
        <is>
          <t>EXN_017</t>
        </is>
      </c>
      <c r="D274" s="53" t="n"/>
      <c r="E274" s="23" t="inlineStr">
        <is>
          <t>IHS</t>
        </is>
      </c>
      <c r="F274" s="23" t="inlineStr">
        <is>
          <t>Grid-Gen</t>
        </is>
      </c>
      <c r="G274" s="53" t="inlineStr">
        <is>
          <t>EXTREME-NORD</t>
        </is>
      </c>
      <c r="H274" s="23" t="inlineStr">
        <is>
          <t>Tchatibali</t>
        </is>
      </c>
      <c r="I274" s="76" t="inlineStr">
        <is>
          <t>NOKIA</t>
        </is>
      </c>
      <c r="J274" s="38" t="n">
        <v>19.96186769484456</v>
      </c>
      <c r="K274" s="38" t="n">
        <v>11.26640622279753</v>
      </c>
      <c r="L274" s="38" t="n">
        <v>0</v>
      </c>
      <c r="M274" s="39" t="n">
        <v>6.632815377116751</v>
      </c>
      <c r="N274" s="40" t="inlineStr">
        <is>
          <t>Insecurity</t>
        </is>
      </c>
      <c r="O274" s="41" t="n"/>
      <c r="P274" s="42" t="inlineStr">
        <is>
          <t>TRAVAUX OCM</t>
        </is>
      </c>
      <c r="Q274" s="43" t="inlineStr">
        <is>
          <t>TRAVAUX OCM</t>
        </is>
      </c>
      <c r="R274" s="46" t="inlineStr">
        <is>
          <t>Projet OCM (ZTE, NOKIA, autres projets)</t>
        </is>
      </c>
      <c r="S274" s="44" t="inlineStr">
        <is>
          <t>PLANNED WORKS</t>
        </is>
      </c>
      <c r="T274" s="29" t="inlineStr">
        <is>
          <t>Impacted by EXN_037_H_Mindif</t>
        </is>
      </c>
    </row>
    <row r="275" ht="18.75" customHeight="1">
      <c r="A275" s="14" t="n">
        <v>46142</v>
      </c>
      <c r="B275" s="23" t="inlineStr">
        <is>
          <t>Mile16-Bolifamba-IHS</t>
        </is>
      </c>
      <c r="C275" s="23" t="inlineStr">
        <is>
          <t>SUO_220</t>
        </is>
      </c>
      <c r="D275" s="53" t="n"/>
      <c r="E275" s="23" t="inlineStr">
        <is>
          <t>IHS</t>
        </is>
      </c>
      <c r="F275" s="23" t="inlineStr">
        <is>
          <t>Grid-Gen</t>
        </is>
      </c>
      <c r="G275" s="53" t="inlineStr">
        <is>
          <t>SUD-OUEST</t>
        </is>
      </c>
      <c r="H275" s="23" t="inlineStr">
        <is>
          <t>Buea</t>
        </is>
      </c>
      <c r="I275" s="77" t="inlineStr">
        <is>
          <t>Huawei</t>
        </is>
      </c>
      <c r="J275" s="38" t="n">
        <v>3.272264386972491</v>
      </c>
      <c r="K275" s="38" t="n">
        <v>4.18368830135561</v>
      </c>
      <c r="L275" s="38" t="n">
        <v>7.556219862673383</v>
      </c>
      <c r="M275" s="39" t="n">
        <v>5.812273672856152</v>
      </c>
      <c r="N275" s="40" t="inlineStr">
        <is>
          <t>Operationnel</t>
        </is>
      </c>
      <c r="O275" s="41" t="n"/>
      <c r="P275" s="42" t="inlineStr">
        <is>
          <t>Partners</t>
        </is>
      </c>
      <c r="Q275" s="43" t="inlineStr">
        <is>
          <t>POWER ISSUE</t>
        </is>
      </c>
      <c r="R275" s="29" t="inlineStr">
        <is>
          <t>Sharing</t>
        </is>
      </c>
      <c r="S275" s="44" t="inlineStr">
        <is>
          <t>PASSIVE</t>
        </is>
      </c>
      <c r="T275" s="29" t="inlineStr">
        <is>
          <t>Power status check ongoing….INC-20260330-00010692.,,impacted by Bomaka III MTN .,,Others Transmission equipement fault</t>
        </is>
      </c>
    </row>
    <row r="276" ht="18.75" customHeight="1">
      <c r="A276" s="14" t="n">
        <v>46142</v>
      </c>
      <c r="B276" s="23" t="inlineStr">
        <is>
          <t>LELE-HIS</t>
        </is>
      </c>
      <c r="C276" s="23" t="inlineStr">
        <is>
          <t>SUD_205</t>
        </is>
      </c>
      <c r="D276" s="53" t="n"/>
      <c r="E276" s="23" t="n"/>
      <c r="F276" s="23" t="n"/>
      <c r="G276" s="53" t="inlineStr">
        <is>
          <t>SUD</t>
        </is>
      </c>
      <c r="H276" s="23" t="inlineStr">
        <is>
          <t>Mintom</t>
        </is>
      </c>
      <c r="I276" s="76" t="inlineStr">
        <is>
          <t>NOKIA</t>
        </is>
      </c>
      <c r="J276" s="38" t="n">
        <v>11.86784640380232</v>
      </c>
      <c r="K276" s="38" t="n">
        <v>5.062395660141919</v>
      </c>
      <c r="L276" s="38" t="n">
        <v>0.2039420208343034</v>
      </c>
      <c r="M276" s="39" t="n">
        <v>3.500585412511941</v>
      </c>
      <c r="N276" s="40" t="inlineStr">
        <is>
          <t>Operationnel</t>
        </is>
      </c>
      <c r="O276" s="41" t="n"/>
      <c r="P276" s="42" t="inlineStr">
        <is>
          <t>Fiber AOF</t>
        </is>
      </c>
      <c r="Q276" s="43" t="inlineStr">
        <is>
          <t>TX ISSUE</t>
        </is>
      </c>
      <c r="R276" s="29" t="inlineStr">
        <is>
          <t>fiber AOF</t>
        </is>
      </c>
      <c r="S276" s="44" t="inlineStr">
        <is>
          <t>ACTIVE</t>
        </is>
      </c>
      <c r="T276" s="29" t="inlineStr">
        <is>
          <t>Impacted by SUD_246_Z_Mintom-MTN(SUD-246)….Impacté par P1 sur SUD_246_Z_Mintom-MTN(SUD-246)</t>
        </is>
      </c>
    </row>
    <row r="277" ht="18.75" customHeight="1">
      <c r="A277" s="14" t="n">
        <v>46142</v>
      </c>
      <c r="B277" s="23" t="inlineStr">
        <is>
          <t>MELEN-MINTOM</t>
        </is>
      </c>
      <c r="C277" s="23" t="inlineStr">
        <is>
          <t>SUD_163</t>
        </is>
      </c>
      <c r="D277" s="53" t="n"/>
      <c r="E277" s="23" t="inlineStr">
        <is>
          <t>CAMUSAT</t>
        </is>
      </c>
      <c r="F277" s="23" t="inlineStr">
        <is>
          <t>#N/A</t>
        </is>
      </c>
      <c r="G277" s="53" t="inlineStr">
        <is>
          <t>SUD</t>
        </is>
      </c>
      <c r="H277" s="23" t="inlineStr">
        <is>
          <t>Melen-Mintom</t>
        </is>
      </c>
      <c r="I277" s="76" t="inlineStr">
        <is>
          <t>NOKIA</t>
        </is>
      </c>
      <c r="J277" s="38" t="n">
        <v>10.35717966438722</v>
      </c>
      <c r="K277" s="38" t="n">
        <v>4.433647075423904</v>
      </c>
      <c r="L277" s="38" t="n">
        <v>0.05116368658712548</v>
      </c>
      <c r="M277" s="39" t="n">
        <v>2.994112036621358</v>
      </c>
      <c r="N277" s="40" t="inlineStr">
        <is>
          <t>EXCLU</t>
        </is>
      </c>
      <c r="O277" s="49" t="inlineStr">
        <is>
          <t>UE Relay</t>
        </is>
      </c>
      <c r="P277" s="42" t="inlineStr">
        <is>
          <t>Exclu</t>
        </is>
      </c>
      <c r="Q277" s="43" t="inlineStr">
        <is>
          <t>Exclu</t>
        </is>
      </c>
      <c r="R277" s="29" t="inlineStr">
        <is>
          <t>exclu</t>
        </is>
      </c>
      <c r="S277" s="44" t="inlineStr">
        <is>
          <t>Exclu</t>
        </is>
      </c>
      <c r="T277" s="29" t="inlineStr">
        <is>
          <t>Impacted by SUD_246_Z_Mintom-MTN(SUD-246)….Impacté par P1 sur SUD_246_Z_Mintom-MTN(SUD-246)</t>
        </is>
      </c>
    </row>
    <row r="278" ht="18.75" customHeight="1">
      <c r="A278" s="14" t="n">
        <v>46142</v>
      </c>
      <c r="B278" s="23" t="inlineStr">
        <is>
          <t>Lele</t>
        </is>
      </c>
      <c r="C278" s="23" t="inlineStr">
        <is>
          <t>SUD_159</t>
        </is>
      </c>
      <c r="D278" s="53" t="n"/>
      <c r="E278" s="23" t="n"/>
      <c r="F278" s="23" t="n"/>
      <c r="G278" s="53" t="inlineStr">
        <is>
          <t>SUD</t>
        </is>
      </c>
      <c r="H278" s="23" t="inlineStr">
        <is>
          <t>Lele</t>
        </is>
      </c>
      <c r="I278" s="76" t="inlineStr">
        <is>
          <t>NOKIA</t>
        </is>
      </c>
      <c r="J278" s="38" t="n">
        <v>10.3374769629953</v>
      </c>
      <c r="K278" s="38" t="n">
        <v>4.432850182414123</v>
      </c>
      <c r="L278" s="38" t="n">
        <v>0.02599224719666742</v>
      </c>
      <c r="M278" s="39" t="n">
        <v>2.97790434886788</v>
      </c>
      <c r="N278" s="40" t="inlineStr">
        <is>
          <t>Operationnel</t>
        </is>
      </c>
      <c r="O278" s="41" t="n"/>
      <c r="P278" s="42" t="inlineStr">
        <is>
          <t>Fiber AOF</t>
        </is>
      </c>
      <c r="Q278" s="43" t="inlineStr">
        <is>
          <t>TX ISSUE</t>
        </is>
      </c>
      <c r="R278" s="29" t="inlineStr">
        <is>
          <t>fiber AOF</t>
        </is>
      </c>
      <c r="S278" s="44" t="inlineStr">
        <is>
          <t>ACTIVE</t>
        </is>
      </c>
      <c r="T278" s="29" t="inlineStr">
        <is>
          <t>Impacted by SUD_246_Z_Mintom-MTN(SUD-246)….Impacté par P1 sur SUD_246_Z_Mintom-MTN(SUD-246)</t>
        </is>
      </c>
    </row>
    <row r="279" ht="18.75" customHeight="1">
      <c r="A279" s="14" t="n">
        <v>46142</v>
      </c>
      <c r="B279" s="23" t="inlineStr">
        <is>
          <t>Badjonre-IHS</t>
        </is>
      </c>
      <c r="C279" s="23" t="inlineStr">
        <is>
          <t>EXN_152</t>
        </is>
      </c>
      <c r="D279" s="53" t="n"/>
      <c r="E279" s="23" t="inlineStr">
        <is>
          <t>IHS</t>
        </is>
      </c>
      <c r="F279" s="23" t="inlineStr">
        <is>
          <t>Solar-Gen</t>
        </is>
      </c>
      <c r="G279" s="53" t="inlineStr">
        <is>
          <t>EXTREME-NORD</t>
        </is>
      </c>
      <c r="H279" s="23" t="inlineStr">
        <is>
          <t>Badjonre</t>
        </is>
      </c>
      <c r="I279" s="76" t="inlineStr">
        <is>
          <t>NOKIA</t>
        </is>
      </c>
      <c r="J279" s="38" t="n">
        <v>9.980176051214897</v>
      </c>
      <c r="K279" s="38" t="n">
        <v>4.201463087795804</v>
      </c>
      <c r="L279" s="38" t="n">
        <v>0</v>
      </c>
      <c r="M279" s="39" t="n">
        <v>2.835647835693472</v>
      </c>
      <c r="N279" s="40" t="inlineStr">
        <is>
          <t>Insecurity</t>
        </is>
      </c>
      <c r="O279" s="41" t="n"/>
      <c r="P279" s="42" t="inlineStr">
        <is>
          <t>TRAVAUX OCM</t>
        </is>
      </c>
      <c r="Q279" s="43" t="inlineStr">
        <is>
          <t>TRAVAUX OCM</t>
        </is>
      </c>
      <c r="R279" s="46" t="inlineStr">
        <is>
          <t>Projet OCM (ZTE, NOKIA, autres projets)</t>
        </is>
      </c>
      <c r="S279" s="44" t="inlineStr">
        <is>
          <t>PLANNED WORKS</t>
        </is>
      </c>
      <c r="T279" s="29" t="inlineStr">
        <is>
          <t>Impacted by EXN_037_H_Mindif….INC-20260330-00010063</t>
        </is>
      </c>
    </row>
    <row r="280" ht="18.75" customHeight="1">
      <c r="A280" s="14" t="n">
        <v>46142</v>
      </c>
      <c r="B280" s="53" t="inlineStr">
        <is>
          <t>Mbalam</t>
        </is>
      </c>
      <c r="C280" s="53" t="inlineStr">
        <is>
          <t>SUD_222</t>
        </is>
      </c>
      <c r="D280" s="53" t="n"/>
      <c r="E280" s="53" t="inlineStr">
        <is>
          <t>IHS</t>
        </is>
      </c>
      <c r="F280" s="53" t="inlineStr">
        <is>
          <t>Solar-Gen</t>
        </is>
      </c>
      <c r="G280" s="53" t="inlineStr">
        <is>
          <t>SUD</t>
        </is>
      </c>
      <c r="H280" s="53" t="inlineStr">
        <is>
          <t>Mbalam</t>
        </is>
      </c>
      <c r="I280" s="76" t="inlineStr">
        <is>
          <t>NOKIA</t>
        </is>
      </c>
      <c r="J280" s="38" t="n">
        <v>15.49617464474514</v>
      </c>
      <c r="K280" s="38" t="n">
        <v>0</v>
      </c>
      <c r="L280" s="38" t="n">
        <v>0</v>
      </c>
      <c r="M280" s="39" t="n">
        <v>2.212852306539074</v>
      </c>
      <c r="N280" s="40" t="inlineStr">
        <is>
          <t>Operationnel</t>
        </is>
      </c>
      <c r="O280" s="41" t="n"/>
      <c r="P280" s="42" t="inlineStr">
        <is>
          <t>Fiber AOF</t>
        </is>
      </c>
      <c r="Q280" s="43" t="inlineStr">
        <is>
          <t>TX ISSUE</t>
        </is>
      </c>
      <c r="R280" s="29" t="inlineStr">
        <is>
          <t>fiber AOF</t>
        </is>
      </c>
      <c r="S280" s="44" t="inlineStr">
        <is>
          <t>ACTIVE</t>
        </is>
      </c>
      <c r="T280" s="29" t="inlineStr">
        <is>
          <t xml:space="preserve">Impacted by SUD_246_Z_Mintom-MTN(SUD-246)….Impacté par P1 sur SUD_246_Z_Mintom-MTN(SUD-246)….INC-20260330-00007098.,,problème de fibre optique à koungoulou </t>
        </is>
      </c>
    </row>
    <row r="281" ht="18.75" customHeight="1">
      <c r="A281" s="14" t="n">
        <v>46142</v>
      </c>
      <c r="B281" s="23" t="inlineStr">
        <is>
          <t>NTENYING1</t>
        </is>
      </c>
      <c r="C281" s="23" t="inlineStr">
        <is>
          <t>SUD_161</t>
        </is>
      </c>
      <c r="D281" s="53" t="n"/>
      <c r="E281" s="23" t="inlineStr">
        <is>
          <t>CAMUSAT</t>
        </is>
      </c>
      <c r="F281" s="23" t="inlineStr">
        <is>
          <t>#N/A</t>
        </is>
      </c>
      <c r="G281" s="53" t="inlineStr">
        <is>
          <t>SUD</t>
        </is>
      </c>
      <c r="H281" s="23" t="inlineStr">
        <is>
          <t>Ntenying</t>
        </is>
      </c>
      <c r="I281" s="76" t="inlineStr">
        <is>
          <t>NOKIA</t>
        </is>
      </c>
      <c r="J281" s="38" t="n">
        <v>0</v>
      </c>
      <c r="K281" s="38" t="n">
        <v>4.441350374518464</v>
      </c>
      <c r="L281" s="38" t="n">
        <v>0.04651244235193202</v>
      </c>
      <c r="M281" s="39" t="n">
        <v>1.515268253845957</v>
      </c>
      <c r="N281" s="40" t="inlineStr">
        <is>
          <t>Operationnel</t>
        </is>
      </c>
      <c r="O281" s="41" t="n"/>
      <c r="P281" s="42" t="inlineStr">
        <is>
          <t>Fiber AOF</t>
        </is>
      </c>
      <c r="Q281" s="43" t="inlineStr">
        <is>
          <t>TX ISSUE</t>
        </is>
      </c>
      <c r="R281" s="29" t="inlineStr">
        <is>
          <t>fiber AOF</t>
        </is>
      </c>
      <c r="S281" s="44" t="inlineStr">
        <is>
          <t>ACTIVE</t>
        </is>
      </c>
      <c r="T281" s="29" t="inlineStr">
        <is>
          <t>Impacted by SUD_246_Z_Mintom-MTN(SUD-246)….Impacté par P1 sur SUD_246_Z_Mintom-MTN(SUD-246)</t>
        </is>
      </c>
    </row>
    <row r="282" ht="18.75" customHeight="1">
      <c r="A282" s="14" t="n">
        <v>46142</v>
      </c>
      <c r="B282" s="23" t="inlineStr">
        <is>
          <t>Melen-Baaba</t>
        </is>
      </c>
      <c r="C282" s="23" t="inlineStr">
        <is>
          <t>CTR_594</t>
        </is>
      </c>
      <c r="D282" s="53" t="n"/>
      <c r="E282" s="23" t="inlineStr">
        <is>
          <t>IHS</t>
        </is>
      </c>
      <c r="F282" s="23" t="inlineStr">
        <is>
          <t>Grid-Gen</t>
        </is>
      </c>
      <c r="G282" s="53" t="inlineStr">
        <is>
          <t>CENTRE</t>
        </is>
      </c>
      <c r="H282" s="23" t="inlineStr">
        <is>
          <t>Ba'aba</t>
        </is>
      </c>
      <c r="I282" s="74" t="inlineStr">
        <is>
          <t>ZTE</t>
        </is>
      </c>
      <c r="J282" s="38" t="n">
        <v>1.429429996522907</v>
      </c>
      <c r="K282" s="38" t="n">
        <v>1.213508675296062</v>
      </c>
      <c r="L282" s="38" t="n">
        <v>1.580739033460504</v>
      </c>
      <c r="M282" s="39" t="n">
        <v>1.435848650098592</v>
      </c>
      <c r="N282" s="40" t="inlineStr">
        <is>
          <t>Operationnel</t>
        </is>
      </c>
      <c r="O282" s="41" t="n"/>
      <c r="P282" s="42" t="inlineStr">
        <is>
          <t>Partners</t>
        </is>
      </c>
      <c r="Q282" s="43" t="inlineStr">
        <is>
          <t>POWER ISSUE</t>
        </is>
      </c>
      <c r="R282" s="29" t="inlineStr">
        <is>
          <t>Sharing</t>
        </is>
      </c>
      <c r="S282" s="44" t="inlineStr">
        <is>
          <t>PASSIVE</t>
        </is>
      </c>
      <c r="T282" s="29" t="inlineStr">
        <is>
          <t>INC-20260330-00003704.,,2026-03-30 07:27:52.,,No power issue, site impacted by Nkolfoulou ENIA MTN CTR_837 which is not under our responsability.,,Eneo low voltage .,,Others Transmission equipement fault</t>
        </is>
      </c>
    </row>
    <row r="283" ht="18.75" customHeight="1">
      <c r="A283" s="14" t="n">
        <v>46142</v>
      </c>
      <c r="B283" s="23" t="inlineStr">
        <is>
          <t>Bagodo</t>
        </is>
      </c>
      <c r="C283" s="23" t="inlineStr">
        <is>
          <t>ADM_052</t>
        </is>
      </c>
      <c r="D283" s="53" t="n"/>
      <c r="E283" s="23" t="inlineStr">
        <is>
          <t>IHS</t>
        </is>
      </c>
      <c r="F283" s="23" t="inlineStr">
        <is>
          <t>Gen-Solar AER</t>
        </is>
      </c>
      <c r="G283" s="53" t="inlineStr">
        <is>
          <t>ADAMAOUA</t>
        </is>
      </c>
      <c r="H283" s="23" t="inlineStr">
        <is>
          <t>Bagodo</t>
        </is>
      </c>
      <c r="I283" s="76" t="inlineStr">
        <is>
          <t>NOKIA</t>
        </is>
      </c>
      <c r="J283" s="38" t="n">
        <v>2.345000363742179</v>
      </c>
      <c r="K283" s="38" t="n">
        <v>1.633878746071191</v>
      </c>
      <c r="L283" s="38" t="n">
        <v>0.6377944838702637</v>
      </c>
      <c r="M283" s="39" t="n">
        <v>1.215980301345916</v>
      </c>
      <c r="N283" s="40" t="inlineStr">
        <is>
          <t>Operationnel</t>
        </is>
      </c>
      <c r="O283" s="41" t="n"/>
      <c r="P283" s="42" t="inlineStr">
        <is>
          <t>SST &amp; DC</t>
        </is>
      </c>
      <c r="Q283" s="43" t="inlineStr">
        <is>
          <t>POWER ISSUE</t>
        </is>
      </c>
      <c r="R283" s="47" t="inlineStr">
        <is>
          <t>Sites strategiques &amp; DataCenter</t>
        </is>
      </c>
      <c r="S283" s="44" t="inlineStr">
        <is>
          <t>PASSIVE</t>
        </is>
      </c>
      <c r="T283" s="29" t="inlineStr">
        <is>
          <t>INC-20260330-00002889.,,2026-03-30 07:07:26.,,Impacted by Pangar Camrail (ADM_114) (Not managed by IHS).,,Impacted by Pangar Camrail (ADM_114) (Not managed by IHS).,,Others.,,Defaut carburant &amp; GE</t>
        </is>
      </c>
    </row>
    <row r="284" ht="18.75" customHeight="1">
      <c r="A284" s="14" t="n">
        <v>46142</v>
      </c>
      <c r="B284" s="23" t="inlineStr">
        <is>
          <t>Bamenda-Foncha-Street-IHS</t>
        </is>
      </c>
      <c r="C284" s="23" t="inlineStr">
        <is>
          <t>NRO_121</t>
        </is>
      </c>
      <c r="D284" s="53" t="n"/>
      <c r="E284" s="23" t="inlineStr">
        <is>
          <t>IHS</t>
        </is>
      </c>
      <c r="F284" s="23" t="inlineStr">
        <is>
          <t>Grid-Gen</t>
        </is>
      </c>
      <c r="G284" s="53" t="inlineStr">
        <is>
          <t>NORD-OUEST</t>
        </is>
      </c>
      <c r="H284" s="23" t="inlineStr">
        <is>
          <t>Bamenda</t>
        </is>
      </c>
      <c r="I284" s="77" t="inlineStr">
        <is>
          <t>Huawei</t>
        </is>
      </c>
      <c r="J284" s="38" t="n">
        <v>0.1011654257041114</v>
      </c>
      <c r="K284" s="38" t="n">
        <v>0.6522303654062582</v>
      </c>
      <c r="L284" s="38" t="n">
        <v>0</v>
      </c>
      <c r="M284" s="39" t="n">
        <v>0.2334076699397603</v>
      </c>
      <c r="N284" s="40" t="inlineStr">
        <is>
          <t>Operationnel</t>
        </is>
      </c>
      <c r="O284" s="41" t="n"/>
      <c r="P284" s="42" t="inlineStr">
        <is>
          <t>PDH</t>
        </is>
      </c>
      <c r="Q284" s="43" t="inlineStr">
        <is>
          <t>TX ISSUE</t>
        </is>
      </c>
      <c r="R284" s="46" t="inlineStr">
        <is>
          <t>MPR issue</t>
        </is>
      </c>
      <c r="S284" s="44" t="inlineStr">
        <is>
          <t>ACTIVE</t>
        </is>
      </c>
      <c r="T284" s="29" t="inlineStr">
        <is>
          <t>Power status check ongoing….Power status check ongoing….Power status check ongoing….INC-20260330-00014984.,,Impacted by Nkwein-clinic-St-Louis//No power issue on site, site on GEN with Ubaie = 50.2V. TX FME Jeremiah 698674799 Is informed..,,Power instability due to Grid fluctuations .,,Others Transmission equipement fault</t>
        </is>
      </c>
    </row>
    <row r="285" ht="18.75" customHeight="1">
      <c r="A285" s="14" t="n">
        <v>46142</v>
      </c>
      <c r="B285" s="23" t="inlineStr">
        <is>
          <t>Ntam</t>
        </is>
      </c>
      <c r="C285" s="23" t="inlineStr">
        <is>
          <t>SUD_120</t>
        </is>
      </c>
      <c r="D285" s="53" t="n"/>
      <c r="E285" s="23" t="n"/>
      <c r="F285" s="23" t="n"/>
      <c r="G285" s="53" t="inlineStr">
        <is>
          <t>SUD</t>
        </is>
      </c>
      <c r="H285" s="23" t="inlineStr">
        <is>
          <t>Ntam</t>
        </is>
      </c>
      <c r="I285" s="76" t="inlineStr">
        <is>
          <t>NOKIA</t>
        </is>
      </c>
      <c r="J285" s="38" t="n">
        <v>0</v>
      </c>
      <c r="K285" s="38" t="n">
        <v>0</v>
      </c>
      <c r="L285" s="38" t="n">
        <v>0.02088181463032203</v>
      </c>
      <c r="M285" s="39" t="n">
        <v>0.01088962740918959</v>
      </c>
      <c r="N285" s="40" t="inlineStr">
        <is>
          <t>Operationnel</t>
        </is>
      </c>
      <c r="O285" s="41" t="n"/>
      <c r="P285" s="42" t="inlineStr">
        <is>
          <t>Fiber AOF</t>
        </is>
      </c>
      <c r="Q285" s="43" t="inlineStr">
        <is>
          <t>TX ISSUE</t>
        </is>
      </c>
      <c r="R285" s="29" t="inlineStr">
        <is>
          <t>fiber AOF</t>
        </is>
      </c>
      <c r="S285" s="44" t="inlineStr">
        <is>
          <t>ACTIVE</t>
        </is>
      </c>
      <c r="T285" s="29" t="inlineStr">
        <is>
          <t xml:space="preserve">Impacted by SUD_246_Z_Mintom-MTN(SUD-246)….Impacté par P1 sur SUD_246_Z_Mintom-MTN(SUD-246)….INC-20260330-00007170.,,problème de fibre optique à koungoulou </t>
        </is>
      </c>
    </row>
    <row r="286" ht="18.75" customHeight="1">
      <c r="A286" s="14" t="n">
        <v>46142</v>
      </c>
      <c r="B286" s="23" t="inlineStr">
        <is>
          <t>Toumbouroum</t>
        </is>
      </c>
      <c r="C286" s="23" t="inlineStr">
        <is>
          <t>ADM_182</t>
        </is>
      </c>
      <c r="D286" s="53" t="n"/>
      <c r="E286" s="23" t="inlineStr">
        <is>
          <t>ESCO</t>
        </is>
      </c>
      <c r="F286" s="23" t="inlineStr">
        <is>
          <t>Hybrid solar - s3</t>
        </is>
      </c>
      <c r="G286" s="53" t="inlineStr">
        <is>
          <t>ADAMAOUA</t>
        </is>
      </c>
      <c r="H286" s="23" t="inlineStr">
        <is>
          <t>Toumbouroum</t>
        </is>
      </c>
      <c r="I286" s="77" t="inlineStr">
        <is>
          <t>HUAWEI</t>
        </is>
      </c>
      <c r="J286" s="38" t="n">
        <v>0</v>
      </c>
      <c r="K286" s="38" t="n">
        <v>0</v>
      </c>
      <c r="L286" s="38" t="n">
        <v>0</v>
      </c>
      <c r="M286" s="39" t="n">
        <v>0</v>
      </c>
      <c r="N286" s="40" t="inlineStr">
        <is>
          <t>Operationnel</t>
        </is>
      </c>
      <c r="O286" s="41" t="n"/>
      <c r="P286" s="42" t="inlineStr">
        <is>
          <t>Exclu</t>
        </is>
      </c>
      <c r="Q286" s="43" t="inlineStr">
        <is>
          <t>Exclu</t>
        </is>
      </c>
      <c r="R286" s="29" t="inlineStr">
        <is>
          <t>Exclu</t>
        </is>
      </c>
      <c r="S286" s="44" t="inlineStr">
        <is>
          <t>Exclu</t>
        </is>
      </c>
      <c r="T286" s="29" t="inlineStr">
        <is>
          <t>Impacted by ADM_132_H_Beka-Hossere-MTN-IHS….Impacted by ADM_132_H_Beka-Hossere-MTN-IHS….Impacted by ADM_132_H_Beka-Hossere-MTN-IHS</t>
        </is>
      </c>
    </row>
    <row r="287" ht="18.75" customHeight="1">
      <c r="A287" s="14" t="n">
        <v>46142</v>
      </c>
      <c r="B287" s="23" t="inlineStr">
        <is>
          <t>Mindif</t>
        </is>
      </c>
      <c r="C287" s="23" t="inlineStr">
        <is>
          <t>EXN_037</t>
        </is>
      </c>
      <c r="D287" s="53" t="n"/>
      <c r="E287" s="23" t="inlineStr">
        <is>
          <t>IHS</t>
        </is>
      </c>
      <c r="F287" s="23" t="inlineStr">
        <is>
          <t>Grid-Gen</t>
        </is>
      </c>
      <c r="G287" s="53" t="inlineStr">
        <is>
          <t>EXTREME-NORD</t>
        </is>
      </c>
      <c r="H287" s="23" t="inlineStr">
        <is>
          <t>Mindif</t>
        </is>
      </c>
      <c r="I287" s="77" t="inlineStr">
        <is>
          <t>HUAWEI</t>
        </is>
      </c>
      <c r="J287" s="38" t="n">
        <v>0</v>
      </c>
      <c r="K287" s="38" t="n">
        <v>0</v>
      </c>
      <c r="L287" s="38" t="n">
        <v>0</v>
      </c>
      <c r="M287" s="39" t="n">
        <v>0</v>
      </c>
      <c r="N287" s="40" t="inlineStr">
        <is>
          <t>Insecurity</t>
        </is>
      </c>
      <c r="O287" s="41" t="n"/>
      <c r="P287" s="42" t="inlineStr">
        <is>
          <t>TRAVAUX OCM</t>
        </is>
      </c>
      <c r="Q287" s="43" t="inlineStr">
        <is>
          <t>TRAVAUX OCM</t>
        </is>
      </c>
      <c r="R287" s="46" t="inlineStr">
        <is>
          <t>Projet OCM (ZTE, NOKIA, autres projets)</t>
        </is>
      </c>
      <c r="S287" s="44" t="inlineStr">
        <is>
          <t>PLANNED WORKS</t>
        </is>
      </c>
      <c r="T287" s="29" t="inlineStr">
        <is>
          <t>Impacted by EXN_037_H_Mindif</t>
        </is>
      </c>
    </row>
    <row r="288" ht="18.75" customHeight="1">
      <c r="A288" s="14" t="n">
        <v>46142</v>
      </c>
      <c r="B288" s="23" t="inlineStr">
        <is>
          <t>Dargala-New</t>
        </is>
      </c>
      <c r="C288" s="23" t="inlineStr">
        <is>
          <t>EXN_190</t>
        </is>
      </c>
      <c r="D288" s="53" t="n"/>
      <c r="E288" s="23" t="inlineStr">
        <is>
          <t>IHS</t>
        </is>
      </c>
      <c r="F288" s="23" t="inlineStr">
        <is>
          <t>Grid-Gen</t>
        </is>
      </c>
      <c r="G288" s="53" t="inlineStr">
        <is>
          <t>EXTREME-NORD</t>
        </is>
      </c>
      <c r="H288" s="23" t="inlineStr">
        <is>
          <t>Dargala</t>
        </is>
      </c>
      <c r="I288" s="77" t="inlineStr">
        <is>
          <t>HUAWEI</t>
        </is>
      </c>
      <c r="J288" s="38" t="n">
        <v>0</v>
      </c>
      <c r="K288" s="38" t="n">
        <v>0</v>
      </c>
      <c r="L288" s="38" t="n">
        <v>0</v>
      </c>
      <c r="M288" s="39" t="n">
        <v>0</v>
      </c>
      <c r="N288" s="40" t="inlineStr">
        <is>
          <t>Insecurity</t>
        </is>
      </c>
      <c r="O288" s="41" t="n"/>
      <c r="P288" s="42" t="inlineStr">
        <is>
          <t>TRAVAUX OCM</t>
        </is>
      </c>
      <c r="Q288" s="43" t="inlineStr">
        <is>
          <t>TRAVAUX OCM</t>
        </is>
      </c>
      <c r="R288" s="46" t="inlineStr">
        <is>
          <t>Projet OCM (ZTE, NOKIA, autres projets)</t>
        </is>
      </c>
      <c r="S288" s="44" t="inlineStr">
        <is>
          <t>PLANNED WORKS</t>
        </is>
      </c>
      <c r="T288" s="29" t="inlineStr">
        <is>
          <t>Impacted by EXN_037_H_Mindif</t>
        </is>
      </c>
    </row>
    <row r="289" ht="18.75" customHeight="1">
      <c r="A289" s="14" t="n">
        <v>46142</v>
      </c>
      <c r="B289" s="23" t="inlineStr">
        <is>
          <t>Ouro-Zangui</t>
        </is>
      </c>
      <c r="C289" s="23" t="inlineStr">
        <is>
          <t>EXN_199</t>
        </is>
      </c>
      <c r="D289" s="53" t="n"/>
      <c r="E289" s="23" t="inlineStr">
        <is>
          <t>IHS</t>
        </is>
      </c>
      <c r="F289" s="23" t="inlineStr">
        <is>
          <t>Hybrid-Gen</t>
        </is>
      </c>
      <c r="G289" s="53" t="inlineStr">
        <is>
          <t>EXTREME-NORD</t>
        </is>
      </c>
      <c r="H289" s="23" t="inlineStr">
        <is>
          <t>Ouro Zangui</t>
        </is>
      </c>
      <c r="I289" s="77" t="inlineStr">
        <is>
          <t>HUAWEI</t>
        </is>
      </c>
      <c r="J289" s="38" t="n">
        <v>0</v>
      </c>
      <c r="K289" s="38" t="n">
        <v>0</v>
      </c>
      <c r="L289" s="38" t="n">
        <v>0</v>
      </c>
      <c r="M289" s="39" t="n">
        <v>0</v>
      </c>
      <c r="N289" s="40" t="inlineStr">
        <is>
          <t>Insecurity</t>
        </is>
      </c>
      <c r="O289" s="41" t="n"/>
      <c r="P289" s="42" t="inlineStr">
        <is>
          <t>TRAVAUX OCM</t>
        </is>
      </c>
      <c r="Q289" s="43" t="inlineStr">
        <is>
          <t>TRAVAUX OCM</t>
        </is>
      </c>
      <c r="R289" s="46" t="inlineStr">
        <is>
          <t>Projet OCM (ZTE, NOKIA, autres projets)</t>
        </is>
      </c>
      <c r="S289" s="44" t="inlineStr">
        <is>
          <t>PLANNED WORKS</t>
        </is>
      </c>
      <c r="T289" s="29" t="inlineStr">
        <is>
          <t>Impacted by EXN_037_H_Mindif</t>
        </is>
      </c>
    </row>
    <row r="290" ht="18.75" customHeight="1">
      <c r="A290" s="14" t="n">
        <v>46142</v>
      </c>
      <c r="B290" s="23" t="inlineStr">
        <is>
          <t>Gagadje</t>
        </is>
      </c>
      <c r="C290" s="23" t="inlineStr">
        <is>
          <t>EXN_209</t>
        </is>
      </c>
      <c r="D290" s="53" t="n"/>
      <c r="E290" s="23" t="inlineStr">
        <is>
          <t>CAMUSAT</t>
        </is>
      </c>
      <c r="F290" s="23" t="inlineStr">
        <is>
          <t>Hybrid Solar - S3</t>
        </is>
      </c>
      <c r="G290" s="53" t="inlineStr">
        <is>
          <t>EXTREME-NORD</t>
        </is>
      </c>
      <c r="H290" s="23" t="inlineStr">
        <is>
          <t>Mindif</t>
        </is>
      </c>
      <c r="I290" s="77" t="inlineStr">
        <is>
          <t>HUAWEI</t>
        </is>
      </c>
      <c r="J290" s="38" t="n">
        <v>0</v>
      </c>
      <c r="K290" s="38" t="n">
        <v>0</v>
      </c>
      <c r="L290" s="38" t="n">
        <v>0</v>
      </c>
      <c r="M290" s="39" t="n">
        <v>0</v>
      </c>
      <c r="N290" s="40" t="inlineStr">
        <is>
          <t>Insecurity</t>
        </is>
      </c>
      <c r="O290" s="41" t="n"/>
      <c r="P290" s="42" t="inlineStr">
        <is>
          <t>TRAVAUX OCM</t>
        </is>
      </c>
      <c r="Q290" s="43" t="inlineStr">
        <is>
          <t>TRAVAUX OCM</t>
        </is>
      </c>
      <c r="R290" s="46" t="inlineStr">
        <is>
          <t>Projet OCM (ZTE, NOKIA, autres projets)</t>
        </is>
      </c>
      <c r="S290" s="44" t="inlineStr">
        <is>
          <t>PLANNED WORKS</t>
        </is>
      </c>
      <c r="T290" s="29" t="inlineStr">
        <is>
          <t>Impacted by EXN_037_H_Mindif</t>
        </is>
      </c>
    </row>
    <row r="291" ht="18.75" customHeight="1">
      <c r="A291" s="14" t="n">
        <v>46142</v>
      </c>
      <c r="B291" s="23" t="inlineStr">
        <is>
          <t>Gabarairou</t>
        </is>
      </c>
      <c r="C291" s="23" t="inlineStr">
        <is>
          <t>EXN_210</t>
        </is>
      </c>
      <c r="D291" s="53" t="n"/>
      <c r="E291" s="23" t="inlineStr">
        <is>
          <t>IHS</t>
        </is>
      </c>
      <c r="F291" s="23" t="inlineStr">
        <is>
          <t>Hybrid-Gen</t>
        </is>
      </c>
      <c r="G291" s="53" t="inlineStr">
        <is>
          <t>EXTREME-NORD</t>
        </is>
      </c>
      <c r="H291" s="23" t="inlineStr">
        <is>
          <t>Moulvoudaye</t>
        </is>
      </c>
      <c r="I291" s="77" t="inlineStr">
        <is>
          <t>HUAWEI</t>
        </is>
      </c>
      <c r="J291" s="38" t="n">
        <v>0</v>
      </c>
      <c r="K291" s="38" t="n">
        <v>0</v>
      </c>
      <c r="L291" s="38" t="n">
        <v>0</v>
      </c>
      <c r="M291" s="39" t="n">
        <v>0</v>
      </c>
      <c r="N291" s="40" t="inlineStr">
        <is>
          <t>Insecurity</t>
        </is>
      </c>
      <c r="O291" s="41" t="n"/>
      <c r="P291" s="42" t="inlineStr">
        <is>
          <t>TRAVAUX OCM</t>
        </is>
      </c>
      <c r="Q291" s="43" t="inlineStr">
        <is>
          <t>TRAVAUX OCM</t>
        </is>
      </c>
      <c r="R291" s="46" t="inlineStr">
        <is>
          <t>Projet OCM (ZTE, NOKIA, autres projets)</t>
        </is>
      </c>
      <c r="S291" s="44" t="inlineStr">
        <is>
          <t>PLANNED WORKS</t>
        </is>
      </c>
      <c r="T291" s="29" t="inlineStr">
        <is>
          <t>Impacted by EXN_037_H_Mindif</t>
        </is>
      </c>
    </row>
    <row r="292" ht="18.75" customHeight="1">
      <c r="A292" s="14" t="n">
        <v>46142</v>
      </c>
      <c r="B292" s="23" t="inlineStr">
        <is>
          <t>Mokom-IHS</t>
        </is>
      </c>
      <c r="C292" s="23" t="inlineStr">
        <is>
          <t>SUD_113</t>
        </is>
      </c>
      <c r="D292" s="53" t="n"/>
      <c r="E292" s="23" t="inlineStr">
        <is>
          <t>IHS</t>
        </is>
      </c>
      <c r="F292" s="23" t="inlineStr">
        <is>
          <t>Gen-Lithium</t>
        </is>
      </c>
      <c r="G292" s="53" t="inlineStr">
        <is>
          <t>SUD</t>
        </is>
      </c>
      <c r="H292" s="23" t="inlineStr">
        <is>
          <t>Mintom</t>
        </is>
      </c>
      <c r="I292" s="74" t="inlineStr">
        <is>
          <t>ZTE</t>
        </is>
      </c>
      <c r="J292" s="38" t="n">
        <v>0</v>
      </c>
      <c r="K292" s="38" t="n">
        <v>0</v>
      </c>
      <c r="L292" s="38" t="n">
        <v>0</v>
      </c>
      <c r="M292" s="39" t="n">
        <v>0</v>
      </c>
      <c r="N292" s="40" t="inlineStr">
        <is>
          <t>Operationnel</t>
        </is>
      </c>
      <c r="O292" s="41" t="n"/>
      <c r="P292" s="42" t="inlineStr">
        <is>
          <t>Fiber AOF</t>
        </is>
      </c>
      <c r="Q292" s="43" t="inlineStr">
        <is>
          <t>TX ISSUE</t>
        </is>
      </c>
      <c r="R292" s="29" t="inlineStr">
        <is>
          <t>fiber AOF</t>
        </is>
      </c>
      <c r="S292" s="44" t="inlineStr">
        <is>
          <t>ACTIVE</t>
        </is>
      </c>
      <c r="T292" s="29" t="inlineStr">
        <is>
          <t>Impacted by SUD_246_Z_Mintom-MTN(SUD-246)….Impacté par P1 sur SUD_246_Z_Mintom-MTN(SUD-246)</t>
        </is>
      </c>
    </row>
    <row r="293" ht="18.75" customHeight="1">
      <c r="A293" s="14" t="n">
        <v>46142</v>
      </c>
      <c r="B293" s="23" t="inlineStr">
        <is>
          <t>Akom-Centre-Hill-IHS</t>
        </is>
      </c>
      <c r="C293" s="23" t="inlineStr">
        <is>
          <t>SUD_112</t>
        </is>
      </c>
      <c r="D293" s="53" t="n"/>
      <c r="E293" s="23" t="inlineStr">
        <is>
          <t>IHS</t>
        </is>
      </c>
      <c r="F293" s="23" t="inlineStr">
        <is>
          <t>Hybrid-Gen</t>
        </is>
      </c>
      <c r="G293" s="53" t="inlineStr">
        <is>
          <t>SUD</t>
        </is>
      </c>
      <c r="H293" s="23" t="inlineStr">
        <is>
          <t>Akom</t>
        </is>
      </c>
      <c r="I293" s="74" t="inlineStr">
        <is>
          <t>ZTE</t>
        </is>
      </c>
      <c r="J293" s="38" t="n">
        <v>0</v>
      </c>
      <c r="K293" s="38" t="n">
        <v>0</v>
      </c>
      <c r="L293" s="38" t="n">
        <v>0</v>
      </c>
      <c r="M293" s="39" t="n">
        <v>0</v>
      </c>
      <c r="N293" s="40" t="inlineStr">
        <is>
          <t>Operationnel</t>
        </is>
      </c>
      <c r="O293" s="41" t="n"/>
      <c r="P293" s="42" t="inlineStr">
        <is>
          <t>Fiber AOF</t>
        </is>
      </c>
      <c r="Q293" s="43" t="inlineStr">
        <is>
          <t>TX ISSUE</t>
        </is>
      </c>
      <c r="R293" s="29" t="inlineStr">
        <is>
          <t>fiber AOF</t>
        </is>
      </c>
      <c r="S293" s="44" t="inlineStr">
        <is>
          <t>ACTIVE</t>
        </is>
      </c>
      <c r="T293" s="29" t="inlineStr">
        <is>
          <t>Impacted by SUD_246_Z_Mintom-MTN(SUD-246)….Impacté par P1 sur SUD_246_Z_Mintom-MTN(SUD-246)</t>
        </is>
      </c>
    </row>
    <row r="294" ht="18.75" customHeight="1">
      <c r="A294" s="14" t="n">
        <v>46142</v>
      </c>
      <c r="B294" s="23" t="inlineStr">
        <is>
          <t>Sedek</t>
        </is>
      </c>
      <c r="C294" s="23" t="inlineStr">
        <is>
          <t>EXN_218</t>
        </is>
      </c>
      <c r="D294" s="53" t="n"/>
      <c r="E294" s="23" t="inlineStr">
        <is>
          <t>IHS</t>
        </is>
      </c>
      <c r="F294" s="23" t="inlineStr">
        <is>
          <t>Hybrid-Gen</t>
        </is>
      </c>
      <c r="G294" s="53" t="inlineStr">
        <is>
          <t>EXTREME-NORD</t>
        </is>
      </c>
      <c r="H294" s="23" t="inlineStr">
        <is>
          <t>Sedek</t>
        </is>
      </c>
      <c r="I294" s="77" t="inlineStr">
        <is>
          <t>HUAWEI</t>
        </is>
      </c>
      <c r="J294" s="38" t="n">
        <v>0</v>
      </c>
      <c r="K294" s="38" t="n">
        <v>0</v>
      </c>
      <c r="L294" s="38" t="n">
        <v>0</v>
      </c>
      <c r="M294" s="39" t="n">
        <v>0</v>
      </c>
      <c r="N294" s="40" t="inlineStr">
        <is>
          <t>Insecurity</t>
        </is>
      </c>
      <c r="O294" s="41" t="n"/>
      <c r="P294" s="42" t="inlineStr">
        <is>
          <t>TRAVAUX OCM</t>
        </is>
      </c>
      <c r="Q294" s="43" t="inlineStr">
        <is>
          <t>TRAVAUX OCM</t>
        </is>
      </c>
      <c r="R294" s="46" t="inlineStr">
        <is>
          <t>Projet OCM (ZTE, NOKIA, autres projets)</t>
        </is>
      </c>
      <c r="S294" s="44" t="inlineStr">
        <is>
          <t>PLANNED WORKS</t>
        </is>
      </c>
      <c r="T294" s="29" t="inlineStr">
        <is>
          <t>Impacted by EXN_037_H_Mindif</t>
        </is>
      </c>
    </row>
    <row r="295" ht="18.75" customHeight="1">
      <c r="A295" s="14" t="n">
        <v>46142</v>
      </c>
      <c r="B295" s="23" t="inlineStr">
        <is>
          <t>Mintom-MTN</t>
        </is>
      </c>
      <c r="C295" s="23" t="inlineStr">
        <is>
          <t>SUD_246</t>
        </is>
      </c>
      <c r="D295" s="53" t="n"/>
      <c r="E295" s="23" t="inlineStr">
        <is>
          <t>IHS</t>
        </is>
      </c>
      <c r="F295" s="23" t="inlineStr">
        <is>
          <t>Solar-Gen-Lithium</t>
        </is>
      </c>
      <c r="G295" s="53" t="inlineStr">
        <is>
          <t>SUD</t>
        </is>
      </c>
      <c r="H295" s="23" t="inlineStr">
        <is>
          <t>Mintom</t>
        </is>
      </c>
      <c r="I295" s="74" t="inlineStr">
        <is>
          <t>ZTE</t>
        </is>
      </c>
      <c r="J295" s="38" t="n">
        <v>0</v>
      </c>
      <c r="K295" s="38" t="n">
        <v>0</v>
      </c>
      <c r="L295" s="38" t="n">
        <v>0</v>
      </c>
      <c r="M295" s="39" t="n">
        <v>0</v>
      </c>
      <c r="N295" s="40" t="inlineStr">
        <is>
          <t>Operationnel</t>
        </is>
      </c>
      <c r="O295" s="41" t="n"/>
      <c r="P295" s="42" t="inlineStr">
        <is>
          <t>Fiber AOF</t>
        </is>
      </c>
      <c r="Q295" s="43" t="inlineStr">
        <is>
          <t>TX ISSUE</t>
        </is>
      </c>
      <c r="R295" s="29" t="inlineStr">
        <is>
          <t>fiber AOF</t>
        </is>
      </c>
      <c r="S295" s="44" t="inlineStr">
        <is>
          <t>ACTIVE</t>
        </is>
      </c>
      <c r="T295" s="29" t="inlineStr">
        <is>
          <t>30/03/2026 La FO est coupé à koungoulou….Impacté par P1 sur SUD_246_Z_Mintom-MTN(SUD-246)….INC-20260330-00006959.,,2026-03-30 21:12:59.,,La Fibre Optique  disponible a Yaounde a été expediier ce soir  pour Djoum. ETD : 31/03/2026.,,fibre optique coupé à koungoulou par les rongeurs .,,ODU Fault</t>
        </is>
      </c>
    </row>
    <row r="296" ht="18.75" customHeight="1">
      <c r="A296" s="14" t="inlineStr">
        <is>
          <t>4/31/2026</t>
        </is>
      </c>
      <c r="B296" s="23" t="inlineStr">
        <is>
          <t>PK5-Auberge</t>
        </is>
      </c>
      <c r="C296" s="23" t="inlineStr">
        <is>
          <t>LIT_647</t>
        </is>
      </c>
      <c r="D296" s="53" t="n"/>
      <c r="E296" s="23" t="inlineStr">
        <is>
          <t>CAMUSAT</t>
        </is>
      </c>
      <c r="F296" s="23" t="inlineStr">
        <is>
          <t>Good Grid no GE - 12h</t>
        </is>
      </c>
      <c r="G296" s="53" t="inlineStr">
        <is>
          <t>LITTORAL</t>
        </is>
      </c>
      <c r="H296" s="23" t="inlineStr">
        <is>
          <t>Douala</t>
        </is>
      </c>
      <c r="I296" s="74" t="inlineStr">
        <is>
          <t>ZTE</t>
        </is>
      </c>
      <c r="J296" s="38" t="n">
        <v>21.62279834058727</v>
      </c>
      <c r="K296" s="38" t="n">
        <v>18.49514299023158</v>
      </c>
      <c r="L296" s="38" t="n">
        <v>60.02157082914721</v>
      </c>
      <c r="M296" s="39" t="n">
        <v>40.59732887599056</v>
      </c>
      <c r="N296" s="40" t="inlineStr">
        <is>
          <t>Operationnel</t>
        </is>
      </c>
      <c r="O296" s="41" t="n"/>
      <c r="P296" s="42" t="inlineStr">
        <is>
          <t>Fiber AOF</t>
        </is>
      </c>
      <c r="Q296" s="43" t="inlineStr">
        <is>
          <t>TX ISSUE</t>
        </is>
      </c>
      <c r="R296" s="50" t="inlineStr">
        <is>
          <t>fiber AOF</t>
        </is>
      </c>
      <c r="S296" s="44" t="inlineStr">
        <is>
          <t>ACTIVE</t>
        </is>
      </c>
      <c r="T296" s="29" t="inlineStr">
        <is>
          <t xml:space="preserve"> 31/03/2026  AOF MBOPPI-NEW_NR-PK5 retablie power issue on site camusat activated 
31/03/2026  Site impacté par coupure  AOF MBOPPI-NEW_NR-PK5 ETR=15H 
30/03/2026 Grid outage grid only site /awaiting grid return escalade L3 camusat 
30/03/2026 Grid outage grid only site /awaiting grid return escalade L2 camusat ..;31/03/2026  Site impacté par coupure  AOF MBOPPI-NEW_NR-PK5 ETR=15H 
30/03/2026 Grid outage grid only site /awaiting grid return escalade L3 camusat 
30/03/2026 Grid outage grid only site /awaiting grid return escalade L2 camusat </t>
        </is>
      </c>
    </row>
    <row r="297" ht="18.75" customHeight="1">
      <c r="A297" s="14" t="inlineStr">
        <is>
          <t>4/31/2026</t>
        </is>
      </c>
      <c r="B297" s="23" t="inlineStr">
        <is>
          <t>New-Town-Aeroport-IHS</t>
        </is>
      </c>
      <c r="C297" s="23" t="inlineStr">
        <is>
          <t>LIT_428</t>
        </is>
      </c>
      <c r="D297" s="53" t="n"/>
      <c r="E297" s="23" t="inlineStr">
        <is>
          <t>IHS</t>
        </is>
      </c>
      <c r="F297" s="23" t="inlineStr">
        <is>
          <t>Grid-Gen</t>
        </is>
      </c>
      <c r="G297" s="53" t="inlineStr">
        <is>
          <t>LITTORAL</t>
        </is>
      </c>
      <c r="H297" s="23" t="inlineStr">
        <is>
          <t>Douala</t>
        </is>
      </c>
      <c r="I297" s="74" t="inlineStr">
        <is>
          <t>ZTE</t>
        </is>
      </c>
      <c r="J297" s="38" t="n">
        <v>18.11198338189274</v>
      </c>
      <c r="K297" s="38" t="n">
        <v>15.4246610973408</v>
      </c>
      <c r="L297" s="38" t="n">
        <v>60.35591320887698</v>
      </c>
      <c r="M297" s="39" t="n">
        <v>39.23954436368721</v>
      </c>
      <c r="N297" s="40" t="inlineStr">
        <is>
          <t>Operationnel</t>
        </is>
      </c>
      <c r="O297" s="41" t="n"/>
      <c r="P297" s="42" t="inlineStr">
        <is>
          <t>IHS</t>
        </is>
      </c>
      <c r="Q297" s="43" t="inlineStr">
        <is>
          <t>POWER ISSUE</t>
        </is>
      </c>
      <c r="R297" s="29" t="inlineStr">
        <is>
          <t>Defaut GE &amp; Power Cabinet</t>
        </is>
      </c>
      <c r="S297" s="44" t="inlineStr">
        <is>
          <t>PASSIVE</t>
        </is>
      </c>
      <c r="T297" s="29" t="inlineStr">
        <is>
          <t xml:space="preserve">31/03/2026 Impacté par LIT_081_Z_Brazzaville(LIT-081)
31/03/2026 Grid outage, no space to deploy MDG, awaiting grid return..;31/03/2026 Grid outage, no space to deploy MDG, awaiting grid return..;Power status check ongoing..;INC-20260331-00005493...2026-03-31 17:08:56...01/04/2026 Carte EAC  (3DB19417AA ) non disponible au warehouse expedition depuis Yaounde aujourd'hui ETD = 02/04/2026...power Grid outage here the power guy taken point </t>
        </is>
      </c>
    </row>
    <row r="298" ht="18.75" customHeight="1">
      <c r="A298" s="14" t="inlineStr">
        <is>
          <t>4/31/2026</t>
        </is>
      </c>
      <c r="B298" s="23" t="inlineStr">
        <is>
          <t>Camp-Yabassi</t>
        </is>
      </c>
      <c r="C298" s="23" t="inlineStr">
        <is>
          <t>LIT_162</t>
        </is>
      </c>
      <c r="D298" s="53" t="n"/>
      <c r="E298" s="23" t="inlineStr">
        <is>
          <t>IHS</t>
        </is>
      </c>
      <c r="F298" s="23" t="inlineStr">
        <is>
          <t>Grid-Gen-Lithium</t>
        </is>
      </c>
      <c r="G298" s="53" t="inlineStr">
        <is>
          <t>LITTORAL</t>
        </is>
      </c>
      <c r="H298" s="23" t="inlineStr">
        <is>
          <t>Douala</t>
        </is>
      </c>
      <c r="I298" s="74" t="inlineStr">
        <is>
          <t>ZTE</t>
        </is>
      </c>
      <c r="J298" s="38" t="n">
        <v>0</v>
      </c>
      <c r="K298" s="38" t="n">
        <v>16.78543560084458</v>
      </c>
      <c r="L298" s="38" t="n">
        <v>48.57855240146475</v>
      </c>
      <c r="M298" s="39" t="n">
        <v>30.96822359766346</v>
      </c>
      <c r="N298" s="40" t="inlineStr">
        <is>
          <t>Operationnel</t>
        </is>
      </c>
      <c r="O298" s="41" t="n"/>
      <c r="P298" s="42" t="inlineStr">
        <is>
          <t>Fiber AOF</t>
        </is>
      </c>
      <c r="Q298" s="43" t="inlineStr">
        <is>
          <t>TX ISSUE</t>
        </is>
      </c>
      <c r="R298" s="29" t="inlineStr">
        <is>
          <t>fiber AOF</t>
        </is>
      </c>
      <c r="S298" s="44" t="inlineStr">
        <is>
          <t>ACTIVE</t>
        </is>
      </c>
      <c r="T298" s="29" t="inlineStr">
        <is>
          <t xml:space="preserve">31/03/2026  Site impacté par coupure  AOF MBOPPI-NEW_NR-PK5 ETR=15H 
30/03/20256 Site impacté par coupure  AOF MBOPPI-NEW_NR-PK5 
CDS activé
30/03/2026 FME sur qsite travaux en cours AOF DOWN 
30/03/2026 FME activé ETA 12h UTC </t>
        </is>
      </c>
    </row>
    <row r="299" ht="18.75" customHeight="1">
      <c r="A299" s="14" t="inlineStr">
        <is>
          <t>4/31/2026</t>
        </is>
      </c>
      <c r="B299" s="23" t="inlineStr">
        <is>
          <t>Babylone-IHS</t>
        </is>
      </c>
      <c r="C299" s="23" t="inlineStr">
        <is>
          <t>LIT_153</t>
        </is>
      </c>
      <c r="D299" s="53" t="n"/>
      <c r="E299" s="23" t="inlineStr">
        <is>
          <t>IHS</t>
        </is>
      </c>
      <c r="F299" s="23" t="inlineStr">
        <is>
          <t>Grid-Gen</t>
        </is>
      </c>
      <c r="G299" s="53" t="inlineStr">
        <is>
          <t>LITTORAL</t>
        </is>
      </c>
      <c r="H299" s="23" t="inlineStr">
        <is>
          <t>Douala</t>
        </is>
      </c>
      <c r="I299" s="74" t="inlineStr">
        <is>
          <t>ZTE</t>
        </is>
      </c>
      <c r="J299" s="38" t="n">
        <v>13.30100535951944</v>
      </c>
      <c r="K299" s="38" t="n">
        <v>11.31906831094383</v>
      </c>
      <c r="L299" s="38" t="n">
        <v>44.32362153537028</v>
      </c>
      <c r="M299" s="39" t="n">
        <v>28.8135856212172</v>
      </c>
      <c r="N299" s="40" t="inlineStr">
        <is>
          <t>Operationnel</t>
        </is>
      </c>
      <c r="O299" s="41" t="n"/>
      <c r="P299" s="42" t="inlineStr">
        <is>
          <t>IHS GRID ONLY</t>
        </is>
      </c>
      <c r="Q299" s="43" t="inlineStr">
        <is>
          <t>POWER ISSUE</t>
        </is>
      </c>
      <c r="R299" s="50" t="inlineStr">
        <is>
          <t>Coupure ENEO &amp; Baisse de tension</t>
        </is>
      </c>
      <c r="S299" s="44" t="inlineStr">
        <is>
          <t>PASSIVE</t>
        </is>
      </c>
      <c r="T299" s="29" t="inlineStr">
        <is>
          <t xml:space="preserve">Impacté par LIT_095_Z_Newb-Srce-Quartier(LIT-095)..;Impacté par LIT_095_Z_Newb-Srce-Quartier(LIT-095)..;INC-20260331-00008256...SD card has problem at New b source quartier </t>
        </is>
      </c>
    </row>
    <row r="300" ht="18.75" customHeight="1">
      <c r="A300" s="14" t="inlineStr">
        <is>
          <t>4/31/2026</t>
        </is>
      </c>
      <c r="B300" s="53" t="inlineStr">
        <is>
          <t>CTR_935_Z_BATA-Mokolo-II-HIS</t>
        </is>
      </c>
      <c r="C300" s="53" t="inlineStr">
        <is>
          <t>CTR_935</t>
        </is>
      </c>
      <c r="D300" s="53" t="n"/>
      <c r="E300" s="53" t="inlineStr">
        <is>
          <t>I_HS</t>
        </is>
      </c>
      <c r="F300" s="53" t="inlineStr">
        <is>
          <t>Grid Only</t>
        </is>
      </c>
      <c r="G300" s="53" t="inlineStr">
        <is>
          <t>CENTRE</t>
        </is>
      </c>
      <c r="H300" s="53" t="inlineStr">
        <is>
          <t>Yaoundé</t>
        </is>
      </c>
      <c r="I300" s="74" t="inlineStr">
        <is>
          <t>ZTE</t>
        </is>
      </c>
      <c r="J300" s="38" t="n">
        <v>10.62823979153428</v>
      </c>
      <c r="K300" s="38" t="n">
        <v>9.030019703445298</v>
      </c>
      <c r="L300" s="38" t="n">
        <v>35.49932201275207</v>
      </c>
      <c r="M300" s="39" t="n">
        <v>23.06168368846541</v>
      </c>
      <c r="N300" s="40" t="inlineStr">
        <is>
          <t>Operationnel</t>
        </is>
      </c>
      <c r="O300" s="41" t="n"/>
      <c r="P300" s="42" t="inlineStr">
        <is>
          <t>IHS GRID ONLY</t>
        </is>
      </c>
      <c r="Q300" s="43" t="inlineStr">
        <is>
          <t>POWER ISSUE</t>
        </is>
      </c>
      <c r="R300" s="29" t="inlineStr">
        <is>
          <t>Coupure ENEO &amp; Baisse de tension</t>
        </is>
      </c>
      <c r="S300" s="44" t="inlineStr">
        <is>
          <t>PASSIVE</t>
        </is>
      </c>
      <c r="T300" s="29" t="inlineStr">
        <is>
          <t>30/03/2026 : Besoin d'analyse BO RAN..;31/03/2026 : Besoin d'analyse BO RAN || Site unstable due to transmission..;Impacted by CTR_050_Z_Mini-Ferme(CTR-050)..;Power status check ongoing..;INC-20260331-00008422...2026-03-31 14:29:18...Grid outage awaiting Grid returned...impacté par mini ferme qui porte le donor entré cité verte.(problème de power sur mini ferme , confirmé par le gnoc)...Others Transmission equipement fault</t>
        </is>
      </c>
    </row>
    <row r="301" ht="18.75" customHeight="1">
      <c r="A301" s="14" t="inlineStr">
        <is>
          <t>4/31/2026</t>
        </is>
      </c>
      <c r="B301" s="23" t="inlineStr">
        <is>
          <t>Camp-Yabassi-IHS</t>
        </is>
      </c>
      <c r="C301" s="23" t="inlineStr">
        <is>
          <t>LIT_587</t>
        </is>
      </c>
      <c r="D301" s="53" t="n"/>
      <c r="E301" s="23" t="inlineStr">
        <is>
          <t>IHS</t>
        </is>
      </c>
      <c r="F301" s="23" t="inlineStr">
        <is>
          <t>Grid-Gen</t>
        </is>
      </c>
      <c r="G301" s="53" t="inlineStr">
        <is>
          <t>LITTORAL</t>
        </is>
      </c>
      <c r="H301" s="23" t="inlineStr">
        <is>
          <t>Douala</t>
        </is>
      </c>
      <c r="I301" s="74" t="inlineStr">
        <is>
          <t>ZTE</t>
        </is>
      </c>
      <c r="J301" s="38" t="n">
        <v>0</v>
      </c>
      <c r="K301" s="38" t="n">
        <v>16.78261991221002</v>
      </c>
      <c r="L301" s="38" t="n">
        <v>27.04821643935762</v>
      </c>
      <c r="M301" s="39" t="n">
        <v>19.73945447489249</v>
      </c>
      <c r="N301" s="40" t="inlineStr">
        <is>
          <t>Operationnel</t>
        </is>
      </c>
      <c r="O301" s="41" t="n"/>
      <c r="P301" s="42" t="inlineStr">
        <is>
          <t>Fiber AOF</t>
        </is>
      </c>
      <c r="Q301" s="43" t="inlineStr">
        <is>
          <t>TX ISSUE</t>
        </is>
      </c>
      <c r="R301" s="29" t="inlineStr">
        <is>
          <t>fiber AOF</t>
        </is>
      </c>
      <c r="S301" s="44" t="inlineStr">
        <is>
          <t>ACTIVE</t>
        </is>
      </c>
      <c r="T301" s="29" t="inlineStr">
        <is>
          <t>Impacted by LIT_162_Z_Camp-Yabassi(LIT-162)</t>
        </is>
      </c>
    </row>
    <row r="302" ht="18.75" customHeight="1">
      <c r="A302" s="14" t="inlineStr">
        <is>
          <t>4/31/2026</t>
        </is>
      </c>
      <c r="B302" s="23" t="inlineStr">
        <is>
          <t>Kumba-Nkamlikum</t>
        </is>
      </c>
      <c r="C302" s="23" t="inlineStr">
        <is>
          <t>SUO_216</t>
        </is>
      </c>
      <c r="D302" s="53" t="n"/>
      <c r="E302" s="23" t="inlineStr">
        <is>
          <t>IHS</t>
        </is>
      </c>
      <c r="F302" s="23" t="inlineStr">
        <is>
          <t>Grid-Gen</t>
        </is>
      </c>
      <c r="G302" s="53" t="inlineStr">
        <is>
          <t>SUD-OUEST</t>
        </is>
      </c>
      <c r="H302" s="23" t="inlineStr">
        <is>
          <t>Kumba</t>
        </is>
      </c>
      <c r="I302" s="77" t="inlineStr">
        <is>
          <t>Huawei</t>
        </is>
      </c>
      <c r="J302" s="38" t="n">
        <v>10.26641727515797</v>
      </c>
      <c r="K302" s="38" t="n">
        <v>17.47745749053928</v>
      </c>
      <c r="L302" s="38" t="n">
        <v>16.85357828427091</v>
      </c>
      <c r="M302" s="39" t="n">
        <v>16.12237574657638</v>
      </c>
      <c r="N302" s="40" t="inlineStr">
        <is>
          <t>Operationnel</t>
        </is>
      </c>
      <c r="O302" s="41" t="n"/>
      <c r="P302" s="42" t="inlineStr">
        <is>
          <t>SST &amp; DC</t>
        </is>
      </c>
      <c r="Q302" s="43" t="inlineStr">
        <is>
          <t>POWER ISSUE</t>
        </is>
      </c>
      <c r="R302" s="29" t="inlineStr">
        <is>
          <t>Sites strategiques &amp; DataCenter</t>
        </is>
      </c>
      <c r="S302" s="44" t="inlineStr">
        <is>
          <t>PASSIVE</t>
        </is>
      </c>
      <c r="T302" s="29" t="inlineStr">
        <is>
          <t>01/04/2026: IMPACTE PAR LE SOUCI D ENERGIE SUR KUMBA-AGENCE</t>
        </is>
      </c>
    </row>
    <row r="303" ht="18.75" customHeight="1">
      <c r="A303" s="14" t="inlineStr">
        <is>
          <t>4/31/2026</t>
        </is>
      </c>
      <c r="B303" s="23" t="inlineStr">
        <is>
          <t>Tchatibali</t>
        </is>
      </c>
      <c r="C303" s="23" t="inlineStr">
        <is>
          <t>EXN_017</t>
        </is>
      </c>
      <c r="D303" s="53" t="n"/>
      <c r="E303" s="23" t="inlineStr">
        <is>
          <t>IHS</t>
        </is>
      </c>
      <c r="F303" s="23" t="inlineStr">
        <is>
          <t>Grid-Gen</t>
        </is>
      </c>
      <c r="G303" s="53" t="inlineStr">
        <is>
          <t>EXTREME-NORD</t>
        </is>
      </c>
      <c r="H303" s="23" t="inlineStr">
        <is>
          <t>Tchatibali</t>
        </is>
      </c>
      <c r="I303" s="76" t="inlineStr">
        <is>
          <t>NOKIA</t>
        </is>
      </c>
      <c r="J303" s="38" t="n">
        <v>31.93668966325557</v>
      </c>
      <c r="K303" s="38" t="n">
        <v>20.14157389856889</v>
      </c>
      <c r="L303" s="38" t="n">
        <v>8.655726119417686</v>
      </c>
      <c r="M303" s="39" t="n">
        <v>15.83617713840735</v>
      </c>
      <c r="N303" s="40" t="inlineStr">
        <is>
          <t>Insecurity</t>
        </is>
      </c>
      <c r="O303" s="41" t="n"/>
      <c r="P303" s="42" t="inlineStr">
        <is>
          <t>PDH</t>
        </is>
      </c>
      <c r="Q303" s="43" t="inlineStr">
        <is>
          <t>TX ISSUE</t>
        </is>
      </c>
      <c r="R303" s="29" t="inlineStr">
        <is>
          <t>ODU HS</t>
        </is>
      </c>
      <c r="S303" s="44" t="inlineStr">
        <is>
          <t>ACTIVE</t>
        </is>
      </c>
      <c r="T303" s="29" t="inlineStr">
        <is>
          <t>01/04/2026:: TX ISSUE RESET ODU…..Impacted by Badjonre-IHS_G9G18U9U21L18L8_EXN_152</t>
        </is>
      </c>
    </row>
    <row r="304" ht="18.75" customHeight="1">
      <c r="A304" s="14" t="inlineStr">
        <is>
          <t>4/31/2026</t>
        </is>
      </c>
      <c r="B304" s="23" t="inlineStr">
        <is>
          <t>Marche-Central-Bonawon-New</t>
        </is>
      </c>
      <c r="C304" s="23" t="inlineStr">
        <is>
          <t>LIT_740</t>
        </is>
      </c>
      <c r="D304" s="53" t="n"/>
      <c r="E304" s="23" t="inlineStr">
        <is>
          <t>CAMUSAT</t>
        </is>
      </c>
      <c r="F304" s="23" t="inlineStr">
        <is>
          <t>Good Grid no GE - 8h</t>
        </is>
      </c>
      <c r="G304" s="53" t="inlineStr">
        <is>
          <t>LITTORAL</t>
        </is>
      </c>
      <c r="H304" s="23" t="inlineStr">
        <is>
          <t>Douala</t>
        </is>
      </c>
      <c r="I304" s="74" t="inlineStr">
        <is>
          <t>ZTE</t>
        </is>
      </c>
      <c r="J304" s="38" t="n">
        <v>32.37293622531563</v>
      </c>
      <c r="K304" s="38" t="n">
        <v>32.13072615441109</v>
      </c>
      <c r="L304" s="38" t="n">
        <v>0</v>
      </c>
      <c r="M304" s="39" t="n">
        <v>15.40950766623007</v>
      </c>
      <c r="N304" s="40" t="inlineStr">
        <is>
          <t>Operationnel</t>
        </is>
      </c>
      <c r="O304" s="41" t="n"/>
      <c r="P304" s="42" t="inlineStr">
        <is>
          <t>AKTIVCO GRID ONLY</t>
        </is>
      </c>
      <c r="Q304" s="43" t="inlineStr">
        <is>
          <t>POWER ISSUE</t>
        </is>
      </c>
      <c r="R304" s="29" t="inlineStr">
        <is>
          <t>AKTIVCO Coupure ENEO &amp; Baisse de tension</t>
        </is>
      </c>
      <c r="S304" s="44" t="inlineStr">
        <is>
          <t>PASSIVE</t>
        </is>
      </c>
      <c r="T304" s="29" t="inlineStr">
        <is>
          <t>Impacted by LIT_547_Z_Marche-Congo (Power issue, camusat no GE)..;Impacted by LIT_547_Z_Marche-Congo (Power issue)..;Impacted by LIT_547_Z_Marche-Congo (Power issue)</t>
        </is>
      </c>
    </row>
    <row r="305" ht="18.75" customHeight="1">
      <c r="A305" s="14" t="inlineStr">
        <is>
          <t>4/31/2026</t>
        </is>
      </c>
      <c r="B305" s="23" t="inlineStr">
        <is>
          <t>Touloum-IHS</t>
        </is>
      </c>
      <c r="C305" s="23" t="inlineStr">
        <is>
          <t>EXN_125</t>
        </is>
      </c>
      <c r="D305" s="53" t="n"/>
      <c r="E305" s="23" t="inlineStr">
        <is>
          <t>IHS</t>
        </is>
      </c>
      <c r="F305" s="23" t="inlineStr">
        <is>
          <t>Grid-Gen</t>
        </is>
      </c>
      <c r="G305" s="53" t="inlineStr">
        <is>
          <t>EXTREME-NORD</t>
        </is>
      </c>
      <c r="H305" s="23" t="inlineStr">
        <is>
          <t>Touloum</t>
        </is>
      </c>
      <c r="I305" s="76" t="inlineStr">
        <is>
          <t>NOKIA</t>
        </is>
      </c>
      <c r="J305" s="38" t="n">
        <v>31.85989964757425</v>
      </c>
      <c r="K305" s="38" t="n">
        <v>26.85923946281903</v>
      </c>
      <c r="L305" s="38" t="n">
        <v>1.356932104967091</v>
      </c>
      <c r="M305" s="39" t="n">
        <v>14.27417177390157</v>
      </c>
      <c r="N305" s="40" t="inlineStr">
        <is>
          <t>Insecurity</t>
        </is>
      </c>
      <c r="O305" s="41" t="n"/>
      <c r="P305" s="42" t="inlineStr">
        <is>
          <t>PDH</t>
        </is>
      </c>
      <c r="Q305" s="43" t="inlineStr">
        <is>
          <t>TX ISSUE</t>
        </is>
      </c>
      <c r="R305" s="29" t="inlineStr">
        <is>
          <t>ODU HS</t>
        </is>
      </c>
      <c r="S305" s="44" t="inlineStr">
        <is>
          <t>ACTIVE</t>
        </is>
      </c>
      <c r="T305" s="29" t="inlineStr">
        <is>
          <t>01/04/2026 : TX ISSUE RESET ODU…....Impacted by Badjonre-IHS_G9G18U9U21L18L8_EXN_152</t>
        </is>
      </c>
    </row>
    <row r="306" ht="18.75" customHeight="1">
      <c r="A306" s="14" t="inlineStr">
        <is>
          <t>4/31/2026</t>
        </is>
      </c>
      <c r="B306" s="23" t="inlineStr">
        <is>
          <t>Nkolfoulou-I</t>
        </is>
      </c>
      <c r="C306" s="23" t="inlineStr">
        <is>
          <t>CTR_671</t>
        </is>
      </c>
      <c r="D306" s="53" t="n"/>
      <c r="E306" s="23" t="inlineStr">
        <is>
          <t>CAMUSAT</t>
        </is>
      </c>
      <c r="F306" s="23" t="inlineStr">
        <is>
          <t>Good Grid + GE</t>
        </is>
      </c>
      <c r="G306" s="53" t="inlineStr">
        <is>
          <t>CENTRE</t>
        </is>
      </c>
      <c r="H306" s="23" t="inlineStr">
        <is>
          <t>Yaounde</t>
        </is>
      </c>
      <c r="I306" s="74" t="inlineStr">
        <is>
          <t>ZTE</t>
        </is>
      </c>
      <c r="J306" s="38" t="n">
        <v>32.37293622531563</v>
      </c>
      <c r="K306" s="38" t="n">
        <v>27.54062241806665</v>
      </c>
      <c r="L306" s="38" t="n">
        <v>0</v>
      </c>
      <c r="M306" s="39" t="n">
        <v>13.86855689960706</v>
      </c>
      <c r="N306" s="40" t="inlineStr">
        <is>
          <t>Operationnel</t>
        </is>
      </c>
      <c r="O306" s="41" t="n"/>
      <c r="P306" s="42" t="inlineStr">
        <is>
          <t>Fiber AOF</t>
        </is>
      </c>
      <c r="Q306" s="43" t="inlineStr">
        <is>
          <t>TX ISSUE</t>
        </is>
      </c>
      <c r="R306" s="29" t="inlineStr">
        <is>
          <t>fiber AOF</t>
        </is>
      </c>
      <c r="S306" s="44" t="inlineStr">
        <is>
          <t>ACTIVE</t>
        </is>
      </c>
      <c r="T306" s="29" t="inlineStr">
        <is>
          <t>31/03/2026 Retour cds apres la coupure de nkolzié escalade CDS
30/03/2026 Nous constatons l'indisponibilité de NKOLFOULOU-I dû à la coupure de l'AOF ELEVEUR---NKOLFOULOU-I.
Merci d'impacter CDS pour prise en charge et correction de l'AOF...;31/03/2026 Retour cds apres la coupure de nkolzié escalade CDS
30/03/2026 Nous constatons l'indisponibilité de NKOLFOULOU-I dû à la coupure de l'AOF ELEVEUR---NKOLFOULOU-I.
Merci d'impacter CDS pour prise en charge et correction de l'AOF...;30/03/2026 Nous constatons l'indisponibilité de NKOLFOULOU-I dû à la coupure de l'AOF ELEVEUR---NKOLFOULOU-I.
Merci d'impacter CDS pour prise en charge et correction de l'AOF.</t>
        </is>
      </c>
    </row>
    <row r="307" ht="18.75" customHeight="1">
      <c r="A307" s="14" t="inlineStr">
        <is>
          <t>4/31/2026</t>
        </is>
      </c>
      <c r="B307" s="23" t="inlineStr">
        <is>
          <t>PK18-Crf-Lapaix</t>
        </is>
      </c>
      <c r="C307" s="23" t="inlineStr">
        <is>
          <t>LIT_731</t>
        </is>
      </c>
      <c r="D307" s="53" t="n"/>
      <c r="E307" s="23" t="inlineStr">
        <is>
          <t>CAMUSAT</t>
        </is>
      </c>
      <c r="F307" s="23" t="inlineStr">
        <is>
          <t>Good Grid + GE</t>
        </is>
      </c>
      <c r="G307" s="53" t="inlineStr">
        <is>
          <t>LITTORAL</t>
        </is>
      </c>
      <c r="H307" s="23" t="inlineStr">
        <is>
          <t>Douala</t>
        </is>
      </c>
      <c r="I307" s="74" t="inlineStr">
        <is>
          <t>ZTE</t>
        </is>
      </c>
      <c r="J307" s="38" t="n">
        <v>32.37293622531563</v>
      </c>
      <c r="K307" s="38" t="n">
        <v>27.54062241806665</v>
      </c>
      <c r="L307" s="38" t="n">
        <v>0</v>
      </c>
      <c r="M307" s="39" t="n">
        <v>13.86855689960706</v>
      </c>
      <c r="N307" s="40" t="inlineStr">
        <is>
          <t>Operationnel</t>
        </is>
      </c>
      <c r="O307" s="41" t="n"/>
      <c r="P307" s="42" t="inlineStr">
        <is>
          <t>Fiber AOF</t>
        </is>
      </c>
      <c r="Q307" s="43" t="inlineStr">
        <is>
          <t>TX ISSUE</t>
        </is>
      </c>
      <c r="R307" s="29" t="inlineStr">
        <is>
          <t>fiber AOF</t>
        </is>
      </c>
      <c r="S307" s="44" t="inlineStr">
        <is>
          <t>ACTIVE</t>
        </is>
      </c>
      <c r="T307" s="29" t="inlineStr">
        <is>
          <t>31/03/2026 Apres travaux sur la fibre normalisation travaux en cours par le BO TX et le BO IP ETR+19H UTC 
31/03/2026 TRAVAUX CDS EN COURS ETR=04H 
30.03.26; AOF LIT_731_PK18-Crf-Lapaix&lt;&gt;LIT_234_PK17-University down, CDS activé pour restauration
Impacted by LIT_234_Z_PK17-University-IHS(LIT-234)..;31/03/2026 TRAVAUX CDS EN COURS ETR=04H 
30.03.26; AOF LIT_731_PK18-Crf-Lapaix&lt;&gt;LIT_234_PK17-University down, CDS activé pour restauration
Impacted by LIT_234_Z_PK17-University-IHS(LIT-234)..;31/03/2026 TRAVAUX CDS EN COURS ETR=04H 
30.03.26; AOF LIT_731_PK18-Crf-Lapaix&lt;&gt;LIT_234_PK17-University down, CDS activé pour restauration
Impacted by LIT_234_Z_PK17-University-IHS(LIT-234)</t>
        </is>
      </c>
    </row>
    <row r="308" ht="18.75" customHeight="1">
      <c r="A308" s="14" t="inlineStr">
        <is>
          <t>4/31/2026</t>
        </is>
      </c>
      <c r="B308" s="23" t="inlineStr">
        <is>
          <t>Babylone-dispensaire</t>
        </is>
      </c>
      <c r="C308" s="23" t="inlineStr">
        <is>
          <t>LIT_648</t>
        </is>
      </c>
      <c r="D308" s="53" t="n"/>
      <c r="E308" s="23" t="inlineStr">
        <is>
          <t>CAMUSAT</t>
        </is>
      </c>
      <c r="F308" s="23" t="inlineStr">
        <is>
          <t>Good Grid no GE - 12h</t>
        </is>
      </c>
      <c r="G308" s="53" t="inlineStr">
        <is>
          <t>LITTORAL</t>
        </is>
      </c>
      <c r="H308" s="23" t="inlineStr">
        <is>
          <t>Douala</t>
        </is>
      </c>
      <c r="I308" s="74" t="inlineStr">
        <is>
          <t>ZTE</t>
        </is>
      </c>
      <c r="J308" s="38" t="n">
        <v>5.476047024687362</v>
      </c>
      <c r="K308" s="38" t="n">
        <v>4.660867835613086</v>
      </c>
      <c r="L308" s="38" t="n">
        <v>18.03496011968472</v>
      </c>
      <c r="M308" s="39" t="n">
        <v>11.75171145411534</v>
      </c>
      <c r="N308" s="40" t="inlineStr">
        <is>
          <t>Operationnel</t>
        </is>
      </c>
      <c r="O308" s="41" t="n"/>
      <c r="P308" s="42" t="inlineStr">
        <is>
          <t>AKTIVCO GRID ONLY</t>
        </is>
      </c>
      <c r="Q308" s="43" t="inlineStr">
        <is>
          <t>POWER ISSUE</t>
        </is>
      </c>
      <c r="R308" s="29" t="inlineStr">
        <is>
          <t>AKTIVCO Coupure ENEO &amp; Baisse de tension</t>
        </is>
      </c>
      <c r="S308" s="44" t="inlineStr">
        <is>
          <t>PASSIVE</t>
        </is>
      </c>
      <c r="T308" s="29" t="inlineStr">
        <is>
          <t>Impacté par LIT_528_Z_Newb-Ancien-Etage-New(LIT-528)..;INC-20260331-00007597...2026-03-31 13:25:12...GRID ONLY NO SPACE /AWAITING GRID RETURN....SD card has problem at New b source quartier ...Others</t>
        </is>
      </c>
    </row>
    <row r="309" ht="18.75" customHeight="1">
      <c r="A309" s="14" t="inlineStr">
        <is>
          <t>4/31/2026</t>
        </is>
      </c>
      <c r="B309" s="23" t="inlineStr">
        <is>
          <t>Entree-Cite-Verte-IHS</t>
        </is>
      </c>
      <c r="C309" s="23" t="inlineStr">
        <is>
          <t>CTR_519</t>
        </is>
      </c>
      <c r="D309" s="53" t="n"/>
      <c r="E309" s="23" t="inlineStr">
        <is>
          <t>IHS</t>
        </is>
      </c>
      <c r="F309" s="23" t="inlineStr">
        <is>
          <t>Grid-Gen</t>
        </is>
      </c>
      <c r="G309" s="53" t="inlineStr">
        <is>
          <t>CENTRE</t>
        </is>
      </c>
      <c r="H309" s="23" t="inlineStr">
        <is>
          <t>Yaounde</t>
        </is>
      </c>
      <c r="I309" s="74" t="inlineStr">
        <is>
          <t>ZTE</t>
        </is>
      </c>
      <c r="J309" s="38" t="n">
        <v>10.62761531359783</v>
      </c>
      <c r="K309" s="38" t="n">
        <v>9.112099683452845</v>
      </c>
      <c r="L309" s="38" t="n">
        <v>11.65714666412764</v>
      </c>
      <c r="M309" s="39" t="n">
        <v>10.65572805643304</v>
      </c>
      <c r="N309" s="40" t="inlineStr">
        <is>
          <t>Operationnel</t>
        </is>
      </c>
      <c r="O309" s="41" t="n"/>
      <c r="P309" s="42" t="inlineStr">
        <is>
          <t>IHS GRID ONLY</t>
        </is>
      </c>
      <c r="Q309" s="43" t="inlineStr">
        <is>
          <t>POWER ISSUE</t>
        </is>
      </c>
      <c r="R309" s="29" t="inlineStr">
        <is>
          <t>Coupure ENEO &amp; Baisse de tension</t>
        </is>
      </c>
      <c r="S309" s="44" t="inlineStr">
        <is>
          <t>PASSIVE</t>
        </is>
      </c>
      <c r="T309" s="29" t="inlineStr">
        <is>
          <t>31/03/2026 : Besoin d'analyse BO RAN..;31/03/2026 : Besoin d'analyse BO RAN || Site unstable due to transmission..;Impacted by CTR_050_Z_Mini-Ferme(CTR-050, HIS,  gridonly)..;Power status check ongoing</t>
        </is>
      </c>
    </row>
    <row r="310" ht="18.75" customHeight="1">
      <c r="A310" s="14" t="inlineStr">
        <is>
          <t>4/31/2026</t>
        </is>
      </c>
      <c r="B310" s="23" t="inlineStr">
        <is>
          <t>Ndu-Mbakfu-IHS</t>
        </is>
      </c>
      <c r="C310" s="23" t="inlineStr">
        <is>
          <t>NRO_089</t>
        </is>
      </c>
      <c r="D310" s="53" t="n"/>
      <c r="E310" s="23" t="inlineStr">
        <is>
          <t>IHS</t>
        </is>
      </c>
      <c r="F310" s="23" t="inlineStr">
        <is>
          <t>Hybrid-Gen</t>
        </is>
      </c>
      <c r="G310" s="53" t="inlineStr">
        <is>
          <t>NORD-OUEST</t>
        </is>
      </c>
      <c r="H310" s="23" t="inlineStr">
        <is>
          <t>Ndu-Mbakfu</t>
        </is>
      </c>
      <c r="I310" s="76" t="inlineStr">
        <is>
          <t>NOKIA</t>
        </is>
      </c>
      <c r="J310" s="38" t="n">
        <v>32.7280815024977</v>
      </c>
      <c r="K310" s="38" t="n">
        <v>13.77031120903332</v>
      </c>
      <c r="L310" s="38" t="n">
        <v>0</v>
      </c>
      <c r="M310" s="39" t="n">
        <v>9.296419312483954</v>
      </c>
      <c r="N310" s="40" t="inlineStr">
        <is>
          <t>Insecurity</t>
        </is>
      </c>
      <c r="O310" s="41" t="n"/>
      <c r="P310" s="42" t="inlineStr">
        <is>
          <t>PDH</t>
        </is>
      </c>
      <c r="Q310" s="43" t="inlineStr">
        <is>
          <t>TX ISSUE</t>
        </is>
      </c>
      <c r="R310" s="29" t="inlineStr">
        <is>
          <t>MPR ISSUE</t>
        </is>
      </c>
      <c r="S310" s="44" t="inlineStr">
        <is>
          <t>ACTIVE</t>
        </is>
      </c>
      <c r="T310" s="29" t="inlineStr">
        <is>
          <t>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needed..;INC-20260331-00002010...Power issue at Jakiri impacting the site ...Others Transmission equipement fault</t>
        </is>
      </c>
    </row>
    <row r="311" ht="18.75" customHeight="1">
      <c r="A311" s="14" t="inlineStr">
        <is>
          <t>4/31/2026</t>
        </is>
      </c>
      <c r="B311" s="23" t="inlineStr">
        <is>
          <t>Tatum</t>
        </is>
      </c>
      <c r="C311" s="23" t="inlineStr">
        <is>
          <t>NRO_073</t>
        </is>
      </c>
      <c r="D311" s="53" t="n"/>
      <c r="E311" s="23" t="inlineStr">
        <is>
          <t>IHS</t>
        </is>
      </c>
      <c r="F311" s="23" t="inlineStr">
        <is>
          <t>Hybrid-Gen</t>
        </is>
      </c>
      <c r="G311" s="53" t="inlineStr">
        <is>
          <t>NORD-OUEST</t>
        </is>
      </c>
      <c r="H311" s="23" t="inlineStr">
        <is>
          <t>Tatum</t>
        </is>
      </c>
      <c r="I311" s="76" t="inlineStr">
        <is>
          <t>NOKIA</t>
        </is>
      </c>
      <c r="J311" s="38" t="n">
        <v>32.7280815024977</v>
      </c>
      <c r="K311" s="38" t="n">
        <v>13.77031120903332</v>
      </c>
      <c r="L311" s="38" t="n">
        <v>0</v>
      </c>
      <c r="M311" s="39" t="n">
        <v>9.296419312483954</v>
      </c>
      <c r="N311" s="40" t="inlineStr">
        <is>
          <t>Insecurity</t>
        </is>
      </c>
      <c r="O311" s="41" t="n"/>
      <c r="P311" s="42" t="inlineStr">
        <is>
          <t>PDH</t>
        </is>
      </c>
      <c r="Q311" s="43" t="inlineStr">
        <is>
          <t>TX ISSUE</t>
        </is>
      </c>
      <c r="R311" s="29" t="inlineStr">
        <is>
          <t>MPR ISSUE</t>
        </is>
      </c>
      <c r="S311" s="44" t="inlineStr">
        <is>
          <t>ACTIVE</t>
        </is>
      </c>
      <c r="T311" s="29" t="inlineStr">
        <is>
          <t>01/04/2026 : : tx issue en attente du swap de la liaison par OCM.......09.03.2026: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
06/03/2026 02 3DB20858AC ou AB  // 02 3DB20859AC ou AB Pas disponible 
06/03/2026 Verification de la disponibilité en cours par le SPMS update dans 1H 
26.02.26; Compte tenu des Swaps NGOKOLO en cours, le site de Tatum impacté bénéficiera des ODUs retours sites. ETD DOUALA fixé au 02/03. A noter que swap du Lien TX Mah&lt;&gt;Tatum est planifié dans le cadre des swaps TX NOSO avec Huawei et les matériels Huawei ne sont pas encore arrivés
12.02.26; Lien TX Mah&lt;&gt;Tatum à swaper suite aux recommandations du BO TX (escaladé à l'ing OCM)
Recap des recos du BO TX;
-Les ODUs et branching ont été remplacés des deux côtés 4 fois déjà
-Les 02 sites fonctionnent actuellement avec les ODU et les Branching testés OK.
-Les FME ont effectué des réalignements du lien sans résultats positifs.
- La seule solution qui restera sera le SWAP de ce lien en WAVENCE
10.02.26; IR sent and waiting for next recomandations after several intervention done on site with BO BEnoit
07.02.2026: Reminder Send to RM. Awaiting Update from him. Update ASAP
06/05/2026 FME sur site travaux en cours..;09.03.2026: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
06/03/2026 02 3DB20858AC ou AB  // 02 3DB20859AC ou AB Pas disponible 
06/03/2026 Verification de la disponibilité en cours par le SPMS update dans 1H 
26.02.26; Compte tenu des Swaps NGOKOLO en cours, le site de Tatum impacté bénéficiera des ODUs retours sites. ETD DOUALA fixé au 02/03. A noter que swap du Lien TX Mah&lt;&gt;Tatum est planifié dans le cadre des swaps TX NOSO avec Huawei et les matériels Huawei ne sont pas encore arrivés
12.02.26; Lien TX Mah&lt;&gt;Tatum à swaper suite aux recommandations du BO TX (escaladé à l'ing OCM)
Recap des recos du BO TX;
-Les ODUs et branching ont été remplacés des deux côtés 4 fois déjà
-Les 02 sites fonctionnent actuellement avec les ODU et les Branching testés OK.
-Les FME ont effectué des réalignements du lien sans résultats positifs.
- La seule solution qui restera sera le SWAP de ce lien en WAVENCE
10.02.26; IR sent and waiting for next recomandations after several intervention done on site with BO BEnoit
07.02.2026: Reminder Send to RM. Awaiting Update from him. Update ASAP
06/05/2026 FME sur site travaux en cours..;09.03.2026: ODU 3DB20858AC/AB et 3DB20859AC/AB MPT 8Ghz pas disponible chez Huawei. Commande passee a OCM. Compte tenu des Swaps NGOKOLO en cours, le site de Tatum impacté bénéficiera des ODUs retours sites. A noter que swap du Lien TX Mah&lt;&gt;Tatum est planifié dans le cadre des swaps TX NOSO avec Huawei et les matériels Huawei ne sont pas encore arrivés
06/03/2026 02 3DB20858AC ou AB  // 02 3DB20859AC ou AB Pas disponible 
06/03/2026 Verification de la disponibilité en cours par le SPMS update dans 1H 
26.02.26; Compte tenu des Swaps NGOKOLO en cours, le site de Tatum impacté bénéficiera des ODUs retours sites. ETD DOUALA fixé au 02/03. A noter que swap du Lien TX Mah&lt;&gt;Tatum est planifié dans le cadre des swaps TX NOSO avec Huawei et les matériels Huawei ne sont pas encore arrivés
12.02.26; Lien TX Mah&lt;&gt;Tatum à swaper suite aux recommandations du BO TX (escaladé à l'ing OCM)
Recap des recos du BO TX;
-Les ODUs et branching ont été remplacés des deux côtés 4 fois déjà
-Les 02 sites fonctionnent actuellement avec les ODU et les Branching testés OK.
-Les FME ont effectué des réalignements du lien sans résultats positifs.
- La seule solution qui restera sera le SWAP de ce lien en WAVENCE
10.02.26; IR sent and waiting for next recomandations after several intervention done on site with BO BEnoit
07.02.2026: Reminder Send to RM. Awaiting Update from him. Update ASAP
06/05/2026 FME sur site travaux en cours</t>
        </is>
      </c>
    </row>
    <row r="312" ht="18.75" customHeight="1">
      <c r="A312" s="14" t="inlineStr">
        <is>
          <t>4/31/2026</t>
        </is>
      </c>
      <c r="B312" s="23" t="inlineStr">
        <is>
          <t>Nkambe-Entrance-IHS</t>
        </is>
      </c>
      <c r="C312" s="23" t="inlineStr">
        <is>
          <t>NRO_090</t>
        </is>
      </c>
      <c r="D312" s="53" t="n"/>
      <c r="E312" s="23" t="inlineStr">
        <is>
          <t>IHS</t>
        </is>
      </c>
      <c r="F312" s="23" t="inlineStr">
        <is>
          <t>Grid-Gen</t>
        </is>
      </c>
      <c r="G312" s="53" t="inlineStr">
        <is>
          <t>NORD-OUEST</t>
        </is>
      </c>
      <c r="H312" s="23" t="inlineStr">
        <is>
          <t>Nkambe</t>
        </is>
      </c>
      <c r="I312" s="76" t="inlineStr">
        <is>
          <t>NOKIA</t>
        </is>
      </c>
      <c r="J312" s="38" t="n">
        <v>3.155589706904635</v>
      </c>
      <c r="K312" s="38" t="n">
        <v>5.806162469271806</v>
      </c>
      <c r="L312" s="38" t="n">
        <v>7.976028855224826</v>
      </c>
      <c r="M312" s="39" t="n">
        <v>6.559221417489164</v>
      </c>
      <c r="N312" s="40" t="inlineStr">
        <is>
          <t>Insecurity</t>
        </is>
      </c>
      <c r="O312" s="41" t="n"/>
      <c r="P312" s="42" t="inlineStr">
        <is>
          <t>PDH</t>
        </is>
      </c>
      <c r="Q312" s="43" t="inlineStr">
        <is>
          <t>TX ISSUE</t>
        </is>
      </c>
      <c r="R312" s="29" t="inlineStr">
        <is>
          <t>MPR ISSUE</t>
        </is>
      </c>
      <c r="S312" s="44" t="inlineStr">
        <is>
          <t>ACTIVE</t>
        </is>
      </c>
      <c r="T312" s="29" t="inlineStr">
        <is>
          <t>INC-20260331-00002070...Power issue at Jakiri impacting the site ...Others Transmission equipement fault</t>
        </is>
      </c>
    </row>
    <row r="313" ht="18.75" customHeight="1">
      <c r="A313" s="14" t="inlineStr">
        <is>
          <t>4/31/2026</t>
        </is>
      </c>
      <c r="B313" s="23" t="inlineStr">
        <is>
          <t>LELE-HIS</t>
        </is>
      </c>
      <c r="C313" s="23" t="inlineStr">
        <is>
          <t>SUD_205</t>
        </is>
      </c>
      <c r="D313" s="53" t="n"/>
      <c r="E313" s="23" t="n"/>
      <c r="F313" s="23" t="n"/>
      <c r="G313" s="53" t="inlineStr">
        <is>
          <t>SUD</t>
        </is>
      </c>
      <c r="H313" s="23" t="inlineStr">
        <is>
          <t>Mintom</t>
        </is>
      </c>
      <c r="I313" s="76" t="inlineStr">
        <is>
          <t>NOKIA</t>
        </is>
      </c>
      <c r="J313" s="38" t="n">
        <v>11.01658866417705</v>
      </c>
      <c r="K313" s="38" t="n">
        <v>4.686793421531326</v>
      </c>
      <c r="L313" s="38" t="n">
        <v>5.995693221440813</v>
      </c>
      <c r="M313" s="39" t="n">
        <v>6.273263866744899</v>
      </c>
      <c r="N313" s="40" t="inlineStr">
        <is>
          <t>Operationnel</t>
        </is>
      </c>
      <c r="O313" s="41" t="n"/>
      <c r="P313" s="42" t="inlineStr">
        <is>
          <t>Fiber AOF</t>
        </is>
      </c>
      <c r="Q313" s="43" t="inlineStr">
        <is>
          <t>TX ISSUE</t>
        </is>
      </c>
      <c r="R313" s="29" t="inlineStr">
        <is>
          <t>fiber AOF</t>
        </is>
      </c>
      <c r="S313" s="44" t="inlineStr">
        <is>
          <t>ACTIVE</t>
        </is>
      </c>
      <c r="T313" s="29" t="inlineStr">
        <is>
          <t>Impacted by SUD_246_Z_Mintom-MTN(SUD-246)</t>
        </is>
      </c>
    </row>
    <row r="314" ht="18.75" customHeight="1">
      <c r="A314" s="14" t="inlineStr">
        <is>
          <t>4/31/2026</t>
        </is>
      </c>
      <c r="B314" s="23" t="inlineStr">
        <is>
          <t>Lele</t>
        </is>
      </c>
      <c r="C314" s="23" t="inlineStr">
        <is>
          <t>SUD_159</t>
        </is>
      </c>
      <c r="D314" s="53" t="n"/>
      <c r="E314" s="23" t="n"/>
      <c r="F314" s="23" t="n"/>
      <c r="G314" s="53" t="inlineStr">
        <is>
          <t>SUD</t>
        </is>
      </c>
      <c r="H314" s="23" t="inlineStr">
        <is>
          <t>Lele</t>
        </is>
      </c>
      <c r="I314" s="76" t="inlineStr">
        <is>
          <t>NOKIA</t>
        </is>
      </c>
      <c r="J314" s="38" t="n">
        <v>11.05182618782029</v>
      </c>
      <c r="K314" s="38" t="n">
        <v>4.672980609361773</v>
      </c>
      <c r="L314" s="38" t="n">
        <v>5.977840651655734</v>
      </c>
      <c r="M314" s="39" t="n">
        <v>6.264348750618994</v>
      </c>
      <c r="N314" s="40" t="inlineStr">
        <is>
          <t>Operationnel</t>
        </is>
      </c>
      <c r="O314" s="41" t="n"/>
      <c r="P314" s="42" t="inlineStr">
        <is>
          <t>Fiber AOF</t>
        </is>
      </c>
      <c r="Q314" s="43" t="inlineStr">
        <is>
          <t>TX ISSUE</t>
        </is>
      </c>
      <c r="R314" s="29" t="inlineStr">
        <is>
          <t>fiber AOF</t>
        </is>
      </c>
      <c r="S314" s="44" t="inlineStr">
        <is>
          <t>ACTIVE</t>
        </is>
      </c>
      <c r="T314" s="29" t="inlineStr">
        <is>
          <t>Impacted by SUD_246_Z_Mintom-MTN(SUD-246)</t>
        </is>
      </c>
    </row>
    <row r="315" ht="18.75" customHeight="1">
      <c r="A315" s="14" t="inlineStr">
        <is>
          <t>4/31/2026</t>
        </is>
      </c>
      <c r="B315" s="23" t="inlineStr">
        <is>
          <t>Elobi-Mokolo-MTN-IHS</t>
        </is>
      </c>
      <c r="C315" s="23" t="inlineStr">
        <is>
          <t>CTR_470</t>
        </is>
      </c>
      <c r="D315" s="53" t="n"/>
      <c r="E315" s="23" t="inlineStr">
        <is>
          <t>IHS</t>
        </is>
      </c>
      <c r="F315" s="23" t="inlineStr">
        <is>
          <t>Grid-Gen</t>
        </is>
      </c>
      <c r="G315" s="53" t="inlineStr">
        <is>
          <t>CENTRE</t>
        </is>
      </c>
      <c r="H315" s="23" t="inlineStr">
        <is>
          <t>Yaounde</t>
        </is>
      </c>
      <c r="I315" s="74" t="inlineStr">
        <is>
          <t>ZTE</t>
        </is>
      </c>
      <c r="J315" s="38" t="n">
        <v>4.80273491361222</v>
      </c>
      <c r="K315" s="38" t="n">
        <v>4.088486149786984</v>
      </c>
      <c r="L315" s="38" t="n">
        <v>6.96267321780737</v>
      </c>
      <c r="M315" s="39" t="n">
        <v>5.689336478014341</v>
      </c>
      <c r="N315" s="40" t="inlineStr">
        <is>
          <t>Operationnel</t>
        </is>
      </c>
      <c r="O315" s="41" t="n"/>
      <c r="P315" s="42" t="inlineStr">
        <is>
          <t>IHS</t>
        </is>
      </c>
      <c r="Q315" s="43" t="inlineStr">
        <is>
          <t>POWER ISSUE</t>
        </is>
      </c>
      <c r="R315" s="29" t="inlineStr">
        <is>
          <t>Defaut GE &amp; Power Cabinet</t>
        </is>
      </c>
      <c r="S315" s="44" t="inlineStr">
        <is>
          <t>PASSIVE</t>
        </is>
      </c>
      <c r="T315" s="29" t="inlineStr">
        <is>
          <t>Power status check ongoing..;INC-20260331-00006163...impacté par le site briqueterie.(grid outage)...Others Transmission equipement fault</t>
        </is>
      </c>
    </row>
    <row r="316" ht="18.75" customHeight="1">
      <c r="A316" s="14" t="inlineStr">
        <is>
          <t>4/31/2026</t>
        </is>
      </c>
      <c r="B316" s="23" t="inlineStr">
        <is>
          <t>Yagoua-MTN-IHS</t>
        </is>
      </c>
      <c r="C316" s="23" t="inlineStr">
        <is>
          <t>EXN_144</t>
        </is>
      </c>
      <c r="D316" s="53" t="n"/>
      <c r="E316" s="23" t="inlineStr">
        <is>
          <t>IHS</t>
        </is>
      </c>
      <c r="F316" s="23" t="inlineStr">
        <is>
          <t>Grid-Gen</t>
        </is>
      </c>
      <c r="G316" s="53" t="inlineStr">
        <is>
          <t>EXTREME-NORD</t>
        </is>
      </c>
      <c r="H316" s="23" t="inlineStr">
        <is>
          <t>Yagoua</t>
        </is>
      </c>
      <c r="I316" s="77" t="inlineStr">
        <is>
          <t>Huawei</t>
        </is>
      </c>
      <c r="J316" s="38" t="n">
        <v>3.776842559620158</v>
      </c>
      <c r="K316" s="38" t="n">
        <v>6.449573885369809</v>
      </c>
      <c r="L316" s="38" t="n">
        <v>5.576363033442994</v>
      </c>
      <c r="M316" s="39" t="n">
        <v>5.612538630779636</v>
      </c>
      <c r="N316" s="40" t="inlineStr">
        <is>
          <t>INSECURITY</t>
        </is>
      </c>
      <c r="O316" s="41" t="n"/>
      <c r="P316" s="42" t="inlineStr">
        <is>
          <t>IHS</t>
        </is>
      </c>
      <c r="Q316" s="43" t="inlineStr">
        <is>
          <t>POWER ISSUE</t>
        </is>
      </c>
      <c r="R316" s="50" t="inlineStr">
        <is>
          <t>Defaut GE &amp; Power Cabinet</t>
        </is>
      </c>
      <c r="S316" s="44" t="inlineStr">
        <is>
          <t>PASSIVE</t>
        </is>
      </c>
      <c r="T316" s="29" t="inlineStr">
        <is>
          <t>INC-20260331-00016734...2026-04-01 00:15:39...Site impacted by YAGOUA VILLE...Auto TT closure RCA...GE Fault</t>
        </is>
      </c>
    </row>
    <row r="317" ht="18.75" customHeight="1">
      <c r="A317" s="14" t="inlineStr">
        <is>
          <t>4/31/2026</t>
        </is>
      </c>
      <c r="B317" s="23" t="inlineStr">
        <is>
          <t>NTENYING1</t>
        </is>
      </c>
      <c r="C317" s="23" t="inlineStr">
        <is>
          <t>SUD_161</t>
        </is>
      </c>
      <c r="D317" s="53" t="n"/>
      <c r="E317" s="23" t="inlineStr">
        <is>
          <t>CAMUSAT</t>
        </is>
      </c>
      <c r="F317" s="23" t="inlineStr">
        <is>
          <t>#N/A</t>
        </is>
      </c>
      <c r="G317" s="53" t="inlineStr">
        <is>
          <t>SUD</t>
        </is>
      </c>
      <c r="H317" s="23" t="inlineStr">
        <is>
          <t>Ntenying</t>
        </is>
      </c>
      <c r="I317" s="76" t="inlineStr">
        <is>
          <t>NOKIA</t>
        </is>
      </c>
      <c r="J317" s="38" t="n">
        <v>0</v>
      </c>
      <c r="K317" s="38" t="n">
        <v>4.683605849492198</v>
      </c>
      <c r="L317" s="38" t="n">
        <v>6.022301074492137</v>
      </c>
      <c r="M317" s="39" t="n">
        <v>4.71290161029355</v>
      </c>
      <c r="N317" s="40" t="inlineStr">
        <is>
          <t>Operationnel</t>
        </is>
      </c>
      <c r="O317" s="41" t="n"/>
      <c r="P317" s="42" t="inlineStr">
        <is>
          <t>Fiber AOF</t>
        </is>
      </c>
      <c r="Q317" s="43" t="inlineStr">
        <is>
          <t>TX ISSUE</t>
        </is>
      </c>
      <c r="R317" s="29" t="inlineStr">
        <is>
          <t>fiber AOF</t>
        </is>
      </c>
      <c r="S317" s="44" t="inlineStr">
        <is>
          <t>ACTIVE</t>
        </is>
      </c>
      <c r="T317" s="29" t="inlineStr">
        <is>
          <t>Power status check ongoing..;Impacted by SUD_246_Z_Mintom-MTN(SUD-246)</t>
        </is>
      </c>
    </row>
    <row r="318" ht="18.75" customHeight="1">
      <c r="A318" s="14" t="inlineStr">
        <is>
          <t>4/31/2026</t>
        </is>
      </c>
      <c r="B318" s="23" t="inlineStr">
        <is>
          <t>Oku</t>
        </is>
      </c>
      <c r="C318" s="23" t="inlineStr">
        <is>
          <t>NRO_013</t>
        </is>
      </c>
      <c r="D318" s="53" t="n"/>
      <c r="E318" s="23" t="inlineStr">
        <is>
          <t>IHS</t>
        </is>
      </c>
      <c r="F318" s="23" t="inlineStr">
        <is>
          <t>Grid-Gen</t>
        </is>
      </c>
      <c r="G318" s="53" t="inlineStr">
        <is>
          <t>NORD-OUEST</t>
        </is>
      </c>
      <c r="H318" s="23" t="inlineStr">
        <is>
          <t>Oku</t>
        </is>
      </c>
      <c r="I318" s="76" t="inlineStr">
        <is>
          <t>NOKIA</t>
        </is>
      </c>
      <c r="J318" s="38" t="n">
        <v>4.913803207397708</v>
      </c>
      <c r="K318" s="38" t="n">
        <v>3.189378329950257</v>
      </c>
      <c r="L318" s="38" t="n">
        <v>4.003387473816231</v>
      </c>
      <c r="M318" s="39" t="n">
        <v>3.860122498006622</v>
      </c>
      <c r="N318" s="40" t="inlineStr">
        <is>
          <t>Insecurity</t>
        </is>
      </c>
      <c r="O318" s="41" t="n"/>
      <c r="P318" s="42" t="inlineStr">
        <is>
          <t>PDH</t>
        </is>
      </c>
      <c r="Q318" s="43" t="inlineStr">
        <is>
          <t>TX ISSUE</t>
        </is>
      </c>
      <c r="R318" s="29" t="inlineStr">
        <is>
          <t>MPR ISSUE</t>
        </is>
      </c>
      <c r="S318" s="44" t="inlineStr">
        <is>
          <t>ACTIVE</t>
        </is>
      </c>
      <c r="T318" s="29" t="inlineStr">
        <is>
          <t>INC-20260331-00001996...Power issue at Jakiri impacting the site ...Others Transmission equipement fault</t>
        </is>
      </c>
    </row>
    <row r="319" ht="18.75" customHeight="1">
      <c r="A319" s="14" t="inlineStr">
        <is>
          <t>4/31/2026</t>
        </is>
      </c>
      <c r="B319" s="23" t="inlineStr">
        <is>
          <t>Mbanga-Bakoko-IHS</t>
        </is>
      </c>
      <c r="C319" s="23" t="inlineStr">
        <is>
          <t>LIT_164</t>
        </is>
      </c>
      <c r="D319" s="53" t="n"/>
      <c r="E319" s="23" t="inlineStr">
        <is>
          <t>IHS</t>
        </is>
      </c>
      <c r="F319" s="23" t="inlineStr">
        <is>
          <t>Grid-Gen</t>
        </is>
      </c>
      <c r="G319" s="53" t="inlineStr">
        <is>
          <t>LITTORAL</t>
        </is>
      </c>
      <c r="H319" s="23" t="inlineStr">
        <is>
          <t>Douala</t>
        </is>
      </c>
      <c r="I319" s="74" t="inlineStr">
        <is>
          <t>ZTE</t>
        </is>
      </c>
      <c r="J319" s="38" t="n">
        <v>1.62276836564632</v>
      </c>
      <c r="K319" s="38" t="n">
        <v>1.378253023518331</v>
      </c>
      <c r="L319" s="38" t="n">
        <v>5.385354216872743</v>
      </c>
      <c r="M319" s="39" t="n">
        <v>3.502827216614873</v>
      </c>
      <c r="N319" s="40" t="inlineStr">
        <is>
          <t>Operationnel</t>
        </is>
      </c>
      <c r="O319" s="41" t="n"/>
      <c r="P319" s="42" t="inlineStr">
        <is>
          <t>AKTIVCO</t>
        </is>
      </c>
      <c r="Q319" s="43" t="inlineStr">
        <is>
          <t>POWER ISSUE</t>
        </is>
      </c>
      <c r="R319" s="29" t="inlineStr">
        <is>
          <t>AKTIVCO Defaut GE &amp; Power Cabinet</t>
        </is>
      </c>
      <c r="S319" s="44" t="inlineStr">
        <is>
          <t>PASSIVE</t>
        </is>
      </c>
      <c r="T319" s="29" t="inlineStr">
        <is>
          <t>INC-20260331-00013150...impacté par un problème d'énergie sur le site de notre dame de yassa ...Others Transmission equipement fault</t>
        </is>
      </c>
    </row>
    <row r="320" ht="18.75" customHeight="1">
      <c r="A320" s="14" t="inlineStr">
        <is>
          <t>4/31/2026</t>
        </is>
      </c>
      <c r="B320" s="23" t="inlineStr">
        <is>
          <t>MELEN-MINTOM</t>
        </is>
      </c>
      <c r="C320" s="23" t="inlineStr">
        <is>
          <t>SUD_163</t>
        </is>
      </c>
      <c r="D320" s="53" t="n"/>
      <c r="E320" s="23" t="inlineStr">
        <is>
          <t>CAMUSAT</t>
        </is>
      </c>
      <c r="F320" s="23" t="inlineStr">
        <is>
          <t>#N/A</t>
        </is>
      </c>
      <c r="G320" s="53" t="inlineStr">
        <is>
          <t>SUD</t>
        </is>
      </c>
      <c r="H320" s="23" t="inlineStr">
        <is>
          <t>Melen-Mintom</t>
        </is>
      </c>
      <c r="I320" s="76" t="inlineStr">
        <is>
          <t>NOKIA</t>
        </is>
      </c>
      <c r="J320" s="38" t="n">
        <v>11.02138804015714</v>
      </c>
      <c r="K320" s="38" t="n">
        <v>4.671386823342207</v>
      </c>
      <c r="L320" s="38" t="n">
        <v>0.6293971407808427</v>
      </c>
      <c r="M320" s="39" t="n">
        <v>3.470315037210491</v>
      </c>
      <c r="N320" s="40" t="inlineStr">
        <is>
          <t>EXCLU</t>
        </is>
      </c>
      <c r="O320" s="49" t="inlineStr">
        <is>
          <t>UE Relay</t>
        </is>
      </c>
      <c r="P320" s="42" t="inlineStr">
        <is>
          <t>Fiber AOF</t>
        </is>
      </c>
      <c r="Q320" s="43" t="inlineStr">
        <is>
          <t>TX ISSUE</t>
        </is>
      </c>
      <c r="R320" s="29" t="inlineStr">
        <is>
          <t>fiber AOF</t>
        </is>
      </c>
      <c r="S320" s="44" t="inlineStr">
        <is>
          <t>ACTIVE</t>
        </is>
      </c>
      <c r="T320" s="29" t="inlineStr">
        <is>
          <t>Impacted by SUD_246_Z_Mintom-MTN(SUD-246)</t>
        </is>
      </c>
    </row>
    <row r="321" ht="18.75" customHeight="1">
      <c r="A321" s="14" t="inlineStr">
        <is>
          <t>4/31/2026</t>
        </is>
      </c>
      <c r="B321" s="53" t="inlineStr">
        <is>
          <t>Mbalam</t>
        </is>
      </c>
      <c r="C321" s="53" t="inlineStr">
        <is>
          <t>SUD_222</t>
        </is>
      </c>
      <c r="D321" s="53" t="n"/>
      <c r="E321" s="53" t="inlineStr">
        <is>
          <t>IHS</t>
        </is>
      </c>
      <c r="F321" s="53" t="inlineStr">
        <is>
          <t>Solar-Gen</t>
        </is>
      </c>
      <c r="G321" s="53" t="inlineStr">
        <is>
          <t>SUD</t>
        </is>
      </c>
      <c r="H321" s="53" t="inlineStr">
        <is>
          <t>Mbalam</t>
        </is>
      </c>
      <c r="I321" s="76" t="inlineStr">
        <is>
          <t>NOKIA</t>
        </is>
      </c>
      <c r="J321" s="38" t="n">
        <v>16.50038091889358</v>
      </c>
      <c r="K321" s="38" t="n">
        <v>0</v>
      </c>
      <c r="L321" s="38" t="n">
        <v>0</v>
      </c>
      <c r="M321" s="39" t="n">
        <v>2.356252869641525</v>
      </c>
      <c r="N321" s="40" t="inlineStr">
        <is>
          <t>Operationnel</t>
        </is>
      </c>
      <c r="O321" s="41" t="n"/>
      <c r="P321" s="42" t="inlineStr">
        <is>
          <t>Fiber AOF</t>
        </is>
      </c>
      <c r="Q321" s="43" t="inlineStr">
        <is>
          <t>TX ISSUE</t>
        </is>
      </c>
      <c r="R321" s="29" t="inlineStr">
        <is>
          <t>fiber AOF</t>
        </is>
      </c>
      <c r="S321" s="44" t="inlineStr">
        <is>
          <t>ACTIVE</t>
        </is>
      </c>
      <c r="T321" s="29" t="inlineStr">
        <is>
          <t>Impacted by SUD_246_Z_Mintom-MTN(SUD-246)..;INC-20260331-00009141...Others Transmission equipement fault</t>
        </is>
      </c>
    </row>
    <row r="322" ht="18.75" customHeight="1">
      <c r="A322" s="14" t="inlineStr">
        <is>
          <t>4/31/2026</t>
        </is>
      </c>
      <c r="B322" s="23" t="inlineStr">
        <is>
          <t>Ntam</t>
        </is>
      </c>
      <c r="C322" s="23" t="inlineStr">
        <is>
          <t>SUD_120</t>
        </is>
      </c>
      <c r="D322" s="53" t="n"/>
      <c r="E322" s="23" t="n"/>
      <c r="F322" s="23" t="n"/>
      <c r="G322" s="53" t="inlineStr">
        <is>
          <t>SUD</t>
        </is>
      </c>
      <c r="H322" s="23" t="inlineStr">
        <is>
          <t>Ntam</t>
        </is>
      </c>
      <c r="I322" s="76" t="inlineStr">
        <is>
          <t>NOKIA</t>
        </is>
      </c>
      <c r="J322" s="38" t="n">
        <v>0</v>
      </c>
      <c r="K322" s="38" t="n">
        <v>0</v>
      </c>
      <c r="L322" s="38" t="n">
        <v>3.011099236758181</v>
      </c>
      <c r="M322" s="39" t="n">
        <v>1.570253800298488</v>
      </c>
      <c r="N322" s="40" t="inlineStr">
        <is>
          <t>Operationnel</t>
        </is>
      </c>
      <c r="O322" s="41" t="n"/>
      <c r="P322" s="42" t="inlineStr">
        <is>
          <t>Fiber AOF</t>
        </is>
      </c>
      <c r="Q322" s="43" t="inlineStr">
        <is>
          <t>TX ISSUE</t>
        </is>
      </c>
      <c r="R322" s="29" t="inlineStr">
        <is>
          <t>fiber AOF</t>
        </is>
      </c>
      <c r="S322" s="44" t="inlineStr">
        <is>
          <t>ACTIVE</t>
        </is>
      </c>
      <c r="T322" s="29" t="inlineStr">
        <is>
          <t>Impacted by SUD_246_Z_Mintom-MTN(SUD-246)..;INC-20260331-00009139...Others Transmission equipement fault</t>
        </is>
      </c>
    </row>
    <row r="323" ht="18.75" customHeight="1">
      <c r="A323" s="14" t="inlineStr">
        <is>
          <t>4/31/2026</t>
        </is>
      </c>
      <c r="B323" s="23" t="inlineStr">
        <is>
          <t>Oku-Marche</t>
        </is>
      </c>
      <c r="C323" s="23" t="inlineStr">
        <is>
          <t>NRO_110</t>
        </is>
      </c>
      <c r="D323" s="53" t="n"/>
      <c r="E323" s="23" t="inlineStr">
        <is>
          <t>IHS</t>
        </is>
      </c>
      <c r="F323" s="23" t="inlineStr">
        <is>
          <t>Grid-Gen</t>
        </is>
      </c>
      <c r="G323" s="53" t="inlineStr">
        <is>
          <t>NORD-OUEST</t>
        </is>
      </c>
      <c r="H323" s="23" t="inlineStr">
        <is>
          <t>Oku</t>
        </is>
      </c>
      <c r="I323" s="76" t="inlineStr">
        <is>
          <t>NOKIA</t>
        </is>
      </c>
      <c r="J323" s="38" t="n">
        <v>5.490738719950854</v>
      </c>
      <c r="K323" s="38" t="n">
        <v>1.134510014926337</v>
      </c>
      <c r="L323" s="38" t="n">
        <v>0</v>
      </c>
      <c r="M323" s="39" t="n">
        <v>1.164945079019489</v>
      </c>
      <c r="N323" s="40" t="inlineStr">
        <is>
          <t>Insecurity</t>
        </is>
      </c>
      <c r="O323" s="41" t="n"/>
      <c r="P323" s="42" t="inlineStr">
        <is>
          <t>PDH</t>
        </is>
      </c>
      <c r="Q323" s="43" t="inlineStr">
        <is>
          <t>TX ISSUE</t>
        </is>
      </c>
      <c r="R323" s="29" t="inlineStr">
        <is>
          <t>MPR ISSUE</t>
        </is>
      </c>
      <c r="S323" s="44" t="inlineStr">
        <is>
          <t>ACTIVE</t>
        </is>
      </c>
      <c r="T323" s="29" t="inlineStr">
        <is>
          <t>INC-20260331-00002060...power issue at Jakiri impacting Oku Marche...Others Transmission equipement fault</t>
        </is>
      </c>
    </row>
    <row r="324" ht="18.75" customHeight="1">
      <c r="A324" s="14" t="inlineStr">
        <is>
          <t>4/31/2026</t>
        </is>
      </c>
      <c r="B324" s="23" t="inlineStr">
        <is>
          <t>Mbiame</t>
        </is>
      </c>
      <c r="C324" s="23" t="inlineStr">
        <is>
          <t>NRO_236</t>
        </is>
      </c>
      <c r="D324" s="53" t="n"/>
      <c r="E324" s="23" t="inlineStr">
        <is>
          <t>IHS</t>
        </is>
      </c>
      <c r="F324" s="23" t="inlineStr">
        <is>
          <t>Grid-Gen</t>
        </is>
      </c>
      <c r="G324" s="53" t="inlineStr">
        <is>
          <t>NORD-OUEST</t>
        </is>
      </c>
      <c r="H324" s="23" t="inlineStr">
        <is>
          <t>Mbiame</t>
        </is>
      </c>
      <c r="I324" s="76" t="inlineStr">
        <is>
          <t>NOKIA</t>
        </is>
      </c>
      <c r="J324" s="38" t="n">
        <v>4.979352579336211</v>
      </c>
      <c r="K324" s="38" t="n">
        <v>1.095196626443758</v>
      </c>
      <c r="L324" s="38" t="n">
        <v>0</v>
      </c>
      <c r="M324" s="39" t="n">
        <v>1.078721227466097</v>
      </c>
      <c r="N324" s="40" t="inlineStr">
        <is>
          <t>Insecurity</t>
        </is>
      </c>
      <c r="O324" s="41" t="n"/>
      <c r="P324" s="42" t="inlineStr">
        <is>
          <t>PDH</t>
        </is>
      </c>
      <c r="Q324" s="43" t="inlineStr">
        <is>
          <t>TX ISSUE</t>
        </is>
      </c>
      <c r="R324" s="29" t="inlineStr">
        <is>
          <t>MPR ISSUE</t>
        </is>
      </c>
      <c r="S324" s="44" t="inlineStr">
        <is>
          <t>ACTIVE</t>
        </is>
      </c>
      <c r="T324" s="29" t="inlineStr">
        <is>
          <t>30/03/2026 : Check breaker and  interconnection(sfp, optical fiber) between system and radio module, swap its if needed || Ghost town..;30/03/2026 : Check breaker and  interconnection(sfp, optical fiber) between system and radio module, swap its if needed ||Ghost town..;30/03/2026 : Check breaker and  interconnection(sfp, optical fiber) between system and radio module, swap its if needed ||Ghost town..;30/03/2026 : Check breaker and  interconnection(sfp, optical fiber) between system and radio module, swap its if needed ||Ghost town..;INC-20260331-00001995...Power issue at Jakiri impacting the site ...Others Transmission equipement fault</t>
        </is>
      </c>
    </row>
    <row r="325" ht="18.75" customHeight="1">
      <c r="A325" s="14" t="inlineStr">
        <is>
          <t>4/31/2026</t>
        </is>
      </c>
      <c r="B325" s="23" t="inlineStr">
        <is>
          <t>Fonfuka</t>
        </is>
      </c>
      <c r="C325" s="23" t="inlineStr">
        <is>
          <t>NRO_043</t>
        </is>
      </c>
      <c r="D325" s="53" t="n"/>
      <c r="E325" s="23" t="inlineStr">
        <is>
          <t>IHS</t>
        </is>
      </c>
      <c r="F325" s="23" t="inlineStr">
        <is>
          <t>Hybrid-Gen</t>
        </is>
      </c>
      <c r="G325" s="53" t="inlineStr">
        <is>
          <t>NORD-OUEST</t>
        </is>
      </c>
      <c r="H325" s="23" t="inlineStr">
        <is>
          <t>Fonfuka</t>
        </is>
      </c>
      <c r="I325" s="76" t="inlineStr">
        <is>
          <t>NOKIA</t>
        </is>
      </c>
      <c r="J325" s="38" t="n">
        <v>5.033913906267682</v>
      </c>
      <c r="K325" s="38" t="n">
        <v>1.046320521843793</v>
      </c>
      <c r="L325" s="38" t="n">
        <v>0</v>
      </c>
      <c r="M325" s="39" t="n">
        <v>1.070104307855328</v>
      </c>
      <c r="N325" s="40" t="inlineStr">
        <is>
          <t>Insecurity</t>
        </is>
      </c>
      <c r="O325" s="41" t="n"/>
      <c r="P325" s="42" t="inlineStr">
        <is>
          <t>PDH</t>
        </is>
      </c>
      <c r="Q325" s="43" t="inlineStr">
        <is>
          <t>TX ISSUE</t>
        </is>
      </c>
      <c r="R325" s="29" t="inlineStr">
        <is>
          <t>MPR ISSUE</t>
        </is>
      </c>
      <c r="S325" s="44" t="inlineStr">
        <is>
          <t>ACTIVE</t>
        </is>
      </c>
      <c r="T325" s="29" t="inlineStr">
        <is>
          <t>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needed..;28/03/2026 : Check breaker and  interconnection(sfp, optical fiber) between system and radio module, swap its if needed..;INC-20260331-00001991...Power issue at Jakiri impacting the site ...Others Transmission equipement fault</t>
        </is>
      </c>
    </row>
    <row r="326" ht="18.75" customHeight="1">
      <c r="A326" s="14" t="inlineStr">
        <is>
          <t>4/31/2026</t>
        </is>
      </c>
      <c r="B326" s="23" t="inlineStr">
        <is>
          <t>Ndoghem-PK12-IHS</t>
        </is>
      </c>
      <c r="C326" s="23" t="inlineStr">
        <is>
          <t>LIT_159</t>
        </is>
      </c>
      <c r="D326" s="53" t="n"/>
      <c r="E326" s="23" t="inlineStr">
        <is>
          <t>IHS</t>
        </is>
      </c>
      <c r="F326" s="23" t="inlineStr">
        <is>
          <t>Grid-Gen</t>
        </is>
      </c>
      <c r="G326" s="53" t="inlineStr">
        <is>
          <t>LITTORAL</t>
        </is>
      </c>
      <c r="H326" s="23" t="inlineStr">
        <is>
          <t>Douala</t>
        </is>
      </c>
      <c r="I326" s="74" t="inlineStr">
        <is>
          <t>ZTE</t>
        </is>
      </c>
      <c r="J326" s="38" t="n">
        <v>0.7887156337302015</v>
      </c>
      <c r="K326" s="38" t="n">
        <v>0.6748090006834149</v>
      </c>
      <c r="L326" s="38" t="n">
        <v>0.919886148485227</v>
      </c>
      <c r="M326" s="39" t="n">
        <v>0.8188797858649157</v>
      </c>
      <c r="N326" s="40" t="inlineStr">
        <is>
          <t>Operationnel</t>
        </is>
      </c>
      <c r="O326" s="41" t="n"/>
      <c r="P326" s="42" t="inlineStr">
        <is>
          <t>IHS</t>
        </is>
      </c>
      <c r="Q326" s="43" t="inlineStr">
        <is>
          <t>POWER ISSUE</t>
        </is>
      </c>
      <c r="R326" s="29" t="inlineStr">
        <is>
          <t>Defaut GE &amp; Power Cabinet</t>
        </is>
      </c>
      <c r="S326" s="44" t="inlineStr">
        <is>
          <t>PASSIVE</t>
        </is>
      </c>
      <c r="T326" s="29" t="inlineStr">
        <is>
          <t>INC-20260331-00015950...2026-03-31 23:20:51...Site impacted by BONAMOUTONGO...GE Fault</t>
        </is>
      </c>
    </row>
    <row r="327" ht="18.75" customHeight="1">
      <c r="A327" s="14" t="inlineStr">
        <is>
          <t>4/31/2026</t>
        </is>
      </c>
      <c r="B327" s="23" t="inlineStr">
        <is>
          <t>Laising</t>
        </is>
      </c>
      <c r="C327" s="23" t="inlineStr">
        <is>
          <t>NRO_044</t>
        </is>
      </c>
      <c r="D327" s="53" t="n"/>
      <c r="E327" s="23" t="inlineStr">
        <is>
          <t>IHS</t>
        </is>
      </c>
      <c r="F327" s="23" t="inlineStr">
        <is>
          <t>Gen Only</t>
        </is>
      </c>
      <c r="G327" s="53" t="inlineStr">
        <is>
          <t>NORD-OUEST</t>
        </is>
      </c>
      <c r="H327" s="23" t="inlineStr">
        <is>
          <t>Laising</t>
        </is>
      </c>
      <c r="I327" s="76" t="inlineStr">
        <is>
          <t>NOKIA</t>
        </is>
      </c>
      <c r="J327" s="38" t="n">
        <v>2.528513345296409</v>
      </c>
      <c r="K327" s="38" t="n">
        <v>1.090415268385065</v>
      </c>
      <c r="L327" s="38" t="n">
        <v>0</v>
      </c>
      <c r="M327" s="39" t="n">
        <v>0.7271364543940037</v>
      </c>
      <c r="N327" s="40" t="inlineStr">
        <is>
          <t>Insecurity</t>
        </is>
      </c>
      <c r="O327" s="41" t="n"/>
      <c r="P327" s="42" t="inlineStr">
        <is>
          <t>PDH</t>
        </is>
      </c>
      <c r="Q327" s="43" t="inlineStr">
        <is>
          <t>TX ISSUE</t>
        </is>
      </c>
      <c r="R327" s="29" t="inlineStr">
        <is>
          <t>MPR ISSUE</t>
        </is>
      </c>
      <c r="S327" s="44" t="inlineStr">
        <is>
          <t>ACTIVE</t>
        </is>
      </c>
      <c r="T327" s="29" t="inlineStr">
        <is>
          <t>INC-20260331-00002107...Power issue at Jakiri impacting the site ...Others Transmission equipement fault</t>
        </is>
      </c>
    </row>
    <row r="328" ht="18.75" customHeight="1">
      <c r="A328" s="14" t="inlineStr">
        <is>
          <t>4/31/2026</t>
        </is>
      </c>
      <c r="B328" s="23" t="inlineStr">
        <is>
          <t>Mbot</t>
        </is>
      </c>
      <c r="C328" s="23" t="inlineStr">
        <is>
          <t>NRO_246</t>
        </is>
      </c>
      <c r="D328" s="53" t="n"/>
      <c r="E328" s="23" t="inlineStr">
        <is>
          <t>IHS</t>
        </is>
      </c>
      <c r="F328" s="23" t="inlineStr">
        <is>
          <t>Solar-Gen</t>
        </is>
      </c>
      <c r="G328" s="53" t="inlineStr">
        <is>
          <t>NORD-OUEST</t>
        </is>
      </c>
      <c r="H328" s="23" t="inlineStr">
        <is>
          <t>Mbot</t>
        </is>
      </c>
      <c r="I328" s="76" t="inlineStr">
        <is>
          <t>NOKIA</t>
        </is>
      </c>
      <c r="J328" s="38" t="n">
        <v>2.53836469599237</v>
      </c>
      <c r="K328" s="38" t="n">
        <v>1.058273916990524</v>
      </c>
      <c r="L328" s="38" t="n">
        <v>0</v>
      </c>
      <c r="M328" s="39" t="n">
        <v>0.7177530039805355</v>
      </c>
      <c r="N328" s="40" t="inlineStr">
        <is>
          <t>Insecurity</t>
        </is>
      </c>
      <c r="O328" s="41" t="n"/>
      <c r="P328" s="42" t="inlineStr">
        <is>
          <t>BSS</t>
        </is>
      </c>
      <c r="Q328" s="43" t="inlineStr">
        <is>
          <t>RAN ISSUE</t>
        </is>
      </c>
      <c r="R328" s="29" t="inlineStr">
        <is>
          <t>BSS Hardware issue</t>
        </is>
      </c>
      <c r="S328" s="44" t="inlineStr">
        <is>
          <t>ACTIVE</t>
        </is>
      </c>
      <c r="T328" s="29" t="inlineStr">
        <is>
          <t>26/03/2026 : Travaux equipe projet en cours || ETA :  Ce jour 
25/03/2026 : check FRGU needed ..;26/03/2026 : Travaux equipe projet en cours || ETA :  Ce jour 
25/03/2026 : check FRGU needed ..;26/03/2026 : Travaux equipe projet en cours || ETA :  Ce jour 
25/03/2026 : check FRGU needed ..;26/03/2026 : Travaux equipe projet en cours || ETA :  Ce jour 
25/03/2026 : check FRGU needed ..;INC-20260331-00002007...Power issue at Jakiri impacting the site ...Others Transmission equipement fault</t>
        </is>
      </c>
    </row>
    <row r="329" ht="18.75" customHeight="1">
      <c r="A329" s="14" t="inlineStr">
        <is>
          <t>4/31/2026</t>
        </is>
      </c>
      <c r="B329" s="23" t="inlineStr">
        <is>
          <t>Ma</t>
        </is>
      </c>
      <c r="C329" s="23" t="inlineStr">
        <is>
          <t>NRO_021</t>
        </is>
      </c>
      <c r="D329" s="53" t="n"/>
      <c r="E329" s="23" t="inlineStr">
        <is>
          <t>IHS</t>
        </is>
      </c>
      <c r="F329" s="23" t="inlineStr">
        <is>
          <t>Grid-Gen</t>
        </is>
      </c>
      <c r="G329" s="53" t="inlineStr">
        <is>
          <t>NORD-OUEST</t>
        </is>
      </c>
      <c r="H329" s="23" t="inlineStr">
        <is>
          <t>Ma</t>
        </is>
      </c>
      <c r="I329" s="76" t="inlineStr">
        <is>
          <t>NOKIA</t>
        </is>
      </c>
      <c r="J329" s="38" t="n">
        <v>2.484813764004074</v>
      </c>
      <c r="K329" s="38" t="n">
        <v>1.074743039192686</v>
      </c>
      <c r="L329" s="38" t="n">
        <v>0</v>
      </c>
      <c r="M329" s="39" t="n">
        <v>0.7156348101221606</v>
      </c>
      <c r="N329" s="40" t="inlineStr">
        <is>
          <t>Insecurity</t>
        </is>
      </c>
      <c r="O329" s="41" t="n"/>
      <c r="P329" s="42" t="inlineStr">
        <is>
          <t>TRAVAUX OCM</t>
        </is>
      </c>
      <c r="Q329" s="43" t="inlineStr">
        <is>
          <t>TRAVAUX OCM</t>
        </is>
      </c>
      <c r="R329" s="29" t="inlineStr">
        <is>
          <t>Projet OCM (ZTE, NOKIA, autres projets)</t>
        </is>
      </c>
      <c r="S329" s="44" t="inlineStr">
        <is>
          <t>PLANNED WORKS</t>
        </is>
      </c>
      <c r="T329" s="29" t="inlineStr">
        <is>
          <t>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module..;27/03/2026 : 26/03/2026 Access clearance on site negotiation ongoing. Intervention planned on 28/03/2026
26/03/2026 : Travaux equipe projet en cours 
25/03/2026 : negociation d'acces en cours
23/03/2026 :  Ghost town
19/03/2026 : Negociation d'acces en cours || ETA 20032026
17/03/2026 :  Negociation d'acces en cours
16/03/2026 : need BO RAN analysis || Closed after reset but check and replace FXED module..;INC-20260331-00002073...Power issue at Jakiri impacting the site ...Others Transmission equipement fault</t>
        </is>
      </c>
    </row>
    <row r="330" ht="18.75" customHeight="1">
      <c r="A330" s="14" t="inlineStr">
        <is>
          <t>4/31/2026</t>
        </is>
      </c>
      <c r="B330" s="23" t="inlineStr">
        <is>
          <t>Djottin</t>
        </is>
      </c>
      <c r="C330" s="23" t="inlineStr">
        <is>
          <t>NRO_098</t>
        </is>
      </c>
      <c r="D330" s="53" t="n"/>
      <c r="E330" s="23" t="inlineStr">
        <is>
          <t>IHS</t>
        </is>
      </c>
      <c r="F330" s="23" t="inlineStr">
        <is>
          <t>Gen Only</t>
        </is>
      </c>
      <c r="G330" s="53" t="inlineStr">
        <is>
          <t>NORD-OUEST</t>
        </is>
      </c>
      <c r="H330" s="23" t="inlineStr">
        <is>
          <t>Djottin</t>
        </is>
      </c>
      <c r="I330" s="76" t="inlineStr">
        <is>
          <t>NOKIA</t>
        </is>
      </c>
      <c r="J330" s="38" t="n">
        <v>2.478625094977124</v>
      </c>
      <c r="K330" s="38" t="n">
        <v>1.05668013097096</v>
      </c>
      <c r="L330" s="38" t="n">
        <v>0</v>
      </c>
      <c r="M330" s="39" t="n">
        <v>0.7086871421293836</v>
      </c>
      <c r="N330" s="40" t="inlineStr">
        <is>
          <t>Insecurity</t>
        </is>
      </c>
      <c r="O330" s="41" t="n"/>
      <c r="P330" s="42" t="inlineStr">
        <is>
          <t>BSS</t>
        </is>
      </c>
      <c r="Q330" s="43" t="inlineStr">
        <is>
          <t>RAN ISSUE</t>
        </is>
      </c>
      <c r="R330" s="29" t="inlineStr">
        <is>
          <t>BSS Hardware issue</t>
        </is>
      </c>
      <c r="S330" s="44" t="inlineStr">
        <is>
          <t>ACTIVE</t>
        </is>
      </c>
      <c r="T330" s="29" t="inlineStr">
        <is>
          <t>30/03/2026 : need BO RAN analysis || Check and replace FBBC module if needed || Ghost town ..;30/03/2026 : need BO RAN analysis || Check and replace FBBC module if needed || Ghost town ..;30/03/2026 : need BO RAN analysis || Check and replace FBBC module if needed || Ghost town ..;30/03/2026 : need BO RAN analysis || Check and replace FBBC module if needed || Ghost town ..;INC-20260331-00002071...Power issue at Jakiri impacting the site ...Others Transmission equipement fault</t>
        </is>
      </c>
    </row>
    <row r="331" ht="18.75" customHeight="1">
      <c r="A331" s="14" t="inlineStr">
        <is>
          <t>4/31/2026</t>
        </is>
      </c>
      <c r="B331" s="23" t="inlineStr">
        <is>
          <t>Vivoki-IHS</t>
        </is>
      </c>
      <c r="C331" s="23" t="inlineStr">
        <is>
          <t>NRO_039</t>
        </is>
      </c>
      <c r="D331" s="53" t="n"/>
      <c r="E331" s="23" t="inlineStr">
        <is>
          <t>IHS</t>
        </is>
      </c>
      <c r="F331" s="23" t="inlineStr">
        <is>
          <t>Grid-Gen</t>
        </is>
      </c>
      <c r="G331" s="53" t="inlineStr">
        <is>
          <t>NORD-OUEST</t>
        </is>
      </c>
      <c r="H331" s="23" t="inlineStr">
        <is>
          <t>Vikovi</t>
        </is>
      </c>
      <c r="I331" s="76" t="inlineStr">
        <is>
          <t>NOKIA</t>
        </is>
      </c>
      <c r="J331" s="38" t="n">
        <v>2.402213977399486</v>
      </c>
      <c r="K331" s="38" t="n">
        <v>1.063586537055738</v>
      </c>
      <c r="L331" s="38" t="n">
        <v>0</v>
      </c>
      <c r="M331" s="39" t="n">
        <v>0.7000942017853045</v>
      </c>
      <c r="N331" s="40" t="inlineStr">
        <is>
          <t>Insecurity</t>
        </is>
      </c>
      <c r="O331" s="41" t="n"/>
      <c r="P331" s="42" t="inlineStr">
        <is>
          <t>PDH</t>
        </is>
      </c>
      <c r="Q331" s="43" t="inlineStr">
        <is>
          <t>TX ISSUE</t>
        </is>
      </c>
      <c r="R331" s="29" t="inlineStr">
        <is>
          <t>MPR ISSUE</t>
        </is>
      </c>
      <c r="S331" s="44" t="inlineStr">
        <is>
          <t>ACTIVE</t>
        </is>
      </c>
      <c r="T331" s="29" t="inlineStr">
        <is>
          <t>INC-20260331-00002232...Power issue at Jakiri impacting the site ...Others Transmission equipement fault</t>
        </is>
      </c>
    </row>
    <row r="332" ht="18.75" customHeight="1">
      <c r="A332" s="14" t="inlineStr">
        <is>
          <t>4/31/2026</t>
        </is>
      </c>
      <c r="B332" s="23" t="inlineStr">
        <is>
          <t>Ndu</t>
        </is>
      </c>
      <c r="C332" s="23" t="inlineStr">
        <is>
          <t>NRO_009</t>
        </is>
      </c>
      <c r="D332" s="53" t="n"/>
      <c r="E332" s="23" t="inlineStr">
        <is>
          <t>IHS</t>
        </is>
      </c>
      <c r="F332" s="23" t="inlineStr">
        <is>
          <t>Grid-Gen</t>
        </is>
      </c>
      <c r="G332" s="53" t="inlineStr">
        <is>
          <t>NORD-OUEST</t>
        </is>
      </c>
      <c r="H332" s="23" t="inlineStr">
        <is>
          <t>NDU</t>
        </is>
      </c>
      <c r="I332" s="76" t="inlineStr">
        <is>
          <t>NOKIA</t>
        </is>
      </c>
      <c r="J332" s="38" t="n">
        <v>1.635450514897263</v>
      </c>
      <c r="K332" s="38" t="n">
        <v>0.7140161367646909</v>
      </c>
      <c r="L332" s="38" t="n">
        <v>0</v>
      </c>
      <c r="M332" s="39" t="n">
        <v>0.4732456349042067</v>
      </c>
      <c r="N332" s="40" t="inlineStr">
        <is>
          <t>Insecurity</t>
        </is>
      </c>
      <c r="O332" s="41" t="n"/>
      <c r="P332" s="42" t="inlineStr">
        <is>
          <t>PDH</t>
        </is>
      </c>
      <c r="Q332" s="43" t="inlineStr">
        <is>
          <t>TX ISSUE</t>
        </is>
      </c>
      <c r="R332" s="29" t="inlineStr">
        <is>
          <t>MPR ISSUE</t>
        </is>
      </c>
      <c r="S332" s="44" t="inlineStr">
        <is>
          <t>ACTIVE</t>
        </is>
      </c>
      <c r="T332" s="29" t="inlineStr">
        <is>
          <t>INC-20260331-00001993...Power issue at Jakiri impacting the site ...Others Transmission equipement fault</t>
        </is>
      </c>
    </row>
    <row r="333" ht="18.75" customHeight="1">
      <c r="A333" s="14" t="inlineStr">
        <is>
          <t>4/31/2026</t>
        </is>
      </c>
      <c r="B333" s="23" t="inlineStr">
        <is>
          <t>Goufan</t>
        </is>
      </c>
      <c r="C333" s="23" t="inlineStr">
        <is>
          <t>CTR_231</t>
        </is>
      </c>
      <c r="D333" s="53" t="n"/>
      <c r="E333" s="23" t="inlineStr">
        <is>
          <t>IHS</t>
        </is>
      </c>
      <c r="F333" s="23" t="inlineStr">
        <is>
          <t>Grid-Gen</t>
        </is>
      </c>
      <c r="G333" s="53" t="inlineStr">
        <is>
          <t>CENTRE</t>
        </is>
      </c>
      <c r="H333" s="23" t="inlineStr">
        <is>
          <t>Goufan</t>
        </is>
      </c>
      <c r="I333" s="74" t="inlineStr">
        <is>
          <t>ZTE</t>
        </is>
      </c>
      <c r="J333" s="38" t="n">
        <v>0</v>
      </c>
      <c r="K333" s="38" t="n">
        <v>0</v>
      </c>
      <c r="L333" s="38" t="n">
        <v>0</v>
      </c>
      <c r="M333" s="39" t="n">
        <v>0</v>
      </c>
      <c r="N333" s="40" t="inlineStr">
        <is>
          <t>Operationnel</t>
        </is>
      </c>
      <c r="O333" s="41" t="n"/>
      <c r="P333" s="42" t="inlineStr">
        <is>
          <t>IHS</t>
        </is>
      </c>
      <c r="Q333" s="43" t="inlineStr">
        <is>
          <t>POWER ISSUE</t>
        </is>
      </c>
      <c r="R333" s="29" t="inlineStr">
        <is>
          <t>Defaut GE &amp; Power Cabinet</t>
        </is>
      </c>
      <c r="S333" s="44" t="inlineStr">
        <is>
          <t>PASSIVE</t>
        </is>
      </c>
      <c r="T333" s="29" t="inlineStr">
        <is>
          <t>site down..;Impacted by CTR_231_Z_Goufan(CTR-231)..;INC-20260331-00010322...2026-03-31 19:03:20...Feedback Camusat : La batterie du GE déchargée le level 0 a la recherche d'une batterie secour pour démarrer le GE...RCA attendu de CAMUSAT...Others Transmission equipement fault...Probleme d'energie ( La batterie du GE déchargée )</t>
        </is>
      </c>
    </row>
    <row r="334" ht="18.75" customHeight="1">
      <c r="A334" s="14" t="inlineStr">
        <is>
          <t>4/31/2026</t>
        </is>
      </c>
      <c r="B334" s="23" t="inlineStr">
        <is>
          <t>Mokom-IHS</t>
        </is>
      </c>
      <c r="C334" s="23" t="inlineStr">
        <is>
          <t>SUD_113</t>
        </is>
      </c>
      <c r="D334" s="53" t="n"/>
      <c r="E334" s="23" t="inlineStr">
        <is>
          <t>IHS</t>
        </is>
      </c>
      <c r="F334" s="23" t="inlineStr">
        <is>
          <t>Gen-Lithium</t>
        </is>
      </c>
      <c r="G334" s="53" t="inlineStr">
        <is>
          <t>SUD</t>
        </is>
      </c>
      <c r="H334" s="23" t="inlineStr">
        <is>
          <t>Mintom</t>
        </is>
      </c>
      <c r="I334" s="74" t="inlineStr">
        <is>
          <t>ZTE</t>
        </is>
      </c>
      <c r="J334" s="38" t="n">
        <v>0</v>
      </c>
      <c r="K334" s="38" t="n">
        <v>0</v>
      </c>
      <c r="L334" s="38" t="n">
        <v>0</v>
      </c>
      <c r="M334" s="39" t="n">
        <v>0</v>
      </c>
      <c r="N334" s="40" t="inlineStr">
        <is>
          <t>Operationnel</t>
        </is>
      </c>
      <c r="O334" s="41" t="n"/>
      <c r="P334" s="42" t="inlineStr">
        <is>
          <t>Fiber AOF</t>
        </is>
      </c>
      <c r="Q334" s="43" t="inlineStr">
        <is>
          <t>TX ISSUE</t>
        </is>
      </c>
      <c r="R334" s="29" t="inlineStr">
        <is>
          <t>fiber AOF</t>
        </is>
      </c>
      <c r="S334" s="44" t="inlineStr">
        <is>
          <t>ACTIVE</t>
        </is>
      </c>
      <c r="T334" s="29" t="inlineStr">
        <is>
          <t>Impacted by SUD_246_Z_Mintom-MTN(SUD-246)</t>
        </is>
      </c>
    </row>
    <row r="335" ht="18.75" customHeight="1">
      <c r="A335" s="14" t="inlineStr">
        <is>
          <t>4/31/2026</t>
        </is>
      </c>
      <c r="B335" s="23" t="inlineStr">
        <is>
          <t>Akom-Centre-Hill-IHS</t>
        </is>
      </c>
      <c r="C335" s="23" t="inlineStr">
        <is>
          <t>SUD_112</t>
        </is>
      </c>
      <c r="D335" s="53" t="n"/>
      <c r="E335" s="23" t="inlineStr">
        <is>
          <t>IHS</t>
        </is>
      </c>
      <c r="F335" s="23" t="inlineStr">
        <is>
          <t>Hybrid-Gen</t>
        </is>
      </c>
      <c r="G335" s="53" t="inlineStr">
        <is>
          <t>SUD</t>
        </is>
      </c>
      <c r="H335" s="23" t="inlineStr">
        <is>
          <t>Akom</t>
        </is>
      </c>
      <c r="I335" s="74" t="inlineStr">
        <is>
          <t>ZTE</t>
        </is>
      </c>
      <c r="J335" s="38" t="n">
        <v>0</v>
      </c>
      <c r="K335" s="38" t="n">
        <v>0</v>
      </c>
      <c r="L335" s="38" t="n">
        <v>0</v>
      </c>
      <c r="M335" s="39" t="n">
        <v>0</v>
      </c>
      <c r="N335" s="40" t="inlineStr">
        <is>
          <t>Operationnel</t>
        </is>
      </c>
      <c r="O335" s="41" t="n"/>
      <c r="P335" s="42" t="inlineStr">
        <is>
          <t>Fiber AOF</t>
        </is>
      </c>
      <c r="Q335" s="43" t="inlineStr">
        <is>
          <t>TX ISSUE</t>
        </is>
      </c>
      <c r="R335" s="29" t="inlineStr">
        <is>
          <t>fiber AOF</t>
        </is>
      </c>
      <c r="S335" s="44" t="inlineStr">
        <is>
          <t>ACTIVE</t>
        </is>
      </c>
      <c r="T335" s="29" t="inlineStr">
        <is>
          <t>Impacted by SUD_246_Z_Mintom-MTN(SUD-246)</t>
        </is>
      </c>
    </row>
    <row r="336" ht="18.75" customHeight="1">
      <c r="A336" s="14" t="inlineStr">
        <is>
          <t>4/31/2026</t>
        </is>
      </c>
      <c r="B336" s="23" t="inlineStr">
        <is>
          <t>Mekoto</t>
        </is>
      </c>
      <c r="C336" s="23" t="inlineStr">
        <is>
          <t>SUD_126</t>
        </is>
      </c>
      <c r="D336" s="53" t="n"/>
      <c r="E336" s="23" t="inlineStr">
        <is>
          <t>CAMUSAT</t>
        </is>
      </c>
      <c r="F336" s="23" t="inlineStr">
        <is>
          <t>Hybrid Solar S3</t>
        </is>
      </c>
      <c r="G336" s="53" t="inlineStr">
        <is>
          <t>SUD</t>
        </is>
      </c>
      <c r="H336" s="23" t="inlineStr">
        <is>
          <t>Ekombitié</t>
        </is>
      </c>
      <c r="I336" s="74" t="inlineStr">
        <is>
          <t>ZTE</t>
        </is>
      </c>
      <c r="J336" s="38" t="n">
        <v>0</v>
      </c>
      <c r="K336" s="38" t="n">
        <v>0</v>
      </c>
      <c r="L336" s="38" t="n">
        <v>0</v>
      </c>
      <c r="M336" s="39" t="n">
        <v>0</v>
      </c>
      <c r="N336" s="40" t="inlineStr">
        <is>
          <t>Operationnel</t>
        </is>
      </c>
      <c r="O336" s="41" t="n"/>
      <c r="P336" s="42" t="inlineStr">
        <is>
          <t>Fiber AOF</t>
        </is>
      </c>
      <c r="Q336" s="43" t="inlineStr">
        <is>
          <t>TX ISSUE</t>
        </is>
      </c>
      <c r="R336" s="29" t="inlineStr">
        <is>
          <t>fiber AOF</t>
        </is>
      </c>
      <c r="S336" s="44" t="inlineStr">
        <is>
          <t>ACTIVE</t>
        </is>
      </c>
      <c r="T336" s="29" t="inlineStr">
        <is>
          <t>Impacted by SUD_105_Z_Mbomela-IHS(SUD-105)..;INC-20260331-00000836...2026-03-31 05:58:34...The site is impacted by power issue at Mbomela so please to involve the Powerco...Others</t>
        </is>
      </c>
    </row>
    <row r="337" ht="18.75" customHeight="1">
      <c r="A337" s="14" t="inlineStr">
        <is>
          <t>4/31/2026</t>
        </is>
      </c>
      <c r="B337" s="23" t="inlineStr">
        <is>
          <t>Toumbouroum</t>
        </is>
      </c>
      <c r="C337" s="23" t="inlineStr">
        <is>
          <t>ADM_182</t>
        </is>
      </c>
      <c r="D337" s="53" t="n"/>
      <c r="E337" s="23" t="inlineStr">
        <is>
          <t>ESCO</t>
        </is>
      </c>
      <c r="F337" s="23" t="inlineStr">
        <is>
          <t>Hybrid solar - s3</t>
        </is>
      </c>
      <c r="G337" s="53" t="inlineStr">
        <is>
          <t>ADAMAOUA</t>
        </is>
      </c>
      <c r="H337" s="23" t="inlineStr">
        <is>
          <t>Toumbouroum</t>
        </is>
      </c>
      <c r="I337" s="77" t="inlineStr">
        <is>
          <t>HUAWEI</t>
        </is>
      </c>
      <c r="J337" s="38" t="n">
        <v>0</v>
      </c>
      <c r="K337" s="38" t="n">
        <v>0</v>
      </c>
      <c r="L337" s="38" t="n">
        <v>0</v>
      </c>
      <c r="M337" s="39" t="n">
        <v>0</v>
      </c>
      <c r="N337" s="40" t="inlineStr">
        <is>
          <t>Operationnel</t>
        </is>
      </c>
      <c r="O337" s="41" t="n"/>
      <c r="P337" s="42" t="inlineStr">
        <is>
          <t>Exclu</t>
        </is>
      </c>
      <c r="Q337" s="43" t="inlineStr">
        <is>
          <t>Exclu</t>
        </is>
      </c>
      <c r="R337" s="29" t="inlineStr">
        <is>
          <t>Exclu</t>
        </is>
      </c>
      <c r="S337" s="44" t="inlineStr">
        <is>
          <t>Exclu</t>
        </is>
      </c>
      <c r="T337" s="29" t="inlineStr">
        <is>
          <t>Impacted by ADM_132_H_Beka-Hossere-MTN-IHS..;Impacted by ADM_132_H_Beka-Hossere-MTN-IHS..;Impacted by ADM_132_H_Beka-Hossere-MTN-IHS</t>
        </is>
      </c>
    </row>
  </sheetData>
  <pageMargins left="0.7" right="0.7" top="0.75" bottom="0.75" header="0.3" footer="0.3"/>
</worksheet>
</file>

<file path=xl/worksheets/sheet4.xml><?xml version="1.0" encoding="utf-8"?>
<worksheet xmlns="http://schemas.openxmlformats.org/spreadsheetml/2006/main">
  <sheetPr>
    <outlinePr summaryBelow="0"/>
    <pageSetUpPr/>
  </sheetPr>
  <dimension ref="A1:F282"/>
  <sheetViews>
    <sheetView workbookViewId="0">
      <pane xSplit="0" ySplit="1" topLeftCell="A2" activePane="bottomLeft" state="frozen"/>
      <selection activeCell="A1" sqref="A1"/>
    </sheetView>
  </sheetViews>
  <sheetFormatPr baseColWidth="8" defaultRowHeight="15"/>
  <cols>
    <col width="16.71928571428571" bestFit="1" customWidth="1" style="12" min="1" max="1"/>
    <col width="26.43357142857143" bestFit="1" customWidth="1" style="12" min="2" max="2"/>
    <col width="24.43357142857143" bestFit="1" customWidth="1" style="12" min="3" max="3"/>
    <col width="20.57642857142857" bestFit="1" customWidth="1" style="12" min="4" max="4"/>
    <col width="16.43357142857143" bestFit="1" customWidth="1" style="12" min="5" max="5"/>
    <col width="32.14785714285715" bestFit="1" customWidth="1" style="12" min="6" max="6"/>
  </cols>
  <sheetData>
    <row r="1" ht="18.75" customHeight="1">
      <c r="A1" s="10" t="inlineStr">
        <is>
          <t>prioriete</t>
        </is>
      </c>
      <c r="B1" s="10" t="inlineStr">
        <is>
          <t>site impactant</t>
        </is>
      </c>
      <c r="C1" s="10" t="inlineStr">
        <is>
          <t>Numero de ticket</t>
        </is>
      </c>
      <c r="D1" s="10" t="inlineStr">
        <is>
          <t>Nom de site impacte</t>
        </is>
      </c>
      <c r="E1" s="10" t="inlineStr">
        <is>
          <t>Code site</t>
        </is>
      </c>
      <c r="F1" s="11" t="inlineStr">
        <is>
          <t>root cause</t>
        </is>
      </c>
    </row>
    <row r="2" ht="18.75" customHeight="1">
      <c r="A2" s="12" t="n"/>
      <c r="B2" s="12" t="inlineStr">
        <is>
          <t>NRD_009_H_Garoua-Lainde</t>
        </is>
      </c>
      <c r="C2" s="12" t="inlineStr">
        <is>
          <t>INC-20260429-00015946 | 2604E02783</t>
        </is>
      </c>
      <c r="D2" s="12" t="inlineStr">
        <is>
          <t>NRD_009_H_Garoua-Lainde</t>
        </is>
      </c>
      <c r="E2" s="12">
        <f>IFERROR(MID(D2, SEARCH("CTR_", D2), 7), IFERROR(MID(D2, SEARCH("SUO_", D2), 7), IFERROR(MID(D2, SEARCH("SUD_", D2), 7), IFERROR(MID(D2, SEARCH("NRO_", D2), 7), IFERROR(MID(D2, SEARCH("ADM_", D2), 7), IFERROR(MID(D2, SEARCH("NRD_", D2), 7), IFERROR(MID(D2, SEARCH("EXN_", D2), 7), IFERROR(MID(D2, SEARCH("LIT_", D2), 7), IFERROR(MID(D2, SEARCH("EST_", D2), 7), MID(D2, SEARCH("OST_",D2), 7))))))))))</f>
        <v/>
      </c>
      <c r="F2" s="12" t="inlineStr">
        <is>
          <t>(04/29/2026 incident ): impacted by   NRD_009_H_Garoua-Lainde , RCA: Power issue / En attente RCA IHS</t>
        </is>
      </c>
    </row>
    <row r="3" hidden="1" ht="18.75" customHeight="1">
      <c r="A3" s="12" t="n"/>
      <c r="B3" s="12" t="n"/>
      <c r="C3" s="12" t="n"/>
      <c r="D3" s="12" t="inlineStr">
        <is>
          <t>NRD_013_H_Pitoa</t>
        </is>
      </c>
      <c r="E3" s="12">
        <f>IFERROR(MID(D3, SEARCH("CTR_", D3), 7), IFERROR(MID(D3, SEARCH("SUO_", D3), 7), IFERROR(MID(D3, SEARCH("SUD_", D3), 7), IFERROR(MID(D3, SEARCH("NRO_", D3), 7), IFERROR(MID(D3, SEARCH("ADM_", D3), 7), IFERROR(MID(D3, SEARCH("NRD_", D3), 7), IFERROR(MID(D3, SEARCH("EXN_", D3), 7), IFERROR(MID(D3, SEARCH("LIT_", D3), 7), IFERROR(MID(D3, SEARCH("EST_", D3), 7), MID(D3, SEARCH("OST_",D3), 7))))))))))</f>
        <v/>
      </c>
      <c r="F3" s="12" t="inlineStr">
        <is>
          <t>(04/29/2026 incident ): impacted by   NRD_009_H_Garoua-Lainde , RCA: Power issue / En attente RCA IHS</t>
        </is>
      </c>
    </row>
    <row r="4" hidden="1" ht="18.75" customHeight="1">
      <c r="A4" s="12" t="n"/>
      <c r="B4" s="12" t="n"/>
      <c r="C4" s="12" t="n"/>
      <c r="D4" s="12" t="inlineStr">
        <is>
          <t>NRD_038_H_Poumpoumrey</t>
        </is>
      </c>
      <c r="E4" s="12">
        <f>IFERROR(MID(D4, SEARCH("CTR_", D4), 7), IFERROR(MID(D4, SEARCH("SUO_", D4), 7), IFERROR(MID(D4, SEARCH("SUD_", D4), 7), IFERROR(MID(D4, SEARCH("NRO_", D4), 7), IFERROR(MID(D4, SEARCH("ADM_", D4), 7), IFERROR(MID(D4, SEARCH("NRD_", D4), 7), IFERROR(MID(D4, SEARCH("EXN_", D4), 7), IFERROR(MID(D4, SEARCH("LIT_", D4), 7), IFERROR(MID(D4, SEARCH("EST_", D4), 7), MID(D4, SEARCH("OST_",D4), 7))))))))))</f>
        <v/>
      </c>
      <c r="F4" s="12" t="inlineStr">
        <is>
          <t>(04/29/2026 incident ): impacted by   NRD_009_H_Garoua-Lainde , RCA: Power issue / En attente RCA IHS</t>
        </is>
      </c>
    </row>
    <row r="5" hidden="1" ht="18.75" customHeight="1">
      <c r="A5" s="12" t="n"/>
      <c r="B5" s="12" t="n"/>
      <c r="C5" s="12" t="n"/>
      <c r="D5" s="12" t="inlineStr">
        <is>
          <t>NRD_158_H_Garoua-Ngalbidje-II</t>
        </is>
      </c>
      <c r="E5" s="12">
        <f>IFERROR(MID(D5, SEARCH("CTR_", D5), 7), IFERROR(MID(D5, SEARCH("SUO_", D5), 7), IFERROR(MID(D5, SEARCH("SUD_", D5), 7), IFERROR(MID(D5, SEARCH("NRO_", D5), 7), IFERROR(MID(D5, SEARCH("ADM_", D5), 7), IFERROR(MID(D5, SEARCH("NRD_", D5), 7), IFERROR(MID(D5, SEARCH("EXN_", D5), 7), IFERROR(MID(D5, SEARCH("LIT_", D5), 7), IFERROR(MID(D5, SEARCH("EST_", D5), 7), MID(D5, SEARCH("OST_",D5), 7))))))))))</f>
        <v/>
      </c>
      <c r="F5" s="12" t="inlineStr">
        <is>
          <t>(04/29/2026 incident ): impacted by   NRD_009_H_Garoua-Lainde , RCA: Power issue / En attente RCA IHS</t>
        </is>
      </c>
    </row>
    <row r="6" hidden="1" ht="18.75" customHeight="1">
      <c r="A6" s="12" t="n"/>
      <c r="B6" s="12" t="n"/>
      <c r="C6" s="12" t="n"/>
      <c r="D6" s="12" t="inlineStr">
        <is>
          <t>NRD_183_H_Pitoa-II</t>
        </is>
      </c>
      <c r="E6" s="12">
        <f>IFERROR(MID(D6, SEARCH("CTR_", D6), 7), IFERROR(MID(D6, SEARCH("SUO_", D6), 7), IFERROR(MID(D6, SEARCH("SUD_", D6), 7), IFERROR(MID(D6, SEARCH("NRO_", D6), 7), IFERROR(MID(D6, SEARCH("ADM_", D6), 7), IFERROR(MID(D6, SEARCH("NRD_", D6), 7), IFERROR(MID(D6, SEARCH("EXN_", D6), 7), IFERROR(MID(D6, SEARCH("LIT_", D6), 7), IFERROR(MID(D6, SEARCH("EST_", D6), 7), MID(D6, SEARCH("OST_",D6), 7))))))))))</f>
        <v/>
      </c>
      <c r="F6" s="12" t="inlineStr">
        <is>
          <t>(04/29/2026 incident ): impacted by   NRD_009_H_Garoua-Lainde , RCA: Power issue / En attente RCA IHS</t>
        </is>
      </c>
    </row>
    <row r="7" hidden="1" ht="18.75" customHeight="1">
      <c r="A7" s="12" t="n"/>
      <c r="B7" s="12" t="n"/>
      <c r="C7" s="12" t="n"/>
      <c r="D7" s="12" t="inlineStr">
        <is>
          <t>NRD_162_H_Garoua-Sonayo</t>
        </is>
      </c>
      <c r="E7" s="12">
        <f>IFERROR(MID(D7, SEARCH("CTR_", D7), 7), IFERROR(MID(D7, SEARCH("SUO_", D7), 7), IFERROR(MID(D7, SEARCH("SUD_", D7), 7), IFERROR(MID(D7, SEARCH("NRO_", D7), 7), IFERROR(MID(D7, SEARCH("ADM_", D7), 7), IFERROR(MID(D7, SEARCH("NRD_", D7), 7), IFERROR(MID(D7, SEARCH("EXN_", D7), 7), IFERROR(MID(D7, SEARCH("LIT_", D7), 7), IFERROR(MID(D7, SEARCH("EST_", D7), 7), MID(D7, SEARCH("OST_",D7), 7))))))))))</f>
        <v/>
      </c>
      <c r="F7" s="12" t="inlineStr">
        <is>
          <t>(04/29/2026 incident ): impacted by   NRD_009_H_Garoua-Lainde , RCA: Power issue / En attente RCA IHS</t>
        </is>
      </c>
    </row>
    <row r="8" hidden="1" ht="18.75" customHeight="1">
      <c r="A8" s="12" t="n"/>
      <c r="B8" s="12" t="n"/>
      <c r="C8" s="12" t="n"/>
      <c r="D8" s="12" t="inlineStr">
        <is>
          <t>NRD_037_H_Nassarao</t>
        </is>
      </c>
      <c r="E8" s="12">
        <f>IFERROR(MID(D8, SEARCH("CTR_", D8), 7), IFERROR(MID(D8, SEARCH("SUO_", D8), 7), IFERROR(MID(D8, SEARCH("SUD_", D8), 7), IFERROR(MID(D8, SEARCH("NRO_", D8), 7), IFERROR(MID(D8, SEARCH("ADM_", D8), 7), IFERROR(MID(D8, SEARCH("NRD_", D8), 7), IFERROR(MID(D8, SEARCH("EXN_", D8), 7), IFERROR(MID(D8, SEARCH("LIT_", D8), 7), IFERROR(MID(D8, SEARCH("EST_", D8), 7), MID(D8, SEARCH("OST_",D8), 7))))))))))</f>
        <v/>
      </c>
      <c r="F8" s="12" t="inlineStr">
        <is>
          <t>(04/29/2026 incident ): impacted by   NRD_009_H_Garoua-Lainde , RCA: Power issue / En attente RCA IHS</t>
        </is>
      </c>
    </row>
    <row r="9" hidden="1" ht="18.75" customHeight="1">
      <c r="A9" s="12" t="n"/>
      <c r="B9" s="12" t="n"/>
      <c r="C9" s="12" t="n"/>
      <c r="D9" s="12" t="inlineStr">
        <is>
          <t>NRD_116_H_Garoua-Katasko-MTN-IHS</t>
        </is>
      </c>
      <c r="E9" s="12">
        <f>IFERROR(MID(D9, SEARCH("CTR_", D9), 7), IFERROR(MID(D9, SEARCH("SUO_", D9), 7), IFERROR(MID(D9, SEARCH("SUD_", D9), 7), IFERROR(MID(D9, SEARCH("NRO_", D9), 7), IFERROR(MID(D9, SEARCH("ADM_", D9), 7), IFERROR(MID(D9, SEARCH("NRD_", D9), 7), IFERROR(MID(D9, SEARCH("EXN_", D9), 7), IFERROR(MID(D9, SEARCH("LIT_", D9), 7), IFERROR(MID(D9, SEARCH("EST_", D9), 7), MID(D9, SEARCH("OST_",D9), 7))))))))))</f>
        <v/>
      </c>
      <c r="F9" s="12" t="inlineStr">
        <is>
          <t>(04/29/2026 incident ): impacted by   NRD_009_H_Garoua-Lainde , RCA: Power issue / En attente RCA IHS</t>
        </is>
      </c>
    </row>
    <row r="10" hidden="1" ht="18.75" customHeight="1">
      <c r="A10" s="12" t="n"/>
      <c r="B10" s="12" t="n"/>
      <c r="C10" s="12" t="n"/>
      <c r="D10" s="12" t="inlineStr">
        <is>
          <t>NRD_255_H_Garoua-Universite</t>
        </is>
      </c>
      <c r="E10" s="12">
        <f>IFERROR(MID(D10, SEARCH("CTR_", D10), 7), IFERROR(MID(D10, SEARCH("SUO_", D10), 7), IFERROR(MID(D10, SEARCH("SUD_", D10), 7), IFERROR(MID(D10, SEARCH("NRO_", D10), 7), IFERROR(MID(D10, SEARCH("ADM_", D10), 7), IFERROR(MID(D10, SEARCH("NRD_", D10), 7), IFERROR(MID(D10, SEARCH("EXN_", D10), 7), IFERROR(MID(D10, SEARCH("LIT_", D10), 7), IFERROR(MID(D10, SEARCH("EST_", D10), 7), MID(D10, SEARCH("OST_",D10), 7))))))))))</f>
        <v/>
      </c>
      <c r="F10" s="12" t="inlineStr">
        <is>
          <t>(04/29/2026 incident ): impacted by   NRD_009_H_Garoua-Lainde , RCA: Power issue / En attente RCA IHS</t>
        </is>
      </c>
    </row>
    <row r="11" hidden="1" ht="18.75" customHeight="1">
      <c r="A11" s="12" t="n"/>
      <c r="B11" s="12" t="n"/>
      <c r="C11" s="12" t="n"/>
      <c r="D11" s="12" t="inlineStr">
        <is>
          <t>NRD_261_H_Garoua-Tchakamidari</t>
        </is>
      </c>
      <c r="E11" s="12">
        <f>IFERROR(MID(D11, SEARCH("CTR_", D11), 7), IFERROR(MID(D11, SEARCH("SUO_", D11), 7), IFERROR(MID(D11, SEARCH("SUD_", D11), 7), IFERROR(MID(D11, SEARCH("NRO_", D11), 7), IFERROR(MID(D11, SEARCH("ADM_", D11), 7), IFERROR(MID(D11, SEARCH("NRD_", D11), 7), IFERROR(MID(D11, SEARCH("EXN_", D11), 7), IFERROR(MID(D11, SEARCH("LIT_", D11), 7), IFERROR(MID(D11, SEARCH("EST_", D11), 7), MID(D11, SEARCH("OST_",D11), 7))))))))))</f>
        <v/>
      </c>
      <c r="F11" s="12" t="inlineStr">
        <is>
          <t>(04/29/2026 incident ): impacted by   NRD_009_H_Garoua-Lainde , RCA: Power issue / En attente RCA IHS</t>
        </is>
      </c>
    </row>
    <row r="12" hidden="1" ht="18.75" customHeight="1">
      <c r="A12" s="12" t="n"/>
      <c r="B12" s="12" t="n"/>
      <c r="C12" s="12" t="n"/>
      <c r="D12" s="12" t="inlineStr">
        <is>
          <t>NRD_262_H_Gra-Doualare-Ancien-LAWANAT</t>
        </is>
      </c>
      <c r="E12" s="12">
        <f>IFERROR(MID(D12, SEARCH("CTR_", D12), 7), IFERROR(MID(D12, SEARCH("SUO_", D12), 7), IFERROR(MID(D12, SEARCH("SUD_", D12), 7), IFERROR(MID(D12, SEARCH("NRO_", D12), 7), IFERROR(MID(D12, SEARCH("ADM_", D12), 7), IFERROR(MID(D12, SEARCH("NRD_", D12), 7), IFERROR(MID(D12, SEARCH("EXN_", D12), 7), IFERROR(MID(D12, SEARCH("LIT_", D12), 7), IFERROR(MID(D12, SEARCH("EST_", D12), 7), MID(D12, SEARCH("OST_",D12), 7))))))))))</f>
        <v/>
      </c>
      <c r="F12" s="12" t="inlineStr">
        <is>
          <t>(04/29/2026 incident ): impacted by   NRD_009_H_Garoua-Lainde , RCA: Power issue / En attente RCA IHS</t>
        </is>
      </c>
    </row>
    <row r="13" hidden="1" ht="18.75" customHeight="1">
      <c r="A13" s="12" t="n"/>
      <c r="B13" s="12" t="n"/>
      <c r="C13" s="12" t="n"/>
      <c r="D13" s="12" t="inlineStr">
        <is>
          <t>NRD_143_H_Garoua-Stade</t>
        </is>
      </c>
      <c r="E13" s="12">
        <f>IFERROR(MID(D13, SEARCH("CTR_", D13), 7), IFERROR(MID(D13, SEARCH("SUO_", D13), 7), IFERROR(MID(D13, SEARCH("SUD_", D13), 7), IFERROR(MID(D13, SEARCH("NRO_", D13), 7), IFERROR(MID(D13, SEARCH("ADM_", D13), 7), IFERROR(MID(D13, SEARCH("NRD_", D13), 7), IFERROR(MID(D13, SEARCH("EXN_", D13), 7), IFERROR(MID(D13, SEARCH("LIT_", D13), 7), IFERROR(MID(D13, SEARCH("EST_", D13), 7), MID(D13, SEARCH("OST_",D13), 7))))))))))</f>
        <v/>
      </c>
      <c r="F13" s="12" t="inlineStr">
        <is>
          <t>(04/29/2026 incident ): impacted by   NRD_009_H_Garoua-Lainde , RCA: Power issue / En attente RCA IHS</t>
        </is>
      </c>
    </row>
    <row r="14" hidden="1" ht="18.75" customHeight="1">
      <c r="A14" s="12" t="n"/>
      <c r="B14" s="12" t="n"/>
      <c r="C14" s="12" t="n"/>
      <c r="D14" s="12" t="inlineStr">
        <is>
          <t>NRD_252_H_Garoua-Ngalbidjie-III</t>
        </is>
      </c>
      <c r="E14" s="12">
        <f>IFERROR(MID(D14, SEARCH("CTR_", D14), 7), IFERROR(MID(D14, SEARCH("SUO_", D14), 7), IFERROR(MID(D14, SEARCH("SUD_", D14), 7), IFERROR(MID(D14, SEARCH("NRO_", D14), 7), IFERROR(MID(D14, SEARCH("ADM_", D14), 7), IFERROR(MID(D14, SEARCH("NRD_", D14), 7), IFERROR(MID(D14, SEARCH("EXN_", D14), 7), IFERROR(MID(D14, SEARCH("LIT_", D14), 7), IFERROR(MID(D14, SEARCH("EST_", D14), 7), MID(D14, SEARCH("OST_",D14), 7))))))))))</f>
        <v/>
      </c>
      <c r="F14" s="12" t="inlineStr">
        <is>
          <t>(04/29/2026 incident ): impacted by   NRD_009_H_Garoua-Lainde , RCA: Power issue / En attente RCA IHS</t>
        </is>
      </c>
    </row>
    <row r="15" hidden="1" ht="18.75" customHeight="1">
      <c r="A15" s="12" t="n"/>
      <c r="B15" s="12" t="n"/>
      <c r="C15" s="12" t="n"/>
      <c r="D15" s="12" t="inlineStr">
        <is>
          <t>NRD_054_H_Garoua-Ouro-Lawan</t>
        </is>
      </c>
      <c r="E15" s="12">
        <f>IFERROR(MID(D15, SEARCH("CTR_", D15), 7), IFERROR(MID(D15, SEARCH("SUO_", D15), 7), IFERROR(MID(D15, SEARCH("SUD_", D15), 7), IFERROR(MID(D15, SEARCH("NRO_", D15), 7), IFERROR(MID(D15, SEARCH("ADM_", D15), 7), IFERROR(MID(D15, SEARCH("NRD_", D15), 7), IFERROR(MID(D15, SEARCH("EXN_", D15), 7), IFERROR(MID(D15, SEARCH("LIT_", D15), 7), IFERROR(MID(D15, SEARCH("EST_", D15), 7), MID(D15, SEARCH("OST_",D15), 7))))))))))</f>
        <v/>
      </c>
      <c r="F15" s="12" t="inlineStr">
        <is>
          <t>(04/29/2026 incident ): impacted by   NRD_009_H_Garoua-Lainde , RCA: Power issue / En attente RCA IHS</t>
        </is>
      </c>
    </row>
    <row r="16" hidden="1" ht="18.75" customHeight="1">
      <c r="A16" s="12" t="n"/>
      <c r="B16" s="12" t="n"/>
      <c r="C16" s="12" t="n"/>
      <c r="D16" s="12" t="inlineStr">
        <is>
          <t>NRD_083_H_Garoua-Sabongari-Lainde-IHS</t>
        </is>
      </c>
      <c r="E16" s="12">
        <f>IFERROR(MID(D16, SEARCH("CTR_", D16), 7), IFERROR(MID(D16, SEARCH("SUO_", D16), 7), IFERROR(MID(D16, SEARCH("SUD_", D16), 7), IFERROR(MID(D16, SEARCH("NRO_", D16), 7), IFERROR(MID(D16, SEARCH("ADM_", D16), 7), IFERROR(MID(D16, SEARCH("NRD_", D16), 7), IFERROR(MID(D16, SEARCH("EXN_", D16), 7), IFERROR(MID(D16, SEARCH("LIT_", D16), 7), IFERROR(MID(D16, SEARCH("EST_", D16), 7), MID(D16, SEARCH("OST_",D16), 7))))))))))</f>
        <v/>
      </c>
      <c r="F16" s="12" t="inlineStr">
        <is>
          <t>(04/29/2026 incident ): impacted by   NRD_009_H_Garoua-Lainde , RCA: Power issue / En attente RCA IHS</t>
        </is>
      </c>
    </row>
    <row r="17" hidden="1" ht="18.75" customHeight="1">
      <c r="A17" s="12" t="n"/>
      <c r="B17" s="12" t="n"/>
      <c r="C17" s="12" t="n"/>
      <c r="D17" s="12" t="inlineStr">
        <is>
          <t>NRD_096_H_Pitoa-Ville</t>
        </is>
      </c>
      <c r="E17" s="12">
        <f>IFERROR(MID(D17, SEARCH("CTR_", D17), 7), IFERROR(MID(D17, SEARCH("SUO_", D17), 7), IFERROR(MID(D17, SEARCH("SUD_", D17), 7), IFERROR(MID(D17, SEARCH("NRO_", D17), 7), IFERROR(MID(D17, SEARCH("ADM_", D17), 7), IFERROR(MID(D17, SEARCH("NRD_", D17), 7), IFERROR(MID(D17, SEARCH("EXN_", D17), 7), IFERROR(MID(D17, SEARCH("LIT_", D17), 7), IFERROR(MID(D17, SEARCH("EST_", D17), 7), MID(D17, SEARCH("OST_",D17), 7))))))))))</f>
        <v/>
      </c>
      <c r="F17" s="12" t="inlineStr">
        <is>
          <t>(04/29/2026 incident ): impacted by   NRD_009_H_Garoua-Lainde , RCA: Power issue / En attente RCA IHS</t>
        </is>
      </c>
    </row>
    <row r="18" hidden="1" ht="18.75" customHeight="1">
      <c r="A18" s="12" t="n"/>
      <c r="B18" s="12" t="n"/>
      <c r="C18" s="12" t="n"/>
      <c r="D18" s="12" t="inlineStr">
        <is>
          <t>NRD_133_H_Pitoa-Entree</t>
        </is>
      </c>
      <c r="E18" s="12">
        <f>IFERROR(MID(D18, SEARCH("CTR_", D18), 7), IFERROR(MID(D18, SEARCH("SUO_", D18), 7), IFERROR(MID(D18, SEARCH("SUD_", D18), 7), IFERROR(MID(D18, SEARCH("NRO_", D18), 7), IFERROR(MID(D18, SEARCH("ADM_", D18), 7), IFERROR(MID(D18, SEARCH("NRD_", D18), 7), IFERROR(MID(D18, SEARCH("EXN_", D18), 7), IFERROR(MID(D18, SEARCH("LIT_", D18), 7), IFERROR(MID(D18, SEARCH("EST_", D18), 7), MID(D18, SEARCH("OST_",D18), 7))))))))))</f>
        <v/>
      </c>
      <c r="F18" s="12" t="inlineStr">
        <is>
          <t>(04/29/2026 incident ): impacted by   NRD_009_H_Garoua-Lainde , RCA: Power issue / En attente RCA IHS</t>
        </is>
      </c>
    </row>
    <row r="19" hidden="1" ht="18.75" customHeight="1">
      <c r="A19" s="12" t="n"/>
      <c r="B19" s="12" t="n"/>
      <c r="C19" s="12" t="n"/>
      <c r="D19" s="12" t="inlineStr">
        <is>
          <t>NRD_145_H_Garoua-Lainde-II</t>
        </is>
      </c>
      <c r="E19" s="12">
        <f>IFERROR(MID(D19, SEARCH("CTR_", D19), 7), IFERROR(MID(D19, SEARCH("SUO_", D19), 7), IFERROR(MID(D19, SEARCH("SUD_", D19), 7), IFERROR(MID(D19, SEARCH("NRO_", D19), 7), IFERROR(MID(D19, SEARCH("ADM_", D19), 7), IFERROR(MID(D19, SEARCH("NRD_", D19), 7), IFERROR(MID(D19, SEARCH("EXN_", D19), 7), IFERROR(MID(D19, SEARCH("LIT_", D19), 7), IFERROR(MID(D19, SEARCH("EST_", D19), 7), MID(D19, SEARCH("OST_",D19), 7))))))))))</f>
        <v/>
      </c>
      <c r="F19" s="12" t="inlineStr">
        <is>
          <t>(04/29/2026 incident ): impacted by   NRD_009_H_Garoua-Lainde , RCA: Power issue / En attente RCA IHS</t>
        </is>
      </c>
    </row>
    <row r="20" hidden="1" ht="18.75" customHeight="1">
      <c r="A20" s="12" t="n"/>
      <c r="B20" s="12" t="n"/>
      <c r="C20" s="12" t="n"/>
      <c r="D20" s="12" t="inlineStr">
        <is>
          <t>NRD_146_H_Garoua-Ouro-Lawan-II</t>
        </is>
      </c>
      <c r="E20" s="12">
        <f>IFERROR(MID(D20, SEARCH("CTR_", D20), 7), IFERROR(MID(D20, SEARCH("SUO_", D20), 7), IFERROR(MID(D20, SEARCH("SUD_", D20), 7), IFERROR(MID(D20, SEARCH("NRO_", D20), 7), IFERROR(MID(D20, SEARCH("ADM_", D20), 7), IFERROR(MID(D20, SEARCH("NRD_", D20), 7), IFERROR(MID(D20, SEARCH("EXN_", D20), 7), IFERROR(MID(D20, SEARCH("LIT_", D20), 7), IFERROR(MID(D20, SEARCH("EST_", D20), 7), MID(D20, SEARCH("OST_",D20), 7))))))))))</f>
        <v/>
      </c>
      <c r="F20" s="12" t="inlineStr">
        <is>
          <t>(04/29/2026 incident ): impacted by   NRD_009_H_Garoua-Lainde , RCA: Power issue / En attente RCA IHS</t>
        </is>
      </c>
    </row>
    <row r="21" hidden="1" ht="18.75" customHeight="1">
      <c r="A21" s="12" t="n"/>
      <c r="B21" s="12" t="n"/>
      <c r="C21" s="12" t="n"/>
      <c r="D21" s="12" t="inlineStr">
        <is>
          <t>NRD_085_H_Garoua-Ngalbidje-IHS</t>
        </is>
      </c>
      <c r="E21" s="12">
        <f>IFERROR(MID(D21, SEARCH("CTR_", D21), 7), IFERROR(MID(D21, SEARCH("SUO_", D21), 7), IFERROR(MID(D21, SEARCH("SUD_", D21), 7), IFERROR(MID(D21, SEARCH("NRO_", D21), 7), IFERROR(MID(D21, SEARCH("ADM_", D21), 7), IFERROR(MID(D21, SEARCH("NRD_", D21), 7), IFERROR(MID(D21, SEARCH("EXN_", D21), 7), IFERROR(MID(D21, SEARCH("LIT_", D21), 7), IFERROR(MID(D21, SEARCH("EST_", D21), 7), MID(D21, SEARCH("OST_",D21), 7))))))))))</f>
        <v/>
      </c>
      <c r="F21" s="12" t="inlineStr">
        <is>
          <t>(04/29/2026 incident ): impacted by   NRD_009_H_Garoua-Lainde , RCA: Power issue / En attente RCA IHS</t>
        </is>
      </c>
    </row>
    <row r="22" hidden="1" ht="18.75" customHeight="1">
      <c r="A22" s="12" t="n"/>
      <c r="B22" s="12" t="n"/>
      <c r="C22" s="12" t="n"/>
      <c r="D22" s="12" t="inlineStr">
        <is>
          <t>NRD_117_H_Ngalbidje-MTN-IHS</t>
        </is>
      </c>
      <c r="E22" s="12">
        <f>IFERROR(MID(D22, SEARCH("CTR_", D22), 7), IFERROR(MID(D22, SEARCH("SUO_", D22), 7), IFERROR(MID(D22, SEARCH("SUD_", D22), 7), IFERROR(MID(D22, SEARCH("NRO_", D22), 7), IFERROR(MID(D22, SEARCH("ADM_", D22), 7), IFERROR(MID(D22, SEARCH("NRD_", D22), 7), IFERROR(MID(D22, SEARCH("EXN_", D22), 7), IFERROR(MID(D22, SEARCH("LIT_", D22), 7), IFERROR(MID(D22, SEARCH("EST_", D22), 7), MID(D22, SEARCH("OST_",D22), 7))))))))))</f>
        <v/>
      </c>
      <c r="F22" s="12" t="inlineStr">
        <is>
          <t>(04/29/2026 incident ): impacted by   NRD_009_H_Garoua-Lainde , RCA: Power issue / En attente RCA IHS</t>
        </is>
      </c>
    </row>
    <row r="23" hidden="1" ht="18.75" customHeight="1">
      <c r="A23" s="12" t="n"/>
      <c r="B23" s="12" t="n"/>
      <c r="C23" s="12" t="n"/>
      <c r="D23" s="12" t="inlineStr">
        <is>
          <t>NRD_130_H_Marouare-New</t>
        </is>
      </c>
      <c r="E23" s="12">
        <f>IFERROR(MID(D23, SEARCH("CTR_", D23), 7), IFERROR(MID(D23, SEARCH("SUO_", D23), 7), IFERROR(MID(D23, SEARCH("SUD_", D23), 7), IFERROR(MID(D23, SEARCH("NRO_", D23), 7), IFERROR(MID(D23, SEARCH("ADM_", D23), 7), IFERROR(MID(D23, SEARCH("NRD_", D23), 7), IFERROR(MID(D23, SEARCH("EXN_", D23), 7), IFERROR(MID(D23, SEARCH("LIT_", D23), 7), IFERROR(MID(D23, SEARCH("EST_", D23), 7), MID(D23, SEARCH("OST_",D23), 7))))))))))</f>
        <v/>
      </c>
      <c r="F23" s="12" t="inlineStr">
        <is>
          <t>(04/29/2026 incident ): impacted by   NRD_009_H_Garoua-Lainde , RCA: Power issue / En attente RCA IHS</t>
        </is>
      </c>
    </row>
    <row r="24" hidden="1" ht="18.75" customHeight="1">
      <c r="A24" s="12" t="n"/>
      <c r="B24" s="12" t="n"/>
      <c r="C24" s="12" t="n"/>
      <c r="D24" s="12" t="inlineStr">
        <is>
          <t>NRD_147_H_Nassarao-II</t>
        </is>
      </c>
      <c r="E24" s="12">
        <f>IFERROR(MID(D24, SEARCH("CTR_", D24), 7), IFERROR(MID(D24, SEARCH("SUO_", D24), 7), IFERROR(MID(D24, SEARCH("SUD_", D24), 7), IFERROR(MID(D24, SEARCH("NRO_", D24), 7), IFERROR(MID(D24, SEARCH("ADM_", D24), 7), IFERROR(MID(D24, SEARCH("NRD_", D24), 7), IFERROR(MID(D24, SEARCH("EXN_", D24), 7), IFERROR(MID(D24, SEARCH("LIT_", D24), 7), IFERROR(MID(D24, SEARCH("EST_", D24), 7), MID(D24, SEARCH("OST_",D24), 7))))))))))</f>
        <v/>
      </c>
      <c r="F24" s="12" t="inlineStr">
        <is>
          <t>(04/29/2026 incident ): impacted by   NRD_009_H_Garoua-Lainde , RCA: Power issue / En attente RCA IHS</t>
        </is>
      </c>
    </row>
    <row r="25" hidden="1" ht="18.75" customHeight="1">
      <c r="A25" s="12" t="n"/>
      <c r="B25" s="12" t="n"/>
      <c r="C25" s="12" t="n"/>
      <c r="D25" s="12" t="inlineStr">
        <is>
          <t>NRD_148_H_Poumpoumrey-II</t>
        </is>
      </c>
      <c r="E25" s="12">
        <f>IFERROR(MID(D25, SEARCH("CTR_", D25), 7), IFERROR(MID(D25, SEARCH("SUO_", D25), 7), IFERROR(MID(D25, SEARCH("SUD_", D25), 7), IFERROR(MID(D25, SEARCH("NRO_", D25), 7), IFERROR(MID(D25, SEARCH("ADM_", D25), 7), IFERROR(MID(D25, SEARCH("NRD_", D25), 7), IFERROR(MID(D25, SEARCH("EXN_", D25), 7), IFERROR(MID(D25, SEARCH("LIT_", D25), 7), IFERROR(MID(D25, SEARCH("EST_", D25), 7), MID(D25, SEARCH("OST_",D25), 7))))))))))</f>
        <v/>
      </c>
      <c r="F25" s="12" t="inlineStr">
        <is>
          <t>(04/29/2026 incident ): impacted by   NRD_009_H_Garoua-Lainde , RCA: Power issue / En attente RCA IHS</t>
        </is>
      </c>
    </row>
    <row r="26" hidden="1" ht="18.75" customHeight="1">
      <c r="A26" s="12" t="n"/>
      <c r="B26" s="12" t="n"/>
      <c r="C26" s="12" t="n"/>
      <c r="D26" s="12" t="inlineStr">
        <is>
          <t>NRD_189_H_Hopital-General-Garoua</t>
        </is>
      </c>
      <c r="E26" s="12">
        <f>IFERROR(MID(D26, SEARCH("CTR_", D26), 7), IFERROR(MID(D26, SEARCH("SUO_", D26), 7), IFERROR(MID(D26, SEARCH("SUD_", D26), 7), IFERROR(MID(D26, SEARCH("NRO_", D26), 7), IFERROR(MID(D26, SEARCH("ADM_", D26), 7), IFERROR(MID(D26, SEARCH("NRD_", D26), 7), IFERROR(MID(D26, SEARCH("EXN_", D26), 7), IFERROR(MID(D26, SEARCH("LIT_", D26), 7), IFERROR(MID(D26, SEARCH("EST_", D26), 7), MID(D26, SEARCH("OST_",D26), 7))))))))))</f>
        <v/>
      </c>
      <c r="F26" s="12" t="inlineStr">
        <is>
          <t>(04/29/2026 incident ): impacted by   NRD_009_H_Garoua-Lainde , RCA: Power issue / En attente RCA IHS</t>
        </is>
      </c>
    </row>
    <row r="27" hidden="1" ht="18.75" customHeight="1">
      <c r="A27" s="12" t="n"/>
      <c r="B27" s="12" t="n"/>
      <c r="C27" s="12" t="n"/>
      <c r="D27" s="12" t="inlineStr">
        <is>
          <t>NRD_287_URH_KIRAMBO</t>
        </is>
      </c>
      <c r="E27" s="12">
        <f>IFERROR(MID(D27, SEARCH("CTR_", D27), 7), IFERROR(MID(D27, SEARCH("SUO_", D27), 7), IFERROR(MID(D27, SEARCH("SUD_", D27), 7), IFERROR(MID(D27, SEARCH("NRO_", D27), 7), IFERROR(MID(D27, SEARCH("ADM_", D27), 7), IFERROR(MID(D27, SEARCH("NRD_", D27), 7), IFERROR(MID(D27, SEARCH("EXN_", D27), 7), IFERROR(MID(D27, SEARCH("LIT_", D27), 7), IFERROR(MID(D27, SEARCH("EST_", D27), 7), MID(D27, SEARCH("OST_",D27), 7))))))))))</f>
        <v/>
      </c>
      <c r="F27" s="12" t="inlineStr">
        <is>
          <t>(04/29/2026 incident ): impacted by   NRD_009_H_Garoua-Lainde , RCA: Power issue / En attente RCA IHS</t>
        </is>
      </c>
    </row>
    <row r="28" hidden="1" ht="18.75" customHeight="1">
      <c r="A28" s="12" t="n"/>
      <c r="B28" s="12" t="n"/>
      <c r="C28" s="12" t="n"/>
      <c r="D28" s="12" t="inlineStr">
        <is>
          <t>NRD_212_URH_LOUMBOU</t>
        </is>
      </c>
      <c r="E28" s="12">
        <f>IFERROR(MID(D28, SEARCH("CTR_", D28), 7), IFERROR(MID(D28, SEARCH("SUO_", D28), 7), IFERROR(MID(D28, SEARCH("SUD_", D28), 7), IFERROR(MID(D28, SEARCH("NRO_", D28), 7), IFERROR(MID(D28, SEARCH("ADM_", D28), 7), IFERROR(MID(D28, SEARCH("NRD_", D28), 7), IFERROR(MID(D28, SEARCH("EXN_", D28), 7), IFERROR(MID(D28, SEARCH("LIT_", D28), 7), IFERROR(MID(D28, SEARCH("EST_", D28), 7), MID(D28, SEARCH("OST_",D28), 7))))))))))</f>
        <v/>
      </c>
      <c r="F28" s="12" t="inlineStr">
        <is>
          <t>(04/29/2026 incident ): impacted by   NRD_009_H_Garoua-Lainde , RCA: Power issue / En attente RCA IHS</t>
        </is>
      </c>
    </row>
    <row r="29" hidden="1" ht="18.75" customHeight="1">
      <c r="A29" s="12" t="n"/>
      <c r="B29" s="12" t="n"/>
      <c r="C29" s="12" t="n"/>
      <c r="D29" s="12" t="inlineStr">
        <is>
          <t>NRD_304_URH_DJALINGO_TCHOMPA</t>
        </is>
      </c>
      <c r="E29" s="12">
        <f>IFERROR(MID(D29, SEARCH("CTR_", D29), 7), IFERROR(MID(D29, SEARCH("SUO_", D29), 7), IFERROR(MID(D29, SEARCH("SUD_", D29), 7), IFERROR(MID(D29, SEARCH("NRO_", D29), 7), IFERROR(MID(D29, SEARCH("ADM_", D29), 7), IFERROR(MID(D29, SEARCH("NRD_", D29), 7), IFERROR(MID(D29, SEARCH("EXN_", D29), 7), IFERROR(MID(D29, SEARCH("LIT_", D29), 7), IFERROR(MID(D29, SEARCH("EST_", D29), 7), MID(D29, SEARCH("OST_",D29), 7))))))))))</f>
        <v/>
      </c>
      <c r="F29" s="12" t="inlineStr">
        <is>
          <t>(04/29/2026 incident ): impacted by   NRD_009_H_Garoua-Lainde , RCA: Power issue / En attente RCA IHS</t>
        </is>
      </c>
    </row>
    <row r="30" hidden="1" ht="18.75" customHeight="1">
      <c r="A30" s="12" t="n"/>
      <c r="B30" s="12" t="inlineStr">
        <is>
          <t>SUO_066_H_Berunda-MTN</t>
        </is>
      </c>
      <c r="C30" s="12" t="inlineStr">
        <is>
          <t>INC-20260429-00015018 | 2604E01572</t>
        </is>
      </c>
      <c r="D30" s="12" t="inlineStr">
        <is>
          <t>SUO_170_H_Buea-Low-Boduma-MTN</t>
        </is>
      </c>
      <c r="E30" s="12">
        <f>IFERROR(MID(D30, SEARCH("CTR_", D30), 7), IFERROR(MID(D30, SEARCH("SUO_", D30), 7), IFERROR(MID(D30, SEARCH("SUD_", D30), 7), IFERROR(MID(D30, SEARCH("NRO_", D30), 7), IFERROR(MID(D30, SEARCH("ADM_", D30), 7), IFERROR(MID(D30, SEARCH("NRD_", D30), 7), IFERROR(MID(D30, SEARCH("EXN_", D30), 7), IFERROR(MID(D30, SEARCH("LIT_", D30), 7), IFERROR(MID(D30, SEARCH("EST_", D30), 7), MID(D30, SEARCH("OST_",D30), 7))))))))))</f>
        <v/>
      </c>
      <c r="F30" s="12" t="inlineStr">
        <is>
          <t>(04/29/2026 incident ): impacted by SUO_066_H_Berunda-MTN ,  RCA: Lien Optim Radio Berunda-MTN_Buea - Signal-Hill DOWN / Reroutage du trafic sur le FH</t>
        </is>
      </c>
    </row>
    <row r="31" hidden="1" ht="18.75" customHeight="1">
      <c r="A31" s="12" t="n"/>
      <c r="B31" s="12" t="n"/>
      <c r="C31" s="12" t="n"/>
      <c r="D31" s="12" t="inlineStr">
        <is>
          <t>SUO_221_H_BOVA-II-IHS</t>
        </is>
      </c>
      <c r="E31" s="12">
        <f>IFERROR(MID(D31, SEARCH("CTR_", D31), 7), IFERROR(MID(D31, SEARCH("SUO_", D31), 7), IFERROR(MID(D31, SEARCH("SUD_", D31), 7), IFERROR(MID(D31, SEARCH("NRO_", D31), 7), IFERROR(MID(D31, SEARCH("ADM_", D31), 7), IFERROR(MID(D31, SEARCH("NRD_", D31), 7), IFERROR(MID(D31, SEARCH("EXN_", D31), 7), IFERROR(MID(D31, SEARCH("LIT_", D31), 7), IFERROR(MID(D31, SEARCH("EST_", D31), 7), MID(D31, SEARCH("OST_",D31), 7))))))))))</f>
        <v/>
      </c>
      <c r="F31" s="12" t="inlineStr">
        <is>
          <t>(04/29/2026 incident ): impacted by SUO_066_H_Berunda-MTN ,  RCA: Lien Optim Radio Berunda-MTN_Buea - Signal-Hill DOWN / Reroutage du trafic sur le FH</t>
        </is>
      </c>
    </row>
    <row r="32" hidden="1" ht="18.75" customHeight="1">
      <c r="A32" s="12" t="n"/>
      <c r="B32" s="12" t="n"/>
      <c r="C32" s="12" t="n"/>
      <c r="D32" s="12" t="inlineStr">
        <is>
          <t>SUO_066_H_Berunda-MTN</t>
        </is>
      </c>
      <c r="E32" s="12">
        <f>IFERROR(MID(D32, SEARCH("CTR_", D32), 7), IFERROR(MID(D32, SEARCH("SUO_", D32), 7), IFERROR(MID(D32, SEARCH("SUD_", D32), 7), IFERROR(MID(D32, SEARCH("NRO_", D32), 7), IFERROR(MID(D32, SEARCH("ADM_", D32), 7), IFERROR(MID(D32, SEARCH("NRD_", D32), 7), IFERROR(MID(D32, SEARCH("EXN_", D32), 7), IFERROR(MID(D32, SEARCH("LIT_", D32), 7), IFERROR(MID(D32, SEARCH("EST_", D32), 7), MID(D32, SEARCH("OST_",D32), 7))))))))))</f>
        <v/>
      </c>
      <c r="F32" s="12" t="inlineStr">
        <is>
          <t>(04/29/2026 incident ): impacted by SUO_066_H_Berunda-MTN ,  RCA: Lien Optim Radio Berunda-MTN_Buea - Signal-Hill DOWN / Reroutage du trafic sur le FH</t>
        </is>
      </c>
    </row>
    <row r="33" hidden="1" ht="18.75" customHeight="1">
      <c r="A33" s="12" t="n"/>
      <c r="B33" s="12" t="n"/>
      <c r="C33" s="12" t="n"/>
      <c r="D33" s="12" t="inlineStr">
        <is>
          <t>SUO_186_H_Buea-Boduma-IHS</t>
        </is>
      </c>
      <c r="E33" s="12">
        <f>IFERROR(MID(D33, SEARCH("CTR_", D33), 7), IFERROR(MID(D33, SEARCH("SUO_", D33), 7), IFERROR(MID(D33, SEARCH("SUD_", D33), 7), IFERROR(MID(D33, SEARCH("NRO_", D33), 7), IFERROR(MID(D33, SEARCH("ADM_", D33), 7), IFERROR(MID(D33, SEARCH("NRD_", D33), 7), IFERROR(MID(D33, SEARCH("EXN_", D33), 7), IFERROR(MID(D33, SEARCH("LIT_", D33), 7), IFERROR(MID(D33, SEARCH("EST_", D33), 7), MID(D33, SEARCH("OST_",D33), 7))))))))))</f>
        <v/>
      </c>
      <c r="F33" s="12" t="inlineStr">
        <is>
          <t>(04/29/2026 incident ): impacted by SUO_066_H_Berunda-MTN ,  RCA: Lien Optim Radio Berunda-MTN_Buea - Signal-Hill DOWN / Reroutage du trafic sur le FH</t>
        </is>
      </c>
    </row>
    <row r="34" hidden="1" ht="18.75" customHeight="1">
      <c r="A34" s="12" t="n"/>
      <c r="B34" s="12" t="n"/>
      <c r="C34" s="12" t="n"/>
      <c r="D34" s="12" t="inlineStr">
        <is>
          <t>SUO_197_H_Bokwai-IHS</t>
        </is>
      </c>
      <c r="E34" s="12">
        <f>IFERROR(MID(D34, SEARCH("CTR_", D34), 7), IFERROR(MID(D34, SEARCH("SUO_", D34), 7), IFERROR(MID(D34, SEARCH("SUD_", D34), 7), IFERROR(MID(D34, SEARCH("NRO_", D34), 7), IFERROR(MID(D34, SEARCH("ADM_", D34), 7), IFERROR(MID(D34, SEARCH("NRD_", D34), 7), IFERROR(MID(D34, SEARCH("EXN_", D34), 7), IFERROR(MID(D34, SEARCH("LIT_", D34), 7), IFERROR(MID(D34, SEARCH("EST_", D34), 7), MID(D34, SEARCH("OST_",D34), 7))))))))))</f>
        <v/>
      </c>
      <c r="F34" s="12" t="inlineStr">
        <is>
          <t>(04/29/2026 incident ): impacted by SUO_066_H_Berunda-MTN ,  RCA: Lien Optim Radio Berunda-MTN_Buea - Signal-Hill DOWN / Reroutage du trafic sur le FH</t>
        </is>
      </c>
    </row>
    <row r="35" hidden="1" ht="18.75" customHeight="1">
      <c r="A35" s="12" t="n"/>
      <c r="B35" s="12" t="inlineStr">
        <is>
          <t>Magba_G_OST_023</t>
        </is>
      </c>
      <c r="C35" s="12" t="inlineStr">
        <is>
          <t>INC-20260429-00012654 / 2604D97910</t>
        </is>
      </c>
      <c r="D35" s="12" t="inlineStr">
        <is>
          <t>OST_093_N_Mayo-Djinga-FH_G</t>
        </is>
      </c>
      <c r="E35" s="12">
        <f>IFERROR(MID(D35, SEARCH("CTR_", D35), 7), IFERROR(MID(D35, SEARCH("SUO_", D35), 7), IFERROR(MID(D35, SEARCH("SUD_", D35), 7), IFERROR(MID(D35, SEARCH("NRO_", D35), 7), IFERROR(MID(D35, SEARCH("ADM_", D35), 7), IFERROR(MID(D35, SEARCH("NRD_", D35), 7), IFERROR(MID(D35, SEARCH("EXN_", D35), 7), IFERROR(MID(D35, SEARCH("LIT_", D35), 7), IFERROR(MID(D35, SEARCH("EST_", D35), 7), MID(D35, SEARCH("OST_",D35), 7))))))))))</f>
        <v/>
      </c>
      <c r="F35" s="12" t="inlineStr">
        <is>
          <t>(04/29/2026 incident ): impacted by    Magba_G_OST_023 , RCA: Power issue / En attente RCA CAMUSAT</t>
        </is>
      </c>
    </row>
    <row r="36" hidden="1" ht="18.75" customHeight="1">
      <c r="A36" s="12" t="n"/>
      <c r="B36" s="12" t="n"/>
      <c r="C36" s="12" t="n"/>
      <c r="D36" s="12" t="inlineStr">
        <is>
          <t>OST_200_N_Mantoum-Village_G</t>
        </is>
      </c>
      <c r="E36" s="12">
        <f>IFERROR(MID(D36, SEARCH("CTR_", D36), 7), IFERROR(MID(D36, SEARCH("SUO_", D36), 7), IFERROR(MID(D36, SEARCH("SUD_", D36), 7), IFERROR(MID(D36, SEARCH("NRO_", D36), 7), IFERROR(MID(D36, SEARCH("ADM_", D36), 7), IFERROR(MID(D36, SEARCH("NRD_", D36), 7), IFERROR(MID(D36, SEARCH("EXN_", D36), 7), IFERROR(MID(D36, SEARCH("LIT_", D36), 7), IFERROR(MID(D36, SEARCH("EST_", D36), 7), MID(D36, SEARCH("OST_",D36), 7))))))))))</f>
        <v/>
      </c>
      <c r="F36" s="12" t="inlineStr">
        <is>
          <t>(04/29/2026 incident ): impacted by    Magba_G_OST_023 , RCA: Power issue / En attente RCA CAMUSAT</t>
        </is>
      </c>
    </row>
    <row r="37" hidden="1" ht="18.75" customHeight="1">
      <c r="A37" s="12" t="n"/>
      <c r="B37" s="12" t="n"/>
      <c r="C37" s="12" t="n"/>
      <c r="D37" s="12" t="inlineStr">
        <is>
          <t>OST_115_N_Pangari-MTN</t>
        </is>
      </c>
      <c r="E37" s="12">
        <f>IFERROR(MID(D37, SEARCH("CTR_", D37), 7), IFERROR(MID(D37, SEARCH("SUO_", D37), 7), IFERROR(MID(D37, SEARCH("SUD_", D37), 7), IFERROR(MID(D37, SEARCH("NRO_", D37), 7), IFERROR(MID(D37, SEARCH("ADM_", D37), 7), IFERROR(MID(D37, SEARCH("NRD_", D37), 7), IFERROR(MID(D37, SEARCH("EXN_", D37), 7), IFERROR(MID(D37, SEARCH("LIT_", D37), 7), IFERROR(MID(D37, SEARCH("EST_", D37), 7), MID(D37, SEARCH("OST_",D37), 7))))))))))</f>
        <v/>
      </c>
      <c r="F37" s="12" t="inlineStr">
        <is>
          <t>(04/29/2026 incident ): impacted by    Magba_G_OST_023 , RCA: Power issue / En attente RCA CAMUSAT</t>
        </is>
      </c>
    </row>
    <row r="38" hidden="1" ht="18.75" customHeight="1">
      <c r="A38" s="12" t="n"/>
      <c r="B38" s="12" t="n"/>
      <c r="C38" s="12" t="n"/>
      <c r="D38" s="12" t="inlineStr">
        <is>
          <t>OST_905_URH_MARAPNDOUM</t>
        </is>
      </c>
      <c r="E38" s="12">
        <f>IFERROR(MID(D38, SEARCH("CTR_", D38), 7), IFERROR(MID(D38, SEARCH("SUO_", D38), 7), IFERROR(MID(D38, SEARCH("SUD_", D38), 7), IFERROR(MID(D38, SEARCH("NRO_", D38), 7), IFERROR(MID(D38, SEARCH("ADM_", D38), 7), IFERROR(MID(D38, SEARCH("NRD_", D38), 7), IFERROR(MID(D38, SEARCH("EXN_", D38), 7), IFERROR(MID(D38, SEARCH("LIT_", D38), 7), IFERROR(MID(D38, SEARCH("EST_", D38), 7), MID(D38, SEARCH("OST_",D38), 7))))))))))</f>
        <v/>
      </c>
      <c r="F38" s="12" t="inlineStr">
        <is>
          <t>(04/29/2026 incident ): impacted by    Magba_G_OST_023 , RCA: Power issue / En attente RCA CAMUSAT</t>
        </is>
      </c>
    </row>
    <row r="39" hidden="1" ht="18.75" customHeight="1">
      <c r="A39" s="12" t="n"/>
      <c r="B39" s="12" t="n"/>
      <c r="C39" s="12" t="n"/>
      <c r="D39" s="12" t="inlineStr">
        <is>
          <t>OST_907_URH_MANJE_KOUTOU</t>
        </is>
      </c>
      <c r="E39" s="12">
        <f>IFERROR(MID(D39, SEARCH("CTR_", D39), 7), IFERROR(MID(D39, SEARCH("SUO_", D39), 7), IFERROR(MID(D39, SEARCH("SUD_", D39), 7), IFERROR(MID(D39, SEARCH("NRO_", D39), 7), IFERROR(MID(D39, SEARCH("ADM_", D39), 7), IFERROR(MID(D39, SEARCH("NRD_", D39), 7), IFERROR(MID(D39, SEARCH("EXN_", D39), 7), IFERROR(MID(D39, SEARCH("LIT_", D39), 7), IFERROR(MID(D39, SEARCH("EST_", D39), 7), MID(D39, SEARCH("OST_",D39), 7))))))))))</f>
        <v/>
      </c>
      <c r="F39" s="12" t="inlineStr">
        <is>
          <t>(04/29/2026 incident ): impacted by    Magba_G_OST_023 , RCA: Power issue / En attente RCA CAMUSAT</t>
        </is>
      </c>
    </row>
    <row r="40" hidden="1" ht="18.75" customHeight="1">
      <c r="A40" s="12" t="n"/>
      <c r="B40" s="12" t="n"/>
      <c r="C40" s="12" t="n"/>
      <c r="D40" s="12" t="inlineStr">
        <is>
          <t>OST_386_URH_MATYAPOU</t>
        </is>
      </c>
      <c r="E40" s="12">
        <f>IFERROR(MID(D40, SEARCH("CTR_", D40), 7), IFERROR(MID(D40, SEARCH("SUO_", D40), 7), IFERROR(MID(D40, SEARCH("SUD_", D40), 7), IFERROR(MID(D40, SEARCH("NRO_", D40), 7), IFERROR(MID(D40, SEARCH("ADM_", D40), 7), IFERROR(MID(D40, SEARCH("NRD_", D40), 7), IFERROR(MID(D40, SEARCH("EXN_", D40), 7), IFERROR(MID(D40, SEARCH("LIT_", D40), 7), IFERROR(MID(D40, SEARCH("EST_", D40), 7), MID(D40, SEARCH("OST_",D40), 7))))))))))</f>
        <v/>
      </c>
      <c r="F40" s="12" t="inlineStr">
        <is>
          <t>(04/29/2026 incident ): impacted by    Magba_G_OST_023 , RCA: Power issue / En attente RCA CAMUSAT</t>
        </is>
      </c>
    </row>
    <row r="41" hidden="1" ht="18.75" customHeight="1">
      <c r="A41" s="12" t="n"/>
      <c r="B41" s="12" t="n"/>
      <c r="C41" s="12" t="n"/>
      <c r="D41" s="12" t="inlineStr">
        <is>
          <t>OST_390_URH_NJINGA_NDOUTAIN</t>
        </is>
      </c>
      <c r="E41" s="12">
        <f>IFERROR(MID(D41, SEARCH("CTR_", D41), 7), IFERROR(MID(D41, SEARCH("SUO_", D41), 7), IFERROR(MID(D41, SEARCH("SUD_", D41), 7), IFERROR(MID(D41, SEARCH("NRO_", D41), 7), IFERROR(MID(D41, SEARCH("ADM_", D41), 7), IFERROR(MID(D41, SEARCH("NRD_", D41), 7), IFERROR(MID(D41, SEARCH("EXN_", D41), 7), IFERROR(MID(D41, SEARCH("LIT_", D41), 7), IFERROR(MID(D41, SEARCH("EST_", D41), 7), MID(D41, SEARCH("OST_",D41), 7))))))))))</f>
        <v/>
      </c>
      <c r="F41" s="12" t="inlineStr">
        <is>
          <t>(04/29/2026 incident ): impacted by    Magba_G_OST_023 , RCA: Power issue / En attente RCA CAMUSAT</t>
        </is>
      </c>
    </row>
    <row r="42" hidden="1" ht="18.75" customHeight="1">
      <c r="A42" s="12" t="n"/>
      <c r="B42" s="12" t="n"/>
      <c r="C42" s="12" t="n"/>
      <c r="D42" s="12" t="inlineStr">
        <is>
          <t>OST_337_URH_MAPOU</t>
        </is>
      </c>
      <c r="E42" s="12">
        <f>IFERROR(MID(D42, SEARCH("CTR_", D42), 7), IFERROR(MID(D42, SEARCH("SUO_", D42), 7), IFERROR(MID(D42, SEARCH("SUD_", D42), 7), IFERROR(MID(D42, SEARCH("NRO_", D42), 7), IFERROR(MID(D42, SEARCH("ADM_", D42), 7), IFERROR(MID(D42, SEARCH("NRD_", D42), 7), IFERROR(MID(D42, SEARCH("EXN_", D42), 7), IFERROR(MID(D42, SEARCH("LIT_", D42), 7), IFERROR(MID(D42, SEARCH("EST_", D42), 7), MID(D42, SEARCH("OST_",D42), 7))))))))))</f>
        <v/>
      </c>
      <c r="F42" s="12" t="inlineStr">
        <is>
          <t>(04/29/2026 incident ): impacted by    Magba_G_OST_023 , RCA: Power issue / En attente RCA CAMUSAT</t>
        </is>
      </c>
    </row>
    <row r="43" hidden="1" ht="18.75" customHeight="1">
      <c r="A43" s="12" t="n"/>
      <c r="B43" s="12" t="n"/>
      <c r="C43" s="12" t="n"/>
      <c r="D43" s="12" t="inlineStr">
        <is>
          <t>OST_382_URH_MAGHAM</t>
        </is>
      </c>
      <c r="E43" s="12">
        <f>IFERROR(MID(D43, SEARCH("CTR_", D43), 7), IFERROR(MID(D43, SEARCH("SUO_", D43), 7), IFERROR(MID(D43, SEARCH("SUD_", D43), 7), IFERROR(MID(D43, SEARCH("NRO_", D43), 7), IFERROR(MID(D43, SEARCH("ADM_", D43), 7), IFERROR(MID(D43, SEARCH("NRD_", D43), 7), IFERROR(MID(D43, SEARCH("EXN_", D43), 7), IFERROR(MID(D43, SEARCH("LIT_", D43), 7), IFERROR(MID(D43, SEARCH("EST_", D43), 7), MID(D43, SEARCH("OST_",D43), 7))))))))))</f>
        <v/>
      </c>
      <c r="F43" s="12" t="inlineStr">
        <is>
          <t>(04/29/2026 incident ): impacted by    Magba_G_OST_023 , RCA: Power issue / En attente RCA CAMUSAT</t>
        </is>
      </c>
    </row>
    <row r="44" hidden="1" ht="18.75" customHeight="1">
      <c r="A44" s="12" t="n"/>
      <c r="B44" s="12" t="n"/>
      <c r="C44" s="12" t="n"/>
      <c r="D44" s="12" t="inlineStr">
        <is>
          <t>OST_389_URH_MATOUPOU</t>
        </is>
      </c>
      <c r="E44" s="12">
        <f>IFERROR(MID(D44, SEARCH("CTR_", D44), 7), IFERROR(MID(D44, SEARCH("SUO_", D44), 7), IFERROR(MID(D44, SEARCH("SUD_", D44), 7), IFERROR(MID(D44, SEARCH("NRO_", D44), 7), IFERROR(MID(D44, SEARCH("ADM_", D44), 7), IFERROR(MID(D44, SEARCH("NRD_", D44), 7), IFERROR(MID(D44, SEARCH("EXN_", D44), 7), IFERROR(MID(D44, SEARCH("LIT_", D44), 7), IFERROR(MID(D44, SEARCH("EST_", D44), 7), MID(D44, SEARCH("OST_",D44), 7))))))))))</f>
        <v/>
      </c>
      <c r="F44" s="12" t="inlineStr">
        <is>
          <t>(04/29/2026 incident ): impacted by    Magba_G_OST_023 , RCA: Power issue / En attente RCA CAMUSAT</t>
        </is>
      </c>
    </row>
    <row r="45" hidden="1" ht="18.75" customHeight="1">
      <c r="A45" s="12" t="n"/>
      <c r="B45" s="12" t="n"/>
      <c r="C45" s="12" t="n"/>
      <c r="D45" s="12" t="inlineStr">
        <is>
          <t>OST_391_URH_MATABA_PONDIMOUN</t>
        </is>
      </c>
      <c r="E45" s="12">
        <f>IFERROR(MID(D45, SEARCH("CTR_", D45), 7), IFERROR(MID(D45, SEARCH("SUO_", D45), 7), IFERROR(MID(D45, SEARCH("SUD_", D45), 7), IFERROR(MID(D45, SEARCH("NRO_", D45), 7), IFERROR(MID(D45, SEARCH("ADM_", D45), 7), IFERROR(MID(D45, SEARCH("NRD_", D45), 7), IFERROR(MID(D45, SEARCH("EXN_", D45), 7), IFERROR(MID(D45, SEARCH("LIT_", D45), 7), IFERROR(MID(D45, SEARCH("EST_", D45), 7), MID(D45, SEARCH("OST_",D45), 7))))))))))</f>
        <v/>
      </c>
      <c r="F45" s="12" t="inlineStr">
        <is>
          <t>(04/29/2026 incident ): impacted by    Magba_G_OST_023 , RCA: Power issue / En attente RCA CAMUSAT</t>
        </is>
      </c>
    </row>
    <row r="46" hidden="1" ht="18.75" customHeight="1">
      <c r="A46" s="12" t="n"/>
      <c r="B46" s="12" t="n"/>
      <c r="C46" s="12" t="n"/>
      <c r="D46" s="12" t="inlineStr">
        <is>
          <t>ADM_191_URH_KOL</t>
        </is>
      </c>
      <c r="E46" s="12">
        <f>IFERROR(MID(D46, SEARCH("CTR_", D46), 7), IFERROR(MID(D46, SEARCH("SUO_", D46), 7), IFERROR(MID(D46, SEARCH("SUD_", D46), 7), IFERROR(MID(D46, SEARCH("NRO_", D46), 7), IFERROR(MID(D46, SEARCH("ADM_", D46), 7), IFERROR(MID(D46, SEARCH("NRD_", D46), 7), IFERROR(MID(D46, SEARCH("EXN_", D46), 7), IFERROR(MID(D46, SEARCH("LIT_", D46), 7), IFERROR(MID(D46, SEARCH("EST_", D46), 7), MID(D46, SEARCH("OST_",D46), 7))))))))))</f>
        <v/>
      </c>
      <c r="F46" s="12" t="inlineStr">
        <is>
          <t>(04/29/2026 incident ): impacted by    Magba_G_OST_023 , RCA: Power issue / En attente RCA CAMUSAT</t>
        </is>
      </c>
    </row>
    <row r="47" hidden="1" ht="18.75" customHeight="1">
      <c r="A47" s="12" t="n"/>
      <c r="B47" s="12" t="n"/>
      <c r="C47" s="12" t="n"/>
      <c r="D47" s="12" t="inlineStr">
        <is>
          <t>ADM_248_URH_MAYO-DARLE</t>
        </is>
      </c>
      <c r="E47" s="12">
        <f>IFERROR(MID(D47, SEARCH("CTR_", D47), 7), IFERROR(MID(D47, SEARCH("SUO_", D47), 7), IFERROR(MID(D47, SEARCH("SUD_", D47), 7), IFERROR(MID(D47, SEARCH("NRO_", D47), 7), IFERROR(MID(D47, SEARCH("ADM_", D47), 7), IFERROR(MID(D47, SEARCH("NRD_", D47), 7), IFERROR(MID(D47, SEARCH("EXN_", D47), 7), IFERROR(MID(D47, SEARCH("LIT_", D47), 7), IFERROR(MID(D47, SEARCH("EST_", D47), 7), MID(D47, SEARCH("OST_",D47), 7))))))))))</f>
        <v/>
      </c>
      <c r="F47" s="12" t="inlineStr">
        <is>
          <t>(04/29/2026 incident ): impacted by    Magba_G_OST_023 , RCA: Power issue / En attente RCA CAMUSAT</t>
        </is>
      </c>
    </row>
    <row r="48" hidden="1" ht="18.75" customHeight="1">
      <c r="A48" s="12" t="n"/>
      <c r="B48" s="12" t="n"/>
      <c r="C48" s="12" t="n"/>
      <c r="D48" s="12" t="inlineStr">
        <is>
          <t>OST_383_URH_MATACHOUOM</t>
        </is>
      </c>
      <c r="E48" s="12">
        <f>IFERROR(MID(D48, SEARCH("CTR_", D48), 7), IFERROR(MID(D48, SEARCH("SUO_", D48), 7), IFERROR(MID(D48, SEARCH("SUD_", D48), 7), IFERROR(MID(D48, SEARCH("NRO_", D48), 7), IFERROR(MID(D48, SEARCH("ADM_", D48), 7), IFERROR(MID(D48, SEARCH("NRD_", D48), 7), IFERROR(MID(D48, SEARCH("EXN_", D48), 7), IFERROR(MID(D48, SEARCH("LIT_", D48), 7), IFERROR(MID(D48, SEARCH("EST_", D48), 7), MID(D48, SEARCH("OST_",D48), 7))))))))))</f>
        <v/>
      </c>
      <c r="F48" s="12" t="inlineStr">
        <is>
          <t>(04/29/2026 incident ): impacted by    Magba_G_OST_023 , RCA: Power issue / En attente RCA CAMUSAT</t>
        </is>
      </c>
    </row>
    <row r="49" hidden="1" ht="18.75" customHeight="1">
      <c r="A49" s="12" t="n"/>
      <c r="B49" s="12" t="n"/>
      <c r="C49" s="12" t="n"/>
      <c r="D49" s="12" t="inlineStr">
        <is>
          <t>ADM_259_URH_BANKIM</t>
        </is>
      </c>
      <c r="E49" s="12">
        <f>IFERROR(MID(D49, SEARCH("CTR_", D49), 7), IFERROR(MID(D49, SEARCH("SUO_", D49), 7), IFERROR(MID(D49, SEARCH("SUD_", D49), 7), IFERROR(MID(D49, SEARCH("NRO_", D49), 7), IFERROR(MID(D49, SEARCH("ADM_", D49), 7), IFERROR(MID(D49, SEARCH("NRD_", D49), 7), IFERROR(MID(D49, SEARCH("EXN_", D49), 7), IFERROR(MID(D49, SEARCH("LIT_", D49), 7), IFERROR(MID(D49, SEARCH("EST_", D49), 7), MID(D49, SEARCH("OST_",D49), 7))))))))))</f>
        <v/>
      </c>
      <c r="F49" s="12" t="inlineStr">
        <is>
          <t>(04/29/2026 incident ): impacted by    Magba_G_OST_023 , RCA: Power issue / En attente RCA CAMUSAT</t>
        </is>
      </c>
    </row>
    <row r="50" hidden="1" ht="18.75" customHeight="1">
      <c r="A50" s="12" t="n"/>
      <c r="B50" s="12" t="n"/>
      <c r="C50" s="12" t="n"/>
      <c r="D50" s="12" t="inlineStr">
        <is>
          <t>OST_905_URH_MARAPNDOUM</t>
        </is>
      </c>
      <c r="E50" s="12">
        <f>IFERROR(MID(D50, SEARCH("CTR_", D50), 7), IFERROR(MID(D50, SEARCH("SUO_", D50), 7), IFERROR(MID(D50, SEARCH("SUD_", D50), 7), IFERROR(MID(D50, SEARCH("NRO_", D50), 7), IFERROR(MID(D50, SEARCH("ADM_", D50), 7), IFERROR(MID(D50, SEARCH("NRD_", D50), 7), IFERROR(MID(D50, SEARCH("EXN_", D50), 7), IFERROR(MID(D50, SEARCH("LIT_", D50), 7), IFERROR(MID(D50, SEARCH("EST_", D50), 7), MID(D50, SEARCH("OST_",D50), 7))))))))))</f>
        <v/>
      </c>
      <c r="F50" s="12" t="inlineStr">
        <is>
          <t>(04/29/2026 incident ): impacted by    Magba_G_OST_023 , RCA: Power issue / En attente RCA CAMUSAT</t>
        </is>
      </c>
    </row>
    <row r="51" hidden="1" ht="18.75" customHeight="1">
      <c r="A51" s="12" t="n"/>
      <c r="B51" s="12" t="n"/>
      <c r="C51" s="12" t="n"/>
      <c r="D51" s="12" t="inlineStr">
        <is>
          <t>OST_405_URH_MACHOU</t>
        </is>
      </c>
      <c r="E51" s="12">
        <f>IFERROR(MID(D51, SEARCH("CTR_", D51), 7), IFERROR(MID(D51, SEARCH("SUO_", D51), 7), IFERROR(MID(D51, SEARCH("SUD_", D51), 7), IFERROR(MID(D51, SEARCH("NRO_", D51), 7), IFERROR(MID(D51, SEARCH("ADM_", D51), 7), IFERROR(MID(D51, SEARCH("NRD_", D51), 7), IFERROR(MID(D51, SEARCH("EXN_", D51), 7), IFERROR(MID(D51, SEARCH("LIT_", D51), 7), IFERROR(MID(D51, SEARCH("EST_", D51), 7), MID(D51, SEARCH("OST_",D51), 7))))))))))</f>
        <v/>
      </c>
      <c r="F51" s="12" t="inlineStr">
        <is>
          <t>(04/29/2026 incident ): impacted by    Magba_G_OST_023 , RCA: Power issue / En attente RCA CAMUSAT</t>
        </is>
      </c>
    </row>
    <row r="52" hidden="1" ht="18.75" customHeight="1">
      <c r="A52" s="12" t="n"/>
      <c r="B52" s="12" t="n"/>
      <c r="C52" s="12" t="n"/>
      <c r="D52" s="12" t="inlineStr">
        <is>
          <t>OST_376_URH_MAMBICHAM</t>
        </is>
      </c>
      <c r="E52" s="12">
        <f>IFERROR(MID(D52, SEARCH("CTR_", D52), 7), IFERROR(MID(D52, SEARCH("SUO_", D52), 7), IFERROR(MID(D52, SEARCH("SUD_", D52), 7), IFERROR(MID(D52, SEARCH("NRO_", D52), 7), IFERROR(MID(D52, SEARCH("ADM_", D52), 7), IFERROR(MID(D52, SEARCH("NRD_", D52), 7), IFERROR(MID(D52, SEARCH("EXN_", D52), 7), IFERROR(MID(D52, SEARCH("LIT_", D52), 7), IFERROR(MID(D52, SEARCH("EST_", D52), 7), MID(D52, SEARCH("OST_",D52), 7))))))))))</f>
        <v/>
      </c>
      <c r="F52" s="12" t="inlineStr">
        <is>
          <t>(04/29/2026 incident ): impacted by    Magba_G_OST_023 , RCA: Power issue / En attente RCA CAMUSAT</t>
        </is>
      </c>
    </row>
    <row r="53" hidden="1" ht="18.75" customHeight="1">
      <c r="A53" s="12" t="n"/>
      <c r="B53" s="12" t="n"/>
      <c r="C53" s="12" t="n"/>
      <c r="D53" s="12" t="inlineStr">
        <is>
          <t>OST_372_URH_FORONGAIN</t>
        </is>
      </c>
      <c r="E53" s="12">
        <f>IFERROR(MID(D53, SEARCH("CTR_", D53), 7), IFERROR(MID(D53, SEARCH("SUO_", D53), 7), IFERROR(MID(D53, SEARCH("SUD_", D53), 7), IFERROR(MID(D53, SEARCH("NRO_", D53), 7), IFERROR(MID(D53, SEARCH("ADM_", D53), 7), IFERROR(MID(D53, SEARCH("NRD_", D53), 7), IFERROR(MID(D53, SEARCH("EXN_", D53), 7), IFERROR(MID(D53, SEARCH("LIT_", D53), 7), IFERROR(MID(D53, SEARCH("EST_", D53), 7), MID(D53, SEARCH("OST_",D53), 7))))))))))</f>
        <v/>
      </c>
      <c r="F53" s="12" t="inlineStr">
        <is>
          <t>(04/29/2026 incident ): impacted by    Magba_G_OST_023 , RCA: Power issue / En attente RCA CAMUSAT</t>
        </is>
      </c>
    </row>
    <row r="54" hidden="1" ht="18.75" customHeight="1">
      <c r="A54" s="12" t="n"/>
      <c r="B54" s="12" t="n"/>
      <c r="C54" s="12" t="n"/>
      <c r="D54" s="12" t="inlineStr">
        <is>
          <t>OST_908_URH_MAJEKOUTOU_MALANTOUEN</t>
        </is>
      </c>
      <c r="E54" s="12">
        <f>IFERROR(MID(D54, SEARCH("CTR_", D54), 7), IFERROR(MID(D54, SEARCH("SUO_", D54), 7), IFERROR(MID(D54, SEARCH("SUD_", D54), 7), IFERROR(MID(D54, SEARCH("NRO_", D54), 7), IFERROR(MID(D54, SEARCH("ADM_", D54), 7), IFERROR(MID(D54, SEARCH("NRD_", D54), 7), IFERROR(MID(D54, SEARCH("EXN_", D54), 7), IFERROR(MID(D54, SEARCH("LIT_", D54), 7), IFERROR(MID(D54, SEARCH("EST_", D54), 7), MID(D54, SEARCH("OST_",D54), 7))))))))))</f>
        <v/>
      </c>
      <c r="F54" s="12" t="inlineStr">
        <is>
          <t>(04/29/2026 incident ): impacted by    Magba_G_OST_023 , RCA: Power issue / En attente RCA CAMUSAT</t>
        </is>
      </c>
    </row>
    <row r="55" hidden="1" ht="18.75" customHeight="1">
      <c r="A55" s="12" t="n"/>
      <c r="B55" s="12" t="n"/>
      <c r="C55" s="12" t="n"/>
      <c r="D55" s="12" t="inlineStr">
        <is>
          <t>OST_378_URH_MAWA</t>
        </is>
      </c>
      <c r="E55" s="12">
        <f>IFERROR(MID(D55, SEARCH("CTR_", D55), 7), IFERROR(MID(D55, SEARCH("SUO_", D55), 7), IFERROR(MID(D55, SEARCH("SUD_", D55), 7), IFERROR(MID(D55, SEARCH("NRO_", D55), 7), IFERROR(MID(D55, SEARCH("ADM_", D55), 7), IFERROR(MID(D55, SEARCH("NRD_", D55), 7), IFERROR(MID(D55, SEARCH("EXN_", D55), 7), IFERROR(MID(D55, SEARCH("LIT_", D55), 7), IFERROR(MID(D55, SEARCH("EST_", D55), 7), MID(D55, SEARCH("OST_",D55), 7))))))))))</f>
        <v/>
      </c>
      <c r="F55" s="12" t="inlineStr">
        <is>
          <t>(04/29/2026 incident ): impacted by    Magba_G_OST_023 , RCA: Power issue / En attente RCA CAMUSAT</t>
        </is>
      </c>
    </row>
    <row r="56" hidden="1" ht="18.75" customHeight="1">
      <c r="A56" s="12" t="n"/>
      <c r="B56" s="12" t="n"/>
      <c r="C56" s="12" t="n"/>
      <c r="D56" s="12" t="inlineStr">
        <is>
          <t>OST_373_URH_MANOURE</t>
        </is>
      </c>
      <c r="E56" s="12">
        <f>IFERROR(MID(D56, SEARCH("CTR_", D56), 7), IFERROR(MID(D56, SEARCH("SUO_", D56), 7), IFERROR(MID(D56, SEARCH("SUD_", D56), 7), IFERROR(MID(D56, SEARCH("NRO_", D56), 7), IFERROR(MID(D56, SEARCH("ADM_", D56), 7), IFERROR(MID(D56, SEARCH("NRD_", D56), 7), IFERROR(MID(D56, SEARCH("EXN_", D56), 7), IFERROR(MID(D56, SEARCH("LIT_", D56), 7), IFERROR(MID(D56, SEARCH("EST_", D56), 7), MID(D56, SEARCH("OST_",D56), 7))))))))))</f>
        <v/>
      </c>
      <c r="F56" s="12" t="inlineStr">
        <is>
          <t>(04/29/2026 incident ): impacted by    Magba_G_OST_023 , RCA: Power issue / En attente RCA CAMUSAT</t>
        </is>
      </c>
    </row>
    <row r="57" hidden="1" ht="18.75" customHeight="1">
      <c r="A57" s="12" t="n"/>
      <c r="B57" s="12" t="n"/>
      <c r="C57" s="12" t="n"/>
      <c r="D57" s="12" t="inlineStr">
        <is>
          <t>OST_019_H_Bfsam-Tamdja</t>
        </is>
      </c>
      <c r="E57" s="12">
        <f>IFERROR(MID(D57, SEARCH("CTR_", D57), 7), IFERROR(MID(D57, SEARCH("SUO_", D57), 7), IFERROR(MID(D57, SEARCH("SUD_", D57), 7), IFERROR(MID(D57, SEARCH("NRO_", D57), 7), IFERROR(MID(D57, SEARCH("ADM_", D57), 7), IFERROR(MID(D57, SEARCH("NRD_", D57), 7), IFERROR(MID(D57, SEARCH("EXN_", D57), 7), IFERROR(MID(D57, SEARCH("LIT_", D57), 7), IFERROR(MID(D57, SEARCH("EST_", D57), 7), MID(D57, SEARCH("OST_",D57), 7))))))))))</f>
        <v/>
      </c>
      <c r="F57" s="12" t="inlineStr">
        <is>
          <t>(04/29/2026 incident ): impacted by    Magba_G_OST_023 , RCA: Power issue / En attente RCA CAMUSAT</t>
        </is>
      </c>
    </row>
    <row r="58" hidden="1" ht="18.75" customHeight="1">
      <c r="A58" s="12" t="n"/>
      <c r="B58" s="12" t="n"/>
      <c r="C58" s="12" t="n"/>
      <c r="D58" s="12" t="inlineStr">
        <is>
          <t>OST_252_H_Koundoum</t>
        </is>
      </c>
      <c r="E58" s="12">
        <f>IFERROR(MID(D58, SEARCH("CTR_", D58), 7), IFERROR(MID(D58, SEARCH("SUO_", D58), 7), IFERROR(MID(D58, SEARCH("SUD_", D58), 7), IFERROR(MID(D58, SEARCH("NRO_", D58), 7), IFERROR(MID(D58, SEARCH("ADM_", D58), 7), IFERROR(MID(D58, SEARCH("NRD_", D58), 7), IFERROR(MID(D58, SEARCH("EXN_", D58), 7), IFERROR(MID(D58, SEARCH("LIT_", D58), 7), IFERROR(MID(D58, SEARCH("EST_", D58), 7), MID(D58, SEARCH("OST_",D58), 7))))))))))</f>
        <v/>
      </c>
      <c r="F58" s="12" t="inlineStr">
        <is>
          <t>(04/29/2026 incident ): impacted by    Magba_G_OST_023 , RCA: Power issue / En attente RCA CAMUSAT</t>
        </is>
      </c>
    </row>
    <row r="59" hidden="1" ht="18.75" customHeight="1">
      <c r="A59" s="12" t="n"/>
      <c r="B59" s="12" t="n"/>
      <c r="C59" s="12" t="n"/>
      <c r="D59" s="12" t="inlineStr">
        <is>
          <t>ADM_058_H_Ngd-Trouamala</t>
        </is>
      </c>
      <c r="E59" s="12">
        <f>IFERROR(MID(D59, SEARCH("CTR_", D59), 7), IFERROR(MID(D59, SEARCH("SUO_", D59), 7), IFERROR(MID(D59, SEARCH("SUD_", D59), 7), IFERROR(MID(D59, SEARCH("NRO_", D59), 7), IFERROR(MID(D59, SEARCH("ADM_", D59), 7), IFERROR(MID(D59, SEARCH("NRD_", D59), 7), IFERROR(MID(D59, SEARCH("EXN_", D59), 7), IFERROR(MID(D59, SEARCH("LIT_", D59), 7), IFERROR(MID(D59, SEARCH("EST_", D59), 7), MID(D59, SEARCH("OST_",D59), 7))))))))))</f>
        <v/>
      </c>
      <c r="F59" s="12" t="inlineStr">
        <is>
          <t>(04/29/2026 incident ): impacted by    Magba_G_OST_023 , RCA: Power issue / En attente RCA CAMUSAT</t>
        </is>
      </c>
    </row>
    <row r="60" hidden="1" ht="18.75" customHeight="1">
      <c r="A60" s="12" t="n"/>
      <c r="B60" s="12" t="n"/>
      <c r="C60" s="12" t="n"/>
      <c r="D60" s="12" t="inlineStr">
        <is>
          <t>ADM_004_H_Meiganga</t>
        </is>
      </c>
      <c r="E60" s="12">
        <f>IFERROR(MID(D60, SEARCH("CTR_", D60), 7), IFERROR(MID(D60, SEARCH("SUO_", D60), 7), IFERROR(MID(D60, SEARCH("SUD_", D60), 7), IFERROR(MID(D60, SEARCH("NRO_", D60), 7), IFERROR(MID(D60, SEARCH("ADM_", D60), 7), IFERROR(MID(D60, SEARCH("NRD_", D60), 7), IFERROR(MID(D60, SEARCH("EXN_", D60), 7), IFERROR(MID(D60, SEARCH("LIT_", D60), 7), IFERROR(MID(D60, SEARCH("EST_", D60), 7), MID(D60, SEARCH("OST_",D60), 7))))))))))</f>
        <v/>
      </c>
      <c r="F60" s="12" t="inlineStr">
        <is>
          <t>(04/29/2026 incident ): impacted by    Magba_G_OST_023 , RCA: Power issue / En attente RCA CAMUSAT</t>
        </is>
      </c>
    </row>
    <row r="61" hidden="1" ht="18.75" customHeight="1">
      <c r="A61" s="12" t="n"/>
      <c r="B61" s="12" t="n"/>
      <c r="C61" s="12" t="n"/>
      <c r="D61" s="12" t="inlineStr">
        <is>
          <t>ADM_012_H_Bankim</t>
        </is>
      </c>
      <c r="E61" s="12">
        <f>IFERROR(MID(D61, SEARCH("CTR_", D61), 7), IFERROR(MID(D61, SEARCH("SUO_", D61), 7), IFERROR(MID(D61, SEARCH("SUD_", D61), 7), IFERROR(MID(D61, SEARCH("NRO_", D61), 7), IFERROR(MID(D61, SEARCH("ADM_", D61), 7), IFERROR(MID(D61, SEARCH("NRD_", D61), 7), IFERROR(MID(D61, SEARCH("EXN_", D61), 7), IFERROR(MID(D61, SEARCH("LIT_", D61), 7), IFERROR(MID(D61, SEARCH("EST_", D61), 7), MID(D61, SEARCH("OST_",D61), 7))))))))))</f>
        <v/>
      </c>
      <c r="F61" s="12" t="inlineStr">
        <is>
          <t>(04/29/2026 incident ): impacted by    Magba_G_OST_023 , RCA: Power issue / En attente RCA CAMUSAT</t>
        </is>
      </c>
    </row>
    <row r="62" hidden="1" ht="18.75" customHeight="1">
      <c r="A62" s="12" t="n"/>
      <c r="B62" s="12" t="n"/>
      <c r="C62" s="12" t="n"/>
      <c r="D62" s="12" t="inlineStr">
        <is>
          <t>OST_023_H_Magba</t>
        </is>
      </c>
      <c r="E62" s="12">
        <f>IFERROR(MID(D62, SEARCH("CTR_", D62), 7), IFERROR(MID(D62, SEARCH("SUO_", D62), 7), IFERROR(MID(D62, SEARCH("SUD_", D62), 7), IFERROR(MID(D62, SEARCH("NRO_", D62), 7), IFERROR(MID(D62, SEARCH("ADM_", D62), 7), IFERROR(MID(D62, SEARCH("NRD_", D62), 7), IFERROR(MID(D62, SEARCH("EXN_", D62), 7), IFERROR(MID(D62, SEARCH("LIT_", D62), 7), IFERROR(MID(D62, SEARCH("EST_", D62), 7), MID(D62, SEARCH("OST_",D62), 7))))))))))</f>
        <v/>
      </c>
      <c r="F62" s="12" t="inlineStr">
        <is>
          <t>(04/29/2026 incident ): impacted by    Magba_G_OST_023 , RCA: Power issue / En attente RCA CAMUSAT</t>
        </is>
      </c>
    </row>
    <row r="63" hidden="1" ht="18.75" customHeight="1">
      <c r="A63" s="12" t="n"/>
      <c r="B63" s="12" t="n"/>
      <c r="C63" s="12" t="n"/>
      <c r="D63" s="12" t="inlineStr">
        <is>
          <t>ADM_001_H_Ngd-Chateau</t>
        </is>
      </c>
      <c r="E63" s="12">
        <f>IFERROR(MID(D63, SEARCH("CTR_", D63), 7), IFERROR(MID(D63, SEARCH("SUO_", D63), 7), IFERROR(MID(D63, SEARCH("SUD_", D63), 7), IFERROR(MID(D63, SEARCH("NRO_", D63), 7), IFERROR(MID(D63, SEARCH("ADM_", D63), 7), IFERROR(MID(D63, SEARCH("NRD_", D63), 7), IFERROR(MID(D63, SEARCH("EXN_", D63), 7), IFERROR(MID(D63, SEARCH("LIT_", D63), 7), IFERROR(MID(D63, SEARCH("EST_", D63), 7), MID(D63, SEARCH("OST_",D63), 7))))))))))</f>
        <v/>
      </c>
      <c r="F63" s="12" t="inlineStr">
        <is>
          <t>(04/29/2026 incident ): impacted by    Magba_G_OST_023 , RCA: Power issue / En attente RCA CAMUSAT</t>
        </is>
      </c>
    </row>
    <row r="64" hidden="1" ht="18.75" customHeight="1">
      <c r="A64" s="12" t="n"/>
      <c r="B64" s="12" t="n"/>
      <c r="C64" s="12" t="n"/>
      <c r="D64" s="12" t="inlineStr">
        <is>
          <t>OST_039_H_Malantouen</t>
        </is>
      </c>
      <c r="E64" s="12">
        <f>IFERROR(MID(D64, SEARCH("CTR_", D64), 7), IFERROR(MID(D64, SEARCH("SUO_", D64), 7), IFERROR(MID(D64, SEARCH("SUD_", D64), 7), IFERROR(MID(D64, SEARCH("NRO_", D64), 7), IFERROR(MID(D64, SEARCH("ADM_", D64), 7), IFERROR(MID(D64, SEARCH("NRD_", D64), 7), IFERROR(MID(D64, SEARCH("EXN_", D64), 7), IFERROR(MID(D64, SEARCH("LIT_", D64), 7), IFERROR(MID(D64, SEARCH("EST_", D64), 7), MID(D64, SEARCH("OST_",D64), 7))))))))))</f>
        <v/>
      </c>
      <c r="F64" s="12" t="inlineStr">
        <is>
          <t>(04/29/2026 incident ): impacted by    Magba_G_OST_023 , RCA: Power issue / En attente RCA CAMUSAT</t>
        </is>
      </c>
    </row>
    <row r="65" hidden="1" ht="18.75" customHeight="1">
      <c r="A65" s="12" t="n"/>
      <c r="B65" s="12" t="n"/>
      <c r="C65" s="12" t="n"/>
      <c r="D65" s="12" t="inlineStr">
        <is>
          <t>OST_027_H_Lamape</t>
        </is>
      </c>
      <c r="E65" s="12">
        <f>IFERROR(MID(D65, SEARCH("CTR_", D65), 7), IFERROR(MID(D65, SEARCH("SUO_", D65), 7), IFERROR(MID(D65, SEARCH("SUD_", D65), 7), IFERROR(MID(D65, SEARCH("NRO_", D65), 7), IFERROR(MID(D65, SEARCH("ADM_", D65), 7), IFERROR(MID(D65, SEARCH("NRD_", D65), 7), IFERROR(MID(D65, SEARCH("EXN_", D65), 7), IFERROR(MID(D65, SEARCH("LIT_", D65), 7), IFERROR(MID(D65, SEARCH("EST_", D65), 7), MID(D65, SEARCH("OST_",D65), 7))))))))))</f>
        <v/>
      </c>
      <c r="F65" s="12" t="inlineStr">
        <is>
          <t>(04/29/2026 incident ): impacted by    Magba_G_OST_023 , RCA: Power issue / En attente RCA CAMUSAT</t>
        </is>
      </c>
    </row>
    <row r="66" hidden="1" ht="18.75" customHeight="1">
      <c r="A66" s="12" t="n"/>
      <c r="B66" s="12" t="inlineStr">
        <is>
          <t>CTR_301_N_Matsari</t>
        </is>
      </c>
      <c r="C66" s="12" t="inlineStr">
        <is>
          <t>2604D98459 | INC-20260429-00012942</t>
        </is>
      </c>
      <c r="D66" s="12" t="inlineStr">
        <is>
          <t>CTR_301_N_Matsari</t>
        </is>
      </c>
      <c r="E66" s="12">
        <f>IFERROR(MID(D66, SEARCH("CTR_", D66), 7), IFERROR(MID(D66, SEARCH("SUO_", D66), 7), IFERROR(MID(D66, SEARCH("SUD_", D66), 7), IFERROR(MID(D66, SEARCH("NRO_", D66), 7), IFERROR(MID(D66, SEARCH("ADM_", D66), 7), IFERROR(MID(D66, SEARCH("NRD_", D66), 7), IFERROR(MID(D66, SEARCH("EXN_", D66), 7), IFERROR(MID(D66, SEARCH("LIT_", D66), 7), IFERROR(MID(D66, SEARCH("EST_", D66), 7), MID(D66, SEARCH("OST_",D66), 7))))))))))</f>
        <v/>
      </c>
      <c r="F66" s="12" t="inlineStr">
        <is>
          <t>(04/29/2026 incident ): impacted by  CTR_301_N_Matsari ,UPDATE 3: ODU Matsari dir Yoko ne reagit pas après check avec le level 0, check en aérien du FME des l'aube sur site</t>
        </is>
      </c>
    </row>
    <row r="67" hidden="1" ht="18.75" customHeight="1">
      <c r="A67" s="12" t="n"/>
      <c r="B67" s="12" t="n"/>
      <c r="C67" s="12" t="n"/>
      <c r="D67" s="12" t="inlineStr">
        <is>
          <t>CTR_300_N_Ngouetou</t>
        </is>
      </c>
      <c r="E67" s="12">
        <f>IFERROR(MID(D67, SEARCH("CTR_", D67), 7), IFERROR(MID(D67, SEARCH("SUO_", D67), 7), IFERROR(MID(D67, SEARCH("SUD_", D67), 7), IFERROR(MID(D67, SEARCH("NRO_", D67), 7), IFERROR(MID(D67, SEARCH("ADM_", D67), 7), IFERROR(MID(D67, SEARCH("NRD_", D67), 7), IFERROR(MID(D67, SEARCH("EXN_", D67), 7), IFERROR(MID(D67, SEARCH("LIT_", D67), 7), IFERROR(MID(D67, SEARCH("EST_", D67), 7), MID(D67, SEARCH("OST_",D67), 7))))))))))</f>
        <v/>
      </c>
      <c r="F67" s="12" t="inlineStr">
        <is>
          <t>(04/29/2026 incident ): impacted by  CTR_301_N_Matsari ,UPDATE 3: ODU Matsari dir Yoko ne reagit pas après check avec le level 0, check en aérien du FME des l'aube sur site</t>
        </is>
      </c>
    </row>
    <row r="68" hidden="1" ht="18.75" customHeight="1">
      <c r="A68" s="12" t="n"/>
      <c r="B68" s="12" t="n"/>
      <c r="C68" s="12" t="n"/>
      <c r="D68" s="12" t="inlineStr">
        <is>
          <t>CTR_406_N_Mbimbim-MTN</t>
        </is>
      </c>
      <c r="E68" s="12">
        <f>IFERROR(MID(D68, SEARCH("CTR_", D68), 7), IFERROR(MID(D68, SEARCH("SUO_", D68), 7), IFERROR(MID(D68, SEARCH("SUD_", D68), 7), IFERROR(MID(D68, SEARCH("NRO_", D68), 7), IFERROR(MID(D68, SEARCH("ADM_", D68), 7), IFERROR(MID(D68, SEARCH("NRD_", D68), 7), IFERROR(MID(D68, SEARCH("EXN_", D68), 7), IFERROR(MID(D68, SEARCH("LIT_", D68), 7), IFERROR(MID(D68, SEARCH("EST_", D68), 7), MID(D68, SEARCH("OST_",D68), 7))))))))))</f>
        <v/>
      </c>
      <c r="F68" s="12" t="inlineStr">
        <is>
          <t>(04/29/2026 incident ): impacted by  CTR_301_N_Matsari ,UPDATE 3: ODU Matsari dir Yoko ne reagit pas après check avec le level 0, check en aérien du FME des l'aube sur site</t>
        </is>
      </c>
    </row>
    <row r="69" hidden="1" ht="18.75" customHeight="1">
      <c r="A69" s="12" t="n"/>
      <c r="B69" s="12" t="n"/>
      <c r="C69" s="12" t="n"/>
      <c r="D69" s="12" t="inlineStr">
        <is>
          <t>CTR_986_N_Djereing_G</t>
        </is>
      </c>
      <c r="E69" s="12">
        <f>IFERROR(MID(D69, SEARCH("CTR_", D69), 7), IFERROR(MID(D69, SEARCH("SUO_", D69), 7), IFERROR(MID(D69, SEARCH("SUD_", D69), 7), IFERROR(MID(D69, SEARCH("NRO_", D69), 7), IFERROR(MID(D69, SEARCH("ADM_", D69), 7), IFERROR(MID(D69, SEARCH("NRD_", D69), 7), IFERROR(MID(D69, SEARCH("EXN_", D69), 7), IFERROR(MID(D69, SEARCH("LIT_", D69), 7), IFERROR(MID(D69, SEARCH("EST_", D69), 7), MID(D69, SEARCH("OST_",D69), 7))))))))))</f>
        <v/>
      </c>
      <c r="F69" s="12" t="inlineStr">
        <is>
          <t>(04/29/2026 incident ): impacted by  CTR_301_N_Matsari ,UPDATE 3: ODU Matsari dir Yoko ne reagit pas après check avec le level 0, check en aérien du FME des l'aube sur site</t>
        </is>
      </c>
    </row>
    <row r="70" hidden="1" ht="18.75" customHeight="1">
      <c r="A70" s="12" t="n"/>
      <c r="B70" s="12" t="n"/>
      <c r="C70" s="12" t="n"/>
      <c r="D70" s="12" t="inlineStr">
        <is>
          <t>CTR_986_N_Yoko-Djereing</t>
        </is>
      </c>
      <c r="E70" s="12">
        <f>IFERROR(MID(D70, SEARCH("CTR_", D70), 7), IFERROR(MID(D70, SEARCH("SUO_", D70), 7), IFERROR(MID(D70, SEARCH("SUD_", D70), 7), IFERROR(MID(D70, SEARCH("NRO_", D70), 7), IFERROR(MID(D70, SEARCH("ADM_", D70), 7), IFERROR(MID(D70, SEARCH("NRD_", D70), 7), IFERROR(MID(D70, SEARCH("EXN_", D70), 7), IFERROR(MID(D70, SEARCH("LIT_", D70), 7), IFERROR(MID(D70, SEARCH("EST_", D70), 7), MID(D70, SEARCH("OST_",D70), 7))))))))))</f>
        <v/>
      </c>
      <c r="F70" s="12" t="inlineStr">
        <is>
          <t>(04/29/2026 incident ): impacted by  CTR_301_N_Matsari ,UPDATE 3: ODU Matsari dir Yoko ne reagit pas après check avec le level 0, check en aérien du FME des l'aube sur site</t>
        </is>
      </c>
    </row>
    <row r="71" hidden="1" ht="18.75" customHeight="1">
      <c r="A71" s="12" t="n"/>
      <c r="B71" s="12" t="inlineStr">
        <is>
          <t xml:space="preserve">NRD_013_H_Pitoa </t>
        </is>
      </c>
      <c r="C71" s="12" t="inlineStr">
        <is>
          <t>2604D97170 / INC-20260429-00012211</t>
        </is>
      </c>
      <c r="D71" s="12" t="inlineStr">
        <is>
          <t>NRD_183_H_Pitoa-II</t>
        </is>
      </c>
      <c r="E71" s="12">
        <f>IFERROR(MID(D71, SEARCH("CTR_", D71), 7), IFERROR(MID(D71, SEARCH("SUO_", D71), 7), IFERROR(MID(D71, SEARCH("SUD_", D71), 7), IFERROR(MID(D71, SEARCH("NRO_", D71), 7), IFERROR(MID(D71, SEARCH("ADM_", D71), 7), IFERROR(MID(D71, SEARCH("NRD_", D71), 7), IFERROR(MID(D71, SEARCH("EXN_", D71), 7), IFERROR(MID(D71, SEARCH("LIT_", D71), 7), IFERROR(MID(D71, SEARCH("EST_", D71), 7), MID(D71, SEARCH("OST_",D71), 7))))))))))</f>
        <v/>
      </c>
      <c r="F71" s="12" t="inlineStr">
        <is>
          <t xml:space="preserve">(04/29/2026 incident ): impacted by NRD_013_H_Pitoa , Plantage de l'ODU a Lainde  || Action : soft reset  UBT-T 3/1 a Lainde </t>
        </is>
      </c>
    </row>
    <row r="72" hidden="1" ht="18.75" customHeight="1">
      <c r="A72" s="12" t="n"/>
      <c r="B72" s="12" t="n"/>
      <c r="C72" s="12" t="n"/>
      <c r="D72" s="12" t="inlineStr">
        <is>
          <t>NRD_133_H_Pitoa-Entree</t>
        </is>
      </c>
      <c r="E72" s="12">
        <f>IFERROR(MID(D72, SEARCH("CTR_", D72), 7), IFERROR(MID(D72, SEARCH("SUO_", D72), 7), IFERROR(MID(D72, SEARCH("SUD_", D72), 7), IFERROR(MID(D72, SEARCH("NRO_", D72), 7), IFERROR(MID(D72, SEARCH("ADM_", D72), 7), IFERROR(MID(D72, SEARCH("NRD_", D72), 7), IFERROR(MID(D72, SEARCH("EXN_", D72), 7), IFERROR(MID(D72, SEARCH("LIT_", D72), 7), IFERROR(MID(D72, SEARCH("EST_", D72), 7), MID(D72, SEARCH("OST_",D72), 7))))))))))</f>
        <v/>
      </c>
      <c r="F72" s="12" t="inlineStr">
        <is>
          <t xml:space="preserve">(04/29/2026 incident ): impacted by NRD_013_H_Pitoa , Plantage de l'ODU a Lainde  || Action : soft reset  UBT-T 3/1 a Lainde </t>
        </is>
      </c>
    </row>
    <row r="73" hidden="1" ht="18.75" customHeight="1">
      <c r="A73" s="12" t="n"/>
      <c r="B73" s="12" t="n"/>
      <c r="C73" s="12" t="n"/>
      <c r="D73" s="12" t="inlineStr">
        <is>
          <t>NRD_096_H_Pitoa-Ville</t>
        </is>
      </c>
      <c r="E73" s="12">
        <f>IFERROR(MID(D73, SEARCH("CTR_", D73), 7), IFERROR(MID(D73, SEARCH("SUO_", D73), 7), IFERROR(MID(D73, SEARCH("SUD_", D73), 7), IFERROR(MID(D73, SEARCH("NRO_", D73), 7), IFERROR(MID(D73, SEARCH("ADM_", D73), 7), IFERROR(MID(D73, SEARCH("NRD_", D73), 7), IFERROR(MID(D73, SEARCH("EXN_", D73), 7), IFERROR(MID(D73, SEARCH("LIT_", D73), 7), IFERROR(MID(D73, SEARCH("EST_", D73), 7), MID(D73, SEARCH("OST_",D73), 7))))))))))</f>
        <v/>
      </c>
      <c r="F73" s="12" t="inlineStr">
        <is>
          <t xml:space="preserve">(04/29/2026 incident ): impacted by NRD_013_H_Pitoa , Plantage de l'ODU a Lainde  || Action : soft reset  UBT-T 3/1 a Lainde </t>
        </is>
      </c>
    </row>
    <row r="74" hidden="1" ht="18.75" customHeight="1">
      <c r="A74" s="12" t="n"/>
      <c r="B74" s="12" t="n"/>
      <c r="C74" s="12" t="n"/>
      <c r="D74" s="12" t="inlineStr">
        <is>
          <t>NRD_013_H_Pitoa</t>
        </is>
      </c>
      <c r="E74" s="12">
        <f>IFERROR(MID(D74, SEARCH("CTR_", D74), 7), IFERROR(MID(D74, SEARCH("SUO_", D74), 7), IFERROR(MID(D74, SEARCH("SUD_", D74), 7), IFERROR(MID(D74, SEARCH("NRO_", D74), 7), IFERROR(MID(D74, SEARCH("ADM_", D74), 7), IFERROR(MID(D74, SEARCH("NRD_", D74), 7), IFERROR(MID(D74, SEARCH("EXN_", D74), 7), IFERROR(MID(D74, SEARCH("LIT_", D74), 7), IFERROR(MID(D74, SEARCH("EST_", D74), 7), MID(D74, SEARCH("OST_",D74), 7))))))))))</f>
        <v/>
      </c>
      <c r="F74" s="12" t="inlineStr">
        <is>
          <t xml:space="preserve">(04/29/2026 incident ): impacted by NRD_013_H_Pitoa , Plantage de l'ODU a Lainde  || Action : soft reset  UBT-T 3/1 a Lainde </t>
        </is>
      </c>
    </row>
    <row r="75" hidden="1" ht="18.75" customHeight="1">
      <c r="A75" s="12" t="n"/>
      <c r="B75" s="12" t="n"/>
      <c r="C75" s="12" t="n"/>
      <c r="D75" s="12" t="inlineStr">
        <is>
          <t>NRD_212_URH_LOUMBOU</t>
        </is>
      </c>
      <c r="E75" s="12">
        <f>IFERROR(MID(D75, SEARCH("CTR_", D75), 7), IFERROR(MID(D75, SEARCH("SUO_", D75), 7), IFERROR(MID(D75, SEARCH("SUD_", D75), 7), IFERROR(MID(D75, SEARCH("NRO_", D75), 7), IFERROR(MID(D75, SEARCH("ADM_", D75), 7), IFERROR(MID(D75, SEARCH("NRD_", D75), 7), IFERROR(MID(D75, SEARCH("EXN_", D75), 7), IFERROR(MID(D75, SEARCH("LIT_", D75), 7), IFERROR(MID(D75, SEARCH("EST_", D75), 7), MID(D75, SEARCH("OST_",D75), 7))))))))))</f>
        <v/>
      </c>
      <c r="F75" s="12" t="inlineStr">
        <is>
          <t xml:space="preserve">(04/29/2026 incident ): impacted by NRD_013_H_Pitoa , Plantage de l'ODU a Lainde  || Action : soft reset  UBT-T 3/1 a Lainde </t>
        </is>
      </c>
    </row>
    <row r="76" hidden="1" ht="18.75" customHeight="1">
      <c r="A76" s="12" t="n"/>
      <c r="B76" s="12" t="n"/>
      <c r="C76" s="12" t="n"/>
      <c r="D76" s="12" t="inlineStr">
        <is>
          <t>NRD_287_URH_KIRAMBO</t>
        </is>
      </c>
      <c r="E76" s="12">
        <f>IFERROR(MID(D76, SEARCH("CTR_", D76), 7), IFERROR(MID(D76, SEARCH("SUO_", D76), 7), IFERROR(MID(D76, SEARCH("SUD_", D76), 7), IFERROR(MID(D76, SEARCH("NRO_", D76), 7), IFERROR(MID(D76, SEARCH("ADM_", D76), 7), IFERROR(MID(D76, SEARCH("NRD_", D76), 7), IFERROR(MID(D76, SEARCH("EXN_", D76), 7), IFERROR(MID(D76, SEARCH("LIT_", D76), 7), IFERROR(MID(D76, SEARCH("EST_", D76), 7), MID(D76, SEARCH("OST_",D76), 7))))))))))</f>
        <v/>
      </c>
      <c r="F76" s="12" t="inlineStr">
        <is>
          <t xml:space="preserve">(04/29/2026 incident ): impacted by NRD_013_H_Pitoa , Plantage de l'ODU a Lainde  || Action : soft reset  UBT-T 3/1 a Lainde </t>
        </is>
      </c>
    </row>
    <row r="77" hidden="1" ht="18.75" customHeight="1">
      <c r="A77" s="12" t="n"/>
      <c r="B77" s="12" t="inlineStr">
        <is>
          <t>Mbankomo-Okoa-Maria_Z_CTR_541</t>
        </is>
      </c>
      <c r="C77" s="12" t="inlineStr">
        <is>
          <t>INC-20260429-00013735 | 2604D99760</t>
        </is>
      </c>
      <c r="D77" s="12" t="n"/>
      <c r="E77" s="12">
        <f>IFERROR(MID(D77, SEARCH("CTR_", D77), 7), IFERROR(MID(D77, SEARCH("SUO_", D77), 7), IFERROR(MID(D77, SEARCH("SUD_", D77), 7), IFERROR(MID(D77, SEARCH("NRO_", D77), 7), IFERROR(MID(D77, SEARCH("ADM_", D77), 7), IFERROR(MID(D77, SEARCH("NRD_", D77), 7), IFERROR(MID(D77, SEARCH("EXN_", D77), 7), IFERROR(MID(D77, SEARCH("LIT_", D77), 7), IFERROR(MID(D77, SEARCH("EST_", D77), 7), MID(D77, SEARCH("OST_",D77), 7))))))))))</f>
        <v/>
      </c>
      <c r="F77" s="12" t="inlineStr">
        <is>
          <t>(04/29/2026 incident ): impacted by Mbankomo-Okoa-Maria_Z_CTR_541, RCA: Plantage ODU à Nomayos / Soft reset ODU 3/1 à Nomayos</t>
        </is>
      </c>
    </row>
    <row r="78" hidden="1" ht="18.75" customHeight="1">
      <c r="A78" s="12" t="n"/>
      <c r="B78" s="12" t="n"/>
      <c r="C78" s="12" t="n"/>
      <c r="D78" s="12" t="inlineStr">
        <is>
          <t>Mambine_G_CTR_097</t>
        </is>
      </c>
      <c r="E78" s="12">
        <f>IFERROR(MID(D78, SEARCH("CTR_", D78), 7), IFERROR(MID(D78, SEARCH("SUO_", D78), 7), IFERROR(MID(D78, SEARCH("SUD_", D78), 7), IFERROR(MID(D78, SEARCH("NRO_", D78), 7), IFERROR(MID(D78, SEARCH("ADM_", D78), 7), IFERROR(MID(D78, SEARCH("NRD_", D78), 7), IFERROR(MID(D78, SEARCH("EXN_", D78), 7), IFERROR(MID(D78, SEARCH("LIT_", D78), 7), IFERROR(MID(D78, SEARCH("EST_", D78), 7), MID(D78, SEARCH("OST_",D78), 7))))))))))</f>
        <v/>
      </c>
      <c r="F78" s="12" t="inlineStr">
        <is>
          <t>(04/29/2026 incident ): impacted by Mbankomo-Okoa-Maria_Z_CTR_541, RCA: Plantage ODU à Nomayos / Soft reset ODU 3/1 à Nomayos</t>
        </is>
      </c>
    </row>
    <row r="79" hidden="1" ht="18.75" customHeight="1">
      <c r="A79" s="12" t="n"/>
      <c r="B79" s="12" t="n"/>
      <c r="C79" s="12" t="n"/>
      <c r="D79" s="12" t="inlineStr">
        <is>
          <t>Mbankomo-Okoa-Maria_G_CTR_541</t>
        </is>
      </c>
      <c r="E79" s="12">
        <f>IFERROR(MID(D79, SEARCH("CTR_", D79), 7), IFERROR(MID(D79, SEARCH("SUO_", D79), 7), IFERROR(MID(D79, SEARCH("SUD_", D79), 7), IFERROR(MID(D79, SEARCH("NRO_", D79), 7), IFERROR(MID(D79, SEARCH("ADM_", D79), 7), IFERROR(MID(D79, SEARCH("NRD_", D79), 7), IFERROR(MID(D79, SEARCH("EXN_", D79), 7), IFERROR(MID(D79, SEARCH("LIT_", D79), 7), IFERROR(MID(D79, SEARCH("EST_", D79), 7), MID(D79, SEARCH("OST_",D79), 7))))))))))</f>
        <v/>
      </c>
      <c r="F79" s="12" t="inlineStr">
        <is>
          <t>(04/29/2026 incident ): impacted by Mbankomo-Okoa-Maria_Z_CTR_541, RCA: Plantage ODU à Nomayos / Soft reset ODU 3/1 à Nomayos</t>
        </is>
      </c>
    </row>
    <row r="80" hidden="1" ht="18.75" customHeight="1">
      <c r="A80" s="12" t="n"/>
      <c r="B80" s="12" t="n"/>
      <c r="C80" s="12" t="n"/>
      <c r="D80" s="12" t="inlineStr">
        <is>
          <t>Angongo_G_CTR_358</t>
        </is>
      </c>
      <c r="E80" s="12">
        <f>IFERROR(MID(D80, SEARCH("CTR_", D80), 7), IFERROR(MID(D80, SEARCH("SUO_", D80), 7), IFERROR(MID(D80, SEARCH("SUD_", D80), 7), IFERROR(MID(D80, SEARCH("NRO_", D80), 7), IFERROR(MID(D80, SEARCH("ADM_", D80), 7), IFERROR(MID(D80, SEARCH("NRD_", D80), 7), IFERROR(MID(D80, SEARCH("EXN_", D80), 7), IFERROR(MID(D80, SEARCH("LIT_", D80), 7), IFERROR(MID(D80, SEARCH("EST_", D80), 7), MID(D80, SEARCH("OST_",D80), 7))))))))))</f>
        <v/>
      </c>
      <c r="F80" s="12" t="inlineStr">
        <is>
          <t>(04/29/2026 incident ): impacted by Mbankomo-Okoa-Maria_Z_CTR_541, RCA: Plantage ODU à Nomayos / Soft reset ODU 3/1 à Nomayos</t>
        </is>
      </c>
    </row>
    <row r="81" hidden="1" ht="18.75" customHeight="1">
      <c r="A81" s="12" t="n"/>
      <c r="B81" s="12" t="n"/>
      <c r="C81" s="12" t="n"/>
      <c r="D81" s="12" t="inlineStr">
        <is>
          <t>Ebeba_G_CTR_116</t>
        </is>
      </c>
      <c r="E81" s="12">
        <f>IFERROR(MID(D81, SEARCH("CTR_", D81), 7), IFERROR(MID(D81, SEARCH("SUO_", D81), 7), IFERROR(MID(D81, SEARCH("SUD_", D81), 7), IFERROR(MID(D81, SEARCH("NRO_", D81), 7), IFERROR(MID(D81, SEARCH("ADM_", D81), 7), IFERROR(MID(D81, SEARCH("NRD_", D81), 7), IFERROR(MID(D81, SEARCH("EXN_", D81), 7), IFERROR(MID(D81, SEARCH("LIT_", D81), 7), IFERROR(MID(D81, SEARCH("EST_", D81), 7), MID(D81, SEARCH("OST_",D81), 7))))))))))</f>
        <v/>
      </c>
      <c r="F81" s="12" t="inlineStr">
        <is>
          <t>(04/29/2026 incident ): impacted by Mbankomo-Okoa-Maria_Z_CTR_541, RCA: Plantage ODU à Nomayos / Soft reset ODU 3/1 à Nomayos</t>
        </is>
      </c>
    </row>
    <row r="82" hidden="1" ht="18.75" customHeight="1">
      <c r="A82" s="12" t="n"/>
      <c r="B82" s="12" t="n"/>
      <c r="C82" s="12" t="n"/>
      <c r="D82" s="12" t="inlineStr">
        <is>
          <t>Mbankomo-IHS_G_CTR_528</t>
        </is>
      </c>
      <c r="E82" s="12">
        <f>IFERROR(MID(D82, SEARCH("CTR_", D82), 7), IFERROR(MID(D82, SEARCH("SUO_", D82), 7), IFERROR(MID(D82, SEARCH("SUD_", D82), 7), IFERROR(MID(D82, SEARCH("NRO_", D82), 7), IFERROR(MID(D82, SEARCH("ADM_", D82), 7), IFERROR(MID(D82, SEARCH("NRD_", D82), 7), IFERROR(MID(D82, SEARCH("EXN_", D82), 7), IFERROR(MID(D82, SEARCH("LIT_", D82), 7), IFERROR(MID(D82, SEARCH("EST_", D82), 7), MID(D82, SEARCH("OST_",D82), 7))))))))))</f>
        <v/>
      </c>
      <c r="F82" s="12" t="inlineStr">
        <is>
          <t>(04/29/2026 incident ): impacted by Mbankomo-Okoa-Maria_Z_CTR_541, RCA: Plantage ODU à Nomayos / Soft reset ODU 3/1 à Nomayos</t>
        </is>
      </c>
    </row>
    <row r="83" hidden="1" ht="18.75" customHeight="1">
      <c r="A83" s="12" t="n"/>
      <c r="B83" s="12" t="n"/>
      <c r="C83" s="12" t="n"/>
      <c r="D83" s="12" t="inlineStr">
        <is>
          <t>Mandoumba_G_CTR_066</t>
        </is>
      </c>
      <c r="E83" s="12">
        <f>IFERROR(MID(D83, SEARCH("CTR_", D83), 7), IFERROR(MID(D83, SEARCH("SUO_", D83), 7), IFERROR(MID(D83, SEARCH("SUD_", D83), 7), IFERROR(MID(D83, SEARCH("NRO_", D83), 7), IFERROR(MID(D83, SEARCH("ADM_", D83), 7), IFERROR(MID(D83, SEARCH("NRD_", D83), 7), IFERROR(MID(D83, SEARCH("EXN_", D83), 7), IFERROR(MID(D83, SEARCH("LIT_", D83), 7), IFERROR(MID(D83, SEARCH("EST_", D83), 7), MID(D83, SEARCH("OST_",D83), 7))))))))))</f>
        <v/>
      </c>
      <c r="F83" s="12" t="inlineStr">
        <is>
          <t>(04/29/2026 incident ): impacted by Mbankomo-Okoa-Maria_Z_CTR_541, RCA: Plantage ODU à Nomayos / Soft reset ODU 3/1 à Nomayos</t>
        </is>
      </c>
    </row>
    <row r="84" hidden="1" ht="18.75" customHeight="1">
      <c r="A84" s="12" t="n"/>
      <c r="B84" s="12" t="n"/>
      <c r="C84" s="12" t="n"/>
      <c r="D84" s="12" t="inlineStr">
        <is>
          <t>Nkongtock-IHS_G_CTR_733</t>
        </is>
      </c>
      <c r="E84" s="12">
        <f>IFERROR(MID(D84, SEARCH("CTR_", D84), 7), IFERROR(MID(D84, SEARCH("SUO_", D84), 7), IFERROR(MID(D84, SEARCH("SUD_", D84), 7), IFERROR(MID(D84, SEARCH("NRO_", D84), 7), IFERROR(MID(D84, SEARCH("ADM_", D84), 7), IFERROR(MID(D84, SEARCH("NRD_", D84), 7), IFERROR(MID(D84, SEARCH("EXN_", D84), 7), IFERROR(MID(D84, SEARCH("LIT_", D84), 7), IFERROR(MID(D84, SEARCH("EST_", D84), 7), MID(D84, SEARCH("OST_",D84), 7))))))))))</f>
        <v/>
      </c>
      <c r="F84" s="12" t="inlineStr">
        <is>
          <t>(04/29/2026 incident ): impacted by Mbankomo-Okoa-Maria_Z_CTR_541, RCA: Plantage ODU à Nomayos / Soft reset ODU 3/1 à Nomayos</t>
        </is>
      </c>
    </row>
    <row r="85" hidden="1" ht="18.75" customHeight="1">
      <c r="A85" s="12" t="n"/>
      <c r="B85" s="12" t="n"/>
      <c r="C85" s="12" t="n"/>
      <c r="D85" s="12" t="inlineStr">
        <is>
          <t>Nkenglikok_G_CTR_060</t>
        </is>
      </c>
      <c r="E85" s="12">
        <f>IFERROR(MID(D85, SEARCH("CTR_", D85), 7), IFERROR(MID(D85, SEARCH("SUO_", D85), 7), IFERROR(MID(D85, SEARCH("SUD_", D85), 7), IFERROR(MID(D85, SEARCH("NRO_", D85), 7), IFERROR(MID(D85, SEARCH("ADM_", D85), 7), IFERROR(MID(D85, SEARCH("NRD_", D85), 7), IFERROR(MID(D85, SEARCH("EXN_", D85), 7), IFERROR(MID(D85, SEARCH("LIT_", D85), 7), IFERROR(MID(D85, SEARCH("EST_", D85), 7), MID(D85, SEARCH("OST_",D85), 7))))))))))</f>
        <v/>
      </c>
      <c r="F85" s="12" t="inlineStr">
        <is>
          <t>(04/29/2026 incident ): impacted by Mbankomo-Okoa-Maria_Z_CTR_541, RCA: Plantage ODU à Nomayos / Soft reset ODU 3/1 à Nomayos</t>
        </is>
      </c>
    </row>
    <row r="86" hidden="1" ht="18.75" customHeight="1">
      <c r="A86" s="12" t="n"/>
      <c r="B86" s="12" t="inlineStr">
        <is>
          <t>ADM_127_H_Ngd-University-II-IHS</t>
        </is>
      </c>
      <c r="C86" s="12" t="inlineStr">
        <is>
          <t>2604D95122 / INC-20260429-00011258</t>
        </is>
      </c>
      <c r="D86" s="12" t="inlineStr">
        <is>
          <t>ADM_227_H_NGD-CHEFFERIE-MALO</t>
        </is>
      </c>
      <c r="E86" s="12">
        <f>IFERROR(MID(D86, SEARCH("CTR_", D86), 7), IFERROR(MID(D86, SEARCH("SUO_", D86), 7), IFERROR(MID(D86, SEARCH("SUD_", D86), 7), IFERROR(MID(D86, SEARCH("NRO_", D86), 7), IFERROR(MID(D86, SEARCH("ADM_", D86), 7), IFERROR(MID(D86, SEARCH("NRD_", D86), 7), IFERROR(MID(D86, SEARCH("EXN_", D86), 7), IFERROR(MID(D86, SEARCH("LIT_", D86), 7), IFERROR(MID(D86, SEARCH("EST_", D86), 7), MID(D86, SEARCH("OST_",D86), 7))))))))))</f>
        <v/>
      </c>
      <c r="F86" s="12" t="inlineStr">
        <is>
          <t>(04/29/2026 incident ): impacted by  ADM_127_H_Ngd-University-II-HIS</t>
        </is>
      </c>
    </row>
    <row r="87" hidden="1" ht="18.75" customHeight="1">
      <c r="A87" s="12" t="n"/>
      <c r="B87" s="12" t="n"/>
      <c r="C87" s="12" t="n"/>
      <c r="D87" s="12" t="inlineStr">
        <is>
          <t>ADM_017_H_Ngd-Dang</t>
        </is>
      </c>
      <c r="E87" s="12">
        <f>IFERROR(MID(D87, SEARCH("CTR_", D87), 7), IFERROR(MID(D87, SEARCH("SUO_", D87), 7), IFERROR(MID(D87, SEARCH("SUD_", D87), 7), IFERROR(MID(D87, SEARCH("NRO_", D87), 7), IFERROR(MID(D87, SEARCH("ADM_", D87), 7), IFERROR(MID(D87, SEARCH("NRD_", D87), 7), IFERROR(MID(D87, SEARCH("EXN_", D87), 7), IFERROR(MID(D87, SEARCH("LIT_", D87), 7), IFERROR(MID(D87, SEARCH("EST_", D87), 7), MID(D87, SEARCH("OST_",D87), 7))))))))))</f>
        <v/>
      </c>
      <c r="F87" s="12" t="inlineStr">
        <is>
          <t>(04/29/2026 incident ): impacted by  ADM_127_H_Ngd-University-II-HIS</t>
        </is>
      </c>
    </row>
    <row r="88" hidden="1" ht="18.75" customHeight="1">
      <c r="A88" s="12" t="n"/>
      <c r="B88" s="12" t="n"/>
      <c r="C88" s="12" t="n"/>
      <c r="D88" s="12" t="inlineStr">
        <is>
          <t>ADM_083_H_Ngd-Dang-MTN-IHS</t>
        </is>
      </c>
      <c r="E88" s="12">
        <f>IFERROR(MID(D88, SEARCH("CTR_", D88), 7), IFERROR(MID(D88, SEARCH("SUO_", D88), 7), IFERROR(MID(D88, SEARCH("SUD_", D88), 7), IFERROR(MID(D88, SEARCH("NRO_", D88), 7), IFERROR(MID(D88, SEARCH("ADM_", D88), 7), IFERROR(MID(D88, SEARCH("NRD_", D88), 7), IFERROR(MID(D88, SEARCH("EXN_", D88), 7), IFERROR(MID(D88, SEARCH("LIT_", D88), 7), IFERROR(MID(D88, SEARCH("EST_", D88), 7), MID(D88, SEARCH("OST_",D88), 7))))))))))</f>
        <v/>
      </c>
      <c r="F88" s="12" t="inlineStr">
        <is>
          <t>(04/29/2026 incident ): impacted by  ADM_127_H_Ngd-University-II-HIS</t>
        </is>
      </c>
    </row>
    <row r="89" hidden="1" ht="18.75" customHeight="1">
      <c r="A89" s="12" t="n"/>
      <c r="B89" s="12" t="n"/>
      <c r="C89" s="12" t="n"/>
      <c r="D89" s="12" t="inlineStr">
        <is>
          <t>ADM_007_H_Ngd-CRTV</t>
        </is>
      </c>
      <c r="E89" s="12">
        <f>IFERROR(MID(D89, SEARCH("CTR_", D89), 7), IFERROR(MID(D89, SEARCH("SUO_", D89), 7), IFERROR(MID(D89, SEARCH("SUD_", D89), 7), IFERROR(MID(D89, SEARCH("NRO_", D89), 7), IFERROR(MID(D89, SEARCH("ADM_", D89), 7), IFERROR(MID(D89, SEARCH("NRD_", D89), 7), IFERROR(MID(D89, SEARCH("EXN_", D89), 7), IFERROR(MID(D89, SEARCH("LIT_", D89), 7), IFERROR(MID(D89, SEARCH("EST_", D89), 7), MID(D89, SEARCH("OST_",D89), 7))))))))))</f>
        <v/>
      </c>
      <c r="F89" s="12" t="inlineStr">
        <is>
          <t>(04/29/2026 incident ): impacted by  ADM_127_H_Ngd-University-II-HIS</t>
        </is>
      </c>
    </row>
    <row r="90" hidden="1" ht="18.75" customHeight="1">
      <c r="A90" s="12" t="n"/>
      <c r="B90" s="12" t="inlineStr">
        <is>
          <t>SUO_801_H_BUEA-AGENCE</t>
        </is>
      </c>
      <c r="C90" s="12" t="inlineStr">
        <is>
          <t>INC-20260429-00009045 / 2604D89022</t>
        </is>
      </c>
      <c r="D90" s="12" t="inlineStr">
        <is>
          <t>SUO_182_H_Buea-Service-Center-IHS</t>
        </is>
      </c>
      <c r="E90" s="12">
        <f>IFERROR(MID(D90, SEARCH("CTR_", D90), 7), IFERROR(MID(D90, SEARCH("SUO_", D90), 7), IFERROR(MID(D90, SEARCH("SUD_", D90), 7), IFERROR(MID(D90, SEARCH("NRO_", D90), 7), IFERROR(MID(D90, SEARCH("ADM_", D90), 7), IFERROR(MID(D90, SEARCH("NRD_", D90), 7), IFERROR(MID(D90, SEARCH("EXN_", D90), 7), IFERROR(MID(D90, SEARCH("LIT_", D90), 7), IFERROR(MID(D90, SEARCH("EST_", D90), 7), MID(D90, SEARCH("OST_",D90), 7))))))))))</f>
        <v/>
      </c>
      <c r="F90" s="12" t="inlineStr">
        <is>
          <t>(04/29/2026 incident ): impacted by  SUO_801_H_BUEA-AGENCE, souci d'energie reporter a notre FME (Huawei ) sur site . OCM activer pour intervention. Update ASAP</t>
        </is>
      </c>
    </row>
    <row r="91" hidden="1" ht="18.75" customHeight="1">
      <c r="A91" s="12" t="n"/>
      <c r="B91" s="12" t="n"/>
      <c r="C91" s="12" t="n"/>
      <c r="D91" s="12" t="inlineStr">
        <is>
          <t>SUO_260_H_Buea-Dirty-South-IHS</t>
        </is>
      </c>
      <c r="E91" s="12">
        <f>IFERROR(MID(D91, SEARCH("CTR_", D91), 7), IFERROR(MID(D91, SEARCH("SUO_", D91), 7), IFERROR(MID(D91, SEARCH("SUD_", D91), 7), IFERROR(MID(D91, SEARCH("NRO_", D91), 7), IFERROR(MID(D91, SEARCH("ADM_", D91), 7), IFERROR(MID(D91, SEARCH("NRD_", D91), 7), IFERROR(MID(D91, SEARCH("EXN_", D91), 7), IFERROR(MID(D91, SEARCH("LIT_", D91), 7), IFERROR(MID(D91, SEARCH("EST_", D91), 7), MID(D91, SEARCH("OST_",D91), 7))))))))))</f>
        <v/>
      </c>
      <c r="F91" s="12" t="inlineStr">
        <is>
          <t>(04/29/2026 incident ): impacted by  SUO_801_H_BUEA-AGENCE, souci d'energie reporter a notre FME (Huawei ) sur site . OCM activer pour intervention. Update ASAP</t>
        </is>
      </c>
    </row>
    <row r="92" hidden="1" ht="18.75" customHeight="1">
      <c r="A92" s="12" t="n"/>
      <c r="B92" s="12" t="n"/>
      <c r="C92" s="12" t="n"/>
      <c r="D92" s="12" t="inlineStr">
        <is>
          <t>SUO_220_H_Mile16-Bolifamba-IHS</t>
        </is>
      </c>
      <c r="E92" s="12">
        <f>IFERROR(MID(D92, SEARCH("CTR_", D92), 7), IFERROR(MID(D92, SEARCH("SUO_", D92), 7), IFERROR(MID(D92, SEARCH("SUD_", D92), 7), IFERROR(MID(D92, SEARCH("NRO_", D92), 7), IFERROR(MID(D92, SEARCH("ADM_", D92), 7), IFERROR(MID(D92, SEARCH("NRD_", D92), 7), IFERROR(MID(D92, SEARCH("EXN_", D92), 7), IFERROR(MID(D92, SEARCH("LIT_", D92), 7), IFERROR(MID(D92, SEARCH("EST_", D92), 7), MID(D92, SEARCH("OST_",D92), 7))))))))))</f>
        <v/>
      </c>
      <c r="F92" s="12" t="inlineStr">
        <is>
          <t>(04/29/2026 incident ): impacted by  SUO_801_H_BUEA-AGENCE, souci d'energie reporter a notre FME (Huawei ) sur site . OCM activer pour intervention. Update ASAP</t>
        </is>
      </c>
    </row>
    <row r="93" hidden="1" ht="18.75" customHeight="1">
      <c r="A93" s="12" t="n"/>
      <c r="B93" s="12" t="n"/>
      <c r="C93" s="12" t="n"/>
      <c r="D93" s="12" t="inlineStr">
        <is>
          <t>SUO_200_H_Buea-UB-Lamp-IHS</t>
        </is>
      </c>
      <c r="E93" s="12">
        <f>IFERROR(MID(D93, SEARCH("CTR_", D93), 7), IFERROR(MID(D93, SEARCH("SUO_", D93), 7), IFERROR(MID(D93, SEARCH("SUD_", D93), 7), IFERROR(MID(D93, SEARCH("NRO_", D93), 7), IFERROR(MID(D93, SEARCH("ADM_", D93), 7), IFERROR(MID(D93, SEARCH("NRD_", D93), 7), IFERROR(MID(D93, SEARCH("EXN_", D93), 7), IFERROR(MID(D93, SEARCH("LIT_", D93), 7), IFERROR(MID(D93, SEARCH("EST_", D93), 7), MID(D93, SEARCH("OST_",D93), 7))))))))))</f>
        <v/>
      </c>
      <c r="F93" s="12" t="inlineStr">
        <is>
          <t>(04/29/2026 incident ): impacted by  SUO_801_H_BUEA-AGENCE, souci d'energie reporter a notre FME (Huawei ) sur site . OCM activer pour intervention. Update ASAP</t>
        </is>
      </c>
    </row>
    <row r="94" hidden="1" ht="18.75" customHeight="1">
      <c r="A94" s="12" t="n"/>
      <c r="B94" s="12" t="n"/>
      <c r="C94" s="12" t="n"/>
      <c r="D94" s="12" t="inlineStr">
        <is>
          <t>SUO_169_H_Buea-Bomaka-III-MTN</t>
        </is>
      </c>
      <c r="E94" s="12">
        <f>IFERROR(MID(D94, SEARCH("CTR_", D94), 7), IFERROR(MID(D94, SEARCH("SUO_", D94), 7), IFERROR(MID(D94, SEARCH("SUD_", D94), 7), IFERROR(MID(D94, SEARCH("NRO_", D94), 7), IFERROR(MID(D94, SEARCH("ADM_", D94), 7), IFERROR(MID(D94, SEARCH("NRD_", D94), 7), IFERROR(MID(D94, SEARCH("EXN_", D94), 7), IFERROR(MID(D94, SEARCH("LIT_", D94), 7), IFERROR(MID(D94, SEARCH("EST_", D94), 7), MID(D94, SEARCH("OST_",D94), 7))))))))))</f>
        <v/>
      </c>
      <c r="F94" s="12" t="inlineStr">
        <is>
          <t>(04/29/2026 incident ): impacted by  SUO_801_H_BUEA-AGENCE, souci d'energie reporter a notre FME (Huawei ) sur site . OCM activer pour intervention. Update ASAP</t>
        </is>
      </c>
    </row>
    <row r="95" hidden="1" ht="18.75" customHeight="1">
      <c r="A95" s="12" t="n"/>
      <c r="B95" s="12" t="inlineStr">
        <is>
          <t>Bagarao_G_EXN_202</t>
        </is>
      </c>
      <c r="C95" s="12" t="inlineStr">
        <is>
          <t>INC-20260429-00008259| 2604D86881</t>
        </is>
      </c>
      <c r="D95" s="12" t="inlineStr">
        <is>
          <t>Kuruda_GD_EXN_208</t>
        </is>
      </c>
      <c r="E95" s="12">
        <f>IFERROR(MID(D95, SEARCH("CTR_", D95), 7), IFERROR(MID(D95, SEARCH("SUO_", D95), 7), IFERROR(MID(D95, SEARCH("SUD_", D95), 7), IFERROR(MID(D95, SEARCH("NRO_", D95), 7), IFERROR(MID(D95, SEARCH("ADM_", D95), 7), IFERROR(MID(D95, SEARCH("NRD_", D95), 7), IFERROR(MID(D95, SEARCH("EXN_", D95), 7), IFERROR(MID(D95, SEARCH("LIT_", D95), 7), IFERROR(MID(D95, SEARCH("EST_", D95), 7), MID(D95, SEARCH("OST_",D95), 7))))))))))</f>
        <v/>
      </c>
      <c r="F95" s="12" t="inlineStr">
        <is>
          <t>(04/29/2026 incident ): impacted by  Bagarao_G_EXN_202  ,Power issue observed from efms. Voltage  Drop (From 53v to 46v). CAMUSAT As disucussed please for support || Nouvelle ETA depasse ESCALADE faite au L2 SAMBA . Update ASAP</t>
        </is>
      </c>
    </row>
    <row r="96" hidden="1" ht="18.75" customHeight="1">
      <c r="A96" s="12" t="n"/>
      <c r="B96" s="12" t="n"/>
      <c r="C96" s="12" t="n"/>
      <c r="D96" s="12" t="inlineStr">
        <is>
          <t>Bagarao_G_EXN_202</t>
        </is>
      </c>
      <c r="E96" s="12">
        <f>IFERROR(MID(D96, SEARCH("CTR_", D96), 7), IFERROR(MID(D96, SEARCH("SUO_", D96), 7), IFERROR(MID(D96, SEARCH("SUD_", D96), 7), IFERROR(MID(D96, SEARCH("NRO_", D96), 7), IFERROR(MID(D96, SEARCH("ADM_", D96), 7), IFERROR(MID(D96, SEARCH("NRD_", D96), 7), IFERROR(MID(D96, SEARCH("EXN_", D96), 7), IFERROR(MID(D96, SEARCH("LIT_", D96), 7), IFERROR(MID(D96, SEARCH("EST_", D96), 7), MID(D96, SEARCH("OST_",D96), 7))))))))))</f>
        <v/>
      </c>
      <c r="F96" s="12" t="inlineStr">
        <is>
          <t>(04/29/2026 incident ): impacted by  Bagarao_G_EXN_202  ,Power issue observed from efms. Voltage  Drop (From 53v to 46v). CAMUSAT As disucussed please for support || Nouvelle ETA depasse ESCALADE faite au L2 SAMBA . Update ASAP</t>
        </is>
      </c>
    </row>
    <row r="97" hidden="1" ht="18.75" customHeight="1">
      <c r="A97" s="12" t="n"/>
      <c r="B97" s="12" t="n"/>
      <c r="C97" s="12" t="n"/>
      <c r="D97" s="12" t="inlineStr">
        <is>
          <t>EXN_310_URH_BEGUE</t>
        </is>
      </c>
      <c r="E97" s="12">
        <f>IFERROR(MID(D97, SEARCH("CTR_", D97), 7), IFERROR(MID(D97, SEARCH("SUO_", D97), 7), IFERROR(MID(D97, SEARCH("SUD_", D97), 7), IFERROR(MID(D97, SEARCH("NRO_", D97), 7), IFERROR(MID(D97, SEARCH("ADM_", D97), 7), IFERROR(MID(D97, SEARCH("NRD_", D97), 7), IFERROR(MID(D97, SEARCH("EXN_", D97), 7), IFERROR(MID(D97, SEARCH("LIT_", D97), 7), IFERROR(MID(D97, SEARCH("EST_", D97), 7), MID(D97, SEARCH("OST_",D97), 7))))))))))</f>
        <v/>
      </c>
      <c r="F97" s="12" t="inlineStr">
        <is>
          <t>(04/29/2026 incident ): impacted by  Bagarao_G_EXN_202  ,Power issue observed from efms. Voltage  Drop (From 53v to 46v). CAMUSAT As disucussed please for support || Nouvelle ETA depasse ESCALADE faite au L2 SAMBA . Update ASAP</t>
        </is>
      </c>
    </row>
    <row r="98" hidden="1" ht="18.75" customHeight="1">
      <c r="A98" s="12" t="n"/>
      <c r="B98" s="12" t="n"/>
      <c r="C98" s="12" t="n"/>
      <c r="D98" s="12" t="inlineStr">
        <is>
          <t>Kay-Kay_GD_EXN_050</t>
        </is>
      </c>
      <c r="E98" s="12">
        <f>IFERROR(MID(D98, SEARCH("CTR_", D98), 7), IFERROR(MID(D98, SEARCH("SUO_", D98), 7), IFERROR(MID(D98, SEARCH("SUD_", D98), 7), IFERROR(MID(D98, SEARCH("NRO_", D98), 7), IFERROR(MID(D98, SEARCH("ADM_", D98), 7), IFERROR(MID(D98, SEARCH("NRD_", D98), 7), IFERROR(MID(D98, SEARCH("EXN_", D98), 7), IFERROR(MID(D98, SEARCH("LIT_", D98), 7), IFERROR(MID(D98, SEARCH("EST_", D98), 7), MID(D98, SEARCH("OST_",D98), 7))))))))))</f>
        <v/>
      </c>
      <c r="F98" s="12" t="inlineStr">
        <is>
          <t>(04/29/2026 incident ): impacted by  Bagarao_G_EXN_202  ,Power issue observed from efms. Voltage  Drop (From 53v to 46v). CAMUSAT As disucussed please for support || Nouvelle ETA depasse ESCALADE faite au L2 SAMBA . Update ASAP</t>
        </is>
      </c>
    </row>
    <row r="99" hidden="1" ht="18.75" customHeight="1">
      <c r="A99" s="12" t="n"/>
      <c r="B99" s="12" t="n"/>
      <c r="C99" s="12" t="n"/>
      <c r="D99" s="12" t="inlineStr">
        <is>
          <t>Doreissou-IHS_GD_EXN_118</t>
        </is>
      </c>
      <c r="E99" s="12">
        <f>IFERROR(MID(D99, SEARCH("CTR_", D99), 7), IFERROR(MID(D99, SEARCH("SUO_", D99), 7), IFERROR(MID(D99, SEARCH("SUD_", D99), 7), IFERROR(MID(D99, SEARCH("NRO_", D99), 7), IFERROR(MID(D99, SEARCH("ADM_", D99), 7), IFERROR(MID(D99, SEARCH("NRD_", D99), 7), IFERROR(MID(D99, SEARCH("EXN_", D99), 7), IFERROR(MID(D99, SEARCH("LIT_", D99), 7), IFERROR(MID(D99, SEARCH("EST_", D99), 7), MID(D99, SEARCH("OST_",D99), 7))))))))))</f>
        <v/>
      </c>
      <c r="F99" s="12" t="inlineStr">
        <is>
          <t>(04/29/2026 incident ): impacted by  Bagarao_G_EXN_202  ,Power issue observed from efms. Voltage  Drop (From 53v to 46v). CAMUSAT As disucussed please for support || Nouvelle ETA depasse ESCALADE faite au L2 SAMBA . Update ASAP</t>
        </is>
      </c>
    </row>
    <row r="100" hidden="1" ht="18.75" customHeight="1">
      <c r="A100" s="12" t="n"/>
      <c r="B100" s="12" t="inlineStr">
        <is>
          <t>SUO_007_H_Buea-Orange</t>
        </is>
      </c>
      <c r="C100" s="12" t="inlineStr">
        <is>
          <t>INC-20260429-00006852 | 2604D83238</t>
        </is>
      </c>
      <c r="D100" s="12" t="inlineStr">
        <is>
          <t>SUO_254_H_Bokova-IHS</t>
        </is>
      </c>
      <c r="E100" s="12">
        <f>IFERROR(MID(D100, SEARCH("CTR_", D100), 7), IFERROR(MID(D100, SEARCH("SUO_", D100), 7), IFERROR(MID(D100, SEARCH("SUD_", D100), 7), IFERROR(MID(D100, SEARCH("NRO_", D100), 7), IFERROR(MID(D100, SEARCH("ADM_", D100), 7), IFERROR(MID(D100, SEARCH("NRD_", D100), 7), IFERROR(MID(D100, SEARCH("EXN_", D100), 7), IFERROR(MID(D100, SEARCH("LIT_", D100), 7), IFERROR(MID(D100, SEARCH("EST_", D100), 7), MID(D100, SEARCH("OST_",D100), 7))))))))))</f>
        <v/>
      </c>
      <c r="F100" s="12" t="inlineStr">
        <is>
          <t>(04/29/2026 incident ): impacted by SUO_007_H_Buea-Orange, Plantage de l'ODU 5.1A Buea -signal-Hill  || Action site up after physique reset of ODU 5.1A Buea -signal-Hill</t>
        </is>
      </c>
    </row>
    <row r="101" hidden="1" ht="18.75" customHeight="1">
      <c r="A101" s="12" t="n"/>
      <c r="B101" s="12" t="n"/>
      <c r="C101" s="12" t="n"/>
      <c r="D101" s="12" t="inlineStr">
        <is>
          <t>SUO_132_H_Bonakanda</t>
        </is>
      </c>
      <c r="E101" s="12">
        <f>IFERROR(MID(D101, SEARCH("CTR_", D101), 7), IFERROR(MID(D101, SEARCH("SUO_", D101), 7), IFERROR(MID(D101, SEARCH("SUD_", D101), 7), IFERROR(MID(D101, SEARCH("NRO_", D101), 7), IFERROR(MID(D101, SEARCH("ADM_", D101), 7), IFERROR(MID(D101, SEARCH("NRD_", D101), 7), IFERROR(MID(D101, SEARCH("EXN_", D101), 7), IFERROR(MID(D101, SEARCH("LIT_", D101), 7), IFERROR(MID(D101, SEARCH("EST_", D101), 7), MID(D101, SEARCH("OST_",D101), 7))))))))))</f>
        <v/>
      </c>
      <c r="F101" s="12" t="inlineStr">
        <is>
          <t>(04/29/2026 incident ): impacted by SUO_007_H_Buea-Orange, Plantage de l'ODU 5.1A Buea -signal-Hill  || Action site up after physique reset of ODU 5.1A Buea -signal-Hill</t>
        </is>
      </c>
    </row>
    <row r="102" hidden="1" ht="18.75" customHeight="1">
      <c r="A102" s="12" t="n"/>
      <c r="B102" s="12" t="n"/>
      <c r="C102" s="12" t="n"/>
      <c r="D102" s="12" t="inlineStr">
        <is>
          <t>SUO_038_H_Muea</t>
        </is>
      </c>
      <c r="E102" s="12">
        <f>IFERROR(MID(D102, SEARCH("CTR_", D102), 7), IFERROR(MID(D102, SEARCH("SUO_", D102), 7), IFERROR(MID(D102, SEARCH("SUD_", D102), 7), IFERROR(MID(D102, SEARCH("NRO_", D102), 7), IFERROR(MID(D102, SEARCH("ADM_", D102), 7), IFERROR(MID(D102, SEARCH("NRD_", D102), 7), IFERROR(MID(D102, SEARCH("EXN_", D102), 7), IFERROR(MID(D102, SEARCH("LIT_", D102), 7), IFERROR(MID(D102, SEARCH("EST_", D102), 7), MID(D102, SEARCH("OST_",D102), 7))))))))))</f>
        <v/>
      </c>
      <c r="F102" s="12" t="inlineStr">
        <is>
          <t>(04/29/2026 incident ): impacted by SUO_007_H_Buea-Orange, Plantage de l'ODU 5.1A Buea -signal-Hill  || Action site up after physique reset of ODU 5.1A Buea -signal-Hill</t>
        </is>
      </c>
    </row>
    <row r="103" hidden="1" ht="18.75" customHeight="1">
      <c r="A103" s="12" t="n"/>
      <c r="B103" s="12" t="n"/>
      <c r="C103" s="12" t="n"/>
      <c r="D103" s="12" t="inlineStr">
        <is>
          <t>SUO_301_H_Buea-Koke-Quater</t>
        </is>
      </c>
      <c r="E103" s="12">
        <f>IFERROR(MID(D103, SEARCH("CTR_", D103), 7), IFERROR(MID(D103, SEARCH("SUO_", D103), 7), IFERROR(MID(D103, SEARCH("SUD_", D103), 7), IFERROR(MID(D103, SEARCH("NRO_", D103), 7), IFERROR(MID(D103, SEARCH("ADM_", D103), 7), IFERROR(MID(D103, SEARCH("NRD_", D103), 7), IFERROR(MID(D103, SEARCH("EXN_", D103), 7), IFERROR(MID(D103, SEARCH("LIT_", D103), 7), IFERROR(MID(D103, SEARCH("EST_", D103), 7), MID(D103, SEARCH("OST_",D103), 7))))))))))</f>
        <v/>
      </c>
      <c r="F103" s="12" t="inlineStr">
        <is>
          <t>(04/29/2026 incident ): impacted by SUO_007_H_Buea-Orange, Plantage de l'ODU 5.1A Buea -signal-Hill  || Action site up after physique reset of ODU 5.1A Buea -signal-Hill</t>
        </is>
      </c>
    </row>
    <row r="104" hidden="1" ht="18.75" customHeight="1">
      <c r="A104" s="12" t="n"/>
      <c r="B104" s="12" t="n"/>
      <c r="C104" s="12" t="n"/>
      <c r="D104" s="12" t="inlineStr">
        <is>
          <t>SUO_306_H_Buea-Bondouma</t>
        </is>
      </c>
      <c r="E104" s="12">
        <f>IFERROR(MID(D104, SEARCH("CTR_", D104), 7), IFERROR(MID(D104, SEARCH("SUO_", D104), 7), IFERROR(MID(D104, SEARCH("SUD_", D104), 7), IFERROR(MID(D104, SEARCH("NRO_", D104), 7), IFERROR(MID(D104, SEARCH("ADM_", D104), 7), IFERROR(MID(D104, SEARCH("NRD_", D104), 7), IFERROR(MID(D104, SEARCH("EXN_", D104), 7), IFERROR(MID(D104, SEARCH("LIT_", D104), 7), IFERROR(MID(D104, SEARCH("EST_", D104), 7), MID(D104, SEARCH("OST_",D104), 7))))))))))</f>
        <v/>
      </c>
      <c r="F104" s="12" t="inlineStr">
        <is>
          <t>(04/29/2026 incident ): impacted by SUO_007_H_Buea-Orange, Plantage de l'ODU 5.1A Buea -signal-Hill  || Action site up after physique reset of ODU 5.1A Buea -signal-Hill</t>
        </is>
      </c>
    </row>
    <row r="105" hidden="1" ht="18.75" customHeight="1">
      <c r="A105" s="12" t="n"/>
      <c r="B105" s="12" t="n"/>
      <c r="C105" s="12" t="n"/>
      <c r="D105" s="13" t="inlineStr">
        <is>
          <t>SUO_007_H_Buea-Orange</t>
        </is>
      </c>
      <c r="E105" s="12">
        <f>IFERROR(MID(D105, SEARCH("CTR_", D105), 7), IFERROR(MID(D105, SEARCH("SUO_", D105), 7), IFERROR(MID(D105, SEARCH("SUD_", D105), 7), IFERROR(MID(D105, SEARCH("NRO_", D105), 7), IFERROR(MID(D105, SEARCH("ADM_", D105), 7), IFERROR(MID(D105, SEARCH("NRD_", D105), 7), IFERROR(MID(D105, SEARCH("EXN_", D105), 7), IFERROR(MID(D105, SEARCH("LIT_", D105), 7), IFERROR(MID(D105, SEARCH("EST_", D105), 7), MID(D105, SEARCH("OST_",D105), 7))))))))))</f>
        <v/>
      </c>
      <c r="F105" s="12" t="inlineStr">
        <is>
          <t>(04/29/2026 incident ): impacted by SUO_007_H_Buea-Orange, Plantage de l'ODU 5.1A Buea -signal-Hill  || Action site up after physique reset of ODU 5.1A Buea -signal-Hill</t>
        </is>
      </c>
    </row>
    <row r="106" hidden="1" ht="18.75" customHeight="1">
      <c r="A106" s="12" t="n"/>
      <c r="B106" s="12" t="inlineStr">
        <is>
          <t>SUO_023_H_Buea-Signal-Hill</t>
        </is>
      </c>
      <c r="C106" s="12" t="inlineStr">
        <is>
          <t>2604D88940 // INC-20260429-00008991</t>
        </is>
      </c>
      <c r="D106" s="12" t="inlineStr">
        <is>
          <t>SUO_179_H_MOLYKO-PARAMOUNT-STREET-IHS</t>
        </is>
      </c>
      <c r="E106" s="12">
        <f>IFERROR(MID(D106, SEARCH("CTR_", D106), 7), IFERROR(MID(D106, SEARCH("SUO_", D106), 7), IFERROR(MID(D106, SEARCH("SUD_", D106), 7), IFERROR(MID(D106, SEARCH("NRO_", D106), 7), IFERROR(MID(D106, SEARCH("ADM_", D106), 7), IFERROR(MID(D106, SEARCH("NRD_", D106), 7), IFERROR(MID(D106, SEARCH("EXN_", D106), 7), IFERROR(MID(D106, SEARCH("LIT_", D106), 7), IFERROR(MID(D106, SEARCH("EST_", D106), 7), MID(D106, SEARCH("OST_",D106), 7))))))))))</f>
        <v/>
      </c>
      <c r="F106" s="12" t="inlineStr">
        <is>
          <t>(04/29/2026 incident ): impacted by  SUO_023_H_Buea-Signal-Hill  Souci d'energie defaut GE || Action  En attente RCA  de OCM</t>
        </is>
      </c>
    </row>
    <row r="107" hidden="1" ht="18.75" customHeight="1">
      <c r="A107" s="12" t="n"/>
      <c r="B107" s="12" t="n"/>
      <c r="C107" s="12" t="n"/>
      <c r="D107" s="12" t="inlineStr">
        <is>
          <t>SUO_182_H_Buea-Service-Center-IHS</t>
        </is>
      </c>
      <c r="E107" s="12">
        <f>IFERROR(MID(D107, SEARCH("CTR_", D107), 7), IFERROR(MID(D107, SEARCH("SUO_", D107), 7), IFERROR(MID(D107, SEARCH("SUD_", D107), 7), IFERROR(MID(D107, SEARCH("NRO_", D107), 7), IFERROR(MID(D107, SEARCH("ADM_", D107), 7), IFERROR(MID(D107, SEARCH("NRD_", D107), 7), IFERROR(MID(D107, SEARCH("EXN_", D107), 7), IFERROR(MID(D107, SEARCH("LIT_", D107), 7), IFERROR(MID(D107, SEARCH("EST_", D107), 7), MID(D107, SEARCH("OST_",D107), 7))))))))))</f>
        <v/>
      </c>
      <c r="F107" s="12" t="inlineStr">
        <is>
          <t>(04/29/2026 incident ): impacted by  SUO_023_H_Buea-Signal-Hill  Souci d'energie defaut GE || Action  En attente RCA  de OCM</t>
        </is>
      </c>
    </row>
    <row r="108" hidden="1" ht="18.75" customHeight="1">
      <c r="A108" s="12" t="n"/>
      <c r="B108" s="12" t="n"/>
      <c r="C108" s="12" t="n"/>
      <c r="D108" s="12" t="inlineStr">
        <is>
          <t>SUO_079_H_Mile14-IHS</t>
        </is>
      </c>
      <c r="E108" s="12">
        <f>IFERROR(MID(D108, SEARCH("CTR_", D108), 7), IFERROR(MID(D108, SEARCH("SUO_", D108), 7), IFERROR(MID(D108, SEARCH("SUD_", D108), 7), IFERROR(MID(D108, SEARCH("NRO_", D108), 7), IFERROR(MID(D108, SEARCH("ADM_", D108), 7), IFERROR(MID(D108, SEARCH("NRD_", D108), 7), IFERROR(MID(D108, SEARCH("EXN_", D108), 7), IFERROR(MID(D108, SEARCH("LIT_", D108), 7), IFERROR(MID(D108, SEARCH("EST_", D108), 7), MID(D108, SEARCH("OST_",D108), 7))))))))))</f>
        <v/>
      </c>
      <c r="F108" s="12" t="inlineStr">
        <is>
          <t>(04/29/2026 incident ): impacted by  SUO_023_H_Buea-Signal-Hill  Souci d'energie defaut GE || Action  En attente RCA  de OCM</t>
        </is>
      </c>
    </row>
    <row r="109" hidden="1" ht="18.75" customHeight="1">
      <c r="A109" s="12" t="n"/>
      <c r="B109" s="12" t="n"/>
      <c r="C109" s="12" t="n"/>
      <c r="D109" s="12" t="inlineStr">
        <is>
          <t>SUO_197_H_Bokwai-IHS</t>
        </is>
      </c>
      <c r="E109" s="12">
        <f>IFERROR(MID(D109, SEARCH("CTR_", D109), 7), IFERROR(MID(D109, SEARCH("SUO_", D109), 7), IFERROR(MID(D109, SEARCH("SUD_", D109), 7), IFERROR(MID(D109, SEARCH("NRO_", D109), 7), IFERROR(MID(D109, SEARCH("ADM_", D109), 7), IFERROR(MID(D109, SEARCH("NRD_", D109), 7), IFERROR(MID(D109, SEARCH("EXN_", D109), 7), IFERROR(MID(D109, SEARCH("LIT_", D109), 7), IFERROR(MID(D109, SEARCH("EST_", D109), 7), MID(D109, SEARCH("OST_",D109), 7))))))))))</f>
        <v/>
      </c>
      <c r="F109" s="12" t="inlineStr">
        <is>
          <t>(04/29/2026 incident ): impacted by  SUO_023_H_Buea-Signal-Hill  Souci d'energie defaut GE || Action  En attente RCA  de OCM</t>
        </is>
      </c>
    </row>
    <row r="110" hidden="1" ht="18.75" customHeight="1">
      <c r="A110" s="12" t="n"/>
      <c r="B110" s="12" t="n"/>
      <c r="C110" s="12" t="n"/>
      <c r="D110" s="12" t="inlineStr">
        <is>
          <t>SUO_190_H_Tole-II-IHS</t>
        </is>
      </c>
      <c r="E110" s="12">
        <f>IFERROR(MID(D110, SEARCH("CTR_", D110), 7), IFERROR(MID(D110, SEARCH("SUO_", D110), 7), IFERROR(MID(D110, SEARCH("SUD_", D110), 7), IFERROR(MID(D110, SEARCH("NRO_", D110), 7), IFERROR(MID(D110, SEARCH("ADM_", D110), 7), IFERROR(MID(D110, SEARCH("NRD_", D110), 7), IFERROR(MID(D110, SEARCH("EXN_", D110), 7), IFERROR(MID(D110, SEARCH("LIT_", D110), 7), IFERROR(MID(D110, SEARCH("EST_", D110), 7), MID(D110, SEARCH("OST_",D110), 7))))))))))</f>
        <v/>
      </c>
      <c r="F110" s="12" t="inlineStr">
        <is>
          <t>(04/29/2026 incident ): impacted by  SUO_023_H_Buea-Signal-Hill  Souci d'energie defaut GE || Action  En attente RCA  de OCM</t>
        </is>
      </c>
    </row>
    <row r="111" hidden="1" ht="18.75" customHeight="1">
      <c r="A111" s="12" t="n"/>
      <c r="B111" s="12" t="n"/>
      <c r="C111" s="12" t="n"/>
      <c r="D111" s="12" t="inlineStr">
        <is>
          <t>SUO_232_H_Buea-Bwitingui-Road</t>
        </is>
      </c>
      <c r="E111" s="12">
        <f>IFERROR(MID(D111, SEARCH("CTR_", D111), 7), IFERROR(MID(D111, SEARCH("SUO_", D111), 7), IFERROR(MID(D111, SEARCH("SUD_", D111), 7), IFERROR(MID(D111, SEARCH("NRO_", D111), 7), IFERROR(MID(D111, SEARCH("ADM_", D111), 7), IFERROR(MID(D111, SEARCH("NRD_", D111), 7), IFERROR(MID(D111, SEARCH("EXN_", D111), 7), IFERROR(MID(D111, SEARCH("LIT_", D111), 7), IFERROR(MID(D111, SEARCH("EST_", D111), 7), MID(D111, SEARCH("OST_",D111), 7))))))))))</f>
        <v/>
      </c>
      <c r="F111" s="12" t="inlineStr">
        <is>
          <t>(04/29/2026 incident ): impacted by  SUO_023_H_Buea-Signal-Hill  Souci d'energie defaut GE || Action  En attente RCA  de OCM</t>
        </is>
      </c>
    </row>
    <row r="112" hidden="1" ht="18.75" customHeight="1">
      <c r="A112" s="12" t="n"/>
      <c r="B112" s="12" t="n"/>
      <c r="C112" s="12" t="n"/>
      <c r="D112" s="12" t="inlineStr">
        <is>
          <t>SUO_259_H_Buea-Salvation-Pharmacy-IHS</t>
        </is>
      </c>
      <c r="E112" s="12">
        <f>IFERROR(MID(D112, SEARCH("CTR_", D112), 7), IFERROR(MID(D112, SEARCH("SUO_", D112), 7), IFERROR(MID(D112, SEARCH("SUD_", D112), 7), IFERROR(MID(D112, SEARCH("NRO_", D112), 7), IFERROR(MID(D112, SEARCH("ADM_", D112), 7), IFERROR(MID(D112, SEARCH("NRD_", D112), 7), IFERROR(MID(D112, SEARCH("EXN_", D112), 7), IFERROR(MID(D112, SEARCH("LIT_", D112), 7), IFERROR(MID(D112, SEARCH("EST_", D112), 7), MID(D112, SEARCH("OST_",D112), 7))))))))))</f>
        <v/>
      </c>
      <c r="F112" s="12" t="inlineStr">
        <is>
          <t>(04/29/2026 incident ): impacted by  SUO_023_H_Buea-Signal-Hill  Souci d'energie defaut GE || Action  En attente RCA  de OCM</t>
        </is>
      </c>
    </row>
    <row r="113" hidden="1" ht="18.75" customHeight="1">
      <c r="A113" s="12" t="n"/>
      <c r="B113" s="12" t="n"/>
      <c r="C113" s="12" t="n"/>
      <c r="D113" s="12" t="inlineStr">
        <is>
          <t>SUO_242_H_Buea-GRA-IHS</t>
        </is>
      </c>
      <c r="E113" s="12">
        <f>IFERROR(MID(D113, SEARCH("CTR_", D113), 7), IFERROR(MID(D113, SEARCH("SUO_", D113), 7), IFERROR(MID(D113, SEARCH("SUD_", D113), 7), IFERROR(MID(D113, SEARCH("NRO_", D113), 7), IFERROR(MID(D113, SEARCH("ADM_", D113), 7), IFERROR(MID(D113, SEARCH("NRD_", D113), 7), IFERROR(MID(D113, SEARCH("EXN_", D113), 7), IFERROR(MID(D113, SEARCH("LIT_", D113), 7), IFERROR(MID(D113, SEARCH("EST_", D113), 7), MID(D113, SEARCH("OST_",D113), 7))))))))))</f>
        <v/>
      </c>
      <c r="F113" s="12" t="inlineStr">
        <is>
          <t>(04/29/2026 incident ): impacted by  SUO_023_H_Buea-Signal-Hill  Souci d'energie defaut GE || Action  En attente RCA  de OCM</t>
        </is>
      </c>
    </row>
    <row r="114" hidden="1" ht="18.75" customHeight="1">
      <c r="A114" s="12" t="n"/>
      <c r="B114" s="12" t="n"/>
      <c r="C114" s="12" t="n"/>
      <c r="D114" s="12" t="inlineStr">
        <is>
          <t>SUO_260_H_Buea-Dirty-South-IHS</t>
        </is>
      </c>
      <c r="E114" s="12">
        <f>IFERROR(MID(D114, SEARCH("CTR_", D114), 7), IFERROR(MID(D114, SEARCH("SUO_", D114), 7), IFERROR(MID(D114, SEARCH("SUD_", D114), 7), IFERROR(MID(D114, SEARCH("NRO_", D114), 7), IFERROR(MID(D114, SEARCH("ADM_", D114), 7), IFERROR(MID(D114, SEARCH("NRD_", D114), 7), IFERROR(MID(D114, SEARCH("EXN_", D114), 7), IFERROR(MID(D114, SEARCH("LIT_", D114), 7), IFERROR(MID(D114, SEARCH("EST_", D114), 7), MID(D114, SEARCH("OST_",D114), 7))))))))))</f>
        <v/>
      </c>
      <c r="F114" s="12" t="inlineStr">
        <is>
          <t>(04/29/2026 incident ): impacted by  SUO_023_H_Buea-Signal-Hill  Souci d'energie defaut GE || Action  En attente RCA  de OCM</t>
        </is>
      </c>
    </row>
    <row r="115" hidden="1" ht="18.75" customHeight="1">
      <c r="A115" s="12" t="n"/>
      <c r="B115" s="12" t="n"/>
      <c r="C115" s="12" t="n"/>
      <c r="D115" s="12" t="inlineStr">
        <is>
          <t>SUO_297_H_Buea-Molyko-New</t>
        </is>
      </c>
      <c r="E115" s="12">
        <f>IFERROR(MID(D115, SEARCH("CTR_", D115), 7), IFERROR(MID(D115, SEARCH("SUO_", D115), 7), IFERROR(MID(D115, SEARCH("SUD_", D115), 7), IFERROR(MID(D115, SEARCH("NRO_", D115), 7), IFERROR(MID(D115, SEARCH("ADM_", D115), 7), IFERROR(MID(D115, SEARCH("NRD_", D115), 7), IFERROR(MID(D115, SEARCH("EXN_", D115), 7), IFERROR(MID(D115, SEARCH("LIT_", D115), 7), IFERROR(MID(D115, SEARCH("EST_", D115), 7), MID(D115, SEARCH("OST_",D115), 7))))))))))</f>
        <v/>
      </c>
      <c r="F115" s="12" t="inlineStr">
        <is>
          <t>(04/29/2026 incident ): impacted by  SUO_023_H_Buea-Signal-Hill  Souci d'energie defaut GE || Action  En attente RCA  de OCM</t>
        </is>
      </c>
    </row>
    <row r="116" hidden="1" ht="18.75" customHeight="1">
      <c r="A116" s="12" t="n"/>
      <c r="B116" s="12" t="n"/>
      <c r="C116" s="12" t="n"/>
      <c r="D116" s="12" t="inlineStr">
        <is>
          <t>SUO_299_H_Limbe-Samko</t>
        </is>
      </c>
      <c r="E116" s="12">
        <f>IFERROR(MID(D116, SEARCH("CTR_", D116), 7), IFERROR(MID(D116, SEARCH("SUO_", D116), 7), IFERROR(MID(D116, SEARCH("SUD_", D116), 7), IFERROR(MID(D116, SEARCH("NRO_", D116), 7), IFERROR(MID(D116, SEARCH("ADM_", D116), 7), IFERROR(MID(D116, SEARCH("NRD_", D116), 7), IFERROR(MID(D116, SEARCH("EXN_", D116), 7), IFERROR(MID(D116, SEARCH("LIT_", D116), 7), IFERROR(MID(D116, SEARCH("EST_", D116), 7), MID(D116, SEARCH("OST_",D116), 7))))))))))</f>
        <v/>
      </c>
      <c r="F116" s="12" t="inlineStr">
        <is>
          <t>(04/29/2026 incident ): impacted by  SUO_023_H_Buea-Signal-Hill  Souci d'energie defaut GE || Action  En attente RCA  de OCM</t>
        </is>
      </c>
    </row>
    <row r="117" hidden="1" ht="18.75" customHeight="1">
      <c r="A117" s="12" t="n"/>
      <c r="B117" s="12" t="n"/>
      <c r="C117" s="12" t="n"/>
      <c r="D117" s="12" t="inlineStr">
        <is>
          <t>SUO_303_H_Buea-Up-Molyko</t>
        </is>
      </c>
      <c r="E117" s="12">
        <f>IFERROR(MID(D117, SEARCH("CTR_", D117), 7), IFERROR(MID(D117, SEARCH("SUO_", D117), 7), IFERROR(MID(D117, SEARCH("SUD_", D117), 7), IFERROR(MID(D117, SEARCH("NRO_", D117), 7), IFERROR(MID(D117, SEARCH("ADM_", D117), 7), IFERROR(MID(D117, SEARCH("NRD_", D117), 7), IFERROR(MID(D117, SEARCH("EXN_", D117), 7), IFERROR(MID(D117, SEARCH("LIT_", D117), 7), IFERROR(MID(D117, SEARCH("EST_", D117), 7), MID(D117, SEARCH("OST_",D117), 7))))))))))</f>
        <v/>
      </c>
      <c r="F117" s="12" t="inlineStr">
        <is>
          <t>(04/29/2026 incident ): impacted by  SUO_023_H_Buea-Signal-Hill  Souci d'energie defaut GE || Action  En attente RCA  de OCM</t>
        </is>
      </c>
    </row>
    <row r="118" hidden="1" ht="18.75" customHeight="1">
      <c r="A118" s="12" t="n"/>
      <c r="B118" s="12" t="n"/>
      <c r="C118" s="12" t="n"/>
      <c r="D118" s="12" t="inlineStr">
        <is>
          <t>SUO_023_H_Buea-Signal-Hill</t>
        </is>
      </c>
      <c r="E118" s="12">
        <f>IFERROR(MID(D118, SEARCH("CTR_", D118), 7), IFERROR(MID(D118, SEARCH("SUO_", D118), 7), IFERROR(MID(D118, SEARCH("SUD_", D118), 7), IFERROR(MID(D118, SEARCH("NRO_", D118), 7), IFERROR(MID(D118, SEARCH("ADM_", D118), 7), IFERROR(MID(D118, SEARCH("NRD_", D118), 7), IFERROR(MID(D118, SEARCH("EXN_", D118), 7), IFERROR(MID(D118, SEARCH("LIT_", D118), 7), IFERROR(MID(D118, SEARCH("EST_", D118), 7), MID(D118, SEARCH("OST_",D118), 7))))))))))</f>
        <v/>
      </c>
      <c r="F118" s="12" t="inlineStr">
        <is>
          <t>(04/29/2026 incident ): impacted by  SUO_023_H_Buea-Signal-Hill  Souci d'energie defaut GE || Action  En attente RCA  de OCM</t>
        </is>
      </c>
    </row>
    <row r="119" hidden="1" ht="18.75" customHeight="1">
      <c r="A119" s="12" t="n"/>
      <c r="B119" s="12" t="n"/>
      <c r="C119" s="12" t="n"/>
      <c r="D119" s="12" t="inlineStr">
        <is>
          <t>SUO_033_H_Buea-Entree</t>
        </is>
      </c>
      <c r="E119" s="12">
        <f>IFERROR(MID(D119, SEARCH("CTR_", D119), 7), IFERROR(MID(D119, SEARCH("SUO_", D119), 7), IFERROR(MID(D119, SEARCH("SUD_", D119), 7), IFERROR(MID(D119, SEARCH("NRO_", D119), 7), IFERROR(MID(D119, SEARCH("ADM_", D119), 7), IFERROR(MID(D119, SEARCH("NRD_", D119), 7), IFERROR(MID(D119, SEARCH("EXN_", D119), 7), IFERROR(MID(D119, SEARCH("LIT_", D119), 7), IFERROR(MID(D119, SEARCH("EST_", D119), 7), MID(D119, SEARCH("OST_",D119), 7))))))))))</f>
        <v/>
      </c>
      <c r="F119" s="12" t="inlineStr">
        <is>
          <t>(04/29/2026 incident ): impacted by  SUO_023_H_Buea-Signal-Hill  Souci d'energie defaut GE || Action  En attente RCA  de OCM</t>
        </is>
      </c>
    </row>
    <row r="120" hidden="1" ht="18.75" customHeight="1">
      <c r="A120" s="12" t="n"/>
      <c r="B120" s="12" t="n"/>
      <c r="C120" s="12" t="n"/>
      <c r="D120" s="12" t="inlineStr">
        <is>
          <t>SUO_062_H_Buea-Universite</t>
        </is>
      </c>
      <c r="E120" s="12">
        <f>IFERROR(MID(D120, SEARCH("CTR_", D120), 7), IFERROR(MID(D120, SEARCH("SUO_", D120), 7), IFERROR(MID(D120, SEARCH("SUD_", D120), 7), IFERROR(MID(D120, SEARCH("NRO_", D120), 7), IFERROR(MID(D120, SEARCH("ADM_", D120), 7), IFERROR(MID(D120, SEARCH("NRD_", D120), 7), IFERROR(MID(D120, SEARCH("EXN_", D120), 7), IFERROR(MID(D120, SEARCH("LIT_", D120), 7), IFERROR(MID(D120, SEARCH("EST_", D120), 7), MID(D120, SEARCH("OST_",D120), 7))))))))))</f>
        <v/>
      </c>
      <c r="F120" s="12" t="inlineStr">
        <is>
          <t>(04/29/2026 incident ): impacted by  SUO_023_H_Buea-Signal-Hill  Souci d'energie defaut GE || Action  En attente RCA  de OCM</t>
        </is>
      </c>
    </row>
    <row r="121" hidden="1" ht="18.75" customHeight="1">
      <c r="A121" s="12" t="n"/>
      <c r="B121" s="12" t="n"/>
      <c r="C121" s="12" t="n"/>
      <c r="D121" s="12" t="inlineStr">
        <is>
          <t>SUO_063_H_Buea-Centre-Ville</t>
        </is>
      </c>
      <c r="E121" s="12">
        <f>IFERROR(MID(D121, SEARCH("CTR_", D121), 7), IFERROR(MID(D121, SEARCH("SUO_", D121), 7), IFERROR(MID(D121, SEARCH("SUD_", D121), 7), IFERROR(MID(D121, SEARCH("NRO_", D121), 7), IFERROR(MID(D121, SEARCH("ADM_", D121), 7), IFERROR(MID(D121, SEARCH("NRD_", D121), 7), IFERROR(MID(D121, SEARCH("EXN_", D121), 7), IFERROR(MID(D121, SEARCH("LIT_", D121), 7), IFERROR(MID(D121, SEARCH("EST_", D121), 7), MID(D121, SEARCH("OST_",D121), 7))))))))))</f>
        <v/>
      </c>
      <c r="F121" s="12" t="inlineStr">
        <is>
          <t>(04/29/2026 incident ): impacted by  SUO_023_H_Buea-Signal-Hill  Souci d'energie defaut GE || Action  En attente RCA  de OCM</t>
        </is>
      </c>
    </row>
    <row r="122" hidden="1" ht="18.75" customHeight="1">
      <c r="A122" s="12" t="n"/>
      <c r="B122" s="12" t="n"/>
      <c r="C122" s="12" t="n"/>
      <c r="D122" s="13" t="inlineStr">
        <is>
          <t>SUO_077_H_Buea-David-Square</t>
        </is>
      </c>
      <c r="E122" s="13">
        <f>IFERROR(MID(D122, SEARCH("CTR_", D122), 7), IFERROR(MID(D122, SEARCH("SUO_", D122), 7), IFERROR(MID(D122, SEARCH("SUD_", D122), 7), IFERROR(MID(D122, SEARCH("NRO_", D122), 7), IFERROR(MID(D122, SEARCH("ADM_", D122), 7), IFERROR(MID(D122, SEARCH("NRD_", D122), 7), IFERROR(MID(D122, SEARCH("EXN_", D122), 7), IFERROR(MID(D122, SEARCH("LIT_", D122), 7), IFERROR(MID(D122, SEARCH("EST_", D122), 7), MID(D122, SEARCH("OST_",D122), 7))))))))))</f>
        <v/>
      </c>
      <c r="F122" s="12" t="inlineStr">
        <is>
          <t>(04/29/2026 incident ): impacted by  SUO_023_H_Buea-Signal-Hill  Souci d'energie defaut GE || Action  En attente RCA  de OCM</t>
        </is>
      </c>
    </row>
    <row r="123" hidden="1" ht="18.75" customHeight="1">
      <c r="A123" s="12" t="n"/>
      <c r="B123" s="12" t="n"/>
      <c r="C123" s="12" t="n"/>
      <c r="D123" s="12" t="inlineStr">
        <is>
          <t>SUO_066_H_Berunda-MTN</t>
        </is>
      </c>
      <c r="E123" s="12">
        <f>IFERROR(MID(D123, SEARCH("CTR_", D123), 7), IFERROR(MID(D123, SEARCH("SUO_", D123), 7), IFERROR(MID(D123, SEARCH("SUD_", D123), 7), IFERROR(MID(D123, SEARCH("NRO_", D123), 7), IFERROR(MID(D123, SEARCH("ADM_", D123), 7), IFERROR(MID(D123, SEARCH("NRD_", D123), 7), IFERROR(MID(D123, SEARCH("EXN_", D123), 7), IFERROR(MID(D123, SEARCH("LIT_", D123), 7), IFERROR(MID(D123, SEARCH("EST_", D123), 7), MID(D123, SEARCH("OST_",D123), 7))))))))))</f>
        <v/>
      </c>
      <c r="F123" s="12" t="inlineStr">
        <is>
          <t>(04/29/2026 incident ): impacted by  SUO_023_H_Buea-Signal-Hill  Souci d'energie defaut GE || Action  En attente RCA  de OCM</t>
        </is>
      </c>
    </row>
    <row r="124" hidden="1" ht="18.75" customHeight="1">
      <c r="A124" s="12" t="n"/>
      <c r="B124" s="12" t="n"/>
      <c r="C124" s="12" t="n"/>
      <c r="D124" s="12" t="inlineStr">
        <is>
          <t>SUO_152_H_Tole-Tea-IHS</t>
        </is>
      </c>
      <c r="E124" s="12">
        <f>IFERROR(MID(D124, SEARCH("CTR_", D124), 7), IFERROR(MID(D124, SEARCH("SUO_", D124), 7), IFERROR(MID(D124, SEARCH("SUD_", D124), 7), IFERROR(MID(D124, SEARCH("NRO_", D124), 7), IFERROR(MID(D124, SEARCH("ADM_", D124), 7), IFERROR(MID(D124, SEARCH("NRD_", D124), 7), IFERROR(MID(D124, SEARCH("EXN_", D124), 7), IFERROR(MID(D124, SEARCH("LIT_", D124), 7), IFERROR(MID(D124, SEARCH("EST_", D124), 7), MID(D124, SEARCH("OST_",D124), 7))))))))))</f>
        <v/>
      </c>
      <c r="F124" s="12" t="inlineStr">
        <is>
          <t>(04/29/2026 incident ): impacted by  SUO_023_H_Buea-Signal-Hill  Souci d'energie defaut GE || Action  En attente RCA  de OCM</t>
        </is>
      </c>
    </row>
    <row r="125" hidden="1" ht="18.75" customHeight="1">
      <c r="A125" s="12" t="n"/>
      <c r="B125" s="12" t="n"/>
      <c r="C125" s="12" t="n"/>
      <c r="D125" s="12" t="inlineStr">
        <is>
          <t>SUO_163_H_Buea-Hospital</t>
        </is>
      </c>
      <c r="E125" s="12">
        <f>IFERROR(MID(D125, SEARCH("CTR_", D125), 7), IFERROR(MID(D125, SEARCH("SUO_", D125), 7), IFERROR(MID(D125, SEARCH("SUD_", D125), 7), IFERROR(MID(D125, SEARCH("NRO_", D125), 7), IFERROR(MID(D125, SEARCH("ADM_", D125), 7), IFERROR(MID(D125, SEARCH("NRD_", D125), 7), IFERROR(MID(D125, SEARCH("EXN_", D125), 7), IFERROR(MID(D125, SEARCH("LIT_", D125), 7), IFERROR(MID(D125, SEARCH("EST_", D125), 7), MID(D125, SEARCH("OST_",D125), 7))))))))))</f>
        <v/>
      </c>
      <c r="F125" s="12" t="inlineStr">
        <is>
          <t>(04/29/2026 incident ): impacted by  SUO_023_H_Buea-Signal-Hill  Souci d'energie defaut GE || Action  En attente RCA  de OCM</t>
        </is>
      </c>
    </row>
    <row r="126" hidden="1" ht="18.75" customHeight="1">
      <c r="A126" s="12" t="n"/>
      <c r="B126" s="12" t="n"/>
      <c r="C126" s="12" t="n"/>
      <c r="D126" s="12" t="inlineStr">
        <is>
          <t>SUO_169_H_Buea-Bomaka-III-MTN</t>
        </is>
      </c>
      <c r="E126" s="12">
        <f>IFERROR(MID(D126, SEARCH("CTR_", D126), 7), IFERROR(MID(D126, SEARCH("SUO_", D126), 7), IFERROR(MID(D126, SEARCH("SUD_", D126), 7), IFERROR(MID(D126, SEARCH("NRO_", D126), 7), IFERROR(MID(D126, SEARCH("ADM_", D126), 7), IFERROR(MID(D126, SEARCH("NRD_", D126), 7), IFERROR(MID(D126, SEARCH("EXN_", D126), 7), IFERROR(MID(D126, SEARCH("LIT_", D126), 7), IFERROR(MID(D126, SEARCH("EST_", D126), 7), MID(D126, SEARCH("OST_",D126), 7))))))))))</f>
        <v/>
      </c>
      <c r="F126" s="12" t="inlineStr">
        <is>
          <t>(04/29/2026 incident ): impacted by  SUO_023_H_Buea-Signal-Hill  Souci d'energie defaut GE || Action  En attente RCA  de OCM</t>
        </is>
      </c>
    </row>
    <row r="127" hidden="1" ht="18.75" customHeight="1">
      <c r="A127" s="12" t="n"/>
      <c r="B127" s="12" t="n"/>
      <c r="C127" s="12" t="n"/>
      <c r="D127" s="12" t="inlineStr">
        <is>
          <t>SUO_170_H_Buea-Low-Boduma-MTN</t>
        </is>
      </c>
      <c r="E127" s="12">
        <f>IFERROR(MID(D127, SEARCH("CTR_", D127), 7), IFERROR(MID(D127, SEARCH("SUO_", D127), 7), IFERROR(MID(D127, SEARCH("SUD_", D127), 7), IFERROR(MID(D127, SEARCH("NRO_", D127), 7), IFERROR(MID(D127, SEARCH("ADM_", D127), 7), IFERROR(MID(D127, SEARCH("NRD_", D127), 7), IFERROR(MID(D127, SEARCH("EXN_", D127), 7), IFERROR(MID(D127, SEARCH("LIT_", D127), 7), IFERROR(MID(D127, SEARCH("EST_", D127), 7), MID(D127, SEARCH("OST_",D127), 7))))))))))</f>
        <v/>
      </c>
      <c r="F127" s="12" t="inlineStr">
        <is>
          <t>(04/29/2026 incident ): impacted by  SUO_023_H_Buea-Signal-Hill  Souci d'energie defaut GE || Action  En attente RCA  de OCM</t>
        </is>
      </c>
    </row>
    <row r="128" ht="18.75" customHeight="1">
      <c r="A128" s="12" t="n"/>
      <c r="B128" s="12" t="n"/>
      <c r="C128" s="12" t="n"/>
      <c r="D128" s="12" t="inlineStr">
        <is>
          <t>OST_093_N_Mayo-Djinga-FH_G</t>
        </is>
      </c>
      <c r="E128" s="12">
        <f>IFERROR(MID(D128, SEARCH("CTR_", D128), 7), IFERROR(MID(D128, SEARCH("SUO_", D128), 7), IFERROR(MID(D128, SEARCH("SUD_", D128), 7), IFERROR(MID(D128, SEARCH("NRO_", D128), 7), IFERROR(MID(D128, SEARCH("ADM_", D128), 7), IFERROR(MID(D128, SEARCH("NRD_", D128), 7), IFERROR(MID(D128, SEARCH("EXN_", D128), 7), IFERROR(MID(D128, SEARCH("LIT_", D128), 7), IFERROR(MID(D128, SEARCH("EST_", D128), 7), MID(D128, SEARCH("OST_",D128), 7))))))))))</f>
        <v/>
      </c>
      <c r="F128" s="12" t="inlineStr">
        <is>
          <t>(04/29/2026 incident ): impacted by    Magba_G_OST_023 , RCA: Power issue / En attente RCA CAMUSAT</t>
        </is>
      </c>
    </row>
    <row r="129" ht="18.75" customHeight="1">
      <c r="A129" s="12" t="n"/>
      <c r="B129" s="12" t="n"/>
      <c r="C129" s="12" t="n"/>
      <c r="D129" s="12" t="inlineStr">
        <is>
          <t>OST_200_N_Mantoum-Village_G</t>
        </is>
      </c>
      <c r="E129" s="12">
        <f>IFERROR(MID(D129, SEARCH("CTR_", D129), 7), IFERROR(MID(D129, SEARCH("SUO_", D129), 7), IFERROR(MID(D129, SEARCH("SUD_", D129), 7), IFERROR(MID(D129, SEARCH("NRO_", D129), 7), IFERROR(MID(D129, SEARCH("ADM_", D129), 7), IFERROR(MID(D129, SEARCH("NRD_", D129), 7), IFERROR(MID(D129, SEARCH("EXN_", D129), 7), IFERROR(MID(D129, SEARCH("LIT_", D129), 7), IFERROR(MID(D129, SEARCH("EST_", D129), 7), MID(D129, SEARCH("OST_",D129), 7))))))))))</f>
        <v/>
      </c>
      <c r="F129" s="12" t="inlineStr">
        <is>
          <t>(04/29/2026 incident ): impacted by    Magba_G_OST_023 , RCA: Power issue / En attente RCA CAMUSAT</t>
        </is>
      </c>
    </row>
    <row r="130" ht="18.75" customHeight="1">
      <c r="A130" s="12" t="n"/>
      <c r="B130" s="12" t="n"/>
      <c r="C130" s="12" t="n"/>
      <c r="D130" s="12" t="inlineStr">
        <is>
          <t>OST_115_N_Pangari-MTN</t>
        </is>
      </c>
      <c r="E130" s="12">
        <f>IFERROR(MID(D130, SEARCH("CTR_", D130), 7), IFERROR(MID(D130, SEARCH("SUO_", D130), 7), IFERROR(MID(D130, SEARCH("SUD_", D130), 7), IFERROR(MID(D130, SEARCH("NRO_", D130), 7), IFERROR(MID(D130, SEARCH("ADM_", D130), 7), IFERROR(MID(D130, SEARCH("NRD_", D130), 7), IFERROR(MID(D130, SEARCH("EXN_", D130), 7), IFERROR(MID(D130, SEARCH("LIT_", D130), 7), IFERROR(MID(D130, SEARCH("EST_", D130), 7), MID(D130, SEARCH("OST_",D130), 7))))))))))</f>
        <v/>
      </c>
      <c r="F130" s="12" t="inlineStr">
        <is>
          <t>(04/29/2026 incident ): impacted by    Magba_G_OST_023 , RCA: Power issue / En attente RCA CAMUSAT</t>
        </is>
      </c>
    </row>
    <row r="131" ht="18.75" customHeight="1">
      <c r="A131" s="12" t="n"/>
      <c r="B131" s="12" t="n"/>
      <c r="C131" s="12" t="n"/>
      <c r="D131" s="12" t="inlineStr">
        <is>
          <t>OST_905_URH_MARAPNDOUM</t>
        </is>
      </c>
      <c r="E131" s="12">
        <f>IFERROR(MID(D131, SEARCH("CTR_", D131), 7), IFERROR(MID(D131, SEARCH("SUO_", D131), 7), IFERROR(MID(D131, SEARCH("SUD_", D131), 7), IFERROR(MID(D131, SEARCH("NRO_", D131), 7), IFERROR(MID(D131, SEARCH("ADM_", D131), 7), IFERROR(MID(D131, SEARCH("NRD_", D131), 7), IFERROR(MID(D131, SEARCH("EXN_", D131), 7), IFERROR(MID(D131, SEARCH("LIT_", D131), 7), IFERROR(MID(D131, SEARCH("EST_", D131), 7), MID(D131, SEARCH("OST_",D131), 7))))))))))</f>
        <v/>
      </c>
      <c r="F131" s="12" t="inlineStr">
        <is>
          <t>(04/29/2026 incident ): impacted by    Magba_G_OST_023 , RCA: Power issue / En attente RCA CAMUSAT</t>
        </is>
      </c>
    </row>
    <row r="132" ht="18.75" customHeight="1">
      <c r="A132" s="12" t="n"/>
      <c r="B132" s="12" t="n"/>
      <c r="C132" s="12" t="n"/>
      <c r="D132" s="12" t="inlineStr">
        <is>
          <t>OST_907_URH_MANJE_KOUTOU</t>
        </is>
      </c>
      <c r="E132" s="12">
        <f>IFERROR(MID(D132, SEARCH("CTR_", D132), 7), IFERROR(MID(D132, SEARCH("SUO_", D132), 7), IFERROR(MID(D132, SEARCH("SUD_", D132), 7), IFERROR(MID(D132, SEARCH("NRO_", D132), 7), IFERROR(MID(D132, SEARCH("ADM_", D132), 7), IFERROR(MID(D132, SEARCH("NRD_", D132), 7), IFERROR(MID(D132, SEARCH("EXN_", D132), 7), IFERROR(MID(D132, SEARCH("LIT_", D132), 7), IFERROR(MID(D132, SEARCH("EST_", D132), 7), MID(D132, SEARCH("OST_",D132), 7))))))))))</f>
        <v/>
      </c>
      <c r="F132" s="12" t="inlineStr">
        <is>
          <t>(04/29/2026 incident ): impacted by    Magba_G_OST_023 , RCA: Power issue / En attente RCA CAMUSAT</t>
        </is>
      </c>
    </row>
    <row r="133" ht="18.75" customHeight="1">
      <c r="A133" s="12" t="n"/>
      <c r="B133" s="12" t="n"/>
      <c r="C133" s="12" t="n"/>
      <c r="D133" s="12" t="inlineStr">
        <is>
          <t>OST_386_URH_MATYAPOU</t>
        </is>
      </c>
      <c r="E133" s="12">
        <f>IFERROR(MID(D133, SEARCH("CTR_", D133), 7), IFERROR(MID(D133, SEARCH("SUO_", D133), 7), IFERROR(MID(D133, SEARCH("SUD_", D133), 7), IFERROR(MID(D133, SEARCH("NRO_", D133), 7), IFERROR(MID(D133, SEARCH("ADM_", D133), 7), IFERROR(MID(D133, SEARCH("NRD_", D133), 7), IFERROR(MID(D133, SEARCH("EXN_", D133), 7), IFERROR(MID(D133, SEARCH("LIT_", D133), 7), IFERROR(MID(D133, SEARCH("EST_", D133), 7), MID(D133, SEARCH("OST_",D133), 7))))))))))</f>
        <v/>
      </c>
      <c r="F133" s="12" t="inlineStr">
        <is>
          <t>(04/29/2026 incident ): impacted by    Magba_G_OST_023 , RCA: Power issue / En attente RCA CAMUSAT</t>
        </is>
      </c>
    </row>
    <row r="134" ht="18.75" customHeight="1">
      <c r="A134" s="12" t="n"/>
      <c r="B134" s="12" t="n"/>
      <c r="C134" s="12" t="n"/>
      <c r="D134" s="12" t="inlineStr">
        <is>
          <t>OST_390_URH_NJINGA_NDOUTAIN</t>
        </is>
      </c>
      <c r="E134" s="12">
        <f>IFERROR(MID(D134, SEARCH("CTR_", D134), 7), IFERROR(MID(D134, SEARCH("SUO_", D134), 7), IFERROR(MID(D134, SEARCH("SUD_", D134), 7), IFERROR(MID(D134, SEARCH("NRO_", D134), 7), IFERROR(MID(D134, SEARCH("ADM_", D134), 7), IFERROR(MID(D134, SEARCH("NRD_", D134), 7), IFERROR(MID(D134, SEARCH("EXN_", D134), 7), IFERROR(MID(D134, SEARCH("LIT_", D134), 7), IFERROR(MID(D134, SEARCH("EST_", D134), 7), MID(D134, SEARCH("OST_",D134), 7))))))))))</f>
        <v/>
      </c>
      <c r="F134" s="12" t="inlineStr">
        <is>
          <t>(04/29/2026 incident ): impacted by    Magba_G_OST_023 , RCA: Power issue / En attente RCA CAMUSAT</t>
        </is>
      </c>
    </row>
    <row r="135" ht="18.75" customHeight="1">
      <c r="A135" s="12" t="n"/>
      <c r="B135" s="12" t="n"/>
      <c r="C135" s="12" t="n"/>
      <c r="D135" s="12" t="inlineStr">
        <is>
          <t>OST_337_URH_MAPOU</t>
        </is>
      </c>
      <c r="E135" s="12">
        <f>IFERROR(MID(D135, SEARCH("CTR_", D135), 7), IFERROR(MID(D135, SEARCH("SUO_", D135), 7), IFERROR(MID(D135, SEARCH("SUD_", D135), 7), IFERROR(MID(D135, SEARCH("NRO_", D135), 7), IFERROR(MID(D135, SEARCH("ADM_", D135), 7), IFERROR(MID(D135, SEARCH("NRD_", D135), 7), IFERROR(MID(D135, SEARCH("EXN_", D135), 7), IFERROR(MID(D135, SEARCH("LIT_", D135), 7), IFERROR(MID(D135, SEARCH("EST_", D135), 7), MID(D135, SEARCH("OST_",D135), 7))))))))))</f>
        <v/>
      </c>
      <c r="F135" s="12" t="inlineStr">
        <is>
          <t>(04/29/2026 incident ): impacted by    Magba_G_OST_023 , RCA: Power issue / En attente RCA CAMUSAT</t>
        </is>
      </c>
    </row>
    <row r="136" ht="18.75" customHeight="1">
      <c r="A136" s="12" t="n"/>
      <c r="B136" s="12" t="n"/>
      <c r="C136" s="12" t="n"/>
      <c r="D136" s="12" t="inlineStr">
        <is>
          <t>OST_382_URH_MAGHAM</t>
        </is>
      </c>
      <c r="E136" s="12">
        <f>IFERROR(MID(D136, SEARCH("CTR_", D136), 7), IFERROR(MID(D136, SEARCH("SUO_", D136), 7), IFERROR(MID(D136, SEARCH("SUD_", D136), 7), IFERROR(MID(D136, SEARCH("NRO_", D136), 7), IFERROR(MID(D136, SEARCH("ADM_", D136), 7), IFERROR(MID(D136, SEARCH("NRD_", D136), 7), IFERROR(MID(D136, SEARCH("EXN_", D136), 7), IFERROR(MID(D136, SEARCH("LIT_", D136), 7), IFERROR(MID(D136, SEARCH("EST_", D136), 7), MID(D136, SEARCH("OST_",D136), 7))))))))))</f>
        <v/>
      </c>
      <c r="F136" s="12" t="inlineStr">
        <is>
          <t>(04/29/2026 incident ): impacted by    Magba_G_OST_023 , RCA: Power issue / En attente RCA CAMUSAT</t>
        </is>
      </c>
    </row>
    <row r="137" ht="18.75" customHeight="1">
      <c r="A137" s="12" t="n"/>
      <c r="B137" s="12" t="n"/>
      <c r="C137" s="12" t="n"/>
      <c r="D137" s="12" t="inlineStr">
        <is>
          <t>OST_389_URH_MATOUPOU</t>
        </is>
      </c>
      <c r="E137" s="12">
        <f>IFERROR(MID(D137, SEARCH("CTR_", D137), 7), IFERROR(MID(D137, SEARCH("SUO_", D137), 7), IFERROR(MID(D137, SEARCH("SUD_", D137), 7), IFERROR(MID(D137, SEARCH("NRO_", D137), 7), IFERROR(MID(D137, SEARCH("ADM_", D137), 7), IFERROR(MID(D137, SEARCH("NRD_", D137), 7), IFERROR(MID(D137, SEARCH("EXN_", D137), 7), IFERROR(MID(D137, SEARCH("LIT_", D137), 7), IFERROR(MID(D137, SEARCH("EST_", D137), 7), MID(D137, SEARCH("OST_",D137), 7))))))))))</f>
        <v/>
      </c>
      <c r="F137" s="12" t="inlineStr">
        <is>
          <t>(04/29/2026 incident ): impacted by    Magba_G_OST_023 , RCA: Power issue / En attente RCA CAMUSAT</t>
        </is>
      </c>
    </row>
    <row r="138" ht="18.75" customHeight="1">
      <c r="A138" s="12" t="n"/>
      <c r="B138" s="12" t="n"/>
      <c r="C138" s="12" t="n"/>
      <c r="D138" s="12" t="inlineStr">
        <is>
          <t>OST_391_URH_MATABA_PONDIMOUN</t>
        </is>
      </c>
      <c r="E138" s="12">
        <f>IFERROR(MID(D138, SEARCH("CTR_", D138), 7), IFERROR(MID(D138, SEARCH("SUO_", D138), 7), IFERROR(MID(D138, SEARCH("SUD_", D138), 7), IFERROR(MID(D138, SEARCH("NRO_", D138), 7), IFERROR(MID(D138, SEARCH("ADM_", D138), 7), IFERROR(MID(D138, SEARCH("NRD_", D138), 7), IFERROR(MID(D138, SEARCH("EXN_", D138), 7), IFERROR(MID(D138, SEARCH("LIT_", D138), 7), IFERROR(MID(D138, SEARCH("EST_", D138), 7), MID(D138, SEARCH("OST_",D138), 7))))))))))</f>
        <v/>
      </c>
      <c r="F138" s="12" t="inlineStr">
        <is>
          <t>(04/29/2026 incident ): impacted by    Magba_G_OST_023 , RCA: Power issue / En attente RCA CAMUSAT</t>
        </is>
      </c>
    </row>
    <row r="139" ht="18.75" customHeight="1">
      <c r="A139" s="12" t="n"/>
      <c r="B139" s="12" t="n"/>
      <c r="C139" s="12" t="n"/>
      <c r="D139" s="12" t="inlineStr">
        <is>
          <t>ADM_191_URH_KOL</t>
        </is>
      </c>
      <c r="E139" s="12">
        <f>IFERROR(MID(D139, SEARCH("CTR_", D139), 7), IFERROR(MID(D139, SEARCH("SUO_", D139), 7), IFERROR(MID(D139, SEARCH("SUD_", D139), 7), IFERROR(MID(D139, SEARCH("NRO_", D139), 7), IFERROR(MID(D139, SEARCH("ADM_", D139), 7), IFERROR(MID(D139, SEARCH("NRD_", D139), 7), IFERROR(MID(D139, SEARCH("EXN_", D139), 7), IFERROR(MID(D139, SEARCH("LIT_", D139), 7), IFERROR(MID(D139, SEARCH("EST_", D139), 7), MID(D139, SEARCH("OST_",D139), 7))))))))))</f>
        <v/>
      </c>
      <c r="F139" s="12" t="inlineStr">
        <is>
          <t>(04/29/2026 incident ): impacted by    Magba_G_OST_023 , RCA: Power issue / En attente RCA CAMUSAT</t>
        </is>
      </c>
    </row>
    <row r="140" ht="18.75" customHeight="1">
      <c r="A140" s="12" t="n"/>
      <c r="B140" s="12" t="n"/>
      <c r="C140" s="12" t="n"/>
      <c r="D140" s="12" t="inlineStr">
        <is>
          <t>ADM_248_URH_MAYO-DARLE</t>
        </is>
      </c>
      <c r="E140" s="12">
        <f>IFERROR(MID(D140, SEARCH("CTR_", D140), 7), IFERROR(MID(D140, SEARCH("SUO_", D140), 7), IFERROR(MID(D140, SEARCH("SUD_", D140), 7), IFERROR(MID(D140, SEARCH("NRO_", D140), 7), IFERROR(MID(D140, SEARCH("ADM_", D140), 7), IFERROR(MID(D140, SEARCH("NRD_", D140), 7), IFERROR(MID(D140, SEARCH("EXN_", D140), 7), IFERROR(MID(D140, SEARCH("LIT_", D140), 7), IFERROR(MID(D140, SEARCH("EST_", D140), 7), MID(D140, SEARCH("OST_",D140), 7))))))))))</f>
        <v/>
      </c>
      <c r="F140" s="12" t="inlineStr">
        <is>
          <t>(04/29/2026 incident ): impacted by    Magba_G_OST_023 , RCA: Power issue / En attente RCA CAMUSAT</t>
        </is>
      </c>
    </row>
    <row r="141" ht="18.75" customHeight="1">
      <c r="A141" s="12" t="n"/>
      <c r="B141" s="12" t="n"/>
      <c r="C141" s="12" t="n"/>
      <c r="D141" s="12" t="inlineStr">
        <is>
          <t>OST_383_URH_MATACHOUOM</t>
        </is>
      </c>
      <c r="E141" s="12">
        <f>IFERROR(MID(D141, SEARCH("CTR_", D141), 7), IFERROR(MID(D141, SEARCH("SUO_", D141), 7), IFERROR(MID(D141, SEARCH("SUD_", D141), 7), IFERROR(MID(D141, SEARCH("NRO_", D141), 7), IFERROR(MID(D141, SEARCH("ADM_", D141), 7), IFERROR(MID(D141, SEARCH("NRD_", D141), 7), IFERROR(MID(D141, SEARCH("EXN_", D141), 7), IFERROR(MID(D141, SEARCH("LIT_", D141), 7), IFERROR(MID(D141, SEARCH("EST_", D141), 7), MID(D141, SEARCH("OST_",D141), 7))))))))))</f>
        <v/>
      </c>
      <c r="F141" s="12" t="inlineStr">
        <is>
          <t>(04/29/2026 incident ): impacted by    Magba_G_OST_023 , RCA: Power issue / En attente RCA CAMUSAT</t>
        </is>
      </c>
    </row>
    <row r="142" ht="18.75" customHeight="1">
      <c r="A142" s="12" t="n"/>
      <c r="B142" s="12" t="n"/>
      <c r="C142" s="12" t="n"/>
      <c r="D142" s="12" t="inlineStr">
        <is>
          <t>ADM_259_URH_BANKIM</t>
        </is>
      </c>
      <c r="E142" s="12">
        <f>IFERROR(MID(D142, SEARCH("CTR_", D142), 7), IFERROR(MID(D142, SEARCH("SUO_", D142), 7), IFERROR(MID(D142, SEARCH("SUD_", D142), 7), IFERROR(MID(D142, SEARCH("NRO_", D142), 7), IFERROR(MID(D142, SEARCH("ADM_", D142), 7), IFERROR(MID(D142, SEARCH("NRD_", D142), 7), IFERROR(MID(D142, SEARCH("EXN_", D142), 7), IFERROR(MID(D142, SEARCH("LIT_", D142), 7), IFERROR(MID(D142, SEARCH("EST_", D142), 7), MID(D142, SEARCH("OST_",D142), 7))))))))))</f>
        <v/>
      </c>
      <c r="F142" s="12" t="inlineStr">
        <is>
          <t>(04/29/2026 incident ): impacted by    Magba_G_OST_023 , RCA: Power issue / En attente RCA CAMUSAT</t>
        </is>
      </c>
    </row>
    <row r="143" ht="18.75" customHeight="1">
      <c r="A143" s="12" t="n"/>
      <c r="B143" s="12" t="n"/>
      <c r="C143" s="12" t="n"/>
      <c r="D143" s="12" t="inlineStr">
        <is>
          <t>OST_905_URH_MARAPNDOUM</t>
        </is>
      </c>
      <c r="E143" s="12">
        <f>IFERROR(MID(D143, SEARCH("CTR_", D143), 7), IFERROR(MID(D143, SEARCH("SUO_", D143), 7), IFERROR(MID(D143, SEARCH("SUD_", D143), 7), IFERROR(MID(D143, SEARCH("NRO_", D143), 7), IFERROR(MID(D143, SEARCH("ADM_", D143), 7), IFERROR(MID(D143, SEARCH("NRD_", D143), 7), IFERROR(MID(D143, SEARCH("EXN_", D143), 7), IFERROR(MID(D143, SEARCH("LIT_", D143), 7), IFERROR(MID(D143, SEARCH("EST_", D143), 7), MID(D143, SEARCH("OST_",D143), 7))))))))))</f>
        <v/>
      </c>
      <c r="F143" s="12" t="inlineStr">
        <is>
          <t>(04/29/2026 incident ): impacted by    Magba_G_OST_023 , RCA: Power issue / En attente RCA CAMUSAT</t>
        </is>
      </c>
    </row>
    <row r="144" ht="18.75" customHeight="1">
      <c r="A144" s="12" t="n"/>
      <c r="B144" s="12" t="n"/>
      <c r="C144" s="12" t="n"/>
      <c r="D144" s="12" t="inlineStr">
        <is>
          <t>OST_405_URH_MACHOU</t>
        </is>
      </c>
      <c r="E144" s="12">
        <f>IFERROR(MID(D144, SEARCH("CTR_", D144), 7), IFERROR(MID(D144, SEARCH("SUO_", D144), 7), IFERROR(MID(D144, SEARCH("SUD_", D144), 7), IFERROR(MID(D144, SEARCH("NRO_", D144), 7), IFERROR(MID(D144, SEARCH("ADM_", D144), 7), IFERROR(MID(D144, SEARCH("NRD_", D144), 7), IFERROR(MID(D144, SEARCH("EXN_", D144), 7), IFERROR(MID(D144, SEARCH("LIT_", D144), 7), IFERROR(MID(D144, SEARCH("EST_", D144), 7), MID(D144, SEARCH("OST_",D144), 7))))))))))</f>
        <v/>
      </c>
      <c r="F144" s="12" t="inlineStr">
        <is>
          <t>(04/29/2026 incident ): impacted by    Magba_G_OST_023 , RCA: Power issue / En attente RCA CAMUSAT</t>
        </is>
      </c>
    </row>
    <row r="145" ht="18.75" customHeight="1">
      <c r="A145" s="12" t="n"/>
      <c r="B145" s="12" t="n"/>
      <c r="C145" s="12" t="n"/>
      <c r="D145" s="12" t="inlineStr">
        <is>
          <t>OST_376_URH_MAMBICHAM</t>
        </is>
      </c>
      <c r="E145" s="12">
        <f>IFERROR(MID(D145, SEARCH("CTR_", D145), 7), IFERROR(MID(D145, SEARCH("SUO_", D145), 7), IFERROR(MID(D145, SEARCH("SUD_", D145), 7), IFERROR(MID(D145, SEARCH("NRO_", D145), 7), IFERROR(MID(D145, SEARCH("ADM_", D145), 7), IFERROR(MID(D145, SEARCH("NRD_", D145), 7), IFERROR(MID(D145, SEARCH("EXN_", D145), 7), IFERROR(MID(D145, SEARCH("LIT_", D145), 7), IFERROR(MID(D145, SEARCH("EST_", D145), 7), MID(D145, SEARCH("OST_",D145), 7))))))))))</f>
        <v/>
      </c>
      <c r="F145" s="12" t="inlineStr">
        <is>
          <t>(04/29/2026 incident ): impacted by    Magba_G_OST_023 , RCA: Power issue / En attente RCA CAMUSAT</t>
        </is>
      </c>
    </row>
    <row r="146" ht="18.75" customHeight="1">
      <c r="A146" s="12" t="n"/>
      <c r="B146" s="12" t="n"/>
      <c r="C146" s="12" t="n"/>
      <c r="D146" s="12" t="inlineStr">
        <is>
          <t>OST_372_URH_FORONGAIN</t>
        </is>
      </c>
      <c r="E146" s="12">
        <f>IFERROR(MID(D146, SEARCH("CTR_", D146), 7), IFERROR(MID(D146, SEARCH("SUO_", D146), 7), IFERROR(MID(D146, SEARCH("SUD_", D146), 7), IFERROR(MID(D146, SEARCH("NRO_", D146), 7), IFERROR(MID(D146, SEARCH("ADM_", D146), 7), IFERROR(MID(D146, SEARCH("NRD_", D146), 7), IFERROR(MID(D146, SEARCH("EXN_", D146), 7), IFERROR(MID(D146, SEARCH("LIT_", D146), 7), IFERROR(MID(D146, SEARCH("EST_", D146), 7), MID(D146, SEARCH("OST_",D146), 7))))))))))</f>
        <v/>
      </c>
      <c r="F146" s="12" t="inlineStr">
        <is>
          <t>(04/29/2026 incident ): impacted by    Magba_G_OST_023 , RCA: Power issue / En attente RCA CAMUSAT</t>
        </is>
      </c>
    </row>
    <row r="147" ht="18.75" customHeight="1">
      <c r="A147" s="12" t="n"/>
      <c r="B147" s="12" t="n"/>
      <c r="C147" s="12" t="n"/>
      <c r="D147" s="12" t="inlineStr">
        <is>
          <t>OST_908_URH_MAJEKOUTOU_MALANTOUEN</t>
        </is>
      </c>
      <c r="E147" s="12">
        <f>IFERROR(MID(D147, SEARCH("CTR_", D147), 7), IFERROR(MID(D147, SEARCH("SUO_", D147), 7), IFERROR(MID(D147, SEARCH("SUD_", D147), 7), IFERROR(MID(D147, SEARCH("NRO_", D147), 7), IFERROR(MID(D147, SEARCH("ADM_", D147), 7), IFERROR(MID(D147, SEARCH("NRD_", D147), 7), IFERROR(MID(D147, SEARCH("EXN_", D147), 7), IFERROR(MID(D147, SEARCH("LIT_", D147), 7), IFERROR(MID(D147, SEARCH("EST_", D147), 7), MID(D147, SEARCH("OST_",D147), 7))))))))))</f>
        <v/>
      </c>
      <c r="F147" s="12" t="inlineStr">
        <is>
          <t>(04/29/2026 incident ): impacted by    Magba_G_OST_023 , RCA: Power issue / En attente RCA CAMUSAT</t>
        </is>
      </c>
    </row>
    <row r="148" ht="18.75" customHeight="1">
      <c r="A148" s="12" t="n"/>
      <c r="B148" s="12" t="n"/>
      <c r="C148" s="12" t="n"/>
      <c r="D148" s="12" t="inlineStr">
        <is>
          <t>OST_378_URH_MAWA</t>
        </is>
      </c>
      <c r="E148" s="12">
        <f>IFERROR(MID(D148, SEARCH("CTR_", D148), 7), IFERROR(MID(D148, SEARCH("SUO_", D148), 7), IFERROR(MID(D148, SEARCH("SUD_", D148), 7), IFERROR(MID(D148, SEARCH("NRO_", D148), 7), IFERROR(MID(D148, SEARCH("ADM_", D148), 7), IFERROR(MID(D148, SEARCH("NRD_", D148), 7), IFERROR(MID(D148, SEARCH("EXN_", D148), 7), IFERROR(MID(D148, SEARCH("LIT_", D148), 7), IFERROR(MID(D148, SEARCH("EST_", D148), 7), MID(D148, SEARCH("OST_",D148), 7))))))))))</f>
        <v/>
      </c>
      <c r="F148" s="12" t="inlineStr">
        <is>
          <t>(04/29/2026 incident ): impacted by    Magba_G_OST_023 , RCA: Power issue / En attente RCA CAMUSAT</t>
        </is>
      </c>
    </row>
    <row r="149" ht="18.75" customHeight="1">
      <c r="A149" s="12" t="n"/>
      <c r="B149" s="12" t="n"/>
      <c r="C149" s="12" t="n"/>
      <c r="D149" s="12" t="inlineStr">
        <is>
          <t>OST_373_URH_MANOURE</t>
        </is>
      </c>
      <c r="E149" s="12">
        <f>IFERROR(MID(D149, SEARCH("CTR_", D149), 7), IFERROR(MID(D149, SEARCH("SUO_", D149), 7), IFERROR(MID(D149, SEARCH("SUD_", D149), 7), IFERROR(MID(D149, SEARCH("NRO_", D149), 7), IFERROR(MID(D149, SEARCH("ADM_", D149), 7), IFERROR(MID(D149, SEARCH("NRD_", D149), 7), IFERROR(MID(D149, SEARCH("EXN_", D149), 7), IFERROR(MID(D149, SEARCH("LIT_", D149), 7), IFERROR(MID(D149, SEARCH("EST_", D149), 7), MID(D149, SEARCH("OST_",D149), 7))))))))))</f>
        <v/>
      </c>
      <c r="F149" s="12" t="inlineStr">
        <is>
          <t>(04/29/2026 incident ): impacted by    Magba_G_OST_023 , RCA: Power issue / En attente RCA CAMUSAT</t>
        </is>
      </c>
    </row>
    <row r="150" ht="18.75" customHeight="1">
      <c r="A150" s="12" t="n"/>
      <c r="B150" s="12" t="n"/>
      <c r="C150" s="12" t="n"/>
      <c r="D150" s="12" t="inlineStr">
        <is>
          <t>OST_019_H_Bfsam-Tamdja</t>
        </is>
      </c>
      <c r="E150" s="12">
        <f>IFERROR(MID(D150, SEARCH("CTR_", D150), 7), IFERROR(MID(D150, SEARCH("SUO_", D150), 7), IFERROR(MID(D150, SEARCH("SUD_", D150), 7), IFERROR(MID(D150, SEARCH("NRO_", D150), 7), IFERROR(MID(D150, SEARCH("ADM_", D150), 7), IFERROR(MID(D150, SEARCH("NRD_", D150), 7), IFERROR(MID(D150, SEARCH("EXN_", D150), 7), IFERROR(MID(D150, SEARCH("LIT_", D150), 7), IFERROR(MID(D150, SEARCH("EST_", D150), 7), MID(D150, SEARCH("OST_",D150), 7))))))))))</f>
        <v/>
      </c>
      <c r="F150" s="12" t="inlineStr">
        <is>
          <t>(04/29/2026 incident ): impacted by    Magba_G_OST_023 , RCA: Power issue / En attente RCA CAMUSAT</t>
        </is>
      </c>
    </row>
    <row r="151" ht="18.75" customHeight="1">
      <c r="A151" s="12" t="n"/>
      <c r="B151" s="12" t="n"/>
      <c r="C151" s="12" t="n"/>
      <c r="D151" s="12" t="inlineStr">
        <is>
          <t>OST_252_H_Koundoum</t>
        </is>
      </c>
      <c r="E151" s="12">
        <f>IFERROR(MID(D151, SEARCH("CTR_", D151), 7), IFERROR(MID(D151, SEARCH("SUO_", D151), 7), IFERROR(MID(D151, SEARCH("SUD_", D151), 7), IFERROR(MID(D151, SEARCH("NRO_", D151), 7), IFERROR(MID(D151, SEARCH("ADM_", D151), 7), IFERROR(MID(D151, SEARCH("NRD_", D151), 7), IFERROR(MID(D151, SEARCH("EXN_", D151), 7), IFERROR(MID(D151, SEARCH("LIT_", D151), 7), IFERROR(MID(D151, SEARCH("EST_", D151), 7), MID(D151, SEARCH("OST_",D151), 7))))))))))</f>
        <v/>
      </c>
      <c r="F151" s="12" t="inlineStr">
        <is>
          <t>(04/29/2026 incident ): impacted by    Magba_G_OST_023 , RCA: Power issue / En attente RCA CAMUSAT</t>
        </is>
      </c>
    </row>
    <row r="152" ht="18.75" customHeight="1">
      <c r="A152" s="12" t="n"/>
      <c r="B152" s="12" t="n"/>
      <c r="C152" s="12" t="n"/>
      <c r="D152" s="12" t="inlineStr">
        <is>
          <t>ADM_058_H_Ngd-Trouamala</t>
        </is>
      </c>
      <c r="E152" s="12">
        <f>IFERROR(MID(D152, SEARCH("CTR_", D152), 7), IFERROR(MID(D152, SEARCH("SUO_", D152), 7), IFERROR(MID(D152, SEARCH("SUD_", D152), 7), IFERROR(MID(D152, SEARCH("NRO_", D152), 7), IFERROR(MID(D152, SEARCH("ADM_", D152), 7), IFERROR(MID(D152, SEARCH("NRD_", D152), 7), IFERROR(MID(D152, SEARCH("EXN_", D152), 7), IFERROR(MID(D152, SEARCH("LIT_", D152), 7), IFERROR(MID(D152, SEARCH("EST_", D152), 7), MID(D152, SEARCH("OST_",D152), 7))))))))))</f>
        <v/>
      </c>
      <c r="F152" s="12" t="inlineStr">
        <is>
          <t>(04/29/2026 incident ): impacted by    Magba_G_OST_023 , RCA: Power issue / En attente RCA CAMUSAT</t>
        </is>
      </c>
    </row>
    <row r="153" ht="18.75" customHeight="1">
      <c r="A153" s="12" t="n"/>
      <c r="B153" s="12" t="n"/>
      <c r="C153" s="12" t="n"/>
      <c r="D153" s="12" t="inlineStr">
        <is>
          <t>ADM_004_H_Meiganga</t>
        </is>
      </c>
      <c r="E153" s="12">
        <f>IFERROR(MID(D153, SEARCH("CTR_", D153), 7), IFERROR(MID(D153, SEARCH("SUO_", D153), 7), IFERROR(MID(D153, SEARCH("SUD_", D153), 7), IFERROR(MID(D153, SEARCH("NRO_", D153), 7), IFERROR(MID(D153, SEARCH("ADM_", D153), 7), IFERROR(MID(D153, SEARCH("NRD_", D153), 7), IFERROR(MID(D153, SEARCH("EXN_", D153), 7), IFERROR(MID(D153, SEARCH("LIT_", D153), 7), IFERROR(MID(D153, SEARCH("EST_", D153), 7), MID(D153, SEARCH("OST_",D153), 7))))))))))</f>
        <v/>
      </c>
      <c r="F153" s="12" t="inlineStr">
        <is>
          <t>(04/29/2026 incident ): impacted by    Magba_G_OST_023 , RCA: Power issue / En attente RCA CAMUSAT</t>
        </is>
      </c>
    </row>
    <row r="154" ht="18.75" customHeight="1">
      <c r="A154" s="12" t="n"/>
      <c r="B154" s="12" t="n"/>
      <c r="C154" s="12" t="n"/>
      <c r="D154" s="12" t="inlineStr">
        <is>
          <t>ADM_012_H_Bankim</t>
        </is>
      </c>
      <c r="E154" s="12">
        <f>IFERROR(MID(D154, SEARCH("CTR_", D154), 7), IFERROR(MID(D154, SEARCH("SUO_", D154), 7), IFERROR(MID(D154, SEARCH("SUD_", D154), 7), IFERROR(MID(D154, SEARCH("NRO_", D154), 7), IFERROR(MID(D154, SEARCH("ADM_", D154), 7), IFERROR(MID(D154, SEARCH("NRD_", D154), 7), IFERROR(MID(D154, SEARCH("EXN_", D154), 7), IFERROR(MID(D154, SEARCH("LIT_", D154), 7), IFERROR(MID(D154, SEARCH("EST_", D154), 7), MID(D154, SEARCH("OST_",D154), 7))))))))))</f>
        <v/>
      </c>
      <c r="F154" s="12" t="inlineStr">
        <is>
          <t>(04/29/2026 incident ): impacted by    Magba_G_OST_023 , RCA: Power issue / En attente RCA CAMUSAT</t>
        </is>
      </c>
    </row>
    <row r="155" ht="18.75" customHeight="1">
      <c r="A155" s="12" t="n"/>
      <c r="B155" s="12" t="n"/>
      <c r="C155" s="12" t="n"/>
      <c r="D155" s="12" t="inlineStr">
        <is>
          <t>OST_023_H_Magba</t>
        </is>
      </c>
      <c r="E155" s="12">
        <f>IFERROR(MID(D155, SEARCH("CTR_", D155), 7), IFERROR(MID(D155, SEARCH("SUO_", D155), 7), IFERROR(MID(D155, SEARCH("SUD_", D155), 7), IFERROR(MID(D155, SEARCH("NRO_", D155), 7), IFERROR(MID(D155, SEARCH("ADM_", D155), 7), IFERROR(MID(D155, SEARCH("NRD_", D155), 7), IFERROR(MID(D155, SEARCH("EXN_", D155), 7), IFERROR(MID(D155, SEARCH("LIT_", D155), 7), IFERROR(MID(D155, SEARCH("EST_", D155), 7), MID(D155, SEARCH("OST_",D155), 7))))))))))</f>
        <v/>
      </c>
      <c r="F155" s="12" t="inlineStr">
        <is>
          <t>(04/29/2026 incident ): impacted by    Magba_G_OST_023 , RCA: Power issue / En attente RCA CAMUSAT</t>
        </is>
      </c>
    </row>
    <row r="156" ht="18.75" customHeight="1">
      <c r="A156" s="12" t="n"/>
      <c r="B156" s="12" t="n"/>
      <c r="C156" s="12" t="n"/>
      <c r="D156" s="12" t="inlineStr">
        <is>
          <t>ADM_001_H_Ngd-Chateau</t>
        </is>
      </c>
      <c r="E156" s="12">
        <f>IFERROR(MID(D156, SEARCH("CTR_", D156), 7), IFERROR(MID(D156, SEARCH("SUO_", D156), 7), IFERROR(MID(D156, SEARCH("SUD_", D156), 7), IFERROR(MID(D156, SEARCH("NRO_", D156), 7), IFERROR(MID(D156, SEARCH("ADM_", D156), 7), IFERROR(MID(D156, SEARCH("NRD_", D156), 7), IFERROR(MID(D156, SEARCH("EXN_", D156), 7), IFERROR(MID(D156, SEARCH("LIT_", D156), 7), IFERROR(MID(D156, SEARCH("EST_", D156), 7), MID(D156, SEARCH("OST_",D156), 7))))))))))</f>
        <v/>
      </c>
      <c r="F156" s="12" t="inlineStr">
        <is>
          <t>(04/29/2026 incident ): impacted by    Magba_G_OST_023 , RCA: Power issue / En attente RCA CAMUSAT</t>
        </is>
      </c>
    </row>
    <row r="157" ht="18.75" customHeight="1">
      <c r="A157" s="12" t="n"/>
      <c r="B157" s="12" t="n"/>
      <c r="C157" s="12" t="n"/>
      <c r="D157" s="12" t="inlineStr">
        <is>
          <t>OST_039_H_Malantouen</t>
        </is>
      </c>
      <c r="E157" s="12">
        <f>IFERROR(MID(D157, SEARCH("CTR_", D157), 7), IFERROR(MID(D157, SEARCH("SUO_", D157), 7), IFERROR(MID(D157, SEARCH("SUD_", D157), 7), IFERROR(MID(D157, SEARCH("NRO_", D157), 7), IFERROR(MID(D157, SEARCH("ADM_", D157), 7), IFERROR(MID(D157, SEARCH("NRD_", D157), 7), IFERROR(MID(D157, SEARCH("EXN_", D157), 7), IFERROR(MID(D157, SEARCH("LIT_", D157), 7), IFERROR(MID(D157, SEARCH("EST_", D157), 7), MID(D157, SEARCH("OST_",D157), 7))))))))))</f>
        <v/>
      </c>
      <c r="F157" s="12" t="inlineStr">
        <is>
          <t>(04/29/2026 incident ): impacted by    Magba_G_OST_023 , RCA: Power issue / En attente RCA CAMUSAT</t>
        </is>
      </c>
    </row>
    <row r="158" ht="18.75" customHeight="1">
      <c r="A158" s="12" t="n"/>
      <c r="B158" s="12" t="n"/>
      <c r="C158" s="12" t="n"/>
      <c r="D158" s="12" t="inlineStr">
        <is>
          <t>OST_027_H_Lamape</t>
        </is>
      </c>
      <c r="E158" s="12">
        <f>IFERROR(MID(D158, SEARCH("CTR_", D158), 7), IFERROR(MID(D158, SEARCH("SUO_", D158), 7), IFERROR(MID(D158, SEARCH("SUD_", D158), 7), IFERROR(MID(D158, SEARCH("NRO_", D158), 7), IFERROR(MID(D158, SEARCH("ADM_", D158), 7), IFERROR(MID(D158, SEARCH("NRD_", D158), 7), IFERROR(MID(D158, SEARCH("EXN_", D158), 7), IFERROR(MID(D158, SEARCH("LIT_", D158), 7), IFERROR(MID(D158, SEARCH("EST_", D158), 7), MID(D158, SEARCH("OST_",D158), 7))))))))))</f>
        <v/>
      </c>
      <c r="F158" s="12" t="inlineStr">
        <is>
          <t>(04/29/2026 incident ): impacted by    Magba_G_OST_023 , RCA: Power issue / En attente RCA CAMUSAT</t>
        </is>
      </c>
    </row>
    <row r="159" ht="18.75" customHeight="1">
      <c r="A159" s="12" t="inlineStr">
        <is>
          <t>SUO_179_H_MOLYKO-PARAMOUNT-STREET-IHS</t>
        </is>
      </c>
      <c r="B159" s="12" t="inlineStr">
        <is>
          <t>SUO_023_H_Buea-Signal-Hill</t>
        </is>
      </c>
      <c r="C159" s="12" t="inlineStr">
        <is>
          <t>2604D88940 // INC-20260429-00008991</t>
        </is>
      </c>
      <c r="D159" s="12">
        <f>A159</f>
        <v/>
      </c>
      <c r="E159" s="12">
        <f>IFERROR(MID(D159, SEARCH("CTR_", D159), 7), IFERROR(MID(D159, SEARCH("SUO_", D159), 7), IFERROR(MID(D159, SEARCH("SUD_", D159), 7), IFERROR(MID(D159, SEARCH("NRO_", D159), 7), IFERROR(MID(D159, SEARCH("ADM_", D159), 7), IFERROR(MID(D159, SEARCH("NRD_", D159), 7), IFERROR(MID(D159, SEARCH("EXN_", D159), 7), IFERROR(MID(D159, SEARCH("LIT_", D159), 7), IFERROR(MID(D159, SEARCH("EST_", D159), 7), MID(D159, SEARCH("OST_",D159), 7))))))))))</f>
        <v/>
      </c>
      <c r="F159" s="12" t="inlineStr">
        <is>
          <t>(04/29/2026 incident ): impacted by  SUO_023_H_Buea-Signal-Hill  Souci d'energie defaut GE || Action  En attente RCA  de OCM</t>
        </is>
      </c>
    </row>
    <row r="160" ht="18.75" customHeight="1">
      <c r="A160" s="12" t="inlineStr">
        <is>
          <t>SUO_182_H_Buea-Service-Center-IHS</t>
        </is>
      </c>
      <c r="B160" s="12" t="n"/>
      <c r="C160" s="12" t="n"/>
      <c r="D160" s="12">
        <f>A160</f>
        <v/>
      </c>
      <c r="E160" s="12">
        <f>IFERROR(MID(D160, SEARCH("CTR_", D160), 7), IFERROR(MID(D160, SEARCH("SUO_", D160), 7), IFERROR(MID(D160, SEARCH("SUD_", D160), 7), IFERROR(MID(D160, SEARCH("NRO_", D160), 7), IFERROR(MID(D160, SEARCH("ADM_", D160), 7), IFERROR(MID(D160, SEARCH("NRD_", D160), 7), IFERROR(MID(D160, SEARCH("EXN_", D160), 7), IFERROR(MID(D160, SEARCH("LIT_", D160), 7), IFERROR(MID(D160, SEARCH("EST_", D160), 7), MID(D160, SEARCH("OST_",D160), 7))))))))))</f>
        <v/>
      </c>
      <c r="F160" s="12" t="inlineStr">
        <is>
          <t>(04/29/2026 incident ): impacted by  SUO_023_H_Buea-Signal-Hill  Souci d'energie defaut GE || Action  En attente RCA  de OCM</t>
        </is>
      </c>
    </row>
    <row r="161" ht="18.75" customHeight="1">
      <c r="A161" s="12" t="inlineStr">
        <is>
          <t>SUO_079_H_Mile14-IHS</t>
        </is>
      </c>
      <c r="B161" s="12" t="n"/>
      <c r="C161" s="12" t="n"/>
      <c r="D161" s="12">
        <f>A161</f>
        <v/>
      </c>
      <c r="E161" s="12">
        <f>IFERROR(MID(D161, SEARCH("CTR_", D161), 7), IFERROR(MID(D161, SEARCH("SUO_", D161), 7), IFERROR(MID(D161, SEARCH("SUD_", D161), 7), IFERROR(MID(D161, SEARCH("NRO_", D161), 7), IFERROR(MID(D161, SEARCH("ADM_", D161), 7), IFERROR(MID(D161, SEARCH("NRD_", D161), 7), IFERROR(MID(D161, SEARCH("EXN_", D161), 7), IFERROR(MID(D161, SEARCH("LIT_", D161), 7), IFERROR(MID(D161, SEARCH("EST_", D161), 7), MID(D161, SEARCH("OST_",D161), 7))))))))))</f>
        <v/>
      </c>
      <c r="F161" s="12" t="inlineStr">
        <is>
          <t>(04/29/2026 incident ): impacted by  SUO_023_H_Buea-Signal-Hill  Souci d'energie defaut GE || Action  En attente RCA  de OCM</t>
        </is>
      </c>
    </row>
    <row r="162" ht="18.75" customHeight="1">
      <c r="A162" s="12" t="inlineStr">
        <is>
          <t>SUO_197_H_Bokwai-IHS</t>
        </is>
      </c>
      <c r="B162" s="12" t="n"/>
      <c r="C162" s="12" t="n"/>
      <c r="D162" s="12">
        <f>A162</f>
        <v/>
      </c>
      <c r="E162" s="12">
        <f>IFERROR(MID(D162, SEARCH("CTR_", D162), 7), IFERROR(MID(D162, SEARCH("SUO_", D162), 7), IFERROR(MID(D162, SEARCH("SUD_", D162), 7), IFERROR(MID(D162, SEARCH("NRO_", D162), 7), IFERROR(MID(D162, SEARCH("ADM_", D162), 7), IFERROR(MID(D162, SEARCH("NRD_", D162), 7), IFERROR(MID(D162, SEARCH("EXN_", D162), 7), IFERROR(MID(D162, SEARCH("LIT_", D162), 7), IFERROR(MID(D162, SEARCH("EST_", D162), 7), MID(D162, SEARCH("OST_",D162), 7))))))))))</f>
        <v/>
      </c>
      <c r="F162" s="12" t="inlineStr">
        <is>
          <t>(04/29/2026 incident ): impacted by  SUO_023_H_Buea-Signal-Hill  Souci d'energie defaut GE || Action  En attente RCA  de OCM</t>
        </is>
      </c>
    </row>
    <row r="163" ht="18.75" customHeight="1">
      <c r="A163" s="12" t="inlineStr">
        <is>
          <t>SUO_190_H_Tole-II-IHS</t>
        </is>
      </c>
      <c r="B163" s="12" t="n"/>
      <c r="C163" s="12" t="n"/>
      <c r="D163" s="12">
        <f>A163</f>
        <v/>
      </c>
      <c r="E163" s="12">
        <f>IFERROR(MID(D163, SEARCH("CTR_", D163), 7), IFERROR(MID(D163, SEARCH("SUO_", D163), 7), IFERROR(MID(D163, SEARCH("SUD_", D163), 7), IFERROR(MID(D163, SEARCH("NRO_", D163), 7), IFERROR(MID(D163, SEARCH("ADM_", D163), 7), IFERROR(MID(D163, SEARCH("NRD_", D163), 7), IFERROR(MID(D163, SEARCH("EXN_", D163), 7), IFERROR(MID(D163, SEARCH("LIT_", D163), 7), IFERROR(MID(D163, SEARCH("EST_", D163), 7), MID(D163, SEARCH("OST_",D163), 7))))))))))</f>
        <v/>
      </c>
      <c r="F163" s="12" t="inlineStr">
        <is>
          <t>(04/29/2026 incident ): impacted by  SUO_023_H_Buea-Signal-Hill  Souci d'energie defaut GE || Action  En attente RCA  de OCM</t>
        </is>
      </c>
    </row>
    <row r="164" ht="18.75" customHeight="1">
      <c r="A164" s="12" t="inlineStr">
        <is>
          <t>SUO_232_H_Buea-Bwitingui-Road</t>
        </is>
      </c>
      <c r="B164" s="12" t="n"/>
      <c r="C164" s="12" t="n"/>
      <c r="D164" s="12">
        <f>A164</f>
        <v/>
      </c>
      <c r="E164" s="12">
        <f>IFERROR(MID(D164, SEARCH("CTR_", D164), 7), IFERROR(MID(D164, SEARCH("SUO_", D164), 7), IFERROR(MID(D164, SEARCH("SUD_", D164), 7), IFERROR(MID(D164, SEARCH("NRO_", D164), 7), IFERROR(MID(D164, SEARCH("ADM_", D164), 7), IFERROR(MID(D164, SEARCH("NRD_", D164), 7), IFERROR(MID(D164, SEARCH("EXN_", D164), 7), IFERROR(MID(D164, SEARCH("LIT_", D164), 7), IFERROR(MID(D164, SEARCH("EST_", D164), 7), MID(D164, SEARCH("OST_",D164), 7))))))))))</f>
        <v/>
      </c>
      <c r="F164" s="12" t="inlineStr">
        <is>
          <t>(04/29/2026 incident ): impacted by  SUO_023_H_Buea-Signal-Hill  Souci d'energie defaut GE || Action  En attente RCA  de OCM</t>
        </is>
      </c>
    </row>
    <row r="165" ht="18.75" customHeight="1">
      <c r="A165" s="12" t="inlineStr">
        <is>
          <t>SUO_259_H_Buea-Salvation-Pharmacy-IHS</t>
        </is>
      </c>
      <c r="B165" s="12" t="n"/>
      <c r="C165" s="12" t="n"/>
      <c r="D165" s="12">
        <f>A165</f>
        <v/>
      </c>
      <c r="E165" s="12">
        <f>IFERROR(MID(D165, SEARCH("CTR_", D165), 7), IFERROR(MID(D165, SEARCH("SUO_", D165), 7), IFERROR(MID(D165, SEARCH("SUD_", D165), 7), IFERROR(MID(D165, SEARCH("NRO_", D165), 7), IFERROR(MID(D165, SEARCH("ADM_", D165), 7), IFERROR(MID(D165, SEARCH("NRD_", D165), 7), IFERROR(MID(D165, SEARCH("EXN_", D165), 7), IFERROR(MID(D165, SEARCH("LIT_", D165), 7), IFERROR(MID(D165, SEARCH("EST_", D165), 7), MID(D165, SEARCH("OST_",D165), 7))))))))))</f>
        <v/>
      </c>
      <c r="F165" s="12" t="inlineStr">
        <is>
          <t>(04/29/2026 incident ): impacted by  SUO_023_H_Buea-Signal-Hill  Souci d'energie defaut GE || Action  En attente RCA  de OCM</t>
        </is>
      </c>
    </row>
    <row r="166" ht="18.75" customHeight="1">
      <c r="A166" s="12" t="inlineStr">
        <is>
          <t>SUO_242_H_Buea-GRA-IHS</t>
        </is>
      </c>
      <c r="B166" s="12" t="n"/>
      <c r="C166" s="12" t="n"/>
      <c r="D166" s="12">
        <f>A166</f>
        <v/>
      </c>
      <c r="E166" s="12">
        <f>IFERROR(MID(D166, SEARCH("CTR_", D166), 7), IFERROR(MID(D166, SEARCH("SUO_", D166), 7), IFERROR(MID(D166, SEARCH("SUD_", D166), 7), IFERROR(MID(D166, SEARCH("NRO_", D166), 7), IFERROR(MID(D166, SEARCH("ADM_", D166), 7), IFERROR(MID(D166, SEARCH("NRD_", D166), 7), IFERROR(MID(D166, SEARCH("EXN_", D166), 7), IFERROR(MID(D166, SEARCH("LIT_", D166), 7), IFERROR(MID(D166, SEARCH("EST_", D166), 7), MID(D166, SEARCH("OST_",D166), 7))))))))))</f>
        <v/>
      </c>
      <c r="F166" s="12" t="inlineStr">
        <is>
          <t>(04/29/2026 incident ): impacted by  SUO_023_H_Buea-Signal-Hill  Souci d'energie defaut GE || Action  En attente RCA  de OCM</t>
        </is>
      </c>
    </row>
    <row r="167" ht="18.75" customHeight="1">
      <c r="A167" s="12" t="inlineStr">
        <is>
          <t>SUO_260_H_Buea-Dirty-South-IHS</t>
        </is>
      </c>
      <c r="B167" s="12" t="n"/>
      <c r="C167" s="12" t="n"/>
      <c r="D167" s="12">
        <f>A167</f>
        <v/>
      </c>
      <c r="E167" s="12">
        <f>IFERROR(MID(D167, SEARCH("CTR_", D167), 7), IFERROR(MID(D167, SEARCH("SUO_", D167), 7), IFERROR(MID(D167, SEARCH("SUD_", D167), 7), IFERROR(MID(D167, SEARCH("NRO_", D167), 7), IFERROR(MID(D167, SEARCH("ADM_", D167), 7), IFERROR(MID(D167, SEARCH("NRD_", D167), 7), IFERROR(MID(D167, SEARCH("EXN_", D167), 7), IFERROR(MID(D167, SEARCH("LIT_", D167), 7), IFERROR(MID(D167, SEARCH("EST_", D167), 7), MID(D167, SEARCH("OST_",D167), 7))))))))))</f>
        <v/>
      </c>
      <c r="F167" s="12" t="inlineStr">
        <is>
          <t>(04/29/2026 incident ): impacted by  SUO_023_H_Buea-Signal-Hill  Souci d'energie defaut GE || Action  En attente RCA  de OCM</t>
        </is>
      </c>
    </row>
    <row r="168" ht="18.75" customHeight="1">
      <c r="A168" s="12" t="inlineStr">
        <is>
          <t>SUO_297_H_Buea-Molyko-New</t>
        </is>
      </c>
      <c r="B168" s="12" t="n"/>
      <c r="C168" s="12" t="n"/>
      <c r="D168" s="12">
        <f>A168</f>
        <v/>
      </c>
      <c r="E168" s="12">
        <f>IFERROR(MID(D168, SEARCH("CTR_", D168), 7), IFERROR(MID(D168, SEARCH("SUO_", D168), 7), IFERROR(MID(D168, SEARCH("SUD_", D168), 7), IFERROR(MID(D168, SEARCH("NRO_", D168), 7), IFERROR(MID(D168, SEARCH("ADM_", D168), 7), IFERROR(MID(D168, SEARCH("NRD_", D168), 7), IFERROR(MID(D168, SEARCH("EXN_", D168), 7), IFERROR(MID(D168, SEARCH("LIT_", D168), 7), IFERROR(MID(D168, SEARCH("EST_", D168), 7), MID(D168, SEARCH("OST_",D168), 7))))))))))</f>
        <v/>
      </c>
      <c r="F168" s="12" t="inlineStr">
        <is>
          <t>(04/29/2026 incident ): impacted by  SUO_023_H_Buea-Signal-Hill  Souci d'energie defaut GE || Action  En attente RCA  de OCM</t>
        </is>
      </c>
    </row>
    <row r="169" ht="18.75" customHeight="1">
      <c r="A169" s="12" t="inlineStr">
        <is>
          <t>SUO_299_H_Limbe-Samko</t>
        </is>
      </c>
      <c r="B169" s="12" t="n"/>
      <c r="C169" s="12" t="n"/>
      <c r="D169" s="12">
        <f>A169</f>
        <v/>
      </c>
      <c r="E169" s="12">
        <f>IFERROR(MID(D169, SEARCH("CTR_", D169), 7), IFERROR(MID(D169, SEARCH("SUO_", D169), 7), IFERROR(MID(D169, SEARCH("SUD_", D169), 7), IFERROR(MID(D169, SEARCH("NRO_", D169), 7), IFERROR(MID(D169, SEARCH("ADM_", D169), 7), IFERROR(MID(D169, SEARCH("NRD_", D169), 7), IFERROR(MID(D169, SEARCH("EXN_", D169), 7), IFERROR(MID(D169, SEARCH("LIT_", D169), 7), IFERROR(MID(D169, SEARCH("EST_", D169), 7), MID(D169, SEARCH("OST_",D169), 7))))))))))</f>
        <v/>
      </c>
      <c r="F169" s="12" t="inlineStr">
        <is>
          <t>(04/29/2026 incident ): impacted by  SUO_023_H_Buea-Signal-Hill  Souci d'energie defaut GE || Action  En attente RCA  de OCM</t>
        </is>
      </c>
    </row>
    <row r="170" ht="18.75" customHeight="1">
      <c r="A170" s="12" t="inlineStr">
        <is>
          <t>SUO_303_H_Buea-Up-Molyko</t>
        </is>
      </c>
      <c r="B170" s="12" t="n"/>
      <c r="C170" s="12" t="n"/>
      <c r="D170" s="12">
        <f>A170</f>
        <v/>
      </c>
      <c r="E170" s="12">
        <f>IFERROR(MID(D170, SEARCH("CTR_", D170), 7), IFERROR(MID(D170, SEARCH("SUO_", D170), 7), IFERROR(MID(D170, SEARCH("SUD_", D170), 7), IFERROR(MID(D170, SEARCH("NRO_", D170), 7), IFERROR(MID(D170, SEARCH("ADM_", D170), 7), IFERROR(MID(D170, SEARCH("NRD_", D170), 7), IFERROR(MID(D170, SEARCH("EXN_", D170), 7), IFERROR(MID(D170, SEARCH("LIT_", D170), 7), IFERROR(MID(D170, SEARCH("EST_", D170), 7), MID(D170, SEARCH("OST_",D170), 7))))))))))</f>
        <v/>
      </c>
      <c r="F170" s="12" t="inlineStr">
        <is>
          <t>(04/29/2026 incident ): impacted by  SUO_023_H_Buea-Signal-Hill  Souci d'energie defaut GE || Action  En attente RCA  de OCM</t>
        </is>
      </c>
    </row>
    <row r="171" ht="18.75" customHeight="1">
      <c r="A171" s="12" t="inlineStr">
        <is>
          <t>SUO_023_H_Buea-Signal-Hill</t>
        </is>
      </c>
      <c r="B171" s="12" t="n"/>
      <c r="C171" s="12" t="n"/>
      <c r="D171" s="12">
        <f>A171</f>
        <v/>
      </c>
      <c r="E171" s="12">
        <f>IFERROR(MID(D171, SEARCH("CTR_", D171), 7), IFERROR(MID(D171, SEARCH("SUO_", D171), 7), IFERROR(MID(D171, SEARCH("SUD_", D171), 7), IFERROR(MID(D171, SEARCH("NRO_", D171), 7), IFERROR(MID(D171, SEARCH("ADM_", D171), 7), IFERROR(MID(D171, SEARCH("NRD_", D171), 7), IFERROR(MID(D171, SEARCH("EXN_", D171), 7), IFERROR(MID(D171, SEARCH("LIT_", D171), 7), IFERROR(MID(D171, SEARCH("EST_", D171), 7), MID(D171, SEARCH("OST_",D171), 7))))))))))</f>
        <v/>
      </c>
      <c r="F171" s="12" t="inlineStr">
        <is>
          <t>(04/29/2026 incident ): impacted by  SUO_023_H_Buea-Signal-Hill  Souci d'energie defaut GE || Action  En attente RCA  de OCM</t>
        </is>
      </c>
    </row>
    <row r="172" ht="18.75" customHeight="1">
      <c r="A172" s="12" t="inlineStr">
        <is>
          <t>SUO_033_H_Buea-Entree</t>
        </is>
      </c>
      <c r="B172" s="12" t="n"/>
      <c r="C172" s="12" t="n"/>
      <c r="D172" s="12">
        <f>A172</f>
        <v/>
      </c>
      <c r="E172" s="12">
        <f>IFERROR(MID(D172, SEARCH("CTR_", D172), 7), IFERROR(MID(D172, SEARCH("SUO_", D172), 7), IFERROR(MID(D172, SEARCH("SUD_", D172), 7), IFERROR(MID(D172, SEARCH("NRO_", D172), 7), IFERROR(MID(D172, SEARCH("ADM_", D172), 7), IFERROR(MID(D172, SEARCH("NRD_", D172), 7), IFERROR(MID(D172, SEARCH("EXN_", D172), 7), IFERROR(MID(D172, SEARCH("LIT_", D172), 7), IFERROR(MID(D172, SEARCH("EST_", D172), 7), MID(D172, SEARCH("OST_",D172), 7))))))))))</f>
        <v/>
      </c>
      <c r="F172" s="12" t="inlineStr">
        <is>
          <t>(04/29/2026 incident ): impacted by  SUO_023_H_Buea-Signal-Hill  Souci d'energie defaut GE || Action  En attente RCA  de OCM</t>
        </is>
      </c>
    </row>
    <row r="173" ht="18.75" customHeight="1">
      <c r="A173" s="12" t="inlineStr">
        <is>
          <t>SUO_062_H_Buea-Universite</t>
        </is>
      </c>
      <c r="B173" s="12" t="n"/>
      <c r="C173" s="12" t="n"/>
      <c r="D173" s="12">
        <f>A173</f>
        <v/>
      </c>
      <c r="E173" s="12">
        <f>IFERROR(MID(D173, SEARCH("CTR_", D173), 7), IFERROR(MID(D173, SEARCH("SUO_", D173), 7), IFERROR(MID(D173, SEARCH("SUD_", D173), 7), IFERROR(MID(D173, SEARCH("NRO_", D173), 7), IFERROR(MID(D173, SEARCH("ADM_", D173), 7), IFERROR(MID(D173, SEARCH("NRD_", D173), 7), IFERROR(MID(D173, SEARCH("EXN_", D173), 7), IFERROR(MID(D173, SEARCH("LIT_", D173), 7), IFERROR(MID(D173, SEARCH("EST_", D173), 7), MID(D173, SEARCH("OST_",D173), 7))))))))))</f>
        <v/>
      </c>
      <c r="F173" s="12" t="inlineStr">
        <is>
          <t>(04/29/2026 incident ): impacted by  SUO_023_H_Buea-Signal-Hill  Souci d'energie defaut GE || Action  En attente RCA  de OCM</t>
        </is>
      </c>
    </row>
    <row r="174" ht="18.75" customHeight="1">
      <c r="A174" s="12" t="inlineStr">
        <is>
          <t>SUO_063_H_Buea-Centre-Ville</t>
        </is>
      </c>
      <c r="B174" s="12" t="n"/>
      <c r="C174" s="12" t="n"/>
      <c r="D174" s="12">
        <f>A174</f>
        <v/>
      </c>
      <c r="E174" s="12">
        <f>IFERROR(MID(D174, SEARCH("CTR_", D174), 7), IFERROR(MID(D174, SEARCH("SUO_", D174), 7), IFERROR(MID(D174, SEARCH("SUD_", D174), 7), IFERROR(MID(D174, SEARCH("NRO_", D174), 7), IFERROR(MID(D174, SEARCH("ADM_", D174), 7), IFERROR(MID(D174, SEARCH("NRD_", D174), 7), IFERROR(MID(D174, SEARCH("EXN_", D174), 7), IFERROR(MID(D174, SEARCH("LIT_", D174), 7), IFERROR(MID(D174, SEARCH("EST_", D174), 7), MID(D174, SEARCH("OST_",D174), 7))))))))))</f>
        <v/>
      </c>
      <c r="F174" s="12" t="inlineStr">
        <is>
          <t>(04/29/2026 incident ): impacted by  SUO_023_H_Buea-Signal-Hill  Souci d'energie defaut GE || Action  En attente RCA  de OCM</t>
        </is>
      </c>
    </row>
    <row r="175" ht="18.75" customHeight="1">
      <c r="A175" s="12" t="inlineStr">
        <is>
          <t>SUO_077_H_Buea-David-Square</t>
        </is>
      </c>
      <c r="B175" s="12" t="n"/>
      <c r="C175" s="12" t="n"/>
      <c r="D175" s="12">
        <f>A175</f>
        <v/>
      </c>
      <c r="E175" s="12">
        <f>IFERROR(MID(D175, SEARCH("CTR_", D175), 7), IFERROR(MID(D175, SEARCH("SUO_", D175), 7), IFERROR(MID(D175, SEARCH("SUD_", D175), 7), IFERROR(MID(D175, SEARCH("NRO_", D175), 7), IFERROR(MID(D175, SEARCH("ADM_", D175), 7), IFERROR(MID(D175, SEARCH("NRD_", D175), 7), IFERROR(MID(D175, SEARCH("EXN_", D175), 7), IFERROR(MID(D175, SEARCH("LIT_", D175), 7), IFERROR(MID(D175, SEARCH("EST_", D175), 7), MID(D175, SEARCH("OST_",D175), 7))))))))))</f>
        <v/>
      </c>
      <c r="F175" s="12" t="inlineStr">
        <is>
          <t>(04/29/2026 incident ): impacted by  SUO_023_H_Buea-Signal-Hill  Souci d'energie defaut GE || Action  En attente RCA  de OCM</t>
        </is>
      </c>
    </row>
    <row r="176" ht="18.75" customHeight="1">
      <c r="A176" s="12" t="inlineStr">
        <is>
          <t>SUO_066_H_Berunda-MTN</t>
        </is>
      </c>
      <c r="B176" s="12" t="n"/>
      <c r="C176" s="12" t="n"/>
      <c r="D176" s="12">
        <f>A176</f>
        <v/>
      </c>
      <c r="E176" s="12">
        <f>IFERROR(MID(D176, SEARCH("CTR_", D176), 7), IFERROR(MID(D176, SEARCH("SUO_", D176), 7), IFERROR(MID(D176, SEARCH("SUD_", D176), 7), IFERROR(MID(D176, SEARCH("NRO_", D176), 7), IFERROR(MID(D176, SEARCH("ADM_", D176), 7), IFERROR(MID(D176, SEARCH("NRD_", D176), 7), IFERROR(MID(D176, SEARCH("EXN_", D176), 7), IFERROR(MID(D176, SEARCH("LIT_", D176), 7), IFERROR(MID(D176, SEARCH("EST_", D176), 7), MID(D176, SEARCH("OST_",D176), 7))))))))))</f>
        <v/>
      </c>
      <c r="F176" s="12" t="inlineStr">
        <is>
          <t>(04/29/2026 incident ): impacted by  SUO_023_H_Buea-Signal-Hill  Souci d'energie defaut GE || Action  En attente RCA  de OCM</t>
        </is>
      </c>
    </row>
    <row r="177" ht="18.75" customHeight="1">
      <c r="A177" s="12" t="inlineStr">
        <is>
          <t>SUO_152_H_Tole-Tea-IHS</t>
        </is>
      </c>
      <c r="B177" s="12" t="n"/>
      <c r="C177" s="12" t="n"/>
      <c r="D177" s="12">
        <f>A177</f>
        <v/>
      </c>
      <c r="E177" s="12">
        <f>IFERROR(MID(D177, SEARCH("CTR_", D177), 7), IFERROR(MID(D177, SEARCH("SUO_", D177), 7), IFERROR(MID(D177, SEARCH("SUD_", D177), 7), IFERROR(MID(D177, SEARCH("NRO_", D177), 7), IFERROR(MID(D177, SEARCH("ADM_", D177), 7), IFERROR(MID(D177, SEARCH("NRD_", D177), 7), IFERROR(MID(D177, SEARCH("EXN_", D177), 7), IFERROR(MID(D177, SEARCH("LIT_", D177), 7), IFERROR(MID(D177, SEARCH("EST_", D177), 7), MID(D177, SEARCH("OST_",D177), 7))))))))))</f>
        <v/>
      </c>
      <c r="F177" s="12" t="inlineStr">
        <is>
          <t>(04/29/2026 incident ): impacted by  SUO_023_H_Buea-Signal-Hill  Souci d'energie defaut GE || Action  En attente RCA  de OCM</t>
        </is>
      </c>
    </row>
    <row r="178" ht="18.75" customHeight="1">
      <c r="A178" s="12" t="inlineStr">
        <is>
          <t>SUO_163_H_Buea-Hospital</t>
        </is>
      </c>
      <c r="B178" s="12" t="n"/>
      <c r="C178" s="12" t="n"/>
      <c r="D178" s="12">
        <f>A178</f>
        <v/>
      </c>
      <c r="E178" s="12">
        <f>IFERROR(MID(D178, SEARCH("CTR_", D178), 7), IFERROR(MID(D178, SEARCH("SUO_", D178), 7), IFERROR(MID(D178, SEARCH("SUD_", D178), 7), IFERROR(MID(D178, SEARCH("NRO_", D178), 7), IFERROR(MID(D178, SEARCH("ADM_", D178), 7), IFERROR(MID(D178, SEARCH("NRD_", D178), 7), IFERROR(MID(D178, SEARCH("EXN_", D178), 7), IFERROR(MID(D178, SEARCH("LIT_", D178), 7), IFERROR(MID(D178, SEARCH("EST_", D178), 7), MID(D178, SEARCH("OST_",D178), 7))))))))))</f>
        <v/>
      </c>
      <c r="F178" s="12" t="inlineStr">
        <is>
          <t>(04/29/2026 incident ): impacted by  SUO_023_H_Buea-Signal-Hill  Souci d'energie defaut GE || Action  En attente RCA  de OCM</t>
        </is>
      </c>
    </row>
    <row r="179" ht="18.75" customHeight="1">
      <c r="A179" s="12" t="inlineStr">
        <is>
          <t>SUO_169_H_Buea-Bomaka-III-MTN</t>
        </is>
      </c>
      <c r="B179" s="12" t="n"/>
      <c r="C179" s="12" t="n"/>
      <c r="D179" s="12">
        <f>A179</f>
        <v/>
      </c>
      <c r="E179" s="12">
        <f>IFERROR(MID(D179, SEARCH("CTR_", D179), 7), IFERROR(MID(D179, SEARCH("SUO_", D179), 7), IFERROR(MID(D179, SEARCH("SUD_", D179), 7), IFERROR(MID(D179, SEARCH("NRO_", D179), 7), IFERROR(MID(D179, SEARCH("ADM_", D179), 7), IFERROR(MID(D179, SEARCH("NRD_", D179), 7), IFERROR(MID(D179, SEARCH("EXN_", D179), 7), IFERROR(MID(D179, SEARCH("LIT_", D179), 7), IFERROR(MID(D179, SEARCH("EST_", D179), 7), MID(D179, SEARCH("OST_",D179), 7))))))))))</f>
        <v/>
      </c>
      <c r="F179" s="12" t="inlineStr">
        <is>
          <t>(04/29/2026 incident ): impacted by  SUO_023_H_Buea-Signal-Hill  Souci d'energie defaut GE || Action  En attente RCA  de OCM</t>
        </is>
      </c>
    </row>
    <row r="180" ht="18.75" customHeight="1">
      <c r="A180" s="12" t="inlineStr">
        <is>
          <t>SUO_170_H_Buea-Low-Boduma-MTN</t>
        </is>
      </c>
      <c r="B180" s="12" t="n"/>
      <c r="C180" s="12" t="n"/>
      <c r="D180" s="12">
        <f>A180</f>
        <v/>
      </c>
      <c r="E180" s="12">
        <f>IFERROR(MID(D180, SEARCH("CTR_", D180), 7), IFERROR(MID(D180, SEARCH("SUO_", D180), 7), IFERROR(MID(D180, SEARCH("SUD_", D180), 7), IFERROR(MID(D180, SEARCH("NRO_", D180), 7), IFERROR(MID(D180, SEARCH("ADM_", D180), 7), IFERROR(MID(D180, SEARCH("NRD_", D180), 7), IFERROR(MID(D180, SEARCH("EXN_", D180), 7), IFERROR(MID(D180, SEARCH("LIT_", D180), 7), IFERROR(MID(D180, SEARCH("EST_", D180), 7), MID(D180, SEARCH("OST_",D180), 7))))))))))</f>
        <v/>
      </c>
      <c r="F180" s="12" t="inlineStr">
        <is>
          <t>(04/29/2026 incident ): impacted by  SUO_023_H_Buea-Signal-Hill  Souci d'energie defaut GE || Action  En attente RCA  de OCM</t>
        </is>
      </c>
    </row>
    <row r="181" ht="18.75" customHeight="1">
      <c r="A181" s="12" t="inlineStr">
        <is>
          <t>SUO_180_H_Buea-Sandpit-IHS</t>
        </is>
      </c>
      <c r="B181" s="12" t="n"/>
      <c r="C181" s="12" t="n"/>
      <c r="D181" s="12">
        <f>A181</f>
        <v/>
      </c>
      <c r="E181" s="12">
        <f>IFERROR(MID(D181, SEARCH("CTR_", D181), 7), IFERROR(MID(D181, SEARCH("SUO_", D181), 7), IFERROR(MID(D181, SEARCH("SUD_", D181), 7), IFERROR(MID(D181, SEARCH("NRO_", D181), 7), IFERROR(MID(D181, SEARCH("ADM_", D181), 7), IFERROR(MID(D181, SEARCH("NRD_", D181), 7), IFERROR(MID(D181, SEARCH("EXN_", D181), 7), IFERROR(MID(D181, SEARCH("LIT_", D181), 7), IFERROR(MID(D181, SEARCH("EST_", D181), 7), MID(D181, SEARCH("OST_",D181), 7))))))))))</f>
        <v/>
      </c>
      <c r="F181" s="12" t="inlineStr">
        <is>
          <t>(04/29/2026 incident ): impacted by  SUO_023_H_Buea-Signal-Hill  Souci d'energie defaut GE || Action  En attente RCA  de OCM</t>
        </is>
      </c>
    </row>
    <row r="182" ht="18.75" customHeight="1">
      <c r="A182" s="12" t="inlineStr">
        <is>
          <t>SUO_181_H_Great-Soppo-IHS</t>
        </is>
      </c>
      <c r="B182" s="12" t="n"/>
      <c r="C182" s="12" t="n"/>
      <c r="D182" s="12">
        <f>A182</f>
        <v/>
      </c>
      <c r="E182" s="12">
        <f>IFERROR(MID(D182, SEARCH("CTR_", D182), 7), IFERROR(MID(D182, SEARCH("SUO_", D182), 7), IFERROR(MID(D182, SEARCH("SUD_", D182), 7), IFERROR(MID(D182, SEARCH("NRO_", D182), 7), IFERROR(MID(D182, SEARCH("ADM_", D182), 7), IFERROR(MID(D182, SEARCH("NRD_", D182), 7), IFERROR(MID(D182, SEARCH("EXN_", D182), 7), IFERROR(MID(D182, SEARCH("LIT_", D182), 7), IFERROR(MID(D182, SEARCH("EST_", D182), 7), MID(D182, SEARCH("OST_",D182), 7))))))))))</f>
        <v/>
      </c>
      <c r="F182" s="12" t="inlineStr">
        <is>
          <t>(04/29/2026 incident ): impacted by  SUO_023_H_Buea-Signal-Hill  Souci d'energie defaut GE || Action  En attente RCA  de OCM</t>
        </is>
      </c>
    </row>
    <row r="183" ht="18.75" customHeight="1">
      <c r="A183" s="12" t="inlineStr">
        <is>
          <t>SUO_183_H_Molyko-IHS</t>
        </is>
      </c>
      <c r="B183" s="12" t="n"/>
      <c r="C183" s="12" t="n"/>
      <c r="D183" s="12">
        <f>A183</f>
        <v/>
      </c>
      <c r="E183" s="12">
        <f>IFERROR(MID(D183, SEARCH("CTR_", D183), 7), IFERROR(MID(D183, SEARCH("SUO_", D183), 7), IFERROR(MID(D183, SEARCH("SUD_", D183), 7), IFERROR(MID(D183, SEARCH("NRO_", D183), 7), IFERROR(MID(D183, SEARCH("ADM_", D183), 7), IFERROR(MID(D183, SEARCH("NRD_", D183), 7), IFERROR(MID(D183, SEARCH("EXN_", D183), 7), IFERROR(MID(D183, SEARCH("LIT_", D183), 7), IFERROR(MID(D183, SEARCH("EST_", D183), 7), MID(D183, SEARCH("OST_",D183), 7))))))))))</f>
        <v/>
      </c>
      <c r="F183" s="12" t="inlineStr">
        <is>
          <t>(04/29/2026 incident ): impacted by  SUO_023_H_Buea-Signal-Hill  Souci d'energie defaut GE || Action  En attente RCA  de OCM</t>
        </is>
      </c>
    </row>
    <row r="184" ht="18.75" customHeight="1">
      <c r="A184" s="12" t="inlineStr">
        <is>
          <t>SUO_184_H_GSS-BUEA-TOWN-IHS</t>
        </is>
      </c>
      <c r="B184" s="12" t="n"/>
      <c r="C184" s="12" t="n"/>
      <c r="D184" s="12">
        <f>A184</f>
        <v/>
      </c>
      <c r="E184" s="12">
        <f>IFERROR(MID(D184, SEARCH("CTR_", D184), 7), IFERROR(MID(D184, SEARCH("SUO_", D184), 7), IFERROR(MID(D184, SEARCH("SUD_", D184), 7), IFERROR(MID(D184, SEARCH("NRO_", D184), 7), IFERROR(MID(D184, SEARCH("ADM_", D184), 7), IFERROR(MID(D184, SEARCH("NRD_", D184), 7), IFERROR(MID(D184, SEARCH("EXN_", D184), 7), IFERROR(MID(D184, SEARCH("LIT_", D184), 7), IFERROR(MID(D184, SEARCH("EST_", D184), 7), MID(D184, SEARCH("OST_",D184), 7))))))))))</f>
        <v/>
      </c>
      <c r="F184" s="12" t="inlineStr">
        <is>
          <t>(04/29/2026 incident ): impacted by  SUO_023_H_Buea-Signal-Hill  Souci d'energie defaut GE || Action  En attente RCA  de OCM</t>
        </is>
      </c>
    </row>
    <row r="185" ht="18.75" customHeight="1">
      <c r="A185" s="12" t="inlineStr">
        <is>
          <t>SUO_185_H_BUEA-WOKOKO-IHS</t>
        </is>
      </c>
      <c r="B185" s="12" t="n"/>
      <c r="C185" s="12" t="n"/>
      <c r="D185" s="12">
        <f>A185</f>
        <v/>
      </c>
      <c r="E185" s="12">
        <f>IFERROR(MID(D185, SEARCH("CTR_", D185), 7), IFERROR(MID(D185, SEARCH("SUO_", D185), 7), IFERROR(MID(D185, SEARCH("SUD_", D185), 7), IFERROR(MID(D185, SEARCH("NRO_", D185), 7), IFERROR(MID(D185, SEARCH("ADM_", D185), 7), IFERROR(MID(D185, SEARCH("NRD_", D185), 7), IFERROR(MID(D185, SEARCH("EXN_", D185), 7), IFERROR(MID(D185, SEARCH("LIT_", D185), 7), IFERROR(MID(D185, SEARCH("EST_", D185), 7), MID(D185, SEARCH("OST_",D185), 7))))))))))</f>
        <v/>
      </c>
      <c r="F185" s="12" t="inlineStr">
        <is>
          <t>(04/29/2026 incident ): impacted by  SUO_023_H_Buea-Signal-Hill  Souci d'energie defaut GE || Action  En attente RCA  de OCM</t>
        </is>
      </c>
    </row>
    <row r="186" ht="18.75" customHeight="1">
      <c r="A186" s="12" t="inlineStr">
        <is>
          <t>SUO_186_H_Buea-Boduma-IHS</t>
        </is>
      </c>
      <c r="B186" s="12" t="n"/>
      <c r="C186" s="12" t="n"/>
      <c r="D186" s="12">
        <f>A186</f>
        <v/>
      </c>
      <c r="E186" s="12">
        <f>IFERROR(MID(D186, SEARCH("CTR_", D186), 7), IFERROR(MID(D186, SEARCH("SUO_", D186), 7), IFERROR(MID(D186, SEARCH("SUD_", D186), 7), IFERROR(MID(D186, SEARCH("NRO_", D186), 7), IFERROR(MID(D186, SEARCH("ADM_", D186), 7), IFERROR(MID(D186, SEARCH("NRD_", D186), 7), IFERROR(MID(D186, SEARCH("EXN_", D186), 7), IFERROR(MID(D186, SEARCH("LIT_", D186), 7), IFERROR(MID(D186, SEARCH("EST_", D186), 7), MID(D186, SEARCH("OST_",D186), 7))))))))))</f>
        <v/>
      </c>
      <c r="F186" s="12" t="inlineStr">
        <is>
          <t>(04/29/2026 incident ): impacted by  SUO_023_H_Buea-Signal-Hill  Souci d'energie defaut GE || Action  En attente RCA  de OCM</t>
        </is>
      </c>
    </row>
    <row r="187" ht="18.75" customHeight="1">
      <c r="A187" s="12" t="inlineStr">
        <is>
          <t>SUO_200_H_Buea-UB-Lamp-IHS</t>
        </is>
      </c>
      <c r="B187" s="12" t="n"/>
      <c r="C187" s="12" t="n"/>
      <c r="D187" s="12">
        <f>A187</f>
        <v/>
      </c>
      <c r="E187" s="12">
        <f>IFERROR(MID(D187, SEARCH("CTR_", D187), 7), IFERROR(MID(D187, SEARCH("SUO_", D187), 7), IFERROR(MID(D187, SEARCH("SUD_", D187), 7), IFERROR(MID(D187, SEARCH("NRO_", D187), 7), IFERROR(MID(D187, SEARCH("ADM_", D187), 7), IFERROR(MID(D187, SEARCH("NRD_", D187), 7), IFERROR(MID(D187, SEARCH("EXN_", D187), 7), IFERROR(MID(D187, SEARCH("LIT_", D187), 7), IFERROR(MID(D187, SEARCH("EST_", D187), 7), MID(D187, SEARCH("OST_",D187), 7))))))))))</f>
        <v/>
      </c>
      <c r="F187" s="12" t="inlineStr">
        <is>
          <t>(04/29/2026 incident ): impacted by  SUO_023_H_Buea-Signal-Hill  Souci d'energie defaut GE || Action  En attente RCA  de OCM</t>
        </is>
      </c>
    </row>
    <row r="188" ht="18.75" customHeight="1">
      <c r="A188" s="12" t="inlineStr">
        <is>
          <t>SUO_196_H_Tole-IHS</t>
        </is>
      </c>
      <c r="B188" s="12" t="n"/>
      <c r="C188" s="12" t="n"/>
      <c r="D188" s="12">
        <f>A188</f>
        <v/>
      </c>
      <c r="E188" s="12">
        <f>IFERROR(MID(D188, SEARCH("CTR_", D188), 7), IFERROR(MID(D188, SEARCH("SUO_", D188), 7), IFERROR(MID(D188, SEARCH("SUD_", D188), 7), IFERROR(MID(D188, SEARCH("NRO_", D188), 7), IFERROR(MID(D188, SEARCH("ADM_", D188), 7), IFERROR(MID(D188, SEARCH("NRD_", D188), 7), IFERROR(MID(D188, SEARCH("EXN_", D188), 7), IFERROR(MID(D188, SEARCH("LIT_", D188), 7), IFERROR(MID(D188, SEARCH("EST_", D188), 7), MID(D188, SEARCH("OST_",D188), 7))))))))))</f>
        <v/>
      </c>
      <c r="F188" s="12" t="inlineStr">
        <is>
          <t>(04/29/2026 incident ): impacted by  SUO_023_H_Buea-Signal-Hill  Souci d'energie defaut GE || Action  En attente RCA  de OCM</t>
        </is>
      </c>
    </row>
    <row r="189" ht="18.75" customHeight="1">
      <c r="A189" s="12" t="inlineStr">
        <is>
          <t>SUO_212_H_Limbe-Mile4-IHS</t>
        </is>
      </c>
      <c r="B189" s="12" t="n"/>
      <c r="C189" s="12" t="n"/>
      <c r="D189" s="12">
        <f>A189</f>
        <v/>
      </c>
      <c r="E189" s="12">
        <f>IFERROR(MID(D189, SEARCH("CTR_", D189), 7), IFERROR(MID(D189, SEARCH("SUO_", D189), 7), IFERROR(MID(D189, SEARCH("SUD_", D189), 7), IFERROR(MID(D189, SEARCH("NRO_", D189), 7), IFERROR(MID(D189, SEARCH("ADM_", D189), 7), IFERROR(MID(D189, SEARCH("NRD_", D189), 7), IFERROR(MID(D189, SEARCH("EXN_", D189), 7), IFERROR(MID(D189, SEARCH("LIT_", D189), 7), IFERROR(MID(D189, SEARCH("EST_", D189), 7), MID(D189, SEARCH("OST_",D189), 7))))))))))</f>
        <v/>
      </c>
      <c r="F189" s="12" t="inlineStr">
        <is>
          <t>(04/29/2026 incident ): impacted by  SUO_023_H_Buea-Signal-Hill  Souci d'energie defaut GE || Action  En attente RCA  de OCM</t>
        </is>
      </c>
    </row>
    <row r="190" ht="18.75" customHeight="1">
      <c r="A190" s="12" t="inlineStr">
        <is>
          <t>SUO_201_H_Buea-Bomaka-II-IHS</t>
        </is>
      </c>
      <c r="B190" s="12" t="n"/>
      <c r="C190" s="12" t="n"/>
      <c r="D190" s="12">
        <f>A190</f>
        <v/>
      </c>
      <c r="E190" s="12">
        <f>IFERROR(MID(D190, SEARCH("CTR_", D190), 7), IFERROR(MID(D190, SEARCH("SUO_", D190), 7), IFERROR(MID(D190, SEARCH("SUD_", D190), 7), IFERROR(MID(D190, SEARCH("NRO_", D190), 7), IFERROR(MID(D190, SEARCH("ADM_", D190), 7), IFERROR(MID(D190, SEARCH("NRD_", D190), 7), IFERROR(MID(D190, SEARCH("EXN_", D190), 7), IFERROR(MID(D190, SEARCH("LIT_", D190), 7), IFERROR(MID(D190, SEARCH("EST_", D190), 7), MID(D190, SEARCH("OST_",D190), 7))))))))))</f>
        <v/>
      </c>
      <c r="F190" s="12" t="inlineStr">
        <is>
          <t>(04/29/2026 incident ): impacted by  SUO_023_H_Buea-Signal-Hill  Souci d'energie defaut GE || Action  En attente RCA  de OCM</t>
        </is>
      </c>
    </row>
    <row r="191" ht="18.75" customHeight="1">
      <c r="A191" s="12" t="inlineStr">
        <is>
          <t>SUO_213_H_Molyko-Buea-SC2</t>
        </is>
      </c>
      <c r="B191" s="12" t="n"/>
      <c r="C191" s="12" t="n"/>
      <c r="D191" s="12">
        <f>A191</f>
        <v/>
      </c>
      <c r="E191" s="12">
        <f>IFERROR(MID(D191, SEARCH("CTR_", D191), 7), IFERROR(MID(D191, SEARCH("SUO_", D191), 7), IFERROR(MID(D191, SEARCH("SUD_", D191), 7), IFERROR(MID(D191, SEARCH("NRO_", D191), 7), IFERROR(MID(D191, SEARCH("ADM_", D191), 7), IFERROR(MID(D191, SEARCH("NRD_", D191), 7), IFERROR(MID(D191, SEARCH("EXN_", D191), 7), IFERROR(MID(D191, SEARCH("LIT_", D191), 7), IFERROR(MID(D191, SEARCH("EST_", D191), 7), MID(D191, SEARCH("OST_",D191), 7))))))))))</f>
        <v/>
      </c>
      <c r="F191" s="12" t="inlineStr">
        <is>
          <t>(04/29/2026 incident ): impacted by  SUO_023_H_Buea-Signal-Hill  Souci d'energie defaut GE || Action  En attente RCA  de OCM</t>
        </is>
      </c>
    </row>
    <row r="192" ht="18.75" customHeight="1">
      <c r="A192" s="12" t="inlineStr">
        <is>
          <t>SUO_220_H_Mile16-Bolifamba-IHS</t>
        </is>
      </c>
      <c r="B192" s="12" t="n"/>
      <c r="C192" s="12" t="n"/>
      <c r="D192" s="12">
        <f>A192</f>
        <v/>
      </c>
      <c r="E192" s="12">
        <f>IFERROR(MID(D192, SEARCH("CTR_", D192), 7), IFERROR(MID(D192, SEARCH("SUO_", D192), 7), IFERROR(MID(D192, SEARCH("SUD_", D192), 7), IFERROR(MID(D192, SEARCH("NRO_", D192), 7), IFERROR(MID(D192, SEARCH("ADM_", D192), 7), IFERROR(MID(D192, SEARCH("NRD_", D192), 7), IFERROR(MID(D192, SEARCH("EXN_", D192), 7), IFERROR(MID(D192, SEARCH("LIT_", D192), 7), IFERROR(MID(D192, SEARCH("EST_", D192), 7), MID(D192, SEARCH("OST_",D192), 7))))))))))</f>
        <v/>
      </c>
      <c r="F192" s="12" t="inlineStr">
        <is>
          <t>(04/29/2026 incident ): impacted by  SUO_023_H_Buea-Signal-Hill  Souci d'energie defaut GE || Action  En attente RCA  de OCM</t>
        </is>
      </c>
    </row>
    <row r="193" ht="18.75" customHeight="1">
      <c r="A193" s="12" t="inlineStr">
        <is>
          <t>SUO_199_H_Buea-Soppo-University-IHS</t>
        </is>
      </c>
      <c r="B193" s="12" t="n"/>
      <c r="C193" s="12" t="n"/>
      <c r="D193" s="12">
        <f>A193</f>
        <v/>
      </c>
      <c r="E193" s="12">
        <f>IFERROR(MID(D193, SEARCH("CTR_", D193), 7), IFERROR(MID(D193, SEARCH("SUO_", D193), 7), IFERROR(MID(D193, SEARCH("SUD_", D193), 7), IFERROR(MID(D193, SEARCH("NRO_", D193), 7), IFERROR(MID(D193, SEARCH("ADM_", D193), 7), IFERROR(MID(D193, SEARCH("NRD_", D193), 7), IFERROR(MID(D193, SEARCH("EXN_", D193), 7), IFERROR(MID(D193, SEARCH("LIT_", D193), 7), IFERROR(MID(D193, SEARCH("EST_", D193), 7), MID(D193, SEARCH("OST_",D193), 7))))))))))</f>
        <v/>
      </c>
      <c r="F193" s="12" t="inlineStr">
        <is>
          <t>(04/29/2026 incident ): impacted by  SUO_023_H_Buea-Signal-Hill  Souci d'energie defaut GE || Action  En attente RCA  de OCM</t>
        </is>
      </c>
    </row>
    <row r="194" ht="18.75" customHeight="1">
      <c r="A194" s="12" t="inlineStr">
        <is>
          <t>SUO_221_H_BOVA-II-IHS</t>
        </is>
      </c>
      <c r="B194" s="12" t="n"/>
      <c r="C194" s="12" t="n"/>
      <c r="D194" s="12">
        <f>A194</f>
        <v/>
      </c>
      <c r="E194" s="12">
        <f>IFERROR(MID(D194, SEARCH("CTR_", D194), 7), IFERROR(MID(D194, SEARCH("SUO_", D194), 7), IFERROR(MID(D194, SEARCH("SUD_", D194), 7), IFERROR(MID(D194, SEARCH("NRO_", D194), 7), IFERROR(MID(D194, SEARCH("ADM_", D194), 7), IFERROR(MID(D194, SEARCH("NRD_", D194), 7), IFERROR(MID(D194, SEARCH("EXN_", D194), 7), IFERROR(MID(D194, SEARCH("LIT_", D194), 7), IFERROR(MID(D194, SEARCH("EST_", D194), 7), MID(D194, SEARCH("OST_",D194), 7))))))))))</f>
        <v/>
      </c>
      <c r="F194" s="12" t="inlineStr">
        <is>
          <t>(04/29/2026 incident ): impacted by  SUO_023_H_Buea-Signal-Hill  Souci d'energie defaut GE || Action  En attente RCA  de OCM</t>
        </is>
      </c>
    </row>
    <row r="195" ht="18.75" customHeight="1">
      <c r="A195" s="12" t="inlineStr">
        <is>
          <t>SUO_215_H_Buea-Kouma-IHS</t>
        </is>
      </c>
      <c r="B195" s="12" t="n"/>
      <c r="C195" s="12" t="n"/>
      <c r="D195" s="12">
        <f>A195</f>
        <v/>
      </c>
      <c r="E195" s="12">
        <f>IFERROR(MID(D195, SEARCH("CTR_", D195), 7), IFERROR(MID(D195, SEARCH("SUO_", D195), 7), IFERROR(MID(D195, SEARCH("SUD_", D195), 7), IFERROR(MID(D195, SEARCH("NRO_", D195), 7), IFERROR(MID(D195, SEARCH("ADM_", D195), 7), IFERROR(MID(D195, SEARCH("NRD_", D195), 7), IFERROR(MID(D195, SEARCH("EXN_", D195), 7), IFERROR(MID(D195, SEARCH("LIT_", D195), 7), IFERROR(MID(D195, SEARCH("EST_", D195), 7), MID(D195, SEARCH("OST_",D195), 7))))))))))</f>
        <v/>
      </c>
      <c r="F195" s="12" t="inlineStr">
        <is>
          <t>(04/29/2026 incident ): impacted by  SUO_023_H_Buea-Signal-Hill  Souci d'energie defaut GE || Action  En attente RCA  de OCM</t>
        </is>
      </c>
    </row>
    <row r="196" ht="18.75" customHeight="1">
      <c r="A196" s="12" t="inlineStr">
        <is>
          <t>SUO_243_H_Mile16-Buea-IHS</t>
        </is>
      </c>
      <c r="B196" s="12" t="n"/>
      <c r="C196" s="12" t="n"/>
      <c r="D196" s="12">
        <f>A196</f>
        <v/>
      </c>
      <c r="E196" s="12">
        <f>IFERROR(MID(D196, SEARCH("CTR_", D196), 7), IFERROR(MID(D196, SEARCH("SUO_", D196), 7), IFERROR(MID(D196, SEARCH("SUD_", D196), 7), IFERROR(MID(D196, SEARCH("NRO_", D196), 7), IFERROR(MID(D196, SEARCH("ADM_", D196), 7), IFERROR(MID(D196, SEARCH("NRD_", D196), 7), IFERROR(MID(D196, SEARCH("EXN_", D196), 7), IFERROR(MID(D196, SEARCH("LIT_", D196), 7), IFERROR(MID(D196, SEARCH("EST_", D196), 7), MID(D196, SEARCH("OST_",D196), 7))))))))))</f>
        <v/>
      </c>
      <c r="F196" s="12" t="inlineStr">
        <is>
          <t>(04/29/2026 incident ): impacted by  SUO_023_H_Buea-Signal-Hill  Souci d'energie defaut GE || Action  En attente RCA  de OCM</t>
        </is>
      </c>
    </row>
    <row r="197" ht="18.75" customHeight="1">
      <c r="A197" s="12" t="inlineStr">
        <is>
          <t>SUO_228_H_MOLYKO-CHIEF-STREET-MTN</t>
        </is>
      </c>
      <c r="B197" s="12" t="n"/>
      <c r="C197" s="12" t="n"/>
      <c r="D197" s="12">
        <f>A197</f>
        <v/>
      </c>
      <c r="E197" s="12">
        <f>IFERROR(MID(D197, SEARCH("CTR_", D197), 7), IFERROR(MID(D197, SEARCH("SUO_", D197), 7), IFERROR(MID(D197, SEARCH("SUD_", D197), 7), IFERROR(MID(D197, SEARCH("NRO_", D197), 7), IFERROR(MID(D197, SEARCH("ADM_", D197), 7), IFERROR(MID(D197, SEARCH("NRD_", D197), 7), IFERROR(MID(D197, SEARCH("EXN_", D197), 7), IFERROR(MID(D197, SEARCH("LIT_", D197), 7), IFERROR(MID(D197, SEARCH("EST_", D197), 7), MID(D197, SEARCH("OST_",D197), 7))))))))))</f>
        <v/>
      </c>
      <c r="F197" s="12" t="inlineStr">
        <is>
          <t>(04/29/2026 incident ): impacted by  SUO_023_H_Buea-Signal-Hill  Souci d'energie defaut GE || Action  En attente RCA  de OCM</t>
        </is>
      </c>
    </row>
    <row r="198" ht="18.75" customHeight="1">
      <c r="A198" s="12" t="inlineStr">
        <is>
          <t>SUO_240_H_Buea-Street2</t>
        </is>
      </c>
      <c r="B198" s="12" t="n"/>
      <c r="C198" s="12" t="n"/>
      <c r="D198" s="12">
        <f>A198</f>
        <v/>
      </c>
      <c r="E198" s="12">
        <f>IFERROR(MID(D198, SEARCH("CTR_", D198), 7), IFERROR(MID(D198, SEARCH("SUO_", D198), 7), IFERROR(MID(D198, SEARCH("SUD_", D198), 7), IFERROR(MID(D198, SEARCH("NRO_", D198), 7), IFERROR(MID(D198, SEARCH("ADM_", D198), 7), IFERROR(MID(D198, SEARCH("NRD_", D198), 7), IFERROR(MID(D198, SEARCH("EXN_", D198), 7), IFERROR(MID(D198, SEARCH("LIT_", D198), 7), IFERROR(MID(D198, SEARCH("EST_", D198), 7), MID(D198, SEARCH("OST_",D198), 7))))))))))</f>
        <v/>
      </c>
      <c r="F198" s="12" t="inlineStr">
        <is>
          <t>(04/29/2026 incident ): impacted by  SUO_023_H_Buea-Signal-Hill  Souci d'energie defaut GE || Action  En attente RCA  de OCM</t>
        </is>
      </c>
    </row>
    <row r="199" ht="18.75" customHeight="1">
      <c r="A199" s="12" t="inlineStr">
        <is>
          <t>SUO_226_H_Buea-Camtel</t>
        </is>
      </c>
      <c r="B199" s="12" t="n"/>
      <c r="C199" s="12" t="n"/>
      <c r="D199" s="12">
        <f>A199</f>
        <v/>
      </c>
      <c r="E199" s="12">
        <f>IFERROR(MID(D199, SEARCH("CTR_", D199), 7), IFERROR(MID(D199, SEARCH("SUO_", D199), 7), IFERROR(MID(D199, SEARCH("SUD_", D199), 7), IFERROR(MID(D199, SEARCH("NRO_", D199), 7), IFERROR(MID(D199, SEARCH("ADM_", D199), 7), IFERROR(MID(D199, SEARCH("NRD_", D199), 7), IFERROR(MID(D199, SEARCH("EXN_", D199), 7), IFERROR(MID(D199, SEARCH("LIT_", D199), 7), IFERROR(MID(D199, SEARCH("EST_", D199), 7), MID(D199, SEARCH("OST_",D199), 7))))))))))</f>
        <v/>
      </c>
      <c r="F199" s="12" t="inlineStr">
        <is>
          <t>(04/29/2026 incident ): impacted by  SUO_023_H_Buea-Signal-Hill  Souci d'energie defaut GE || Action  En attente RCA  de OCM</t>
        </is>
      </c>
    </row>
    <row r="200" ht="18.75" customHeight="1">
      <c r="A200" s="12" t="inlineStr">
        <is>
          <t>SUO_241_H_Buea-Prime22</t>
        </is>
      </c>
      <c r="B200" s="12" t="n"/>
      <c r="C200" s="12" t="n"/>
      <c r="D200" s="12">
        <f>A200</f>
        <v/>
      </c>
      <c r="E200" s="12">
        <f>IFERROR(MID(D200, SEARCH("CTR_", D200), 7), IFERROR(MID(D200, SEARCH("SUO_", D200), 7), IFERROR(MID(D200, SEARCH("SUD_", D200), 7), IFERROR(MID(D200, SEARCH("NRO_", D200), 7), IFERROR(MID(D200, SEARCH("ADM_", D200), 7), IFERROR(MID(D200, SEARCH("NRD_", D200), 7), IFERROR(MID(D200, SEARCH("EXN_", D200), 7), IFERROR(MID(D200, SEARCH("LIT_", D200), 7), IFERROR(MID(D200, SEARCH("EST_", D200), 7), MID(D200, SEARCH("OST_",D200), 7))))))))))</f>
        <v/>
      </c>
      <c r="F200" s="12" t="inlineStr">
        <is>
          <t>(04/29/2026 incident ): impacted by  SUO_023_H_Buea-Signal-Hill  Souci d'energie defaut GE || Action  En attente RCA  de OCM</t>
        </is>
      </c>
    </row>
    <row r="201" ht="18.75" customHeight="1">
      <c r="A201" s="12" t="inlineStr">
        <is>
          <t>SUO_202_H_Mountain-Hotel-IHS</t>
        </is>
      </c>
      <c r="B201" s="12" t="n"/>
      <c r="C201" s="12" t="n"/>
      <c r="D201" s="12">
        <f>A201</f>
        <v/>
      </c>
      <c r="E201" s="12">
        <f>IFERROR(MID(D201, SEARCH("CTR_", D201), 7), IFERROR(MID(D201, SEARCH("SUO_", D201), 7), IFERROR(MID(D201, SEARCH("SUD_", D201), 7), IFERROR(MID(D201, SEARCH("NRO_", D201), 7), IFERROR(MID(D201, SEARCH("ADM_", D201), 7), IFERROR(MID(D201, SEARCH("NRD_", D201), 7), IFERROR(MID(D201, SEARCH("EXN_", D201), 7), IFERROR(MID(D201, SEARCH("LIT_", D201), 7), IFERROR(MID(D201, SEARCH("EST_", D201), 7), MID(D201, SEARCH("OST_",D201), 7))))))))))</f>
        <v/>
      </c>
      <c r="F201" s="12" t="inlineStr">
        <is>
          <t>(04/29/2026 incident ): impacted by  SUO_023_H_Buea-Signal-Hill  Souci d'energie defaut GE || Action  En attente RCA  de OCM</t>
        </is>
      </c>
    </row>
    <row r="202" ht="18.75" customHeight="1">
      <c r="A202" s="12" t="inlineStr">
        <is>
          <t>SUO_222_H_Buea-Bakwere-Town-MTN</t>
        </is>
      </c>
      <c r="B202" s="12" t="n"/>
      <c r="C202" s="12" t="n"/>
      <c r="D202" s="12">
        <f>A202</f>
        <v/>
      </c>
      <c r="E202" s="12">
        <f>IFERROR(MID(D202, SEARCH("CTR_", D202), 7), IFERROR(MID(D202, SEARCH("SUO_", D202), 7), IFERROR(MID(D202, SEARCH("SUD_", D202), 7), IFERROR(MID(D202, SEARCH("NRO_", D202), 7), IFERROR(MID(D202, SEARCH("ADM_", D202), 7), IFERROR(MID(D202, SEARCH("NRD_", D202), 7), IFERROR(MID(D202, SEARCH("EXN_", D202), 7), IFERROR(MID(D202, SEARCH("LIT_", D202), 7), IFERROR(MID(D202, SEARCH("EST_", D202), 7), MID(D202, SEARCH("OST_",D202), 7))))))))))</f>
        <v/>
      </c>
      <c r="F202" s="12" t="inlineStr">
        <is>
          <t>(04/29/2026 incident ): impacted by  SUO_023_H_Buea-Signal-Hill  Souci d'energie defaut GE || Action  En attente RCA  de OCM</t>
        </is>
      </c>
    </row>
    <row r="203" ht="18.75" customHeight="1">
      <c r="A203" s="12" t="inlineStr">
        <is>
          <t>SUO_021_H_Mile4</t>
        </is>
      </c>
      <c r="B203" s="12" t="n"/>
      <c r="C203" s="12" t="n"/>
      <c r="D203" s="12">
        <f>A203</f>
        <v/>
      </c>
      <c r="E203" s="12">
        <f>IFERROR(MID(D203, SEARCH("CTR_", D203), 7), IFERROR(MID(D203, SEARCH("SUO_", D203), 7), IFERROR(MID(D203, SEARCH("SUD_", D203), 7), IFERROR(MID(D203, SEARCH("NRO_", D203), 7), IFERROR(MID(D203, SEARCH("ADM_", D203), 7), IFERROR(MID(D203, SEARCH("NRD_", D203), 7), IFERROR(MID(D203, SEARCH("EXN_", D203), 7), IFERROR(MID(D203, SEARCH("LIT_", D203), 7), IFERROR(MID(D203, SEARCH("EST_", D203), 7), MID(D203, SEARCH("OST_",D203), 7))))))))))</f>
        <v/>
      </c>
      <c r="F203" s="12" t="inlineStr">
        <is>
          <t>(04/29/2026 incident ): impacted by  SUO_023_H_Buea-Signal-Hill  Souci d'energie defaut GE || Action  En attente RCA  de OCM</t>
        </is>
      </c>
    </row>
    <row r="204" ht="18.75" customHeight="1">
      <c r="A204" s="12" t="inlineStr">
        <is>
          <t>SUO_127_H_Wotutu-IHS</t>
        </is>
      </c>
      <c r="B204" s="12" t="n"/>
      <c r="C204" s="12" t="n"/>
      <c r="D204" s="12">
        <f>A204</f>
        <v/>
      </c>
      <c r="E204" s="12">
        <f>IFERROR(MID(D204, SEARCH("CTR_", D204), 7), IFERROR(MID(D204, SEARCH("SUO_", D204), 7), IFERROR(MID(D204, SEARCH("SUD_", D204), 7), IFERROR(MID(D204, SEARCH("NRO_", D204), 7), IFERROR(MID(D204, SEARCH("ADM_", D204), 7), IFERROR(MID(D204, SEARCH("NRD_", D204), 7), IFERROR(MID(D204, SEARCH("EXN_", D204), 7), IFERROR(MID(D204, SEARCH("LIT_", D204), 7), IFERROR(MID(D204, SEARCH("EST_", D204), 7), MID(D204, SEARCH("OST_",D204), 7))))))))))</f>
        <v/>
      </c>
      <c r="F204" s="12" t="inlineStr">
        <is>
          <t>(04/29/2026 incident ): impacted by  SUO_023_H_Buea-Signal-Hill  Souci d'energie defaut GE || Action  En attente RCA  de OCM</t>
        </is>
      </c>
    </row>
    <row r="205" ht="18.75" customHeight="1">
      <c r="A205" s="12" t="inlineStr">
        <is>
          <t>SUO_306_H_Buea-Bondouma</t>
        </is>
      </c>
      <c r="B205" s="12" t="n"/>
      <c r="C205" s="12" t="n"/>
      <c r="D205" s="12">
        <f>A205</f>
        <v/>
      </c>
      <c r="E205" s="12">
        <f>IFERROR(MID(D205, SEARCH("CTR_", D205), 7), IFERROR(MID(D205, SEARCH("SUO_", D205), 7), IFERROR(MID(D205, SEARCH("SUD_", D205), 7), IFERROR(MID(D205, SEARCH("NRO_", D205), 7), IFERROR(MID(D205, SEARCH("ADM_", D205), 7), IFERROR(MID(D205, SEARCH("NRD_", D205), 7), IFERROR(MID(D205, SEARCH("EXN_", D205), 7), IFERROR(MID(D205, SEARCH("LIT_", D205), 7), IFERROR(MID(D205, SEARCH("EST_", D205), 7), MID(D205, SEARCH("OST_",D205), 7))))))))))</f>
        <v/>
      </c>
      <c r="F205" s="12" t="inlineStr">
        <is>
          <t>(04/29/2026 incident ): impacted by  SUO_023_H_Buea-Signal-Hill  Souci d'energie defaut GE || Action  En attente RCA  de OCM</t>
        </is>
      </c>
    </row>
    <row r="206" ht="18.75" customHeight="1">
      <c r="A206" s="12" t="inlineStr">
        <is>
          <t>SUO_254_H_Bokova-IHS</t>
        </is>
      </c>
      <c r="B206" s="12" t="n"/>
      <c r="C206" s="12" t="n"/>
      <c r="D206" s="12">
        <f>A206</f>
        <v/>
      </c>
      <c r="E206" s="12">
        <f>IFERROR(MID(D206, SEARCH("CTR_", D206), 7), IFERROR(MID(D206, SEARCH("SUO_", D206), 7), IFERROR(MID(D206, SEARCH("SUD_", D206), 7), IFERROR(MID(D206, SEARCH("NRO_", D206), 7), IFERROR(MID(D206, SEARCH("ADM_", D206), 7), IFERROR(MID(D206, SEARCH("NRD_", D206), 7), IFERROR(MID(D206, SEARCH("EXN_", D206), 7), IFERROR(MID(D206, SEARCH("LIT_", D206), 7), IFERROR(MID(D206, SEARCH("EST_", D206), 7), MID(D206, SEARCH("OST_",D206), 7))))))))))</f>
        <v/>
      </c>
      <c r="F206" s="12" t="inlineStr">
        <is>
          <t>(04/29/2026 incident ): impacted by  SUO_023_H_Buea-Signal-Hill  Souci d'energie defaut GE || Action  En attente RCA  de OCM</t>
        </is>
      </c>
    </row>
    <row r="207" ht="18.75" customHeight="1">
      <c r="A207" s="12" t="inlineStr">
        <is>
          <t>SUO_301_H_Buea-Koke-Quater</t>
        </is>
      </c>
      <c r="B207" s="12" t="n"/>
      <c r="C207" s="12" t="n"/>
      <c r="D207" s="12">
        <f>A207</f>
        <v/>
      </c>
      <c r="E207" s="12">
        <f>IFERROR(MID(D207, SEARCH("CTR_", D207), 7), IFERROR(MID(D207, SEARCH("SUO_", D207), 7), IFERROR(MID(D207, SEARCH("SUD_", D207), 7), IFERROR(MID(D207, SEARCH("NRO_", D207), 7), IFERROR(MID(D207, SEARCH("ADM_", D207), 7), IFERROR(MID(D207, SEARCH("NRD_", D207), 7), IFERROR(MID(D207, SEARCH("EXN_", D207), 7), IFERROR(MID(D207, SEARCH("LIT_", D207), 7), IFERROR(MID(D207, SEARCH("EST_", D207), 7), MID(D207, SEARCH("OST_",D207), 7))))))))))</f>
        <v/>
      </c>
      <c r="F207" s="12" t="inlineStr">
        <is>
          <t>(04/29/2026 incident ): impacted by  SUO_023_H_Buea-Signal-Hill  Souci d'energie defaut GE || Action  En attente RCA  de OCM</t>
        </is>
      </c>
    </row>
    <row r="208" ht="18.75" customHeight="1">
      <c r="A208" s="12" t="inlineStr">
        <is>
          <t>SUO_007_H_Buea-Orange</t>
        </is>
      </c>
      <c r="B208" s="12" t="n"/>
      <c r="C208" s="12" t="n"/>
      <c r="D208" s="12">
        <f>A208</f>
        <v/>
      </c>
      <c r="E208" s="12">
        <f>IFERROR(MID(D208, SEARCH("CTR_", D208), 7), IFERROR(MID(D208, SEARCH("SUO_", D208), 7), IFERROR(MID(D208, SEARCH("SUD_", D208), 7), IFERROR(MID(D208, SEARCH("NRO_", D208), 7), IFERROR(MID(D208, SEARCH("ADM_", D208), 7), IFERROR(MID(D208, SEARCH("NRD_", D208), 7), IFERROR(MID(D208, SEARCH("EXN_", D208), 7), IFERROR(MID(D208, SEARCH("LIT_", D208), 7), IFERROR(MID(D208, SEARCH("EST_", D208), 7), MID(D208, SEARCH("OST_",D208), 7))))))))))</f>
        <v/>
      </c>
      <c r="F208" s="12" t="inlineStr">
        <is>
          <t>(04/29/2026 incident ): impacted by  SUO_023_H_Buea-Signal-Hill  Souci d'energie defaut GE || Action  En attente RCA  de OCM</t>
        </is>
      </c>
    </row>
    <row r="209" ht="18.75" customHeight="1">
      <c r="A209" s="12" t="n"/>
      <c r="B209" s="12" t="inlineStr">
        <is>
          <t>CTR_773_Z_Efoulan-Pont(CTR-773)</t>
        </is>
      </c>
      <c r="C209" s="12" t="inlineStr">
        <is>
          <t>2604D85066 || INC-20260429-00007544</t>
        </is>
      </c>
      <c r="D209" s="12" t="inlineStr">
        <is>
          <t>CTR_209_Z_Efoulan(CTR-209)</t>
        </is>
      </c>
      <c r="E209" s="12">
        <f>IFERROR(MID(D209, SEARCH("CTR_", D209), 7), IFERROR(MID(D209, SEARCH("SUO_", D209), 7), IFERROR(MID(D209, SEARCH("SUD_", D209), 7), IFERROR(MID(D209, SEARCH("NRO_", D209), 7), IFERROR(MID(D209, SEARCH("ADM_", D209), 7), IFERROR(MID(D209, SEARCH("NRD_", D209), 7), IFERROR(MID(D209, SEARCH("EXN_", D209), 7), IFERROR(MID(D209, SEARCH("LIT_", D209), 7), IFERROR(MID(D209, SEARCH("EST_", D209), 7), MID(D209, SEARCH("OST_",D209), 7))))))))))</f>
        <v/>
      </c>
      <c r="F209" s="12" t="inlineStr">
        <is>
          <t>(04/29/2026 incident ): impacted by  CTR_773_Z_Efoulan-Pont(CTR-773), soucis d'energie || Action : en ettente RCA CAMSUSAT</t>
        </is>
      </c>
    </row>
    <row r="210" ht="18.75" customHeight="1">
      <c r="A210" s="12" t="n"/>
      <c r="B210" s="12" t="n"/>
      <c r="C210" s="12" t="n"/>
      <c r="D210" s="12" t="inlineStr">
        <is>
          <t>CTR_598_Z_Obobogo-Paloma(CTR-598)</t>
        </is>
      </c>
      <c r="E210" s="12">
        <f>IFERROR(MID(D210, SEARCH("CTR_", D210), 7), IFERROR(MID(D210, SEARCH("SUO_", D210), 7), IFERROR(MID(D210, SEARCH("SUD_", D210), 7), IFERROR(MID(D210, SEARCH("NRO_", D210), 7), IFERROR(MID(D210, SEARCH("ADM_", D210), 7), IFERROR(MID(D210, SEARCH("NRD_", D210), 7), IFERROR(MID(D210, SEARCH("EXN_", D210), 7), IFERROR(MID(D210, SEARCH("LIT_", D210), 7), IFERROR(MID(D210, SEARCH("EST_", D210), 7), MID(D210, SEARCH("OST_",D210), 7))))))))))</f>
        <v/>
      </c>
      <c r="F210" s="12" t="inlineStr">
        <is>
          <t>(04/29/2026 incident ): impacted by  CTR_773_Z_Efoulan-Pont(CTR-773), soucis d'energie || Action : en ettente RCA CAMSUSAT</t>
        </is>
      </c>
    </row>
    <row r="211" ht="18.75" customHeight="1">
      <c r="A211" s="12" t="n"/>
      <c r="B211" s="12" t="n"/>
      <c r="C211" s="12" t="n"/>
      <c r="D211" s="12" t="inlineStr">
        <is>
          <t>CTR_543_Z_Obobogo-New(CTR-543)</t>
        </is>
      </c>
      <c r="E211" s="12">
        <f>IFERROR(MID(D211, SEARCH("CTR_", D211), 7), IFERROR(MID(D211, SEARCH("SUO_", D211), 7), IFERROR(MID(D211, SEARCH("SUD_", D211), 7), IFERROR(MID(D211, SEARCH("NRO_", D211), 7), IFERROR(MID(D211, SEARCH("ADM_", D211), 7), IFERROR(MID(D211, SEARCH("NRD_", D211), 7), IFERROR(MID(D211, SEARCH("EXN_", D211), 7), IFERROR(MID(D211, SEARCH("LIT_", D211), 7), IFERROR(MID(D211, SEARCH("EST_", D211), 7), MID(D211, SEARCH("OST_",D211), 7))))))))))</f>
        <v/>
      </c>
      <c r="F211" s="12" t="inlineStr">
        <is>
          <t>(04/29/2026 incident ): impacted by  CTR_773_Z_Efoulan-Pont(CTR-773), soucis d'energie || Action : en ettente RCA CAMSUSAT</t>
        </is>
      </c>
    </row>
    <row r="212" ht="18.75" customHeight="1">
      <c r="A212" s="12" t="n"/>
      <c r="B212" s="12" t="n"/>
      <c r="C212" s="12" t="n"/>
      <c r="D212" s="12" t="inlineStr">
        <is>
          <t>CTR_773_Z_Efoulan-Pont(CTR-773)</t>
        </is>
      </c>
      <c r="E212" s="12">
        <f>IFERROR(MID(D212, SEARCH("CTR_", D212), 7), IFERROR(MID(D212, SEARCH("SUO_", D212), 7), IFERROR(MID(D212, SEARCH("SUD_", D212), 7), IFERROR(MID(D212, SEARCH("NRO_", D212), 7), IFERROR(MID(D212, SEARCH("ADM_", D212), 7), IFERROR(MID(D212, SEARCH("NRD_", D212), 7), IFERROR(MID(D212, SEARCH("EXN_", D212), 7), IFERROR(MID(D212, SEARCH("LIT_", D212), 7), IFERROR(MID(D212, SEARCH("EST_", D212), 7), MID(D212, SEARCH("OST_",D212), 7))))))))))</f>
        <v/>
      </c>
      <c r="F212" s="12" t="inlineStr">
        <is>
          <t>(04/29/2026 incident ): impacted by  CTR_773_Z_Efoulan-Pont(CTR-773), soucis d'energie || Action : en ettente RCA CAMSUSAT</t>
        </is>
      </c>
    </row>
    <row r="213" ht="18.75" customHeight="1">
      <c r="A213" s="12" t="n"/>
      <c r="B213" s="12" t="n"/>
      <c r="C213" s="12" t="n"/>
      <c r="D213" s="12" t="inlineStr">
        <is>
          <t>CTR_1042_Z_Nsimeyong-Terre-Rouge-IHS(CTR-1042)</t>
        </is>
      </c>
      <c r="E213" s="12">
        <f>IFERROR(MID(D213, SEARCH("CTR_", D213), 7), IFERROR(MID(D213, SEARCH("SUO_", D213), 7), IFERROR(MID(D213, SEARCH("SUD_", D213), 7), IFERROR(MID(D213, SEARCH("NRO_", D213), 7), IFERROR(MID(D213, SEARCH("ADM_", D213), 7), IFERROR(MID(D213, SEARCH("NRD_", D213), 7), IFERROR(MID(D213, SEARCH("EXN_", D213), 7), IFERROR(MID(D213, SEARCH("LIT_", D213), 7), IFERROR(MID(D213, SEARCH("EST_", D213), 7), MID(D213, SEARCH("OST_",D213), 7))))))))))</f>
        <v/>
      </c>
      <c r="F213" s="12" t="inlineStr">
        <is>
          <t>(04/29/2026 incident ): impacted by  CTR_773_Z_Efoulan-Pont(CTR-773), soucis d'energie || Action : en ettente RCA CAMSUSAT</t>
        </is>
      </c>
    </row>
    <row r="214" ht="18.75" customHeight="1">
      <c r="A214" s="12" t="n"/>
      <c r="B214" s="12" t="inlineStr">
        <is>
          <t>EST_076_N_Diang-MTN</t>
        </is>
      </c>
      <c r="C214" s="12" t="inlineStr">
        <is>
          <t>INC-20260429-00007892 / 2604D86025</t>
        </is>
      </c>
      <c r="D214" s="12" t="inlineStr">
        <is>
          <t>EST_076_N_Diang-MTN_G</t>
        </is>
      </c>
      <c r="E214" s="12">
        <f>IFERROR(MID(D214, SEARCH("CTR_", D214), 7), IFERROR(MID(D214, SEARCH("SUO_", D214), 7), IFERROR(MID(D214, SEARCH("SUD_", D214), 7), IFERROR(MID(D214, SEARCH("NRO_", D214), 7), IFERROR(MID(D214, SEARCH("ADM_", D214), 7), IFERROR(MID(D214, SEARCH("NRD_", D214), 7), IFERROR(MID(D214, SEARCH("EXN_", D214), 7), IFERROR(MID(D214, SEARCH("LIT_", D214), 7), IFERROR(MID(D214, SEARCH("EST_", D214), 7), MID(D214, SEARCH("OST_",D214), 7))))))))))</f>
        <v/>
      </c>
      <c r="F214" s="13" t="inlineStr">
        <is>
          <t>(04/29/2026 incident ): impacted by EST_076_N_Diang-MTN</t>
        </is>
      </c>
    </row>
    <row r="215" ht="18.75" customHeight="1">
      <c r="A215" s="12" t="n"/>
      <c r="B215" s="12" t="n"/>
      <c r="C215" s="12" t="n"/>
      <c r="D215" s="12" t="inlineStr">
        <is>
          <t>CTR_859_N_NSEM</t>
        </is>
      </c>
      <c r="E215" s="12">
        <f>IFERROR(MID(D215, SEARCH("CTR_", D215), 7), IFERROR(MID(D215, SEARCH("SUO_", D215), 7), IFERROR(MID(D215, SEARCH("SUD_", D215), 7), IFERROR(MID(D215, SEARCH("NRO_", D215), 7), IFERROR(MID(D215, SEARCH("ADM_", D215), 7), IFERROR(MID(D215, SEARCH("NRD_", D215), 7), IFERROR(MID(D215, SEARCH("EXN_", D215), 7), IFERROR(MID(D215, SEARCH("LIT_", D215), 7), IFERROR(MID(D215, SEARCH("EST_", D215), 7), MID(D215, SEARCH("OST_",D215), 7))))))))))</f>
        <v/>
      </c>
      <c r="F215" s="13" t="inlineStr">
        <is>
          <t>(04/29/2026 incident ): impacted by EST_076_N_Diang-MTN</t>
        </is>
      </c>
    </row>
    <row r="216" ht="18.75" customHeight="1">
      <c r="A216" s="12" t="n"/>
      <c r="B216" s="12" t="n"/>
      <c r="C216" s="12" t="n"/>
      <c r="D216" s="12" t="inlineStr">
        <is>
          <t>EST_077_Z_Nguem-MTN(EST-077)</t>
        </is>
      </c>
      <c r="E216" s="12">
        <f>IFERROR(MID(D216, SEARCH("CTR_", D216), 7), IFERROR(MID(D216, SEARCH("SUO_", D216), 7), IFERROR(MID(D216, SEARCH("SUD_", D216), 7), IFERROR(MID(D216, SEARCH("NRO_", D216), 7), IFERROR(MID(D216, SEARCH("ADM_", D216), 7), IFERROR(MID(D216, SEARCH("NRD_", D216), 7), IFERROR(MID(D216, SEARCH("EXN_", D216), 7), IFERROR(MID(D216, SEARCH("LIT_", D216), 7), IFERROR(MID(D216, SEARCH("EST_", D216), 7), MID(D216, SEARCH("OST_",D216), 7))))))))))</f>
        <v/>
      </c>
      <c r="F216" s="13" t="inlineStr">
        <is>
          <t>(04/29/2026 incident ): impacted by EST_076_N_Diang-MTN</t>
        </is>
      </c>
    </row>
    <row r="217" ht="18.75" customHeight="1">
      <c r="A217" s="12" t="n"/>
      <c r="B217" s="12" t="n"/>
      <c r="C217" s="12" t="n"/>
      <c r="D217" s="12" t="inlineStr">
        <is>
          <t>CTR_894_Z_Pella(CTR-894)</t>
        </is>
      </c>
      <c r="E217" s="12">
        <f>IFERROR(MID(D217, SEARCH("CTR_", D217), 7), IFERROR(MID(D217, SEARCH("SUO_", D217), 7), IFERROR(MID(D217, SEARCH("SUD_", D217), 7), IFERROR(MID(D217, SEARCH("NRO_", D217), 7), IFERROR(MID(D217, SEARCH("ADM_", D217), 7), IFERROR(MID(D217, SEARCH("NRD_", D217), 7), IFERROR(MID(D217, SEARCH("EXN_", D217), 7), IFERROR(MID(D217, SEARCH("LIT_", D217), 7), IFERROR(MID(D217, SEARCH("EST_", D217), 7), MID(D217, SEARCH("OST_",D217), 7))))))))))</f>
        <v/>
      </c>
      <c r="F217" s="13" t="inlineStr">
        <is>
          <t>(04/29/2026 incident ): impacted by EST_076_N_Diang-MTN</t>
        </is>
      </c>
    </row>
    <row r="218" ht="18.75" customHeight="1">
      <c r="A218" s="12" t="n"/>
      <c r="B218" s="12" t="n"/>
      <c r="C218" s="12" t="n"/>
      <c r="D218" s="12" t="inlineStr">
        <is>
          <t>CTR_139_Z_Nji-Camtel(CTR-139)</t>
        </is>
      </c>
      <c r="E218" s="12">
        <f>IFERROR(MID(D218, SEARCH("CTR_", D218), 7), IFERROR(MID(D218, SEARCH("SUO_", D218), 7), IFERROR(MID(D218, SEARCH("SUD_", D218), 7), IFERROR(MID(D218, SEARCH("NRO_", D218), 7), IFERROR(MID(D218, SEARCH("ADM_", D218), 7), IFERROR(MID(D218, SEARCH("NRD_", D218), 7), IFERROR(MID(D218, SEARCH("EXN_", D218), 7), IFERROR(MID(D218, SEARCH("LIT_", D218), 7), IFERROR(MID(D218, SEARCH("EST_", D218), 7), MID(D218, SEARCH("OST_",D218), 7))))))))))</f>
        <v/>
      </c>
      <c r="F218" s="13" t="inlineStr">
        <is>
          <t>(04/29/2026 incident ): impacted by EST_076_N_Diang-MTN</t>
        </is>
      </c>
    </row>
    <row r="219" ht="18.75" customHeight="1">
      <c r="A219" s="12" t="n"/>
      <c r="B219" s="12" t="n"/>
      <c r="C219" s="12" t="n"/>
      <c r="D219" s="12" t="inlineStr">
        <is>
          <t>CTR_870_Z_MENGUE-BIBEY-IHS(CTR-870)</t>
        </is>
      </c>
      <c r="E219" s="12">
        <f>IFERROR(MID(D219, SEARCH("CTR_", D219), 7), IFERROR(MID(D219, SEARCH("SUO_", D219), 7), IFERROR(MID(D219, SEARCH("SUD_", D219), 7), IFERROR(MID(D219, SEARCH("NRO_", D219), 7), IFERROR(MID(D219, SEARCH("ADM_", D219), 7), IFERROR(MID(D219, SEARCH("NRD_", D219), 7), IFERROR(MID(D219, SEARCH("EXN_", D219), 7), IFERROR(MID(D219, SEARCH("LIT_", D219), 7), IFERROR(MID(D219, SEARCH("EST_", D219), 7), MID(D219, SEARCH("OST_",D219), 7))))))))))</f>
        <v/>
      </c>
      <c r="F219" s="13" t="inlineStr">
        <is>
          <t>(04/29/2026 incident ): impacted by EST_076_N_Diang-MTN</t>
        </is>
      </c>
    </row>
    <row r="220" ht="18.75" customHeight="1">
      <c r="A220" s="12" t="n"/>
      <c r="B220" s="12" t="n"/>
      <c r="C220" s="12" t="n"/>
      <c r="D220" s="12" t="inlineStr">
        <is>
          <t>EST_150_Z_Andom(EST-150)</t>
        </is>
      </c>
      <c r="E220" s="12">
        <f>IFERROR(MID(D220, SEARCH("CTR_", D220), 7), IFERROR(MID(D220, SEARCH("SUO_", D220), 7), IFERROR(MID(D220, SEARCH("SUD_", D220), 7), IFERROR(MID(D220, SEARCH("NRO_", D220), 7), IFERROR(MID(D220, SEARCH("ADM_", D220), 7), IFERROR(MID(D220, SEARCH("NRD_", D220), 7), IFERROR(MID(D220, SEARCH("EXN_", D220), 7), IFERROR(MID(D220, SEARCH("LIT_", D220), 7), IFERROR(MID(D220, SEARCH("EST_", D220), 7), MID(D220, SEARCH("OST_",D220), 7))))))))))</f>
        <v/>
      </c>
      <c r="F220" s="13" t="inlineStr">
        <is>
          <t>(04/29/2026 incident ): impacted by EST_076_N_Diang-MTN</t>
        </is>
      </c>
    </row>
    <row r="221" ht="18.75" customHeight="1">
      <c r="A221" s="12" t="n"/>
      <c r="B221" s="12" t="n"/>
      <c r="C221" s="12" t="n"/>
      <c r="D221" s="12" t="inlineStr">
        <is>
          <t>CTR_141_Z_Ndandouck-IHS(CTR-141)</t>
        </is>
      </c>
      <c r="E221" s="12">
        <f>IFERROR(MID(D221, SEARCH("CTR_", D221), 7), IFERROR(MID(D221, SEARCH("SUO_", D221), 7), IFERROR(MID(D221, SEARCH("SUD_", D221), 7), IFERROR(MID(D221, SEARCH("NRO_", D221), 7), IFERROR(MID(D221, SEARCH("ADM_", D221), 7), IFERROR(MID(D221, SEARCH("NRD_", D221), 7), IFERROR(MID(D221, SEARCH("EXN_", D221), 7), IFERROR(MID(D221, SEARCH("LIT_", D221), 7), IFERROR(MID(D221, SEARCH("EST_", D221), 7), MID(D221, SEARCH("OST_",D221), 7))))))))))</f>
        <v/>
      </c>
      <c r="F221" s="13" t="inlineStr">
        <is>
          <t>(04/29/2026 incident ): impacted by EST_076_N_Diang-MTN</t>
        </is>
      </c>
    </row>
    <row r="222" ht="18.75" customHeight="1">
      <c r="A222" s="12" t="n"/>
      <c r="B222" s="12" t="n"/>
      <c r="C222" s="12" t="n"/>
      <c r="D222" s="12" t="inlineStr">
        <is>
          <t>CTR_233_Z_Minta(CTR-233)</t>
        </is>
      </c>
      <c r="E222" s="12">
        <f>IFERROR(MID(D222, SEARCH("CTR_", D222), 7), IFERROR(MID(D222, SEARCH("SUO_", D222), 7), IFERROR(MID(D222, SEARCH("SUD_", D222), 7), IFERROR(MID(D222, SEARCH("NRO_", D222), 7), IFERROR(MID(D222, SEARCH("ADM_", D222), 7), IFERROR(MID(D222, SEARCH("NRD_", D222), 7), IFERROR(MID(D222, SEARCH("EXN_", D222), 7), IFERROR(MID(D222, SEARCH("LIT_", D222), 7), IFERROR(MID(D222, SEARCH("EST_", D222), 7), MID(D222, SEARCH("OST_",D222), 7))))))))))</f>
        <v/>
      </c>
      <c r="F222" s="13" t="inlineStr">
        <is>
          <t>(04/29/2026 incident ): impacted by EST_076_N_Diang-MTN</t>
        </is>
      </c>
    </row>
    <row r="223" ht="18.75" customHeight="1">
      <c r="A223" s="12" t="n"/>
      <c r="B223" s="12" t="n"/>
      <c r="C223" s="12" t="n"/>
      <c r="D223" s="12" t="inlineStr">
        <is>
          <t>EST_024_Z_Nguelemendouka-FH(EST-024)</t>
        </is>
      </c>
      <c r="E223" s="12">
        <f>IFERROR(MID(D223, SEARCH("CTR_", D223), 7), IFERROR(MID(D223, SEARCH("SUO_", D223), 7), IFERROR(MID(D223, SEARCH("SUD_", D223), 7), IFERROR(MID(D223, SEARCH("NRO_", D223), 7), IFERROR(MID(D223, SEARCH("ADM_", D223), 7), IFERROR(MID(D223, SEARCH("NRD_", D223), 7), IFERROR(MID(D223, SEARCH("EXN_", D223), 7), IFERROR(MID(D223, SEARCH("LIT_", D223), 7), IFERROR(MID(D223, SEARCH("EST_", D223), 7), MID(D223, SEARCH("OST_",D223), 7))))))))))</f>
        <v/>
      </c>
      <c r="F223" s="13" t="inlineStr">
        <is>
          <t>(04/29/2026 incident ): impacted by EST_076_N_Diang-MTN</t>
        </is>
      </c>
    </row>
    <row r="224" ht="18.75" customHeight="1">
      <c r="A224" s="12" t="n"/>
      <c r="B224" s="12" t="n"/>
      <c r="C224" s="12" t="n"/>
      <c r="D224" s="12" t="inlineStr">
        <is>
          <t>CTR_407_Z_Meba-CAMTEL(CTR-407)</t>
        </is>
      </c>
      <c r="E224" s="12">
        <f>IFERROR(MID(D224, SEARCH("CTR_", D224), 7), IFERROR(MID(D224, SEARCH("SUO_", D224), 7), IFERROR(MID(D224, SEARCH("SUD_", D224), 7), IFERROR(MID(D224, SEARCH("NRO_", D224), 7), IFERROR(MID(D224, SEARCH("ADM_", D224), 7), IFERROR(MID(D224, SEARCH("NRD_", D224), 7), IFERROR(MID(D224, SEARCH("EXN_", D224), 7), IFERROR(MID(D224, SEARCH("LIT_", D224), 7), IFERROR(MID(D224, SEARCH("EST_", D224), 7), MID(D224, SEARCH("OST_",D224), 7))))))))))</f>
        <v/>
      </c>
      <c r="F224" s="13" t="inlineStr">
        <is>
          <t>(04/29/2026 incident ): impacted by EST_076_N_Diang-MTN</t>
        </is>
      </c>
    </row>
    <row r="225" ht="18.75" customHeight="1">
      <c r="A225" s="12" t="n"/>
      <c r="B225" s="12" t="n"/>
      <c r="C225" s="12" t="n"/>
      <c r="D225" s="12" t="inlineStr">
        <is>
          <t>CTR_1070_URZ_MANDJOUK(CTR-1070)</t>
        </is>
      </c>
      <c r="E225" s="12">
        <f>IFERROR(MID(D225, SEARCH("CTR_", D225), 7), IFERROR(MID(D225, SEARCH("SUO_", D225), 7), IFERROR(MID(D225, SEARCH("SUD_", D225), 7), IFERROR(MID(D225, SEARCH("NRO_", D225), 7), IFERROR(MID(D225, SEARCH("ADM_", D225), 7), IFERROR(MID(D225, SEARCH("NRD_", D225), 7), IFERROR(MID(D225, SEARCH("EXN_", D225), 7), IFERROR(MID(D225, SEARCH("LIT_", D225), 7), IFERROR(MID(D225, SEARCH("EST_", D225), 7), MID(D225, SEARCH("OST_",D225), 7))))))))))</f>
        <v/>
      </c>
      <c r="F225" s="13" t="inlineStr">
        <is>
          <t>(04/29/2026 incident ): impacted by EST_076_N_Diang-MTN</t>
        </is>
      </c>
    </row>
    <row r="226" ht="18.75" customHeight="1">
      <c r="A226" s="12" t="n"/>
      <c r="B226" s="12" t="n"/>
      <c r="C226" s="12" t="n"/>
      <c r="D226" s="12" t="inlineStr">
        <is>
          <t>CTR_1073_URZ_MEKONE-II(CTR-1073)</t>
        </is>
      </c>
      <c r="E226" s="12">
        <f>IFERROR(MID(D226, SEARCH("CTR_", D226), 7), IFERROR(MID(D226, SEARCH("SUO_", D226), 7), IFERROR(MID(D226, SEARCH("SUD_", D226), 7), IFERROR(MID(D226, SEARCH("NRO_", D226), 7), IFERROR(MID(D226, SEARCH("ADM_", D226), 7), IFERROR(MID(D226, SEARCH("NRD_", D226), 7), IFERROR(MID(D226, SEARCH("EXN_", D226), 7), IFERROR(MID(D226, SEARCH("LIT_", D226), 7), IFERROR(MID(D226, SEARCH("EST_", D226), 7), MID(D226, SEARCH("OST_",D226), 7))))))))))</f>
        <v/>
      </c>
      <c r="F226" s="13" t="inlineStr">
        <is>
          <t>(04/29/2026 incident ): impacted by EST_076_N_Diang-MTN</t>
        </is>
      </c>
    </row>
    <row r="227" ht="18.75" customHeight="1">
      <c r="A227" s="12" t="n"/>
      <c r="B227" s="12" t="n"/>
      <c r="C227" s="12" t="n"/>
      <c r="D227" s="12" t="inlineStr">
        <is>
          <t>CTR_1072_URZ_MEDALBOME(CTR-1072)</t>
        </is>
      </c>
      <c r="E227" s="12">
        <f>IFERROR(MID(D227, SEARCH("CTR_", D227), 7), IFERROR(MID(D227, SEARCH("SUO_", D227), 7), IFERROR(MID(D227, SEARCH("SUD_", D227), 7), IFERROR(MID(D227, SEARCH("NRO_", D227), 7), IFERROR(MID(D227, SEARCH("ADM_", D227), 7), IFERROR(MID(D227, SEARCH("NRD_", D227), 7), IFERROR(MID(D227, SEARCH("EXN_", D227), 7), IFERROR(MID(D227, SEARCH("LIT_", D227), 7), IFERROR(MID(D227, SEARCH("EST_", D227), 7), MID(D227, SEARCH("OST_",D227), 7))))))))))</f>
        <v/>
      </c>
      <c r="F227" s="13" t="inlineStr">
        <is>
          <t>(04/29/2026 incident ): impacted by EST_076_N_Diang-MTN</t>
        </is>
      </c>
    </row>
    <row r="228" ht="18.75" customHeight="1">
      <c r="A228" s="12" t="n"/>
      <c r="B228" s="12" t="n"/>
      <c r="C228" s="12" t="n"/>
      <c r="D228" s="12" t="inlineStr">
        <is>
          <t>CTR_1064_URZ_MEKONE-I(CTR-1064)</t>
        </is>
      </c>
      <c r="E228" s="12">
        <f>IFERROR(MID(D228, SEARCH("CTR_", D228), 7), IFERROR(MID(D228, SEARCH("SUO_", D228), 7), IFERROR(MID(D228, SEARCH("SUD_", D228), 7), IFERROR(MID(D228, SEARCH("NRO_", D228), 7), IFERROR(MID(D228, SEARCH("ADM_", D228), 7), IFERROR(MID(D228, SEARCH("NRD_", D228), 7), IFERROR(MID(D228, SEARCH("EXN_", D228), 7), IFERROR(MID(D228, SEARCH("LIT_", D228), 7), IFERROR(MID(D228, SEARCH("EST_", D228), 7), MID(D228, SEARCH("OST_",D228), 7))))))))))</f>
        <v/>
      </c>
      <c r="F228" s="13" t="inlineStr">
        <is>
          <t>(04/29/2026 incident ): impacted by EST_076_N_Diang-MTN</t>
        </is>
      </c>
    </row>
    <row r="229" ht="18.75" customHeight="1">
      <c r="A229" s="12" t="n"/>
      <c r="B229" s="12" t="inlineStr">
        <is>
          <t>Tibati_2_ADM_044</t>
        </is>
      </c>
      <c r="C229" s="12" t="inlineStr">
        <is>
          <t>INC-20260429-00006485 | 2604D82198</t>
        </is>
      </c>
      <c r="D229" s="12" t="inlineStr">
        <is>
          <t>ADM_163_H_Mbamti-Katarko</t>
        </is>
      </c>
      <c r="E229" s="12">
        <f>IFERROR(MID(D229, SEARCH("CTR_", D229), 7), IFERROR(MID(D229, SEARCH("SUO_", D229), 7), IFERROR(MID(D229, SEARCH("SUD_", D229), 7), IFERROR(MID(D229, SEARCH("NRO_", D229), 7), IFERROR(MID(D229, SEARCH("ADM_", D229), 7), IFERROR(MID(D229, SEARCH("NRD_", D229), 7), IFERROR(MID(D229, SEARCH("EXN_", D229), 7), IFERROR(MID(D229, SEARCH("LIT_", D229), 7), IFERROR(MID(D229, SEARCH("EST_", D229), 7), MID(D229, SEARCH("OST_",D229), 7))))))))))</f>
        <v/>
      </c>
      <c r="F229" s="12" t="inlineStr">
        <is>
          <t xml:space="preserve">   (04/29/2026 incident ): impacted by   Tibati_2_ADM_044  , soucis d'energie || Action : en ettente RCA HIS </t>
        </is>
      </c>
    </row>
    <row r="230" ht="18.75" customHeight="1">
      <c r="A230" s="12" t="n"/>
      <c r="B230" s="12" t="n"/>
      <c r="C230" s="12" t="n"/>
      <c r="D230" s="12" t="inlineStr">
        <is>
          <t>ADM_011_H_Tignere</t>
        </is>
      </c>
      <c r="E230" s="12">
        <f>IFERROR(MID(D230, SEARCH("CTR_", D230), 7), IFERROR(MID(D230, SEARCH("SUO_", D230), 7), IFERROR(MID(D230, SEARCH("SUD_", D230), 7), IFERROR(MID(D230, SEARCH("NRO_", D230), 7), IFERROR(MID(D230, SEARCH("ADM_", D230), 7), IFERROR(MID(D230, SEARCH("NRD_", D230), 7), IFERROR(MID(D230, SEARCH("EXN_", D230), 7), IFERROR(MID(D230, SEARCH("LIT_", D230), 7), IFERROR(MID(D230, SEARCH("EST_", D230), 7), MID(D230, SEARCH("OST_",D230), 7))))))))))</f>
        <v/>
      </c>
      <c r="F230" s="12" t="inlineStr">
        <is>
          <t xml:space="preserve">   (04/29/2026 incident ): impacted by   Tibati_2_ADM_044  , soucis d'energie || Action : en ettente RCA HIS </t>
        </is>
      </c>
    </row>
    <row r="231" ht="18.75" customHeight="1">
      <c r="A231" s="12" t="n"/>
      <c r="B231" s="12" t="n"/>
      <c r="C231" s="12" t="n"/>
      <c r="D231" s="12" t="inlineStr">
        <is>
          <t>ADM_044_H_Tibati-II</t>
        </is>
      </c>
      <c r="E231" s="12">
        <f>IFERROR(MID(D231, SEARCH("CTR_", D231), 7), IFERROR(MID(D231, SEARCH("SUO_", D231), 7), IFERROR(MID(D231, SEARCH("SUD_", D231), 7), IFERROR(MID(D231, SEARCH("NRO_", D231), 7), IFERROR(MID(D231, SEARCH("ADM_", D231), 7), IFERROR(MID(D231, SEARCH("NRD_", D231), 7), IFERROR(MID(D231, SEARCH("EXN_", D231), 7), IFERROR(MID(D231, SEARCH("LIT_", D231), 7), IFERROR(MID(D231, SEARCH("EST_", D231), 7), MID(D231, SEARCH("OST_",D231), 7))))))))))</f>
        <v/>
      </c>
      <c r="F231" s="12" t="inlineStr">
        <is>
          <t xml:space="preserve">   (04/29/2026 incident ): impacted by   Tibati_2_ADM_044  , soucis d'energie || Action : en ettente RCA HIS </t>
        </is>
      </c>
    </row>
    <row r="232" ht="18.75" customHeight="1">
      <c r="A232" s="12" t="n"/>
      <c r="B232" s="12" t="n"/>
      <c r="C232" s="12" t="n"/>
      <c r="D232" s="12" t="inlineStr">
        <is>
          <t>ADM_105_H_Tibati-Market-MTN-IHS</t>
        </is>
      </c>
      <c r="E232" s="12">
        <f>IFERROR(MID(D232, SEARCH("CTR_", D232), 7), IFERROR(MID(D232, SEARCH("SUO_", D232), 7), IFERROR(MID(D232, SEARCH("SUD_", D232), 7), IFERROR(MID(D232, SEARCH("NRO_", D232), 7), IFERROR(MID(D232, SEARCH("ADM_", D232), 7), IFERROR(MID(D232, SEARCH("NRD_", D232), 7), IFERROR(MID(D232, SEARCH("EXN_", D232), 7), IFERROR(MID(D232, SEARCH("LIT_", D232), 7), IFERROR(MID(D232, SEARCH("EST_", D232), 7), MID(D232, SEARCH("OST_",D232), 7))))))))))</f>
        <v/>
      </c>
      <c r="F232" s="12" t="inlineStr">
        <is>
          <t xml:space="preserve">   (04/29/2026 incident ): impacted by   Tibati_2_ADM_044  , soucis d'energie || Action : en ettente RCA HIS </t>
        </is>
      </c>
    </row>
    <row r="233" ht="18.75" customHeight="1">
      <c r="A233" s="12" t="n"/>
      <c r="B233" s="12" t="n"/>
      <c r="C233" s="12" t="n"/>
      <c r="D233" s="12" t="inlineStr">
        <is>
          <t>ADM_187_H_Djoa-IHS</t>
        </is>
      </c>
      <c r="E233" s="12">
        <f>IFERROR(MID(D233, SEARCH("CTR_", D233), 7), IFERROR(MID(D233, SEARCH("SUO_", D233), 7), IFERROR(MID(D233, SEARCH("SUD_", D233), 7), IFERROR(MID(D233, SEARCH("NRO_", D233), 7), IFERROR(MID(D233, SEARCH("ADM_", D233), 7), IFERROR(MID(D233, SEARCH("NRD_", D233), 7), IFERROR(MID(D233, SEARCH("EXN_", D233), 7), IFERROR(MID(D233, SEARCH("LIT_", D233), 7), IFERROR(MID(D233, SEARCH("EST_", D233), 7), MID(D233, SEARCH("OST_",D233), 7))))))))))</f>
        <v/>
      </c>
      <c r="F233" s="12" t="inlineStr">
        <is>
          <t xml:space="preserve">   (04/29/2026 incident ): impacted by   Tibati_2_ADM_044  , soucis d'energie || Action : en ettente RCA HIS </t>
        </is>
      </c>
    </row>
    <row r="234" ht="18.75" customHeight="1">
      <c r="A234" s="12" t="n"/>
      <c r="B234" s="12" t="n"/>
      <c r="C234" s="12" t="n"/>
      <c r="D234" s="12" t="inlineStr">
        <is>
          <t>ADM_206_URH_ALLAT</t>
        </is>
      </c>
      <c r="E234" s="12">
        <f>IFERROR(MID(D234, SEARCH("CTR_", D234), 7), IFERROR(MID(D234, SEARCH("SUO_", D234), 7), IFERROR(MID(D234, SEARCH("SUD_", D234), 7), IFERROR(MID(D234, SEARCH("NRO_", D234), 7), IFERROR(MID(D234, SEARCH("ADM_", D234), 7), IFERROR(MID(D234, SEARCH("NRD_", D234), 7), IFERROR(MID(D234, SEARCH("EXN_", D234), 7), IFERROR(MID(D234, SEARCH("LIT_", D234), 7), IFERROR(MID(D234, SEARCH("EST_", D234), 7), MID(D234, SEARCH("OST_",D234), 7))))))))))</f>
        <v/>
      </c>
      <c r="F234" s="12" t="inlineStr">
        <is>
          <t xml:space="preserve">   (04/29/2026 incident ): impacted by   Tibati_2_ADM_044  , soucis d'energie || Action : en ettente RCA HIS </t>
        </is>
      </c>
    </row>
    <row r="235" ht="18.75" customHeight="1">
      <c r="A235" s="12" t="n"/>
      <c r="B235" s="12" t="n"/>
      <c r="C235" s="12" t="n"/>
      <c r="D235" s="12" t="inlineStr">
        <is>
          <t>ADM_207_URH_TONGO</t>
        </is>
      </c>
      <c r="E235" s="12">
        <f>IFERROR(MID(D235, SEARCH("CTR_", D235), 7), IFERROR(MID(D235, SEARCH("SUO_", D235), 7), IFERROR(MID(D235, SEARCH("SUD_", D235), 7), IFERROR(MID(D235, SEARCH("NRO_", D235), 7), IFERROR(MID(D235, SEARCH("ADM_", D235), 7), IFERROR(MID(D235, SEARCH("NRD_", D235), 7), IFERROR(MID(D235, SEARCH("EXN_", D235), 7), IFERROR(MID(D235, SEARCH("LIT_", D235), 7), IFERROR(MID(D235, SEARCH("EST_", D235), 7), MID(D235, SEARCH("OST_",D235), 7))))))))))</f>
        <v/>
      </c>
      <c r="F235" s="12" t="inlineStr">
        <is>
          <t xml:space="preserve">   (04/29/2026 incident ): impacted by   Tibati_2_ADM_044  , soucis d'energie || Action : en ettente RCA HIS </t>
        </is>
      </c>
    </row>
    <row r="236" ht="18.75" customHeight="1">
      <c r="A236" s="12" t="n"/>
      <c r="B236" s="12" t="n"/>
      <c r="C236" s="12" t="n"/>
      <c r="D236" s="12" t="inlineStr">
        <is>
          <t>ADM_208_URH_DABER-MBANG</t>
        </is>
      </c>
      <c r="E236" s="12">
        <f>IFERROR(MID(D236, SEARCH("CTR_", D236), 7), IFERROR(MID(D236, SEARCH("SUO_", D236), 7), IFERROR(MID(D236, SEARCH("SUD_", D236), 7), IFERROR(MID(D236, SEARCH("NRO_", D236), 7), IFERROR(MID(D236, SEARCH("ADM_", D236), 7), IFERROR(MID(D236, SEARCH("NRD_", D236), 7), IFERROR(MID(D236, SEARCH("EXN_", D236), 7), IFERROR(MID(D236, SEARCH("LIT_", D236), 7), IFERROR(MID(D236, SEARCH("EST_", D236), 7), MID(D236, SEARCH("OST_",D236), 7))))))))))</f>
        <v/>
      </c>
      <c r="F236" s="12" t="inlineStr">
        <is>
          <t xml:space="preserve">   (04/29/2026 incident ): impacted by   Tibati_2_ADM_044  , soucis d'energie || Action : en ettente RCA HIS </t>
        </is>
      </c>
    </row>
    <row r="237" ht="18.75" customHeight="1">
      <c r="A237" s="12" t="n"/>
      <c r="B237" s="12" t="n"/>
      <c r="C237" s="12" t="n"/>
      <c r="D237" s="12" t="inlineStr">
        <is>
          <t>ADM_244_URH_MBAMTI_LAINGA</t>
        </is>
      </c>
      <c r="E237" s="12">
        <f>IFERROR(MID(D237, SEARCH("CTR_", D237), 7), IFERROR(MID(D237, SEARCH("SUO_", D237), 7), IFERROR(MID(D237, SEARCH("SUD_", D237), 7), IFERROR(MID(D237, SEARCH("NRO_", D237), 7), IFERROR(MID(D237, SEARCH("ADM_", D237), 7), IFERROR(MID(D237, SEARCH("NRD_", D237), 7), IFERROR(MID(D237, SEARCH("EXN_", D237), 7), IFERROR(MID(D237, SEARCH("LIT_", D237), 7), IFERROR(MID(D237, SEARCH("EST_", D237), 7), MID(D237, SEARCH("OST_",D237), 7))))))))))</f>
        <v/>
      </c>
      <c r="F237" s="12" t="inlineStr">
        <is>
          <t xml:space="preserve">   (04/29/2026 incident ): impacted by   Tibati_2_ADM_044  , soucis d'energie || Action : en ettente RCA HIS </t>
        </is>
      </c>
    </row>
    <row r="238" ht="18.75" customHeight="1">
      <c r="A238" s="12" t="n"/>
      <c r="B238" s="12" t="n"/>
      <c r="C238" s="12" t="n"/>
      <c r="D238" s="12" t="inlineStr">
        <is>
          <t>CTR_169_N_Nyazoro-MTN-IHS_G</t>
        </is>
      </c>
      <c r="E238" s="12">
        <f>IFERROR(MID(D238, SEARCH("CTR_", D238), 7), IFERROR(MID(D238, SEARCH("SUO_", D238), 7), IFERROR(MID(D238, SEARCH("SUD_", D238), 7), IFERROR(MID(D238, SEARCH("NRO_", D238), 7), IFERROR(MID(D238, SEARCH("ADM_", D238), 7), IFERROR(MID(D238, SEARCH("NRD_", D238), 7), IFERROR(MID(D238, SEARCH("EXN_", D238), 7), IFERROR(MID(D238, SEARCH("LIT_", D238), 7), IFERROR(MID(D238, SEARCH("EST_", D238), 7), MID(D238, SEARCH("OST_",D238), 7))))))))))</f>
        <v/>
      </c>
      <c r="F238" s="12" t="inlineStr">
        <is>
          <t xml:space="preserve">   (04/29/2026 incident ): impacted by   Tibati_2_ADM_044  , soucis d'energie || Action : en ettente RCA HIS </t>
        </is>
      </c>
    </row>
    <row r="239" ht="18.75" customHeight="1">
      <c r="A239" s="12" t="n"/>
      <c r="B239" s="12" t="n"/>
      <c r="C239" s="12" t="n"/>
      <c r="D239" s="12" t="inlineStr">
        <is>
          <t>ADM_153_N_Darassalam-IHS_G</t>
        </is>
      </c>
      <c r="E239" s="12">
        <f>IFERROR(MID(D239, SEARCH("CTR_", D239), 7), IFERROR(MID(D239, SEARCH("SUO_", D239), 7), IFERROR(MID(D239, SEARCH("SUD_", D239), 7), IFERROR(MID(D239, SEARCH("NRO_", D239), 7), IFERROR(MID(D239, SEARCH("ADM_", D239), 7), IFERROR(MID(D239, SEARCH("NRD_", D239), 7), IFERROR(MID(D239, SEARCH("EXN_", D239), 7), IFERROR(MID(D239, SEARCH("LIT_", D239), 7), IFERROR(MID(D239, SEARCH("EST_", D239), 7), MID(D239, SEARCH("OST_",D239), 7))))))))))</f>
        <v/>
      </c>
      <c r="F239" s="12" t="inlineStr">
        <is>
          <t xml:space="preserve">   (04/29/2026 incident ): impacted by   Tibati_2_ADM_044  , soucis d'energie || Action : en ettente RCA HIS </t>
        </is>
      </c>
    </row>
    <row r="240" ht="18.75" customHeight="1">
      <c r="A240" s="12" t="n"/>
      <c r="B240" s="12" t="n"/>
      <c r="C240" s="12" t="n"/>
      <c r="D240" s="12" t="inlineStr">
        <is>
          <t>CTR_986_N_Djereing_G</t>
        </is>
      </c>
      <c r="E240" s="12">
        <f>IFERROR(MID(D240, SEARCH("CTR_", D240), 7), IFERROR(MID(D240, SEARCH("SUO_", D240), 7), IFERROR(MID(D240, SEARCH("SUD_", D240), 7), IFERROR(MID(D240, SEARCH("NRO_", D240), 7), IFERROR(MID(D240, SEARCH("ADM_", D240), 7), IFERROR(MID(D240, SEARCH("NRD_", D240), 7), IFERROR(MID(D240, SEARCH("EXN_", D240), 7), IFERROR(MID(D240, SEARCH("LIT_", D240), 7), IFERROR(MID(D240, SEARCH("EST_", D240), 7), MID(D240, SEARCH("OST_",D240), 7))))))))))</f>
        <v/>
      </c>
      <c r="F240" s="12" t="inlineStr">
        <is>
          <t xml:space="preserve">   (04/29/2026 incident ): impacted by   Tibati_2_ADM_044  , soucis d'energie || Action : en ettente RCA HIS </t>
        </is>
      </c>
    </row>
    <row r="241" ht="18.75" customHeight="1">
      <c r="A241" s="12" t="n"/>
      <c r="B241" s="12" t="n"/>
      <c r="C241" s="12" t="n"/>
      <c r="D241" s="12" t="inlineStr">
        <is>
          <t>CTR_302_N_Doume-Centre_G</t>
        </is>
      </c>
      <c r="E241" s="12">
        <f>IFERROR(MID(D241, SEARCH("CTR_", D241), 7), IFERROR(MID(D241, SEARCH("SUO_", D241), 7), IFERROR(MID(D241, SEARCH("SUD_", D241), 7), IFERROR(MID(D241, SEARCH("NRO_", D241), 7), IFERROR(MID(D241, SEARCH("ADM_", D241), 7), IFERROR(MID(D241, SEARCH("NRD_", D241), 7), IFERROR(MID(D241, SEARCH("EXN_", D241), 7), IFERROR(MID(D241, SEARCH("LIT_", D241), 7), IFERROR(MID(D241, SEARCH("EST_", D241), 7), MID(D241, SEARCH("OST_",D241), 7))))))))))</f>
        <v/>
      </c>
      <c r="F241" s="12" t="inlineStr">
        <is>
          <t xml:space="preserve">   (04/29/2026 incident ): impacted by   Tibati_2_ADM_044  , soucis d'energie || Action : en ettente RCA HIS </t>
        </is>
      </c>
    </row>
    <row r="242" ht="18.75" customHeight="1">
      <c r="A242" s="12" t="n"/>
      <c r="B242" s="12" t="n"/>
      <c r="C242" s="12" t="n"/>
      <c r="D242" s="12" t="inlineStr">
        <is>
          <t>ADM_098_N_Maakola-MTN-IHS_G</t>
        </is>
      </c>
      <c r="E242" s="12">
        <f>IFERROR(MID(D242, SEARCH("CTR_", D242), 7), IFERROR(MID(D242, SEARCH("SUO_", D242), 7), IFERROR(MID(D242, SEARCH("SUD_", D242), 7), IFERROR(MID(D242, SEARCH("NRO_", D242), 7), IFERROR(MID(D242, SEARCH("ADM_", D242), 7), IFERROR(MID(D242, SEARCH("NRD_", D242), 7), IFERROR(MID(D242, SEARCH("EXN_", D242), 7), IFERROR(MID(D242, SEARCH("LIT_", D242), 7), IFERROR(MID(D242, SEARCH("EST_", D242), 7), MID(D242, SEARCH("OST_",D242), 7))))))))))</f>
        <v/>
      </c>
      <c r="F242" s="12" t="inlineStr">
        <is>
          <t xml:space="preserve">   (04/29/2026 incident ): impacted by   Tibati_2_ADM_044  , soucis d'energie || Action : en ettente RCA HIS </t>
        </is>
      </c>
    </row>
    <row r="243" ht="18.75" customHeight="1">
      <c r="A243" s="12" t="n"/>
      <c r="B243" s="12" t="n"/>
      <c r="C243" s="12" t="n"/>
      <c r="D243" s="12" t="inlineStr">
        <is>
          <t>ADM_099_N_Wada-MTN-IHS_G</t>
        </is>
      </c>
      <c r="E243" s="12">
        <f>IFERROR(MID(D243, SEARCH("CTR_", D243), 7), IFERROR(MID(D243, SEARCH("SUO_", D243), 7), IFERROR(MID(D243, SEARCH("SUD_", D243), 7), IFERROR(MID(D243, SEARCH("NRO_", D243), 7), IFERROR(MID(D243, SEARCH("ADM_", D243), 7), IFERROR(MID(D243, SEARCH("NRD_", D243), 7), IFERROR(MID(D243, SEARCH("EXN_", D243), 7), IFERROR(MID(D243, SEARCH("LIT_", D243), 7), IFERROR(MID(D243, SEARCH("EST_", D243), 7), MID(D243, SEARCH("OST_",D243), 7))))))))))</f>
        <v/>
      </c>
      <c r="F243" s="12" t="inlineStr">
        <is>
          <t xml:space="preserve">   (04/29/2026 incident ): impacted by   Tibati_2_ADM_044  , soucis d'energie || Action : en ettente RCA HIS </t>
        </is>
      </c>
    </row>
    <row r="244" ht="18.75" customHeight="1">
      <c r="A244" s="12" t="n"/>
      <c r="B244" s="12" t="n"/>
      <c r="C244" s="12" t="n"/>
      <c r="D244" s="12" t="inlineStr">
        <is>
          <t>ADM_067_N_Doualayel-MTN_G</t>
        </is>
      </c>
      <c r="E244" s="12">
        <f>IFERROR(MID(D244, SEARCH("CTR_", D244), 7), IFERROR(MID(D244, SEARCH("SUO_", D244), 7), IFERROR(MID(D244, SEARCH("SUD_", D244), 7), IFERROR(MID(D244, SEARCH("NRO_", D244), 7), IFERROR(MID(D244, SEARCH("ADM_", D244), 7), IFERROR(MID(D244, SEARCH("NRD_", D244), 7), IFERROR(MID(D244, SEARCH("EXN_", D244), 7), IFERROR(MID(D244, SEARCH("LIT_", D244), 7), IFERROR(MID(D244, SEARCH("EST_", D244), 7), MID(D244, SEARCH("OST_",D244), 7))))))))))</f>
        <v/>
      </c>
      <c r="F244" s="12" t="inlineStr">
        <is>
          <t xml:space="preserve">   (04/29/2026 incident ): impacted by   Tibati_2_ADM_044  , soucis d'energie || Action : en ettente RCA HIS </t>
        </is>
      </c>
    </row>
    <row r="245" ht="18.75" customHeight="1">
      <c r="A245" s="12" t="n"/>
      <c r="B245" s="12" t="n"/>
      <c r="C245" s="12" t="n"/>
      <c r="D245" s="12" t="inlineStr">
        <is>
          <t>ADM_109_N_Mbakaou-MTN-IHS_G</t>
        </is>
      </c>
      <c r="E245" s="12">
        <f>IFERROR(MID(D245, SEARCH("CTR_", D245), 7), IFERROR(MID(D245, SEARCH("SUO_", D245), 7), IFERROR(MID(D245, SEARCH("SUD_", D245), 7), IFERROR(MID(D245, SEARCH("NRO_", D245), 7), IFERROR(MID(D245, SEARCH("ADM_", D245), 7), IFERROR(MID(D245, SEARCH("NRD_", D245), 7), IFERROR(MID(D245, SEARCH("EXN_", D245), 7), IFERROR(MID(D245, SEARCH("LIT_", D245), 7), IFERROR(MID(D245, SEARCH("EST_", D245), 7), MID(D245, SEARCH("OST_",D245), 7))))))))))</f>
        <v/>
      </c>
      <c r="F245" s="12" t="inlineStr">
        <is>
          <t xml:space="preserve">   (04/29/2026 incident ): impacted by   Tibati_2_ADM_044  , soucis d'energie || Action : en ettente RCA HIS </t>
        </is>
      </c>
    </row>
    <row r="246" ht="18.75" customHeight="1">
      <c r="A246" s="12" t="n"/>
      <c r="B246" s="12" t="n"/>
      <c r="C246" s="12" t="n"/>
      <c r="D246" s="12" t="inlineStr">
        <is>
          <t>ADM_038_N_Pang-Camtel_D_Prod</t>
        </is>
      </c>
      <c r="E246" s="12">
        <f>IFERROR(MID(D246, SEARCH("CTR_", D246), 7), IFERROR(MID(D246, SEARCH("SUO_", D246), 7), IFERROR(MID(D246, SEARCH("SUD_", D246), 7), IFERROR(MID(D246, SEARCH("NRO_", D246), 7), IFERROR(MID(D246, SEARCH("ADM_", D246), 7), IFERROR(MID(D246, SEARCH("NRD_", D246), 7), IFERROR(MID(D246, SEARCH("EXN_", D246), 7), IFERROR(MID(D246, SEARCH("LIT_", D246), 7), IFERROR(MID(D246, SEARCH("EST_", D246), 7), MID(D246, SEARCH("OST_",D246), 7))))))))))</f>
        <v/>
      </c>
      <c r="F246" s="12" t="inlineStr">
        <is>
          <t xml:space="preserve">   (04/29/2026 incident ): impacted by   Tibati_2_ADM_044  , soucis d'energie || Action : en ettente RCA HIS </t>
        </is>
      </c>
    </row>
    <row r="247" ht="18.75" customHeight="1">
      <c r="A247" s="12" t="n"/>
      <c r="B247" s="12" t="n"/>
      <c r="C247" s="12" t="n"/>
      <c r="D247" s="12" t="inlineStr">
        <is>
          <t>ADM_041_N_Kanje-I_G</t>
        </is>
      </c>
      <c r="E247" s="12">
        <f>IFERROR(MID(D247, SEARCH("CTR_", D247), 7), IFERROR(MID(D247, SEARCH("SUO_", D247), 7), IFERROR(MID(D247, SEARCH("SUD_", D247), 7), IFERROR(MID(D247, SEARCH("NRO_", D247), 7), IFERROR(MID(D247, SEARCH("ADM_", D247), 7), IFERROR(MID(D247, SEARCH("NRD_", D247), 7), IFERROR(MID(D247, SEARCH("EXN_", D247), 7), IFERROR(MID(D247, SEARCH("LIT_", D247), 7), IFERROR(MID(D247, SEARCH("EST_", D247), 7), MID(D247, SEARCH("OST_",D247), 7))))))))))</f>
        <v/>
      </c>
      <c r="F247" s="12" t="inlineStr">
        <is>
          <t xml:space="preserve">   (04/29/2026 incident ): impacted by   Tibati_2_ADM_044  , soucis d'energie || Action : en ettente RCA HIS </t>
        </is>
      </c>
    </row>
    <row r="248" ht="18.75" customHeight="1">
      <c r="A248" s="12" t="n"/>
      <c r="B248" s="12" t="n"/>
      <c r="C248" s="12" t="n"/>
      <c r="D248" s="12" t="inlineStr">
        <is>
          <t>ADM_252_N_Mahor_G</t>
        </is>
      </c>
      <c r="E248" s="12">
        <f>IFERROR(MID(D248, SEARCH("CTR_", D248), 7), IFERROR(MID(D248, SEARCH("SUO_", D248), 7), IFERROR(MID(D248, SEARCH("SUD_", D248), 7), IFERROR(MID(D248, SEARCH("NRO_", D248), 7), IFERROR(MID(D248, SEARCH("ADM_", D248), 7), IFERROR(MID(D248, SEARCH("NRD_", D248), 7), IFERROR(MID(D248, SEARCH("EXN_", D248), 7), IFERROR(MID(D248, SEARCH("LIT_", D248), 7), IFERROR(MID(D248, SEARCH("EST_", D248), 7), MID(D248, SEARCH("OST_",D248), 7))))))))))</f>
        <v/>
      </c>
      <c r="F248" s="12" t="inlineStr">
        <is>
          <t xml:space="preserve">   (04/29/2026 incident ): impacted by   Tibati_2_ADM_044  , soucis d'energie || Action : en ettente RCA HIS </t>
        </is>
      </c>
    </row>
    <row r="249" ht="18.75" customHeight="1">
      <c r="A249" s="12" t="n"/>
      <c r="B249" s="12" t="n"/>
      <c r="C249" s="12" t="n"/>
      <c r="D249" s="12" t="inlineStr">
        <is>
          <t>ADM_055_N_Mbantinbang-FH_G</t>
        </is>
      </c>
      <c r="E249" s="12">
        <f>IFERROR(MID(D249, SEARCH("CTR_", D249), 7), IFERROR(MID(D249, SEARCH("SUO_", D249), 7), IFERROR(MID(D249, SEARCH("SUD_", D249), 7), IFERROR(MID(D249, SEARCH("NRO_", D249), 7), IFERROR(MID(D249, SEARCH("ADM_", D249), 7), IFERROR(MID(D249, SEARCH("NRD_", D249), 7), IFERROR(MID(D249, SEARCH("EXN_", D249), 7), IFERROR(MID(D249, SEARCH("LIT_", D249), 7), IFERROR(MID(D249, SEARCH("EST_", D249), 7), MID(D249, SEARCH("OST_",D249), 7))))))))))</f>
        <v/>
      </c>
      <c r="F249" s="12" t="inlineStr">
        <is>
          <t xml:space="preserve">   (04/29/2026 incident ): impacted by   Tibati_2_ADM_044  , soucis d'energie || Action : en ettente RCA HIS </t>
        </is>
      </c>
    </row>
    <row r="250" ht="18.75" customHeight="1">
      <c r="A250" s="12" t="n"/>
      <c r="B250" s="12" t="n"/>
      <c r="C250" s="12" t="n"/>
      <c r="D250" s="12" t="inlineStr">
        <is>
          <t>CTR_367_N_Ngoum-II-MTN_G</t>
        </is>
      </c>
      <c r="E250" s="12">
        <f>IFERROR(MID(D250, SEARCH("CTR_", D250), 7), IFERROR(MID(D250, SEARCH("SUO_", D250), 7), IFERROR(MID(D250, SEARCH("SUD_", D250), 7), IFERROR(MID(D250, SEARCH("NRO_", D250), 7), IFERROR(MID(D250, SEARCH("ADM_", D250), 7), IFERROR(MID(D250, SEARCH("NRD_", D250), 7), IFERROR(MID(D250, SEARCH("EXN_", D250), 7), IFERROR(MID(D250, SEARCH("LIT_", D250), 7), IFERROR(MID(D250, SEARCH("EST_", D250), 7), MID(D250, SEARCH("OST_",D250), 7))))))))))</f>
        <v/>
      </c>
      <c r="F250" s="12" t="inlineStr">
        <is>
          <t xml:space="preserve">   (04/29/2026 incident ): impacted by   Tibati_2_ADM_044  , soucis d'energie || Action : en ettente RCA HIS </t>
        </is>
      </c>
    </row>
    <row r="251" ht="18.75" customHeight="1">
      <c r="A251" s="12" t="n"/>
      <c r="B251" s="12" t="n"/>
      <c r="C251" s="12" t="n"/>
      <c r="D251" s="12" t="inlineStr">
        <is>
          <t>CTR_985_N_Djampa_G_Prod</t>
        </is>
      </c>
      <c r="E251" s="12">
        <f>IFERROR(MID(D251, SEARCH("CTR_", D251), 7), IFERROR(MID(D251, SEARCH("SUO_", D251), 7), IFERROR(MID(D251, SEARCH("SUD_", D251), 7), IFERROR(MID(D251, SEARCH("NRO_", D251), 7), IFERROR(MID(D251, SEARCH("ADM_", D251), 7), IFERROR(MID(D251, SEARCH("NRD_", D251), 7), IFERROR(MID(D251, SEARCH("EXN_", D251), 7), IFERROR(MID(D251, SEARCH("LIT_", D251), 7), IFERROR(MID(D251, SEARCH("EST_", D251), 7), MID(D251, SEARCH("OST_",D251), 7))))))))))</f>
        <v/>
      </c>
      <c r="F251" s="12" t="inlineStr">
        <is>
          <t xml:space="preserve">   (04/29/2026 incident ): impacted by   Tibati_2_ADM_044  , soucis d'energie || Action : en ettente RCA HIS </t>
        </is>
      </c>
    </row>
    <row r="252" ht="18.75" customHeight="1">
      <c r="A252" s="12" t="n"/>
      <c r="B252" s="12" t="n"/>
      <c r="C252" s="12" t="n"/>
      <c r="D252" s="12" t="inlineStr">
        <is>
          <t>CTR_300_N_Ngouetou_G</t>
        </is>
      </c>
      <c r="E252" s="12">
        <f>IFERROR(MID(D252, SEARCH("CTR_", D252), 7), IFERROR(MID(D252, SEARCH("SUO_", D252), 7), IFERROR(MID(D252, SEARCH("SUD_", D252), 7), IFERROR(MID(D252, SEARCH("NRO_", D252), 7), IFERROR(MID(D252, SEARCH("ADM_", D252), 7), IFERROR(MID(D252, SEARCH("NRD_", D252), 7), IFERROR(MID(D252, SEARCH("EXN_", D252), 7), IFERROR(MID(D252, SEARCH("LIT_", D252), 7), IFERROR(MID(D252, SEARCH("EST_", D252), 7), MID(D252, SEARCH("OST_",D252), 7))))))))))</f>
        <v/>
      </c>
      <c r="F252" s="12" t="inlineStr">
        <is>
          <t xml:space="preserve">   (04/29/2026 incident ): impacted by   Tibati_2_ADM_044  , soucis d'energie || Action : en ettente RCA HIS </t>
        </is>
      </c>
    </row>
    <row r="253" ht="18.75" customHeight="1">
      <c r="A253" s="12" t="n"/>
      <c r="B253" s="12" t="n"/>
      <c r="C253" s="12" t="n"/>
      <c r="D253" s="12" t="inlineStr">
        <is>
          <t>CTR_406_N_Mbimbim-MTN_G</t>
        </is>
      </c>
      <c r="E253" s="12">
        <f>IFERROR(MID(D253, SEARCH("CTR_", D253), 7), IFERROR(MID(D253, SEARCH("SUO_", D253), 7), IFERROR(MID(D253, SEARCH("SUD_", D253), 7), IFERROR(MID(D253, SEARCH("NRO_", D253), 7), IFERROR(MID(D253, SEARCH("ADM_", D253), 7), IFERROR(MID(D253, SEARCH("NRD_", D253), 7), IFERROR(MID(D253, SEARCH("EXN_", D253), 7), IFERROR(MID(D253, SEARCH("LIT_", D253), 7), IFERROR(MID(D253, SEARCH("EST_", D253), 7), MID(D253, SEARCH("OST_",D253), 7))))))))))</f>
        <v/>
      </c>
      <c r="F253" s="12" t="inlineStr">
        <is>
          <t xml:space="preserve">   (04/29/2026 incident ): impacted by   Tibati_2_ADM_044  , soucis d'energie || Action : en ettente RCA HIS </t>
        </is>
      </c>
    </row>
    <row r="254" ht="18.75" customHeight="1">
      <c r="A254" s="12" t="n"/>
      <c r="B254" s="12" t="n"/>
      <c r="C254" s="12" t="n"/>
      <c r="D254" s="12" t="inlineStr">
        <is>
          <t>CTR_1119_N_Ngouassabe_G</t>
        </is>
      </c>
      <c r="E254" s="12">
        <f>IFERROR(MID(D254, SEARCH("CTR_", D254), 7), IFERROR(MID(D254, SEARCH("SUO_", D254), 7), IFERROR(MID(D254, SEARCH("SUD_", D254), 7), IFERROR(MID(D254, SEARCH("NRO_", D254), 7), IFERROR(MID(D254, SEARCH("ADM_", D254), 7), IFERROR(MID(D254, SEARCH("NRD_", D254), 7), IFERROR(MID(D254, SEARCH("EXN_", D254), 7), IFERROR(MID(D254, SEARCH("LIT_", D254), 7), IFERROR(MID(D254, SEARCH("EST_", D254), 7), MID(D254, SEARCH("OST_",D254), 7))))))))))</f>
        <v/>
      </c>
      <c r="F254" s="12" t="inlineStr">
        <is>
          <t xml:space="preserve">   (04/29/2026 incident ): impacted by   Tibati_2_ADM_044  , soucis d'energie || Action : en ettente RCA HIS </t>
        </is>
      </c>
    </row>
    <row r="255" ht="18.75" customHeight="1">
      <c r="A255" s="12" t="n"/>
      <c r="B255" s="12" t="n"/>
      <c r="C255" s="12" t="n"/>
      <c r="D255" s="12" t="inlineStr">
        <is>
          <t>ADM_024_N_Galim-Tignere_G</t>
        </is>
      </c>
      <c r="E255" s="12">
        <f>IFERROR(MID(D255, SEARCH("CTR_", D255), 7), IFERROR(MID(D255, SEARCH("SUO_", D255), 7), IFERROR(MID(D255, SEARCH("SUD_", D255), 7), IFERROR(MID(D255, SEARCH("NRO_", D255), 7), IFERROR(MID(D255, SEARCH("ADM_", D255), 7), IFERROR(MID(D255, SEARCH("NRD_", D255), 7), IFERROR(MID(D255, SEARCH("EXN_", D255), 7), IFERROR(MID(D255, SEARCH("LIT_", D255), 7), IFERROR(MID(D255, SEARCH("EST_", D255), 7), MID(D255, SEARCH("OST_",D255), 7))))))))))</f>
        <v/>
      </c>
      <c r="F255" s="12" t="inlineStr">
        <is>
          <t xml:space="preserve">   (04/29/2026 incident ): impacted by   Tibati_2_ADM_044  , soucis d'energie || Action : en ettente RCA HIS </t>
        </is>
      </c>
    </row>
    <row r="256" ht="18.75" customHeight="1">
      <c r="A256" s="12" t="n"/>
      <c r="B256" s="12" t="n"/>
      <c r="C256" s="12" t="n"/>
      <c r="D256" s="12" t="inlineStr">
        <is>
          <t>ADM_251_N_Nyadjinda_G</t>
        </is>
      </c>
      <c r="E256" s="12">
        <f>IFERROR(MID(D256, SEARCH("CTR_", D256), 7), IFERROR(MID(D256, SEARCH("SUO_", D256), 7), IFERROR(MID(D256, SEARCH("SUD_", D256), 7), IFERROR(MID(D256, SEARCH("NRO_", D256), 7), IFERROR(MID(D256, SEARCH("ADM_", D256), 7), IFERROR(MID(D256, SEARCH("NRD_", D256), 7), IFERROR(MID(D256, SEARCH("EXN_", D256), 7), IFERROR(MID(D256, SEARCH("LIT_", D256), 7), IFERROR(MID(D256, SEARCH("EST_", D256), 7), MID(D256, SEARCH("OST_",D256), 7))))))))))</f>
        <v/>
      </c>
      <c r="F256" s="12" t="inlineStr">
        <is>
          <t xml:space="preserve">   (04/29/2026 incident ): impacted by   Tibati_2_ADM_044  , soucis d'energie || Action : en ettente RCA HIS </t>
        </is>
      </c>
    </row>
    <row r="257" ht="18.75" customHeight="1">
      <c r="A257" s="12" t="n"/>
      <c r="B257" s="12" t="n"/>
      <c r="C257" s="12" t="n"/>
      <c r="D257" s="12" t="inlineStr">
        <is>
          <t>ADM_064_N_Koba-MTN_G</t>
        </is>
      </c>
      <c r="E257" s="12">
        <f>IFERROR(MID(D257, SEARCH("CTR_", D257), 7), IFERROR(MID(D257, SEARCH("SUO_", D257), 7), IFERROR(MID(D257, SEARCH("SUD_", D257), 7), IFERROR(MID(D257, SEARCH("NRO_", D257), 7), IFERROR(MID(D257, SEARCH("ADM_", D257), 7), IFERROR(MID(D257, SEARCH("NRD_", D257), 7), IFERROR(MID(D257, SEARCH("EXN_", D257), 7), IFERROR(MID(D257, SEARCH("LIT_", D257), 7), IFERROR(MID(D257, SEARCH("EST_", D257), 7), MID(D257, SEARCH("OST_",D257), 7))))))))))</f>
        <v/>
      </c>
      <c r="F257" s="12" t="inlineStr">
        <is>
          <t xml:space="preserve">   (04/29/2026 incident ): impacted by   Tibati_2_ADM_044  , soucis d'energie || Action : en ettente RCA HIS </t>
        </is>
      </c>
    </row>
    <row r="258" ht="18.75" customHeight="1">
      <c r="A258" s="12" t="n"/>
      <c r="B258" s="12" t="n"/>
      <c r="C258" s="12" t="n"/>
      <c r="D258" s="12" t="inlineStr">
        <is>
          <t>ADM_103_N_Wadjiri-IHS_D</t>
        </is>
      </c>
      <c r="E258" s="12">
        <f>IFERROR(MID(D258, SEARCH("CTR_", D258), 7), IFERROR(MID(D258, SEARCH("SUO_", D258), 7), IFERROR(MID(D258, SEARCH("SUD_", D258), 7), IFERROR(MID(D258, SEARCH("NRO_", D258), 7), IFERROR(MID(D258, SEARCH("ADM_", D258), 7), IFERROR(MID(D258, SEARCH("NRD_", D258), 7), IFERROR(MID(D258, SEARCH("EXN_", D258), 7), IFERROR(MID(D258, SEARCH("LIT_", D258), 7), IFERROR(MID(D258, SEARCH("EST_", D258), 7), MID(D258, SEARCH("OST_",D258), 7))))))))))</f>
        <v/>
      </c>
      <c r="F258" s="12" t="inlineStr">
        <is>
          <t xml:space="preserve">   (04/29/2026 incident ): impacted by   Tibati_2_ADM_044  , soucis d'energie || Action : en ettente RCA HIS </t>
        </is>
      </c>
    </row>
    <row r="259" ht="18.75" customHeight="1">
      <c r="A259" s="12" t="n"/>
      <c r="B259" s="12" t="n"/>
      <c r="C259" s="12" t="n"/>
      <c r="D259" s="12" t="inlineStr">
        <is>
          <t>CTR_301_N_Matsari_G</t>
        </is>
      </c>
      <c r="E259" s="12">
        <f>IFERROR(MID(D259, SEARCH("CTR_", D259), 7), IFERROR(MID(D259, SEARCH("SUO_", D259), 7), IFERROR(MID(D259, SEARCH("SUD_", D259), 7), IFERROR(MID(D259, SEARCH("NRO_", D259), 7), IFERROR(MID(D259, SEARCH("ADM_", D259), 7), IFERROR(MID(D259, SEARCH("NRD_", D259), 7), IFERROR(MID(D259, SEARCH("EXN_", D259), 7), IFERROR(MID(D259, SEARCH("LIT_", D259), 7), IFERROR(MID(D259, SEARCH("EST_", D259), 7), MID(D259, SEARCH("OST_",D259), 7))))))))))</f>
        <v/>
      </c>
      <c r="F259" s="12" t="inlineStr">
        <is>
          <t xml:space="preserve">   (04/29/2026 incident ): impacted by   Tibati_2_ADM_044  , soucis d'energie || Action : en ettente RCA HIS </t>
        </is>
      </c>
    </row>
    <row r="260" ht="18.75" customHeight="1">
      <c r="A260" s="12" t="n"/>
      <c r="B260" s="12" t="n"/>
      <c r="C260" s="12" t="n"/>
      <c r="D260" s="12" t="inlineStr">
        <is>
          <t>ADM_042_N_Mbong_G</t>
        </is>
      </c>
      <c r="E260" s="12">
        <f>IFERROR(MID(D260, SEARCH("CTR_", D260), 7), IFERROR(MID(D260, SEARCH("SUO_", D260), 7), IFERROR(MID(D260, SEARCH("SUD_", D260), 7), IFERROR(MID(D260, SEARCH("NRO_", D260), 7), IFERROR(MID(D260, SEARCH("ADM_", D260), 7), IFERROR(MID(D260, SEARCH("NRD_", D260), 7), IFERROR(MID(D260, SEARCH("EXN_", D260), 7), IFERROR(MID(D260, SEARCH("LIT_", D260), 7), IFERROR(MID(D260, SEARCH("EST_", D260), 7), MID(D260, SEARCH("OST_",D260), 7))))))))))</f>
        <v/>
      </c>
      <c r="F260" s="12" t="inlineStr">
        <is>
          <t xml:space="preserve">   (04/29/2026 incident ): impacted by   Tibati_2_ADM_044  , soucis d'energie || Action : en ettente RCA HIS </t>
        </is>
      </c>
    </row>
    <row r="261" ht="18.75" customHeight="1">
      <c r="A261" s="12" t="n"/>
      <c r="B261" s="12" t="n"/>
      <c r="C261" s="12" t="n"/>
      <c r="D261" s="12" t="inlineStr">
        <is>
          <t>ADM_144_N_SAMBO-LABO-IHS_D</t>
        </is>
      </c>
      <c r="E261" s="12">
        <f>IFERROR(MID(D261, SEARCH("CTR_", D261), 7), IFERROR(MID(D261, SEARCH("SUO_", D261), 7), IFERROR(MID(D261, SEARCH("SUD_", D261), 7), IFERROR(MID(D261, SEARCH("NRO_", D261), 7), IFERROR(MID(D261, SEARCH("ADM_", D261), 7), IFERROR(MID(D261, SEARCH("NRD_", D261), 7), IFERROR(MID(D261, SEARCH("EXN_", D261), 7), IFERROR(MID(D261, SEARCH("LIT_", D261), 7), IFERROR(MID(D261, SEARCH("EST_", D261), 7), MID(D261, SEARCH("OST_",D261), 7))))))))))</f>
        <v/>
      </c>
      <c r="F261" s="12" t="inlineStr">
        <is>
          <t xml:space="preserve">   (04/29/2026 incident ): impacted by   Tibati_2_ADM_044  , soucis d'energie || Action : en ettente RCA HIS </t>
        </is>
      </c>
    </row>
    <row r="262" ht="18.75" customHeight="1">
      <c r="A262" s="12" t="n"/>
      <c r="B262" s="12" t="n"/>
      <c r="C262" s="12" t="n"/>
      <c r="D262" s="12" t="inlineStr">
        <is>
          <t>ADM_154_N_Mbamti-New_G</t>
        </is>
      </c>
      <c r="E262" s="12">
        <f>IFERROR(MID(D262, SEARCH("CTR_", D262), 7), IFERROR(MID(D262, SEARCH("SUO_", D262), 7), IFERROR(MID(D262, SEARCH("SUD_", D262), 7), IFERROR(MID(D262, SEARCH("NRO_", D262), 7), IFERROR(MID(D262, SEARCH("ADM_", D262), 7), IFERROR(MID(D262, SEARCH("NRD_", D262), 7), IFERROR(MID(D262, SEARCH("EXN_", D262), 7), IFERROR(MID(D262, SEARCH("LIT_", D262), 7), IFERROR(MID(D262, SEARCH("EST_", D262), 7), MID(D262, SEARCH("OST_",D262), 7))))))))))</f>
        <v/>
      </c>
      <c r="F262" s="12" t="inlineStr">
        <is>
          <t xml:space="preserve">   (04/29/2026 incident ): impacted by   Tibati_2_ADM_044  , soucis d'energie || Action : en ettente RCA HIS </t>
        </is>
      </c>
    </row>
    <row r="263" ht="18.75" customHeight="1">
      <c r="A263" s="12" t="n"/>
      <c r="B263" s="12" t="n"/>
      <c r="C263" s="12" t="n"/>
      <c r="D263" s="12" t="inlineStr">
        <is>
          <t>ADM_043_N_Mayo-Tolere-I_G</t>
        </is>
      </c>
      <c r="E263" s="12">
        <f>IFERROR(MID(D263, SEARCH("CTR_", D263), 7), IFERROR(MID(D263, SEARCH("SUO_", D263), 7), IFERROR(MID(D263, SEARCH("SUD_", D263), 7), IFERROR(MID(D263, SEARCH("NRO_", D263), 7), IFERROR(MID(D263, SEARCH("ADM_", D263), 7), IFERROR(MID(D263, SEARCH("NRD_", D263), 7), IFERROR(MID(D263, SEARCH("EXN_", D263), 7), IFERROR(MID(D263, SEARCH("LIT_", D263), 7), IFERROR(MID(D263, SEARCH("EST_", D263), 7), MID(D263, SEARCH("OST_",D263), 7))))))))))</f>
        <v/>
      </c>
      <c r="F263" s="12" t="inlineStr">
        <is>
          <t xml:space="preserve">   (04/29/2026 incident ): impacted by   Tibati_2_ADM_044  , soucis d'energie || Action : en ettente RCA HIS </t>
        </is>
      </c>
    </row>
    <row r="264" ht="18.75" customHeight="1">
      <c r="A264" s="12" t="n"/>
      <c r="B264" s="12" t="n"/>
      <c r="C264" s="12" t="n"/>
      <c r="D264" s="12" t="inlineStr">
        <is>
          <t>ADM_054_N_Meidjamba-MTN_G</t>
        </is>
      </c>
      <c r="E264" s="12">
        <f>IFERROR(MID(D264, SEARCH("CTR_", D264), 7), IFERROR(MID(D264, SEARCH("SUO_", D264), 7), IFERROR(MID(D264, SEARCH("SUD_", D264), 7), IFERROR(MID(D264, SEARCH("NRO_", D264), 7), IFERROR(MID(D264, SEARCH("ADM_", D264), 7), IFERROR(MID(D264, SEARCH("NRD_", D264), 7), IFERROR(MID(D264, SEARCH("EXN_", D264), 7), IFERROR(MID(D264, SEARCH("LIT_", D264), 7), IFERROR(MID(D264, SEARCH("EST_", D264), 7), MID(D264, SEARCH("OST_",D264), 7))))))))))</f>
        <v/>
      </c>
      <c r="F264" s="12" t="inlineStr">
        <is>
          <t xml:space="preserve">   (04/29/2026 incident ): impacted by   Tibati_2_ADM_044  , soucis d'energie || Action : en ettente RCA HIS </t>
        </is>
      </c>
    </row>
    <row r="265" ht="18.75" customHeight="1">
      <c r="A265" s="12" t="n"/>
      <c r="B265" s="12" t="n"/>
      <c r="C265" s="12" t="n"/>
      <c r="D265" s="12" t="inlineStr">
        <is>
          <t>Djampa_U_CTR_985_PROD</t>
        </is>
      </c>
      <c r="E265" s="12">
        <f>IFERROR(MID(D265, SEARCH("CTR_", D265), 7), IFERROR(MID(D265, SEARCH("SUO_", D265), 7), IFERROR(MID(D265, SEARCH("SUD_", D265), 7), IFERROR(MID(D265, SEARCH("NRO_", D265), 7), IFERROR(MID(D265, SEARCH("ADM_", D265), 7), IFERROR(MID(D265, SEARCH("NRD_", D265), 7), IFERROR(MID(D265, SEARCH("EXN_", D265), 7), IFERROR(MID(D265, SEARCH("LIT_", D265), 7), IFERROR(MID(D265, SEARCH("EST_", D265), 7), MID(D265, SEARCH("OST_",D265), 7))))))))))</f>
        <v/>
      </c>
      <c r="F265" s="12" t="inlineStr">
        <is>
          <t xml:space="preserve">   (04/29/2026 incident ): impacted by   Tibati_2_ADM_044  , soucis d'energie || Action : en ettente RCA HIS </t>
        </is>
      </c>
    </row>
    <row r="266" ht="18.75" customHeight="1">
      <c r="A266" s="12" t="n"/>
      <c r="B266" s="12" t="n"/>
      <c r="C266" s="12" t="n"/>
      <c r="D266" s="12" t="inlineStr">
        <is>
          <t>Ngouassabe_U_CTR_1119</t>
        </is>
      </c>
      <c r="E266" s="12">
        <f>IFERROR(MID(D266, SEARCH("CTR_", D266), 7), IFERROR(MID(D266, SEARCH("SUO_", D266), 7), IFERROR(MID(D266, SEARCH("SUD_", D266), 7), IFERROR(MID(D266, SEARCH("NRO_", D266), 7), IFERROR(MID(D266, SEARCH("ADM_", D266), 7), IFERROR(MID(D266, SEARCH("NRD_", D266), 7), IFERROR(MID(D266, SEARCH("EXN_", D266), 7), IFERROR(MID(D266, SEARCH("LIT_", D266), 7), IFERROR(MID(D266, SEARCH("EST_", D266), 7), MID(D266, SEARCH("OST_",D266), 7))))))))))</f>
        <v/>
      </c>
      <c r="F266" s="12" t="inlineStr">
        <is>
          <t xml:space="preserve">   (04/29/2026 incident ): impacted by   Tibati_2_ADM_044  , soucis d'energie || Action : en ettente RCA HIS </t>
        </is>
      </c>
    </row>
    <row r="267" ht="18.75" customHeight="1">
      <c r="A267" s="12" t="n"/>
      <c r="B267" s="12" t="inlineStr">
        <is>
          <t>Makary_EXN_020</t>
        </is>
      </c>
      <c r="C267" s="12" t="inlineStr">
        <is>
          <t>INC-20260429-00005728 | 2604D79809</t>
        </is>
      </c>
      <c r="D267" s="12" t="inlineStr">
        <is>
          <t>EXN_395_URH_BLABLINE_1</t>
        </is>
      </c>
      <c r="E267" s="12">
        <f>IFERROR(MID(D267, SEARCH("CTR_", D267), 7), IFERROR(MID(D267, SEARCH("SUO_", D267), 7), IFERROR(MID(D267, SEARCH("SUD_", D267), 7), IFERROR(MID(D267, SEARCH("NRO_", D267), 7), IFERROR(MID(D267, SEARCH("ADM_", D267), 7), IFERROR(MID(D267, SEARCH("NRD_", D267), 7), IFERROR(MID(D267, SEARCH("EXN_", D267), 7), IFERROR(MID(D267, SEARCH("LIT_", D267), 7), IFERROR(MID(D267, SEARCH("EST_", D267), 7), MID(D267, SEARCH("OST_",D267), 7))))))))))</f>
        <v/>
      </c>
      <c r="F267" s="12" t="inlineStr">
        <is>
          <t xml:space="preserve">(04/29/2026 incident ): impacted by  Makary_EXN_020  ,A determiner  || sans action </t>
        </is>
      </c>
    </row>
    <row r="268" ht="18.75" customHeight="1">
      <c r="A268" s="12" t="n"/>
      <c r="B268" s="12" t="n"/>
      <c r="C268" s="12" t="n"/>
      <c r="D268" s="12" t="inlineStr">
        <is>
          <t>EXN_315_URH_ADJIRI</t>
        </is>
      </c>
      <c r="E268" s="12">
        <f>IFERROR(MID(D268, SEARCH("CTR_", D268), 7), IFERROR(MID(D268, SEARCH("SUO_", D268), 7), IFERROR(MID(D268, SEARCH("SUD_", D268), 7), IFERROR(MID(D268, SEARCH("NRO_", D268), 7), IFERROR(MID(D268, SEARCH("ADM_", D268), 7), IFERROR(MID(D268, SEARCH("NRD_", D268), 7), IFERROR(MID(D268, SEARCH("EXN_", D268), 7), IFERROR(MID(D268, SEARCH("LIT_", D268), 7), IFERROR(MID(D268, SEARCH("EST_", D268), 7), MID(D268, SEARCH("OST_",D268), 7))))))))))</f>
        <v/>
      </c>
      <c r="F268" s="12" t="inlineStr">
        <is>
          <t xml:space="preserve">(04/29/2026 incident ): impacted by  Makary_EXN_020  ,A determiner  || sans action </t>
        </is>
      </c>
    </row>
    <row r="269" ht="18.75" customHeight="1">
      <c r="A269" s="12" t="n"/>
      <c r="B269" s="12" t="n"/>
      <c r="C269" s="12" t="n"/>
      <c r="D269" s="12" t="inlineStr">
        <is>
          <t>EXN_302_URH_NDODEHE</t>
        </is>
      </c>
      <c r="E269" s="12">
        <f>IFERROR(MID(D269, SEARCH("CTR_", D269), 7), IFERROR(MID(D269, SEARCH("SUO_", D269), 7), IFERROR(MID(D269, SEARCH("SUD_", D269), 7), IFERROR(MID(D269, SEARCH("NRO_", D269), 7), IFERROR(MID(D269, SEARCH("ADM_", D269), 7), IFERROR(MID(D269, SEARCH("NRD_", D269), 7), IFERROR(MID(D269, SEARCH("EXN_", D269), 7), IFERROR(MID(D269, SEARCH("LIT_", D269), 7), IFERROR(MID(D269, SEARCH("EST_", D269), 7), MID(D269, SEARCH("OST_",D269), 7))))))))))</f>
        <v/>
      </c>
      <c r="F269" s="12" t="inlineStr">
        <is>
          <t xml:space="preserve">(04/29/2026 incident ): impacted by  Makary_EXN_020  ,A determiner  || sans action </t>
        </is>
      </c>
    </row>
    <row r="270" ht="18.75" customHeight="1">
      <c r="A270" s="12" t="n"/>
      <c r="B270" s="12" t="n"/>
      <c r="C270" s="12" t="n"/>
      <c r="D270" s="12" t="inlineStr">
        <is>
          <t>EXN_281_URH_BODO</t>
        </is>
      </c>
      <c r="E270" s="12">
        <f>IFERROR(MID(D270, SEARCH("CTR_", D270), 7), IFERROR(MID(D270, SEARCH("SUO_", D270), 7), IFERROR(MID(D270, SEARCH("SUD_", D270), 7), IFERROR(MID(D270, SEARCH("NRO_", D270), 7), IFERROR(MID(D270, SEARCH("ADM_", D270), 7), IFERROR(MID(D270, SEARCH("NRD_", D270), 7), IFERROR(MID(D270, SEARCH("EXN_", D270), 7), IFERROR(MID(D270, SEARCH("LIT_", D270), 7), IFERROR(MID(D270, SEARCH("EST_", D270), 7), MID(D270, SEARCH("OST_",D270), 7))))))))))</f>
        <v/>
      </c>
      <c r="F270" s="12" t="inlineStr">
        <is>
          <t xml:space="preserve">(04/29/2026 incident ): impacted by  Makary_EXN_020  ,A determiner  || sans action </t>
        </is>
      </c>
    </row>
    <row r="271" ht="18.75" customHeight="1">
      <c r="A271" s="12" t="n"/>
      <c r="B271" s="12" t="n"/>
      <c r="C271" s="12" t="n"/>
      <c r="D271" s="12" t="inlineStr">
        <is>
          <t>EXN_307_URH_GRELIE</t>
        </is>
      </c>
      <c r="E271" s="12">
        <f>IFERROR(MID(D271, SEARCH("CTR_", D271), 7), IFERROR(MID(D271, SEARCH("SUO_", D271), 7), IFERROR(MID(D271, SEARCH("SUD_", D271), 7), IFERROR(MID(D271, SEARCH("NRO_", D271), 7), IFERROR(MID(D271, SEARCH("ADM_", D271), 7), IFERROR(MID(D271, SEARCH("NRD_", D271), 7), IFERROR(MID(D271, SEARCH("EXN_", D271), 7), IFERROR(MID(D271, SEARCH("LIT_", D271), 7), IFERROR(MID(D271, SEARCH("EST_", D271), 7), MID(D271, SEARCH("OST_",D271), 7))))))))))</f>
        <v/>
      </c>
      <c r="F271" s="12" t="inlineStr">
        <is>
          <t xml:space="preserve">(04/29/2026 incident ): impacted by  Makary_EXN_020  ,A determiner  || sans action </t>
        </is>
      </c>
    </row>
    <row r="272" ht="18.75" customHeight="1">
      <c r="A272" s="12" t="n"/>
      <c r="B272" s="12" t="n"/>
      <c r="C272" s="12" t="n"/>
      <c r="D272" s="12" t="inlineStr">
        <is>
          <t>EXN_384_URH_CHAIBOU</t>
        </is>
      </c>
      <c r="E272" s="12">
        <f>IFERROR(MID(D272, SEARCH("CTR_", D272), 7), IFERROR(MID(D272, SEARCH("SUO_", D272), 7), IFERROR(MID(D272, SEARCH("SUD_", D272), 7), IFERROR(MID(D272, SEARCH("NRO_", D272), 7), IFERROR(MID(D272, SEARCH("ADM_", D272), 7), IFERROR(MID(D272, SEARCH("NRD_", D272), 7), IFERROR(MID(D272, SEARCH("EXN_", D272), 7), IFERROR(MID(D272, SEARCH("LIT_", D272), 7), IFERROR(MID(D272, SEARCH("EST_", D272), 7), MID(D272, SEARCH("OST_",D272), 7))))))))))</f>
        <v/>
      </c>
      <c r="F272" s="12" t="inlineStr">
        <is>
          <t xml:space="preserve">(04/29/2026 incident ): impacted by  Makary_EXN_020  ,A determiner  || sans action </t>
        </is>
      </c>
    </row>
    <row r="273" ht="18.75" customHeight="1">
      <c r="A273" s="12" t="n"/>
      <c r="B273" s="12" t="n"/>
      <c r="C273" s="12" t="n"/>
      <c r="D273" s="12" t="inlineStr">
        <is>
          <t>EXN_380_URH_DOUGMO_SALAMAT</t>
        </is>
      </c>
      <c r="E273" s="12">
        <f>IFERROR(MID(D273, SEARCH("CTR_", D273), 7), IFERROR(MID(D273, SEARCH("SUO_", D273), 7), IFERROR(MID(D273, SEARCH("SUD_", D273), 7), IFERROR(MID(D273, SEARCH("NRO_", D273), 7), IFERROR(MID(D273, SEARCH("ADM_", D273), 7), IFERROR(MID(D273, SEARCH("NRD_", D273), 7), IFERROR(MID(D273, SEARCH("EXN_", D273), 7), IFERROR(MID(D273, SEARCH("LIT_", D273), 7), IFERROR(MID(D273, SEARCH("EST_", D273), 7), MID(D273, SEARCH("OST_",D273), 7))))))))))</f>
        <v/>
      </c>
      <c r="F273" s="12" t="inlineStr">
        <is>
          <t xml:space="preserve">(04/29/2026 incident ): impacted by  Makary_EXN_020  ,A determiner  || sans action </t>
        </is>
      </c>
    </row>
    <row r="274" ht="18.75" customHeight="1">
      <c r="A274" s="12" t="n"/>
      <c r="B274" s="12" t="n"/>
      <c r="C274" s="12" t="n"/>
      <c r="D274" s="12" t="inlineStr">
        <is>
          <t>EXN_382_URH_NDELBENG</t>
        </is>
      </c>
      <c r="E274" s="12">
        <f>IFERROR(MID(D274, SEARCH("CTR_", D274), 7), IFERROR(MID(D274, SEARCH("SUO_", D274), 7), IFERROR(MID(D274, SEARCH("SUD_", D274), 7), IFERROR(MID(D274, SEARCH("NRO_", D274), 7), IFERROR(MID(D274, SEARCH("ADM_", D274), 7), IFERROR(MID(D274, SEARCH("NRD_", D274), 7), IFERROR(MID(D274, SEARCH("EXN_", D274), 7), IFERROR(MID(D274, SEARCH("LIT_", D274), 7), IFERROR(MID(D274, SEARCH("EST_", D274), 7), MID(D274, SEARCH("OST_",D274), 7))))))))))</f>
        <v/>
      </c>
      <c r="F274" s="12" t="inlineStr">
        <is>
          <t xml:space="preserve">(04/29/2026 incident ): impacted by  Makary_EXN_020  ,A determiner  || sans action </t>
        </is>
      </c>
    </row>
    <row r="275" ht="18.75" customHeight="1">
      <c r="A275" s="12" t="n"/>
      <c r="B275" s="12" t="n"/>
      <c r="C275" s="12" t="n"/>
      <c r="D275" s="12" t="inlineStr">
        <is>
          <t>EXN_385_URH_GREMARI</t>
        </is>
      </c>
      <c r="E275" s="12">
        <f>IFERROR(MID(D275, SEARCH("CTR_", D275), 7), IFERROR(MID(D275, SEARCH("SUO_", D275), 7), IFERROR(MID(D275, SEARCH("SUD_", D275), 7), IFERROR(MID(D275, SEARCH("NRO_", D275), 7), IFERROR(MID(D275, SEARCH("ADM_", D275), 7), IFERROR(MID(D275, SEARCH("NRD_", D275), 7), IFERROR(MID(D275, SEARCH("EXN_", D275), 7), IFERROR(MID(D275, SEARCH("LIT_", D275), 7), IFERROR(MID(D275, SEARCH("EST_", D275), 7), MID(D275, SEARCH("OST_",D275), 7))))))))))</f>
        <v/>
      </c>
      <c r="F275" s="12" t="inlineStr">
        <is>
          <t xml:space="preserve">(04/29/2026 incident ): impacted by  Makary_EXN_020  ,A determiner  || sans action </t>
        </is>
      </c>
    </row>
    <row r="276" ht="18.75" customHeight="1">
      <c r="A276" s="12" t="n"/>
      <c r="B276" s="12" t="n"/>
      <c r="C276" s="12" t="n"/>
      <c r="D276" s="12" t="inlineStr">
        <is>
          <t>EXN_391_URH_KAOUSSE</t>
        </is>
      </c>
      <c r="E276" s="12">
        <f>IFERROR(MID(D276, SEARCH("CTR_", D276), 7), IFERROR(MID(D276, SEARCH("SUO_", D276), 7), IFERROR(MID(D276, SEARCH("SUD_", D276), 7), IFERROR(MID(D276, SEARCH("NRO_", D276), 7), IFERROR(MID(D276, SEARCH("ADM_", D276), 7), IFERROR(MID(D276, SEARCH("NRD_", D276), 7), IFERROR(MID(D276, SEARCH("EXN_", D276), 7), IFERROR(MID(D276, SEARCH("LIT_", D276), 7), IFERROR(MID(D276, SEARCH("EST_", D276), 7), MID(D276, SEARCH("OST_",D276), 7))))))))))</f>
        <v/>
      </c>
      <c r="F276" s="12" t="inlineStr">
        <is>
          <t xml:space="preserve">(04/29/2026 incident ): impacted by  Makary_EXN_020  ,A determiner  || sans action </t>
        </is>
      </c>
    </row>
    <row r="277" ht="18.75" customHeight="1">
      <c r="A277" s="12" t="n"/>
      <c r="B277" s="12" t="n"/>
      <c r="C277" s="12" t="n"/>
      <c r="D277" s="12" t="inlineStr">
        <is>
          <t>EXN_393_URH_LAFIA_I</t>
        </is>
      </c>
      <c r="E277" s="12">
        <f>IFERROR(MID(D277, SEARCH("CTR_", D277), 7), IFERROR(MID(D277, SEARCH("SUO_", D277), 7), IFERROR(MID(D277, SEARCH("SUD_", D277), 7), IFERROR(MID(D277, SEARCH("NRO_", D277), 7), IFERROR(MID(D277, SEARCH("ADM_", D277), 7), IFERROR(MID(D277, SEARCH("NRD_", D277), 7), IFERROR(MID(D277, SEARCH("EXN_", D277), 7), IFERROR(MID(D277, SEARCH("LIT_", D277), 7), IFERROR(MID(D277, SEARCH("EST_", D277), 7), MID(D277, SEARCH("OST_",D277), 7))))))))))</f>
        <v/>
      </c>
      <c r="F277" s="12" t="inlineStr">
        <is>
          <t xml:space="preserve">(04/29/2026 incident ): impacted by  Makary_EXN_020  ,A determiner  || sans action </t>
        </is>
      </c>
    </row>
    <row r="278" ht="18.75" customHeight="1">
      <c r="A278" s="12" t="n"/>
      <c r="B278" s="12" t="inlineStr">
        <is>
          <t>LIT_480_Z_Mbongo-IHS(LIT-480)</t>
        </is>
      </c>
      <c r="C278" s="12" t="n"/>
      <c r="D278" s="12" t="inlineStr">
        <is>
          <t>LIT_497_Z_Manoka-IHS(LIT-497)</t>
        </is>
      </c>
      <c r="E278" s="12">
        <f>IFERROR(MID(D278, SEARCH("CTR_", D278), 7), IFERROR(MID(D278, SEARCH("SUO_", D278), 7), IFERROR(MID(D278, SEARCH("SUD_", D278), 7), IFERROR(MID(D278, SEARCH("NRO_", D278), 7), IFERROR(MID(D278, SEARCH("ADM_", D278), 7), IFERROR(MID(D278, SEARCH("NRD_", D278), 7), IFERROR(MID(D278, SEARCH("EXN_", D278), 7), IFERROR(MID(D278, SEARCH("LIT_", D278), 7), IFERROR(MID(D278, SEARCH("EST_", D278), 7), MID(D278, SEARCH("OST_",D278), 7))))))))))</f>
        <v/>
      </c>
      <c r="F278" s="12" t="inlineStr">
        <is>
          <t>(04/29/2026 incident ): impacted by  LIT_480_Z_Mbongo-IHS(LIT-480), ODU en perte de rendement   || plusieur s reset ODU . Notons egalement pour stabiliser le site , le FME EST EN ROUTE POUR canibaliser l 'ODU  de mbonguen . ETA =1H  pour son arriver a Mbonguen</t>
        </is>
      </c>
    </row>
    <row r="279" ht="18.75" customHeight="1">
      <c r="A279" s="12" t="n"/>
      <c r="B279" s="12" t="n"/>
      <c r="C279" s="12" t="n"/>
      <c r="D279" s="12" t="inlineStr">
        <is>
          <t>LIT_480_Z_Mbongo-IHS(LIT-480)</t>
        </is>
      </c>
      <c r="E279" s="12">
        <f>IFERROR(MID(D279, SEARCH("CTR_", D279), 7), IFERROR(MID(D279, SEARCH("SUO_", D279), 7), IFERROR(MID(D279, SEARCH("SUD_", D279), 7), IFERROR(MID(D279, SEARCH("NRO_", D279), 7), IFERROR(MID(D279, SEARCH("ADM_", D279), 7), IFERROR(MID(D279, SEARCH("NRD_", D279), 7), IFERROR(MID(D279, SEARCH("EXN_", D279), 7), IFERROR(MID(D279, SEARCH("LIT_", D279), 7), IFERROR(MID(D279, SEARCH("EST_", D279), 7), MID(D279, SEARCH("OST_",D279), 7))))))))))</f>
        <v/>
      </c>
      <c r="F279" s="12" t="inlineStr">
        <is>
          <t>(04/29/2026 incident ): impacted by  LIT_480_Z_Mbongo-IHS(LIT-480), ODU en perte de rendement   || plusieur s reset ODU . Notons egalement pour stabiliser le site , le FME EST EN ROUTE POUR canibaliser l 'ODU  de mbonguen . ETA =1H  pour son arriver a Mbonguen</t>
        </is>
      </c>
    </row>
    <row r="280" ht="18.75" customHeight="1">
      <c r="A280" s="12" t="n"/>
      <c r="B280" s="12" t="n"/>
      <c r="C280" s="12" t="n"/>
      <c r="D280" s="12" t="inlineStr">
        <is>
          <t>LIT_832_URH_MBONGO_V2_BIS</t>
        </is>
      </c>
      <c r="E280" s="12">
        <f>IFERROR(MID(D280, SEARCH("CTR_", D280), 7), IFERROR(MID(D280, SEARCH("SUO_", D280), 7), IFERROR(MID(D280, SEARCH("SUD_", D280), 7), IFERROR(MID(D280, SEARCH("NRO_", D280), 7), IFERROR(MID(D280, SEARCH("ADM_", D280), 7), IFERROR(MID(D280, SEARCH("NRD_", D280), 7), IFERROR(MID(D280, SEARCH("EXN_", D280), 7), IFERROR(MID(D280, SEARCH("LIT_", D280), 7), IFERROR(MID(D280, SEARCH("EST_", D280), 7), MID(D280, SEARCH("OST_",D280), 7))))))))))</f>
        <v/>
      </c>
      <c r="F280" s="12" t="inlineStr">
        <is>
          <t>(04/29/2026 incident ): impacted by  LIT_480_Z_Mbongo-IHS(LIT-480), ODU en perte de rendement   || plusieur s reset ODU . Notons egalement pour stabiliser le site , le FME EST EN ROUTE POUR canibaliser l 'ODU  de mbonguen . ETA =1H  pour son arriver a Mbonguen</t>
        </is>
      </c>
    </row>
    <row r="281" ht="18.75" customHeight="1">
      <c r="A281" s="12" t="n"/>
      <c r="B281" s="12" t="n"/>
      <c r="C281" s="12" t="n"/>
      <c r="D281" s="12" t="inlineStr">
        <is>
          <t>LIT_821_URH_MBONGO</t>
        </is>
      </c>
      <c r="E281" s="12">
        <f>IFERROR(MID(D281, SEARCH("CTR_", D281), 7), IFERROR(MID(D281, SEARCH("SUO_", D281), 7), IFERROR(MID(D281, SEARCH("SUD_", D281), 7), IFERROR(MID(D281, SEARCH("NRO_", D281), 7), IFERROR(MID(D281, SEARCH("ADM_", D281), 7), IFERROR(MID(D281, SEARCH("NRD_", D281), 7), IFERROR(MID(D281, SEARCH("EXN_", D281), 7), IFERROR(MID(D281, SEARCH("LIT_", D281), 7), IFERROR(MID(D281, SEARCH("EST_", D281), 7), MID(D281, SEARCH("OST_",D281), 7))))))))))</f>
        <v/>
      </c>
      <c r="F281" s="12" t="inlineStr">
        <is>
          <t>(04/29/2026 incident ): impacted by  LIT_480_Z_Mbongo-IHS(LIT-480), ODU en perte de rendement   || plusieur s reset ODU . Notons egalement pour stabiliser le site , le FME EST EN ROUTE POUR canibaliser l 'ODU  de mbonguen . ETA =1H  pour son arriver a Mbonguen</t>
        </is>
      </c>
    </row>
    <row r="282" ht="18.75" customHeight="1">
      <c r="A282" s="12" t="n"/>
      <c r="B282" s="12" t="n"/>
      <c r="C282" s="12" t="n"/>
      <c r="D282" s="12" t="inlineStr">
        <is>
          <t>LIT_831_URH_MBONGO_V1</t>
        </is>
      </c>
      <c r="E282" s="12">
        <f>IFERROR(MID(D282, SEARCH("CTR_", D282), 7), IFERROR(MID(D282, SEARCH("SUO_", D282), 7), IFERROR(MID(D282, SEARCH("SUD_", D282), 7), IFERROR(MID(D282, SEARCH("NRO_", D282), 7), IFERROR(MID(D282, SEARCH("ADM_", D282), 7), IFERROR(MID(D282, SEARCH("NRD_", D282), 7), IFERROR(MID(D282, SEARCH("EXN_", D282), 7), IFERROR(MID(D282, SEARCH("LIT_", D282), 7), IFERROR(MID(D282, SEARCH("EST_", D282), 7), MID(D282, SEARCH("OST_",D282), 7))))))))))</f>
        <v/>
      </c>
      <c r="F282" s="12" t="inlineStr">
        <is>
          <t>(04/29/2026 incident ): impacted by  LIT_480_Z_Mbongo-IHS(LIT-480), ODU en perte de rendement   || plusieur s reset ODU . Notons egalement pour stabiliser le site , le FME EST EN ROUTE POUR canibaliser l 'ODU  de mbonguen . ETA =1H  pour son arriver a Mbonguen</t>
        </is>
      </c>
    </row>
  </sheetData>
  <pageMargins left="0.7" right="0.7" top="0.75" bottom="0.75" header="0.3" footer="0.3"/>
</worksheet>
</file>

<file path=xl/worksheets/sheet5.xml><?xml version="1.0" encoding="utf-8"?>
<worksheet xmlns="http://schemas.openxmlformats.org/spreadsheetml/2006/main">
  <sheetPr>
    <outlinePr summaryBelow="0"/>
    <pageSetUpPr/>
  </sheetPr>
  <dimension ref="A1:Q26"/>
  <sheetViews>
    <sheetView workbookViewId="0">
      <selection activeCell="A1" sqref="A1"/>
    </sheetView>
  </sheetViews>
  <sheetFormatPr baseColWidth="8" defaultRowHeight="15"/>
  <cols>
    <col width="26.86214285714286" bestFit="1" customWidth="1" style="8" min="1" max="1"/>
    <col width="36.43357142857143" bestFit="1" customWidth="1" style="8" min="2" max="2"/>
    <col width="25.43357142857143" bestFit="1" customWidth="1" style="8" min="3" max="3"/>
    <col width="42.14785714285715" bestFit="1" customWidth="1" style="8" min="4" max="4"/>
    <col width="13.57642857142857" bestFit="1" customWidth="1" style="12" min="5" max="5"/>
    <col width="13.57642857142857" bestFit="1" customWidth="1" style="12" min="6" max="6"/>
    <col width="13.57642857142857" bestFit="1" customWidth="1" style="12" min="7" max="7"/>
    <col width="13.57642857142857" bestFit="1" customWidth="1" style="12" min="8" max="8"/>
    <col width="13.57642857142857" bestFit="1" customWidth="1" style="12" min="9" max="9"/>
    <col width="13.57642857142857" bestFit="1" customWidth="1" style="12" min="10" max="10"/>
    <col width="13.57642857142857" bestFit="1" customWidth="1" style="12" min="11" max="11"/>
    <col width="13.57642857142857" bestFit="1" customWidth="1" style="12" min="12" max="12"/>
    <col width="13.57642857142857" bestFit="1" customWidth="1" style="12" min="13" max="13"/>
    <col width="13.57642857142857" bestFit="1" customWidth="1" style="12" min="14" max="14"/>
    <col width="13.57642857142857" bestFit="1" customWidth="1" style="12" min="15" max="15"/>
    <col width="13.57642857142857" bestFit="1" customWidth="1" style="12" min="16" max="16"/>
    <col width="13.57642857142857" bestFit="1" customWidth="1" style="12" min="17" max="17"/>
  </cols>
  <sheetData>
    <row r="1" ht="18.75" customHeight="1">
      <c r="A1" s="13" t="inlineStr">
        <is>
          <t xml:space="preserve">NOMENCLATURE </t>
        </is>
      </c>
      <c r="B1" s="13" t="inlineStr">
        <is>
          <t>SUB RCA</t>
        </is>
      </c>
      <c r="C1" s="13" t="inlineStr">
        <is>
          <t>CATEGORIE</t>
        </is>
      </c>
      <c r="D1" s="13" t="inlineStr">
        <is>
          <t>CAUSE</t>
        </is>
      </c>
      <c r="E1" s="12" t="n"/>
      <c r="F1" s="12" t="n"/>
      <c r="G1" s="12" t="n"/>
      <c r="H1" s="12" t="n"/>
      <c r="I1" s="12" t="n"/>
      <c r="J1" s="12" t="n"/>
      <c r="K1" s="12" t="n"/>
      <c r="L1" s="12" t="n"/>
      <c r="M1" s="12" t="n"/>
      <c r="N1" s="12" t="n"/>
      <c r="O1" s="12" t="n"/>
      <c r="P1" s="12" t="n"/>
      <c r="Q1" s="12" t="n"/>
    </row>
    <row r="2" ht="18.75" customHeight="1">
      <c r="A2" s="3" t="inlineStr">
        <is>
          <t>A (Key)</t>
        </is>
      </c>
      <c r="B2" s="3" t="inlineStr">
        <is>
          <t>B (AK - Type Issue)</t>
        </is>
      </c>
      <c r="C2" s="3" t="inlineStr">
        <is>
          <t>C (AJ - Type)</t>
        </is>
      </c>
      <c r="D2" s="3" t="inlineStr">
        <is>
          <t>D (AM - Detail)</t>
        </is>
      </c>
      <c r="E2" s="12" t="n"/>
      <c r="F2" s="12" t="n"/>
      <c r="G2" s="12" t="n"/>
      <c r="H2" s="12" t="n"/>
      <c r="I2" s="12" t="n"/>
      <c r="J2" s="12" t="n"/>
      <c r="K2" s="12" t="n"/>
      <c r="L2" s="12" t="n"/>
      <c r="M2" s="12" t="n"/>
      <c r="N2" s="12" t="n"/>
      <c r="O2" s="12" t="n"/>
      <c r="P2" s="12" t="n"/>
      <c r="Q2" s="12" t="n"/>
    </row>
    <row r="3" ht="18.75" customHeight="1">
      <c r="A3" s="4" t="inlineStr">
        <is>
          <t>PDH</t>
        </is>
      </c>
      <c r="B3" s="4" t="inlineStr">
        <is>
          <t>TX ISSUE</t>
        </is>
      </c>
      <c r="C3" s="4" t="inlineStr">
        <is>
          <t>ACTIVE</t>
        </is>
      </c>
      <c r="D3" s="4" t="inlineStr">
        <is>
          <t>MPR issue</t>
        </is>
      </c>
      <c r="E3" s="4" t="inlineStr">
        <is>
          <t>fxdb</t>
        </is>
      </c>
      <c r="F3" s="4" t="n"/>
      <c r="G3" s="4" t="inlineStr">
        <is>
          <t>CHASSIS</t>
        </is>
      </c>
      <c r="H3" s="12" t="n"/>
      <c r="I3" s="12" t="n"/>
      <c r="J3" s="12" t="n"/>
      <c r="K3" s="12" t="n"/>
      <c r="L3" s="12" t="n"/>
      <c r="M3" s="12" t="n"/>
      <c r="N3" s="12" t="n"/>
      <c r="O3" s="12" t="n"/>
      <c r="P3" s="12" t="n"/>
      <c r="Q3" s="12" t="n"/>
    </row>
    <row r="4" ht="18.75" customHeight="1">
      <c r="A4" s="4" t="inlineStr">
        <is>
          <t>BSS</t>
        </is>
      </c>
      <c r="B4" s="4" t="inlineStr">
        <is>
          <t>RAN ISSUE</t>
        </is>
      </c>
      <c r="C4" s="4" t="inlineStr">
        <is>
          <t>ACTIVE</t>
        </is>
      </c>
      <c r="D4" s="4" t="inlineStr">
        <is>
          <t>BSS Hardware issue</t>
        </is>
      </c>
      <c r="E4" s="4" t="inlineStr">
        <is>
          <t>analyse et intervension</t>
        </is>
      </c>
      <c r="F4" s="12" t="n"/>
      <c r="G4" s="4" t="inlineStr">
        <is>
          <t xml:space="preserve">jumper </t>
        </is>
      </c>
      <c r="H4" s="4" t="inlineStr">
        <is>
          <t>VBPe1P</t>
        </is>
      </c>
      <c r="I4" s="4" t="inlineStr">
        <is>
          <t>GPS</t>
        </is>
      </c>
      <c r="J4" s="12" t="inlineStr">
        <is>
          <t xml:space="preserve"> FXED</t>
        </is>
      </c>
      <c r="K4" s="4" t="inlineStr">
        <is>
          <t>FBBC</t>
        </is>
      </c>
      <c r="L4" s="12" t="inlineStr">
        <is>
          <t>FRGU</t>
        </is>
      </c>
      <c r="M4" s="4" t="inlineStr">
        <is>
          <t>FSMF</t>
        </is>
      </c>
      <c r="N4" s="12" t="inlineStr">
        <is>
          <t>slot</t>
        </is>
      </c>
      <c r="O4" s="4" t="inlineStr">
        <is>
          <t>board</t>
        </is>
      </c>
      <c r="P4" s="12" t="inlineStr">
        <is>
          <t>card</t>
        </is>
      </c>
      <c r="Q4" s="12" t="inlineStr">
        <is>
          <t>carte FPFC / FPFH ou connexion vers RRU</t>
        </is>
      </c>
    </row>
    <row r="5" ht="18.75" customHeight="1">
      <c r="A5" s="4" t="inlineStr">
        <is>
          <t>ENVTECH</t>
        </is>
      </c>
      <c r="B5" s="4" t="inlineStr">
        <is>
          <t>ENVTECH</t>
        </is>
      </c>
      <c r="C5" s="4" t="inlineStr">
        <is>
          <t>PASSIVE</t>
        </is>
      </c>
      <c r="D5" s="4" t="inlineStr">
        <is>
          <t>Sites strategiques, MLL, Pylone, etc.</t>
        </is>
      </c>
      <c r="E5" s="12" t="n"/>
      <c r="F5" s="12" t="n"/>
      <c r="G5" s="12" t="n"/>
      <c r="H5" s="12" t="n"/>
      <c r="I5" s="12" t="n"/>
      <c r="J5" s="12" t="n"/>
      <c r="K5" s="12" t="n"/>
      <c r="L5" s="12" t="n"/>
      <c r="M5" s="12" t="n"/>
      <c r="N5" s="12" t="n"/>
      <c r="O5" s="12" t="n"/>
      <c r="P5" s="12" t="n"/>
      <c r="Q5" s="12" t="n"/>
    </row>
    <row r="6" ht="18.75" customHeight="1">
      <c r="A6" s="5" t="inlineStr">
        <is>
          <t>AKTIVCO</t>
        </is>
      </c>
      <c r="B6" s="4" t="inlineStr">
        <is>
          <t>POWER ISSUE</t>
        </is>
      </c>
      <c r="C6" s="4" t="inlineStr">
        <is>
          <t>PASSIVE</t>
        </is>
      </c>
      <c r="D6" s="5" t="inlineStr">
        <is>
          <t>AKTIVCO Defaut GE &amp; Power Cabinet</t>
        </is>
      </c>
      <c r="E6" s="12" t="n"/>
      <c r="F6" s="12" t="n"/>
      <c r="G6" s="12" t="n"/>
      <c r="H6" s="12" t="n"/>
      <c r="I6" s="12" t="n"/>
      <c r="J6" s="12" t="n"/>
      <c r="K6" s="12" t="n"/>
      <c r="L6" s="12" t="n"/>
      <c r="M6" s="12" t="n"/>
      <c r="N6" s="12" t="n"/>
      <c r="O6" s="12" t="n"/>
      <c r="P6" s="12" t="n"/>
      <c r="Q6" s="12" t="n"/>
    </row>
    <row r="7" ht="18.75" customHeight="1">
      <c r="A7" s="5" t="inlineStr">
        <is>
          <t>AKTIVCO GRID ONLY</t>
        </is>
      </c>
      <c r="B7" s="4" t="inlineStr">
        <is>
          <t>POWER ISSUE</t>
        </is>
      </c>
      <c r="C7" s="4" t="inlineStr">
        <is>
          <t>PASSIVE</t>
        </is>
      </c>
      <c r="D7" s="5" t="inlineStr">
        <is>
          <t>AKTIVCO Coupure ENEO &amp; Baisse de tension</t>
        </is>
      </c>
      <c r="E7" s="12" t="n"/>
      <c r="F7" s="12" t="inlineStr">
        <is>
          <t>power issue =  problèmes de Phases récurrente sur site</t>
        </is>
      </c>
      <c r="G7" s="12" t="n"/>
      <c r="H7" s="12" t="n"/>
      <c r="I7" s="12" t="n"/>
      <c r="J7" s="12" t="n"/>
      <c r="K7" s="12" t="n"/>
      <c r="L7" s="12" t="n"/>
      <c r="M7" s="12" t="n"/>
      <c r="N7" s="12" t="n"/>
      <c r="O7" s="12" t="n"/>
      <c r="P7" s="12" t="n"/>
      <c r="Q7" s="12" t="n"/>
    </row>
    <row r="8" ht="18.75" customHeight="1">
      <c r="A8" s="6" t="inlineStr">
        <is>
          <t>IHS GRID ONLY</t>
        </is>
      </c>
      <c r="B8" s="4" t="inlineStr">
        <is>
          <t>POWER ISSUE</t>
        </is>
      </c>
      <c r="C8" s="4" t="inlineStr">
        <is>
          <t>PASSIVE</t>
        </is>
      </c>
      <c r="D8" s="6" t="inlineStr">
        <is>
          <t>Coupure ENEO &amp; Baisse de tension</t>
        </is>
      </c>
      <c r="E8" s="12" t="n"/>
      <c r="F8" s="12" t="inlineStr">
        <is>
          <t>FXDB</t>
        </is>
      </c>
      <c r="G8" s="12" t="n"/>
      <c r="H8" s="12" t="n"/>
      <c r="I8" s="12" t="n"/>
      <c r="J8" s="12" t="n"/>
      <c r="K8" s="12" t="n"/>
      <c r="L8" s="12" t="n"/>
      <c r="M8" s="12" t="n"/>
      <c r="N8" s="12" t="n"/>
      <c r="O8" s="12" t="n"/>
      <c r="P8" s="12" t="n"/>
      <c r="Q8" s="12" t="n"/>
    </row>
    <row r="9" ht="19" customHeight="1">
      <c r="A9" s="6" t="inlineStr">
        <is>
          <t>IHS</t>
        </is>
      </c>
      <c r="B9" s="4" t="inlineStr">
        <is>
          <t>POWER ISSUE</t>
        </is>
      </c>
      <c r="C9" s="4" t="inlineStr">
        <is>
          <t>PASSIVE</t>
        </is>
      </c>
      <c r="D9" s="6" t="inlineStr">
        <is>
          <t>Defaut GE &amp; Power Cabinet</t>
        </is>
      </c>
      <c r="E9" s="12" t="n"/>
      <c r="F9" s="12" t="n"/>
      <c r="G9" s="12" t="n"/>
      <c r="H9" s="12" t="n"/>
      <c r="I9" s="12" t="n"/>
      <c r="J9" s="12" t="n"/>
      <c r="K9" s="12" t="n"/>
      <c r="L9" s="12" t="n"/>
      <c r="M9" s="12" t="n"/>
      <c r="N9" s="12" t="n"/>
      <c r="O9" s="12" t="n"/>
      <c r="P9" s="12" t="n"/>
      <c r="Q9" s="12" t="n"/>
    </row>
    <row r="10" ht="18.75" customHeight="1">
      <c r="A10" s="4" t="inlineStr">
        <is>
          <t>Partners</t>
        </is>
      </c>
      <c r="B10" s="4" t="inlineStr">
        <is>
          <t>POWER ISSUE</t>
        </is>
      </c>
      <c r="C10" s="4" t="inlineStr">
        <is>
          <t>PASSIVE</t>
        </is>
      </c>
      <c r="D10" s="4" t="inlineStr">
        <is>
          <t>Sharing</t>
        </is>
      </c>
      <c r="E10" s="12" t="n"/>
      <c r="F10" s="12" t="n"/>
      <c r="G10" s="12" t="n"/>
      <c r="H10" s="12" t="n"/>
      <c r="I10" s="12" t="n"/>
      <c r="J10" s="12" t="n"/>
      <c r="K10" s="12" t="n"/>
      <c r="L10" s="12" t="n"/>
      <c r="M10" s="12" t="n"/>
      <c r="N10" s="12" t="n"/>
      <c r="O10" s="12" t="n"/>
      <c r="P10" s="12" t="n"/>
      <c r="Q10" s="12" t="n"/>
    </row>
    <row r="11" ht="18.75" customHeight="1">
      <c r="A11" s="4" t="inlineStr">
        <is>
          <t>SST &amp; DC</t>
        </is>
      </c>
      <c r="B11" s="4" t="inlineStr">
        <is>
          <t>POWER ISSUE</t>
        </is>
      </c>
      <c r="C11" s="4" t="inlineStr">
        <is>
          <t>PASSIVE</t>
        </is>
      </c>
      <c r="D11" s="4" t="inlineStr">
        <is>
          <t>Sites strategiques &amp; DataCenter</t>
        </is>
      </c>
      <c r="E11" s="12" t="n"/>
      <c r="F11" s="12" t="n"/>
      <c r="G11" s="12" t="n"/>
      <c r="H11" s="12" t="n"/>
      <c r="I11" s="12" t="n"/>
      <c r="J11" s="12" t="n"/>
      <c r="K11" s="12" t="n"/>
      <c r="L11" s="12" t="n"/>
      <c r="M11" s="12" t="n"/>
      <c r="N11" s="12" t="n"/>
      <c r="O11" s="12" t="n"/>
      <c r="P11" s="12" t="n"/>
      <c r="Q11" s="12" t="n"/>
    </row>
    <row r="12" ht="18.75" customHeight="1">
      <c r="A12" s="4" t="inlineStr">
        <is>
          <t>Exclu</t>
        </is>
      </c>
      <c r="B12" s="4" t="inlineStr">
        <is>
          <t>Exclu</t>
        </is>
      </c>
      <c r="C12" s="4" t="inlineStr">
        <is>
          <t>Exclu</t>
        </is>
      </c>
      <c r="D12" s="4" t="inlineStr">
        <is>
          <t>Exclu</t>
        </is>
      </c>
      <c r="E12" s="12" t="n"/>
      <c r="F12" s="12" t="n"/>
      <c r="G12" s="12" t="n"/>
      <c r="H12" s="12" t="n"/>
      <c r="I12" s="12" t="n"/>
      <c r="J12" s="12" t="n"/>
      <c r="K12" s="12" t="n"/>
      <c r="L12" s="12" t="n"/>
      <c r="M12" s="12" t="n"/>
      <c r="N12" s="12" t="n"/>
      <c r="O12" s="12" t="n"/>
      <c r="P12" s="12" t="n"/>
      <c r="Q12" s="12" t="n"/>
    </row>
    <row r="13" ht="18.75" customHeight="1">
      <c r="A13" s="7" t="inlineStr">
        <is>
          <t>SAT</t>
        </is>
      </c>
      <c r="B13" s="4" t="inlineStr">
        <is>
          <t>TX ISSUE</t>
        </is>
      </c>
      <c r="C13" s="4" t="inlineStr">
        <is>
          <t>ACTIVE</t>
        </is>
      </c>
      <c r="D13" s="4" t="inlineStr">
        <is>
          <t>SAT</t>
        </is>
      </c>
      <c r="E13" s="12" t="n"/>
      <c r="F13" s="12" t="inlineStr">
        <is>
          <t>VSAT = Very Small Aperture Terminal: liaison salellitaire + modem</t>
        </is>
      </c>
      <c r="G13" s="12" t="n"/>
      <c r="H13" s="12" t="n"/>
      <c r="I13" s="12" t="n"/>
      <c r="J13" s="12" t="n"/>
      <c r="K13" s="12" t="n"/>
      <c r="L13" s="12" t="n"/>
      <c r="M13" s="12" t="n"/>
      <c r="N13" s="12" t="n"/>
      <c r="O13" s="12" t="n"/>
      <c r="P13" s="12" t="n"/>
      <c r="Q13" s="12" t="n"/>
    </row>
    <row r="14" ht="18.75" customHeight="1">
      <c r="A14" s="4" t="inlineStr">
        <is>
          <t>SPARE-ISSUE</t>
        </is>
      </c>
      <c r="B14" s="4" t="inlineStr">
        <is>
          <t>SPARE-ISSUE</t>
        </is>
      </c>
      <c r="C14" s="4" t="inlineStr">
        <is>
          <t>SPARE-ISSUE</t>
        </is>
      </c>
      <c r="D14" s="4" t="inlineStr">
        <is>
          <t>SPARE-ISSUE</t>
        </is>
      </c>
      <c r="E14" s="12" t="n"/>
      <c r="F14" s="12" t="n"/>
      <c r="G14" s="12" t="n"/>
      <c r="H14" s="12" t="n"/>
      <c r="I14" s="12" t="n"/>
      <c r="J14" s="12" t="n"/>
      <c r="K14" s="12" t="n"/>
      <c r="L14" s="12" t="n"/>
      <c r="M14" s="12" t="n"/>
      <c r="N14" s="12" t="n"/>
      <c r="O14" s="12" t="n"/>
      <c r="P14" s="12" t="n"/>
      <c r="Q14" s="12" t="n"/>
    </row>
    <row r="15" ht="18.75" customHeight="1">
      <c r="A15" s="4" t="inlineStr">
        <is>
          <t>TRANS_FO_CAMTEL</t>
        </is>
      </c>
      <c r="B15" s="4" t="inlineStr">
        <is>
          <t>TX ISSUE</t>
        </is>
      </c>
      <c r="C15" s="4" t="inlineStr">
        <is>
          <t>ACTIVE</t>
        </is>
      </c>
      <c r="D15" s="4" t="inlineStr">
        <is>
          <t>Fiber CAMTEL</t>
        </is>
      </c>
      <c r="E15" s="12" t="n"/>
      <c r="F15" s="12" t="n"/>
      <c r="G15" s="12" t="n"/>
      <c r="H15" s="12" t="n"/>
      <c r="I15" s="12" t="n"/>
      <c r="J15" s="12" t="n"/>
      <c r="K15" s="12" t="n"/>
      <c r="L15" s="12" t="n"/>
      <c r="M15" s="12" t="n"/>
      <c r="N15" s="12" t="n"/>
      <c r="O15" s="12" t="n"/>
      <c r="P15" s="12" t="n"/>
      <c r="Q15" s="12" t="n"/>
    </row>
    <row r="16" ht="18.75" customHeight="1">
      <c r="A16" s="4" t="inlineStr">
        <is>
          <t>Fiber AOF</t>
        </is>
      </c>
      <c r="B16" s="4" t="inlineStr">
        <is>
          <t>TX ISSUE</t>
        </is>
      </c>
      <c r="C16" s="4" t="inlineStr">
        <is>
          <t>ACTIVE</t>
        </is>
      </c>
      <c r="D16" s="4" t="inlineStr">
        <is>
          <t>Fiber AOF</t>
        </is>
      </c>
      <c r="E16" s="4" t="inlineStr">
        <is>
          <t>lien entre 2 site</t>
        </is>
      </c>
      <c r="F16" s="12" t="n"/>
      <c r="G16" s="12" t="n"/>
      <c r="H16" s="12" t="n"/>
      <c r="I16" s="12" t="n"/>
      <c r="J16" s="12" t="n"/>
      <c r="K16" s="12" t="n"/>
      <c r="L16" s="12" t="n"/>
      <c r="M16" s="12" t="n"/>
      <c r="N16" s="12" t="n"/>
      <c r="O16" s="12" t="n"/>
      <c r="P16" s="12" t="n"/>
      <c r="Q16" s="12" t="n"/>
    </row>
    <row r="17" ht="18.75" customHeight="1">
      <c r="A17" s="4" t="inlineStr">
        <is>
          <t>TRAVAUX-HUAWEI</t>
        </is>
      </c>
      <c r="B17" s="4" t="inlineStr">
        <is>
          <t>TRAVAUX-HUAWEI</t>
        </is>
      </c>
      <c r="C17" s="4" t="inlineStr">
        <is>
          <t>TRAVAUX-HUAWEI</t>
        </is>
      </c>
      <c r="D17" s="4" t="inlineStr">
        <is>
          <t>Projet OCM (HUAWEI)</t>
        </is>
      </c>
      <c r="E17" s="12" t="n"/>
      <c r="F17" s="12" t="n"/>
      <c r="G17" s="12" t="n"/>
      <c r="H17" s="12" t="n"/>
      <c r="I17" s="12" t="n"/>
      <c r="J17" s="12" t="n"/>
      <c r="K17" s="12" t="n"/>
      <c r="L17" s="12" t="n"/>
      <c r="M17" s="12" t="n"/>
      <c r="N17" s="12" t="n"/>
      <c r="O17" s="12" t="n"/>
      <c r="P17" s="12" t="n"/>
      <c r="Q17" s="12" t="n"/>
    </row>
    <row r="18" ht="18.75" customHeight="1">
      <c r="A18" s="4" t="inlineStr">
        <is>
          <t>TRAVAUX-NOKIA</t>
        </is>
      </c>
      <c r="B18" s="4" t="inlineStr">
        <is>
          <t>TRAVAUX -NOKIA</t>
        </is>
      </c>
      <c r="C18" s="4" t="inlineStr">
        <is>
          <t>TRAVAUX -NOKIA</t>
        </is>
      </c>
      <c r="D18" s="4" t="inlineStr">
        <is>
          <t>Projet OCM (NOKIA)</t>
        </is>
      </c>
      <c r="E18" s="12" t="n"/>
      <c r="F18" s="12" t="n"/>
      <c r="G18" s="12" t="n"/>
      <c r="H18" s="12" t="inlineStr">
        <is>
          <t>Site démentelé par OCM</t>
        </is>
      </c>
      <c r="I18" s="12" t="n"/>
      <c r="J18" s="12" t="n"/>
      <c r="K18" s="12" t="n"/>
      <c r="L18" s="12" t="n"/>
      <c r="M18" s="12" t="n"/>
      <c r="N18" s="12" t="n"/>
      <c r="O18" s="12" t="n"/>
      <c r="P18" s="12" t="n"/>
      <c r="Q18" s="12" t="n"/>
    </row>
    <row r="19" ht="18.75" customHeight="1">
      <c r="A19" s="4" t="inlineStr">
        <is>
          <t>ACCESS-ISSUE</t>
        </is>
      </c>
      <c r="B19" s="4" t="inlineStr">
        <is>
          <t>ACCESS-ISSUE</t>
        </is>
      </c>
      <c r="C19" s="4" t="inlineStr">
        <is>
          <t>ACCESS-ISSUE</t>
        </is>
      </c>
      <c r="D19" s="4" t="inlineStr">
        <is>
          <t>ACCESS-ISSUE</t>
        </is>
      </c>
      <c r="E19" s="12" t="n"/>
      <c r="F19" s="12" t="n"/>
      <c r="G19" s="12" t="n"/>
      <c r="H19" s="12" t="n"/>
      <c r="I19" s="12" t="n"/>
      <c r="J19" s="12" t="n"/>
      <c r="K19" s="12" t="n"/>
      <c r="L19" s="12" t="n"/>
      <c r="M19" s="12" t="n"/>
      <c r="N19" s="12" t="n"/>
      <c r="O19" s="12" t="n"/>
      <c r="P19" s="12" t="n"/>
      <c r="Q19" s="12" t="n"/>
    </row>
    <row r="20" ht="18.75" customHeight="1">
      <c r="A20" s="4" t="inlineStr">
        <is>
          <t>TRAVAUX OCM</t>
        </is>
      </c>
      <c r="B20" s="4" t="inlineStr">
        <is>
          <t>TRAVAUX OCM</t>
        </is>
      </c>
      <c r="C20" s="4" t="inlineStr">
        <is>
          <t>TRAVAUX OCM</t>
        </is>
      </c>
      <c r="D20" s="4" t="inlineStr">
        <is>
          <t>Projet OCM (ZTE, NOKIA, autres projets)</t>
        </is>
      </c>
      <c r="E20" s="12" t="inlineStr">
        <is>
          <t>Site down and not MSP</t>
        </is>
      </c>
      <c r="F20" s="12" t="n"/>
      <c r="G20" s="12" t="n"/>
      <c r="H20" s="12" t="n"/>
      <c r="I20" s="12" t="n"/>
      <c r="J20" s="12" t="n"/>
      <c r="K20" s="12" t="n"/>
      <c r="L20" s="12" t="n"/>
      <c r="M20" s="12" t="n"/>
      <c r="N20" s="12" t="n"/>
      <c r="O20" s="12" t="n"/>
      <c r="P20" s="12" t="n"/>
      <c r="Q20" s="12" t="n"/>
    </row>
    <row r="21" ht="18.75" customHeight="1">
      <c r="A21" s="4" t="inlineStr">
        <is>
          <t>No root cause</t>
        </is>
      </c>
      <c r="B21" s="4" t="inlineStr">
        <is>
          <t>No root cause</t>
        </is>
      </c>
      <c r="C21" s="4" t="inlineStr">
        <is>
          <t>No root cause</t>
        </is>
      </c>
      <c r="D21" s="4" t="inlineStr">
        <is>
          <t>No root cause</t>
        </is>
      </c>
      <c r="E21" s="12" t="n"/>
      <c r="F21" s="12" t="n"/>
      <c r="G21" s="12" t="n"/>
      <c r="H21" s="12" t="n"/>
      <c r="I21" s="12" t="n"/>
      <c r="J21" s="12" t="n"/>
      <c r="K21" s="12" t="n"/>
      <c r="L21" s="12" t="n"/>
      <c r="M21" s="12" t="n"/>
      <c r="N21" s="12" t="n"/>
      <c r="O21" s="12" t="n"/>
      <c r="P21" s="12" t="n"/>
      <c r="Q21" s="12" t="n"/>
    </row>
    <row r="22" ht="18.75" customHeight="1">
      <c r="A22" s="4" t="inlineStr">
        <is>
          <t>PDH</t>
        </is>
      </c>
      <c r="B22" s="4" t="inlineStr">
        <is>
          <t>TX ISSUE</t>
        </is>
      </c>
      <c r="C22" s="4" t="inlineStr">
        <is>
          <t>ACTIVE</t>
        </is>
      </c>
      <c r="D22" s="4" t="inlineStr">
        <is>
          <t>ODU HS</t>
        </is>
      </c>
      <c r="E22" s="12" t="n"/>
      <c r="F22" s="12" t="n"/>
      <c r="G22" s="12" t="n"/>
      <c r="H22" s="12" t="n"/>
      <c r="I22" s="12" t="n"/>
      <c r="J22" s="12" t="n"/>
      <c r="K22" s="12" t="n"/>
      <c r="L22" s="12" t="n"/>
      <c r="M22" s="12" t="n"/>
      <c r="N22" s="12" t="n"/>
      <c r="O22" s="12" t="n"/>
      <c r="P22" s="12" t="n"/>
      <c r="Q22" s="12" t="n"/>
    </row>
    <row r="23" ht="18.75" customHeight="1">
      <c r="A23" s="4" t="inlineStr">
        <is>
          <t>PDH</t>
        </is>
      </c>
      <c r="B23" s="4" t="inlineStr">
        <is>
          <t>TX ISSUE</t>
        </is>
      </c>
      <c r="C23" s="4" t="inlineStr">
        <is>
          <t>ACTIVE</t>
        </is>
      </c>
      <c r="D23" s="4" t="inlineStr">
        <is>
          <t>IP &amp; VLAN</t>
        </is>
      </c>
      <c r="E23" s="12" t="n"/>
      <c r="F23" s="12" t="n"/>
      <c r="G23" s="12" t="n"/>
      <c r="H23" s="12" t="n"/>
      <c r="I23" s="12" t="n"/>
      <c r="J23" s="12" t="n"/>
      <c r="K23" s="12" t="n"/>
      <c r="L23" s="12" t="n"/>
      <c r="M23" s="12" t="n"/>
      <c r="N23" s="12" t="n"/>
      <c r="O23" s="12" t="n"/>
      <c r="P23" s="12" t="n"/>
      <c r="Q23" s="12" t="n"/>
    </row>
    <row r="24" ht="18.75" customHeight="1">
      <c r="A24" s="4" t="inlineStr">
        <is>
          <t>SPARE-ISSUE</t>
        </is>
      </c>
      <c r="B24" s="4" t="inlineStr">
        <is>
          <t>SPARE-ISSUE</t>
        </is>
      </c>
      <c r="C24" s="4" t="inlineStr">
        <is>
          <t>SPARE-ISSUE</t>
        </is>
      </c>
      <c r="D24" s="4" t="inlineStr">
        <is>
          <t>Warehouse HUAWEI</t>
        </is>
      </c>
      <c r="E24" s="12" t="n"/>
      <c r="F24" s="12" t="n"/>
      <c r="G24" s="12" t="n"/>
      <c r="H24" s="12" t="n"/>
      <c r="I24" s="12" t="n"/>
      <c r="J24" s="12" t="n"/>
      <c r="K24" s="12" t="n"/>
      <c r="L24" s="12" t="n"/>
      <c r="M24" s="12" t="n"/>
      <c r="N24" s="12" t="n"/>
      <c r="O24" s="12" t="n"/>
      <c r="P24" s="12" t="n"/>
      <c r="Q24" s="12" t="n"/>
    </row>
    <row r="25" ht="18.75" customHeight="1">
      <c r="A25" s="4" t="inlineStr">
        <is>
          <t>SPARE-ISSUE</t>
        </is>
      </c>
      <c r="B25" s="4" t="inlineStr">
        <is>
          <t>SPARE-ISSUE</t>
        </is>
      </c>
      <c r="C25" s="4" t="inlineStr">
        <is>
          <t>SPARE-ISSUE</t>
        </is>
      </c>
      <c r="D25" s="4" t="inlineStr">
        <is>
          <t>SPARE-HS</t>
        </is>
      </c>
      <c r="E25" s="12" t="n"/>
      <c r="F25" s="12" t="n"/>
      <c r="G25" s="12" t="n"/>
      <c r="H25" s="12" t="n"/>
      <c r="I25" s="12" t="n"/>
      <c r="J25" s="12" t="n"/>
      <c r="K25" s="12" t="n"/>
      <c r="L25" s="12" t="n"/>
      <c r="M25" s="12" t="n"/>
      <c r="N25" s="12" t="n"/>
      <c r="O25" s="12" t="n"/>
      <c r="P25" s="12" t="n"/>
      <c r="Q25" s="12" t="n"/>
    </row>
    <row r="26" ht="18.75" customHeight="1">
      <c r="A26" s="4" t="inlineStr">
        <is>
          <t>BSS</t>
        </is>
      </c>
      <c r="B26" s="4" t="inlineStr">
        <is>
          <t>RAN ISSUE</t>
        </is>
      </c>
      <c r="C26" s="4" t="inlineStr">
        <is>
          <t>ACTIVE</t>
        </is>
      </c>
      <c r="D26" s="4" t="inlineStr">
        <is>
          <t>Power Telco</t>
        </is>
      </c>
      <c r="E26" s="12" t="n"/>
      <c r="F26" s="12" t="n"/>
      <c r="G26" s="12" t="n"/>
      <c r="H26" s="12" t="n"/>
      <c r="I26" s="12" t="n"/>
      <c r="J26" s="12" t="n"/>
      <c r="K26" s="12" t="n"/>
      <c r="L26" s="12" t="n"/>
      <c r="M26" s="12" t="n"/>
      <c r="N26" s="12" t="n"/>
      <c r="O26" s="12" t="n"/>
      <c r="P26" s="12" t="n"/>
      <c r="Q26" s="12"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2026-05-18T13:33:08Z</dcterms:created>
  <dcterms:modified xmlns:dcterms="http://purl.org/dc/terms/" xmlns:xsi="http://www.w3.org/2001/XMLSchema-instance" xsi:type="dcterms:W3CDTF">2026-05-18T13:33:27Z</dcterms:modified>
</cp:coreProperties>
</file>