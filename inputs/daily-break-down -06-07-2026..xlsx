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f50056342\Desktop\computer science\NUR Project Lyne\inputs\"/>
    </mc:Choice>
  </mc:AlternateContent>
  <xr:revisionPtr revIDLastSave="0" documentId="13_ncr:1_{02CFE343-A542-49D0-A753-24643E7B63C5}" xr6:coauthVersionLast="47" xr6:coauthVersionMax="47" xr10:uidLastSave="{00000000-0000-0000-0000-000000000000}"/>
  <bookViews>
    <workbookView xWindow="-108" yWindow="-108" windowWidth="23256" windowHeight="14856" xr2:uid="{00000000-000D-0000-FFFF-FFFF00000000}"/>
  </bookViews>
  <sheets>
    <sheet name="daily break down" sheetId="1" r:id="rId1"/>
    <sheet name="RAPPORT"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21" i="2" l="1"/>
  <c r="I42" i="2"/>
  <c r="F33" i="2"/>
  <c r="I41" i="2"/>
  <c r="C33" i="2"/>
  <c r="C20" i="2"/>
  <c r="F37" i="2"/>
  <c r="I36" i="2"/>
  <c r="F30" i="2"/>
  <c r="C29" i="2"/>
  <c r="C21" i="2"/>
  <c r="I40" i="2"/>
  <c r="I32" i="2"/>
  <c r="C19" i="2"/>
  <c r="F31" i="2"/>
  <c r="F36" i="2"/>
  <c r="I35" i="2"/>
  <c r="F35" i="2"/>
  <c r="C35" i="2"/>
  <c r="F29" i="2"/>
  <c r="F34" i="2"/>
  <c r="C34" i="2"/>
  <c r="I33" i="2"/>
  <c r="I39" i="2"/>
  <c r="F32" i="2"/>
  <c r="C18" i="2"/>
  <c r="C31" i="2"/>
  <c r="C30" i="2"/>
  <c r="I29" i="2"/>
  <c r="I34" i="2"/>
  <c r="I38" i="2"/>
  <c r="C32" i="2"/>
  <c r="I31" i="2"/>
  <c r="I30" i="2"/>
  <c r="I37" i="2"/>
  <c r="C22" i="2" l="1"/>
</calcChain>
</file>

<file path=xl/sharedStrings.xml><?xml version="1.0" encoding="utf-8"?>
<sst xmlns="http://schemas.openxmlformats.org/spreadsheetml/2006/main" count="32146" uniqueCount="6330">
  <si>
    <t>Nom du Physique</t>
  </si>
  <si>
    <t>Codesite</t>
  </si>
  <si>
    <t>CLUSTER</t>
  </si>
  <si>
    <t>Owner</t>
  </si>
  <si>
    <t>Topology</t>
  </si>
  <si>
    <t>Region</t>
  </si>
  <si>
    <t>Ville</t>
  </si>
  <si>
    <t>VENDORS</t>
  </si>
  <si>
    <t>NUR 2G</t>
  </si>
  <si>
    <t>NUR 3G</t>
  </si>
  <si>
    <t>NUR 4G</t>
  </si>
  <si>
    <t>NUR  DU JOUR  06-07-2026</t>
  </si>
  <si>
    <t>OCM NOMENCLATURE</t>
  </si>
  <si>
    <t>SUB RCA</t>
  </si>
  <si>
    <t>CAUSE</t>
  </si>
  <si>
    <t>CATEGORIE</t>
  </si>
  <si>
    <t>VerificationS</t>
  </si>
  <si>
    <t>cleaning comment</t>
  </si>
  <si>
    <t>SPOF</t>
  </si>
  <si>
    <t>CTR_935_Z_BATA-Mokolo-II-HIS</t>
  </si>
  <si>
    <t>CTR_935</t>
  </si>
  <si>
    <t>Yaounde</t>
  </si>
  <si>
    <t>I_HS</t>
  </si>
  <si>
    <t>Grid Only</t>
  </si>
  <si>
    <t>CENTRE</t>
  </si>
  <si>
    <t>Yaoundé</t>
  </si>
  <si>
    <t>ZTE</t>
  </si>
  <si>
    <t>IHS GRID ONLY</t>
  </si>
  <si>
    <t>POWER ISSUE</t>
  </si>
  <si>
    <t>Coupure ENEO &amp; Baisse de tension</t>
  </si>
  <si>
    <t>PASSIVE</t>
  </si>
  <si>
    <t>{Hourly-IHS}: 07/06/2026 02:41 20:19:00 28 Grid outage, no space to deploy MDG, awaiting grid return        ;         {06-07-2026 cell zte}: 07/06/2026 : Site down        ;         {06-07-2026 cell zte}: 07/06/2026 : Site down        ;         {06-07-2026  ocm ran 18}: 07/06/2026 GRID ONLY NO SPACE AWAITING GRID RETURN        ;         {06-07-2026 ticket}: INC-20260607-00001518...2026-06-07 20:37:13...GRID ONLY NO SPACE AWAITING GRID RETURN...user:OCM_NOC.IHS</t>
  </si>
  <si>
    <t>07/06/2026 02 41 20 19 00 28 Grid outage, no space to deploy MDG, awaiting grid return 07/06/2026 Site down 07/06/2026 Site down 07/06/2026 GRID ONLY NO SPACE AWAITING GRID RETURN .2026-06-07 20 37 13.GRID ONLY NO SPACE AWAITING GRID RETURN.user OCM_NOC.IHS</t>
  </si>
  <si>
    <t>Ngousso-Maetur</t>
  </si>
  <si>
    <t>CTR_567</t>
  </si>
  <si>
    <t>CAMUSAT</t>
  </si>
  <si>
    <t>Good Grid no GE - 8h</t>
  </si>
  <si>
    <t>AKTIVCO GRID ONLY</t>
  </si>
  <si>
    <t>AKTIVCO Coupure ENEO &amp; Baisse de tension</t>
  </si>
  <si>
    <t>{06-07-2026 cell zte}: 03/05/2026 : Site down        ;         {06-07-2026 cell zte}: 03/05/2026 : Site down        ;         {06-07-2026  ocm ran 18}: 07.06.26: grid only site grid outage / grid return awaited - Escalated to L4
06.06.26: grid only site grid outage / grid return awaited - Escalated to L4
05.06.26: grid only site grid outage / grid return awaited - Escalated to L4
04/06/2026  grid only site grid outage / grid return awaited - Escalated to L3
03.06.26: grid only site grid outage / grid return awaited</t>
  </si>
  <si>
    <t>03/05/2026 Site down 03/05/2026 Site down 07.06.26 grid only site grid outage / grid return awaited - Escalated to L4
06.06.26 grid only site grid outage / grid return awaited - Escalated to L4
05.06.26 grid only site grid outage / grid return awaited - Escalated to L4
04/06/2026 grid only site grid outage / grid return awaited - Escalated to L3
03.06.26 grid only site grid outage / grid return awaited</t>
  </si>
  <si>
    <t>LIT_853_Z_Japoma-Petit-Chateau</t>
  </si>
  <si>
    <t>LIT_853</t>
  </si>
  <si>
    <t>Douala</t>
  </si>
  <si>
    <t>Bad Grid + GE</t>
  </si>
  <si>
    <t>LITTORAL</t>
  </si>
  <si>
    <t>Partners</t>
  </si>
  <si>
    <t>Sharing</t>
  </si>
  <si>
    <t>{06-07-2026 BO RAN}: Impacted by power issue at JAPOMA-II Power investigation is needed at JAPOMA-II-LIT_646</t>
  </si>
  <si>
    <t>Impacted by power issue at JAPOMA-II Power investigation is needed at JAPOMA-II-LIT_646</t>
  </si>
  <si>
    <t>LIT_646</t>
  </si>
  <si>
    <t>EST_195_Z_Bertoua-Nyanganza</t>
  </si>
  <si>
    <t>EST_195</t>
  </si>
  <si>
    <t>ESCO</t>
  </si>
  <si>
    <t>Hybrid Solar - S1</t>
  </si>
  <si>
    <t>EST</t>
  </si>
  <si>
    <t>Bertoua</t>
  </si>
  <si>
    <t>AKTIVCO</t>
  </si>
  <si>
    <t>AKTIVCO Defaut GE &amp; Power Cabinet</t>
  </si>
  <si>
    <t>{06-07-2026 cell zte}: 07/06/2026 : Need BO RAN analysis         ;         {06-07-2026 cell zte}: 07/06/2026 : Need BO RAN analysis    , {06-07-2026    groupe whatsapp incident }: EST_195_Z_Bertoua-Nyanganza(EST-195)  //  INC-20260606-00019869  , Low solar production / GEN cant be start due to noisepollution, GE will be started in the morning,</t>
  </si>
  <si>
    <t>07/06/2026 Need BO RAN analysis 07/06/2026 Need BO RAN analysis , {06-07-2026 groupe whatsapp incident } EST_195_Z_Bertoua-Nyanganza(EST-195) // , Low solar production / GEN cant be start due to noisepollution, GE will be started in the morning,</t>
  </si>
  <si>
    <t>Mini-Ferme</t>
  </si>
  <si>
    <t>CTR_050</t>
  </si>
  <si>
    <t>IHS</t>
  </si>
  <si>
    <t>GridOnly</t>
  </si>
  <si>
    <t xml:space="preserve">{06-07-2026 cell zte}: 07/06/2026 : Cell was down due to power 
06/06/2026 : Need BO RAN analysis || Check GPS connectivity and module &amp; Power investigation </t>
  </si>
  <si>
    <t>07/06/2026 Cell was down due to power
06/06/2026 Need BO RAN analysis || Check GPS connectivity and module &amp; Power investigation</t>
  </si>
  <si>
    <t>Logpom-Akanji-Immeuble</t>
  </si>
  <si>
    <t>LIT_618</t>
  </si>
  <si>
    <t>{06-07-2026 cell zte}: 07/06/2026 : Need BO RAN analysis         ;         {06-07-2026 ticket}: INC-20260607-00006128...power issue grid outage no backup awaiting grid return...power issue grid outage no backup awaiting grid return...Grid Outage</t>
  </si>
  <si>
    <t>07/06/2026 Need BO RAN analysis .power issue grid outage no backup awaiting grid return.power issue grid outage no backup awaiting grid return.Grid Outage</t>
  </si>
  <si>
    <t>Foumbot</t>
  </si>
  <si>
    <t>OST_005</t>
  </si>
  <si>
    <t>OUEST</t>
  </si>
  <si>
    <t>Grid-Gen</t>
  </si>
  <si>
    <t>Huawei</t>
  </si>
  <si>
    <t>No root cause</t>
  </si>
  <si>
    <t>no root cause</t>
  </si>
  <si>
    <t>Koweit-City</t>
  </si>
  <si>
    <t>CTR_258</t>
  </si>
  <si>
    <t>Good Grid + GE</t>
  </si>
  <si>
    <t>{06-07-2026 cell zte}: 04/06/2026 : Power issue || Mail sent to Camusat || Point suivi par le 3PP         ;         {06-07-2026 cell zte}: 04/06/2026 : Power issue || Mail sent to Camusat || Point suivi par le 3PP         ;         {06-07-2026  ocm ran 18}: Power status check Ongoing</t>
  </si>
  <si>
    <t>04/06/2026 Power issue || Mail sent to Camusat || Point suivi par le 3PP 04/06/2026 Power issue || Mail sent to Camusat || Point suivi par le 3PP</t>
  </si>
  <si>
    <t>Briqueterie</t>
  </si>
  <si>
    <t>CTR_321</t>
  </si>
  <si>
    <t>Grid-Lithium</t>
  </si>
  <si>
    <t>Defaut GE &amp; Power Cabinet</t>
  </si>
  <si>
    <t>{Hourly-IHS}: 07/06/2026 05:59 14:01:00 46 Grid only no space, Bad grid voltage // awaiting grid stabilization        ;         {06-07-2026 cell zte}: 05/06/2026 : Power issue || Mail sent to IHS         ;         {06-07-2026 ticket}: INC-20260607-00009533...Grid Outage</t>
  </si>
  <si>
    <t>07/06/2026 05 59 14 01 00 46 Grid only no space, Bad grid voltage // awaiting grid stabilization 05/06/2026 Power issue || Mail sent to IHS .Grid Outage</t>
  </si>
  <si>
    <t>Nkolmesseng-Crf-Safari</t>
  </si>
  <si>
    <t>CTR_559</t>
  </si>
  <si>
    <t>{06-07-2026 cell zte}: 07/06/2026 : Site down        ;         {06-07-2026  ocm ran 18}: Power status check Ongoing        ;         {06-07-2026 ticket}: INC-20260607-00014940...2026-06-07 20:51:50...grid outage grid only site /awaiting grid return...user:OCM_NOC.CAMUSAT</t>
  </si>
  <si>
    <t>07/06/2026 Site down .2026-06-07 20 51 50.grid outage grid only site /awaiting grid return.user OCM_NOC.CAMUSAT</t>
  </si>
  <si>
    <t>Golf-Quater-IHS</t>
  </si>
  <si>
    <t>CTR_852</t>
  </si>
  <si>
    <t>HIS</t>
  </si>
  <si>
    <t>{06-07-2026 BO RAN}: Site is not supervised FME should move at BASTOS-NYLONCTR_198 check site environment and call BO TX if needed,{BO TX: power issue at BASTOS-NYLONCTR_198</t>
  </si>
  <si>
    <t>Site is not supervised FME should move at BASTOS-NYLONCTR_198 check site environment and call BO TX if needed,{BO TX power issue at BASTOS-NYLONCTR_198</t>
  </si>
  <si>
    <t>CTR_198</t>
  </si>
  <si>
    <t>NR-Carrossel</t>
  </si>
  <si>
    <t>CTR_565</t>
  </si>
  <si>
    <t>{06-07-2026 cell zte}: 06/06/2026 : Site down        ;         {06-07-2026 cell zte}: 06/06/2026 : Site down        ;         {06-07-2026 ticket}: INC-20260607-00016267...Grid Outage</t>
  </si>
  <si>
    <t>06/06/2026 Site down 06/06/2026 Site down .Grid Outage</t>
  </si>
  <si>
    <t>Japoma-Stade-Camtel</t>
  </si>
  <si>
    <t>LIT_733</t>
  </si>
  <si>
    <t>{06-07-2026 cell zte}: 04/06/2026 : Need TX analysis        ;         {06-07-2026 cell zte}: 07/06/2026 : There is power issue at Japoma-Stade so please to involve the Powerco
Nevertheless I have reseted  the UBT-T 6.3(3DB29210ACAA01) at Japoma which seems degraded due to power issue.
At the meantime CDS should restore the Optim link Radio Japoma-Stade_Ndogpassi-Nodal
04/06/2026 : Need TX analysis</t>
  </si>
  <si>
    <t>04/06/2026 Need TX analysis 07/06/2026 There is power issue at Japoma-Stade so please to involve the Powerco
Nevertheless I have reseted the UBT-T 6.3(3DB29210ACAA01) at Japoma which seems degraded due to power issue.
At the meantime CDS should restore the Optim link Radio Japoma-Stade_Ndogpassi-Nodal
04/06/2026 Need TX analysis</t>
  </si>
  <si>
    <t>CTR_1134_Z_Damas-depot-de-bois</t>
  </si>
  <si>
    <t>CTR_1134</t>
  </si>
  <si>
    <t>CTR</t>
  </si>
  <si>
    <t>{06-07-2026  ocm ran 18}: 07/06/2026Coupure ENEO et GE en mis en arret pour cause de nuisance sonore / Retour ENEO en attente
07/06/2026 Power issue and power alarms camusat awaiting</t>
  </si>
  <si>
    <t>07/06/2026Coupure ENEO et GE en mis en arret pour cause de nuisance sonore / Retour ENEO en attente
07/06/2026 Power issue and power alarms camusat awaiting</t>
  </si>
  <si>
    <t>Kumba-Market</t>
  </si>
  <si>
    <t>SUO_112</t>
  </si>
  <si>
    <t>SUD-OUEST</t>
  </si>
  <si>
    <t>Kumba</t>
  </si>
  <si>
    <t>SPARE-ISSUE</t>
  </si>
  <si>
    <t>{06-07-2026  ocm ran 18}: 07/06/2026 Retour RM ETA=12H UTC  // Carte EAC faulty commande en cours 
06/06/2026 FME injoignable escalalad RM HONORE 
06.06.2026: FME Collins is on the way ETA=14H
05.06.26: Need FME on site to check ODU 3.1 antenna line; CM-20260605-00002566; FME Collins activated to check, update ASAP</t>
  </si>
  <si>
    <t>07/06/2026 Retour RM ETA=12H UTC // Carte EAC faulty commande en cours
06/06/2026 FME injoignable escalalad RM HONORE
06.06.2026 FME Collins is on the way ETA=14H
05.06.26 Need FME on site to check ODU 3.1 antenna line; FME Collins activated to check, update ASAP</t>
  </si>
  <si>
    <t>BATA-Mokolo</t>
  </si>
  <si>
    <t>CTR_409</t>
  </si>
  <si>
    <t>BSS</t>
  </si>
  <si>
    <t>RAN ISSUE</t>
  </si>
  <si>
    <t>BSS Hardware issue</t>
  </si>
  <si>
    <t>ACTIVE</t>
  </si>
  <si>
    <t>{06-07-2026 BO RAN}: Site unstable  FME check VBPe1p Board Status</t>
  </si>
  <si>
    <t>Site unstable FME check VBPe1p Board Status</t>
  </si>
  <si>
    <t>Japoma-II</t>
  </si>
  <si>
    <t>Medium Grid + Solar + GE</t>
  </si>
  <si>
    <t>{06-07-2026 cell zte}: 07/06/2026 : Site down        ;         {06-07-2026 ticket}: INC-20260607-00018249...2026-06-07 21:33:01...Power issue on site...user:DRAME IMOURANA</t>
  </si>
  <si>
    <t>07/06/2026 Site down .2026-06-07 21 33 01.Power issue on site.user DRAME IMOURANA</t>
  </si>
  <si>
    <t>Biteng-GP</t>
  </si>
  <si>
    <t>CTR_556</t>
  </si>
  <si>
    <t>{06-07-2026 cell zte}: 05/06/2026 : Site down        ;         {06-07-2026 cell zte}: 05/06/2026 : Site down        ;         {06-07-2026 ticket}: INC-20260607-00016294... grid return...Others...Grid outage grid only site</t>
  </si>
  <si>
    <t>05/06/2026 Site down 05/06/2026 Site down . grid return.Grid outage grid only site</t>
  </si>
  <si>
    <t>Bastos-Bethesda</t>
  </si>
  <si>
    <t>CTR_474</t>
  </si>
  <si>
    <t xml:space="preserve"> {06-07-2026    groupe whatsapp incident }:CTR_474_Z_Bastos-Bethesda(CTR-474) -{ Powerco check ongoing } ; {06-07-2026 BO TX}: power issue at bastos-Nylon-CTR_198</t>
  </si>
  <si>
    <t>{06-07-2026 groupe whatsapp incident } CTR_474_Z_Bastos-Bethesda(CTR-474) -{ Powerco check ongoing } {06-07-2026 BO TX} power issue at bastos-Nylon-CTR_198</t>
  </si>
  <si>
    <t>Bastos-Nylon</t>
  </si>
  <si>
    <t>{06-07-2026 BO TX}: power issue</t>
  </si>
  <si>
    <t>{06-07-2026 BO TX} power issue</t>
  </si>
  <si>
    <t>Kribi-Hotel-Paradis-IHS</t>
  </si>
  <si>
    <t>SUD_080</t>
  </si>
  <si>
    <t>SUD</t>
  </si>
  <si>
    <t>Kribi</t>
  </si>
  <si>
    <t>{06-07-2026 cell zte}: 05/06/2026 : En attente du RI 
04/06/2026 : Check GPS connectivity and module || Feedback fme : Dans la baie de la BTS, nous avons trois des cinq RRUs au rouge.  Les investigations en hauteur ou les tests d’énergie sur les RRUs ZTE ont été fait et le statut de la défaillance a été confirmé. || En attente du RI         ;         {06-07-2026 cell zte}: 05/06/2026 : En attente du RI 
04/06/2026 : Check GPS connectivity and module || Feedback fme : Dans la baie de la BTS, nous avons trois des cinq RRUs au rouge.  Les investigations en hauteur ou les tests d’énergie sur les RRUs ZTE ont été fait et le statut de la défaillance a été confirmé. || En attente du RI         ;         {06-07-2026 ticket}: INC-20260607-00012774...GE Fault</t>
  </si>
  <si>
    <t>05/06/2026 En attente du RI
04/06/2026 Check GPS connectivity and module || Feedback fme Dans la baie de la BTS, nous avons trois des cinq RRUs au rouge. Les investigations en hauteur ou les tests d’énergie sur les RRUs ZTE ont été fait et le statut de la défaillance a été confirmé. || En attente du RI 05/06/2026 En attente du RI
04/06/2026 Check GPS connectivity and module || Feedback fme Dans la baie de la BTS, nous avons trois des cinq RRUs au rouge. Les investigations en hauteur ou les tests d’énergie sur les RRUs ZTE ont été fait et le statut de la défaillance a été confirmé. || En attente du RI .GE Fault</t>
  </si>
  <si>
    <t>CTR_942_Z_Mbankolo-II</t>
  </si>
  <si>
    <t>CTR_942</t>
  </si>
  <si>
    <t>Medium Grid + GE</t>
  </si>
  <si>
    <t>{06-07-2026 BO RAN}: instability of the Board  FME should check VBP_1_6 Board Status</t>
  </si>
  <si>
    <t>instability of the Board FME should check VBP_1_6 Board Status</t>
  </si>
  <si>
    <t>Emia</t>
  </si>
  <si>
    <t>CTR_323</t>
  </si>
  <si>
    <t>{Hourly-IHS}: 07/06/2026 11:01 7:59:00 0 Grid only no space // awaited grid return        ;         {06-07-2026 cell zte}: CEX OCM        ;         {06-07-2026 cell zte}: CEX OCM        ;         {06-07-2026  ocm ran 18}: 07/06/2026 Grid only no space // awaited grid return        ;         {06-07-2026 ticket}: INC-20260607-00007253...2026-06-07 12:51:16...Grid only no space // awaited grid return...Grid return...Grid Outage...user:OCM_NOC.IHS</t>
  </si>
  <si>
    <t>07/06/2026 11 01 7 59 00 0 Grid only no space // awaited grid return CEX OCM CEX OCM 07/06/2026 Grid only no space // awaited grid return .2026-06-07 12 51 16.Grid only no space // awaited grid return.Grid return.Grid Outage.user OCM_NOC.IHS</t>
  </si>
  <si>
    <t>Damas-II</t>
  </si>
  <si>
    <t>CTR_472</t>
  </si>
  <si>
    <t>Fiber AOF</t>
  </si>
  <si>
    <t>TX ISSUE</t>
  </si>
  <si>
    <t>fiber AOF</t>
  </si>
  <si>
    <t xml:space="preserve">{Hourly-IHS}: 07/06/2026 14:33 0:26:18 49.9 Fme Martial is informed ETA 03:15 PM        ;         {06-07-2026  ocm ran 18}: 07/06/2026 OCM_AOF_CTR_472_CTR_195_Damas-II_Ahala activé        ;         {06-07-2026 ticket}: INC-20260607-00010274...power issues </t>
  </si>
  <si>
    <t>07/06/2026 14 33 0 26 18 49.9 Fme Martial is informed ETA 03 15 PM 07/06/2026 OCM_AOF_CTR_472_CTR_195_Damas-II_Ahala activé .power issues</t>
  </si>
  <si>
    <t>Obobogo-Paloma</t>
  </si>
  <si>
    <t>CTR_598</t>
  </si>
  <si>
    <t>{06-07-2026 cell zte}: 07/06/2026 : Site down        ;         {06-07-2026  ocm ran 18}: 07/06/2026 Access issue on site due to landlord / Our FME was unable to access the site
07/06/2026 Power issue and power alarms camusat awaiting        ;         {06-07-2026 ticket}: INC-20260607-00009421...2026-06-07 18:17:54...Access issue on site due to landlord / Our FME was unable to access the site...user:OCM_NOC.CAMUSAT</t>
  </si>
  <si>
    <t>07/06/2026 Site down 07/06/2026 Access issue on site due to landlord / Our FME was unable to access the site
07/06/2026 Power issue and power alarms camusat awaiting .2026-06-07 18 17 54.Access issue on site due to landlord / Our FME was unable to access the site.user OCM_NOC.CAMUSAT</t>
  </si>
  <si>
    <t>Vallee-Omnisport</t>
  </si>
  <si>
    <t>CTR_758</t>
  </si>
  <si>
    <t>{06-07-2026 BO RAN}: instability of the Board  FME should check VBP_1_3 Board Status</t>
  </si>
  <si>
    <t>instability of the Board FME should check VBP_1_3 Board Status</t>
  </si>
  <si>
    <t>Yatchika-II</t>
  </si>
  <si>
    <t>LIT_757</t>
  </si>
  <si>
    <t>{06-07-2026  ocm ran 18}: Power status check Ongoing        ;         {06-07-2026 ticket}: INC-20260607-00014734...2026-06-07 20:45:30...Grid outage and  grid only site /awaiting grid return...user:OCM_NOC.CAMUSAT</t>
  </si>
  <si>
    <t>.2026-06-07 20 45 30.Grid outage and grid only site /awaiting grid return.user OCM_NOC.CAMUSAT</t>
  </si>
  <si>
    <t>CTR_941_Z_Biyemassi-Accacia</t>
  </si>
  <si>
    <t>CTR_941</t>
  </si>
  <si>
    <t>Good Grid + Solar + GE</t>
  </si>
  <si>
    <t>{06-07-2026 cell zte}: 06/06/2026 : Need BO RAN analysis || Site unstable FME check GPS connectivity and module         ;         {06-07-2026 cell zte}: 06/06/2026 : Need BO RAN analysis || Site unstable FME check GPS connectivity and module         ;         {06-07-2026  ocm ran 18}: Impacted by accacia new-CTR_482</t>
  </si>
  <si>
    <t>06/06/2026 Need BO RAN analysis || Site unstable FME check GPS connectivity and module 06/06/2026 Need BO RAN analysis || Site unstable FME check GPS connectivity and module Impacted by accacia new-CTR_482</t>
  </si>
  <si>
    <t>CTR_482</t>
  </si>
  <si>
    <t>Tsinga-Village2</t>
  </si>
  <si>
    <t>CTR_675</t>
  </si>
  <si>
    <t>Hybrid-Gen-Lithium</t>
  </si>
  <si>
    <t>{Hourly-IHS}: 07/06/2026 18:50 4:10:00 53.3 FME is onsite        ;         {06-07-2026 cell zte}: 07/06/2026 : Need BO TX  analysis         ;         {06-07-2026  ocm ran 18}: Power status check Ongoing        ;         {06-07-2026 ticket}: INC-20260607-00019775...GE Fault</t>
  </si>
  <si>
    <t>07/06/2026 18 50 4 10 00 53.3 FME is onsite 07/06/2026 Need BO TX analysis .GE Fault</t>
  </si>
  <si>
    <t>MOLYKO-CHIEF-STREET-MTN</t>
  </si>
  <si>
    <t>SUO_228</t>
  </si>
  <si>
    <t>MTN sharing</t>
  </si>
  <si>
    <t>Buea</t>
  </si>
  <si>
    <t>{06-07-2026 cell huawei}: 01/06/2026 : Escalade faite a OCM || feedback attendu
25/05/2026 : Relance faite a MTN
23/05/2026 : RI recu et envoye a MTN
22/05/2026 : Le Fme etait sur site hier et a constate que le generateur est overload ne pouvant pas suporter le power sur site || RI attentu
19/05/2026 : Lockdown le fme se rendra sur site samedi
18/05/2026 : RI en cours de redaction
17/05/2026: Probable disjonction  des breakers || Fme active || Feedback Fme : Grid outage || Gen overload        ;         {06-07-2026 cell huawei}: 01/06/2026 : Escalade faite a OCM || feedback attendu
25/05/2026 : Relance faite a MTN
23/05/2026 : RI recu et envoye a MTN
22/05/2026 : Le Fme etait sur site hier et a constate que le generateur est overload ne pouvant pas suporter le power sur site || RI attentu
19/05/2026 : Lockdown le fme se rendra sur site samedi
18/05/2026 : RI en cours de redaction
17/05/2026: Probable disjonction  des breakers || Fme active || Feedback Fme : Grid outage || Gen overload        ;         {06-07-2026  ocm ran 18}: Power status check Ongoing</t>
  </si>
  <si>
    <t>01/06/2026 Escalade faite a OCM || feedback attendu
25/05/2026 Relance faite a MTN
23/05/2026 RI recu et envoye a MTN
22/05/2026 Le Fme etait sur site hier et a constate que le generateur est overload ne pouvant pas suporter le power sur site || RI attentu
19/05/2026 Lockdown le fme se rendra sur site samedi
18/05/2026 RI en cours de redaction
17/05/2026 Probable disjonction des breakers || Fme active || Feedback Fme Grid outage || Gen overload 01/06/2026 Escalade faite a OCM || feedback attendu
25/05/2026 Relance faite a MTN
23/05/2026 RI recu et envoye a MTN
22/05/2026 Le Fme etait sur site hier et a constate que le generateur est overload ne pouvant pas suporter le power sur site || RI attentu
19/05/2026 Lockdown le fme se rendra sur site samedi
18/05/2026 RI en cours de redaction
17/05/2026 Probable disjonction des breakers || Fme active || Feedback Fme Grid outage || Gen overload</t>
  </si>
  <si>
    <t>NRD_262_H_Gra-Doualare-Ancien-LAWANAT</t>
  </si>
  <si>
    <t>NRD_262</t>
  </si>
  <si>
    <t>NRD</t>
  </si>
  <si>
    <t>Garoua</t>
  </si>
  <si>
    <t>{06-07-2026 cell huawei}: 07/06/2026 : Relance faite a camusat ce jour || feedback attendu
06/06/2026 : Relance faite a camusat ce jour
04/06/2026 : Relance faite a camusat ce jour || Feedback camusat : nous sommes au-dessus de 48V || Probable disjontion des breakers || Fme active || Feedback Fme : Le breakers a cramer || Evidnce partage || Mail envoye de nouveau a camusat
03/06/2026 : Power issue || Mail sent to camusat        ;         {06-07-2026 cell huawei}: 07/06/2026 : Relance faite a camusat ce jour || feedback attendu
06/06/2026 : Relance faite a camusat ce jour
04/06/2026 : Relance faite a camusat ce jour || Feedback camusat : nous sommes au-dessus de 48V || Probable disjontion des breakers || Fme active || Feedback Fme : Le breakers a cramer || Evidnce partage || Mail envoye de nouveau a camusat
03/06/2026 : Power issue || Mail sent to camusat</t>
  </si>
  <si>
    <t>07/06/2026 Relance faite a camusat ce jour || feedback attendu
06/06/2026 Relance faite a camusat ce jour
04/06/2026 Relance faite a camusat ce jour || Feedback camusat nous sommes au-dessus de 48V || Probable disjontion des breakers || Fme active || Feedback Fme Le breakers a cramer || Evidnce partage || Mail envoye de nouveau a camusat
03/06/2026 Power issue || Mail sent to camusat 07/06/2026 Relance faite a camusat ce jour || feedback attendu
06/06/2026 Relance faite a camusat ce jour
04/06/2026 Relance faite a camusat ce jour || Feedback camusat nous sommes au-dessus de 48V || Probable disjontion des breakers || Fme active || Feedback Fme Le breakers a cramer || Evidnce partage || Mail envoye de nouveau a camusat
03/06/2026 Power issue || Mail sent to camusat</t>
  </si>
  <si>
    <t>Ucac-Icam</t>
  </si>
  <si>
    <t>LIT_758</t>
  </si>
  <si>
    <t>{06-07-2026  ocm ran 18}: Power status check Ongoing        ;         {06-07-2026 ticket}: INC-20260607-00014714...2026-06-07 22:28:25...site impacted by LIT_757_Z_Yatchika-II...grid outage power issue on site ...user:OCM_NOC.CAMUSAT</t>
  </si>
  <si>
    <t>.2026-06-07 22 28 25.site impacted by LIT_757_Z_Yatchika-II.grid outage power issue on site .user OCM_NOC.CAMUSAT</t>
  </si>
  <si>
    <t>Mvolye-New</t>
  </si>
  <si>
    <t>CTR_310</t>
  </si>
  <si>
    <t>{Hourly-IHS}: 07/06/2026 15:14 5:45:18 45.6 Grid only no space // awaiting grid return        ;         {06-07-2026 cell zte}: 06/06/2026 : FME activer 
05/06/2026 : Need BO RAN analysis || Site unstable check GPS connectivity || ETA : 06/06/2026         ;         {06-07-2026 cell zte}: 06/06/2026 : FME activer 
05/06/2026 : Need BO RAN analysis || Site unstable check GPS connectivity || ETA : 06/06/2026         ;         {06-07-2026  ocm ran 18}: 07/06/2026 IHS: Grid only no space // awaiting grid return        ;         {06-07-2026 ticket}: INC-20260607-00010946...2026-06-07 18:33:47...Grid only no space // awaiting grid return...GRID RETURN...Grid Outage...user:NGUESSAN KOFFI MARC PAETERNE</t>
  </si>
  <si>
    <t>07/06/2026 15 14 5 45 18 45.6 Grid only no space // awaiting grid return 06/06/2026 FME activer
05/06/2026 Need BO RAN analysis || Site unstable check GPS connectivity || ETA 06/06/2026 06/06/2026 FME activer
05/06/2026 Need BO RAN analysis || Site unstable check GPS connectivity || ETA 06/06/2026 07/06/2026 IHS Grid only no space // awaiting grid return .2026-06-07 18 33 47.Grid only no space // awaiting grid return.GRID RETURN.Grid Outage.user NGUESSAN KOFFI MARC PAETERNE</t>
  </si>
  <si>
    <t>Cite-Verte</t>
  </si>
  <si>
    <t>CTR_414</t>
  </si>
  <si>
    <t>{Hourly-IHS}: 07/06/2026 05:11 9:49:00 53 Grid only no space // awaiting grid return        ;         {06-07-2026 cell zte}: 06/06/2026 : Site down        ;         {06-07-2026 cell zte}: 06/06/2026 : Site down        ;         {06-07-2026 ticket}: INC-20260607-00002648...2026-06-07 13:16:15...Grid Outage...user:NGUESSAN KOFFI MARC PAETERNE</t>
  </si>
  <si>
    <t>07/06/2026 05 11 9 49 00 53 Grid only no space // awaiting grid return 06/06/2026 Site down 06/06/2026 Site down .2026-06-07 13 16 15.Grid Outage.user NGUESSAN KOFFI MARC PAETERNE</t>
  </si>
  <si>
    <t>Batchenga</t>
  </si>
  <si>
    <t>CTR_032</t>
  </si>
  <si>
    <t>NOKIA</t>
  </si>
  <si>
    <t>{06-07-2026 BO RAN}: Faulty TRX Lock/unlock of faulty TRX</t>
  </si>
  <si>
    <t>Faulty TRX Lock/unlock of faulty TRX</t>
  </si>
  <si>
    <t>Bonateki-MRS</t>
  </si>
  <si>
    <t>LIT_396</t>
  </si>
  <si>
    <t>{06-07-2026 cell zte}: 07/06/2026 : Site down  , {06-07-2026    groupe whatsapp incident }: LIT_396_Z_Bonateki-MRS(LIT-396) INC-20260606-00020111 , Alimentation secteur / GE Fault / Site Grid-Gen restored</t>
  </si>
  <si>
    <t>07/06/2026 Site down , {06-07-2026 groupe whatsapp incident } LIT_396_Z_Bonateki-MRS(LIT-396) , Alimentation secteur / GE Fault / Site Grid-Gen restored</t>
  </si>
  <si>
    <t>Brazzaville-II</t>
  </si>
  <si>
    <t>LIT_694</t>
  </si>
  <si>
    <t>{06-07-2026 cell zte}: 07/06/2026 : Site down        ;         {06-07-2026 cell zte}: 07/06/2026 : Site down        ;         {06-07-2026  ocm ran 18}: 07/06/2026 Power issue and power alarms camusat awaiting        ;         {06-07-2026 ticket}: INC-20260607-00012504...2026-06-07 18:12:19...Our FME is on the way to site ETA=19H20...Others...user:OCM_NOC.CAMUSAT</t>
  </si>
  <si>
    <t>07/06/2026 Site down 07/06/2026 Site down 07/06/2026 Power issue and power alarms camusat awaiting .2026-06-07 18 12 19.Our FME is on the way to site ETA=19H20.user OCM_NOC.CAMUSAT</t>
  </si>
  <si>
    <t>Crf-Nsam-IHS</t>
  </si>
  <si>
    <t>CTR_159</t>
  </si>
  <si>
    <t>Garoua-Bockle-II</t>
  </si>
  <si>
    <t>NRD_186</t>
  </si>
  <si>
    <t>NORD</t>
  </si>
  <si>
    <t>{06-07-2026  ocm ran 18}: Power status check Ongoing        ;         {06-07-2026 ticket}: INC-20260607-00012984...2026-06-07 22:46:19...access issue due to landlord...Auto TT closure RCA...Others...user:OCM_NOC.CAMUSAT</t>
  </si>
  <si>
    <t>.2026-06-07 22 46 19.access issue due to landlord.Auto TT closure RCA.user OCM_NOC.CAMUSAT</t>
  </si>
  <si>
    <t>PK15-Auberge</t>
  </si>
  <si>
    <t>LIT_728</t>
  </si>
  <si>
    <t xml:space="preserve"> {06-07-2026    groupe whatsapp incident }:LIT_728_Z_PK15-Auberge(LIT-728) -{ Grid only site grid outage / grid return awaited } </t>
  </si>
  <si>
    <t>{06-07-2026 groupe whatsapp incident } LIT_728_Z_PK15-Auberge(LIT-728) -{ Grid only site grid outage / grid return awaited }</t>
  </si>
  <si>
    <t>OST_406_H_Chefferie-Bangangte</t>
  </si>
  <si>
    <t>OST_406</t>
  </si>
  <si>
    <t>OST</t>
  </si>
  <si>
    <t>Bangante</t>
  </si>
  <si>
    <t>Exclu</t>
  </si>
  <si>
    <t>EXCLU</t>
  </si>
  <si>
    <t>Ntumansah</t>
  </si>
  <si>
    <t>NRO_002</t>
  </si>
  <si>
    <t>NORD-OUEST</t>
  </si>
  <si>
    <t>Bamenda</t>
  </si>
  <si>
    <t>Bamenda-Park-Pharmacy-MTN</t>
  </si>
  <si>
    <t>NRO_113</t>
  </si>
  <si>
    <t>{06-07-2026  ocm ran 18}: 07/06/2026 Access not granted for now we keep trying
06/06/2026 No access today; will try again tomorrow
05/06/2026  acces issue due to insecurity , FME manage with level 0 
04.06.26: Besoin d'un FME sur site pour vérifier la chaine antennaire de l'ODU 3.1; CM-20260604-00000769; FME Jeremiah activated to check, update ASAP</t>
  </si>
  <si>
    <t>07/06/2026 Access not granted for now we keep trying
06/06/2026 No access today; will try again tomorrow
05/06/2026 acces issue due to insecurity , FME manage with level 0
04.06.26 Besoin d'un FME sur site pour vérifier la chaine antennaire de l'ODU 3.1; FME Jeremiah activated to check, update ASAP</t>
  </si>
  <si>
    <t>Moude-IHS</t>
  </si>
  <si>
    <t>EXN_185</t>
  </si>
  <si>
    <t>EXTREME-NORD</t>
  </si>
  <si>
    <t>Moude</t>
  </si>
  <si>
    <t>{06-07-2026  ocm ran 18}: 07/06/2026 System Faulty Spare partie de Maroua reçue à Garoua et en cours de transfert vers Guider ETD=15h
06.06.2026: System Faulty Spare partie de Maroua pour Garoua ETD=06.06.2026
05.06.26: FSMF faulty, commande en cours, update ASAP
05.06.26: Besoin d'un FME sur site pour vérifier le statut de la BTS et son interco avec le MPR S1P1; CM-20260605-00000411; FME Elysee activé pour investigations et manage avec le niveau 0, pluie dans la zone</t>
  </si>
  <si>
    <t>07/06/2026 System Faulty Spare partie de Maroua reçue à Garoua et en cours de transfert vers Guider ETD=15h
06.06.2026 System Faulty Spare partie de Maroua pour Garoua ETD=06.06.2026
05.06.26 FSMF faulty, commande en cours, update ASAP
05.06.26 Besoin d'un FME sur site pour vérifier le statut de la BTS et son interco avec le MPR S1P1; FME Elysee activé pour investigations et manage avec le niveau 0, pluie dans la zone</t>
  </si>
  <si>
    <t>LIT_858_Z_JAPOMA-COCOTIERS</t>
  </si>
  <si>
    <t>LIT_858</t>
  </si>
  <si>
    <t>{06-07-2026 ticket}: INC-20260607-00018250...2026-06-07 21:33:01...Power issue on site...user:DRAME IMOURANA</t>
  </si>
  <si>
    <t>.2026-06-07 21 33 01.Power issue on site.user DRAME IMOURANA</t>
  </si>
  <si>
    <t>Sangmelima-Stade</t>
  </si>
  <si>
    <t>SUD_103</t>
  </si>
  <si>
    <t>Sangmelima</t>
  </si>
  <si>
    <t>{06-07-2026 cell zte}: 05/06/2026 : Need BO TX analysis         ;         {06-07-2026 cell zte}: 07/06/2026 : Impacted by Sangmelima-II
05/06/2026 : Need BO TX analysis ; {06-07-2026 top offenders}: 07/06/2026 : Impacted by Sangmelima-II</t>
  </si>
  <si>
    <t>05/06/2026 Need BO TX analysis 07/06/2026 Impacted by Sangmelima-II
05/06/2026 Need BO TX analysis 07/06/2026 Impacted by Sangmelima-II</t>
  </si>
  <si>
    <t>SUD_224</t>
  </si>
  <si>
    <t>Nkolmesseng-H-Pyramides</t>
  </si>
  <si>
    <t>CTR_771</t>
  </si>
  <si>
    <t>{06-07-2026  ocm ran 18}: Power status check Ongoing        ;         {06-07-2026 ticket}: INC-20260607-00014933...Power issue in site</t>
  </si>
  <si>
    <t>.Power issue in site</t>
  </si>
  <si>
    <t>CTR_1057_Z_Labogenie</t>
  </si>
  <si>
    <t>CTR_1057</t>
  </si>
  <si>
    <t xml:space="preserve"> {06-07-2026    groupe whatsapp incident }:CTR_1057_Z_Labogenie(CTR-1057) -{ Power alarm on site, IHS activated } </t>
  </si>
  <si>
    <t>{06-07-2026 groupe whatsapp incident } CTR_1057_Z_Labogenie(CTR-1057) -</t>
  </si>
  <si>
    <t>Sangmelima-II</t>
  </si>
  <si>
    <t>{06-07-2026 cell zte}: 05/06/2026 : Need BO RAN analysis || Site unstable : Transmission Ongoing        ;         {06-07-2026 cell zte}: 07/06/2026 : The MPR is unreachable so the FME should firstly reset it || ETA: 08/06/2026
05/06/2026 : Need BO RAN analysis || Site unstable : Transmission Ongoing        ;         {06-07-2026 ticket}: INC-20260607-00008604...GE Fault</t>
  </si>
  <si>
    <t>05/06/2026 Need BO RAN analysis || Site unstable Transmission Ongoing 07/06/2026 The MPR is unreachable so the FME should firstly reset it || ETA 08/06/2026
05/06/2026 Need BO RAN analysis || Site unstable Transmission Ongoing .GE Fault</t>
  </si>
  <si>
    <t>Avenue-Biyemassi</t>
  </si>
  <si>
    <t>CTR_664</t>
  </si>
  <si>
    <t>Good Grid no GE - 12h</t>
  </si>
  <si>
    <t>{06-07-2026 cell zte}: CEX OCM        ;         {06-07-2026  ocm ran 18}: Impacted by CTR_482_Z_Accacia-New(CTR-482)        ;         {06-07-2026 ticket}: INC-20260607-00013299...2026-06-07 19:15:33...impacted by ACCACIA NEW...power fluctuations. site is Grid only ...user:NGUESSAN KOFFI MARC PAETERNE</t>
  </si>
  <si>
    <t>CEX OCM Impacted by CTR_482_Z_Accacia-New(CTR-482) .2026-06-07 19 15 33.impacted by ACCACIA NEW.power fluctuations. site is Grid only .user NGUESSAN KOFFI MARC PAETERNE</t>
  </si>
  <si>
    <t>Sim-barriere</t>
  </si>
  <si>
    <t>CTR_748</t>
  </si>
  <si>
    <t>{06-07-2026 cell zte}: 05/06/2026 : Power issue || Mail sent to Camusat        ;         {06-07-2026 ticket}: INC-20260607-00008584</t>
  </si>
  <si>
    <t>05/06/2026 Power issue || Mail sent to Camusat</t>
  </si>
  <si>
    <t>NRD_260_H_Garoua-Djagara</t>
  </si>
  <si>
    <t>NRD_260</t>
  </si>
  <si>
    <t>ENVTECH</t>
  </si>
  <si>
    <t>Sites strategiques, MLL, Pylone, etc.</t>
  </si>
  <si>
    <t>{06-07-2026  ocm ran 18}: 04.06.26: Access issue due to LL - Escalated to L2        ;         {06-07-2026 ticket}: INC-20260607-00007361</t>
  </si>
  <si>
    <t>04.06.26 Access issue due to LL - Escalated to L2</t>
  </si>
  <si>
    <t>Nkolda-II</t>
  </si>
  <si>
    <t>CTR_776</t>
  </si>
  <si>
    <t>{06-07-2026 cell zte}: 06/06/2026 : Power issue || Mail sent to Camusat        ;         {06-07-2026 cell zte}: 06/06/2026 : Power issue || Mail sent to Camusat        ;         {06-07-2026  ocm ran 18}: 07/06/2026  Camusat: grid outage grid only site awaited grid return         ;         {06-07-2026 ticket}: INC-20260607-00008583...Others</t>
  </si>
  <si>
    <t>06/06/2026 Power issue || Mail sent to Camusat 06/06/2026 Power issue || Mail sent to Camusat 07/06/2026 Camusat grid outage grid only site awaited grid return .</t>
  </si>
  <si>
    <t>Biyem-assi-Stade</t>
  </si>
  <si>
    <t>CTR_489</t>
  </si>
  <si>
    <t>{Hourly-IHS}: 07/06/2026 11:15 6:45:00 0 Grid only no space // awaiting grid return        ;         {06-07-2026 cell zte}: 07/06/2026 : Site down        ;         {06-07-2026 cell zte}: 07/06/2026 : Site down        ;         {06-07-2026 ticket}: INC-20260607-00007780...2026-06-07 11:32:41...Grid only no space // awaiting grid return...Grid Outage...user:OCM_NOC.IHS</t>
  </si>
  <si>
    <t>07/06/2026 11 15 6 45 00 0 Grid only no space // awaiting grid return 07/06/2026 Site down 07/06/2026 Site down .2026-06-07 11 32 41.Grid only no space // awaiting grid return.Grid Outage.user OCM_NOC.IHS</t>
  </si>
  <si>
    <t>Niete-V15-IHS</t>
  </si>
  <si>
    <t>LIT_495</t>
  </si>
  <si>
    <t>Niete</t>
  </si>
  <si>
    <t>Warehouse HUAWEI</t>
  </si>
  <si>
    <t>{06-07-2026  ocm ran 18}: 07/06/2026 ODU MPT-MC 7/8 GHz 3DB20859AC Expedition de Douala vers  KRIBI ETD=07/06/2026
06/06/2026 ODU MPT-MC 7/8 GHz 3DB20859AC Expedition vers Douala ETD=06/06/2026
04.06.26: ODU disponible à Bafoussam et expédition en cours vers Douala, ETD=05.06.26
03.06.26: ODU MPT-MC 7/8 GHz 3DB20859AC faulty et pas disponible dans les WH Huawei, commande passée au SPM</t>
  </si>
  <si>
    <t>07/06/2026 ODU MPT-MC 7/8 GHz 3DB20859AC Expedition de Douala vers KRIBI ETD=07/06/2026
06/06/2026 ODU MPT-MC 7/8 GHz 3DB20859AC Expedition vers Douala ETD=06/06/2026
04.06.26 ODU disponible à Bafoussam et expédition en cours vers Douala, ETD=05.06.26
03.06.26 ODU MPT-MC 7/8 GHz 3DB20859AC faulty et pas disponible dans les WH Huawei, commande passée au SPM</t>
  </si>
  <si>
    <t>Domayo-II</t>
  </si>
  <si>
    <t>EXN_247</t>
  </si>
  <si>
    <t>Maroua</t>
  </si>
  <si>
    <t>PDH</t>
  </si>
  <si>
    <t>ODU HS</t>
  </si>
  <si>
    <t>{06-07-2026  ocm ran 18}: 07/06/2026 FME en route ETA=13H UTC 
06/06/2026 ODU recu travaux en cours 
05/06/2026 ODU UBT-S 18GHz 3DB29118AA faulty Expedition de ngaoundere vers maroua ETD=05/06/2026
02/06/2026 ODU UBT-S 18GHz 3DB29118AA faulty Expedition de ngaoundere vers maroua ETD=04/06/2026 
01/06/2026 power issue solved fme en route pour le site ETA=12H30 UTC | ODU UBT-S 3DB29118AA faulty, commande en cours, update ASAP
31.05.26: Power issue found on site - Escalated to L2 of Camusat
31.05.26: Besoin d'un FME sur site pour vérifier le statut du MPR; FME Sadjo sur site et travaux en cours</t>
  </si>
  <si>
    <t>07/06/2026 FME en route ETA=13H UTC
06/06/2026 ODU recu travaux en cours
05/06/2026 ODU UBT-S 18GHz 3DB29118AA faulty Expedition de ngaoundere vers maroua ETD=05/06/2026
02/06/2026 ODU UBT-S 18GHz 3DB29118AA faulty Expedition de ngaoundere vers maroua ETD=04/06/2026
01/06/2026 power issue solved fme en route pour le site ETA=12H30 UTC | ODU UBT-S 3DB29118AA faulty, commande en cours, update ASAP
31.05.26 Power issue found on site - Escalated to L2 of Camusat
31.05.26 Besoin d'un FME sur site pour vérifier le statut du MPR; FME Sadjo sur site et travaux en cours</t>
  </si>
  <si>
    <t>Bawa-IHS</t>
  </si>
  <si>
    <t>ADM_143</t>
  </si>
  <si>
    <t>ADAMAOUA</t>
  </si>
  <si>
    <t>Solar-Gen</t>
  </si>
  <si>
    <t>Bawa</t>
  </si>
  <si>
    <t>HUAWEI</t>
  </si>
  <si>
    <t xml:space="preserve">{06-07-2026 BO RAN}: Site down due to ower  Power investigation is needed </t>
  </si>
  <si>
    <t>Site down due to ower Power investigation is needed</t>
  </si>
  <si>
    <t>ADM_070</t>
  </si>
  <si>
    <t>Tchika</t>
  </si>
  <si>
    <t>EXN_225</t>
  </si>
  <si>
    <t>Hybrid-Gen</t>
  </si>
  <si>
    <t>Hamalade-IHS</t>
  </si>
  <si>
    <t>NRD_111</t>
  </si>
  <si>
    <t>Hamalade</t>
  </si>
  <si>
    <t xml:space="preserve">{06-07-2026 cell nokia}: 05/06/2026 : Le FME &amp; le rigger ont ete victime d'un accident hier en partant a MAYO NONDE pour intervention || Intervention repportee pour Lundi 08062026
04/06/2026: FME en intervention a MAYO-NONDE || Intervention apres MAYO-NONDE || ETA: 16h ||FME  a faire l'accident en ce rendant sur le site. Evidence partager||ETA: W24
02/06/2026: FME doit recevoir les carte ABIA demain|| ETA:04062026
01/06/2026 : Recherche du fond de chassis en cours dans les WH du  l'ANEN
30/05/2026 ;Fme deja en route  ||ETA 12H || Le FME a remplace plusieurs cartes, mais sans chanegement || Il faut replacet le fond de chassis 
29/05/2026 : Intervention repoussee pour cause de pluie || ETA 30052026
28/05/2026: Intervention prevue pour demain 29052026
27/05/2026 : FME etait sur site hier il a effectuer le remplacement de la ABIA. A cause du maonque de supervision le BO n'a pas pu mener les actions. Lepoin est actuellemt suivi par le BO RAN 
26/05/2026:En attente du feedbck RM ||Feedback RM : FME en route, ETA 12H || fme sur site || Intervention en cours || remplacement de la ABIAeffectuer ce jour.Site reste en observetion 
25/05/2026: Intervention prevu pour ce jour ||ETA : 16h|| Forte pluie dans la zone evidence envoyer dans le groupe.||Intervention reporte pour demain
23/05/2026 : Check breaker and  interconnection (sfp, optical fiber) between system and radio module, swap its if needed         ;         {06-07-2026 cell nokia}: 05/06/2026 : Le FME &amp; le rigger ont ete victime d'un accident hier en partant a MAYO NONDE pour intervention || Intervention repportee pour Lundi 08062026
04/06/2026: FME en intervention a MAYO-NONDE || Intervention apres MAYO-NONDE || ETA: 16h ||FME  a faire l'accident en ce rendant sur le site. Evidence partager||ETA: W24
02/06/2026: FME doit recevoir les carte ABIA demain|| ETA:04062026
01/06/2026 : Recherche du fond de chassis en cours dans les WH du  l'ANEN
30/05/2026 ;Fme deja en route  ||ETA 12H || Le FME a remplace plusieurs cartes, mais sans chanegement || Il faut replacet le fond de chassis 
29/05/2026 : Intervention repoussee pour cause de pluie || ETA 30052026
28/05/2026: Intervention prevue pour demain 29052026
27/05/2026 : FME etait sur site hier il a effectuer le remplacement de la ABIA. A cause du maonque de supervision le BO n'a pas pu mener les actions. Lepoin est actuellemt suivi par le BO RAN 
26/05/2026:En attente du feedbck RM ||Feedback RM : FME en route, ETA 12H || fme sur site || Intervention en cours || remplacement de la ABIAeffectuer ce jour.Site reste en observetion 
25/05/2026: Intervention prevu pour ce jour ||ETA : 16h|| Forte pluie dans la zone evidence envoyer dans le groupe.||Intervention reporte pour demain
23/05/2026 : Check breaker and  interconnection (sfp, optical fiber) between system and radio module, swap its if needed </t>
  </si>
  <si>
    <t>05/06/2026 Le FME &amp; le rigger ont ete victime d'un accident hier en partant a MAYO NONDE pour intervention || Intervention repportee pour Lundi 08062026
04/06/2026 FME en intervention a MAYO-NONDE || Intervention apres MAYO-NONDE || ETA 16h || FME a faire l'accident en ce rendant sur le site. Evidence partager || ETA W24
02/06/2026 FME doit recevoir les carte ABIA demain || ETA 04062026
01/06/2026 Recherche du fond de chassis en cours dans les WH du l'ANEN
30/05/2026 Fme deja en route || ETA 12H || Le FME a remplace plusieurs cartes, mais sans chanegement || Il faut replacet le fond de chassis
29/05/2026 Intervention repoussee pour cause de pluie || ETA 30052026
28/05/2026 Intervention prevue pour demain 29052026
27/05/2026 FME etait sur site hier il a effectuer le remplacement de la ABIA. A cause du maonque de supervision le BO n'a pas pu mener les actions. Lepoin est actuellemt suivi par le BO RAN
26/05/2026 En attente du feedbck RM || Feedback RM FME en route, ETA 12H || fme sur site || Intervention en cours || remplacement de la ABIAeffectuer ce jour.Site reste en observetion
25/05/2026 Intervention prevu pour ce jour || ETA 16h || Forte pluie dans la zone evidence envoyer dans le groupe. || Intervention reporte pour demain
23/05/2026 Check breaker and interconnection (sfp, optical fiber) between system and radio module, swap its if needed 05/06/2026 Le FME &amp; le rigger ont ete victime d'un accident hier en partant a MAYO NONDE pour intervention || Intervention repportee pour Lundi 08062026
04/06/2026 FME en intervention a MAYO-NONDE || Intervention apres MAYO-NONDE || ETA 16h || FME a faire l'accident en ce rendant sur le site. Evidence partager || ETA W24
02/06/2026 FME doit recevoir les carte ABIA demain || ETA 04062026
01/06/2026 Recherche du fond de chassis en cours dans les WH du l'ANEN
30/05/2026 Fme deja en route || ETA 12H || Le FME a remplace plusieurs cartes, mais sans chanegement || Il faut replacet le fond de chassis
29/05/2026 Intervention repoussee pour cause de pluie || ETA 30052026
28/05/2026 Intervention prevue pour demain 29052026
27/05/2026 FME etait sur site hier il a effectuer le remplacement de la ABIA. A cause du maonque de supervision le BO n'a pas pu mener les actions. Lepoin est actuellemt suivi par le BO RAN
26/05/2026 En attente du feedbck RM || Feedback RM FME en route, ETA 12H || fme sur site || Intervention en cours || remplacement de la ABIAeffectuer ce jour.Site reste en observetion
25/05/2026 Intervention prevu pour ce jour || ETA 16h || Forte pluie dans la zone evidence envoyer dans le groupe. || Intervention reporte pour demain
23/05/2026 Check breaker and interconnection (sfp, optical fiber) between system and radio module, swap its if needed</t>
  </si>
  <si>
    <t>Bardake-IHS</t>
  </si>
  <si>
    <t>NRD_110</t>
  </si>
  <si>
    <t>Gen Only</t>
  </si>
  <si>
    <t>Bardake</t>
  </si>
  <si>
    <t xml:space="preserve"> {06-07-2026   incident }:  IMPACT BY NRD_157_H_NaKong  Soucis Energie  ,En Attente RCA HIS        ;         {06-07-2026 cell nokia}: 
07/06/2026 : Check breaker and  interconnection (sfp, optical fiber) between system and radio module, swap its if needed||FME activer||ETA:07062026        ;         {06-07-2026 cell nokia}: 
07/06/2026 : Check breaker and  interconnection (sfp, optical fiber) between system and radio module, swap its if needed||FME activer||ETA:07062026</t>
  </si>
  <si>
    <t>{06-07-2026 incident } IMPACT BY NRD_157_H_NaKong Soucis Energie ,En Attente RCA HIS 07/06/2026 Check breaker and interconnection (sfp, optical fiber) between system and radio module, swap its if needed || FME activer || ETA 07062026 07/06/2026 Check breaker and interconnection (sfp, optical fiber) between system and radio module, swap its if needed || FME activer || ETA 07062026</t>
  </si>
  <si>
    <t>NRD_157</t>
  </si>
  <si>
    <t>Martap</t>
  </si>
  <si>
    <t>ADM_060</t>
  </si>
  <si>
    <t>NGAOUNDERE</t>
  </si>
  <si>
    <t>MPR ISSUE</t>
  </si>
  <si>
    <t>{06-07-2026 BO RAN}: depointage de laison Lewa_Martap repointer la liaison</t>
  </si>
  <si>
    <t>depointage de laison Lewa_Martap repointer la liaison</t>
  </si>
  <si>
    <t>ADM_072</t>
  </si>
  <si>
    <t>Betare-Oya</t>
  </si>
  <si>
    <t>EST_014</t>
  </si>
  <si>
    <t>Solar-Gen-Lithium</t>
  </si>
  <si>
    <t>Betare-oya</t>
  </si>
  <si>
    <t>{06-07-2026  ocm ran 18}: 07/06/2026 Carte core et carte mpt acc HS // carte core disponible a bertoua et Carte MPT disponible a YDE 
07/06/2026 Betare oya à été foudroyé.  Carte core et carte mpt acc HS 
07/06/2026 IHS: FME Stephane is on site.,the site was struck by lightning</t>
  </si>
  <si>
    <t>07/06/2026 Carte core et carte mpt acc HS // carte core disponible a bertoua et Carte MPT disponible a YDE
07/06/2026 Betare oya à été foudroyé. Carte core et carte mpt acc HS
07/06/2026 IHS FME Stephane is on site.,the site was struck by lightning</t>
  </si>
  <si>
    <t>Buea-Camtel</t>
  </si>
  <si>
    <t>SUO_226</t>
  </si>
  <si>
    <t>{06-07-2026  ocm ran 18}: Impacted by SUO_163_H_Buea-Hospital</t>
  </si>
  <si>
    <t>Impacted by SUO_163_H_Buea-Hospital</t>
  </si>
  <si>
    <t>SUO_163</t>
  </si>
  <si>
    <t>Ebom-Maetur</t>
  </si>
  <si>
    <t>CTR_596</t>
  </si>
  <si>
    <t xml:space="preserve">{06-07-2026 cell zte}: 04/06/2026 : En attrente du RI 
03/06/2026 : Fme sur site || Intervention en cours || Le fme apres intervention avec le BO a constater que le RRU est faulty || En attente du RI pour transmettre a zte  
02/06/2026 : FSuite de l'intervention ce jour || ETA : 14H || Forte pluie dansa la zone || Evidence partagees 
01/06/2026 : FME activer ce jour pour une nouvelle investiguation || FME sur site || Intervention en cours  || FME n'a pas pu finir a cause de la tombee de la nuit || Nouvelle intervention ce jour 
30/05/2026 : Check and clean RRU 52 ant 1 || FME activer || ETA  : 16H || Fme sest rendu sur site hier il y'avait aucune alarme.         ;         {06-07-2026  ocm ran 18}: Impacted by CTR_472_Z_Damas-II(CTR-472)        ;         {06-07-2026 ticket}: INC-20260607-00010348...power issues </t>
  </si>
  <si>
    <t>04/06/2026 En attrente du RI
03/06/2026 Fme sur site || Intervention en cours || Le fme apres intervention avec le BO a constater que le RRU est faulty || En attente du RI pour transmettre a zte
02/06/2026 FSuite de l'intervention ce jour || ETA 14H || Forte pluie dansa la zone || Evidence partagees
01/06/2026 FME activer ce jour pour une nouvelle investiguation || FME sur site || Intervention en cours || FME n'a pas pu finir a cause de la tombee de la nuit || Nouvelle intervention ce jour
30/05/2026 Check and clean RRU 52 ant 1 || FME activer || ETA 16H || Fme sest rendu sur site hier il y'avait aucune alarme. Impacted by CTR_472_Z_Damas-II(CTR-472) .power issues</t>
  </si>
  <si>
    <t>GSS-BUEA-TOWN-IHS</t>
  </si>
  <si>
    <t>SUO_184</t>
  </si>
  <si>
    <t>Monkey-Hill</t>
  </si>
  <si>
    <t>SUO_011</t>
  </si>
  <si>
    <t>Limbe</t>
  </si>
  <si>
    <t>ACCESS-ISSUE</t>
  </si>
  <si>
    <t>{06-07-2026 cell huawei}: 07/06/2026 : Escalade faite au RM || feedback attendu
06/06/2027 : Fme active || Intervention ce jour  || Feedback Fme : Probleme d'acces
05/06/2026 : Besoin d'analyse BO Ran || Check Connectivite entre BBU &amp; RRU/Check FO ou SFP        ;         {06-07-2026 cell huawei}: 07/06/2026 : Escalade faite au RM || feedback attendu
06/06/2027 : Fme active || Intervention ce jour  || Feedback Fme : Probleme d'acces
05/06/2026 : Besoin d'analyse BO Ran || Check Connectivite entre BBU &amp; RRU/Check FO ou SFP</t>
  </si>
  <si>
    <t>07/06/2026 Escalade faite au RM || feedback attendu
06/06/2027 Fme active || Intervention ce jour || Feedback Fme Probleme d'acces
05/06/2026 Besoin d'analyse BO Ran || Check Connectivite entre BBU &amp; RRU/Check FO ou SFP 07/06/2026 Escalade faite au RM || feedback attendu
06/06/2027 Fme active || Intervention ce jour || Feedback Fme Probleme d'acces
05/06/2026 Besoin d'analyse BO Ran || Check Connectivite entre BBU &amp; RRU/Check FO ou SFP</t>
  </si>
  <si>
    <t>Ndoghem-PK12-IHS</t>
  </si>
  <si>
    <t>LIT_159</t>
  </si>
  <si>
    <t xml:space="preserve"> {06-07-2026  groupe whatsapp incident }: LIT_159_Z_Ndoghem-PK12-IHS(LIT-159) -{ AOF_Ndoghen-PK12-IHS_Bonamoutongo CDS activé  } </t>
  </si>
  <si>
    <t>{06-07-2026 groupe whatsapp incident } LIT_159_Z_Ndoghem-PK12-IHS(LIT-159) -{ AOF_Ndoghen-PK12-IHS_Bonamoutongo CDS activé }</t>
  </si>
  <si>
    <t>Crf-Cornier</t>
  </si>
  <si>
    <t>CTR_477</t>
  </si>
  <si>
    <t>{06-07-2026  ocm ran 18}: Power status check Ongoing        ;         {06-07-2026 ticket}: INC-20260607-00012993...2026-06-07 19:54:46...Site was impacted by CTR_071_Madison power issue which was resolved at 07-06-2026 17:50:35// RCA: Site went down due to trip of Cb(125A) in PWC // He reamed Cb(125A), site on grid
But Crf-Cornier remained down with no power issue locally, site on Grid with 54.6V battery. 
Kindly involve your BSS and TX guys to check...GE Fault...user:OCM_NOC.IHS</t>
  </si>
  <si>
    <t>.2026-06-07 19 54 46.Site was impacted by CTR_071_Madison power issue which was resolved at 07-06-2026 17 50 35// RCA Site went down due to trip of Cb(125A) in PWC // He reamed Cb(125A), site on grid
But Crf-Cornier remained down with no power issue locally, site on Grid with 54.6V battery.
Kindly involve your BSS and TX guys to check.GE Fault.user OCM_NOC.IHS</t>
  </si>
  <si>
    <t>CTR_071</t>
  </si>
  <si>
    <t>Accacia-New</t>
  </si>
  <si>
    <t>{Hourly-IHS}: 07/06/2026 13:59 5:01:00 48 Grid Outage , no space // Grid Return        ;         {06-07-2026 cell zte}: 07/06/2026 : Site down        ;         {06-07-2026  ocm ran 18}: 07/06/2026 IHS: Grid only no space // awaiting grid return        ;         {06-07-2026 ticket}: INC-20260607-00009796...2026-06-07 20:54:18...Since about 6:43 PM, Grid return on the site CTR_482_Accacia New. MTN BTS went up but yours has stayed down till now. We suggest you have and FME check your BTS onsite or a BSS guy remotely reset it....user:OCM_NOC.IHS</t>
  </si>
  <si>
    <t>07/06/2026 13 59 5 01 00 48 Grid Outage , no space // Grid Return 07/06/2026 Site down 07/06/2026 IHS Grid only no space // awaiting grid return .2026-06-07 20 54 18.Since about 6 43 PM, Grid return on the site CTR_482_Accacia New. MTN BTS went up but yours has stayed down till now. We suggest you have and FME check your BTS onsite or a BSS guy remotely reset it.user OCM_NOC.IHS</t>
  </si>
  <si>
    <t>Mbidou-IHS</t>
  </si>
  <si>
    <t>ADM_079</t>
  </si>
  <si>
    <t>Mbidou</t>
  </si>
  <si>
    <t>{06-07-2026  ocm ran 18}: 06.06.2026: Spare FSMF Expediee de Garoua pour Ngaoundere ETA=07.06.2026 
05/06/2026 FSMF reçu faulty, nouvelle commande en cours, update ASAP
04/06/2026 FSMF en défaut, pièce de rechange en cours d'envoi depuis Garoua pour Ngaoundéré, ETD 04/06/2026
03.06.26: BTS 4G sur le port 2 du MPR restée down après un problème d'énergie. Besoin d'un FME sur site pour vérifier son statut; CM-20260603-00003111; FME Herve activé pour investigations, update ASAP
03.06.26: IHS: fme Saliou is managing with level 0</t>
  </si>
  <si>
    <t>06.06.2026 Spare FSMF Expediee de Garoua pour Ngaoundere ETA=07.06.2026
05/06/2026 FSMF reçu faulty, nouvelle commande en cours, update ASAP
04/06/2026 FSMF en défaut, pièce de rechange en cours d'envoi depuis Garoua pour Ngaoundéré, ETD 04/06/2026
03.06.26 BTS 4G sur le port 2 du MPR restée down après un problème d'énergie. Besoin d'un FME sur site pour vérifier son statut; FME Herve activé pour investigations, update ASAP
03.06.26 IHS fme Saliou is managing with level 0</t>
  </si>
  <si>
    <t>Kumba-Lutherian-Church-MTN</t>
  </si>
  <si>
    <t>SUO_054</t>
  </si>
  <si>
    <t>Buea-Boduma-IHS</t>
  </si>
  <si>
    <t>SUO_186</t>
  </si>
  <si>
    <t>Bong-assi</t>
  </si>
  <si>
    <t>CTR_774</t>
  </si>
  <si>
    <t>Hybrid Solar - S3</t>
  </si>
  <si>
    <t>{06-07-2026  ocm ran 18}: Power status check Ongoing        ;         {06-07-2026 ticket}: INC-20260607-00015239...Our FME started the GEN with another battery...Our FME started the GEN with another battery...Solar Outage...Batteries backup discharged and GEN failed to start due GEN battery discharged</t>
  </si>
  <si>
    <t>.Our FME started the GEN with an battery.Our FME started the GEN with an battery.Solar Outage.Batteries backup discharged and GEN failed to start due GEN battery discharged</t>
  </si>
  <si>
    <t>Mile14-IHS</t>
  </si>
  <si>
    <t>SUO_079</t>
  </si>
  <si>
    <t>Mile16-Buea-HIS</t>
  </si>
  <si>
    <t>SUO_243</t>
  </si>
  <si>
    <t xml:space="preserve"> {06-07-2026groupe whatsapp   incident }: INC-20260607-00000315	SUO_243_H_Mile16-Buea-IHS_U  , Alimentation secteur / GE Fault / Site Grid-Gen restored</t>
  </si>
  <si>
    <t>{06-07-2026groupe whatsapp incident } SUO_243_H_Mile16-Buea-IHS_U , Alimentation secteur / GE Fault / Site Grid-Gen restored</t>
  </si>
  <si>
    <t>Qtier-Tergal</t>
  </si>
  <si>
    <t>LIT_420</t>
  </si>
  <si>
    <t>Bad Grid + Solar + GE</t>
  </si>
  <si>
    <t>{06-07-2026 cell zte}: 07/06/2026 : Site down        ;         {06-07-2026  ocm ran 18}: 07/06/2026 investigation ongoing / Our FME is on site
07/06/2026 Power issue and power alarms camusat awaiting        ;         {06-07-2026 ticket}: INC-20260607-00010101...2026-06-07 18:08:28...investigation ongoing / Our FME is on site...Others...user:OCM_NOC.CAMUSAT</t>
  </si>
  <si>
    <t>07/06/2026 Site down 07/06/2026 investigation ongoing / Our FME is on site
07/06/2026 Power issue and power alarms camusat awaiting .2026-06-07 18 08 28.investigation ongoing / Our FME is on site.user OCM_NOC.CAMUSAT</t>
  </si>
  <si>
    <t>Grand-Hangar</t>
  </si>
  <si>
    <t>LIT_291</t>
  </si>
  <si>
    <t>TRAVAUX OCM</t>
  </si>
  <si>
    <t>Projet OCM (ZTE, NOKIA, autres projets)</t>
  </si>
  <si>
    <t>PLANNED WORKS</t>
  </si>
  <si>
    <t xml:space="preserve">{06-07-2026 cell zte}: 04/06/2026 : RI recu et transferer a zte || En attente du GO de zte pour le remplacement 
03/06/2026 :  Feedback RM : Après investigation menée avec le BO, le FME Chick  conclut que la RRU est défectueuse et doit être remplacée. Un e-mail  avec IR vous sera transmis dans ls minutes qui suivent à cet effet pour commandede spare, conformément à la procédure en vigueur.
02/06/2026 : RRU 72  link interrupted || FME en route pour le site || ETA : 11H || Intervention en cours || FME sur site ||Feedback FME : RRU faulty || En attente vers RI pour transmettre a ZTE 
01/05/2026 : Check en cours avec le BO RAN
29/05/2026: FME sur site || Intervention en cours 
28/05/2026 : Need BO RAN analysis || Need to Check the RRU 72 Status || FME activer ||  ETA : 29/05/2026         ;         {06-07-2026 cell zte}: 04/06/2026 : RI recu et transferer a zte || En attente du GO de zte pour le remplacement 
03/06/2026 :  Feedback RM : Après investigation menée avec le BO, le FME Chick  conclut que la RRU est défectueuse et doit être remplacée. Un e-mail  avec IR vous sera transmis dans ls minutes qui suivent à cet effet pour commandede spare, conformément à la procédure en vigueur.
02/06/2026 : RRU 72  link interrupted || FME en route pour le site || ETA : 11H || Intervention en cours || FME sur site ||Feedback FME : RRU faulty || En attente vers RI pour transmettre a ZTE 
01/05/2026 : Check en cours avec le BO RAN
29/05/2026: FME sur site || Intervention en cours 
28/05/2026 : Need BO RAN analysis || Need to Check the RRU 72 Status || FME activer ||  ETA : 29/05/2026 </t>
  </si>
  <si>
    <t>04/06/2026 RI recu et transferer a zte || En attente du GO de zte pour le remplacement
03/06/2026 Feedback RM Après investigation menée avec le BO, le FME Chick conclut que la RRU est défectueuse et doit être remplacée. Un e-mail avec IR vous sera transmis dans ls minutes qui suivent à cet effet pour commandede spare, conformément à la procédure en vigueur.
02/06/2026 RRU 72 link interrupted || FME en route pour le site || ETA 11H || Intervention en cours || FME sur site || Feedback FME RRU faulty || En attente vers RI pour transmettre a ZTE
01/05/2026 Check en cours avec le BO RAN
29/05/2026 FME sur site || Intervention en cours
28/05/2026 Need BO RAN analysis || Need to Check the RRU 72 Status || FME activer || ETA 29/05/2026 04/06/2026 RI recu et transferer a zte || En attente du GO de zte pour le remplacement
03/06/2026 Feedback RM Après investigation menée avec le BO, le FME Chick conclut que la RRU est défectueuse et doit être remplacée. Un e-mail avec IR vous sera transmis dans ls minutes qui suivent à cet effet pour commandede spare, conformément à la procédure en vigueur.
02/06/2026 RRU 72 link interrupted || FME en route pour le site || ETA 11H || Intervention en cours || FME sur site || Feedback FME RRU faulty || En attente vers RI pour transmettre a ZTE
01/05/2026 Check en cours avec le BO RAN
29/05/2026 FME sur site || Intervention en cours
28/05/2026 Need BO RAN analysis || Need to Check the RRU 72 Status || FME activer || ETA 29/05/2026</t>
  </si>
  <si>
    <t>Makepe-Bloc-E</t>
  </si>
  <si>
    <t>LIT_613</t>
  </si>
  <si>
    <t>{06-07-2026 cell zte}: 06/06/2026 : Power issue || Mail sent to Camusat|| Point suivi par le 3PP         ;         {06-07-2026 cell zte}: 06/06/2026 : Power issue || Mail sent to Camusat|| Point suivi par le 3PP         ;         {06-07-2026  ocm ran 18}: 06.06.26: Grid outage grid only site /awaiting grid return - Escalated to L3
05.06.26: Grid outage grid only site /awaiting grid return - Escalated to L3
04.06.26: Grid outage grid only site /awaiting grid return - Escalated to L2</t>
  </si>
  <si>
    <t>06/06/2026 Power issue || Mail sent to Camusat || Point suivi par le 3PP 06/06/2026 Power issue || Mail sent to Camusat || Point suivi par le 3PP 06.06.26 Grid outage grid only site /awaiting grid return - Escalated to L3
05.06.26 Grid outage grid only site /awaiting grid return - Escalated to L3
04.06.26 Grid outage grid only site /awaiting grid return - Escalated to L2</t>
  </si>
  <si>
    <t>Yao+C649unde</t>
  </si>
  <si>
    <t>CTR_375</t>
  </si>
  <si>
    <t>grid only</t>
  </si>
  <si>
    <t>{06-07-2026 cell zte}: 06/06/2026 : Site down        ;         {06-07-2026 cell zte}: 06/06/2026 : Site down        ;         {06-07-2026  ocm ran 18}: 07/06/2026 Transformateur SOCADEL HS 
06.06.2026 IHS: Grid only no space // awaiting grid return</t>
  </si>
  <si>
    <t>06/06/2026 Site down 06/06/2026 Site down 07/06/2026 Transformateur SOCADEL HS
06.06.2026 IHS Grid only no space // awaiting grid return</t>
  </si>
  <si>
    <t>Awae-Nkomo</t>
  </si>
  <si>
    <t>CTR_374</t>
  </si>
  <si>
    <t>{06-07-2026 cell zte}: 02/06/2026 : Site down        ;         {06-07-2026 cell zte}: 02/06/2026 : Site down        ;         {06-07-2026  ocm ran 18}: 07/06/2026 Rapport transmis a OCM en attente de validation 
05/06/2026 04 Poteaux à remplacer , Rapport transmis validation en cours 
04.06.26: 04 Poteaux à remplacer, update ASAP
04/06/2026 FIBRE COUPE PAR UN CAMIONS SURVEY EN COURS ETR=13H UTC 
03.06.26: CDS sur site travaux en cours
02.06.26: AOF Biteng&lt;&gt;Awae-Nkomo down, CDS activé pour investigations
02.06.26: IHS: Our FME Jovi is on site</t>
  </si>
  <si>
    <t>02/06/2026 Site down 02/06/2026 Site down 07/06/2026 Rapport transmis a OCM en attente de validation
05/06/2026 04 Poteaux à remplacer , Rapport transmis validation en cours
04.06.26 04 Poteaux à remplacer, update ASAP
04/06/2026 FIBRE COUPE PAR UN CAMIONS SURVEY EN COURS ETR=13H UTC
03.06.26 CDS sur site travaux en cours
02.06.26 AOF Biteng&lt;&gt;Awae-Nkomo down, CDS activé pour investigations
02.06.26 IHS Our FME Jovi is on site</t>
  </si>
  <si>
    <t>Carrefour-Diderot</t>
  </si>
  <si>
    <t>CTR_841</t>
  </si>
  <si>
    <t>{06-07-2026 cell zte}: 03/06/2026 : Power issue || Mail sent to Camusat || Site down
02/06/2026 : En attente du RI pour transmettre au powerco 
01/06/2026 : Instability of radio due to power issue ==&gt; FME should check power cable connection between BBU and RRU 62 || FME activer || Le fme est presentement a Olama || ETA : 16h || FME sur site || Feedback FME : instabilites power sur site || En attente du RI pour interpeller le powerco 
31/05/2026 : Need BO RAN analysis || Cell was down due to power        ;         {06-07-2026 cell zte}: 03/06/2026 : Power issue || Mail sent to Camusat || Site down
02/06/2026 : En attente du RI pour transmettre au powerco 
01/06/2026 : Instability of radio due to power issue ==&gt; FME should check power cable connection between BBU and RRU 62 || FME activer || Le fme est presentement a Olama || ETA : 16h || FME sur site || Feedback FME : instabilites power sur site || En attente du RI pour interpeller le powerco 
31/05/2026 : Need BO RAN analysis || Cell was down due to power        ;         {06-07-2026  ocm ran 18}: 06.06.26: Grid outage grid only site / awaiting grid return - Escalated to L4
05.06.26: Grid outage grid only site / awaiting grid return - Escalated to L4
04/06/2026 Grid outage grid only site / awaiting grid return - Escalated to L3
03.06.26: Grid outage grid only site / awaiting grid return - Escalated to L3
02.06.26: Grid outage grid only site / awaiting grid return
01.06.26: grid outage grid only site / awaiting grid return</t>
  </si>
  <si>
    <t>03/06/2026 Power issue || Mail sent to Camusat || Site down
02/06/2026 En attente du RI pour transmettre au powerco
01/06/2026 Instability of radio due to power issue ==&gt; FME should check power cable connection between BBU and RRU 62 || FME activer || Le fme est presentement a Olama || ETA 16h || FME sur site || Feedback FME instabilites power sur site || En attente du RI pour interpeller le powerco
31/05/2026 Need BO RAN analysis || Cell was down due to power 03/06/2026 Power issue || Mail sent to Camusat || Site down
02/06/2026 En attente du RI pour transmettre au powerco
01/06/2026 Instability of radio due to power issue ==&gt; FME should check power cable connection between BBU and RRU 62 || FME activer || Le fme est presentement a Olama || ETA 16h || FME sur site || Feedback FME instabilites power sur site || En attente du RI pour interpeller le powerco
31/05/2026 Need BO RAN analysis || Cell was down due to power 06.06.26 Grid outage grid only site / awaiting grid return - Escalated to L4
05.06.26 Grid outage grid only site / awaiting grid return - Escalated to L4
04/06/2026 Grid outage grid only site / awaiting grid return - Escalated to L3
03.06.26 Grid outage grid only site / awaiting grid return - Escalated to L3
02.06.26 Grid outage grid only site / awaiting grid return
01.06.26 grid outage grid only site / awaiting grid return</t>
  </si>
  <si>
    <t>Maison-Blanche-IHS</t>
  </si>
  <si>
    <t>CTR_123</t>
  </si>
  <si>
    <t>{Hourly-IHS}: 02/06/2026 19:55 123:05:00 43V Grid only no space // awaiting grid return        ;         {06-07-2026 cell zte}: 03/05/2026 : Site down        ;         {06-07-2026 cell zte}: 03/05/2026 : Site down        ;         {06-07-2026  ocm ran 18}: 07/06/2026 Transformateur SOCADEL HS  Escalated to L4
06.06.26: Grid Outage, no space / Awaiting Grid Return - Escalated to L4
05.06.26: Grid Outage, no space / Awaiting Grid Return - Escalated to L4
05.06.26: Grid Outage, no space / Awaiting Grid Return - Escalated to L3
04.06.26: Grid Outage, no space / Awaiting Grid Return - Escalated to L2
03.06.26: Grid Outage, no space / Awaiting Grid Return - Escalated to L2</t>
  </si>
  <si>
    <t>02/06/2026 19 55 123 05 00 43V Grid only no space // awaiting grid return 03/05/2026 Site down 03/05/2026 Site down 07/06/2026 Transformateur SOCADEL HS Escalated to L4
06.06.26 Grid Outage, no space / Awaiting Grid Return - Escalated to L4
05.06.26 Grid Outage, no space / Awaiting Grid Return - Escalated to L4
05.06.26 Grid Outage, no space / Awaiting Grid Return - Escalated to L3
04.06.26 Grid Outage, no space / Awaiting Grid Return - Escalated to L2
03.06.26 Grid Outage, no space / Awaiting Grid Return - Escalated to L2</t>
  </si>
  <si>
    <t>Superette-Biyem-Assi</t>
  </si>
  <si>
    <t>CTR_561</t>
  </si>
  <si>
    <t>{06-07-2026  ocm ran 18}: Impacted by CTR_123_Z_Maison-Blanche-IHS (Grid outage)</t>
  </si>
  <si>
    <t>Impacted by CTR_123_Z_Maison-Blanche-IHS (Grid outage)</t>
  </si>
  <si>
    <t>Logpom-Bilingual-School</t>
  </si>
  <si>
    <t>LIT_650</t>
  </si>
  <si>
    <t>{06-07-2026 cell zte}: 04/06/2026 : Site down        ;         {06-07-2026 cell zte}: 04/06/2026 : Site down        ;         {06-07-2026  ocm ran 18}: 06.06.26: Grid outage grid only site /awaiting grid return - Escalated to L3
05.06.26: Grid outage grid only site /awaiting grid return - Escalated to L3
04.06.26: Grid outage grid only site /awaiting grid return - Escalated to L2</t>
  </si>
  <si>
    <t>04/06/2026 Site down 04/06/2026 Site down 06.06.26 Grid outage grid only site /awaiting grid return - Escalated to L3
05.06.26 Grid outage grid only site /awaiting grid return - Escalated to L3
04.06.26 Grid outage grid only site /awaiting grid return - Escalated to L2</t>
  </si>
  <si>
    <t>Yassa-Village-Camtel</t>
  </si>
  <si>
    <t>LIT_766</t>
  </si>
  <si>
    <t>{06-07-2026 cell zte}: 03/05/2026 : Site down        ;         {06-07-2026 cell zte}: 03/05/2026 : Site down        ;         {06-07-2026  ocm ran 18}: 07/06/2026 Grid outage, grid only site/ Grid return awaited | ESCALATE TO L4 CAMUSAT
06.06.26: Grid outage, grid only site/ Grid return awaited | ESCALATE TO L4 CAMUSAT
05.06.26: Grid outage, grid only site/ Grid return awaited | ESCALATE TO L4 CAMUSAT
04.06.26: Grid outage, grid only site/ Grid return awaited | ESCALATE TO L3 CAMUSAT
03.06.26: Grid outage, grid only site/ Grid return awaited | ESCALATE TO L2 CAMUSAT</t>
  </si>
  <si>
    <t>03/05/2026 Site down 03/05/2026 Site down 07/06/2026 Grid outage, grid only site/ Grid return awaited | ESCALATE TO L4 CAMUSAT
06.06.26 Grid outage, grid only site/ Grid return awaited | ESCALATE TO L4 CAMUSAT
05.06.26 Grid outage, grid only site/ Grid return awaited | ESCALATE TO L4 CAMUSAT
04.06.26 Grid outage, grid only site/ Grid return awaited | ESCALATE TO L3 CAMUSAT
03.06.26 Grid outage, grid only site/ Grid return awaited | ESCALATE TO L2 CAMUSAT</t>
  </si>
  <si>
    <t>Vallee-Bastos</t>
  </si>
  <si>
    <t>CTR_251</t>
  </si>
  <si>
    <t>{06-07-2026 cell zte}: 04/06/2026 : Site down        ;         {06-07-2026 cell zte}: 04/06/2026 : Site down        ;         {06-07-2026  ocm ran 18}: 07.06.26: Grid outage grid only site /awaiting grid return - Escalated to L4
06.06.26: Grid outage grid only site /awaiting grid return - Escalated to L3
05.06.26: Grid outage grid only site /awaiting grid return - Escalated to L3
04.06.26: Grid outage grid only site /awaiting grid return - Escalated to L2</t>
  </si>
  <si>
    <t>04/06/2026 Site down 04/06/2026 Site down 07.06.26 Grid outage grid only site /awaiting grid return - Escalated to L4
06.06.26 Grid outage grid only site /awaiting grid return - Escalated to L3
05.06.26 Grid outage grid only site /awaiting grid return - Escalated to L3
04.06.26 Grid outage grid only site /awaiting grid return - Escalated to L2</t>
  </si>
  <si>
    <t>Olezoa</t>
  </si>
  <si>
    <t>CTR_035</t>
  </si>
  <si>
    <t>{06-07-2026 cell zte}: 04/06/2026 : Site down        ;         {06-07-2026 cell zte}: 04/06/2026 : Site down        ;         {06-07-2026  ocm ran 18}: 06.06.26: Grid only no space // awaiting grid return - Escalated to L2
05.06.26: Grid only no space // awaiting grid return - Escalated to L2
04.06.26: Grid only no space // awaiting grid return</t>
  </si>
  <si>
    <t>04/06/2026 Site down 04/06/2026 Site down 06.06.26 Grid only no space // awaiting grid return - Escalated to L2
05.06.26 Grid only no space // awaiting grid return - Escalated to L2
04.06.26 Grid only no space // awaiting grid return</t>
  </si>
  <si>
    <t>Nkolmesseng-Ebama-Ewoulou</t>
  </si>
  <si>
    <t>CTR_564</t>
  </si>
  <si>
    <t>{06-07-2026 cell zte}: 06/06/2026 : Site down        ;         {06-07-2026 cell zte}: 06/06/2026 : Site down        ;         {06-07-2026  ocm ran 18}: 07/06/2026 power issue resolu fme activé pour verifier le status du MPR 
06/06/2026 Camusat: grid outage grid only site /awaiting grid return</t>
  </si>
  <si>
    <t>06/06/2026 Site down 06/06/2026 Site down 07/06/2026 power issue resolu fme activé pour verifier le status du MPR
06/06/2026 Camusat grid outage grid only site /awaiting grid return</t>
  </si>
  <si>
    <t>CTR_943_Z_Mimboman</t>
  </si>
  <si>
    <t>CTR_943</t>
  </si>
  <si>
    <t>{06-07-2026 cell zte}: 06/06/2026 : Site down        ;         {06-07-2026 cell zte}: 06/06/2026 : Site down        ;         {06-07-2026  ocm ran 18}: 07/06/2026 Grid outage  GE en arret pour nuisance sonore/Grid return awaited ESCALADE L2 CAMUSAT
06/06/2026 Grid outage  GE en arret pour nuisance sonore/Grid return awaited</t>
  </si>
  <si>
    <t>06/06/2026 Site down 06/06/2026 Site down 07/06/2026 Grid outage GE en arret pour nuisance sonore/Grid return awaited ESCALADE L2 CAMUSAT
06/06/2026 Grid outage GE en arret pour nuisance sonore/Grid return awaited</t>
  </si>
  <si>
    <t>Ngousso-IHS</t>
  </si>
  <si>
    <t>CTR_130</t>
  </si>
  <si>
    <t xml:space="preserve"> {06-07-2026 groupe whatsapp   incident }:  LIT_130_Z_Bonaminkano-IHS(LIT-130)  //  INC-20260607-00016875  , FME is onsite   , {06-07-2026 cell zte}: 06/06/2026 : Site down 
05/06/2026 : Need BO RAN analysis || Site unstable check Board( VBP_1_6, VBP_1_3) Status || ETA : 06/06/2026         ;         {06-07-2026 cell zte}: 06/06/2026 : Site down 
05/06/2026 : Need BO RAN analysis || Site unstable check Board( VBP_1_6, VBP_1_3) Status || ETA : 06/06/2026 </t>
  </si>
  <si>
    <t>{06-07-2026 groupe whatsapp incident } LIT_130_Z_Bonaminkano-IHS(LIT-130) // , FME is onsite , 06/06/2026 Site down
05/06/2026 Need BO RAN analysis || Site unstable check Board( VBP_1_6, VBP_1_3) Status || ETA 06/06/2026 06/06/2026 Site down
05/06/2026 Need BO RAN analysis || Site unstable check Board( VBP_1_6, VBP_1_3) Status || ETA 06/06/2026</t>
  </si>
  <si>
    <t>Essu</t>
  </si>
  <si>
    <t>NRO_234</t>
  </si>
  <si>
    <t>ESSU</t>
  </si>
  <si>
    <t>Dumbu</t>
  </si>
  <si>
    <t>NRO_046</t>
  </si>
  <si>
    <t>{06-07-2026  ocm ran 18}: 07/06/2026 Access not granted for now we keep trying
06/06/2026 no acces to day for zhoa plan for 07/06/2026 
05/06/2026 intervention plan for 06/06/2026
04/06/2026 |Spare already available at my level , intervention plan for 06/06/2026
03.05.26: ODU reçu à Nokia et expédition en cours pour Bamenda, ETD=03.06.26
29/05/2026 NO ODU AVAILABLE FOR DUMBU, SPARE OCM
29/05/2026 Retirer un ODU (3DB20858AC) à Nyazoro_CTR_169 et mettre à Dumbu_NRO_046 Deadline 29/05/2026 
27/05/2026 Retirer un ODU (3DB20858AC) à Nyazoro_CTR_169 et mettre à Dumbu_NRO_046 Deadline 29/05/2026 
26/05/2026 ODU 3DB20858AC MPT-MC 7/8GHz INF (7107-8377) Pas disponible chez Huwei point transmis OCM 
24/05/2026 Besoin d'un FME sur Zhoa pour vérifier la chaine antennaire de l'ODU. Problème d'accès du à l'insécurité
23.05.26: Besoin d'un FME sur Zhoa pour vérifier la chaine antennaire de l'ODU. Problème d'accès du à l'insécurité
22.05.26: Besoin d'un FME sur Zhoa pour vérifier la chaine antennaire de l'ODU. Problème d'accès du à l'insécurité
21.05.26: Besoin d'un FME sur Zhoa pour vérifier la chaine antennaire de l'ODU. Problème d'accès du à l'insécurité
19/05/2026  Access not granted for now we keep trying
18.05.2026:  Access not granted for now we keep trying
16.06.26: Besoin d'un FME sur Zhoa pour vérifier la chaine antennaire de l'ODU. Problème d'accès du à l'insécurité
15/05/2026 Apres travaux ODU sur ZHOA off negociation d'accès en cours 
15/05/2026 FME will be on site this morning for AMIA replacement ETA10AM
14/05/2026 FME activé donald sur site intervention en cours 
13/05/2026 Access not granted for now we keep trying
12.05.2026: Check ongoing with FME donald ETA=01:00 PM // Access not granted for now we keep trying
11.05.26: Besoin d'un FME sur Zhoa pour vérifier la chaine antennaire de l'ODU 4.2; CM-20260511-00003771; FME Donald activé pour investigations, update aSAP</t>
  </si>
  <si>
    <t>07/06/2026 Access not granted for now we keep trying
06/06/2026 no acces to day for zhoa plan for 07/06/2026
05/06/2026 intervention plan for 06/06/2026
04/06/2026 |Spare already available at my level , intervention plan for 06/06/2026
03.05.26 ODU reçu à Nokia et expédition en cours pour Bamenda, ETD=03.06.26
29/05/2026 NO ODU AVAILABLE FOR DUMBU, SPARE OCM
29/05/2026 Retirer un ODU (3DB20858AC) à Nyazoro_CTR_169 et mettre à Dumbu_NRO_046 Deadline 29/05/2026
27/05/2026 Retirer un ODU (3DB20858AC) à Nyazoro_CTR_169 et mettre à Dumbu_NRO_046 Deadline 29/05/2026
26/05/2026 ODU 3DB20858AC MPT-MC 7/8GHz INF (7107-8377) Pas disponible chez Huwei point transmis OCM
24/05/2026 Besoin d'un FME sur Zhoa pour vérifier la chaine antennaire de l'ODU. Problème d'accès du à l'insécurité
23.05.26 Besoin d'un FME sur Zhoa pour vérifier la chaine antennaire de l'ODU. Problème d'accès du à l'insécurité
22.05.26 Besoin d'un FME sur Zhoa pour vérifier la chaine antennaire de l'ODU. Problème d'accès du à l'insécurité
21.05.26 Besoin d'un FME sur Zhoa pour vérifier la chaine antennaire de l'ODU. Problème d'accès du à l'insécurité
19/05/2026 Access not granted for now we keep trying
18.05.2026 Access not granted for now we keep trying
16.06.26 Besoin d'un FME sur Zhoa pour vérifier la chaine antennaire de l'ODU. Problème d'accès du à l'insécurité
15/05/2026 Apres travaux ODU sur ZHOA off negociation d'accès en cours
15/05/2026 FME will be on site this morning for AMIA replacement ETA10AM
14/05/2026 FME activé donald sur site intervention en cours
13/05/2026 Access not granted for now we keep trying
12.05.2026 Check ongoing with FME donald ETA=01 00 PM // Access not granted for now we keep trying
11.05.26 Besoin d'un FME sur Zhoa pour vérifier la chaine antennaire de l'ODU 4.2; FME Donald activé pour investigations, update aSAP</t>
  </si>
  <si>
    <t>Bep-Axe-Lrd</t>
  </si>
  <si>
    <t>LIT_097</t>
  </si>
  <si>
    <t>{06-07-2026 cell zte}: 05/06/2026 : Need BO RAN analysis || Site unstable : Transmission Ongoing        ;         {06-07-2026 cell zte}: 07/06/2026 : Feedback BO TX : The Optim Link Radio Bep-Axe-Lrd_Bep-TSF is unstable due to power issue at Bep-TSF-LIT_366 so please to involve the Powerco
05/06/2026 : Need BO RAN analysis || Site unstable : Transmission Ongoing</t>
  </si>
  <si>
    <t>05/06/2026 Need BO RAN analysis || Site unstable Transmission Ongoing 07/06/2026 Feedback BO TX The Optim Link Radio Bep-Axe-Lrd_Bep-TSF is unstable due to power issue at Bep-TSF-LIT_366 so please to involve the Powerco
05/06/2026 Need BO RAN analysis || Site unstable Transmission Ongoing</t>
  </si>
  <si>
    <t>LIT_366</t>
  </si>
  <si>
    <t>BBeri-Dikolo-Centre-Equestre</t>
  </si>
  <si>
    <t>LIT_681</t>
  </si>
  <si>
    <t>{06-07-2026 cell zte}: 07/06/2026 : Site down        ;         {06-07-2026 cell zte}: 07/06/2026 : Site down        ;         {06-07-2026 ticket}: INC-20260607-00007099...2026-06-07 17:16:37...Grid return...GE Fault... grid only site and  grid outage...user:NGUESSAN KOFFI MARC PAETERNE</t>
  </si>
  <si>
    <t>07/06/2026 Site down 07/06/2026 Site down .2026-06-07 17 16 37.Grid return.GE Fault. grid only site and grid outage.user NGUESSAN KOFFI MARC PAETERNE</t>
  </si>
  <si>
    <t>LIT_263_Z_CCC</t>
  </si>
  <si>
    <t>LIT_263</t>
  </si>
  <si>
    <t>{Hourly-IHS}: 07/06/2026 18:56 4:04:00 0 FME is onsite        ;         {06-07-2026  ocm ran 18}: Power status check Ongoing        ;         {06-07-2026 ticket}: INC-20260607-00017408...2026-06-07 21:28:46...IHS : FME is onsite...GE Fault...user:DRAME IMOURANA</t>
  </si>
  <si>
    <t>07/06/2026 18 56 4 04 00 0 FME is onsite .2026-06-07 21 28 46.IHS FME is onsite.GE Fault.user DRAME IMOURANA</t>
  </si>
  <si>
    <t>Obili-GP-MTN</t>
  </si>
  <si>
    <t>CTR_747</t>
  </si>
  <si>
    <t>MTN</t>
  </si>
  <si>
    <t>{06-07-2026 cell zte}: 02/06/2026 : Site down FME should check GPS antenna feeder, cable, module &amp; Transmission investigation needed || Site down         ;         {06-07-2026 cell zte}: 02/06/2026 : Site down FME should check GPS antenna feeder, cable, module &amp; Transmission investigation needed || Site down         ;         {06-07-2026 ticket}: INC-20260607-00005466</t>
  </si>
  <si>
    <t>02/06/2026 Site down FME should check GPS antenna feeder, cable, module &amp; Transmission investigation needed || Site down 02/06/2026 Site down FME should check GPS antenna feeder, cable, module &amp; Transmission investigation needed || Site down</t>
  </si>
  <si>
    <t>Guidjiba-MTN</t>
  </si>
  <si>
    <t>NRD_058</t>
  </si>
  <si>
    <t>Guidjiba</t>
  </si>
  <si>
    <t>{06-07-2026 cell nokia}: 05/06/2026 : Need BO RAN analysis||Closed after reset but check and replace FXDB||FME activer||Cde de la FXDB a HW SPMS        ;         {06-07-2026 cell nokia}: 05/06/2026 : Need BO RAN analysis||Closed after reset but check and replace FXDB||FME activer||Cde de la FXDB a HW SPMS        ;         {06-07-2026 ticket}: INC-20260607-00019722...GE Fault</t>
  </si>
  <si>
    <t>05/06/2026 Need BO RAN analysis || Closed after reset but check and replace FXDB || FME activer || Cde de la FXDB a HW SPMS 05/06/2026 Need BO RAN analysis || Closed after reset but check and replace FXDB || FME activer || Cde de la FXDB a HW SPMS .GE Fault</t>
  </si>
  <si>
    <t>Balissa-MTN-IHS</t>
  </si>
  <si>
    <t>CTR_170</t>
  </si>
  <si>
    <t>Balissa</t>
  </si>
  <si>
    <t xml:space="preserve">{06-07-2026  ocm ran 18}: 05.06.26: Carte MPT disponile à Yaoundé, expédition en cours vers Ngaoundéré, ETD=08.06.26
05/06/2026: Carte MPT reçue faulty, nouvelle commande en cours
04.06.26: FME actually at transport agency waiting for spare, if arrived this night he’ll restored site tomorrow 05-June
03/06/2026 Carte MPT faulty disponible a ngaoundere expedition vers nagouandal ETD=04/06/2026 
02/06/2026 FME en route ETA=11H30 UTC | FME sur site et travaux en cours
01/05/2026 ODU dismantled and shipment to Ngaoundal ETD 02/06/2026 
31.05.26: ODU dismantled at NDEMBA and shipped to Ngaoundere WH ETD 30-May and shipment to Ngaoundal ETD 31-May
28/05/2026 ODU dismantled at NDEMBA and shipped to Ngaoundere WH ETD 30-May and shipment to Ngaoundal ETD 31-May
</t>
  </si>
  <si>
    <t>05.06.26 Carte MPT disponile à Yaoundé, expédition en cours vers Ngaoundéré, ETD=08.06.26
05/06/2026 Carte MPT reçue faulty, nouvelle commande en cours
04.06.26 FME actually at transport agency waiting for spare, if arrived this night he’ll restored site tomorrow 05-June
03/06/2026 Carte MPT faulty disponible a ngaoundere expedition vers nagouandal ETD=04/06/2026
02/06/2026 FME en route ETA=11H30 UTC | FME sur site et travaux en cours
01/05/2026 ODU dismantled and shipment to Ngaoundal ETD 02/06/2026
31.05.26 ODU dismantled at NDEMBA and shipped to Ngaoundere WH ETD 30-May and shipment to Ngaoundal ETD 31-May
28/05/2026 ODU dismantled at NDEMBA and shipped to Ngaoundere WH ETD 30-May and shipment to Ngaoundal ETD 31-May</t>
  </si>
  <si>
    <t>Lewa-MTN</t>
  </si>
  <si>
    <t>ADM_066</t>
  </si>
  <si>
    <t>Lewa</t>
  </si>
  <si>
    <t xml:space="preserve"> {06-07-2026   incident }:   impact by  ADM_066_N_Lewa-MTN  Update 8
2026-06-07
Chassis, Carte core et Carte flash
disponible dans la zone.
Cartes MPT ACC disponible Garoua.
ETD 08/05/2026        ;         {06-07-2026  ocm ran 18}: 07/06/2026 La foudre à frappé hier Nuit et à grillé tout le chasis sur le site de Lewa. J'aurais besoin de:
- un chasis
- 04 cartes MPT
- 01 carte core
- et une carte flash</t>
  </si>
  <si>
    <t>{06-07-2026 incident } impact by ADM_066_N_Lewa-MTN Update 8
2026-06-07
Chassis, Carte core et Carte flash
disponible dans la zone.
Cartes MPT ACC disponible Garoua.
ETD 08/05/2026 07/06/2026 La foudre à frappé hier Nuit et à grillé tout le chasis sur le site de Lewa. J'aurais besoin de - un chasis
- 04 cartes MPT
- 01 carte core
- et une carte flash</t>
  </si>
  <si>
    <t>Bepanda-TSF</t>
  </si>
  <si>
    <t>{Hourly-IHS}: 07/06/2026 06:07 16:53:00 46 Grid only no space // awaiting grid return        ;         {06-07-2026 cell zte}: 03/06/2026 : Relance faite ce jour a ihs || Le site est un grid only, l'instabilite est due aux fluctuations du grid 
01/06/2026 : Relance faite ce jour  || LE site est instable suite aux fluctuations d energie, actuellement le site est sur grid.
30/05/2026 : Power issue || Mail sent to IHS        ;         {06-07-2026 cell zte}: 03/06/2026 : Relance faite ce jour a ihs || Le site est un grid only, l'instabilite est due aux fluctuations du grid 
01/06/2026 : Relance faite ce jour  || LE site est instable suite aux fluctuations d energie, actuellement le site est sur grid.
30/05/2026 : Power issue || Mail sent to IHS</t>
  </si>
  <si>
    <t>07/06/2026 06 07 16 53 00 46 Grid only no space // awaiting grid return 03/06/2026 Relance faite ce jour a ihs || Le site est un grid only, l'instabilite est due aux fluctuations du grid
01/06/2026 Relance faite ce jour || LE site est instable suite aux fluctuations d energie, actuellement le site est sur grid.
30/05/2026 Power issue || Mail sent to IHS 03/06/2026 Relance faite ce jour a ihs || Le site est un grid only, l'instabilite est due aux fluctuations du grid
01/06/2026 Relance faite ce jour || LE site est instable suite aux fluctuations d energie, actuellement le site est sur grid.
30/05/2026 Power issue || Mail sent to IHS</t>
  </si>
  <si>
    <t>Institute-Samba-New</t>
  </si>
  <si>
    <t>CTR_868</t>
  </si>
  <si>
    <t>{06-07-2026 ticket}: INC-20260607-00016878...2026-06-07 21:08:31...grid outage grid only site /awaitin grid return...user:OCM_NOC.CAMUSAT</t>
  </si>
  <si>
    <t>.2026-06-07 21 08 31.grid outage grid only site /awaitin grid return.user OCM_NOC.CAMUSAT</t>
  </si>
  <si>
    <t>Mvog-Betsi</t>
  </si>
  <si>
    <t>CTR_016</t>
  </si>
  <si>
    <t>{06-07-2026 cell zte}: 06/06/2026 : Need BO RAN analysis || Site unstable FME check GPS connectivity and module         ;         {06-07-2026 cell zte}: 06/06/2026 : Need BO RAN analysis || Site unstable FME check GPS connectivity and module         ;         {06-07-2026 ticket}: INC-20260607-00019632...	Hybrid Gen Site, site went down due to hybrid system dysfunctionning//He reseted and Gen manaully started...GE Fault</t>
  </si>
  <si>
    <t>06/06/2026 Need BO RAN analysis || Site unstable FME check GPS connectivity and module 06/06/2026 Need BO RAN analysis || Site unstable FME check GPS connectivity and module . Hybrid Gen Site, site went down due to hybrid system dysfunctionning//He reseted and Gen manaully started.GE Fault</t>
  </si>
  <si>
    <t>Bonabappe-II</t>
  </si>
  <si>
    <t>LIT_362</t>
  </si>
  <si>
    <t>{06-07-2026  ocm ran 18}: Power status check Ongoing        ;         {06-07-2026 ticket}: INC-20260607-00013784...2026-06-07 19:59:13...Grid outage Site went down before Gen start due to poor backup // Gen started automatically. Power issue resolved at 05:40 PM., but BTS remains down after power reset. The Fme TX Canete (677978199) from Huawei is informed...user:OCM_NOC.IHS</t>
  </si>
  <si>
    <t>.2026-06-07 19 59 13.Grid outage Site went down before Gen start due to poor backup // Gen started automatically. Power issue resolved at 05 40 PM., but BTS remains down after power reset. The Fme TX Canete (677978199) from Huawei is informed.user OCM_NOC.IHS</t>
  </si>
  <si>
    <t>Ekoumdoum-Chatel</t>
  </si>
  <si>
    <t>CTR_762</t>
  </si>
  <si>
    <t>{06-07-2026 cell zte}: 07/06/2026 : Site down        ;         {06-07-2026 ticket}: INC-20260607-00007448...2026-06-07 12:09:48...technician is on site...Others...user:OCM_NOC.CAMUSAT</t>
  </si>
  <si>
    <t>07/06/2026 Site down .2026-06-07 12 09 48.technician is on site.user OCM_NOC.CAMUSAT</t>
  </si>
  <si>
    <t>Danfili-MTN-IHS</t>
  </si>
  <si>
    <t>ADM_122</t>
  </si>
  <si>
    <t>Gen-Solar AER</t>
  </si>
  <si>
    <t>Danfili</t>
  </si>
  <si>
    <t xml:space="preserve"> {06-07-2026 groupe whatsapp   incident }:  ADM_122_N_Danfili-MTN-IHS_G -{ Power alarm on site, IHS activated }     ,{06-07-2026  ocm ran 18}: Power status check Ongoing        ;         {06-07-2026 ticket}: INC-20260607-00014277</t>
  </si>
  <si>
    <t>{06-07-2026 groupe whatsapp incident } ADM_122_N_Danfili-MTN-IHS_G - ,</t>
  </si>
  <si>
    <t>Yegeassi</t>
  </si>
  <si>
    <t>CTR_770</t>
  </si>
  <si>
    <t xml:space="preserve"> {06-07-2026 groupe whatsapp   incident }:  CTR_770_Z_Yegeassi(CTR-770) -{ Chassis MSS8 faulty. Celui remis a été utilisé sur Mimboman-Ecole, point au niveau de OCM }     ;{06-07-2026 cell zte}: 01/06/2026 : Site down
29/05/2026 : Site down        ;         {06-07-2026 cell zte}: 01/06/2026 : Site down
29/05/2026 : Site down</t>
  </si>
  <si>
    <t>{06-07-2026 groupe whatsapp incident } CTR_770_Z_Yegeassi(CTR-770) -{ Chassis MSS8 faulty. Celui remis a été utilisé sur Mimboman-Ecole, point au niveau de OCM } 01/06/2026 Site down
29/05/2026 Site down 01/06/2026 Site down
29/05/2026 Site down</t>
  </si>
  <si>
    <t>Etoa-Meki-II</t>
  </si>
  <si>
    <t>CTR_682</t>
  </si>
  <si>
    <t>{06-07-2026 ticket}: INC-20260607-00018778...2026-06-07 22:33:26... grid only site grid outage / grid return awaited...Grid Outage...user:OCM_NOC.CAMUSAT</t>
  </si>
  <si>
    <t>.2026-06-07 22 33 26. grid only site grid outage / grid return awaited.Grid Outage.user OCM_NOC.CAMUSAT</t>
  </si>
  <si>
    <t>Biscuiterie-IHS</t>
  </si>
  <si>
    <t>CTR_157</t>
  </si>
  <si>
    <t>{06-07-2026 cell zte}: 06/06/2026 : Check GPS connectivity and module
05/06/2026 : Need BO RAN analysis        ;         {06-07-2026 cell zte}: 06/06/2026 : Check GPS connectivity and module
05/06/2026 : Need BO RAN analysis        ;         {06-07-2026 ticket}: INC-20260607-00019641...Auto TT closure RCA...GE Fault</t>
  </si>
  <si>
    <t>06/06/2026 Check GPS connectivity and module
05/06/2026 Need BO RAN analysis 06/06/2026 Check GPS connectivity and module
05/06/2026 Need BO RAN analysis .Auto TT closure RCA.GE Fault</t>
  </si>
  <si>
    <t>Dschang-Foto-II</t>
  </si>
  <si>
    <t>OST_123</t>
  </si>
  <si>
    <t>Dschang</t>
  </si>
  <si>
    <t xml:space="preserve"> {06-07-2026 groupe whatsapp   incident }:  *OST_123_H_Dschang-Foto-II*
*INC-20260608-00001303* , CAMUSAT Verifie l'etat de l'energie sur le site      ; {06-07-2026  ocm ran 18}: Power status check Ongoing        ;         {06-07-2026 ticket}: INC-20260607-00013862...2026-06-07 22:27:47...user:OCM_NOC.CAMUSAT</t>
  </si>
  <si>
    <t>{06-07-2026 groupe whatsapp incident } *OST_123_H_Dschang-Foto-II*
** , CAMUSAT Verifie l'etat de l'energie sur le site .2026-06-07 22 27 47.user OCM_NOC.CAMUSAT</t>
  </si>
  <si>
    <t>Satcom</t>
  </si>
  <si>
    <t>CTR_199</t>
  </si>
  <si>
    <t>{06-07-2026 ticket}: INC-20260607-00018472...Auto TT closure RCA...GE Fault</t>
  </si>
  <si>
    <t>.Auto TT closure RCA.GE Fault</t>
  </si>
  <si>
    <t>Anguissa-IHS</t>
  </si>
  <si>
    <t>CTR_478</t>
  </si>
  <si>
    <t xml:space="preserve">{06-07-2026 BO RAN}: Power alarms recorded on the MPR Power investigation is needed </t>
  </si>
  <si>
    <t>Power alarms recorded on the MPR Power investigation is needed</t>
  </si>
  <si>
    <t>International-Airport-IHS</t>
  </si>
  <si>
    <t>LIT_125</t>
  </si>
  <si>
    <t>Grid-Gen (LL)</t>
  </si>
  <si>
    <t xml:space="preserve">{06-07-2026 ticket}: INC-20260607-00017244...Grid outage, grid only site </t>
  </si>
  <si>
    <t>.Grid outage, grid only site</t>
  </si>
  <si>
    <t>Dibamba-Centrale-Electrique</t>
  </si>
  <si>
    <t>LIT_617</t>
  </si>
  <si>
    <t>HGB</t>
  </si>
  <si>
    <t>Dibamba</t>
  </si>
  <si>
    <t>{06-07-2026 ticket}: INC-20260607-00016521...2026-06-07 21:04:34...Our FME is managing with the security guard...GE Fault...user:OCM_NOC.CAMUSAT</t>
  </si>
  <si>
    <t>.2026-06-07 21 04 34.Our FME is managing with the security guard.GE Fault.user OCM_NOC.CAMUSAT</t>
  </si>
  <si>
    <t>CTR_1126_Z_SOA-Eglise-Catholique</t>
  </si>
  <si>
    <t>CTR_1126</t>
  </si>
  <si>
    <t>Soa</t>
  </si>
  <si>
    <t>CTR_1100_Z_Mendong-Marche</t>
  </si>
  <si>
    <t>CTR_1100</t>
  </si>
  <si>
    <t xml:space="preserve">{06-07-2026 BO RAN}: Site unstable  FME should check FCE_1_18 Board Status &amp; GPS connectivity </t>
  </si>
  <si>
    <t>Site unstable FME should check FCE_1_18 Board Status &amp; GPS connectivity</t>
  </si>
  <si>
    <t>Buea-Low-Boduma-MTN</t>
  </si>
  <si>
    <t>SUO_170</t>
  </si>
  <si>
    <t>Ndop</t>
  </si>
  <si>
    <t>NRO_006</t>
  </si>
  <si>
    <t>Grid-Hybrid-Gen</t>
  </si>
  <si>
    <t xml:space="preserve"> {06-07-2026   incident }:   impact by NRO_006_H_Ndop    Update 3
2026-06-07
Please to involve the FME to check
he MPR status at NDOP as the MPR
is not supervised  , Update 4
2026-06-07
RM Activated is managing. Note That
the site is located under NOSO Area
and intervention can't be done in the
night. We will freeze the TT for the
night        ;         {Hourly-IHS}: 07/06/2026 15:36 2:24:00 53.30 FME Kelvin is managing with level 0        ;         {06-07-2026  ocm ran 18}: analyse bo tx en cours </t>
  </si>
  <si>
    <t>{06-07-2026 incident } impact by NRO_006_H_Ndop Update 3
2026-06-07
Please to involve the FME to check
he MPR status at NDOP as the MPR
is not supervised , Update 4
2026-06-07
RM Activated is managing. Note That
the site is located under NOSO Area
and intervention can't be done in the
night. We will freeze the TT for the
night 07/06/2026 15 36 2 24 00 53.30 FME Kelvin is managing with level 0 analyse bo tx en cours</t>
  </si>
  <si>
    <t>Ndop-Kake-Hill</t>
  </si>
  <si>
    <t>NRO_137</t>
  </si>
  <si>
    <t xml:space="preserve"> {06-07-2026   incident }:   impact by NRO_006_H_Ndop    Update 3
2026-06-07
Please to involve the FME to check
he MPR status at NDOP as the MPR
is not supervised  , Update 4
2026-06-07
RM Activated is managing. Note That
the site is located under NOSO Area
and intervention can't be done in the
night. We will freeze the TT for the
night        ;         {06-07-2026  ocm ran 18}: analyse bo tx en cours </t>
  </si>
  <si>
    <t>{06-07-2026 incident } impact by NRO_006_H_Ndop Update 3
2026-06-07
Please to involve the FME to check
he MPR status at NDOP as the MPR
is not supervised , Update 4
2026-06-07
RM Activated is managing. Note That
the site is located under NOSO Area
and intervention can't be done in the
night. We will freeze the TT for the
night analyse bo tx en cours</t>
  </si>
  <si>
    <t>Mewoulo-II-MTN</t>
  </si>
  <si>
    <t>CTR_846</t>
  </si>
  <si>
    <t xml:space="preserve">{06-07-2026 cell zte}: 06/06/2026 : Need BO RAN analysis || Check GPS connectivity and module &amp; Power investigation          ;         {06-07-2026 cell zte}: 06/06/2026 : Need BO RAN analysis || Check GPS connectivity and module &amp; Power investigation  </t>
  </si>
  <si>
    <t>06/06/2026 Need BO RAN analysis || Check GPS connectivity and module &amp; Power investigation 06/06/2026 Need BO RAN analysis || Check GPS connectivity and module &amp; Power investigation</t>
  </si>
  <si>
    <t>Bonamatoumbe</t>
  </si>
  <si>
    <t>LIT_203</t>
  </si>
  <si>
    <t>{Hourly-IHS}: 07/06/2026 15:59 2:00:31 45.6 Intervention after Q Prince        ;         {06-07-2026 cell zte}: 07/06/2026 : Site down        ;         {06-07-2026 ticket}: INC-20260607-00016386...GE Fault</t>
  </si>
  <si>
    <t>07/06/2026 15 59 2 00 31 45.6 Intervention after Q Prince 07/06/2026 Site down .GE Fault</t>
  </si>
  <si>
    <t>Masque</t>
  </si>
  <si>
    <t>CTR_020</t>
  </si>
  <si>
    <t>{06-07-2026 cell zte}: FME should check GPS antenna feeder, cable, module        ;         {06-07-2026 cell zte}: FME should check GPS antenna feeder, cable, module</t>
  </si>
  <si>
    <t>FME should check GPS antenna feeder, cable, module FME should check GPS antenna feeder, cable, module</t>
  </si>
  <si>
    <t>Bfsam-Water-Tower-IHS</t>
  </si>
  <si>
    <t>OST_172</t>
  </si>
  <si>
    <t>Bafoussam</t>
  </si>
  <si>
    <t>{06-07-2026 cell huawei}: 07/06/2026 : Power issue || Mail sent to IHS        ;         {06-07-2026 cell huawei}: 07/06/2026 : Power issue || Mail sent to IHS        ;         {06-07-2026  ocm ran 18}: Power status check Ongoing</t>
  </si>
  <si>
    <t>07/06/2026 Power issue || Mail sent to IHS 07/06/2026 Power issue || Mail sent to IHS</t>
  </si>
  <si>
    <t>Soa-University-Stadium</t>
  </si>
  <si>
    <t>CTR_674</t>
  </si>
  <si>
    <t xml:space="preserve">{06-07-2026 cell zte}: 
01/06/2026 : Need BO TX analysis || Action en cours avec le BO IP ,BO TX et BO RAN 
31/05/2026 : Carte faulty || En attente du RI pour soumettre a ZTE pour le remplacement de la carte 
30/05/2026 : FME should Plug out/Plug in, swap with another board || FME activer pour investiguation  || ETA : 14H || Intervention en cours  || UP apres Swapp de la carte spare par la carte Main         ;         {06-07-2026 cell zte}: 
07/06/2026 : Feedback BO TX : The MPR link Soa-University_Soa was highly congested on 04/06 all seem currently ok so please to check again
01/06/2026 : Need BO TX analysis || Action en cours avec le BO IP ,BO TX et BO RAN 
31/05/2026 : Carte faulty || En attente du RI pour soumettre a ZTE pour le remplacement de la carte 
30/05/2026 : FME should Plug out/Plug in, swap with another board || FME activer pour investiguation  || ETA : 14H || Intervention en cours  || UP apres Swapp de la carte spare par la carte Main </t>
  </si>
  <si>
    <t>01/06/2026 Need BO TX analysis || Action en cours avec le BO IP ,BO TX et BO RAN
31/05/2026 Carte faulty || En attente du RI pour soumettre a ZTE pour le remplacement de la carte
30/05/2026 FME should Plug out/Plug in, swap with an board || FME activer pour investiguation || ETA 14H || Intervention en cours || UP apres Swapp de la carte spare par la carte Main 07/06/2026 Feedback BO TX The MPR link Soa-University_Soa was highly congested on 04/06 all seem currently ok so please to check again
01/06/2026 Need BO TX analysis || Action en cours avec le BO IP ,BO TX et BO RAN
31/05/2026 Carte faulty || En attente du RI pour soumettre a ZTE pour le remplacement de la carte
30/05/2026 FME should Plug out/Plug in, swap with an board || FME activer pour investiguation || ETA 14H || Intervention en cours || UP apres Swapp de la carte spare par la carte Main</t>
  </si>
  <si>
    <t>Ndiam-badji</t>
  </si>
  <si>
    <t>NRD_154</t>
  </si>
  <si>
    <t>Ndiam-Badji</t>
  </si>
  <si>
    <t>{06-07-2026 cell nokia}: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        ;         {06-07-2026 cell nokia}: 
06/06/2026:Action avec le level0||Cde la SPARE en cour
05/06/2026 : Le FME &amp; le rigger ont ete victime d'un accident hier en partant a MAYO NONDE pour intervention || Intervention ce jour avec le LO || ETA 12H
04/06/2026 : Le FME etant pour MAYO-NONDE, il fera des actions le LO. Si pas productive, ETA 05062026
03/06/2026 :  Check breaker and  interconnection (sfp, optical fiber) between system and radio module, swap its if needed||action avec le level0 en cour||Intervetion apres le site de mayo-nonde</t>
  </si>
  <si>
    <t>06/06/2026 Action avec le level0 || Cde la SPARE en cour
05/06/2026 Le FME &amp; le rigger ont ete victime d'un accident hier en partant a MAYO NONDE pour intervention || Intervention ce jour avec le LO || ETA 12H
04/06/2026 Le FME etant pour MAYO-NONDE, il fera des actions le LO. Si pas productive, ETA 05062026
03/06/2026 Check breaker and interconnection (sfp, optical fiber) between system and radio module, swap its if needed || action avec le level0 en cour || Intervetion apres le site de mayo-nonde 06/06/2026 Action avec le level0 || Cde la SPARE en cour
05/06/2026 Le FME &amp; le rigger ont ete victime d'un accident hier en partant a MAYO NONDE pour intervention || Intervention ce jour avec le LO || ETA 12H
04/06/2026 Le FME etant pour MAYO-NONDE, il fera des actions le LO. Si pas productive, ETA 05062026
03/06/2026 Check breaker and interconnection (sfp, optical fiber) between system and radio module, swap its if needed || action avec le level0 en cour || Intervetion apres le site de mayo-nonde</t>
  </si>
  <si>
    <t>Santchou</t>
  </si>
  <si>
    <t>OST_038</t>
  </si>
  <si>
    <t>{06-07-2026 cell nokia}: 
04/06/2026 : Relance faite a HW SPMS
03/03/2026: FRMF faulty et cde effectuee a HW SPMS 
02/06/2026:Escalade faite au RM.||Intervention en cour ||FRMF faulty
29/05/2026 : Need BO RAN analysis  || FME should check and replace FRGU (pn=472956A.102) || ETA 18H        ;         {06-07-2026 cell nokia}: 
04/06/2026 : Relance faite a HW SPMS
03/03/2026: FRMF faulty et cde effectuee a HW SPMS 
02/06/2026:Escalade faite au RM.||Intervention en cour ||FRMF faulty
29/05/2026 : Need BO RAN analysis  || FME should check and replace FRGU (pn=472956A.102) || ETA 18H</t>
  </si>
  <si>
    <t>04/06/2026 Relance faite a HW SPMS
03/03/2026 FRMF faulty et cde effectuee a HW SPMS
02/06/2026 Escalade faite au RM. || Intervention en cour || FRMF faulty
29/05/2026 Need BO RAN analysis || FME should check and replace FRGU (pn=472956A.102) || ETA 18H 04/06/2026 Relance faite a HW SPMS
03/03/2026 FRMF faulty et cde effectuee a HW SPMS
02/06/2026 Escalade faite au RM. || Intervention en cour || FRMF faulty
29/05/2026 Need BO RAN analysis || FME should check and replace FRGU (pn=472956A.102) || ETA 18H</t>
  </si>
  <si>
    <t>Carriere</t>
  </si>
  <si>
    <t>CTR_720</t>
  </si>
  <si>
    <t xml:space="preserve">{06-07-2026 BO RAN}: Site u stable  FME should check GPS connectivity and module </t>
  </si>
  <si>
    <t>Site u stable FME should check GPS connectivity and module</t>
  </si>
  <si>
    <t>Oyomabang-marche</t>
  </si>
  <si>
    <t>CTR_718</t>
  </si>
  <si>
    <t xml:space="preserve">{06-07-2026 BO RAN}: Site unstable  FME should check GPS connectivity and module </t>
  </si>
  <si>
    <t>Site unstable FME should check GPS connectivity and module</t>
  </si>
  <si>
    <t>An-Marche-Melen</t>
  </si>
  <si>
    <t>CTR_372</t>
  </si>
  <si>
    <t>{06-07-2026 cell zte}: CEX OCM        ;         {06-07-2026 cell zte}: CEX OCM</t>
  </si>
  <si>
    <t>CEX OCM CEX OCM</t>
  </si>
  <si>
    <t>Obili-New</t>
  </si>
  <si>
    <t>CTR_540</t>
  </si>
  <si>
    <t xml:space="preserve">{06-07-2026 cell zte}: 06/06/2026 : Need BO RAN analysis || Site unstable FME check GPS connectivity and module         ;         {06-07-2026 cell zte}: 06/06/2026 : Need BO RAN analysis || Site unstable FME check GPS connectivity and module </t>
  </si>
  <si>
    <t>06/06/2026 Need BO RAN analysis || Site unstable FME check GPS connectivity and module 06/06/2026 Need BO RAN analysis || Site unstable FME check GPS connectivity and module</t>
  </si>
  <si>
    <t>Science</t>
  </si>
  <si>
    <t>CTR_249</t>
  </si>
  <si>
    <t>Endoum-Carrefour</t>
  </si>
  <si>
    <t>SUD_108</t>
  </si>
  <si>
    <t>Minton</t>
  </si>
  <si>
    <t>Bayomen-Kalong-MTN</t>
  </si>
  <si>
    <t>CTR_364</t>
  </si>
  <si>
    <t>Bayomen-Kalong</t>
  </si>
  <si>
    <t xml:space="preserve">{06-07-2026 BO RAN}: Site unstable due to Circuit breaker  Check circuit breaker </t>
  </si>
  <si>
    <t>Site unstable due to Circuit breaker Check circuit breaker</t>
  </si>
  <si>
    <t>Meyong-Meyeme</t>
  </si>
  <si>
    <t>CTR_122</t>
  </si>
  <si>
    <t>Biyemassi-Crf-IHS</t>
  </si>
  <si>
    <t>CTR_538</t>
  </si>
  <si>
    <t>{06-07-2026 BO RAN}: GNSS antenna feeder link fault GPS Link need to check</t>
  </si>
  <si>
    <t>GNSS antenna feeder link fault GPS Link need to check</t>
  </si>
  <si>
    <t>Etam-Bafia</t>
  </si>
  <si>
    <t>CTR_721</t>
  </si>
  <si>
    <t xml:space="preserve">{06-07-2026 cell zte}: 05/06/2026 : FME sur site || Itervention en cours || Feedback FME : Module GPS faulty 
03/06/2026 : Probleme d'access ||Demande d'access a Camusat || Mail initier pour l'access 
01/06/2026 : Need BO RAN analysis || Site unstable due to GPS issue || Check GPS connectuvity and module || Probleme d'access avec Camusat || Negociation en cours || Intervention reportee pour demain         ;         {06-07-2026 cell zte}: 05/06/2026 : FME sur site || Itervention en cours || Feedback FME : Module GPS faulty 
03/06/2026 : Probleme d'access ||Demande d'access a Camusat || Mail initier pour l'access 
01/06/2026 : Need BO RAN analysis || Site unstable due to GPS issue || Check GPS connectuvity and module || Probleme d'access avec Camusat || Negociation en cours || Intervention reportee pour demain </t>
  </si>
  <si>
    <t>05/06/2026 FME sur site || Itervention en cours || Feedback FME Module GPS faulty
03/06/2026 Probleme d'access || Demande d'access a Camusat || Mail initier pour l'access
01/06/2026 Need BO RAN analysis || Site unstable due to GPS issue || Check GPS connectuvity and module || Probleme d'access avec Camusat || Negociation en cours || Intervention reportee pour demain 05/06/2026 FME sur site || Itervention en cours || Feedback FME Module GPS faulty
03/06/2026 Probleme d'access || Demande d'access a Camusat || Mail initier pour l'access
01/06/2026 Need BO RAN analysis || Site unstable due to GPS issue || Check GPS connectuvity and module || Probleme d'access avec Camusat || Negociation en cours || Intervention reportee pour demain</t>
  </si>
  <si>
    <t>Obokoue-I</t>
  </si>
  <si>
    <t>CTR_906</t>
  </si>
  <si>
    <t>Mbankomo</t>
  </si>
  <si>
    <t>{06-07-2026  ocm ran 18}: 05.06.26: Camusat:  Site foudroyé transfert du matériel en cours, ETR=07.06.26
04/06/2026 Camusat:  Site foudroyé transfert du matériel en cours, ETR=07.06.26
04/06/2026 | Instabilité power sur le site, escalade faite au L2 de Camusat
03/06/2026 FME en route ETA=13H30 UTC | Instabilité power sur le site, escalade faite au L2 de Camusat
02.06.26: Besoin d'un FME sur site pour vérifier la chaine antennaire de l'ODU 3.1; CM-20260602-00004683; FME Henri activé pour investigations, update aSAP</t>
  </si>
  <si>
    <t>05.06.26 Camusat Site foudroyé transfert du matériel en cours, ETR=07.06.26
04/06/2026 Camusat Site foudroyé transfert du matériel en cours, ETR=07.06.26
04/06/2026 | Instabilité power sur le site, escalade faite au L2 de Camusat
03/06/2026 FME en route ETA=13H30 UTC | Instabilité power sur le site, escalade faite au L2 de Camusat
02.06.26 Besoin d'un FME sur site pour vérifier la chaine antennaire de l'ODU 3.1; FME Henri activé pour investigations, update aSAP</t>
  </si>
  <si>
    <t>Yde-University</t>
  </si>
  <si>
    <t>CTR_447</t>
  </si>
  <si>
    <t xml:space="preserve">{06-07-2026 cell zte}: 06/06/2026 : FME sur site || Intervention en cours || L'alarme n'est pas sur site || Interferance sur de GPS  
04/06/2026: Fme en route pour le site || ETA : 14 H || Forte pluie dans la zone || Evidences partagees. Intervention reportees pour demain || ETA : 05/06/2026 
02/06/2026 : Need BO RAN analysis || Check GPS connectivity and module || FME presentement sur le site de obam-plateau. Intervention prevue pour demain || ETA : 04062026         ;         {06-07-2026 cell zte}: 06/06/2026 : FME sur site || Intervention en cours || L'alarme n'est pas sur site || Interferance sur de GPS  
04/06/2026: Fme en route pour le site || ETA : 14 H || Forte pluie dans la zone || Evidences partagees. Intervention reportees pour demain || ETA : 05/06/2026 
02/06/2026 : Need BO RAN analysis || Check GPS connectivity and module || FME presentement sur le site de obam-plateau. Intervention prevue pour demain || ETA : 04062026 </t>
  </si>
  <si>
    <t>06/06/2026 FME sur site || Intervention en cours || L'alarme n'est pas sur site || Interferance sur de GPS
04/06/2026 Fme en route pour le site || ETA 14 H || Forte pluie dans la zone || Evidences partagees. Intervention reportees pour demain || ETA 05/06/2026
02/06/2026 Need BO RAN analysis || Check GPS connectivity and module || FME presentement sur le site de obam-plateau. Intervention prevue pour demain || ETA 04062026 06/06/2026 FME sur site || Intervention en cours || L'alarme n'est pas sur site || Interferance sur de GPS
04/06/2026 Fme en route pour le site || ETA 14 H || Forte pluie dans la zone || Evidences partagees. Intervention reportees pour demain || ETA 05/06/2026
02/06/2026 Need BO RAN analysis || Check GPS connectivity and module || FME presentement sur le site de obam-plateau. Intervention prevue pour demain || ETA 04062026</t>
  </si>
  <si>
    <t>Mbalgong-Carrefour</t>
  </si>
  <si>
    <t>CTR_831</t>
  </si>
  <si>
    <t>Mbankolo-Camtel-II</t>
  </si>
  <si>
    <t>CTR_680</t>
  </si>
  <si>
    <t>{06-07-2026 cell zte}: 06/06/2026 : Feedback BO RAN : Check GPS connectivity and module
05/06/2026 : Need BO RAN analysis        ;         {06-07-2026 cell zte}: 06/06/2026 : Feedback BO RAN : Check GPS connectivity and module
05/06/2026 : Need BO RAN analysis</t>
  </si>
  <si>
    <t>06/06/2026 Feedback BO RAN Check GPS connectivity and module
05/06/2026 Need BO RAN analysis 06/06/2026 Feedback BO RAN Check GPS connectivity and module
05/06/2026 Need BO RAN analysis</t>
  </si>
  <si>
    <t>Messa-Carriere</t>
  </si>
  <si>
    <t>CTR_382</t>
  </si>
  <si>
    <t>Amchide</t>
  </si>
  <si>
    <t>EXN_007</t>
  </si>
  <si>
    <t>Nkan</t>
  </si>
  <si>
    <t>LIT_514</t>
  </si>
  <si>
    <t xml:space="preserve">{06-07-2026  ocm ran 18}: 05.06.26: Problème d'accès pas encore résolu. Point au niveau de IHS
04.06.26: Problème d'accès pas encore résolu. Point au niveau de IHS
04/06/2026 Access issue is persisting according to FME . But he will confirm when reached  on site ETA:15h
03/06/2026 ODU recu fme en route pour pouma makob 
02.06.26: Problème d'accès résolu et ODU en cours d'expédition de Yaoundé pour Edea, ETD=03.06.26
01.06.26: Problème d'accès, la bailleuresse refuse tout accès au site - Escalated to L2
31.05.26: Problème d'accès, la bailleuresse refuse tout accès au site - Escalated to L2
30.05.26: Problème d'accès à cause du bailleur, escalade faite à IHS
29/05/2026 Spare shipped from YAOUNDE to EDEA to restore NKAN ETD 29-May-26
28/05/2026 ODU 3DB20859AC ETD=29/05/2026
27/05/2026 Retirer 01 ODU 3DB20859AC à Dumbu_NRO_046 pour remplacer à LIT_514_N_Nkan Deadline NOSO RED ZONE
23/05/2026 ODU MPT 7/8 GHz  3DB20859ACAA07 pas disponible au WH point tranmis a OCM 
22/05/2026 ODU MPT 7/8 GHz  3DB20859ACAA07 pas disponible au WH point tranmis a OCM </t>
  </si>
  <si>
    <t>05.06.26 Problème d'accès pas encore résolu. Point au niveau de IHS
04.06.26 Problème d'accès pas encore résolu. Point au niveau de IHS
04/06/2026 Access issue is persisting according to FME . But he will confirm when reached on site ETA 15h
03/06/2026 ODU recu fme en route pour pouma makob
02.06.26 Problème d'accès résolu et ODU en cours d'expédition de Yaoundé pour Edea, ETD=03.06.26
01.06.26 Problème d'accès, la bailleuresse refuse tout accès au site - Escalated to L2
31.05.26 Problème d'accès, la bailleuresse refuse tout accès au site - Escalated to L2
30.05.26 Problème d'accès à cause du bailleur, escalade faite à IHS
29/05/2026 Spare shipped from YAOUNDE to EDEA to restore NKAN ETD 29-May-26
28/05/2026 ODU 3DB20859AC ETD=29/05/2026
27/05/2026 Retirer 01 ODU 3DB20859AC à Dumbu_NRO_046 pour remplacer à LIT_514_N_Nkan Deadline NOSO RED ZONE
23/05/2026 ODU MPT 7/8 GHz 3DB20859ACAA07 pas disponible au WH point tranmis a OCM
22/05/2026 ODU MPT 7/8 GHz 3DB20859ACAA07 pas disponible au WH point tranmis a OCM</t>
  </si>
  <si>
    <t>Ndjokloumbe-IHS</t>
  </si>
  <si>
    <t>LIT_500</t>
  </si>
  <si>
    <t>Ndjokloumbe</t>
  </si>
  <si>
    <t xml:space="preserve">{06-07-2026  ocm ran 18}: Impacted by Messondo_G9U9U21_LIT_134 (TX issue)   ,  {06-07-2026 groupe whatsapp   incident }:  Messondo_G9U9U21_LIT_134 -{ FME SUR SITE DE EBOMBE TRAVAUX EN COURS  } </t>
  </si>
  <si>
    <t>Impacted by Messondo_G9U9U21_LIT_134 (TX issue) , {06-07-2026 groupe whatsapp incident } Messondo_G9U9U21_LIT_134 -{ FME SUR SITE DE EBOMBE TRAVAUX EN COURS }</t>
  </si>
  <si>
    <t>LIT_134</t>
  </si>
  <si>
    <t>Darrack-MTN-IHS</t>
  </si>
  <si>
    <t>EXN_133</t>
  </si>
  <si>
    <t>Darrack</t>
  </si>
  <si>
    <t>Alou-IHS</t>
  </si>
  <si>
    <t>SUO_133</t>
  </si>
  <si>
    <t>Alou</t>
  </si>
  <si>
    <t>{06-07-2026  ocm ran 18}: 07/06/2026 Access not granted for now we keep trying
06/06/2026 Apres remplacement de L'ODU et realignelent site toujours down travaux fontem negocition d'accès en cours 
05/06/2026 Access issue due to insecurity
04/06/2026 |FME on the way to site ETA14PM
03/06/2026 Access issue due to insecurity
 02.06.26: ODU to be replaced. Access issue due to insecurity
01.06.26: ODU to be replaced. Access issue due to insecurity PALN FOR 02/01/2026 
31.05.26: ODU to be replaced. Access issue due to insecurity
30.05.26: ODU to be replaced. Access issue due to insecurity
28/05/2026 ongoing | plan for satuday 30/05/2026 accornding to access 
27/05/2026 Spare already available access negociation ongoing
26/05/2026 ODUs MPT 7/8 G faulty 3DB20858AB 3DB20859AB recu negociation de l'accès en cours 
26/05/2026 ODUs MPT 7/8 G faulty 3DB20858AB 3DB20859AB ODu toujours pas recu relnce SPM Update dans 1heure
22.05.26: ODUs MPT 7/8 G faulty 3DB20858AB 3DB20859AB. recu ce jour expedition en cours vers bamenda ETD=23/05/2026
21.05.26: ODUs MPT 7/8 G faulty 3DB20858AB 3DB20859AB. Commande passée à OCM
16.05.26: ODUs MPT 7/8 G faulty 3DB20858AB 3DB20859AB. Commande passée à OCM
15/05/2026 ODU 7/8 MPT GHZ  3DB20858AB  Faulty commande en cours UPDATE ASAP 
14/05/2026 Access not granted for now we keep trying
13/05/2026 FME on the way to site ETA12AM
13.05.2026: Access not granted for now we keep trying
12.05.2026: Access not granted for now we keep trying
11/05/2026 |Access not granted for this site 
10/05/2026  Access not granted for now 
08.05.26: Access negotiation for intervention to be done this weekend 09.05.2026
07.05.2026: Access not granted for now 
06.05.2026: Access not granted for now 
05.05.2026: Access not granted for now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t>
  </si>
  <si>
    <t>07/06/2026 Access not granted for now we keep trying
06/06/2026 Apres remplacement de L'ODU et realignelent site toujours down travaux fontem negocition d'accès en cours
05/06/2026 Access issue due to insecurity
04/06/2026 |FME on the way to site ETA14PM
03/06/2026 Access issue due to insecurity
02.06.26 ODU to be replaced. Access issue due to insecurity
01.06.26 ODU to be replaced. Access issue due to insecurity PALN FOR 02/01/2026
31.05.26 ODU to be replaced. Access issue due to insecurity
30.05.26 ODU to be replaced. Access issue due to insecurity
28/05/2026 ongoing | plan for satuday 30/05/2026 accornding to access
27/05/2026 Spare already available access negociation ongoing
26/05/2026 ODUs MPT 7/8 G faulty 3DB20858AB 3DB20859AB recu negociation de l'accès en cours
26/05/2026 ODUs MPT 7/8 G faulty 3DB20858AB 3DB20859AB ODu toujours pas recu relnce SPM Update dans 1heure
22.05.26 ODUs MPT 7/8 G faulty 3DB20858AB 3DB20859AB. recu ce jour expedition en cours vers bamenda ETD=23/05/2026
21.05.26 ODUs MPT 7/8 G faulty 3DB20858AB 3DB20859AB. Commande passée à OCM
16.05.26 ODUs MPT 7/8 G faulty 3DB20858AB 3DB20859AB. Commande passée à OCM
15/05/2026 ODU 7/8 MPT GHZ 3DB20858AB Faulty commande en cours UPDATE ASAP
14/05/2026 Access not granted for now we keep trying
13/05/2026 FME on the way to site ETA12AM
13.05.2026 Access not granted for now we keep trying
12.05.2026 Access not granted for now we keep trying
11/05/2026 |Access not granted for this site
10/05/2026 Access not granted for now
08.05.26 Access negotiation for intervention to be done this weekend 09.05.2026
07.05.2026 Access not granted for now
06.05.2026 Access not granted for now
05.05.2026 Access not granted for now
04.05.2026 Access not granted for now
02.05.2026 access not granted for this site for now
01.052026 RM Denis Level zero will be on site by 04pm for us to do checking
30/04/2026 Check will be done today with level zero ETA 12AM
29.04.26 Besoin d'un FME sur site pour vérifier le statut de la BBU et son interco avec le MPR; RM Denis informé pour investigations, update ASAP</t>
  </si>
  <si>
    <t>Baba-Babungo-IHS</t>
  </si>
  <si>
    <t>NRO_085</t>
  </si>
  <si>
    <t>Baba-Babungo</t>
  </si>
  <si>
    <t xml:space="preserve">{06-07-2026  ocm ran 18}: 07/06/2026 No access for this site for now
06/06/2026 No access for this site for now
05/06/2026 No access for this site for now
03/06/2026 No access for this site for now
02/06/2026: MPR down. No access for this site for now 
01/06/2026 MPR down. No access for this site for now
31.05.26: MPR down. No access for this site for now
30.05.26: MPR down. No access for this site for now
29/05/2026 |No access for this site for now 
28/05/2026 |No access for this site for now 
26/05/2026 |No access for this site for now 
24/05/2026  MPR down. Access issue due to insecurity |No access for this site for now 
23.05.26: MPR down. Access issue due to insecurity
22.05.26: MPR down. Access issue due to insecurity
21.05.26: MPR down. Access issue due to insecurity
18.05.26: MPR down. Access issue due to insecurity
</t>
  </si>
  <si>
    <t>07/06/2026 No access for this site for now
06/06/2026 No access for this site for now
05/06/2026 No access for this site for now
03/06/2026 No access for this site for now
02/06/2026 MPR down. No access for this site for now
01/06/2026 MPR down. No access for this site for now
31.05.26 MPR down. No access for this site for now
30.05.26 MPR down. No access for this site for now
29/05/2026 |No access for this site for now
28/05/2026 |No access for this site for now
26/05/2026 |No access for this site for now
24/05/2026 MPR down. Access issue due to insecurity |No access for this site for now
23.05.26 MPR down. Access issue due to insecurity
22.05.26 MPR down. Access issue due to insecurity
21.05.26 MPR down. Access issue due to insecurity
18.05.26 MPR down. Access issue due to insecurity</t>
  </si>
  <si>
    <t>Eyumojock</t>
  </si>
  <si>
    <t>SUO_016</t>
  </si>
  <si>
    <t>Nchum-IHS</t>
  </si>
  <si>
    <t>NRO_088</t>
  </si>
  <si>
    <t>Nchum</t>
  </si>
  <si>
    <t>{06-07-2026  ocm ran 18}: 07/06/2026 Access not granted for now we keep trying
06/06/2026 : acces negociation ongoing red zone 
05.06.26: Besoin d'un FME sur site pour vérifier le statut du MPR; CM-20260605-00001759; FME Jeremiah activé pour investigations, update ASAP</t>
  </si>
  <si>
    <t>07/06/2026 Access not granted for now we keep trying
06/06/2026 acces negociation ongoing red zone
05.06.26 Besoin d'un FME sur site pour vérifier le statut du MPR; FME Jeremiah activé pour investigations, update ASAP</t>
  </si>
  <si>
    <t>Libong</t>
  </si>
  <si>
    <t>ADM_149</t>
  </si>
  <si>
    <t>Banda</t>
  </si>
  <si>
    <t>NRD_029</t>
  </si>
  <si>
    <t>Messondo</t>
  </si>
  <si>
    <t>{06-07-2026  ocm ran 18}: 07/06/2026 XP-HQAM  3DB20773CB cmmande passé en attente de L' ETD
06/06/2026 FME SUR SITE DE EBOMBE TRAVAUX EN COURS 
06.06.2026: ODU recu remplacement prevue ce Jour ETA=15H
05/06/2026  XP-HQAM  3DB20773CB EXpedition de douala vers ETD=05/06/2026 
04/06/2026 Apres travaux ODU XP-HQAM  3DB20773CB sur site de ebombe faulty | Récupération en cours de l'ODU 3DB20773BA (compatible) au WH Bassa et tests en cours
03/06/2026 FME yannick en route pour le site ETA=12H UTC | FME sur site et travaux en cours avec le BO
02/06/2026 Camrail Work permit request ongoing
01.06.26: Check en cours avec le niveau 0, update ASAP
01.06.26: Besoin d'un FME sur site pour reset du MPR et si NOK, tshoot avec le BO TX; FME activé, update ASAP
01.06.26: Camusat: FME is managing, ETA awaited - Escalated to L2</t>
  </si>
  <si>
    <t>07/06/2026 XP-HQAM 3DB20773CB cmmande passé en attente de L' ETD
06/06/2026 FME SUR SITE DE EBOMBE TRAVAUX EN COURS
06.06.2026 ODU recu remplacement prevue ce Jour ETA=15H
05/06/2026 XP-HQAM 3DB20773CB EXpedition de douala vers ETD=05/06/2026
04/06/2026 Apres travaux ODU XP-HQAM 3DB20773CB sur site de ebombe faulty | Récupération en cours de l'ODU 3DB20773BA (compatible) au WH Bassa et tests en cours
03/06/2026 FME yannick en route pour le site ETA=12H UTC | FME sur site et travaux en cours avec le BO
02/06/2026 Camrail Work permit request ongoing
01.06.26 Check en cours avec le niveau 0, update ASAP
01.06.26 Besoin d'un FME sur site pour reset du MPR et si NOK, tshoot avec le BO TX; FME activé, update ASAP
01.06.26 Camusat FME is managing, ETA awaited - Escalated to L2</t>
  </si>
  <si>
    <t>KOUSSERI-Douane-MTN</t>
  </si>
  <si>
    <t>EXN_246</t>
  </si>
  <si>
    <t>Kousseri</t>
  </si>
  <si>
    <t>{06-07-2026  ocm ran 18}: Power status check Ongoing</t>
  </si>
  <si>
    <t>Babessi</t>
  </si>
  <si>
    <t>NRO_024</t>
  </si>
  <si>
    <t xml:space="preserve"> {06-07-2026   incident }:   impact by NRO_006_H_Ndop    Update 3
2026-06-07
Please to involve the FME to check
he MPR status at NDOP as the MPR
is not supervised  , Update 4
2026-06-07
RM Activated is managing. Note That
the site is located under NOSO Area
and intervention can't be done in the
night. We will freeze the TT for the
night        ;         {06-07-2026  ocm ran 18}: analyse bo tx en cours         ;         {06-07-2026 ticket}: INC-20260607-00012024...tx issue at Ndop, </t>
  </si>
  <si>
    <t>{06-07-2026 incident } impact by NRO_006_H_Ndop Update 3
2026-06-07
Please to involve the FME to check
he MPR status at NDOP as the MPR
is not supervised , Update 4
2026-06-07
RM Activated is managing. Note That
the site is located under NOSO Area
and intervention can't be done in the
night. We will freeze the TT for the
night analyse bo tx en cours .tx issue at Ndop,</t>
  </si>
  <si>
    <t>Bangolan</t>
  </si>
  <si>
    <t>NRO_050</t>
  </si>
  <si>
    <t>{06-07-2026 ticket}: INC-20260607-00017956...Auto TT closure RCA...GE Fault</t>
  </si>
  <si>
    <t>Buea-Hospital</t>
  </si>
  <si>
    <t>{Hourly-IHS}: 07/06/2026 11:54 9:06:00 GEN card faulty        ;         {06-07-2026  ocm ran 18}: 07/06/2026 GEN card faulty        ;         {06-07-2026 ticket}: INC-20260607-00007947...2026-06-07 15:26:20...Feedback IHS: GEN card faulty...Grid return...GE Fault...Grid outage. GEN card faulty // Grid return awaited...user:NGUESSAN KOFFI MARC PAETERNE</t>
  </si>
  <si>
    <t>07/06/2026 11 54 9 06 00 GEN card faulty 07/06/2026 GEN card faulty .2026-06-07 15 26 20.Feedback IHS GEN card faulty.Grid return.GE Fault.Grid outage. GEN card faulty // Grid return awaited.user NGUESSAN KOFFI MARC PAETERNE</t>
  </si>
  <si>
    <t>Bamenda-Ntasen-IHS</t>
  </si>
  <si>
    <t>NRO_134</t>
  </si>
  <si>
    <t>{Hourly-IHS}: 07-06-2026 00:36:28 fme Peter will manage in the morning INSECURITY        ;         {06-07-2026 ticket}: INC-20260607-00000030...power issue. IHS is informed...GE Fault</t>
  </si>
  <si>
    <t>07-06-2026 00 36 28 fme Peter will manage in the morning INSECURITY .power issue. IHS is informed.GE Fault</t>
  </si>
  <si>
    <t>Bafia-Lable</t>
  </si>
  <si>
    <t>CTR_362</t>
  </si>
  <si>
    <t>Bafia</t>
  </si>
  <si>
    <t>{06-07-2026 ticket}: INC-20260607-00006999...2026-06-07 10:58:21...GEN loss of compression...GRID outage, GEN loss of compression // FME fixed and started GEN manually...GE Fault...GRID outage, GEN loss of compression // FME fixed and started GEN manually...user:OCM_NOC.IHS</t>
  </si>
  <si>
    <t>.2026-06-07 10 58 21.GEN loss of compression.GRID outage, GEN loss of compression // FME fixed and started GEN manually.GE Fault.GRID outage, GEN loss of compression // FME fixed and started GEN manually.user OCM_NOC.IHS</t>
  </si>
  <si>
    <t>Domayo</t>
  </si>
  <si>
    <t>EXN_054</t>
  </si>
  <si>
    <t>{06-07-2026 ticket}: INC-20260607-00005873...03/05 rectifiers hanging // Rectifiers reset...GE Fault...03/05 rectifiers hanging // Rectifiers reset</t>
  </si>
  <si>
    <t>.03/05 rectifiers hanging // Rectifiers reset.GE Fault.03/05 rectifiers hanging // Rectifiers reset</t>
  </si>
  <si>
    <t>Niki-Accacia-IHS</t>
  </si>
  <si>
    <t>CTR_848</t>
  </si>
  <si>
    <t>{06-07-2026 ticket}: INC-20260607-00010138...GE Fault</t>
  </si>
  <si>
    <t>.GE Fault</t>
  </si>
  <si>
    <t>Bonaminkano-IHS</t>
  </si>
  <si>
    <t>LIT_130</t>
  </si>
  <si>
    <t>{Hourly-IHS}: 07/06/2026 18:48 2:11:25 45 FME is managing, ETA ASAP        ;         {06-07-2026  ocm ran 18}: Power status check Ongoing        ;         {06-07-2026 ticket}: INC-20260607-00016875...2026-06-07 20:20:59...FME is onsite...GE Fault...user:OCM_NOC.IHS</t>
  </si>
  <si>
    <t>07/06/2026 18 48 2 11 25 45 FME is managing, ETA ASAP .2026-06-07 20 20 59.FME is onsite.GE Fault.user OCM_NOC.IHS</t>
  </si>
  <si>
    <t>OST_342_H_Foumban-New</t>
  </si>
  <si>
    <t>OST_342</t>
  </si>
  <si>
    <t>Foumban</t>
  </si>
  <si>
    <t>Ouro-Kessoun</t>
  </si>
  <si>
    <t>NRD_040</t>
  </si>
  <si>
    <t>{Hourly-IHS}: 07/06/2026 19:26 3:34:00 46.4 FME Armel managing with level 0        ;         {06-07-2026 cell huawei}: 05/06/2026 : intervention ce jour ETA 14h || Feedback Fme : Remplcement des Fme mais probleme pas resolu ||Remplacement de la fibre prevue ce jour
04/06/2026 : Check Connectivite entre BBU &amp; RRU/Check FO ou SFP || Fme active        ;         {06-07-2026 cell huawei}: 07/06/2026 : escalade faite au RM || Feedback attendu
05/06/2026 : intervention ce jour ETA 14h || Feedback Fme : Remplcement des Fme mais probleme pas resolu ||Remplacement de la fibre prevue ce jour
04/06/2026 : Check Connectivite entre BBU &amp; RRU/Check FO ou SFP || Fme active</t>
  </si>
  <si>
    <t>07/06/2026 19 26 3 34 00 46.4 FME Armel managing with level 0 05/06/2026 intervention ce jour ETA 14h || Feedback Fme Remplcement des Fme mais probleme pas resolu || Remplacement de la fibre prevue ce jour
04/06/2026 Check Connectivite entre BBU &amp; RRU/Check FO ou SFP || Fme active 07/06/2026 escalade faite au RM || Feedback attendu
05/06/2026 intervention ce jour ETA 14h || Feedback Fme Remplcement des Fme mais probleme pas resolu || Remplacement de la fibre prevue ce jour
04/06/2026 Check Connectivite entre BBU &amp; RRU/Check FO ou SFP || Fme active</t>
  </si>
  <si>
    <t>DEIDO-MARCHE</t>
  </si>
  <si>
    <t>LIT_651</t>
  </si>
  <si>
    <t>EXN_356_H_Maroua-Kongola-Djiddeo</t>
  </si>
  <si>
    <t>EXN_356</t>
  </si>
  <si>
    <t>EXN</t>
  </si>
  <si>
    <t>Ekombitie-II</t>
  </si>
  <si>
    <t>CTR_723</t>
  </si>
  <si>
    <t>{06-07-2026 ticket}: INC-20260607-00004170...2026-06-07 08:21:36...grid outage and gen did not start / security guard on site...user:OCM_NOC.CAMUSAT</t>
  </si>
  <si>
    <t>.2026-06-07 08 21 36.grid outage and gen did not start / security guard on site.user OCM_NOC.CAMUSAT</t>
  </si>
  <si>
    <t>Garoua-Djamboutou-Village</t>
  </si>
  <si>
    <t>NRD_060</t>
  </si>
  <si>
    <t>{06-07-2026 cell huawei}: 07/06/2026 : Power issue || Mail sent to IHS</t>
  </si>
  <si>
    <t>07/06/2026 Power issue || Mail sent to IHS</t>
  </si>
  <si>
    <t>SUD_169_Z_Sangmelima-NGAN</t>
  </si>
  <si>
    <t>SUD_169</t>
  </si>
  <si>
    <t>{06-07-2026 BO RAN}: Site is not visible in our monitoring tool Need FME locally for tshoot</t>
  </si>
  <si>
    <t>Site is not visible in our monitoring tool Need FME locally for tshoot</t>
  </si>
  <si>
    <t>Nkambe-Entrance-IHS</t>
  </si>
  <si>
    <t>NRO_090</t>
  </si>
  <si>
    <t>Nkambe</t>
  </si>
  <si>
    <t xml:space="preserve"> {06-07-2026   incident }:   impact by  NRO_021_N_Ma     ,Update 1
2026-06-07  : Chute de tension Observee depuis le
CMS(43V). IHS Activated for
intervention
Update 2
2026-06-07: IHS: FME Roland is informed and will
intervene tomorrow morning due to
insecurity
Update 3
2026-06-07
 Le site etant situe en Red zone 
(NOSO), nous allons geler le TT
jusqu'a demain matin        ;         {06-07-2026 cell nokia}: 06/06/2026: Check breaker and  interconnection (sfp, optical fiber) between system and radio module, swap its if needed||Action avec le level0        ;         {06-07-2026 cell nokia}: 
07/06/2026:Access issues||ETA:09062026
06/06/2026: Check breaker and  interconnection (sfp, optical fiber) between system and radio module, swap its if needed||Action avec le level0</t>
  </si>
  <si>
    <t>{06-07-2026 incident } impact by NRO_021_N_Ma ,Update 1
2026-06-07 Chute de tension Observee depuis le
CMS(43V). IHS Activated for
intervention
Update 2
2026-06-07 IHS FME Roland is informed and will
intervene tomorrow morning due to
insecurity
Update 3
2026-06-07
Le site etant situe en Red zone
(NOSO), nous allons geler le TT
jusqu'a demain matin 06/06/2026 Check breaker and interconnection (sfp, optical fiber) between system and radio module, swap its if needed || Action avec le level0 07/06/2026 Access issues || ETA 09062026
06/06/2026 Check breaker and interconnection (sfp, optical fiber) between system and radio module, swap its if needed || Action avec le level0</t>
  </si>
  <si>
    <t>NRO_021</t>
  </si>
  <si>
    <t>Bobongo-II</t>
  </si>
  <si>
    <t>LIT_568</t>
  </si>
  <si>
    <t>{06-07-2026 ticket}: INC-20260607-00005919...2026-06-07 10:47:18...technician on site...Others...user:OCM_NOC.CAMUSAT</t>
  </si>
  <si>
    <t>.2026-06-07 10 47 18.technician on site.user OCM_NOC.CAMUSAT</t>
  </si>
  <si>
    <t>Nkomkana</t>
  </si>
  <si>
    <t>CTR_427</t>
  </si>
  <si>
    <t>Mendong-II</t>
  </si>
  <si>
    <t>CTR_476</t>
  </si>
  <si>
    <t>LAC-New</t>
  </si>
  <si>
    <t>CTR_548</t>
  </si>
  <si>
    <t>New-Marche-Melen</t>
  </si>
  <si>
    <t>CTR_425</t>
  </si>
  <si>
    <t>Ngoa-Ekelle-New</t>
  </si>
  <si>
    <t>CTR_194</t>
  </si>
  <si>
    <t>Nkolzie</t>
  </si>
  <si>
    <t>CTR_105</t>
  </si>
  <si>
    <t>vence</t>
  </si>
  <si>
    <t>CTR_326</t>
  </si>
  <si>
    <t>Polytechnique</t>
  </si>
  <si>
    <t>CTR_128</t>
  </si>
  <si>
    <t>J-Vespa</t>
  </si>
  <si>
    <t>CTR_088</t>
  </si>
  <si>
    <t>Bonas-Yde-MTN-IHS</t>
  </si>
  <si>
    <t>CTR_524</t>
  </si>
  <si>
    <t>Mendong</t>
  </si>
  <si>
    <t>CTR_025</t>
  </si>
  <si>
    <t>Scalom</t>
  </si>
  <si>
    <t>CTR_210</t>
  </si>
  <si>
    <t>SFID-Ndeng-MTN-IHS</t>
  </si>
  <si>
    <t>EST_102</t>
  </si>
  <si>
    <t>Deng</t>
  </si>
  <si>
    <t xml:space="preserve">{06-07-2026 BO RAN}: Site unstable due to bad voltage  Stabilized power in site </t>
  </si>
  <si>
    <t>Site unstable due to bad voltage Stabilized power in site</t>
  </si>
  <si>
    <t>Nkolzie-II</t>
  </si>
  <si>
    <t>CTR_672</t>
  </si>
  <si>
    <t>Cradat</t>
  </si>
  <si>
    <t>CTR_579</t>
  </si>
  <si>
    <t>{06-07-2026 cell zte}: 07/06/2026 : Site down        ;         {06-07-2026 ticket}: INC-20260607-00007030...2026-06-07 10:47:42...grid outage and gen battery low / technician is looking for external battery...Others...user:OCM_NOC.CAMUSAT</t>
  </si>
  <si>
    <t>07/06/2026 Site down .2026-06-07 10 47 42.grid outage and gen battery low / technician is looking for external battery.user OCM_NOC.CAMUSAT</t>
  </si>
  <si>
    <t>Akongo-IHS</t>
  </si>
  <si>
    <t>CTR_436</t>
  </si>
  <si>
    <t>Akongo</t>
  </si>
  <si>
    <t>{06-07-2026 ticket}: INC-20260607-00016429...No power issue on site ,Site on Solar Ubaie=54.5V, Rodrigues Mongang (655102999 /Huawei) is informed...Others Transmission equipement fault</t>
  </si>
  <si>
    <t>.No power issue on site ,Site on Solar Ubaie=54.5V, Rodrigues Mongang (655102999 /Huawei) is informed.</t>
  </si>
  <si>
    <t>LIT_857_Z_Bois-des-Singes-III-IHS</t>
  </si>
  <si>
    <t>LIT_857</t>
  </si>
  <si>
    <t>{06-07-2026 ticket}: INC-20260607-00005916...Auto TT closure RCA...GE Fault</t>
  </si>
  <si>
    <t>Tekel-IHS</t>
  </si>
  <si>
    <t>ADM_140</t>
  </si>
  <si>
    <t>{06-07-2026  ocm ran 18}: Impacted by Lewa-MTN_G9U9U21L8_ADM_069</t>
  </si>
  <si>
    <t>Impacted by Lewa-MTN_G9U9U21L8_ADM_069</t>
  </si>
  <si>
    <t>ADM_069</t>
  </si>
  <si>
    <t>Nkol-Mbanda</t>
  </si>
  <si>
    <t>CTR_262</t>
  </si>
  <si>
    <t>{06-07-2026 cell zte}: 06/06/2026 : FME sur site || Intervention en cours || UP apres le remplacement du SFP 
04/06/2026 : Need BO RAN analysis || Site unstable: FME should check Optical fiber OPT1 of RRU 73 || FME activer || || Forte pluie dans la zone du centre || Evidence partager || Intervention reportees pour demain        ;         {06-07-2026 cell zte}: 06/06/2026 : FME sur site || Intervention en cours || UP apres le remplacement du SFP 
04/06/2026 : Need BO RAN analysis || Site unstable: FME should check Optical fiber OPT1 of RRU 73 || FME activer || || Forte pluie dans la zone du centre || Evidence partager || Intervention reportees pour demain</t>
  </si>
  <si>
    <t>06/06/2026 FME sur site || Intervention en cours || UP apres le remplacement du SFP
04/06/2026 Need BO RAN analysis || Site unstable FME should check Optical fiber OPT1 of RRU 73 || FME activer || Forte pluie dans la zone du centre || Evidence partager || Intervention reportees pour demain 06/06/2026 FME sur site || Intervention en cours || UP apres le remplacement du SFP
04/06/2026 Need BO RAN analysis || Site unstable FME should check Optical fiber OPT1 of RRU 73 || FME activer || Forte pluie dans la zone du centre || Evidence partager || Intervention reportees pour demain</t>
  </si>
  <si>
    <t>Tagawa-IHS</t>
  </si>
  <si>
    <t>EXN_274</t>
  </si>
  <si>
    <t>Tagawa</t>
  </si>
  <si>
    <t>{06-07-2026  ocm ran 18}: 06/06/2026 Carte EAC recu expedition de daoula vers Maroua ETD=11/06/2026 
04.06.26: Carte EAC Faulty, waiting spare from OCM
04/06/2026 Investigations en cours avec le level 0, en parallèle négociation escorte militaire en cours
03.06.26: Site en red zone,négociations de l'accès en cours
03.06.26: Besoin d'un FME sur site pour vérifier le statut du MPR; CM-20260603-00003066; FME Yaouba activé pour investigations, update ASAP</t>
  </si>
  <si>
    <t>06/06/2026 Carte EAC recu expedition de daoula vers Maroua ETD=11/06/2026
04.06.26 Carte EAC Faulty, waiting spare from OCM
04/06/2026 Investigations en cours avec le level 0, en parallèle négociation escorte militaire en cours
03.06.26 Site en red zone,négociations de l'accès en cours
03.06.26 Besoin d'un FME sur site pour vérifier le statut du MPR; FME Yaouba activé pour investigations, update ASAP</t>
  </si>
  <si>
    <t>Kaladi-MTN-IHS</t>
  </si>
  <si>
    <t>ADM_100</t>
  </si>
  <si>
    <t>Kaladi</t>
  </si>
  <si>
    <t>{06-07-2026  ocm ran 18}: 06.06.26: Lien interféré, escalade faite à l'ingénieurie OCM
03.06.26: Lien interféré, escalade faite à l'ingénieurie OCM
03/06/2026 FME en route pour le site ETA=11H UTC | FME sur site et travaux en cours
02/06/2026  Ngaoundéré,  en cours de transfert vers Meiganga nouvel ETD=02/06/2026 
01/06/2026 ODU (3DB20858AC) reçu à Ngaoundéré,  en cours de transfert vers Meiganga ETD 15h
31.05.26: Retirer un ODU (3DB20858AC) à Nyazoro_CTR_169  pour relever ADM_100_N_Kaladi-MTN-IHS, ETD 31/05/2026
30.05.26: Retirer un ODU (3DB20858AC) à Nyazoro_CTR_169  pour relever ADM_100_N_Kaladi-MTN-IHS, ETD 31/05/2026
29/05/2026 Shipment delayed due to transport agency locked, TABASKI feast ongoing
29/05/2026 Retirer un ODU (3DB20858AC) à Nyazoro_CTR_169  pour relever ADM_100_N_Kaladi-MTN-IHS 5/29/2026
28/05/2026 Retirer un ODU (3DB20858AC) à Nyazoro_CTR_169  pour relever ADM_100_N_Kaladi-MTN-IHS 5/29/2026
27/05/2026 Retirer un ODU (3DB20858AC) à Nyazoro_CTR_169  pour relever ADM_100_N_Kaladi-MTN-IHS 5/29/2026
23.05.26: ODU MPT-MC 7-8 GHz 3DB20859AC (Kaladji) faulty, en attente de retour OCM 
22.05.26: ODU MPT-MC 7-8 GHz 3DB20859AC (Kaladji) faulty, en attente de retour OCM 
21.05.26: ODU MPT-MC 7-8 GHz 3DB20859AC (Kaladji) faulty, en attente de retour OCM 
19.05.26: ODU MPT-MC 7-8 GHz 3DB20859AC (Kaladji) faulty, en attente de retour OCM 
16.05.26: ODU 7-8G 3DB20859AC (Kaladji) faulty, commande passée à OCM, en parrallèle, cable Eth à remplacer sur le site de Gale, ETA à préciser
15/05/2026 Expedition de l ODU de TIBATI vers meiganga ETD=15/05/2026 
14/05/2026 Expedition de l ODU de TIBATI vers meiganga ETD=15/05/2026 
14/05/2026 Spare pas encore recu a Ngaoundere d'apres le retour du WH manager. Relance du Transporteur et SPM. ESCALADE KINGSLEY et FM MANAGER THEOPHILE
13/05/2026 Spare pas encore recu a Ngaoundere d'apres le retour du WH manager. Relance du Transporteur et SPM. Update ASAP
12.05.2026:Spare pas encore recu a Ngaoundere d'apres le retour du WH manager. Relance du Transporteur et SPM. Update ASAP
10.05.26: ODU en cours d'expédition de Yaoundé pour Ngaoundéré, ETD du SPM=11.05.26
08.05.26: ODU en cours d'expédition de Yaoundé pour Ngaoundéré, ETD du SPM=11.05.26
07.05.26: ODU remis ce jour à Douala et sera expédié vers Ngaoundéré, ETD=10.05.26
06/05/2026 ODU MPT 7-8 Ghz 3DB20858AC faulty et commande passée à OCM</t>
  </si>
  <si>
    <t>06.06.26 Lien interféré, escalade faite à l'ingénieurie OCM
03.06.26 Lien interféré, escalade faite à l'ingénieurie OCM
03/06/2026 FME en route pour le site ETA=11H UTC | FME sur site et travaux en cours
02/06/2026 Ngaoundéré, en cours de transfert vers Meiganga nouvel ETD=02/06/2026
01/06/2026 ODU (3DB20858AC) reçu à Ngaoundéré, en cours de transfert vers Meiganga ETD 15h
31.05.26 Retirer un ODU (3DB20858AC) à Nyazoro_CTR_169 pour relever ADM_100_N_Kaladi-MTN-IHS, ETD 31/05/2026
30.05.26 Retirer un ODU (3DB20858AC) à Nyazoro_CTR_169 pour relever ADM_100_N_Kaladi-MTN-IHS, ETD 31/05/2026
29/05/2026 Shipment delayed due to transport agency locked, TABASKI feast ongoing
29/05/2026 Retirer un ODU (3DB20858AC) à Nyazoro_CTR_169 pour relever ADM_100_N_Kaladi-MTN-IHS 5/29/2026
28/05/2026 Retirer un ODU (3DB20858AC) à Nyazoro_CTR_169 pour relever ADM_100_N_Kaladi-MTN-IHS 5/29/2026
27/05/2026 Retirer un ODU (3DB20858AC) à Nyazoro_CTR_169 pour relever ADM_100_N_Kaladi-MTN-IHS 5/29/2026
23.05.26 ODU MPT-MC 7-8 GHz 3DB20859AC (Kaladji) faulty, en attente de retour OCM
22.05.26 ODU MPT-MC 7-8 GHz 3DB20859AC (Kaladji) faulty, en attente de retour OCM
21.05.26 ODU MPT-MC 7-8 GHz 3DB20859AC (Kaladji) faulty, en attente de retour OCM
19.05.26 ODU MPT-MC 7-8 GHz 3DB20859AC (Kaladji) faulty, en attente de retour OCM
16.05.26 ODU 7-8G 3DB20859AC (Kaladji) faulty, commande passée à OCM, en parrallèle, cable Eth à remplacer sur le site de Gale, ETA à préciser
15/05/2026 Expedition de l ODU de TIBATI vers meiganga ETD=15/05/2026
14/05/2026 Expedition de l ODU de TIBATI vers meiganga ETD=15/05/2026
14/05/2026 Spare pas encore recu a Ngaoundere d'apres le retour du WH manager. Relance du Transporteur et SPM. ESCALADE KINGSLEY et FM MANAGER THEOPHILE
13/05/2026 Spare pas encore recu a Ngaoundere d'apres le retour du WH manager. Relance du Transporteur et SPM. Update ASAP
12.05.2026 Spare pas encore recu a Ngaoundere d'apres le retour du WH manager. Relance du Transporteur et SPM. Update ASAP
10.05.26 ODU en cours d'expédition de Yaoundé pour Ngaoundéré, ETD du SPM=11.05.26
08.05.26 ODU en cours d'expédition de Yaoundé pour Ngaoundéré, ETD du SPM=11.05.26
07.05.26 ODU remis ce jour à Douala et sera expédié vers Ngaoundéré, ETD=10.05.26
06/05/2026 ODU MPT 7-8 Ghz 3DB20858AC faulty et commande passée à OCM</t>
  </si>
  <si>
    <t>Likok-MTN</t>
  </si>
  <si>
    <t>ADM_065</t>
  </si>
  <si>
    <t>Likok</t>
  </si>
  <si>
    <t>{06-07-2026  ocm ran 18}: Impacted by Lewa-MTN_G9U9U21L8_ADM_066 ,  {06-07-2026   incident }:   impact by  ADM_066_N_Lewa-MTN  Update 8
2026-06-07
Chassis, Carte core et Carte flash
disponible dans la zone.
Cartes MPT ACC disponible Garoua.
ETD 08/05/2026</t>
  </si>
  <si>
    <t>Impacted by Lewa-MTN_G9U9U21L8_ADM_066 , {06-07-2026 incident } impact by ADM_066_N_Lewa-MTN Update 8
2026-06-07
Chassis, Carte core et Carte flash
disponible dans la zone.
Cartes MPT ACC disponible Garoua.
ETD 08/05/2026</t>
  </si>
  <si>
    <t>MELEN-MINTOM</t>
  </si>
  <si>
    <t>SUD_163</t>
  </si>
  <si>
    <t>Melen-Mintom</t>
  </si>
  <si>
    <t>{06-07-2026  ocm ran 18}: 07/06/2026 access issue due to landlord due to unpay rent 
06/06/2026 Access issue by the LL ESCALADE L2 CAMUSAT
05.06.26: Camusat: access issue due to landlord due to unpay rent Escalated to L2</t>
  </si>
  <si>
    <t>07/06/2026 access issue due to landlord due to unpay rent
06/06/2026 Access issue by the LL ESCALADE L2 CAMUSAT
05.06.26 Camusat access issue due to landlord due to unpay rent Escalated to L2</t>
  </si>
  <si>
    <t>Benakuma</t>
  </si>
  <si>
    <t>NRO_233</t>
  </si>
  <si>
    <t>{Hourly-IHS}: 06/06/2026 21:45 00:15:00 0.3 V fme Moses is managing with level 0        ;         {06-07-2026 ticket}: INC-20260607-00018154</t>
  </si>
  <si>
    <t>06/06/2026 21 45 00 15 00 0.3 V fme Moses is managing with level 0</t>
  </si>
  <si>
    <t>Buea-Prime22</t>
  </si>
  <si>
    <t>SUO_241</t>
  </si>
  <si>
    <t>Manjo-PHP</t>
  </si>
  <si>
    <t>LIT_592</t>
  </si>
  <si>
    <t>Manjo</t>
  </si>
  <si>
    <t>Zemda</t>
  </si>
  <si>
    <t>OST_262</t>
  </si>
  <si>
    <t>{06-07-2026 ticket}: INC-20260607-00001475...Auto TT closure RCA...Solar Outage</t>
  </si>
  <si>
    <t>.Auto TT closure RCA.Solar Outage</t>
  </si>
  <si>
    <t>Tamtam-Weekend-IHS</t>
  </si>
  <si>
    <t>CTR_121</t>
  </si>
  <si>
    <t>{06-07-2026 cell zte}: CEX OCM</t>
  </si>
  <si>
    <t>CEX OCM</t>
  </si>
  <si>
    <t>PDC</t>
  </si>
  <si>
    <t>CTR_011</t>
  </si>
  <si>
    <t>Babylone-dispensaire</t>
  </si>
  <si>
    <t>LIT_648</t>
  </si>
  <si>
    <t>{06-07-2026 BO TX}: power issue at MPR_NEWBELL-ANCIEN-ETAGE-NEW</t>
  </si>
  <si>
    <t>{06-07-2026 BO TX} power issue at MPR_NEWBELL-ANCIEN-ETAGE-NEW</t>
  </si>
  <si>
    <t>Maroua-Boulore</t>
  </si>
  <si>
    <t>EXN_237</t>
  </si>
  <si>
    <t xml:space="preserve">{06-07-2026 BO RAN}: Site unstable due to power  Power investigation </t>
  </si>
  <si>
    <t>Site unstable due to power Power investigation</t>
  </si>
  <si>
    <t>CRH-Etoug-Ebe</t>
  </si>
  <si>
    <t>CTR_265</t>
  </si>
  <si>
    <t>Mbouda-Marche-Ignames</t>
  </si>
  <si>
    <t>OST_297</t>
  </si>
  <si>
    <t>Mbouda</t>
  </si>
  <si>
    <t>Mbalmayo-Haoussa</t>
  </si>
  <si>
    <t>CTR_393</t>
  </si>
  <si>
    <t>Mbalmayo</t>
  </si>
  <si>
    <t xml:space="preserve">{06-07-2026 cell zte}: 06/06/2026 : FME se rendra ce jour au ware house  || SFP non disponible au ware house de yaounde || Commande de la nouvelle sfp en cours || ETD : 07/06/2026 || ETA : 07/06/2026 
 05/06/2026 SFP RECU ETA 11H30 || FME sur site || Intervention en cours || Apres investiguation et travaux le fme a constater le nouvelle SFP qu'on lui remise etait non compatible . Il ira demain au ware house pour le changement 
04/06/2026 : Commande sfp en cours 
03/06/2026 : SFP en defaut commande en cours 
02/06/2026 : FME should check sfp, port 9 of VBP_1_3 || Feedback Fme :  sfp faulty || Commande initier         ;         {06-07-2026 cell zte}: 06/06/2026 : FME se rendra ce jour au ware house  || SFP non disponible au ware house de yaounde || Commande de la nouvelle sfp en cours || ETD : 07/06/2026 || ETA : 07/06/2026 
 05/06/2026 SFP RECU ETA 11H30 || FME sur site || Intervention en cours || Apres investiguation et travaux le fme a constater le nouvelle SFP qu'on lui remise etait non compatible . Il ira demain au ware house pour le changement 
04/06/2026 : Commande sfp en cours 
03/06/2026 : SFP en defaut commande en cours 
02/06/2026 : FME should check sfp, port 9 of VBP_1_3 || Feedback Fme :  sfp faulty || Commande initier </t>
  </si>
  <si>
    <t>06/06/2026 FME se rendra ce jour au ware house || SFP non disponible au ware house de yaounde || Commande de la nouvelle sfp en cours || ETD 07/06/2026 || ETA 07/06/2026
05/06/2026 SFP RECU ETA 11H30 || FME sur site || Intervention en cours || Apres investiguation et travaux le fme a constater le nouvelle SFP qu'on lui remise etait non compatible . Il ira demain au ware house pour le changement
04/06/2026 Commande sfp en cours
03/06/2026 SFP en defaut commande en cours
02/06/2026 FME should check sfp, port 9 of VBP_1_3 || Feedback Fme sfp faulty || Commande initier 06/06/2026 FME se rendra ce jour au ware house || SFP non disponible au ware house de yaounde || Commande de la nouvelle sfp en cours || ETD 07/06/2026 || ETA 07/06/2026
05/06/2026 SFP RECU ETA 11H30 || FME sur site || Intervention en cours || Apres investiguation et travaux le fme a constater le nouvelle SFP qu'on lui remise etait non compatible . Il ira demain au ware house pour le changement
04/06/2026 Commande sfp en cours
03/06/2026 SFP en defaut commande en cours
02/06/2026 FME should check sfp, port 9 of VBP_1_3 || Feedback Fme sfp faulty || Commande initier</t>
  </si>
  <si>
    <t>Mvog-Awae</t>
  </si>
  <si>
    <t>CTR_738</t>
  </si>
  <si>
    <t>Essomba</t>
  </si>
  <si>
    <t>CTR_266</t>
  </si>
  <si>
    <t>{Hourly-IHS}: 07/06/2026 15:51 0:08:31 50.6 Fme Antoine is informed ETA 04:35 PM        ;         {06-07-2026 ticket}: INC-20260607-00016799...2026-06-07 20:05:37...FME Antoine is onsite...GE Fault...user:OCM_NOC.IHS</t>
  </si>
  <si>
    <t>07/06/2026 15 51 0 08 31 50.6 Fme Antoine is informed ETA 04 35 PM .2026-06-07 20 05 37.FME Antoine is onsite.GE Fault.user OCM_NOC.IHS</t>
  </si>
  <si>
    <t>Maroua-Zokok-Laddeo-IHS</t>
  </si>
  <si>
    <t>EXN_170</t>
  </si>
  <si>
    <t>{Hourly-IHS}: 07-06-2026 01:30:45 Grid outage and Water pump faulty.</t>
  </si>
  <si>
    <t>07-06-2026 01 30 45 Grid outage and Water pump faulty.</t>
  </si>
  <si>
    <t>Garoua-Foulbere-II</t>
  </si>
  <si>
    <t>NRD_139</t>
  </si>
  <si>
    <t>{06-07-2026 BO TX}: power issue at MPR_GAROUA-YELWA-ORANGE-HIS-NRD_082</t>
  </si>
  <si>
    <t>{06-07-2026 BO TX} power issue at MPR_GAROUA-YELWA-ORANGE-HIS-NRD_082</t>
  </si>
  <si>
    <t>NRD_082</t>
  </si>
  <si>
    <t>Mbouda-Lepi</t>
  </si>
  <si>
    <t>OST_071</t>
  </si>
  <si>
    <t xml:space="preserve"> {06-07-2026   incident }:   impact by  OST_141_H_Mbouda  Fuel Outage(Fuel theft according to power team)
Return to the latest
Action:GE reflueled</t>
  </si>
  <si>
    <t>{06-07-2026 incident } impact by OST_141_H_Mbouda Fuel Outage(Fuel theft according to power team)
Return to the latest
Action GE reflueled</t>
  </si>
  <si>
    <t>OST_141</t>
  </si>
  <si>
    <t>Batouri-Sambo</t>
  </si>
  <si>
    <t>EST_139</t>
  </si>
  <si>
    <t>Batouri</t>
  </si>
  <si>
    <t>{06-07-2026 ticket}: INC-20260607-00002113...2026-06-07 04:42:03...Grid outage, gen can start due to noise pollution  /GEN started on the morning...Solar Outage...user:OCM_NOC.CAMUSAT</t>
  </si>
  <si>
    <t>.2026-06-07 04 42 03.Grid outage, gen can start due to noise pollution /GEN started on the morning.Solar Outage.user OCM_NOC.CAMUSAT</t>
  </si>
  <si>
    <t>Baiboum</t>
  </si>
  <si>
    <t>ADM_008</t>
  </si>
  <si>
    <t xml:space="preserve">  {06-07-2026   incident }:   impact by     ADM_008_N_Baiboum  ,Cause: CB 63 A en défaut
Action: Remplacement CB        ;         {06-07-2026 ticket}: INC-20260607-00004381...2026-06-07 10:05:26...FME rétardé par la forte pluie. (Evidences terrain partagées)
Un nouvel ETA sera partagé ASAP....Remplacement CB...Disconnection...CB 63 A en défaut...user:OCM_NOC.IHS</t>
  </si>
  <si>
    <t>{06-07-2026 incident } impact by ADM_008_N_Baiboum ,Cause CB 63 A en défaut
Action Remplacement CB .2026-06-07 10 05 26.FME rétardé par la forte pluie. (Evidences terrain partagées)
Un nouvel ETA sera partagé ASAP.Remplacement CB.Disconnection.CB 63 A en défaut.user OCM_NOC.IHS</t>
  </si>
  <si>
    <t>Okola</t>
  </si>
  <si>
    <t>CTR_191</t>
  </si>
  <si>
    <t xml:space="preserve"> {06-07-2026   incident }:   impact by  CTR_083_Z_Ngomo(CTR-083)  Souci Energie
Action:
En Attente RCA IHS        ;         {06-07-2026 cell zte}: 07/06/2026 : Need BO RAN analysis         ;         {06-07-2026  ocm ran 18}: Power status check Ongoing</t>
  </si>
  <si>
    <t>{06-07-2026 incident } impact by CTR_083_Z_Ngomo(CTR-083) Souci Energie
Action En Attente RCA IHS 07/06/2026 Need BO RAN analysis</t>
  </si>
  <si>
    <t>CTR_083</t>
  </si>
  <si>
    <t>Kumba-Barombi-Kang-II-IHS</t>
  </si>
  <si>
    <t>SUO_108</t>
  </si>
  <si>
    <t>Brazz-Tergal</t>
  </si>
  <si>
    <t>LIT_340</t>
  </si>
  <si>
    <t>Ngalbidje-MTN-IHS</t>
  </si>
  <si>
    <t>NRD_117</t>
  </si>
  <si>
    <t xml:space="preserve"> power issue at ourokessoun-NRD_040</t>
  </si>
  <si>
    <t>power issue at ourokessoun-NRD_040</t>
  </si>
  <si>
    <t>Sodiko-III-MTN</t>
  </si>
  <si>
    <t>LIT_741</t>
  </si>
  <si>
    <t>SHARING</t>
  </si>
  <si>
    <t>Galim-Tignere</t>
  </si>
  <si>
    <t>ADM_024</t>
  </si>
  <si>
    <t>{06-07-2026 ticket}: INC-20260607-00021693...Auto TT closure RCA...GE Fault</t>
  </si>
  <si>
    <t>EXN_360_H_Maroua-Cge-Protestant</t>
  </si>
  <si>
    <t>EXN_360</t>
  </si>
  <si>
    <t>Zileng-HIS</t>
  </si>
  <si>
    <t>EXN_174</t>
  </si>
  <si>
    <t>Zileng</t>
  </si>
  <si>
    <t>{06-07-2026 ticket}: INC-20260607-00010308...GE Fault</t>
  </si>
  <si>
    <t>Gueme</t>
  </si>
  <si>
    <t>EXN_049</t>
  </si>
  <si>
    <t>Telo-MTN-IHS</t>
  </si>
  <si>
    <t>ADM_108</t>
  </si>
  <si>
    <t>Telo</t>
  </si>
  <si>
    <t>{06-07-2026  ocm ran 18}: 07/06/2026 BTS toujours down FME activé escalade RM sayaka 
06.06.2026: FME En route ETA=13H
05/06/2026 FSMF reçu et tests OK. Configuration réussie, remplacement ce 06.06.26
04/06/2026 FSMF en défaut, pièce de rechange en cours d'envoi depuis Garoua pour Ngaoundéré, ETD 05/06/2026
03.06.26: FSMF faulty, commande en cours, update ASAP
03.06.2026: FME Herve activated will have a look after Mbodou intervention ETA=03:00 PM
03.06.26: MRBTS_2 Down. Need FME on the site to chekc his status and interco with MPR(S1P3)</t>
  </si>
  <si>
    <t>07/06/2026 BTS toujours down FME activé escalade RM sayaka
06.06.2026 FME En route ETA=13H
05/06/2026 FSMF reçu et tests OK. Configuration réussie, remplacement ce 06.06.26
04/06/2026 FSMF en défaut, pièce de rechange en cours d'envoi depuis Garoua pour Ngaoundéré, ETD 05/06/2026
03.06.26 FSMF faulty, commande en cours, update ASAP
03.06.2026 FME Herve activated will have a look after Mbodou intervention ETA=03 00 PM
03.06.26 MRBTS_2 Down. Need FME on the site to chekc his status and interco with MPR(S1P3)</t>
  </si>
  <si>
    <t>Logpom-New</t>
  </si>
  <si>
    <t>LIT_737</t>
  </si>
  <si>
    <t>CTR_947_Z_Nkoabang-Tradex</t>
  </si>
  <si>
    <t>CTR_947</t>
  </si>
  <si>
    <t>meduim grid + GE</t>
  </si>
  <si>
    <t>{06-07-2026 cell zte}: 05/06/2026 : RI recue ce jour et transferer a ZTE 
04/06/2026 : Fme sur le site || Intervention en cours || Apres avoir faire les tchecks avec le BO RAN le fme a constater que le FAN et le module sfp sont faulty || En attente du RI 
03/06/2026 : Feedback BO :  || FME should check Optical fiber status between BBU and RRU 53 ||Fme presentement sur un site couper ||  ETA : 04/06/2026 
02/06/2026 : Need BO RAN analysis        ;         {06-07-2026 cell zte}: 05/06/2026 : RI recue ce jour et transferer a ZTE 
04/06/2026 : Fme sur le site || Intervention en cours || Apres avoir faire les tchecks avec le BO RAN le fme a constater que le FAN et le module sfp sont faulty || En attente du RI 
03/06/2026 : Feedback BO :  || FME should check Optical fiber status between BBU and RRU 53 ||Fme presentement sur un site couper ||  ETA : 04/06/2026 
02/06/2026 : Need BO RAN analysis</t>
  </si>
  <si>
    <t>05/06/2026 RI recue ce jour et transferer a ZTE
04/06/2026 Fme sur le site || Intervention en cours || Apres avoir faire les tchecks avec le BO RAN le fme a constater que le FAN et le module sfp sont faulty || En attente du RI
03/06/2026 Feedback BO || FME should check Optical fiber status between BBU and RRU 53 || Fme presentement sur un site couper || ETA 04/06/2026
02/06/2026 Need BO RAN analysis 05/06/2026 RI recue ce jour et transferer a ZTE
04/06/2026 Fme sur le site || Intervention en cours || Apres avoir faire les tchecks avec le BO RAN le fme a constater que le FAN et le module sfp sont faulty || En attente du RI
03/06/2026 Feedback BO || FME should check Optical fiber status between BBU and RRU 53 || Fme presentement sur un site couper || ETA 04/06/2026
02/06/2026 Need BO RAN analysis</t>
  </si>
  <si>
    <t>Kolofata</t>
  </si>
  <si>
    <t>EXN_104</t>
  </si>
  <si>
    <t>BTS-Mobile-Krystal-Palace</t>
  </si>
  <si>
    <t>LIT_756</t>
  </si>
  <si>
    <t>Kossehone</t>
  </si>
  <si>
    <t>EXN_243</t>
  </si>
  <si>
    <t>KOSSEHONE</t>
  </si>
  <si>
    <t>ADM_223_N_Bekasiki-Guizore</t>
  </si>
  <si>
    <t>ADM_223</t>
  </si>
  <si>
    <t>ADM</t>
  </si>
  <si>
    <t>Bekasiki</t>
  </si>
  <si>
    <t>{06-07-2026  ocm ran 18}: Impacted by ADM_100_N_Kaladi-MTN-IHS (TX issue)</t>
  </si>
  <si>
    <t>Impacted by ADM_100_N_Kaladi-MTN-IHS (TX issue)</t>
  </si>
  <si>
    <t>Dakana</t>
  </si>
  <si>
    <t>EXN_211</t>
  </si>
  <si>
    <t>Nkolmeyang-IHS</t>
  </si>
  <si>
    <t>CTR_442</t>
  </si>
  <si>
    <t>Nkolmeyang</t>
  </si>
  <si>
    <t>{06-07-2026  ocm ran 18}: Site UE Relay. ETR mi-juin
13/04/2026 ETR mi-juin
07/04/2026 Ce site prendra aussi sa transmission sur Tiga. Finalisation du site de Tiga  ETR:09/04/2026</t>
  </si>
  <si>
    <t>Site UE Relay. ETR mi-juin
13/04/2026 ETR mi-juin
07/04/2026 Ce site prendra aussi sa transmission sur Tiga. Finalisation du site de Tiga ETR 09/04/2026</t>
  </si>
  <si>
    <t>Ouro-Dara</t>
  </si>
  <si>
    <t>ADM_148</t>
  </si>
  <si>
    <t>Oura-Dara</t>
  </si>
  <si>
    <t>{06-07-2026  ocm ran 18}: 06.06.2026: System Faulty Spare partie de Maroua pour Ngaoundere ETD=07.06.2026
05/06/2026 FME en ce moment en route pour le site de NRD_180_H_Tchollire-Centre, ETA=15HUTC 
04.06.26: Besoin d'un FME sur site pour vérifier le statut du FSMF, du modem et du BUC; CM-20260604-00004754; FME Franc activé pour investigations, update ASAP</t>
  </si>
  <si>
    <t>06.06.2026 System Faulty Spare partie de Maroua pour Ngaoundere ETD=07.06.2026
05/06/2026 FME en ce moment en route pour le site de NRD_180_H_Tchollire-Centre, ETA=15HUTC
04.06.26 Besoin d'un FME sur site pour vérifier le statut du FSMF, du modem et du BUC; FME Franc activé pour investigations, update ASAP</t>
  </si>
  <si>
    <t>Ngola-MTN</t>
  </si>
  <si>
    <t>EST_043</t>
  </si>
  <si>
    <t>Ngola</t>
  </si>
  <si>
    <t xml:space="preserve">{06-07-2026 cell nokia}: 
06/06/2026: Cde de la SPARE en cours
05/06/2026 : FME intervention sur Lokomo || Intervention ce jour apres LOKOMO||FME est encour sur le site de LOKOMO||Intervention reporter a demain
04/06/2026 : Check breaker and  interconnection (sfp, optical fiber) between system and radio module, swap its if needed||Action avec le level0 en cours || En attente du feedback du fme         ;         {06-07-2026 cell nokia}: 
06/06/2026: Cde de la SPARE en cours
05/06/2026 : FME intervention sur Lokomo || Intervention ce jour apres LOKOMO||FME est encour sur le site de LOKOMO||Intervention reporter a demain
04/06/2026 : Check breaker and  interconnection (sfp, optical fiber) between system and radio module, swap its if needed||Action avec le level0 en cours || En attente du feedback du fme </t>
  </si>
  <si>
    <t>06/06/2026 Cde de la SPARE en cours
05/06/2026 FME intervention sur Lokomo || Intervention ce jour apres LOKOMO || FME est encour sur le site de LOKOMO || Intervention reporter a demain
04/06/2026 Check breaker and interconnection (sfp, optical fiber) between system and radio module, swap its if needed || Action avec le level0 en cours || En attente du feedback du fme 06/06/2026 Cde de la SPARE en cours
05/06/2026 FME intervention sur Lokomo || Intervention ce jour apres LOKOMO || FME est encour sur le site de LOKOMO || Intervention reporter a demain
04/06/2026 Check breaker and interconnection (sfp, optical fiber) between system and radio module, swap its if needed || Action avec le level0 en cours || En attente du feedback du fme</t>
  </si>
  <si>
    <t>Bfsam-Tougang</t>
  </si>
  <si>
    <t>OST_064</t>
  </si>
  <si>
    <t>{Hourly-IHS}: 07/06/2026 21:05 1:55:00 48.9 FME Wilson is managing with level 0</t>
  </si>
  <si>
    <t>07/06/2026 21 05 1 55 00 48.9 FME Wilson is managing with level 0</t>
  </si>
  <si>
    <t>Matsari</t>
  </si>
  <si>
    <t>CTR_301</t>
  </si>
  <si>
    <t xml:space="preserve">{06-07-2026 cell nokia}: 
07/06/2026: FBBC faulty|| Cde en cour
05/06/2026:Closed after reset but if problem persist Check and replace FBBC if needed||FME activer||Action avec le level0 en cour
04/06/2026 : Need BO RAN analysis         ;         {06-07-2026 cell nokia}: 
07/06/2026: FBBC faulty|| Cde en cour
05/06/2026:Closed after reset but if problem persist Check and replace FBBC if needed||FME activer||Action avec le level0 en cour
04/06/2026 : Need BO RAN analysis </t>
  </si>
  <si>
    <t>07/06/2026 FBBC faulty || Cde en cour
05/06/2026 Closed after reset but if problem persist Check and replace FBBC if needed || FME activer || Action avec le level0 en cour
04/06/2026 Need BO RAN analysis 07/06/2026 FBBC faulty || Cde en cour
05/06/2026 Closed after reset but if problem persist Check and replace FBBC if needed || FME activer || Action avec le level0 en cour
04/06/2026 Need BO RAN analysis</t>
  </si>
  <si>
    <t>Foumbot-MTN</t>
  </si>
  <si>
    <t>OST_043</t>
  </si>
  <si>
    <t>{Hourly-IHS}: 07/06/2026 21:01 1:59:00 FME Brice is informed, OCM BTS CB 125A faulty</t>
  </si>
  <si>
    <t>07/06/2026 21 01 1 59 00 FME Brice is informed, OCM BTS CB 125A faulty</t>
  </si>
  <si>
    <t>Bberi-Q-Princes-II</t>
  </si>
  <si>
    <t>LIT_444</t>
  </si>
  <si>
    <t>{Hourly-IHS}: 07/06/2026 15:27 2:32:18 46.4 ATS faulty // FME wil reach on site after Mpanjo        ;         {06-07-2026 cell zte}: 07/06/2026 : Site down        ;         {06-07-2026 ticket}: INC-20260607-00011384...GE Fault</t>
  </si>
  <si>
    <t>07/06/2026 15 27 2 32 18 46.4 ATS faulty // FME wil reach on site after Mpanjo 07/06/2026 Site down .GE Fault</t>
  </si>
  <si>
    <t>Maroua-Pitouare-IHS</t>
  </si>
  <si>
    <t>EXN_145</t>
  </si>
  <si>
    <t>{Hourly-IHS}: 07/06/2026 18:47 2:12:45 44.1 Coord Michel is onsite        ;         {06-07-2026  ocm ran 18}: Power status check Ongoing</t>
  </si>
  <si>
    <t>07/06/2026 18 47 2 12 45 44.1 Coord Michel is onsite</t>
  </si>
  <si>
    <t>CTR_006_Z_Mbankolo</t>
  </si>
  <si>
    <t>CTR_006</t>
  </si>
  <si>
    <t>OCM/Datacenter</t>
  </si>
  <si>
    <t>Obala-Carrefour-MTN-IHS</t>
  </si>
  <si>
    <t>CTR_174</t>
  </si>
  <si>
    <t>Obala</t>
  </si>
  <si>
    <t>Mbouda-Batang-IHS</t>
  </si>
  <si>
    <t>OST_142</t>
  </si>
  <si>
    <t>Garoua-Ngalbidje-II</t>
  </si>
  <si>
    <t>NRD_158</t>
  </si>
  <si>
    <t>{06-07-2026 ticket}: INC-20260607-00020239...Auto TT closure RCA...GE Fault</t>
  </si>
  <si>
    <t>Messassi-MTN-IHS</t>
  </si>
  <si>
    <t>CTR_468</t>
  </si>
  <si>
    <t>{06-07-2026 ticket}: INC-20260607-00014539...GE Fault</t>
  </si>
  <si>
    <t>Maroua-Meskin</t>
  </si>
  <si>
    <t>EXN_233</t>
  </si>
  <si>
    <t>Bertoua-Force-Tyre</t>
  </si>
  <si>
    <t>EST_120</t>
  </si>
  <si>
    <t>Bafut-Swie-Hill-IHS</t>
  </si>
  <si>
    <t>NRO_102</t>
  </si>
  <si>
    <t>Bafut</t>
  </si>
  <si>
    <t>{Hourly-IHS}: 07/06/2026 13:35 8:25:00 FME Moses is managing with level 0        ;         {06-07-2026  ocm ran 18}: 07/06/2026 FME Moses is managing with level 0</t>
  </si>
  <si>
    <t>07/06/2026 13 35 8 25 00 FME Moses is managing with level 0 07/06/2026 FME Moses is managing with level 0</t>
  </si>
  <si>
    <t>CTR_228_N_Evodoula</t>
  </si>
  <si>
    <t>CTR_228</t>
  </si>
  <si>
    <t>Evodoula</t>
  </si>
  <si>
    <t>{06-07-2026 cell nokia}: 07/06/2026: Cde des Jumpeurs||ETA:08062026
06/06/2026: FME actuellemet sur le site de NKOLBISSON||Intervention reporter pour Demain
05/06/2026:Escalade faite au RM. En attente de son feedback||ETA:06062026
04/06/2026 : RI attendu 
03/06/2026 : Need BO RAN analysis ||Fme activer||Check and clean jumper port 1 of AZHA||Fme est aller sur site apres un reset physique certaines cellules sont remontees. Suite d'intervention pour demain         ;         {06-07-2026 cell nokia}: 07/06/2026: Cde des Jumpeurs||ETA:08062026
06/06/2026: FME actuellemet sur le site de NKOLBISSON||Intervention reporter pour Demain
05/06/2026:Escalade faite au RM. En attente de son feedback||ETA:06062026
04/06/2026 : RI attendu 
03/06/2026 : Need BO RAN analysis ||Fme activer||Check and clean jumper port 1 of AZHA||Fme est aller sur site apres un reset physique certaines cellules sont remontees. Suite d'intervention pour demain         ;         {06-07-2026 ticket}: INC-20260607-00017779...Auto TT closure RCA...Others</t>
  </si>
  <si>
    <t>07/06/2026 Cde des Jumpeurs || ETA 08062026
06/06/2026 FME actuellemet sur le site de NKOLBISSON || Intervention reporter pour Demain
05/06/2026 Escalade faite au RM. En attente de son feedback || ETA 06062026
04/06/2026 RI attendu
03/06/2026 Need BO RAN analysis || Fme activer || Check and clean jumper port 1 of AZHA || Fme est aller sur site apres un reset physique certaines cellules sont remontees. Suite d'intervention pour demain 07/06/2026 Cde des Jumpeurs || ETA 08062026
06/06/2026 FME actuellemet sur le site de NKOLBISSON || Intervention reporter pour Demain
05/06/2026 Escalade faite au RM. En attente de son feedback || ETA 06062026
04/06/2026 RI attendu
03/06/2026 Need BO RAN analysis || Fme activer || Check and clean jumper port 1 of AZHA || Fme est aller sur site apres un reset physique certaines cellules sont remontees. Suite d'intervention pour demain .Auto TT closure RCA.</t>
  </si>
  <si>
    <t>Maroua-Zokok-Palar-IHS</t>
  </si>
  <si>
    <t>EXN_116</t>
  </si>
  <si>
    <t>Abome-II</t>
  </si>
  <si>
    <t>CTR_662</t>
  </si>
  <si>
    <t>Mile16-Bolifamba-IHS</t>
  </si>
  <si>
    <t>SUO_220</t>
  </si>
  <si>
    <t>Mehanda-III</t>
  </si>
  <si>
    <t>CTR_866</t>
  </si>
  <si>
    <t>Binguela</t>
  </si>
  <si>
    <t>Ngambouo</t>
  </si>
  <si>
    <t>OST_220</t>
  </si>
  <si>
    <t>{06-07-2026  ocm ran 18}: Power status check Ongoing        ;         {06-07-2026 ticket}: INC-20260607-00016198...IMPACTED BY Ngbetnsouen-OST_219...Others</t>
  </si>
  <si>
    <t>.IMPACTED BY Ngbetnsouen-OST_219.</t>
  </si>
  <si>
    <t>OST_219</t>
  </si>
  <si>
    <t>Poumpoumrey-II</t>
  </si>
  <si>
    <t>NRD_148</t>
  </si>
  <si>
    <t>Lagdo-Marche</t>
  </si>
  <si>
    <t>NRD_077</t>
  </si>
  <si>
    <t>Lagdo</t>
  </si>
  <si>
    <t>Garoua-Lainde-II</t>
  </si>
  <si>
    <t>NRD_145</t>
  </si>
  <si>
    <t>Poumpoumrey</t>
  </si>
  <si>
    <t>NRD_038</t>
  </si>
  <si>
    <t>Ngd-Burkina-II-IHS</t>
  </si>
  <si>
    <t>ADM_101</t>
  </si>
  <si>
    <t>Ngaoundere</t>
  </si>
  <si>
    <t>{Hourly-IHS}: 07/06/2026 20:14 0:45:10 46.4 FME Yannick managing with level 0</t>
  </si>
  <si>
    <t>07/06/2026 20 14 0 45 10 46.4 FME Yannick managing with level 0</t>
  </si>
  <si>
    <t>Dogba-IHS</t>
  </si>
  <si>
    <t>EXN_171</t>
  </si>
  <si>
    <t>Dogba</t>
  </si>
  <si>
    <t>{06-07-2026 cell nokia}: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        ;         {06-07-2026 cell nokia}: 07/06/2026:FME etait sur cite hier et a change la FXED. Il a constate que la 2 FO etait faulty||Cde en cour
06/06/2026:Remplacement FXED ce jour||Intervention en cour
04/06/2026: Intervention prevue ce jour ||ETA :14h||intervention en cour || FXED remplacee hier a ete declaree || Nouvelle piece en cours de transfert de Garoua vers Maroua || ETD 06062026. Probable intervention demain si la SPARE arrive avant 12H
03/06/2026:Expedition de la SPARE en cour||ETD/ETA: 04062026
02/05/2026: La FO a ete remplacee hier et intervention interrompue pour cause de pluie || Suite intervention ce jour  || ETA 14H||Remplacemet du system module.  Remplacement de la FO sur la FXED et ses connecteur.|| Remplacement de la radio FRMF et ses connecteur. Apres ces actions pas le FME sur site, les cellule sont toujours coupe. FME a constate que FXED etait faulty.
01/06/2026 : ETA 14H||Intervention en cour || En attente du feedback du Fme ||Remplacement de FO et les connnecteurs ||intervention reporter pour demain 02052026
31/05/2026: FO faulty || ETD: 01/06/2026
30/05/2026 ; Intervention prevu ce jour||ET 13H
29/05/2026 : Check breaker and  interconnection (sfp, optical fiber) between system and radio module, swap its if needed||Intervetion prevue pour demain</t>
  </si>
  <si>
    <t>07/06/2026 FME etait sur cite hier et a change la FXED. Il a constate que la 2 FO etait faulty || Cde en cour
06/06/2026 Remplacement FXED ce jour || Intervention en cour
04/06/2026 Intervention prevue ce jour || ETA 14h || intervention en cour || FXED remplacee hier a ete declaree || Nouvelle piece en cours de transfert de Garoua vers Maroua || ETD 06062026. Probable intervention demain si la SPARE arrive avant 12H
03/06/2026 Expedition de la SPARE en cour || ETD/ETA 04062026
02/05/2026 La FO a ete remplacee hier et intervention interrompue pour cause de pluie || Suite intervention ce jour || ETA 14H || Remplacemet du system module. Remplacement de la FO sur la FXED et ses connecteur. || Remplacement de la radio FRMF et ses connecteur. Apres ces actions pas le FME sur site, les cellule sont toujours coupe. FME a constate que FXED etait faulty.
01/06/2026 ETA 14H || Intervention en cour || En attente du feedback du Fme || Remplacement de FO et les connnecteurs || intervention reporter pour demain 02052026
31/05/2026 FO faulty || ETD 01/06/2026
30/05/2026 Intervention prevu ce jour || ET 13H
29/05/2026 Check breaker and interconnection (sfp, optical fiber) between system and radio module, swap its if needed || Intervetion prevue pour demain 07/06/2026 FME etait sur cite hier et a change la FXED. Il a constate que la 2 FO etait faulty || Cde en cour
06/06/2026 Remplacement FXED ce jour || Intervention en cour
04/06/2026 Intervention prevue ce jour || ETA 14h || intervention en cour || FXED remplacee hier a ete declaree || Nouvelle piece en cours de transfert de Garoua vers Maroua || ETD 06062026. Probable intervention demain si la SPARE arrive avant 12H
03/06/2026 Expedition de la SPARE en cour || ETD/ETA 04062026
02/05/2026 La FO a ete remplacee hier et intervention interrompue pour cause de pluie || Suite intervention ce jour || ETA 14H || Remplacemet du system module. Remplacement de la FO sur la FXED et ses connecteur. || Remplacement de la radio FRMF et ses connecteur. Apres ces actions pas le FME sur site, les cellule sont toujours coupe. FME a constate que FXED etait faulty.
01/06/2026 ETA 14H || Intervention en cour || En attente du feedback du Fme || Remplacement de FO et les connnecteurs || intervention reporter pour demain 02052026
31/05/2026 FO faulty || ETD 01/06/2026
30/05/2026 Intervention prevu ce jour || ET 13H
29/05/2026 Check breaker and interconnection (sfp, optical fiber) between system and radio module, swap its if needed || Intervetion prevue pour demain</t>
  </si>
  <si>
    <t>Garoua-Roumde-Adja-II</t>
  </si>
  <si>
    <t>NRD_138</t>
  </si>
  <si>
    <t>Guider-Ville</t>
  </si>
  <si>
    <t>NRD_076</t>
  </si>
  <si>
    <t>Guider</t>
  </si>
  <si>
    <t>CTR_948_Z_Nkoabang-III</t>
  </si>
  <si>
    <t>CTR_948</t>
  </si>
  <si>
    <t>Febadi-MTN</t>
  </si>
  <si>
    <t>ADM_063</t>
  </si>
  <si>
    <t>Febadi</t>
  </si>
  <si>
    <t>Ebolowa-SIM</t>
  </si>
  <si>
    <t>SUD_097</t>
  </si>
  <si>
    <t>Ebolowa</t>
  </si>
  <si>
    <t>Mvog-Mangaa-II</t>
  </si>
  <si>
    <t>CTR_669</t>
  </si>
  <si>
    <t>New-Town-Aeroport-IHS</t>
  </si>
  <si>
    <t>LIT_428</t>
  </si>
  <si>
    <t>{06-07-2026 ticket}: INC-20260607-00012743...GE Fault</t>
  </si>
  <si>
    <t>OST_364_H_Dschang-Tchouale</t>
  </si>
  <si>
    <t>OST_364</t>
  </si>
  <si>
    <t>Batoua-Godole-IHS</t>
  </si>
  <si>
    <t>ADM_141</t>
  </si>
  <si>
    <t>Batoua-Godole</t>
  </si>
  <si>
    <t>{06-07-2026 cell nokia}: 05/06/2026 : Mail de Cde en voye a HW SPMS 
03/06/2026:FME should  check and clean jumper port 1 of FRGU||Intervention prevue vendredi 05/06/2026||Fme actuellement sur le site de Kaladji puis Garouaboulay
02/06/2026 : Need BO RAN analysis         ;         {06-07-2026 cell nokia}: 05/06/2026 : Mail de Cde en voye a HW SPMS 
03/06/2026:FME should  check and clean jumper port 1 of FRGU||Intervention prevue vendredi 05/06/2026||Fme actuellement sur le site de Kaladji puis Garouaboulay
02/06/2026 : Need BO RAN analysis         ;         {06-07-2026 ticket}: INC-20260607-00013743...Auto TT closure RCA...GE Fault</t>
  </si>
  <si>
    <t>05/06/2026 Mail de Cde en voye a HW SPMS
03/06/2026 FME should check and clean jumper port 1 of FRGU || Intervention prevue vendredi 05/06/2026 || Fme actuellement sur le site de Kaladji puis Garouaboulay
02/06/2026 Need BO RAN analysis 05/06/2026 Mail de Cde en voye a HW SPMS
03/06/2026 FME should check and clean jumper port 1 of FRGU || Intervention prevue vendredi 05/06/2026 || Fme actuellement sur le site de Kaladji puis Garouaboulay
02/06/2026 Need BO RAN analysis .Auto TT closure RCA.GE Fault</t>
  </si>
  <si>
    <t>Garoua-Yelwa-Orange-IHS</t>
  </si>
  <si>
    <t>{Hourly-IHS}: 07/06/2026 17:24 0:35:31 45.1 FME is managing, ETA ASAP</t>
  </si>
  <si>
    <t>07/06/2026 17 24 0 35 31 45.1 FME is managing, ETA ASAP</t>
  </si>
  <si>
    <t>Dizangue-KM14-IHS</t>
  </si>
  <si>
    <t>LIT_496</t>
  </si>
  <si>
    <t>Dizangue</t>
  </si>
  <si>
    <t>{Hourly-IHS}: 07-06-2026 03:09:27 Site unstable due to insufficiency of rectifier (1/3) // Load reduice</t>
  </si>
  <si>
    <t>07-06-2026 03 09 27 Site unstable due to insufficiency of rectifier (1/3) // Load reduice</t>
  </si>
  <si>
    <t>Kumba-Centre</t>
  </si>
  <si>
    <t>SUO_071</t>
  </si>
  <si>
    <t>Bfsam-Ndiandam-School</t>
  </si>
  <si>
    <t>OST_270</t>
  </si>
  <si>
    <t>Nyom-Sud</t>
  </si>
  <si>
    <t>CTR_707</t>
  </si>
  <si>
    <t>Garoua-Foulbere-IV</t>
  </si>
  <si>
    <t>NRD_067</t>
  </si>
  <si>
    <t>ADM_227_H_NGD-CHEFFERIE-MALO</t>
  </si>
  <si>
    <t>ADM_227</t>
  </si>
  <si>
    <t>Kousseri-Lacka</t>
  </si>
  <si>
    <t>EXN_094</t>
  </si>
  <si>
    <t>{Hourly-IHS}: 07/06/2026 20:19 0:40:10 46.5 FME Yannick managing with level 0</t>
  </si>
  <si>
    <t>07/06/2026 20 19 0 40 10 46.5 FME Yannick managing with level 0</t>
  </si>
  <si>
    <t>Newb-Ancien-Etage-New</t>
  </si>
  <si>
    <t>LIT_528</t>
  </si>
  <si>
    <t>Efok</t>
  </si>
  <si>
    <t>CTR_221</t>
  </si>
  <si>
    <t>Nkolve-IHS</t>
  </si>
  <si>
    <t>CTR_531</t>
  </si>
  <si>
    <t>Nkolve</t>
  </si>
  <si>
    <t>Ebal-IHS</t>
  </si>
  <si>
    <t>NRO_101</t>
  </si>
  <si>
    <t>Ebal</t>
  </si>
  <si>
    <t xml:space="preserve"> {06-07-2026   incident }:   impact by NRO_006_H_Ndop    Update 3
2026-06-07
Please to involve the FME to check
he MPR status at NDOP as the MPR
is not supervised  , Update 4
2026-06-07
RM Activated is managing. Note That
the site is located under NOSO Area
and intervention can't be done in the
night. We will freeze the TT for the
night        ;         {06-07-2026  ocm ran 18}: analyse bo tx en cours         ;         {06-07-2026 ticket}: INC-20260607-00011914...tx issue at Ndop</t>
  </si>
  <si>
    <t>{06-07-2026 incident } impact by NRO_006_H_Ndop Update 3
2026-06-07
Please to involve the FME to check
he MPR status at NDOP as the MPR
is not supervised , Update 4
2026-06-07
RM Activated is managing. Note That
the site is located under NOSO Area
and intervention can't be done in the
night. We will freeze the TT for the
night analyse bo tx en cours .tx issue at Ndop</t>
  </si>
  <si>
    <t>Gor-IHS</t>
  </si>
  <si>
    <t>NRD_091</t>
  </si>
  <si>
    <t>Gor</t>
  </si>
  <si>
    <t>{06-07-2026  ocm ran 18}: Power status check Ongoing        ;         {06-07-2026 ticket}: INC-20260607-00015763...GE Fault</t>
  </si>
  <si>
    <t>Mvog-Ebanda</t>
  </si>
  <si>
    <t>CTR_341</t>
  </si>
  <si>
    <t>Maroua-Douggoy-II</t>
  </si>
  <si>
    <t>EXN_212</t>
  </si>
  <si>
    <t>Dir</t>
  </si>
  <si>
    <t>ADM_021</t>
  </si>
  <si>
    <t>GAROUA-BOULAI-II-IHS</t>
  </si>
  <si>
    <t>ADM_156</t>
  </si>
  <si>
    <t>Grid-Gen-Lithium</t>
  </si>
  <si>
    <t>Garoua Boulai</t>
  </si>
  <si>
    <t>Bastos-ART</t>
  </si>
  <si>
    <t>CTR_722</t>
  </si>
  <si>
    <t>SS_Vreket</t>
  </si>
  <si>
    <t>EXN_251</t>
  </si>
  <si>
    <t>OCM</t>
  </si>
  <si>
    <t>Mozogo</t>
  </si>
  <si>
    <t>{06-07-2026  ocm ran 18}: 03.06.26: ODU en cours d'expédition de Douala pour Maroua, ETD=09.06.26
01/06/2026 ODU 3DB20858AC MPT-MC  7/8 GHz faulty pas disponible au WH point transmis a OCM 
31.05.26: ODU faulty, commande en cours, update ASAP
30.05.26: FME on is way to VREKET with BIR escort, ETA 30-May morning, ETA 12h
29/05/2026 FME et escorte militaiire en route  pour le site ETA 16H
26/05/2026 Nous n'avons pas pu avoir le retour du commandant du BIR pour les actions avec le niveau 0, par contre on a eu le Go pour l'escorte militaire pour la date de 29/05/2026
23/05/2026 Nous n'avons pas pu avoir le retour du commandant du BIR. Négociation escorte militaire pour  intervention ce 25/05/2026
22.05.26: BIR will check their equipment after coming back from 20May celebration, in parallel FME will move to site on 23-May
21.05.26: Nous avons appelé le Camp du Bir afin qu'on fasse un check de power et un reset sur le MPR, on attend le retour du capitaine, qui est à Maroua dans les festivités du défilé
20.05.26: Nous avons appelé le Camp du Bir afin qu'on fasse un reset sur le MPR, on attend le retour du capitaine, qui est à Maroua dans les festivités du défilé
20.05.26: Reste down après l'incident sur Kolofata, besoin d'un FME sur site pour vérifier le statut du MPR; CM-20260520-00003488; FME Yaouba activé pour investigations, update ASAP</t>
  </si>
  <si>
    <t>03.06.26 ODU en cours d'expédition de Douala pour Maroua, ETD=09.06.26
01/06/2026 ODU 3DB20858AC MPT-MC 7/8 GHz faulty pas disponible au WH point transmis a OCM
31.05.26 ODU faulty, commande en cours, update ASAP
30.05.26 FME on is way to VREKET with BIR escort, ETA 30-May morning, ETA 12h
29/05/2026 FME et escorte militaiire en route pour le site ETA 16H
26/05/2026 Nous n'avons pas pu avoir le retour du commandant du BIR pour les actions avec le niveau 0, par contre on a eu le Go pour l'escorte militaire pour la date de 29/05/2026
23/05/2026 Nous n'avons pas pu avoir le retour du commandant du BIR. Négociation escorte militaire pour intervention ce 25/05/2026
22.05.26 BIR will check their equipment after coming back from 20May celebration, in parallel FME will move to site on 23-May
21.05.26 Nous avons appelé le Camp du Bir afin qu'on fasse un check de power et un reset sur le MPR, on attend le retour du capitaine, qui est à Maroua dans les festivités du défilé
20.05.26 Nous avons appelé le Camp du Bir afin qu'on fasse un reset sur le MPR, on attend le retour du capitaine, qui est à Maroua dans les festivités du défilé
20.05.26 Reste down après l'incident sur Kolofata, besoin d'un FME sur site pour vérifier le statut du MPR; FME Yaouba activé pour investigations, update ASAP</t>
  </si>
  <si>
    <t>BICEC-Indoor</t>
  </si>
  <si>
    <t>LIT_700</t>
  </si>
  <si>
    <t>{06-07-2026 cell zte}: 07/06/2026 : Site down        ;         {06-07-2026 cell zte}: 07/06/2026 : Site down        ;         {06-07-2026  ocm ran 18}: 07/06/2026  grid only site grid outage / grid return awaited</t>
  </si>
  <si>
    <t>07/06/2026 Site down 07/06/2026 Site down 07/06/2026 grid only site grid outage / grid return awaited</t>
  </si>
  <si>
    <t>Nyanon</t>
  </si>
  <si>
    <t>LIT_349</t>
  </si>
  <si>
    <t>{06-07-2026 cell nokia}: 
06/06/2026: FME activer||Escalade faite au RM. En attente de son feedback
05/06/2026 : Need BO RAN analysis||FME should check and clean port 5 of FXDB        ;         {06-07-2026 cell nokia}: 
06/06/2026: FME activer||Escalade faite au RM. En attente de son feedback
05/06/2026 : Need BO RAN analysis||FME should check and clean port 5 of FXDB</t>
  </si>
  <si>
    <t>06/06/2026 FME activer || Escalade faite au RM. En attente de son feedback
05/06/2026 Need BO RAN analysis || FME should check and clean port 5 of FXDB 06/06/2026 FME activer || Escalade faite au RM. En attente de son feedback
05/06/2026 Need BO RAN analysis || FME should check and clean port 5 of FXDB</t>
  </si>
  <si>
    <t>Babanki-IHS</t>
  </si>
  <si>
    <t>NRO_058</t>
  </si>
  <si>
    <t>Babanki</t>
  </si>
  <si>
    <t xml:space="preserve">{06-07-2026 cell nokia}: 
06/06/2026: Access issues
05/06/2026 : Negociation acces en cours
04/06/2026: Closed After reset but FME should check and replace ARDA || Negociation acces en cours
03/06/2026 : Need BO RAN analysis         ;         {06-07-2026 cell nokia}: 
06/06/2026: Access issues
05/06/2026 : Negociation acces en cours
04/06/2026: Closed After reset but FME should check and replace ARDA || Negociation acces en cours
03/06/2026 : Need BO RAN analysis </t>
  </si>
  <si>
    <t>06/06/2026 Access issues
05/06/2026 Negociation acces en cours
04/06/2026 Closed After reset but FME should check and replace ARDA || Negociation acces en cours
03/06/2026 Need BO RAN analysis 06/06/2026 Access issues
05/06/2026 Negociation acces en cours
04/06/2026 Closed After reset but FME should check and replace ARDA || Negociation acces en cours
03/06/2026 Need BO RAN analysis</t>
  </si>
  <si>
    <t>Mberem-Ngop</t>
  </si>
  <si>
    <t>ADM_133</t>
  </si>
  <si>
    <t>Nganha</t>
  </si>
  <si>
    <t>Nganha-IHS</t>
  </si>
  <si>
    <t>ADM_137</t>
  </si>
  <si>
    <t>{06-07-2026 cell nokia}: 06/06/2026 : Need BO RAN analysis||Closed after reset but check and replace FRGU if needed ||Action avec le level0 en cour        ;         {06-07-2026 cell nokia}: 06/06/2026 : Need BO RAN analysis||Closed after reset but check and replace FRGU if needed ||Action avec le level0 en cour</t>
  </si>
  <si>
    <t>06/06/2026 Need BO RAN analysis || Closed after reset but check and replace FRGU if needed || Action avec le level0 en cour 06/06/2026 Need BO RAN analysis || Closed after reset but check and replace FRGU if needed || Action avec le level0 en cour</t>
  </si>
  <si>
    <t>Ekok</t>
  </si>
  <si>
    <t>SUO_015</t>
  </si>
  <si>
    <t>Nkak</t>
  </si>
  <si>
    <t>LIT_231</t>
  </si>
  <si>
    <t>Mapubbi</t>
  </si>
  <si>
    <t>{Hourly-IHS}: 07-06-2026 05:35:48 THE TECHNICIAN IS MANAGED</t>
  </si>
  <si>
    <t>07-06-2026 05 35 48 THE TECHNICIAN IS MANAGED</t>
  </si>
  <si>
    <t>CTR_547_N_Elig-Mfomo-New</t>
  </si>
  <si>
    <t>CTR_547</t>
  </si>
  <si>
    <t>Elig-Mfomo</t>
  </si>
  <si>
    <t xml:space="preserve"> {06-07-2026   incident }:   impact by  CTR_083_Z_Ngomo(CTR-083)  Souci Energie
Action:
En Attente RCA IHS        ;         {06-07-2026  ocm ran 18}: Power status check Ongoing        ;         {06-07-2026 ticket}: INC-20260607-00021371...GE Fault</t>
  </si>
  <si>
    <t>{06-07-2026 incident } impact by CTR_083_Z_Ngomo(CTR-083) Souci Energie
Action En Attente RCA IHS .GE Fault</t>
  </si>
  <si>
    <t>Madison</t>
  </si>
  <si>
    <t>{Hourly-IHS}: 07/06/2026 16:54 0:05:31 42.3 FME is managing, ETA ASAP        ;         {06-07-2026 cell zte}: 07/06/2026 : Site down        ;         {06-07-2026 ticket}: INC-20260607-00012995...Site went down due to trip of Cb(125A) in PWC // He reamed Cb(125A), site on grid...Site went down due to trip of Cb(125A) in PWC // He reamed Cb(125A), site on grid...Others</t>
  </si>
  <si>
    <t>07/06/2026 16 54 0 05 31 42.3 FME is managing, ETA ASAP 07/06/2026 Site down .Site went down due to trip of Cb(125A) in PWC // He reamed Cb(125A), site on grid.Site went down due to trip of Cb(125A) in PWC // He reamed Cb(125A), site on grid.</t>
  </si>
  <si>
    <t>Ossing-IHS</t>
  </si>
  <si>
    <t>SUO_100</t>
  </si>
  <si>
    <t>Ossing</t>
  </si>
  <si>
    <t>{06-07-2026 ticket}: INC-20260607-00000514...impacted by bachou ntai ...GE Fault</t>
  </si>
  <si>
    <t>.impacted by bachou ntai .GE Fault</t>
  </si>
  <si>
    <t>Bois-Des-Singes-II-MTN</t>
  </si>
  <si>
    <t>LIT_753</t>
  </si>
  <si>
    <t>Matafal</t>
  </si>
  <si>
    <t>EXN_207</t>
  </si>
  <si>
    <t xml:space="preserve">{06-07-2026 cell nokia}: 
07/062026:Need BO RAN analysis </t>
  </si>
  <si>
    <t>07/062026 Need BO RAN analysis</t>
  </si>
  <si>
    <t>Kobdombo</t>
  </si>
  <si>
    <t>EST_057</t>
  </si>
  <si>
    <t>{Hourly-IHS}: 07/06/2026 12:17 2:43:00 52 FME Honest is on the way, ETA 04:30 PM        ;         {06-07-2026 cell zte}: 07/06/2026 : Site down</t>
  </si>
  <si>
    <t>07/06/2026 12 17 2 43 00 52 FME Honest is on the way, ETA 04 30 PM 07/06/2026 Site down</t>
  </si>
  <si>
    <t>Galim</t>
  </si>
  <si>
    <t>OST_026</t>
  </si>
  <si>
    <t xml:space="preserve"> {06-07-2026   incident }:   impact by  OST_141_H_Mbouda  Fuel Outage(Fuel theft according to power team)
Return to the latest
Action:GE reflueled        ;         {06-07-2026 ticket}: INC-20260607-00018142...Auto TT closure RCA...GE Fault</t>
  </si>
  <si>
    <t>{06-07-2026 incident } impact by OST_141_H_Mbouda Fuel Outage(Fuel theft according to power team)
Return to the latest
Action GE reflueled .Auto TT closure RCA.GE Fault</t>
  </si>
  <si>
    <t>Zone-Papass</t>
  </si>
  <si>
    <t>LIT_270</t>
  </si>
  <si>
    <t>{Hourly-IHS}: 07-06-2026 03:08:41 26:13:00 THE TECHNICIAN IS INFORMED        ;         {06-07-2026 ticket}: INC-20260607-00001657...Site down due to Grid fluctuations // He bypass the Grid and Gen manually started...GE Fault</t>
  </si>
  <si>
    <t>07-06-2026 03 08 41 26 13 00 THE TECHNICIAN IS INFORMED .Site down due to Grid fluctuations // He bypass the Grid and Gen manually started.GE Fault</t>
  </si>
  <si>
    <t>Ebolowa-Agence-New</t>
  </si>
  <si>
    <t>SUD_083</t>
  </si>
  <si>
    <t>Mobil-Essos</t>
  </si>
  <si>
    <t>CTR_068</t>
  </si>
  <si>
    <t>{06-07-2026 ticket}: INC-20260607-00012998...Auto TT closure RCA...GE Fault</t>
  </si>
  <si>
    <t>Garoua-Kolbives</t>
  </si>
  <si>
    <t>NRD_049</t>
  </si>
  <si>
    <t>{Hourly-IHS}: 07/06/2026 14:15 0:44:11 No Comm Rectifier Issue</t>
  </si>
  <si>
    <t>07/06/2026 14 15 0 44 11 No Comm Rectifier Issue</t>
  </si>
  <si>
    <t>LIT_871_Z_Bonamatoumbe-III-IHS</t>
  </si>
  <si>
    <t>LIT_871</t>
  </si>
  <si>
    <t>{06-07-2026 cell zte}: 07/06/2026 : Site down        ;         {06-07-2026 ticket}: INC-20260607-00007820...Grid outage ,site went dwon because Gen stopped with alarm ''oil pressure''// He removed the sensor,cleaned it and started Gen...GE Fault...Grid outage ,site went dwon because Gen stopped with alarm ''oil pressure''// He removed the sensor,cleaned it and started Gen</t>
  </si>
  <si>
    <t>07/06/2026 Site down .Grid outage ,site went dwon because Gen stopped with alarm ''oil pressure''// He removed the sensor,cleaned it and started Gen.GE Fault.Grid outage ,site went dwon because Gen stopped with alarm ''oil pressure''// He removed the sensor,cleaned it and started Gen</t>
  </si>
  <si>
    <t>Moloundou</t>
  </si>
  <si>
    <t>EST_015</t>
  </si>
  <si>
    <t>Lomie</t>
  </si>
  <si>
    <t>EST_010</t>
  </si>
  <si>
    <t>Yagoua-Ville</t>
  </si>
  <si>
    <t>EXN_096</t>
  </si>
  <si>
    <t>Yagoua</t>
  </si>
  <si>
    <t>Ngo-Njo-II</t>
  </si>
  <si>
    <t>LIT_585</t>
  </si>
  <si>
    <t>{06-07-2026 ticket}: INC-20260607-00001839...Auto TT closure RCA...Others</t>
  </si>
  <si>
    <t>.Auto TT closure RCA.</t>
  </si>
  <si>
    <t>Bonamoutongo-III</t>
  </si>
  <si>
    <t>LIT_718</t>
  </si>
  <si>
    <t>{06-07-2026 ticket}: INC-20260607-00001836...Auto TT closure RCA...Grid Outage</t>
  </si>
  <si>
    <t>.Auto TT closure RCA.Grid Outage</t>
  </si>
  <si>
    <t>PK13-Sitabac-New</t>
  </si>
  <si>
    <t>LIT_667</t>
  </si>
  <si>
    <t>{06-07-2026 ticket}: INC-20260607-00001837...Auto TT closure RCA...Others</t>
  </si>
  <si>
    <t>Yagoua-MTN-IHS</t>
  </si>
  <si>
    <t>EXN_144</t>
  </si>
  <si>
    <t>Tatum</t>
  </si>
  <si>
    <t>NRO_073</t>
  </si>
  <si>
    <t xml:space="preserve"> {06-07-2026   incident }:   impact by  NRO_021_N_Ma     ,Update 1
2026-06-07  : Chute de tension Observee depuis le
CMS(43V). IHS Activated for
intervention
Update 2
2026-06-07: IHS: FME Roland is informed and will
intervene tomorrow morning due to
insecurity
Update 3
2026-06-07
 Le site etant situe en Red zone 
(NOSO), nous allons geler le TT
jusqu'a demain matin        ;         {06-07-2026 ticket}: INC-20260607-00016995...Auto TT closure RCA...GE Fault</t>
  </si>
  <si>
    <t>{06-07-2026 incident } impact by NRO_021_N_Ma ,Update 1
2026-06-07 Chute de tension Observee depuis le
CMS(43V). IHS Activated for
intervention
Update 2
2026-06-07 IHS FME Roland is informed and will
intervene tomorrow morning due to
insecurity
Update 3
2026-06-07
Le site etant situe en Red zone
(NOSO), nous allons geler le TT
jusqu'a demain matin .Auto TT closure RCA.GE Fault</t>
  </si>
  <si>
    <t>Bandja</t>
  </si>
  <si>
    <t>OST_022</t>
  </si>
  <si>
    <t>{06-07-2026 ticket}: INC-20260607-00010685...Auto TT closure RCA...GE Fault</t>
  </si>
  <si>
    <t>Bamenkombo</t>
  </si>
  <si>
    <t>OST_155</t>
  </si>
  <si>
    <t xml:space="preserve"> {06-07-2026   incident }:   impact by  OST_141_H_Mbouda  Fuel Outage(Fuel theft according to power team)
Return to the latest
Action:GE reflueled        ;         {06-07-2026 ticket}: INC-20260607-00017771...power issue in the donor site 
fuel outage 
power team alerted and managing 
follow up ongoing ...GE Fault</t>
  </si>
  <si>
    <t>{06-07-2026 incident } impact by OST_141_H_Mbouda Fuel Outage(Fuel theft according to power team)
Return to the latest
Action GE reflueled .power issue in the donor site
fuel outage
power team alerted and managing
follow up ongoing .GE Fault</t>
  </si>
  <si>
    <t>Foumban-CAMTEL</t>
  </si>
  <si>
    <t>OST_047</t>
  </si>
  <si>
    <t>Elogbatindi</t>
  </si>
  <si>
    <t>SUO_037</t>
  </si>
  <si>
    <t>Bengbis-MTN-IHS</t>
  </si>
  <si>
    <t>SUD_052</t>
  </si>
  <si>
    <t>Bengbis</t>
  </si>
  <si>
    <t>{06-07-2026 ticket}: INC-20260607-00008764...GE Fault</t>
  </si>
  <si>
    <t>SongLoulou-IHS</t>
  </si>
  <si>
    <t>LIT_200</t>
  </si>
  <si>
    <t>Songloulou</t>
  </si>
  <si>
    <t>{06-07-2026 cell nokia}: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        ;         {06-07-2026 cell nokia}: 
06/06/2026: FME interviendra apres le site de LOGBONG|| ETA: 08062026
05/06/2026: D'apres le FME, les tensions chutent a 46V || RI attendu ce jour || ETA 16H||FME a eu une panne mechanique||FME interviendra Demain pour un nouveau RI
03/06/2026 : Need BO RAN analysis ||Closed after reset but FME should check port EXT2 on SFP, Optical fiber of FRGU if needed||ETA: 05062026        ;         {06-07-2026 ticket}: INC-20260607-00012795...power issue on site les gars de IHS ravitaillent le site en fuel ...GE Fault</t>
  </si>
  <si>
    <t>06/06/2026 FME interviendra apres le site de LOGBONG || ETA 08062026
05/06/2026 D'apres le FME, les tensions chutent a 46V || RI attendu ce jour || ETA 16H || FME a eu une panne mechanique || FME interviendra Demain pour un nouveau RI
03/06/2026 Need BO RAN analysis || Closed after reset but FME should check port EXT2 on SFP, Optical fiber of FRGU if needed || ETA 05062026 06/06/2026 FME interviendra apres le site de LOGBONG || ETA 08062026
05/06/2026 D'apres le FME, les tensions chutent a 46V || RI attendu ce jour || ETA 16H || FME a eu une panne mechanique || FME interviendra Demain pour un nouveau RI
03/06/2026 Need BO RAN analysis || Closed after reset but FME should check port EXT2 on SFP, Optical fiber of FRGU if needed || ETA 05062026 .power issue on site les gars de IHS ravitaillent le site en fuel .GE Fault</t>
  </si>
  <si>
    <t>Ngomo</t>
  </si>
  <si>
    <t xml:space="preserve"> {06-07-2026   incident }:   impact by  CTR_083_Z_Ngomo(CTR-083)  Souci Energie
Action:
En Attente RCA IHS        ;         {06-07-2026  ocm ran 18}: Power status check Ongoing        ;         {06-07-2026 ticket}: INC-20260607-00015728...2026-06-07 18:35:17...Site is not managed by IHS...
En Attente RCA IHS...Others...
Souci Energie...user:OCM_NOC.IHS</t>
  </si>
  <si>
    <t>{06-07-2026 incident } impact by CTR_083_Z_Ngomo(CTR-083) Souci Energie
Action En Attente RCA IHS .2026-06-07 18 35 17.Site is not managed by IHS.
En Attente RCA IHS.
Souci Energie.user OCM_NOC.IHS</t>
  </si>
  <si>
    <t>Ngd-CRTV</t>
  </si>
  <si>
    <t>ADM_007</t>
  </si>
  <si>
    <t>Nyalla-II</t>
  </si>
  <si>
    <t>LIT_341</t>
  </si>
  <si>
    <t>Zhoa</t>
  </si>
  <si>
    <t>NRO_030</t>
  </si>
  <si>
    <t>Fungom</t>
  </si>
  <si>
    <t>{06-07-2026 ticket}: INC-20260607-00011267...Auto TT closure RCA...GE Fault</t>
  </si>
  <si>
    <t>Ngd-Mbideng-IHS</t>
  </si>
  <si>
    <t>ADM_157</t>
  </si>
  <si>
    <t>Mvog-Ebanda-II</t>
  </si>
  <si>
    <t>CTR_668</t>
  </si>
  <si>
    <t>{06-07-2026 ticket}: INC-20260607-00018341...Power fluctuation in site ...Others</t>
  </si>
  <si>
    <t>.Power fluctuation in site .</t>
  </si>
  <si>
    <t>Sanglou-IHS</t>
  </si>
  <si>
    <t>SUD_206</t>
  </si>
  <si>
    <t>Sagmelima</t>
  </si>
  <si>
    <t>Bonamoutongo</t>
  </si>
  <si>
    <t>LIT_020</t>
  </si>
  <si>
    <t>{06-07-2026 ticket}: INC-20260607-00001628...Impacte par un power issue sur le site de Zone-Papass_LIT_270...Retour IHS attendu pour la RCA...Others...Impacte par un power issue sur le site de Zone-Papass_LIT_270</t>
  </si>
  <si>
    <t>.Impacte par un power issue sur le site de Zone-Papass_LIT_270.Retour IHS attendu pour la RCA.Impacte par un power issue sur le site de Zone-Papass_LIT_270</t>
  </si>
  <si>
    <t>NRD_255_H_Garoua-Universite</t>
  </si>
  <si>
    <t>NRD_255</t>
  </si>
  <si>
    <t>Hopital-General-Garoua</t>
  </si>
  <si>
    <t>NRD_189</t>
  </si>
  <si>
    <t>Ndogpassi-III</t>
  </si>
  <si>
    <t>LIT_283</t>
  </si>
  <si>
    <t>{06-07-2026  ocm ran 18}: Power status check Ongoing        ;         {06-07-2026 ticket}: INC-20260607-00015695...GE Fault</t>
  </si>
  <si>
    <t>Lounghe-Camrail</t>
  </si>
  <si>
    <t>LIT_389</t>
  </si>
  <si>
    <t>Pure Solar</t>
  </si>
  <si>
    <t>Nwa</t>
  </si>
  <si>
    <t>NRO_012</t>
  </si>
  <si>
    <t>Mwa</t>
  </si>
  <si>
    <t>{06-07-2026 ticket}: INC-20260607-00004468...DG took UNDERVOLTAGE alarm // Card reset and DG manually started...Grid Outage...DG took UNDERVOLTAGE alarm // Card reset and DG manually started</t>
  </si>
  <si>
    <t>.DG took UNDERVOLTAGE alarm // Card reset and DG manually started.Grid Outage.DG took UNDERVOLTAGE alarm // Card reset and DG manually started</t>
  </si>
  <si>
    <t>Foumban-Camtel-II</t>
  </si>
  <si>
    <t>OST_235</t>
  </si>
  <si>
    <t>Garoua-Ngalbidje-IHS</t>
  </si>
  <si>
    <t>NRD_085</t>
  </si>
  <si>
    <t>Bachuo-Ntai</t>
  </si>
  <si>
    <t>SUO_030</t>
  </si>
  <si>
    <t>Bashuo-Ntai</t>
  </si>
  <si>
    <t>{06-07-2026 ticket}: INC-20260607-00000499...2026-06-07 06:09:44...
RM relance pour intervention en attente de l'ETA...Reponitage Fontem -fainchang...Others...Depointage de la liaison Fontem -fainchang...user:ZIEGA HERMANN</t>
  </si>
  <si>
    <t>.2026-06-07 06 09 44.
RM relance pour intervention en attente de l'ETA.Reponitage Fontem -fainchang.Depointage de la liaison Fontem -fainchang.user ZIEGA HERMANN</t>
  </si>
  <si>
    <t>New-Deido</t>
  </si>
  <si>
    <t>LIT_287</t>
  </si>
  <si>
    <t>Ekondo-titi</t>
  </si>
  <si>
    <t>SUO_019</t>
  </si>
  <si>
    <t>Ekondo-Titi</t>
  </si>
  <si>
    <t>{Hourly-IHS}: 07-06-2026 01:41:36 fme Terence is managing with level 0</t>
  </si>
  <si>
    <t>07-06-2026 01 41 36 fme Terence is managing with level 0</t>
  </si>
  <si>
    <t>Fondjomekwet-IHS</t>
  </si>
  <si>
    <t>OST_208</t>
  </si>
  <si>
    <t>Fondjomekwet</t>
  </si>
  <si>
    <t>{06-07-2026 ticket}: INC-20260607-00010377...Auto TT closure RCA...GE Fault</t>
  </si>
  <si>
    <t>Maroua-Zokok-Palar-II</t>
  </si>
  <si>
    <t>EXN_204</t>
  </si>
  <si>
    <t>Limbe-Mile4-IHS</t>
  </si>
  <si>
    <t>SUO_212</t>
  </si>
  <si>
    <t>{Hourly-IHS}: 07-06-2026 02:31:15 FME Christian is on site</t>
  </si>
  <si>
    <t>07-06-2026 02 31 15 FME Christian is on site</t>
  </si>
  <si>
    <t>Bomono-ba-mbengue-IHS</t>
  </si>
  <si>
    <t>LIT_790</t>
  </si>
  <si>
    <t>douala</t>
  </si>
  <si>
    <t>Dibombari</t>
  </si>
  <si>
    <t>{06-07-2026 ticket}: INC-20260607-00004641...2026-06-07 08:14:55...FME Joseph is managing with level 0, ETA ASAP...Hybrid system malfunctioning // Reset card and started GEN manually...GE Fault...Hybrid system malfunctioning // Reset card and started GEN manually...user:OCM_NOC.IHS</t>
  </si>
  <si>
    <t>.2026-06-07 08 14 55.FME Joseph is managing with level 0, ETA ASAP.Hybrid system malfunctioning // Reset card and started GEN manually.GE Fault.Hybrid system malfunctioning // Reset card and started GEN manually.user OCM_NOC.IHS</t>
  </si>
  <si>
    <t>Bagarao</t>
  </si>
  <si>
    <t>EXN_202</t>
  </si>
  <si>
    <t xml:space="preserve">{06-07-2026 cell nokia}: 
06/06/2026:FBBC faulty,  pièce de rechange en cours d'envoi de Maroua vers YAGOUA ETD 07/06/2026
05/06/2026 : Transfert de la SPARE de MAROUA pour YAGOUA : FBBC || ETD 06062026
04/06/2026: Closed After reset but FME should check and replace ARMA||FME activer||interevention en cour || ETR 13H|Remplacement du Jumpeur sur le port 4 de la FXDB||FME a constate que la FBBC etait faulty||Cde de la FBBC  en cour
03/06/2026 : Need BO RAN analysis         ;         {06-07-2026 cell nokia}: 
06/06/2026:FBBC faulty,  pièce de rechange en cours d'envoi de Maroua vers YAGOUA ETD 07/06/2026
05/06/2026 : Transfert de la SPARE de MAROUA pour YAGOUA : FBBC || ETD 06062026
04/06/2026: Closed After reset but FME should check and replace ARMA||FME activer||interevention en cour || ETR 13H|Remplacement du Jumpeur sur le port 4 de la FXDB||FME a constate que la FBBC etait faulty||Cde de la FBBC  en cour
03/06/2026 : Need BO RAN analysis </t>
  </si>
  <si>
    <t>06/06/2026 FBBC faulty, pièce de rechange en cours d'envoi de Maroua vers YAGOUA ETD 07/06/2026
05/06/2026 Transfert de la SPARE de MAROUA pour YAGOUA FBBC || ETD 06062026
04/06/2026 Closed After reset but FME should check and replace ARMA || FME activer || interevention en cour || ETR 13H|Remplacement du Jumpeur sur le port 4 de la FXDB || FME a constate que la FBBC etait faulty || Cde de la FBBC en cour
03/06/2026 Need BO RAN analysis 06/06/2026 FBBC faulty, pièce de rechange en cours d'envoi de Maroua vers YAGOUA ETD 07/06/2026
05/06/2026 Transfert de la SPARE de MAROUA pour YAGOUA FBBC || ETD 06062026
04/06/2026 Closed After reset but FME should check and replace ARMA || FME activer || interevention en cour || ETR 13H|Remplacement du Jumpeur sur le port 4 de la FXDB || FME a constate que la FBBC etait faulty || Cde de la FBBC en cour
03/06/2026 Need BO RAN analysis</t>
  </si>
  <si>
    <t>Banefo-Baleng</t>
  </si>
  <si>
    <t>OST_193</t>
  </si>
  <si>
    <t xml:space="preserve"> {06-07-2026   incident }:   impact by  OST_141_H_Mbouda  Fuel Outage(Fuel theft according to power team)
Return to the latest
Action:GE reflueled        ;         {06-07-2026 ticket}: INC-20260607-00017929...2026-06-07 21:51:40...
*Request Access* 
 *Site ID*: OST_
 *Site N*: mbouda 
 *Reason*: refuelling
 *Impact (Yes or No)*: no
 *Company*: camusat 
 *Technician*:  yves seraphin 
 *Tel*:  697700049
 *Date*: 07/06/2026...
GE Refueled...FUEL ISSUE...
Fuel Outage(Fuel theft according to power team)...user:TCHOUPOU BAUDOIN VALDAS </t>
  </si>
  <si>
    <t>{06-07-2026 incident } impact by OST_141_H_Mbouda Fuel Outage(Fuel theft according to power team)
Return to the latest
Action GE reflueled .2026-06-07 21 51 40.
*Request Access*
*Site ID* OST_
*Site N* mbouda
*Reason* refuelling
*Impact (Yes or No)* no
*Company* camusat
*Technician* yves seraphin
*Tel* 697700049
*Date* 07/06/2026.
GE Refueled.FUEL ISSUE.
Fuel Outage(Fuel theft according to power team).user TCHOUPOU BAUDOIN VALDAS</t>
  </si>
  <si>
    <t>Garoua-Ray-Re</t>
  </si>
  <si>
    <t>NRD_062</t>
  </si>
  <si>
    <t>{Hourly-IHS}: 07/06/2026 16:35 1:24:31 48.8 Team is on site for works (MPR replacment)</t>
  </si>
  <si>
    <t>07/06/2026 16 35 1 24 31 48.8 Team is on site for works (MPR replacment)</t>
  </si>
  <si>
    <t>Douala-Bali-III-MTN</t>
  </si>
  <si>
    <t>LIT_746</t>
  </si>
  <si>
    <t>Goro-IHS</t>
  </si>
  <si>
    <t>ADM_138</t>
  </si>
  <si>
    <t>Goro</t>
  </si>
  <si>
    <t>{06-07-2026 ticket}: INC-20260607-00011130...GE Fault</t>
  </si>
  <si>
    <t>Muyengue-IHS</t>
  </si>
  <si>
    <t>LIT_175</t>
  </si>
  <si>
    <t>Gen only</t>
  </si>
  <si>
    <t>Muyengue</t>
  </si>
  <si>
    <t>{06-07-2026 ticket}: INC-20260607-00018506...GE Fault</t>
  </si>
  <si>
    <t>Kika-IHS</t>
  </si>
  <si>
    <t>EST_115</t>
  </si>
  <si>
    <t>Kika</t>
  </si>
  <si>
    <t>Maroua-Zikirou-IHS</t>
  </si>
  <si>
    <t>EXN_147</t>
  </si>
  <si>
    <t>{Hourly-IHS}: 07-06-2026 00:57:58 00:15:00 Emmanuel is going to site ETA ASAP.</t>
  </si>
  <si>
    <t>07-06-2026 00 57 58 00 15 00 Emmanuel is going to site ETA ASAP.</t>
  </si>
  <si>
    <t>Garoua-Ouro-Lawan-II</t>
  </si>
  <si>
    <t>NRD_146</t>
  </si>
  <si>
    <t>Mvangan-IHS</t>
  </si>
  <si>
    <t>SUD_066</t>
  </si>
  <si>
    <t>Mvangan</t>
  </si>
  <si>
    <t xml:space="preserve">{06-07-2026 cell nokia}: 03/06/2026 : Need BO RAN analysis ||Check and replace FXDB||Cde de la FXDB en cours         ;         {06-07-2026 cell nokia}: 03/06/2026 : Need BO RAN analysis ||Check and replace FXDB||Cde de la FXDB en cours </t>
  </si>
  <si>
    <t>03/06/2026 Need BO RAN analysis || Check and replace FXDB || Cde de la FXDB en cours 03/06/2026 Need BO RAN analysis || Check and replace FXDB || Cde de la FXDB en cours</t>
  </si>
  <si>
    <t>Efoulan-Pont</t>
  </si>
  <si>
    <t>CTR_773</t>
  </si>
  <si>
    <t>Maroua-Tchadeo-III</t>
  </si>
  <si>
    <t>EXN_249</t>
  </si>
  <si>
    <t>Oku</t>
  </si>
  <si>
    <t>NRO_013</t>
  </si>
  <si>
    <t xml:space="preserve"> {06-07-2026   incident }:   impact by  NRO_021_N_Ma     ,Update 1
2026-06-07  : Chute de tension Observee depuis le
CMS(43V). IHS Activated for
intervention
Update 2
2026-06-07: IHS: FME Roland is informed and will
intervene tomorrow morning due to
insecurity
Update 3
2026-06-07
 Le site etant situe en Red zone 
(NOSO), nous allons geler le TT
jusqu'a demain matin        ;         {06-07-2026 ticket}: INC-20260607-00020054</t>
  </si>
  <si>
    <t>{06-07-2026 incident } impact by NRO_021_N_Ma ,Update 1
2026-06-07 Chute de tension Observee depuis le
CMS(43V). IHS Activated for
intervention
Update 2
2026-06-07 IHS FME Roland is informed and will
intervene tomorrow morning due to
insecurity
Update 3
2026-06-07
Le site etant situe en Red zone
(NOSO), nous allons geler le TT
jusqu'a demain matin</t>
  </si>
  <si>
    <t>Santa-New</t>
  </si>
  <si>
    <t>NRO_104</t>
  </si>
  <si>
    <t>Santa</t>
  </si>
  <si>
    <t>Pitoa-Ville-IHS</t>
  </si>
  <si>
    <t>NRD_096</t>
  </si>
  <si>
    <t>Mankouotmbou</t>
  </si>
  <si>
    <t>OST_245</t>
  </si>
  <si>
    <t>{06-07-2026 ticket}: INC-20260607-00001378...Auto TT closure RCA...Solar Outage</t>
  </si>
  <si>
    <t>Bamenyam</t>
  </si>
  <si>
    <t>OST_186</t>
  </si>
  <si>
    <t xml:space="preserve"> {06-07-2026   incident }:   impact by  OST_141_H_Mbouda  Fuel Outage(Fuel theft according to power team)
Return to the latest
Action:GE reflueled        ;         {06-07-2026 ticket}: INC-20260607-00017532...power issue in the donor site 
fuel outage 
power team alerted and managing 
follow up ongoing ...GE Fault</t>
  </si>
  <si>
    <t>Moumee-New</t>
  </si>
  <si>
    <t>OST_224</t>
  </si>
  <si>
    <t>Moumee</t>
  </si>
  <si>
    <t>Dschang-Vallee</t>
  </si>
  <si>
    <t>OST_096</t>
  </si>
  <si>
    <t>Wouri</t>
  </si>
  <si>
    <t>LIT_087</t>
  </si>
  <si>
    <t xml:space="preserve">{06-07-2026 cell zte}: 28/05/2026 : Commande du Fan en cours || ETD : ce jour 
27/05/2026 : FB BO TX : Fan to be relplace pn: 3DB18134BB, fme to check connectivity 1/1 || FME activer || Intervention en cours ||FAN  faulty || Commande effectuer 
26/05/2026 : Ceel WAS down due to transmissin         ;         {06-07-2026 cell zte}: 28/05/2026 : Commande du Fan en cours || ETD : ce jour 
27/05/2026 : FB BO TX : Fan to be relplace pn: 3DB18134BB, fme to check connectivity 1/1 || FME activer || Intervention en cours ||FAN  faulty || Commande effectuer 
26/05/2026 : Ceel WAS down due to transmissin </t>
  </si>
  <si>
    <t>28/05/2026 Commande du Fan en cours || ETD ce jour
27/05/2026 FB BO TX Fan to be relplace pn 3DB18134BB, fme to check connectivity 1/1 || FME activer || Intervention en cours || FAN faulty || Commande effectuer
26/05/2026 Ceel WAS down due to transmissin 28/05/2026 Commande du Fan en cours || ETD ce jour
27/05/2026 FB BO TX Fan to be relplace pn 3DB18134BB, fme to check connectivity 1/1 || FME activer || Intervention en cours || FAN faulty || Commande effectuer
26/05/2026 Ceel WAS down due to transmissin</t>
  </si>
  <si>
    <t>Mabenanga-Kribi</t>
  </si>
  <si>
    <t>SUD_090</t>
  </si>
  <si>
    <t>{06-07-2026 cell zte}: 22/05/2026 : Rapport recu et transferer a Camusat || En attente du support de Camusat
20/05/2026 : En attente du RI pour  avoir le support de Camusat 
19/05/2026 : FME activer pour investiguation || ETA : 11H ||FME dis qu'il a n'a pas pu intervenir sur le site a cause de la presence des guepes || RI est attendu pour interpeller Camusat 
18/05/2026 : Feedback BO : RRU 52 link interrupted / FME Need to check RRU 
17/05/2026 : Need BO RAN analysis        ;         {06-07-2026 cell zte}: 22/05/2026 : Rapport recu et transferer a Camusat || En attente du support de Camusat
20/05/2026 : En attente du RI pour  avoir le support de Camusat 
19/05/2026 : FME activer pour investiguation || ETA : 11H ||FME dis qu'il a n'a pas pu intervenir sur le site a cause de la presence des guepes || RI est attendu pour interpeller Camusat 
18/05/2026 : Feedback BO : RRU 52 link interrupted / FME Need to check RRU 
17/05/2026 : Need BO RAN analysis</t>
  </si>
  <si>
    <t>22/05/2026 Rapport recu et transferer a Camusat || En attente du support de Camusat
20/05/2026 En attente du RI pour avoir le support de Camusat
19/05/2026 FME activer pour investiguation || ETA 11H || FME dis qu'il a n'a pas pu intervenir sur le site a cause de la presence des guepes || RI est attendu pour interpeller Camusat
18/05/2026 Feedback BO RRU 52 link interrupted / FME Need to check RRU
17/05/2026 Need BO RAN analysis 22/05/2026 Rapport recu et transferer a Camusat || En attente du support de Camusat
20/05/2026 En attente du RI pour avoir le support de Camusat
19/05/2026 FME activer pour investiguation || ETA 11H || FME dis qu'il a n'a pas pu intervenir sur le site a cause de la presence des guepes || RI est attendu pour interpeller Camusat
18/05/2026 Feedback BO RRU 52 link interrupted / FME Need to check RRU
17/05/2026 Need BO RAN analysis</t>
  </si>
  <si>
    <t>Mora-II</t>
  </si>
  <si>
    <t>EXN_032</t>
  </si>
  <si>
    <t>Mora</t>
  </si>
  <si>
    <t>Mboulai-MTN</t>
  </si>
  <si>
    <t>ADM_029</t>
  </si>
  <si>
    <t>Mboulai</t>
  </si>
  <si>
    <t xml:space="preserve">{06-07-2026 cell nokia}: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         {06-07-2026 cell nokia}: 
06/06/2026: FSMF en défaut,  pièces de rechange en cours d'envoi depuis Maroua vers Ngaoundere ETD 07/06/2026
05/06/2026 : Besoin de 02 FSMF || Les SPARES sont hier de Maroua pour Ngdere || ETD 06062026
04/06/2026 : Action effectuee hier sur site par le FME : Normalisation serrage des Jumpers et quelques checks effectues. Malgre toutes les actions menees par le FME, le VSWR n'a pas disparu || RF Jumpers a remplacer || Cde en cours
03/06/2026 : Need BO RAN analysis|| Closed after reset but FME should check and clean jumper port 2 of FRGU || Escalade faite au RM || En attente de son feedback </t>
  </si>
  <si>
    <t>06/06/2026 FSMF en défaut, pièces de rechange en cours d'envoi depuis Maroua vers Ngaoundere ETD 07/06/2026
05/06/2026 Besoin de 02 FSMF || Les SPARES sont hier de Maroua pour Ngdere || ETD 06062026
04/06/2026 Action effectuee hier sur site par le FME Normalisation serrage des Jumpers et quelques checks effectues. Malgre toutes les actions menees par le FME, le VSWR n'a pas disparu || RF Jumpers a remplacer || Cde en cours
03/06/2026 Need BO RAN analysis || Closed after reset but FME should check and clean jumper port 2 of FRGU || Escalade faite au RM || En attente de son feedback 06/06/2026 FSMF en défaut, pièces de rechange en cours d'envoi depuis Maroua vers Ngaoundere ETD 07/06/2026
05/06/2026 Besoin de 02 FSMF || Les SPARES sont hier de Maroua pour Ngdere || ETD 06062026
04/06/2026 Action effectuee hier sur site par le FME Normalisation serrage des Jumpers et quelques checks effectues. Malgre toutes les actions menees par le FME, le VSWR n'a pas disparu || RF Jumpers a remplacer || Cde en cours
03/06/2026 Need BO RAN analysis || Closed after reset but FME should check and clean jumper port 2 of FRGU || Escalade faite au RM || En attente de son feedback</t>
  </si>
  <si>
    <t>Mini_SS_AFD</t>
  </si>
  <si>
    <t>CTR_737</t>
  </si>
  <si>
    <t>{06-07-2026  ocm ran 18}: 06/06/2026 grid only site grid outage. awaited grid return - Escalated to L2
 grid only site grid outage. awaited grid return - Escalated to L2</t>
  </si>
  <si>
    <t>06/06/2026 grid only site grid outage. awaited grid return - Escalated to L2
grid only site grid outage. awaited grid return - Escalated to L2</t>
  </si>
  <si>
    <t>Ngd-Bini</t>
  </si>
  <si>
    <t>Emana-Pont-IHS</t>
  </si>
  <si>
    <t>CTR_599</t>
  </si>
  <si>
    <t>Mokong-MTN-IHS</t>
  </si>
  <si>
    <t>EXN_161</t>
  </si>
  <si>
    <t>Mokong</t>
  </si>
  <si>
    <t>{Hourly-IHS}: 07/06/2026 13:34 1:25:11 47.3 FME Alban is informed and managing        ;         {06-07-2026 ticket}: INC-20260607-00009718...Auto TT closure RCA...GE Fault</t>
  </si>
  <si>
    <t>07/06/2026 13 34 1 25 11 47.3 FME Alban is informed and managing .Auto TT closure RCA.GE Fault</t>
  </si>
  <si>
    <t>Muyuka-Beach-Bush-IHS</t>
  </si>
  <si>
    <t>SUO_255</t>
  </si>
  <si>
    <t xml:space="preserve">HIS </t>
  </si>
  <si>
    <t>Muyuka</t>
  </si>
  <si>
    <t xml:space="preserve"> {06-07-2026   incident }:   impact by    SUO_008 N_Mpenda-Mbocko-lHS ,Cause:
AVR faulty
Actin: IHS FME Jonas will manage it early morning        ;         {06-07-2026  ocm ran 18}: Power status check Ongoing</t>
  </si>
  <si>
    <t>{06-07-2026 incident } impact by SUO_008 N_Mpenda-Mbocko-lHS ,Cause AVR faulty
Actin IHS FME Jonas will manage it early morning</t>
  </si>
  <si>
    <t>SUO_008</t>
  </si>
  <si>
    <t>OZOM-I</t>
  </si>
  <si>
    <t>CTR_743</t>
  </si>
  <si>
    <t>Ozom</t>
  </si>
  <si>
    <t>Petit-Zambi</t>
  </si>
  <si>
    <t>SUD_135</t>
  </si>
  <si>
    <t>Bipindi</t>
  </si>
  <si>
    <t>SIC-Cacao</t>
  </si>
  <si>
    <t>LIT_654</t>
  </si>
  <si>
    <t>NRD_266_H_Garoua-Bockle-II</t>
  </si>
  <si>
    <t>NRD_266</t>
  </si>
  <si>
    <t>Ma</t>
  </si>
  <si>
    <t xml:space="preserve"> {06-07-2026   incident }:   impact by  NRO_021_N_Ma     ,Update 1
2026-06-07  : Chute de tension Observee depuis le
CMS(43V). IHS Activated for
intervention
Update 2
2026-06-07: IHS: FME Roland is informed and will
intervene tomorrow morning due to
insecurity
Update 3
2026-06-07
 Le site etant situe en Red zone 
(NOSO), nous allons geler le TT
jusqu'a demain matin        ;         {Hourly-IHS}: 07/06/2026 20:28 1:32:00 47 FME Roland is informed and will intervene tomorrow morning due to insecurity        ;         {06-07-2026 ticket}: INC-20260607-00017650</t>
  </si>
  <si>
    <t>{06-07-2026 incident } impact by NRO_021_N_Ma ,Update 1
2026-06-07 Chute de tension Observee depuis le
CMS(43V). IHS Activated for
intervention
Update 2
2026-06-07 IHS FME Roland is informed and will
intervene tomorrow morning due to
insecurity
Update 3
2026-06-07
Le site etant situe en Red zone
(NOSO), nous allons geler le TT
jusqu'a demain matin 07/06/2026 20 28 1 32 00 47 FME Roland is informed and will intervene tomorrow morning due to insecurity</t>
  </si>
  <si>
    <t>Bertoua-Tigaza</t>
  </si>
  <si>
    <t>EST_079</t>
  </si>
  <si>
    <t>{06-07-2026 ticket}: INC-20260607-00018419...GE Fault</t>
  </si>
  <si>
    <t>Tinto</t>
  </si>
  <si>
    <t>SUO_040</t>
  </si>
  <si>
    <t>Loe-MTN</t>
  </si>
  <si>
    <t>SUO_043</t>
  </si>
  <si>
    <t>Loe</t>
  </si>
  <si>
    <t>{06-07-2026  ocm ran 18}: Power status check Ongoing        ;         {06-07-2026 ticket}: INC-20260607-00012234...Auto TT closure RCA...GE Fault</t>
  </si>
  <si>
    <t>Olembe-MTN</t>
  </si>
  <si>
    <t>CTR_778</t>
  </si>
  <si>
    <t>CTR_031</t>
  </si>
  <si>
    <t>{06-07-2026 ticket}: INC-20260607-00001901...GE Fault</t>
  </si>
  <si>
    <t>NTENYING1</t>
  </si>
  <si>
    <t>SUD_161</t>
  </si>
  <si>
    <t>Ntenying</t>
  </si>
  <si>
    <t>{06-07-2026  ocm ran 18}: Power status check Ongoing        ;         {06-07-2026 ticket}: INC-20260607-00012198...2026-06-07 22:48:21...Bo Trans analyse en cours...power problem camusat ...user:OCM_NOC.CAMUSAT</t>
  </si>
  <si>
    <t>.2026-06-07 22 48 21.Bo Trans analyse en cours.power problem camusat .user OCM_NOC.CAMUSAT</t>
  </si>
  <si>
    <t>Bertoua-Hopital-IHS</t>
  </si>
  <si>
    <t>EST_152</t>
  </si>
  <si>
    <t>Grid + Gen</t>
  </si>
  <si>
    <t>Bati</t>
  </si>
  <si>
    <t>OST_215</t>
  </si>
  <si>
    <t xml:space="preserve"> {06-07-2026   incident }:   impact by  OST_141_H_Mbouda  Fuel Outage(Fuel theft according to power team)
Return to the latest
Action:GE reflueled        ;         {06-07-2026 ticket}: INC-20260607-00017926...2026-06-07 21:51:40...
*Request Access* 
 *Site ID*: OST_
 *Site N*: mbouda 
 *Reason*: refuelling
 *Impact (Yes or No)*: no
 *Company*: camusat 
 *Technician*:  yves seraphin 
 *Tel*:  697700049
 *Date*: 07/06/2026...
GE Refueled...FUEL ISSUE...
Fuel Outage(Fuel theft according to power team)...user:TCHOUPOU BAUDOIN VALDAS </t>
  </si>
  <si>
    <t>Foumban-Mambain-MTN</t>
  </si>
  <si>
    <t>OST_102</t>
  </si>
  <si>
    <t>Fundong</t>
  </si>
  <si>
    <t>NRO_015</t>
  </si>
  <si>
    <t xml:space="preserve"> {06-07-2026   incident }:   impact by   NRO_015_N_Fundong  ,RCA: Power issue / En attente RCA IHS        ;         {06-07-2026 ticket}: INC-20260607-00011693...insecurity. site is located in red zone and cannot be visited due to insecurity ...GE Fault</t>
  </si>
  <si>
    <t>{06-07-2026 incident } impact by NRO_015_N_Fundong ,RCA Power issue / En attente RCA IHS .insecurity. site is located in red zone and cannot be visited due to insecurity .GE Fault</t>
  </si>
  <si>
    <t>Home-IHS</t>
  </si>
  <si>
    <t>ADM_112</t>
  </si>
  <si>
    <t>Home</t>
  </si>
  <si>
    <t>{06-07-2026 ticket}: INC-20260607-00014665...Auto TT closure RCA...GE Fault</t>
  </si>
  <si>
    <t>Mimbo</t>
  </si>
  <si>
    <t>SUD_099</t>
  </si>
  <si>
    <t>{06-07-2026 cell zte}: 06/06/2026 : Need BO TX analysis</t>
  </si>
  <si>
    <t>06/06/2026 Need BO TX analysis</t>
  </si>
  <si>
    <t>Shell-Nsimeyong</t>
  </si>
  <si>
    <t>CTR_056</t>
  </si>
  <si>
    <t xml:space="preserve">{06-07-2026 cell zte}: 07/06/2026 : Need BO RAN analysis </t>
  </si>
  <si>
    <t>07/06/2026 Need BO RAN analysis</t>
  </si>
  <si>
    <t>ETOUDI-NEW</t>
  </si>
  <si>
    <t>CTR_917</t>
  </si>
  <si>
    <t>Ngd-Burkina</t>
  </si>
  <si>
    <t>ADM_036</t>
  </si>
  <si>
    <t>{Hourly-IHS}: 07/06/2026 22:14 0:46:00 0 V FME JOSEPH will be on site at 11;20PM</t>
  </si>
  <si>
    <t>07/06/2026 22 14 0 46 00 0 V FME JOSEPH will be on site at 11;20PM</t>
  </si>
  <si>
    <t>Fundong-FM</t>
  </si>
  <si>
    <t>NRO_092</t>
  </si>
  <si>
    <t xml:space="preserve"> {06-07-2026   incident }:   impact by   NRO_015_N_Fundong  ,RCA: Power issue / En attente RCA IHS        ;         {06-07-2026 ticket}: INC-20260607-00011245...Auto TT closure RCA...GE Fault</t>
  </si>
  <si>
    <t>{06-07-2026 incident } impact by NRO_015_N_Fundong ,RCA Power issue / En attente RCA IHS .Auto TT closure RCA.GE Fault</t>
  </si>
  <si>
    <t>Biteng</t>
  </si>
  <si>
    <t>CTR_211</t>
  </si>
  <si>
    <t>{06-07-2026 ticket}: INC-20260607-00007623...Site went down due to grid bad voltage // Gen started manually...Others...Site went down due to grid bad voltage // Gen started manually</t>
  </si>
  <si>
    <t>.Site went down due to grid bad voltage // Gen started manually.Site went down due to grid bad voltage // Gen started manually</t>
  </si>
  <si>
    <t>Nyassosso-MTN</t>
  </si>
  <si>
    <t>SUO_039</t>
  </si>
  <si>
    <t>Nyassosso</t>
  </si>
  <si>
    <t>{Hourly-IHS}: 07-06-2026 03:27:33 FME Brice is informed and trying to manage with L0, Insecurity area.        ;         {06-07-2026 ticket}: INC-20260607-00001984...2026-06-07 06:53:03...FME Lagloire is informed and managing...Auto TT closure RCA...GE Fault...user:OCM_NOC.IHS</t>
  </si>
  <si>
    <t>07-06-2026 03 27 33 FME Brice is informed and trying to manage with L0, Insecurity area. .2026-06-07 06 53 03.FME Lagloire is informed and managing.Auto TT closure RCA.GE Fault.user OCM_NOC.IHS</t>
  </si>
  <si>
    <t>Bepanda-Omnisport</t>
  </si>
  <si>
    <t>LIT_405</t>
  </si>
  <si>
    <t>Salapoumbe-Ville-MTN-IHS</t>
  </si>
  <si>
    <t>EST_103</t>
  </si>
  <si>
    <t>SALAPOUMBE</t>
  </si>
  <si>
    <t xml:space="preserve">{06-07-2026 cell nokia}: 
07/06/2026: FXDB unstable due to power FME should check and replace FXDB &amp; Stabilized power in site||UP apres un soft reset
06/06/2026 : Need BO RAN analysis </t>
  </si>
  <si>
    <t>07/06/2026 FXDB unstable due to power FME should check and replace FXDB &amp; Stabilized power in site || UP apres un soft reset
06/06/2026 Need BO RAN analysis</t>
  </si>
  <si>
    <t>Cite-Sic</t>
  </si>
  <si>
    <t>LIT_098</t>
  </si>
  <si>
    <t>{06-07-2026 ticket}: INC-20260607-00004620...GE Fault</t>
  </si>
  <si>
    <t>Buea-Bomaka-III-MTN</t>
  </si>
  <si>
    <t>SUO_169</t>
  </si>
  <si>
    <t>Kotto-Baden-Baden</t>
  </si>
  <si>
    <t>LIT_713</t>
  </si>
  <si>
    <t>Dobiri-MTN</t>
  </si>
  <si>
    <t>ADM_045</t>
  </si>
  <si>
    <t>Dobiri</t>
  </si>
  <si>
    <t>{06-07-2026 ticket}: INC-20260607-00011035...GE Fault</t>
  </si>
  <si>
    <t>Limbe-Coconut-Island-MTN</t>
  </si>
  <si>
    <t>SUO_219</t>
  </si>
  <si>
    <t>Bagodo</t>
  </si>
  <si>
    <t>ADM_052</t>
  </si>
  <si>
    <t>{06-07-2026 ticket}: INC-20260607-00010974...GE Fault</t>
  </si>
  <si>
    <t>Ngd-Madagascar-MTN-IHS</t>
  </si>
  <si>
    <t>ADM_084</t>
  </si>
  <si>
    <t>Makombe</t>
  </si>
  <si>
    <t>LIT_419</t>
  </si>
  <si>
    <t xml:space="preserve">{06-07-2026 cell zte}: 07/06/2026 : Need BO TX  analysis </t>
  </si>
  <si>
    <t>07/06/2026 Need BO TX analysis</t>
  </si>
  <si>
    <t>TCHEVI-IHS</t>
  </si>
  <si>
    <t>EXN_227</t>
  </si>
  <si>
    <t>Tchevi</t>
  </si>
  <si>
    <t>{06-07-2026 cell nokia}: 
06/06/2026: Closed after reset but FME should check FBBC if needed||FO faulty||mail de commande envoyé au SPM
05/06/2026 : Need BO RAN analysis         ;         {06-07-2026 cell nokia}: 
06/06/2026: Closed after reset but FME should check FBBC if needed||FO faulty||mail de commande envoyé au SPM
05/06/2026 : Need BO RAN analysis         ;         {06-07-2026 ticket}: INC-20260607-00011568...Auto TT closure RCA...GE Fault</t>
  </si>
  <si>
    <t>06/06/2026 Closed after reset but FME should check FBBC if needed || FO faulty || mail de commande envoyé au SPM
05/06/2026 Need BO RAN analysis 06/06/2026 Closed after reset but FME should check FBBC if needed || FO faulty || mail de commande envoyé au SPM
05/06/2026 Need BO RAN analysis .Auto TT closure RCA.GE Fault</t>
  </si>
  <si>
    <t>Befang-MTN</t>
  </si>
  <si>
    <t>NRO_239</t>
  </si>
  <si>
    <t>Befang</t>
  </si>
  <si>
    <t>{Hourly-IHS}: 07/06/2026 21:02 0:58:00 3.5 FME Moses managing with level 0 due to insecurity        ;         {06-07-2026 ticket}: INC-20260607-00018149</t>
  </si>
  <si>
    <t>07/06/2026 21 02 0 58 00 3.5 FME Moses managing with level 0 due to insecurity</t>
  </si>
  <si>
    <t>Buea-Bakwere-Town-MTN</t>
  </si>
  <si>
    <t>SUO_222</t>
  </si>
  <si>
    <t>Garoua-Djamboutou-Village-IHS</t>
  </si>
  <si>
    <t>NRD_086</t>
  </si>
  <si>
    <t>Bangambi-IHS</t>
  </si>
  <si>
    <t>OST_205</t>
  </si>
  <si>
    <t>Bangambi</t>
  </si>
  <si>
    <t xml:space="preserve"> {06-07-2026   incident }:   impact by  OST_141_H_Mbouda  Fuel Outage(Fuel theft according to power team)
Return to the latest
Action:GE reflueled        ;         {06-07-2026 cell nokia}: 
06/06/2026: Closed after reset but check SFP , Optical fiber of FRGU||FME activer||power issues||Mail envoyer au powrco.
05/06/2026 : Need BO RAN analysis         ;         {06-07-2026 cell nokia}: 
06/06/2026: Closed after reset but check SFP , Optical fiber of FRGU||FME activer||power issues||Mail envoyer au powrco.
05/06/2026 : Need BO RAN analysis         ;         {06-07-2026 ticket}: INC-20260607-00017919...2026-06-07 21:51:40...
*Request Access* 
 *Site ID*: OST_
 *Site N*: mbouda 
 *Reason*: refuelling
 *Impact (Yes or No)*: no
 *Company*: camusat 
 *Technician*:  yves seraphin 
 *Tel*:  697700049
 *Date*: 07/06/2026...site impacté par l'incident de Mbouda...FUEL ISSUE...
Fuel Outage(Fuel theft according to power team)...user:TCHOUPOU BAUDOIN VALDAS </t>
  </si>
  <si>
    <t>{06-07-2026 incident } impact by OST_141_H_Mbouda Fuel Outage(Fuel theft according to power team)
Return to the latest
Action GE reflueled 06/06/2026 Closed after reset but check SFP , Optical fiber of FRGU || FME activer || power issues || Mail envoyer au powrco.
05/06/2026 Need BO RAN analysis 06/06/2026 Closed after reset but check SFP , Optical fiber of FRGU || FME activer || power issues || Mail envoyer au powrco.
05/06/2026 Need BO RAN analysis .2026-06-07 21 51 40.
*Request Access*
*Site ID* OST_
*Site N* mbouda
*Reason* refuelling
*Impact (Yes or No)* no
*Company* camusat
*Technician* yves seraphin
*Tel* 697700049
*Date* 07/06/2026.site impacté par l'incident de Mbouda.FUEL ISSUE.
Fuel Outage(Fuel theft according to power team).user TCHOUPOU BAUDOIN VALDAS</t>
  </si>
  <si>
    <t>GOUZOUGOUI-IHS</t>
  </si>
  <si>
    <t>EXN_100</t>
  </si>
  <si>
    <t>Kaele</t>
  </si>
  <si>
    <t xml:space="preserve"> {06-07-2026   incident }:   impact by EXN_100_N_Gouzougoui-HIS  ,Cause:
Soucis Energie
Action:
En Attente RCA HIS        ;         {06-07-2026 ticket}: INC-20260607-00011068...GE Fault</t>
  </si>
  <si>
    <t>{06-07-2026 incident } impact by EXN_100_N_Gouzougoui-HIS ,Cause Soucis Energie
Action En Attente RCA HIS .GE Fault</t>
  </si>
  <si>
    <t>Ngd-University-II-IHS</t>
  </si>
  <si>
    <t>ADM_127</t>
  </si>
  <si>
    <t>Ngaoundere-University-IHS</t>
  </si>
  <si>
    <t>ADM_076</t>
  </si>
  <si>
    <t>Bekoko-IHS</t>
  </si>
  <si>
    <t>LIT_477</t>
  </si>
  <si>
    <t>Bekoko</t>
  </si>
  <si>
    <t>Kousseri-Crtv</t>
  </si>
  <si>
    <t>EXN_031</t>
  </si>
  <si>
    <t xml:space="preserve"> {06-07-2026   incident }:   impact by EXN_031_H_Kousseri-CRTV Soucis Energie
En Attente RCA CAMUSAT        ;         {06-07-2026 ticket}: INC-20260607-00019018...2026-06-07 22:00:04...
Retour SAMBA: ETA 15MIN...
En Attente RCA CAMUSAT...Others...
Soucis Energie...user:NYOBE BENOIT n84280187</t>
  </si>
  <si>
    <t>{06-07-2026 incident } impact by EXN_031_H_Kousseri-CRTV Soucis Energie
En Attente RCA CAMUSAT .2026-06-07 22 00 04.
Retour SAMBA ETA 15MIN.
En Attente RCA CAMUSAT.
Soucis Energie.user NYOBE BENOIT n84280187</t>
  </si>
  <si>
    <t>Kaele-Guiedame</t>
  </si>
  <si>
    <t>EXN_095</t>
  </si>
  <si>
    <t>{06-07-2026 ticket}: INC-20260607-00017442...Auto TT closure RCA...GE Fault</t>
  </si>
  <si>
    <t>Akok</t>
  </si>
  <si>
    <t>CTR_663</t>
  </si>
  <si>
    <t>{06-07-2026 cell zte}: 
06/06/2026 : ZTE demander certains checks avant le remplacement du SFP || ETA : 08/06/2026 
05/06/2026 : RI recue et transferer a ZTE 
04/06/2026 : En attrente du RI 
03/06/2026 : Fme sur site || Intervention en cours|| Apres intervention du fme avec le BO il en ressort que le sfp est faulty | En attente du RI pour soumettre a zte pour la validation du remplacement   
02/06/2026 : Need BO RAN analysis || Fme check optical port link Opt 2 on RRU 82 || FME activer | |FME sur site couper || ETA : demain 10H  
29/05/2026 : Site down
26/05/2026 : Site down        ;         {06-07-2026 cell zte}: 
06/06/2026 : ZTE demander certains checks avant le remplacement du SFP || ETA : 08/06/2026 
05/06/2026 : RI recue et transferer a ZTE 
04/06/2026 : En attrente du RI 
03/06/2026 : Fme sur site || Intervention en cours|| Apres intervention du fme avec le BO il en ressort que le sfp est faulty | En attente du RI pour soumettre a zte pour la validation du remplacement   
02/06/2026 : Need BO RAN analysis || Fme check optical port link Opt 2 on RRU 82 || FME activer | |FME sur site couper || ETA : demain 10H  
29/05/2026 : Site down
26/05/2026 : Site down</t>
  </si>
  <si>
    <t>06/06/2026 ZTE demander certains checks avant le remplacement du SFP || ETA 08/06/2026
05/06/2026 RI recue et transferer a ZTE
04/06/2026 En attrente du RI
03/06/2026 Fme sur site || Intervention en cours || Apres intervention du fme avec le BO il en ressort que le sfp est faulty | En attente du RI pour soumettre a zte pour la validation du remplacement
02/06/2026 Need BO RAN analysis || Fme check optical port link Opt 2 on RRU 82 || FME activer | |FME sur site couper || ETA demain 10H
29/05/2026 Site down
26/05/2026 Site down 06/06/2026 ZTE demander certains checks avant le remplacement du SFP || ETA 08/06/2026
05/06/2026 RI recue et transferer a ZTE
04/06/2026 En attrente du RI
03/06/2026 Fme sur site || Intervention en cours || Apres intervention du fme avec le BO il en ressort que le sfp est faulty | En attente du RI pour soumettre a zte pour la validation du remplacement
02/06/2026 Need BO RAN analysis || Fme check optical port link Opt 2 on RRU 82 || FME activer | |FME sur site couper || ETA demain 10H
29/05/2026 Site down
26/05/2026 Site down</t>
  </si>
  <si>
    <t>Activa-Akwa</t>
  </si>
  <si>
    <t>LIT_367</t>
  </si>
  <si>
    <t>Garoua-Katasko-MTN-IHS</t>
  </si>
  <si>
    <t>NRD_116</t>
  </si>
  <si>
    <t>Yagoua-Quinf-II</t>
  </si>
  <si>
    <t>EXN_236</t>
  </si>
  <si>
    <t>Mpenda-Mbocko-IHS</t>
  </si>
  <si>
    <t>Mpenda-Mbocko</t>
  </si>
  <si>
    <t xml:space="preserve"> {06-07-2026   incident }:   impact by    SUO_008 N_Mpenda-Mbocko-lHS ,Cause:
AVR faulty
Actin: IHS FME Jonas will manage it early morning        ;         {Hourly-IHS}: 07/06/2026 18:22 2:38:00 49.00 AVR faulty. FME Jonas will manage it early tomorrow morning due to insecurity in the area        ;         {06-07-2026  ocm ran 18}: Power status check Ongoing        ;         {06-07-2026 ticket}: INC-20260607-00015188...2026-06-07 19:34:14...
Hello IHS,
Please share Update here. @Sani Njamo to support...power issue ...Others Transmission equipement fault...
AVR faulty...user:OCM_NOC.IHS</t>
  </si>
  <si>
    <t>{06-07-2026 incident } impact by SUO_008 N_Mpenda-Mbocko-lHS ,Cause AVR faulty
Actin IHS FME Jonas will manage it early morning 07/06/2026 18 22 2 38 00 49.00 AVR faulty. FME Jonas will manage it early tomorrow morning due to insecurity in the area .2026-06-07 19 34 14.
Hello IHS,
Please share Update here. @Sani Njamo to support.power issue .
AVR faulty.user OCM_NOC.IHS</t>
  </si>
  <si>
    <t>Fin-goudron-Mbangue</t>
  </si>
  <si>
    <t>LIT_844</t>
  </si>
  <si>
    <t>Bad-Grid-GE</t>
  </si>
  <si>
    <t>Bonalea</t>
  </si>
  <si>
    <t>LIT_296</t>
  </si>
  <si>
    <t>Lokomo-MTN</t>
  </si>
  <si>
    <t>EST_042</t>
  </si>
  <si>
    <t>Lokomo</t>
  </si>
  <si>
    <t>{06-07-2026 ticket}: INC-20260607-00007726...2026-06-07 14:38:56...No power issue Ubaie = 54 site on Gen. TX FME Hugues (651514691 / Huawei) is informed....Auto TT closure RCA...Others...user:OCM_NOC.IHS</t>
  </si>
  <si>
    <t>.2026-06-07 14 38 56.No power issue Ubaie = 54 site on Gen. TX FME Hugues (651514691 / Huawei) is informed.Auto TT closure RCA.user OCM_NOC.IHS</t>
  </si>
  <si>
    <t>Emombo-1er-Crf-MTN</t>
  </si>
  <si>
    <t>CTR_376</t>
  </si>
  <si>
    <t>{06-07-2026 ticket}: INC-20260607-00010078...Others</t>
  </si>
  <si>
    <t>Bonakanda</t>
  </si>
  <si>
    <t>SUO_132</t>
  </si>
  <si>
    <t>{06-07-2026  ocm ran 18}: Power status check Ongoing        ;         {06-07-2026 ticket}: INC-20260607-00020150...GE Fault</t>
  </si>
  <si>
    <t>Mazera-IHS</t>
  </si>
  <si>
    <t>EXN_226</t>
  </si>
  <si>
    <t>Mazera</t>
  </si>
  <si>
    <t>{06-07-2026 cell nokia}: 
07/06/2026: FME activer||intervention en cour||FME etait sur le site. il a effectuer des investigtions et faire a hard reset mais les cellulles toujour down||Intervenntion reporter
06/06/2026: FME en route pour le site||ETA:18h||Mauvaise etat de la route||intervention reporte a Demain.
05/06/2026 : Le FME emprintera la pirrogue ce soir || Intervention demain 06062026
02/05/2026 : Le FME se deplacera par pirrogue ||  Intervention prevue pour vendredi 05062026
01/06/2026 : Escalade faite au RM || En attente de son feedback 
31/05/2026 : Acess issue 
30/05/2026 : Need BO RAN analysis||Check and replace FXDB        ;         {06-07-2026 ticket}: INC-20260607-00008548...2026-06-07 12:58:06...BO TX active pour analyse
No power issue on site U = 55.4V site on Gen. TX FME Eric 657760519 / Huawei is informed....Auto TT closure RCA...Others...user:OCM_NOC.IHS</t>
  </si>
  <si>
    <t>07/06/2026 FME activer || intervention en cour || FME etait sur le site. il a effectuer des investigtions et faire a hard reset mais les cellulles toujour down || Intervenntion reporter
06/06/2026 FME en route pour le site || ETA 18h || Mauvaise etat de la route || intervention reporte a Demain.
05/06/2026 Le FME emprintera la pirrogue ce soir || Intervention demain 06062026
02/05/2026 Le FME se deplacera par pirrogue || Intervention prevue pour vendredi 05062026
01/06/2026 Escalade faite au RM || En attente de son feedback
31/05/2026 Acess issue
30/05/2026 Need BO RAN analysis || Check and replace FXDB .2026-06-07 12 58 06.BO TX active pour analyse
No power issue on site U = 55.4V site on Gen. TX FME Eric 657760519 / Huawei is informed.Auto TT closure RCA.user OCM_NOC.IHS</t>
  </si>
  <si>
    <t>Nkor</t>
  </si>
  <si>
    <t>NRO_238</t>
  </si>
  <si>
    <t xml:space="preserve"> {06-07-2026   incident }:   impact by  NRO_021_N_Ma     ,Update 1
2026-06-07  : Chute de tension Observee depuis le
CMS(43V). IHS Activated for
intervention
Update 2
2026-06-07: IHS: FME Roland is informed and will
intervene tomorrow morning due to
insecurity
Update 3
2026-06-07
 Le site etant situe en Red zone 
(NOSO), nous allons geler le TT
jusqu'a demain matin        ;         {06-07-2026 ticket}: INC-20260607-00020068</t>
  </si>
  <si>
    <t>LIT_878_Z_Souza-New-IHS</t>
  </si>
  <si>
    <t>LIT_878</t>
  </si>
  <si>
    <t>LIT</t>
  </si>
  <si>
    <t>Souza</t>
  </si>
  <si>
    <t>Oku-Marche</t>
  </si>
  <si>
    <t>NRO_110</t>
  </si>
  <si>
    <t xml:space="preserve"> {06-07-2026   incident }:   impact by  NRO_021_N_Ma     ,Update 1
2026-06-07  : Chute de tension Observee depuis le
CMS(43V). IHS Activated for
intervention
Update 2
2026-06-07: IHS: FME Roland is informed and will
intervene tomorrow morning due to
insecurity
Update 3
2026-06-07
 Le site etant situe en Red zone 
(NOSO), nous allons geler le TT
jusqu'a demain matin        ;         {06-07-2026 ticket}: INC-20260607-00020061</t>
  </si>
  <si>
    <t>Misaje</t>
  </si>
  <si>
    <t>NRO_237</t>
  </si>
  <si>
    <t xml:space="preserve"> {06-07-2026   incident }:   impact by  NRO_021_N_Ma     ,Update 1
2026-06-07  : Chute de tension Observee depuis le
CMS(43V). IHS Activated for
intervention
Update 2
2026-06-07: IHS: FME Roland is informed and will
intervene tomorrow morning due to
insecurity
Update 3
2026-06-07
 Le site etant situe en Red zone 
(NOSO), nous allons geler le TT
jusqu'a demain matin        ;         {06-07-2026 ticket}: INC-20260607-00019135...Auto TT closure RCA...GE Fault</t>
  </si>
  <si>
    <t>Maroua-Camp-SIC</t>
  </si>
  <si>
    <t>EXN_071</t>
  </si>
  <si>
    <t>Ngbetnsouen</t>
  </si>
  <si>
    <t>{06-07-2026  ocm ran 18}: Power status check Ongoing        ;         {06-07-2026 ticket}: INC-20260607-00016032...power issue.  gen failled to start ...GE Fault</t>
  </si>
  <si>
    <t>.power issue. gen failled to start .GE Fault</t>
  </si>
  <si>
    <t>Palar</t>
  </si>
  <si>
    <t>EXN_055</t>
  </si>
  <si>
    <t>{Hourly-IHS}: 07/06/2026 22:08 0:52:00 49.7 v FME Emmanuel is on the way ETA : 22H50 pm</t>
  </si>
  <si>
    <t>07/06/2026 22 08 0 52 00 49.7 v FME Emmanuel is on the way ETA 22H50 pm</t>
  </si>
  <si>
    <t>Ashum-MTN</t>
  </si>
  <si>
    <t>SUO_089</t>
  </si>
  <si>
    <t>Ashum</t>
  </si>
  <si>
    <t>Ngd-Dang</t>
  </si>
  <si>
    <t>ADM_017</t>
  </si>
  <si>
    <t>Ngd-Projet-Laitier</t>
  </si>
  <si>
    <t>ADM_034</t>
  </si>
  <si>
    <t>Ngd-Universite</t>
  </si>
  <si>
    <t>ADM_003</t>
  </si>
  <si>
    <t>Ngd-Dang-MTN-IHS</t>
  </si>
  <si>
    <t>ADM_083</t>
  </si>
  <si>
    <t>Penja-Shell-IHS</t>
  </si>
  <si>
    <t>LIT_493</t>
  </si>
  <si>
    <t>Penja</t>
  </si>
  <si>
    <t>Banguem-VSAT</t>
  </si>
  <si>
    <t>SUO_013</t>
  </si>
  <si>
    <t>Banguem</t>
  </si>
  <si>
    <t>{06-07-2026 cell nokia}: 
06/06/2026: Access Issues||ETA: 09062026
05/06/2026 : Need BO RAN analysis||Not supervision|| Escalade faites au RM. En attente de sont feedback        ;         {06-07-2026 cell nokia}: 
06/06/2026: Access Issues||ETA: 09062026
05/06/2026 : Need BO RAN analysis||Not supervision|| Escalade faites au RM. En attente de sont feedback        ;         {06-07-2026  ocm ran 18}: Power status check Ongoing</t>
  </si>
  <si>
    <t>06/06/2026 Access Issues || ETA 09062026
05/06/2026 Need BO RAN analysis || Not supervision || Escalade faites au RM. En attente de sont feedback 06/06/2026 Access Issues || ETA 09062026
05/06/2026 Need BO RAN analysis || Not supervision || Escalade faites au RM. En attente de sont feedback</t>
  </si>
  <si>
    <t>Ngd-Balam</t>
  </si>
  <si>
    <t>ADM_165</t>
  </si>
  <si>
    <t>BTS-Mobile-Marche-Central</t>
  </si>
  <si>
    <t>LIT_763</t>
  </si>
  <si>
    <t>Mbankomo-Dajoll</t>
  </si>
  <si>
    <t>CTR_710</t>
  </si>
  <si>
    <t>Garoua-Djalingo-IHS</t>
  </si>
  <si>
    <t>NRD_095</t>
  </si>
  <si>
    <t>{Hourly-IHS}: 07-06-2026 01:56:44 26:13:00 fme Merlin is managing with level 0        ;         {06-07-2026  ocm ran 18}: Power status check Ongoing</t>
  </si>
  <si>
    <t>07-06-2026 01 56 44 26 13 00 fme Merlin is managing with level 0</t>
  </si>
  <si>
    <t>Nkoulou-carriere</t>
  </si>
  <si>
    <t>CTR_897</t>
  </si>
  <si>
    <t>SHaring</t>
  </si>
  <si>
    <t>{06-07-2026 ticket}: INC-20260607-00001206...GE Fault</t>
  </si>
  <si>
    <t>Maroua-Stade</t>
  </si>
  <si>
    <t>EXN_066</t>
  </si>
  <si>
    <t>{Hourly-IHS}: 07/06/2026 14:32 0:27:11 No Comm FME Romaric is managing with level 0</t>
  </si>
  <si>
    <t>07/06/2026 14 32 0 27 11 No Comm FME Romaric is managing with level 0</t>
  </si>
  <si>
    <t>EXN_368_H_Maroua-Walya-Mosquee</t>
  </si>
  <si>
    <t>EXN_368</t>
  </si>
  <si>
    <t>Bfsam-Tougang-II</t>
  </si>
  <si>
    <t>OST_231</t>
  </si>
  <si>
    <t>Bonamatoumbe-II</t>
  </si>
  <si>
    <t>LIT_364</t>
  </si>
  <si>
    <t>{06-07-2026 ticket}: INC-20260607-00011059...GE Fault</t>
  </si>
  <si>
    <t>Santa-Barbara-Yde-IHS</t>
  </si>
  <si>
    <t>CTR_163</t>
  </si>
  <si>
    <t>{06-07-2026 ticket}: INC-20260607-00008924...Active// No power issue, site is on grid with Ubaie=52.1V,TX FME Armand (699949553/691144412/Huawei) is informed...GE Fault...Active// No power issue, site is on grid with Ubaie=52.1V,TX FME Armand (699949553/691144412/Huawei) is informed</t>
  </si>
  <si>
    <t>.Active// No power issue, site is on grid with Ubaie=52.1V,TX FME Armand (699949553/691144412/Huawei) is informed.GE Fault.Active// No power issue, site is on grid with Ubaie=52.1V,TX FME Armand (699949553/691144412/Huawei) is informed</t>
  </si>
  <si>
    <t>Bessengue</t>
  </si>
  <si>
    <t>LIT_022</t>
  </si>
  <si>
    <t>Good grid 100%</t>
  </si>
  <si>
    <t>Pitoa-II</t>
  </si>
  <si>
    <t>NRD_183</t>
  </si>
  <si>
    <t>Foumban-Njinka</t>
  </si>
  <si>
    <t>OST_101</t>
  </si>
  <si>
    <t>Djamboutou-MTN-IHS</t>
  </si>
  <si>
    <t>NRD_118</t>
  </si>
  <si>
    <t>Kanga</t>
  </si>
  <si>
    <t>LIT_510</t>
  </si>
  <si>
    <t>Massock-Songloulou</t>
  </si>
  <si>
    <t>{06-07-2026 cell nokia}: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        ;         {06-07-2026 cell nokia}: 
06/06/2026: FRMF deja recu||FME presetement sur le site de EMBOMBE||ETA: 07/06/2026
05/06/2026: FRMF faulty || Cde en cours 
04/06/2026: intervention ce jour ||FME actuellement sur le site de Ndokock||ETA:15h||Intervetion en cour || le fme sur site a constacte que la FRMF faulty||Intervention reporte a demain: 05062026
03/06/2026:FME should check and replace FRMF  ||Intervention prevue demain  04062026
02/06/2026 : Need BO RAN analysis        ;         {06-07-2026 ticket}: INC-20260607-00012912...power issue on site nous avons été interpellé par IHS ils  ont  pris le point ...GE Fault</t>
  </si>
  <si>
    <t>06/06/2026 FRMF deja recu || FME presetement sur le site de EMBOMBE || ETA 07/06/2026
05/06/2026 FRMF faulty || Cde en cours
04/06/2026 intervention ce jour || FME actuellement sur le site de Ndokock || ETA 15h || Intervetion en cour || le fme sur site a constacte que la FRMF faulty || Intervention reporte a demain 05062026
03/06/2026 FME should check and replace FRMF || Intervention prevue demain 04062026
02/06/2026 Need BO RAN analysis 06/06/2026 FRMF deja recu || FME presetement sur le site de EMBOMBE || ETA 07/06/2026
05/06/2026 FRMF faulty || Cde en cours
04/06/2026 intervention ce jour || FME actuellement sur le site de Ndokock || ETA 15h || Intervetion en cour || le fme sur site a constacte que la FRMF faulty || Intervention reporte a demain 05062026
03/06/2026 FME should check and replace FRMF || Intervention prevue demain 04062026
02/06/2026 Need BO RAN analysis .power issue on site nous avons été interpellé par IHS ils ont pris le point .GE Fault</t>
  </si>
  <si>
    <t>Bagam-IHS</t>
  </si>
  <si>
    <t>OST_160</t>
  </si>
  <si>
    <t>Bagam</t>
  </si>
  <si>
    <t xml:space="preserve"> {06-07-2026   incident }:   impact by  OST_141_H_Mbouda  Fuel Outage(Fuel theft according to power team)
Return to the latest
Action:GE reflueled        ;         {06-07-2026 ticket}: INC-20260607-00017542...power issue in the donor site 
fuel outage 
power team alerted and managing 
follow up ongoing ...GE Fault</t>
  </si>
  <si>
    <t>CTR_1158_Z_Nkoabang-Nkolo-III-MTN-IHS</t>
  </si>
  <si>
    <t>CTR_1158</t>
  </si>
  <si>
    <t>Awing</t>
  </si>
  <si>
    <t>NRO_248</t>
  </si>
  <si>
    <t xml:space="preserve"> {06-07-2026   incident }:   impact by  OST_141_H_Mbouda  Fuel Outage(Fuel theft according to power team)
Return to the latest
Action:GE reflueled        ;         {06-07-2026 ticket}: INC-20260607-00017931...Auto TT closure RCA...GE Fault</t>
  </si>
  <si>
    <t>Batouri-Kako-MTN</t>
  </si>
  <si>
    <t>EST_070</t>
  </si>
  <si>
    <t>Limbe-Church-Street-IHS</t>
  </si>
  <si>
    <t>SUO_188</t>
  </si>
  <si>
    <t>Wotutu-IHS</t>
  </si>
  <si>
    <t>SUO_127</t>
  </si>
  <si>
    <t>Wotutu</t>
  </si>
  <si>
    <t>CTR_1052_Z_Santa-Barbara-Gottam-IHS</t>
  </si>
  <si>
    <t>CTR_1052</t>
  </si>
  <si>
    <t>Foumbot-Centre-Ville</t>
  </si>
  <si>
    <t>OST_125</t>
  </si>
  <si>
    <t>{06-07-2026 cell huawei}: 05/06/2026 : Besoin d'analyse BO Ran || Site unstable due to transmission        ;         {06-07-2026 cell huawei}: 05/06/2026 : Besoin d'analyse BO Ran || Site unstable due to transmission</t>
  </si>
  <si>
    <t>05/06/2026 Besoin d'analyse BO Ran || Site unstable due to transmission 05/06/2026 Besoin d'analyse BO Ran || Site unstable due to transmission</t>
  </si>
  <si>
    <t>Yansoki-MTN</t>
  </si>
  <si>
    <t>LIT_698</t>
  </si>
  <si>
    <t>Kapanyaye-IHS</t>
  </si>
  <si>
    <t>NRD_109</t>
  </si>
  <si>
    <t>Kapanyaye</t>
  </si>
  <si>
    <t>{Hourly-IHS}: 07/06/2026 15:58 1:01:31 45.7 FME Arsene managing with level 0        ;         {06-07-2026 ticket}: INC-20260607-00012376...Auto TT closure RCA...Others Transmission equipement fault</t>
  </si>
  <si>
    <t>07/06/2026 15 58 1 01 31 45.7 FME Arsene managing with level 0 .Auto TT closure RCA.</t>
  </si>
  <si>
    <t>Limbe-Mile_1</t>
  </si>
  <si>
    <t>SUO_234</t>
  </si>
  <si>
    <t>medium Grid + GE</t>
  </si>
  <si>
    <t>Sapeur-Mimboman-IHS</t>
  </si>
  <si>
    <t>CTR_133</t>
  </si>
  <si>
    <t>Bokova-IHS</t>
  </si>
  <si>
    <t>SUO_254</t>
  </si>
  <si>
    <t>Garage-Japonais</t>
  </si>
  <si>
    <t>CTR_583</t>
  </si>
  <si>
    <t>Kolomine-IHS</t>
  </si>
  <si>
    <t>EST_125</t>
  </si>
  <si>
    <t>Kolomine</t>
  </si>
  <si>
    <t>Barriere-IHS</t>
  </si>
  <si>
    <t>CTR_526</t>
  </si>
  <si>
    <t>{06-07-2026 ticket}: INC-20260607-00001435...GE Fault</t>
  </si>
  <si>
    <t>Omnisport</t>
  </si>
  <si>
    <t>LIT_102</t>
  </si>
  <si>
    <t>{06-07-2026 cell zte}: 05/06/2026 : Site down        ;         {06-07-2026 cell zte}: 05/06/2026 : Site down</t>
  </si>
  <si>
    <t>05/06/2026 Site down 05/06/2026 Site down</t>
  </si>
  <si>
    <t>Bonepoupa-IHS</t>
  </si>
  <si>
    <t>LIT_145</t>
  </si>
  <si>
    <t>Solar-Grid-Gen-Lithium</t>
  </si>
  <si>
    <t>Bonepoupa</t>
  </si>
  <si>
    <t>Mbangue-III-MTN</t>
  </si>
  <si>
    <t>LIT_678</t>
  </si>
  <si>
    <t>Kette</t>
  </si>
  <si>
    <t>EST_045</t>
  </si>
  <si>
    <t>Lendi-Entree</t>
  </si>
  <si>
    <t>LIT_297</t>
  </si>
  <si>
    <t>Ndoumbi</t>
  </si>
  <si>
    <t>EST_185</t>
  </si>
  <si>
    <t>Bfsam-Bamengoum</t>
  </si>
  <si>
    <t>OST_046</t>
  </si>
  <si>
    <t>Nkong-Q3</t>
  </si>
  <si>
    <t>LIT_169</t>
  </si>
  <si>
    <t>Nkongsamba</t>
  </si>
  <si>
    <t>Maroua-Djarengol-II</t>
  </si>
  <si>
    <t>EXN_143</t>
  </si>
  <si>
    <t>Solar-Grid-Gen</t>
  </si>
  <si>
    <t>Bangangte-Lycee-Classique-IHS</t>
  </si>
  <si>
    <t>OST_266</t>
  </si>
  <si>
    <t>Bangangte</t>
  </si>
  <si>
    <t>{Hourly-IHS}: 07/06/2026 18:52 0:07:06 2.5 FME Marcel managing with level 0        ;         {06-07-2026  ocm ran 18}: Power status check Ongoing</t>
  </si>
  <si>
    <t>07/06/2026 18 52 0 07 06 2.5 FME Marcel managing with level 0</t>
  </si>
  <si>
    <t>Cite-Berge-EPC</t>
  </si>
  <si>
    <t>LIT_656</t>
  </si>
  <si>
    <t>Emombo-2eme-Crf</t>
  </si>
  <si>
    <t>CTR_558</t>
  </si>
  <si>
    <t>{06-07-2026 ticket}: INC-20260607-00009868...Grid Outage</t>
  </si>
  <si>
    <t>.Grid Outage</t>
  </si>
  <si>
    <t>Garoua-Hodango</t>
  </si>
  <si>
    <t>NRD_160</t>
  </si>
  <si>
    <t>CRTV_Yaounde_Mballa_II</t>
  </si>
  <si>
    <t>CTR_842</t>
  </si>
  <si>
    <t>Mbanga2-IHS</t>
  </si>
  <si>
    <t>LIT_430</t>
  </si>
  <si>
    <t>Mbanga</t>
  </si>
  <si>
    <t>Ngd-Gadamadanga</t>
  </si>
  <si>
    <t>ADM_087</t>
  </si>
  <si>
    <t>PK5-Auberge</t>
  </si>
  <si>
    <t>LIT_647</t>
  </si>
  <si>
    <t>Nkolfoulou-ENIA-MTN</t>
  </si>
  <si>
    <t>CTR_837</t>
  </si>
  <si>
    <t>CTR_1124_Z_Ngousso-Rail-Hopital-Gyneco-IHS</t>
  </si>
  <si>
    <t>CTR_1124</t>
  </si>
  <si>
    <t>Beka-Hossere-II</t>
  </si>
  <si>
    <t>ADM_172</t>
  </si>
  <si>
    <t>Maroua-Makabaye</t>
  </si>
  <si>
    <t>EXN_234</t>
  </si>
  <si>
    <t>OST_367_H_Foumban-Mambain</t>
  </si>
  <si>
    <t>OST_367</t>
  </si>
  <si>
    <t>Ebolowa-Si</t>
  </si>
  <si>
    <t>SUD_227</t>
  </si>
  <si>
    <t>Ndogkeng</t>
  </si>
  <si>
    <t>LIT_117</t>
  </si>
  <si>
    <t>IHS-Bamenda-Bujong</t>
  </si>
  <si>
    <t>NRO_133</t>
  </si>
  <si>
    <t>Ngd-Bamyanga-Hossere-MTN</t>
  </si>
  <si>
    <t>ADM_164</t>
  </si>
  <si>
    <t>LIT_974_Z_Denver-MDC</t>
  </si>
  <si>
    <t>LIT_974</t>
  </si>
  <si>
    <t>Bfsam-Toungan-Lycee</t>
  </si>
  <si>
    <t>OST_268</t>
  </si>
  <si>
    <t>Maroua-CRTV</t>
  </si>
  <si>
    <t>EXN_045</t>
  </si>
  <si>
    <t>SUO_012</t>
  </si>
  <si>
    <t>Yoke</t>
  </si>
  <si>
    <t>SUO_070</t>
  </si>
  <si>
    <t>Tchatibali</t>
  </si>
  <si>
    <t>EXN_017</t>
  </si>
  <si>
    <t>Foumban-Njintout</t>
  </si>
  <si>
    <t>OST_176</t>
  </si>
  <si>
    <t>Yagoua-Quinf</t>
  </si>
  <si>
    <t>EXN_069</t>
  </si>
  <si>
    <t>EXN_004</t>
  </si>
  <si>
    <t>Pitoa-Entree</t>
  </si>
  <si>
    <t>NRD_133</t>
  </si>
  <si>
    <t>Pitoa</t>
  </si>
  <si>
    <t>NRD_013</t>
  </si>
  <si>
    <t>Canal-Olympia-1</t>
  </si>
  <si>
    <t>LIT_674</t>
  </si>
  <si>
    <t>Foreke</t>
  </si>
  <si>
    <t>OST_251</t>
  </si>
  <si>
    <t>{06-07-2026 ticket}: INC-20260607-00007775...Auto TT closure RCA...Others</t>
  </si>
  <si>
    <t>Belo</t>
  </si>
  <si>
    <t>NRO_032</t>
  </si>
  <si>
    <t>{Hourly-IHS}: 07-06-2026 05:27:34 FME Simeu is managing with level 0        ;         {06-07-2026 ticket}: INC-20260607-00002830...Auto TT closure RCA...GE Fault</t>
  </si>
  <si>
    <t>07-06-2026 05 27 34 FME Simeu is managing with level 0 .Auto TT closure RCA.GE Fault</t>
  </si>
  <si>
    <t>Dourbeye</t>
  </si>
  <si>
    <t>NRD_057</t>
  </si>
  <si>
    <t>{06-07-2026 ticket}: INC-20260607-00009798...GE Fault</t>
  </si>
  <si>
    <t>NRO_005</t>
  </si>
  <si>
    <t xml:space="preserve"> {06-07-2026   incident }:   impact by  NRO_021_N_Ma     ,Update 1
2026-06-07  : Chute de tension Observee depuis le
CMS(43V). IHS Activated for
intervention
Update 2
2026-06-07: IHS: FME Roland is informed and will
intervene tomorrow morning due to
insecurity
Update 3
2026-06-07
 Le site etant situe en Red zone 
(NOSO), nous allons geler le TT
jusqu'a demain matin</t>
  </si>
  <si>
    <t>Garoua-Lainde</t>
  </si>
  <si>
    <t>NRD_009</t>
  </si>
  <si>
    <t>Nomayos</t>
  </si>
  <si>
    <t>CTR_062</t>
  </si>
  <si>
    <t>Touloum-IHS</t>
  </si>
  <si>
    <t>EXN_125</t>
  </si>
  <si>
    <t>Touloum</t>
  </si>
  <si>
    <t>Ouli-IHS</t>
  </si>
  <si>
    <t>EST_114</t>
  </si>
  <si>
    <t>Ouli</t>
  </si>
  <si>
    <t>Bfsam-Brasserie</t>
  </si>
  <si>
    <t>OST_134</t>
  </si>
  <si>
    <t>NRD_261_H_Garoua-Tchakamidari</t>
  </si>
  <si>
    <t>NRD_261</t>
  </si>
  <si>
    <t>Garoua-Stade</t>
  </si>
  <si>
    <t>NRD_143</t>
  </si>
  <si>
    <t>Garoua-Sonayo</t>
  </si>
  <si>
    <t>NRD_162</t>
  </si>
  <si>
    <t>Marouare-New</t>
  </si>
  <si>
    <t>NRD_130</t>
  </si>
  <si>
    <t>ODING-IHS</t>
  </si>
  <si>
    <t>SUD_204</t>
  </si>
  <si>
    <t>Meyomessi</t>
  </si>
  <si>
    <t>Mokola-MTN</t>
  </si>
  <si>
    <t>EXN_142</t>
  </si>
  <si>
    <t>Mokola</t>
  </si>
  <si>
    <t>Guider-Sanguere</t>
  </si>
  <si>
    <t>NRD_134</t>
  </si>
  <si>
    <t>CTR_1167_Z_Campus-Universitaire-Eyang-Nkolbisson</t>
  </si>
  <si>
    <t>CTR_1167</t>
  </si>
  <si>
    <t>Nyazanga</t>
  </si>
  <si>
    <t>SUD_249</t>
  </si>
  <si>
    <t>Garoua-Djamboutou-CICAM</t>
  </si>
  <si>
    <t>NRD_047</t>
  </si>
  <si>
    <t>Abuh</t>
  </si>
  <si>
    <t>NRO_079</t>
  </si>
  <si>
    <t xml:space="preserve"> {06-07-2026   incident }:   impact by   NRO_015_N_Fundong  ,RCA: Power issue / En attente RCA IHS        ;         {06-07-2026 ticket}: INC-20260607-00011685...Auto TT closure RCA...GE Fault</t>
  </si>
  <si>
    <t>Bembaran-Camtel</t>
  </si>
  <si>
    <t>ADM_185</t>
  </si>
  <si>
    <t>Hibrid solar - s3</t>
  </si>
  <si>
    <t>Bembaran</t>
  </si>
  <si>
    <t>Poli-New</t>
  </si>
  <si>
    <t>ADM_152</t>
  </si>
  <si>
    <t>Poli</t>
  </si>
  <si>
    <t>Loum-RoundAbout</t>
  </si>
  <si>
    <t>LIT_768</t>
  </si>
  <si>
    <t>Loum</t>
  </si>
  <si>
    <t>Garoua-Sabongari-Lainde-IHS</t>
  </si>
  <si>
    <t>NRD_083</t>
  </si>
  <si>
    <t>La-Gare</t>
  </si>
  <si>
    <t>CTR_019</t>
  </si>
  <si>
    <t>Nassarao</t>
  </si>
  <si>
    <t>NRD_037</t>
  </si>
  <si>
    <t>Garoua-Ouro-Lawan</t>
  </si>
  <si>
    <t>NRD_054</t>
  </si>
  <si>
    <t>Nassarao-II</t>
  </si>
  <si>
    <t>NRD_147</t>
  </si>
  <si>
    <t>Dschang-II</t>
  </si>
  <si>
    <t>OST_020</t>
  </si>
  <si>
    <t>Njinikom</t>
  </si>
  <si>
    <t>NRO_081</t>
  </si>
  <si>
    <t xml:space="preserve"> {06-07-2026   incident }:   impact by   NRO_015_N_Fundong  ,RCA: Power issue / En attente RCA IHS        ;         {06-07-2026 ticket}: INC-20260607-00011258...Auto TT closure RCA...GE Fault</t>
  </si>
  <si>
    <t>MUTENGENE-Q12-IHS</t>
  </si>
  <si>
    <t>SUO_211</t>
  </si>
  <si>
    <t>Grid +Gen</t>
  </si>
  <si>
    <t>Mutengene</t>
  </si>
  <si>
    <t>Muchemni-Fundong-IHS</t>
  </si>
  <si>
    <t>NRO_041</t>
  </si>
  <si>
    <t xml:space="preserve"> {06-07-2026   incident }:   impact by   NRO_015_N_Fundong  ,RCA: Power issue / En attente RCA IHS        ;         {06-07-2026 ticket}: INC-20260607-00011247...Auto TT closure RCA...GE Fault</t>
  </si>
  <si>
    <t>Bafmeng</t>
  </si>
  <si>
    <t>NRO_047</t>
  </si>
  <si>
    <t xml:space="preserve"> {06-07-2026   incident }:   impact by   NRO_015_N_Fundong  ,RCA: Power issue / En attente RCA IHS        ;         {06-07-2026 cell nokia}: 05/06/2026: Feedck PM||intervention planned on 09.06.2026
03/06/2026: Intervetion planned  05/06/2026
02/06/2026 : ETA attendu || Relance faite au PM par mail || Feedback PM : ODUs replacment planned on 03.06.2026 after access clearance granted on site
01/06/2026: GHOST TOWN
30/05/2026:New case access clearance negotiation on site ongoing 
29//05/2026:New case access clearance negotiation on site ongoing
28/05/'2026;  Feeedback PM : New case access clearance negotiation on site ongoing
26/05/2026 : Check breaker and  interconnection (sfp, optical fiber) between system and radio module, swap its if needed  || FME active        ;         {06-07-2026 ticket}: INC-20260607-00011408...Auto TT closure RCA...GE Fault</t>
  </si>
  <si>
    <t>{06-07-2026 incident } impact by NRO_015_N_Fundong ,RCA Power issue / En attente RCA IHS 05/06/2026 Feedck PM || intervention planned on 09.06.2026
03/06/2026 Intervetion planned 05/06/2026
02/06/2026 ETA attendu || Relance faite au PM par mail || Feedback PM ODUs replacment planned on 03.06.2026 after access clearance granted on site
01/06/2026 GHOST TOWN
30/05/2026 New case access clearance negotiation on site ongoing
29//05/2026 New case access clearance negotiation on site ongoing
28/05/'2026; Feeedback PM New case access clearance negotiation on site ongoing
26/05/2026 Check breaker and interconnection (sfp, optical fiber) between system and radio module, swap its if needed || FME active .Auto TT closure RCA.GE Fault</t>
  </si>
  <si>
    <t>Nkondjock-MTN</t>
  </si>
  <si>
    <t>LIT_239</t>
  </si>
  <si>
    <t>Nkondjock</t>
  </si>
  <si>
    <t>Mbalam</t>
  </si>
  <si>
    <t>SUD_222</t>
  </si>
  <si>
    <t>Feu-Rouge-Bessengue</t>
  </si>
  <si>
    <t>LIT_417</t>
  </si>
  <si>
    <t>Roua</t>
  </si>
  <si>
    <t>EXN_108</t>
  </si>
  <si>
    <t>Kotto-Denver</t>
  </si>
  <si>
    <t>LIT_657</t>
  </si>
  <si>
    <t>Kuruda</t>
  </si>
  <si>
    <t>EXN_208</t>
  </si>
  <si>
    <t>Fio-MTN</t>
  </si>
  <si>
    <t>EST_084</t>
  </si>
  <si>
    <t>Fio</t>
  </si>
  <si>
    <t>{06-07-2026  ocm ran 18}: Power status check Ongoing        ;         {06-07-2026 ticket}: INC-20260607-00008251...GE Fault</t>
  </si>
  <si>
    <t>GADJI</t>
  </si>
  <si>
    <t>EST_147</t>
  </si>
  <si>
    <t>Gadji</t>
  </si>
  <si>
    <t>Nkolmessing-Abom-MTN</t>
  </si>
  <si>
    <t>CTR_832</t>
  </si>
  <si>
    <t>Ekang-I</t>
  </si>
  <si>
    <t>CTR_717</t>
  </si>
  <si>
    <t>Ekang</t>
  </si>
  <si>
    <t>Croix-Rouge-Yde</t>
  </si>
  <si>
    <t>CTR_759</t>
  </si>
  <si>
    <t>Bsadi-Lycee-CAMTEL</t>
  </si>
  <si>
    <t>LIT_643</t>
  </si>
  <si>
    <t>Lokoti</t>
  </si>
  <si>
    <t>ADM_051</t>
  </si>
  <si>
    <t>{Hourly-IHS}: 07/06/2026 17:12 0:47:31 45.3 FME Idriss is on way. ETA is 06:15 PM        ;         {06-07-2026 ticket}: INC-20260607-00013812...Auto TT closure RCA...GE Fault</t>
  </si>
  <si>
    <t>07/06/2026 17 12 0 47 31 45.3 FME Idriss is on way. ETA is 06 15 PM .Auto TT closure RCA.GE Fault</t>
  </si>
  <si>
    <t>Muea</t>
  </si>
  <si>
    <t>SUO_038</t>
  </si>
  <si>
    <t>{06-07-2026  ocm ran 18}: Power status check Ongoing        ;         {06-07-2026 ticket}: INC-20260607-00016424...Auto TT closure RCA...GE Fault</t>
  </si>
  <si>
    <t>Andek</t>
  </si>
  <si>
    <t>NRO_218</t>
  </si>
  <si>
    <t>solar + Gen</t>
  </si>
  <si>
    <t>{06-07-2026 ticket}: INC-20260607-00019718...2026-06-07 22:52:28...FME Moses managing with level 0 due to insecurity...user:DRAME IMOURANA</t>
  </si>
  <si>
    <t>.2026-06-07 22 52 28.FME Moses managing with level 0 due to insecurity.user DRAME IMOURANA</t>
  </si>
  <si>
    <t>Sodibanga</t>
  </si>
  <si>
    <t>LIT_515</t>
  </si>
  <si>
    <t>Ndu-Mbakfu-IHS</t>
  </si>
  <si>
    <t>NRO_089</t>
  </si>
  <si>
    <t>Ndu-Mbakfu</t>
  </si>
  <si>
    <t>Mbonso</t>
  </si>
  <si>
    <t>NRO_057</t>
  </si>
  <si>
    <t xml:space="preserve"> {06-07-2026   incident }:   impact by  NRO_021_N_Ma     ,Update 1
2026-06-07  : Chute de tension Observee depuis le
CMS(43V). IHS Activated for
intervention
Update 2
2026-06-07: IHS: FME Roland is informed and will
intervene tomorrow morning due to
insecurity
Update 3
2026-06-07
 Le site etant situe en Red zone 
(NOSO), nous allons geler le TT
jusqu'a demain matin        ;         {06-07-2026 cell nokia}: 
07/062026:Need BO RAN analysis </t>
  </si>
  <si>
    <t>{06-07-2026 incident } impact by NRO_021_N_Ma ,Update 1
2026-06-07 Chute de tension Observee depuis le
CMS(43V). IHS Activated for
intervention
Update 2
2026-06-07 IHS FME Roland is informed and will
intervene tomorrow morning due to
insecurity
Update 3
2026-06-07
Le site etant situe en Red zone
(NOSO), nous allons geler le TT
jusqu'a demain matin 07/062026 Need BO RAN analysis</t>
  </si>
  <si>
    <t>Ntumbaw</t>
  </si>
  <si>
    <t>NRO_245</t>
  </si>
  <si>
    <t>Mbot</t>
  </si>
  <si>
    <t>NRO_246</t>
  </si>
  <si>
    <t>Binka-IHS</t>
  </si>
  <si>
    <t>NRO_023</t>
  </si>
  <si>
    <t>Binka</t>
  </si>
  <si>
    <t>Laising</t>
  </si>
  <si>
    <t>NRO_044</t>
  </si>
  <si>
    <t xml:space="preserve"> {06-07-2026   incident }:   impact by  NRO_021_N_Ma     ,Update 1
2026-06-07  : Chute de tension Observee depuis le
CMS(43V). IHS Activated for
intervention
Update 2
2026-06-07: IHS: FME Roland is informed and will
intervene tomorrow morning due to
insecurity
Update 3
2026-06-07
 Le site etant situe en Red zone 
(NOSO), nous allons geler le TT
jusqu'a demain matin        ;         {06-07-2026 cell nokia}: 
04/06/2026:Gen Issue resolved June 2
Please check and Revert
03/06/2026 : Relance faite ce jour
29/05/2026 : Power instability || En attente feedback IHS  || Team is facing access issue.        ;         {06-07-2026 cell nokia}: 
04/06/2026:Gen Issue resolved June 2
Please check and Revert
03/06/2026 : Relance faite ce jour
29/05/2026 : Power instability || En attente feedback IHS  || Team is facing access issue.</t>
  </si>
  <si>
    <t>{06-07-2026 incident } impact by NRO_021_N_Ma ,Update 1
2026-06-07 Chute de tension Observee depuis le
CMS(43V). IHS Activated for
intervention
Update 2
2026-06-07 IHS FME Roland is informed and will
intervene tomorrow morning due to
insecurity
Update 3
2026-06-07
Le site etant situe en Red zone
(NOSO), nous allons geler le TT
jusqu'a demain matin 04/06/2026 Gen Issue resolved June 2
Please check and Revert
03/06/2026 Relance faite ce jour
29/05/2026 Power instability || En attente feedback IHS || Team is facing access issue. 04/06/2026 Gen Issue resolved June 2
Please check and Revert
03/06/2026 Relance faite ce jour
29/05/2026 Power instability || En attente feedback IHS || Team is facing access issue.</t>
  </si>
  <si>
    <t>Ntem</t>
  </si>
  <si>
    <t>NRO_056</t>
  </si>
  <si>
    <t>Sanguere-MTN-IHS</t>
  </si>
  <si>
    <t>NRD_087</t>
  </si>
  <si>
    <t>Sanguere</t>
  </si>
  <si>
    <t>{06-07-2026  ocm ran 18}: Power status check Ongoing        ;         {06-07-2026 ticket}: INC-20260607-00001037...Others Transmission equipement fault</t>
  </si>
  <si>
    <t>Bamenda-ATTIAH-IHS</t>
  </si>
  <si>
    <t>NRO_127</t>
  </si>
  <si>
    <t>Kouba-MTN-IHS</t>
  </si>
  <si>
    <t>EST_094</t>
  </si>
  <si>
    <t>Kouba</t>
  </si>
  <si>
    <t>{06-07-2026 ticket}: INC-20260607-00003904...GE Fault</t>
  </si>
  <si>
    <t>Mbang</t>
  </si>
  <si>
    <t>EST_011</t>
  </si>
  <si>
    <t>{06-07-2026  ocm ran 18}: Power status check Ongoing        ;         {06-07-2026 ticket}: INC-20260607-00008267...Site impacted by MBIO...GE Fault...No power issue Ubaie = 50.2V site on BATTERY ( Hybrid Gen Site; Threshold = 48.6V). TX FME Hugues (651514691/Huawei) is informed.</t>
  </si>
  <si>
    <t>.Site impacted by MBIO.GE Fault.No power issue Ubaie = 50.2V site on BATTERY ( Hybrid Gen Site; Threshold = 48.6V). TX FME Hugues (651514691/Huawei) is informed.</t>
  </si>
  <si>
    <t>Messan</t>
  </si>
  <si>
    <t>SUD_247</t>
  </si>
  <si>
    <t>Messam</t>
  </si>
  <si>
    <t>Beka-Hossere-MTN-IHS</t>
  </si>
  <si>
    <t>ADM_132</t>
  </si>
  <si>
    <t>Bonga</t>
  </si>
  <si>
    <t>EST_073</t>
  </si>
  <si>
    <t>Lendi-II</t>
  </si>
  <si>
    <t>LIT_582</t>
  </si>
  <si>
    <t>Lendi-Chefferie</t>
  </si>
  <si>
    <t>LIT_774</t>
  </si>
  <si>
    <t>Maroua-Barmare</t>
  </si>
  <si>
    <t>EXN_089</t>
  </si>
  <si>
    <t>Yoko</t>
  </si>
  <si>
    <t>CTR_335</t>
  </si>
  <si>
    <t>Maroua-Douggoy-Lopere-IHS</t>
  </si>
  <si>
    <t>EXN_115</t>
  </si>
  <si>
    <t>Ngd-Bamyangal-New</t>
  </si>
  <si>
    <t>ADM_131</t>
  </si>
  <si>
    <t>Maroua-Titouare-II</t>
  </si>
  <si>
    <t>EXN_086</t>
  </si>
  <si>
    <t>Malende-IHS</t>
  </si>
  <si>
    <t>LIT_462</t>
  </si>
  <si>
    <t>Grid -Gen</t>
  </si>
  <si>
    <t>Malende</t>
  </si>
  <si>
    <t>Balikumbat-Ville</t>
  </si>
  <si>
    <t>NRO_033</t>
  </si>
  <si>
    <t>Balikumbat</t>
  </si>
  <si>
    <t>Ngd-Trouamala</t>
  </si>
  <si>
    <t>ADM_058</t>
  </si>
  <si>
    <t>Garoua-Roum-Adja-Camp-Sic</t>
  </si>
  <si>
    <t>NRD_084</t>
  </si>
  <si>
    <t>Ngoura-IHS</t>
  </si>
  <si>
    <t>EST_021</t>
  </si>
  <si>
    <t>Ngoura</t>
  </si>
  <si>
    <t>Madingring</t>
  </si>
  <si>
    <t>NRD_036</t>
  </si>
  <si>
    <t>Mayo-Oulo</t>
  </si>
  <si>
    <t>NRD_010</t>
  </si>
  <si>
    <t>Tiko-Stadium-IHS</t>
  </si>
  <si>
    <t>SUO_105</t>
  </si>
  <si>
    <t>Tiko</t>
  </si>
  <si>
    <t>Bamenda-Sisia-Quater-IHS</t>
  </si>
  <si>
    <t>NRO_118</t>
  </si>
  <si>
    <t>Mekoto</t>
  </si>
  <si>
    <t>SUD_126</t>
  </si>
  <si>
    <t>Hybrid Solar S3</t>
  </si>
  <si>
    <t>Ekombitié</t>
  </si>
  <si>
    <t xml:space="preserve">{06-07-2026 cell zte}: 07/06/2026 : Need BO TX  analysis         ;         {06-07-2026 cell zte}: 07/06/2026 : Need BO TX  analysis </t>
  </si>
  <si>
    <t>07/06/2026 Need BO TX analysis 07/06/2026 Need BO TX analysis</t>
  </si>
  <si>
    <t>Ndu</t>
  </si>
  <si>
    <t>NRO_009</t>
  </si>
  <si>
    <t>NDU</t>
  </si>
  <si>
    <t xml:space="preserve"> {06-07-2026   incident }:   impact by  NRO_021_N_Ma     ,Update 1
2026-06-07  : Chute de tension Observee depuis le
CMS(43V). IHS Activated for
intervention
Update 2
2026-06-07: IHS: FME Roland is informed and will
intervene tomorrow morning due to
insecurity
Update 3
2026-06-07
 Le site etant situe en Red zone 
(NOSO), nous allons geler le TT
jusqu'a demain matin        ;         {06-07-2026 ticket}: INC-20260607-00020160...2026-06-07 23:01:26...There is power issue as the both channels went down at the same time so please to involve the Powerco...
En Attente RCA IHS...Others...
Souci Energie...user:TCHOUPOU BAUDOIN VALDAS </t>
  </si>
  <si>
    <t>{06-07-2026 incident } impact by NRO_021_N_Ma ,Update 1
2026-06-07 Chute de tension Observee depuis le
CMS(43V). IHS Activated for
intervention
Update 2
2026-06-07 IHS FME Roland is informed and will
intervene tomorrow morning due to
insecurity
Update 3
2026-06-07
Le site etant situe en Red zone
(NOSO), nous allons geler le TT
jusqu'a demain matin .2026-06-07 23 01 26.There is power issue as the both channels went down at the same time so please to involve the Powerco.
En Attente RCA IHS.
Souci Energie.user TCHOUPOU BAUDOIN VALDAS</t>
  </si>
  <si>
    <t>Koungoulou-MTN</t>
  </si>
  <si>
    <t>SUD_248</t>
  </si>
  <si>
    <t>Gen-Lithium</t>
  </si>
  <si>
    <t>Koungoulou</t>
  </si>
  <si>
    <t>Mbomela-IHS</t>
  </si>
  <si>
    <t>SUD_105</t>
  </si>
  <si>
    <t>Mbomela</t>
  </si>
  <si>
    <t xml:space="preserve">{06-07-2026 cell zte}: 07/06/2026 : Need BO RAN analysis         ;         {06-07-2026 cell zte}: 07/06/2026 : Need BO RAN analysis </t>
  </si>
  <si>
    <t>07/06/2026 Need BO RAN analysis 07/06/2026 Need BO RAN analysis</t>
  </si>
  <si>
    <t>Avobengon</t>
  </si>
  <si>
    <t>SUD_244</t>
  </si>
  <si>
    <t>Nomale</t>
  </si>
  <si>
    <t>CTR_297</t>
  </si>
  <si>
    <t>Mintom-MTN</t>
  </si>
  <si>
    <t>SUD_246</t>
  </si>
  <si>
    <t>Mintom</t>
  </si>
  <si>
    <t>ADM_229_H_NGD-MBIDENG-II</t>
  </si>
  <si>
    <t>ADM_229</t>
  </si>
  <si>
    <t>ADM_098_N_Maakola-MTN-IHS</t>
  </si>
  <si>
    <t>ADM_098</t>
  </si>
  <si>
    <t>Maakola</t>
  </si>
  <si>
    <t>Mutengene-Maternity-IHS</t>
  </si>
  <si>
    <t>SUO_210</t>
  </si>
  <si>
    <t>LELE-HIS</t>
  </si>
  <si>
    <t>SUD_205</t>
  </si>
  <si>
    <t>Mindourou</t>
  </si>
  <si>
    <t>EST_012</t>
  </si>
  <si>
    <t>Lele</t>
  </si>
  <si>
    <t>SUD_159</t>
  </si>
  <si>
    <t>Batibo</t>
  </si>
  <si>
    <t>NRO_010</t>
  </si>
  <si>
    <t>{06-07-2026 cell nokia}: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        ;         {06-07-2026 cell nokia}: 
06/06/2026: Intervention en cour||FME a remplacer laa FO et le BO RAN a faire un soft reset mais l'alarm persiste toujours
05/06/2026 : Intervention ce jour||Access issues||Intervention reporter a Demain
04/06/2026: Access issues
03/06/2026:Intervetion planned  04/06/2026 
02/06/2026 : ETA attendu || Relance faite au PM par mail || Feedback PM : To check tomorrow with Level0
01/06/2026: GHOST TOWN
30/05/2026;  Feedbck PM:Intervention planned by today / Alarm on Fiber to replace 30.05.2026
29/05/2026: Intervention planned by today||Intervention en cour||Remplacemennt de la AZHA ET Power connector OK ce jour, mais a constate que la FO faulty.</t>
  </si>
  <si>
    <t>06/06/2026 Intervention en cour || FME a remplacer laa FO et le BO RAN a faire un soft reset mais l'alarm persiste toujours
05/06/2026 Intervention ce jour || Access issues || Intervention reporter a Demain
04/06/2026 Access issues
03/06/2026 Intervetion planned 04/06/2026
02/06/2026 ETA attendu || Relance faite au PM par mail || Feedback PM To check tomorrow with Level0
01/06/2026 GHOST TOWN
30/05/2026; Feedbck PM Intervention planned by today / Alarm on Fiber to replace 30.05.2026
29/05/2026 Intervention planned by today || Intervention en cour || Remplacemennt de la AZHA ET Power connector OK ce jour, mais a constate que la FO faulty. 06/06/2026 Intervention en cour || FME a remplacer laa FO et le BO RAN a faire un soft reset mais l'alarm persiste toujours
05/06/2026 Intervention ce jour || Access issues || Intervention reporter a Demain
04/06/2026 Access issues
03/06/2026 Intervetion planned 04/06/2026
02/06/2026 ETA attendu || Relance faite au PM par mail || Feedback PM To check tomorrow with Level0
01/06/2026 GHOST TOWN
30/05/2026; Feedbck PM Intervention planned by today / Alarm on Fiber to replace 30.05.2026
29/05/2026 Intervention planned by today || Intervention en cour || Remplacemennt de la AZHA ET Power connector OK ce jour, mais a constate que la FO faulty.</t>
  </si>
  <si>
    <t>MUTENGUENE BAGDAD-MTN</t>
  </si>
  <si>
    <t>SUO_225</t>
  </si>
  <si>
    <t>Ngd-Yarban</t>
  </si>
  <si>
    <t>ADM_073</t>
  </si>
  <si>
    <t>Kouedjou-IHS</t>
  </si>
  <si>
    <t>LIT_502</t>
  </si>
  <si>
    <t>Kouedjou</t>
  </si>
  <si>
    <t>Carrefour-Elat</t>
  </si>
  <si>
    <t>CTR_835</t>
  </si>
  <si>
    <t>Elat</t>
  </si>
  <si>
    <t>Elig-Edzoa-IHS</t>
  </si>
  <si>
    <t>CTR_131</t>
  </si>
  <si>
    <t>Nkongoa</t>
  </si>
  <si>
    <t>CTR_629</t>
  </si>
  <si>
    <t>Nkongoa-Mfou</t>
  </si>
  <si>
    <t>CTR_896</t>
  </si>
  <si>
    <t>Mfou</t>
  </si>
  <si>
    <t>Sole</t>
  </si>
  <si>
    <t>LIT_212</t>
  </si>
  <si>
    <t>Akom-Centre-Hill-IHS</t>
  </si>
  <si>
    <t>SUD_112</t>
  </si>
  <si>
    <t>Akom</t>
  </si>
  <si>
    <t>Yassa-Dispensaire</t>
  </si>
  <si>
    <t>LIT_639</t>
  </si>
  <si>
    <t>Foubarka</t>
  </si>
  <si>
    <t>NRD_153</t>
  </si>
  <si>
    <t>Foumbot-Centre-Ville-II</t>
  </si>
  <si>
    <t>OST_227</t>
  </si>
  <si>
    <t>Ntam</t>
  </si>
  <si>
    <t>SUD_120</t>
  </si>
  <si>
    <t>Pinyi-Ngali</t>
  </si>
  <si>
    <t>NRO_091</t>
  </si>
  <si>
    <t>Solar+ Gen</t>
  </si>
  <si>
    <t>Mokom-IHS</t>
  </si>
  <si>
    <t>SUD_113</t>
  </si>
  <si>
    <t>Ange-raphael-II</t>
  </si>
  <si>
    <t>LIT_696</t>
  </si>
  <si>
    <t>NR-Omnisport-Qtier-Yambassa</t>
  </si>
  <si>
    <t>CTR_566</t>
  </si>
  <si>
    <t>Marche-Odza-IHS</t>
  </si>
  <si>
    <t>CTR_479</t>
  </si>
  <si>
    <t>Zoetele</t>
  </si>
  <si>
    <t>CTR_111</t>
  </si>
  <si>
    <t>{06-07-2026 cell zte}: 07/06/2026 : Site down</t>
  </si>
  <si>
    <t>07/06/2026 Site down</t>
  </si>
  <si>
    <t>Wakwa-IHS</t>
  </si>
  <si>
    <t>ADM_078</t>
  </si>
  <si>
    <t>Wakwa</t>
  </si>
  <si>
    <t>Etoudi-II-IHS</t>
  </si>
  <si>
    <t>CTR_633</t>
  </si>
  <si>
    <t>06-07/2026: hardware issue,  site with GPS issue (alarm : TDD down 09Apr 02pm)</t>
  </si>
  <si>
    <t>06-07/2026 hardware issue, site with GPS issue (alarm TDD down 09Apr 02pm)</t>
  </si>
  <si>
    <t>Memve-ele-CAMTEL</t>
  </si>
  <si>
    <t>SUD_257</t>
  </si>
  <si>
    <t>Memve-ele</t>
  </si>
  <si>
    <t>Bagofit</t>
  </si>
  <si>
    <t>EST_082</t>
  </si>
  <si>
    <t>GenOnly</t>
  </si>
  <si>
    <t>Dschang-Foto</t>
  </si>
  <si>
    <t>OST_105</t>
  </si>
  <si>
    <t>{06-07-2026  ocm ran 18}: Power status check Ongoing        ;         {06-07-2026 ticket}: INC-20260607-00019460...Others</t>
  </si>
  <si>
    <t>Mayo-Nonde-IHS</t>
  </si>
  <si>
    <t>NRD_106</t>
  </si>
  <si>
    <t>Mayo-Nonde</t>
  </si>
  <si>
    <t>{06-07-2026 cell nokia}: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        ;         {06-07-2026 cell nokia}: 04/06/2026 : Relance faite ce jour a HW SPMS
03/06/2026: FRGU recu||ETA: 04062026
01/06/2026 : Feedback HW SPMS attendu
30/05/2026 : FRGU pas disponible dans les Grd-nord || MAil de cde envoye a HW spare 
29/05/2026 : Check disponibilite FRGU dans les WH du grand Nord
28/05/2026 : Need BO RAN analysis ||close aafter reset</t>
  </si>
  <si>
    <t>04/06/2026 Relance faite ce jour a HW SPMS
03/06/2026 FRGU recu || ETA 04062026
01/06/2026 Feedback HW SPMS attendu
30/05/2026 FRGU pas disponible dans les Grd-nord || MAil de cde envoye a HW spare
29/05/2026 Check disponibilite FRGU dans les WH du grand Nord
28/05/2026 Need BO RAN analysis || close aafter reset 04/06/2026 Relance faite ce jour a HW SPMS
03/06/2026 FRGU recu || ETA 04062026
01/06/2026 Feedback HW SPMS attendu
30/05/2026 FRGU pas disponible dans les Grd-nord || MAil de cde envoye a HW spare
29/05/2026 Check disponibilite FRGU dans les WH du grand Nord
28/05/2026 Need BO RAN analysis || close aafter reset</t>
  </si>
  <si>
    <t>Adouma</t>
  </si>
  <si>
    <t>EST_134</t>
  </si>
  <si>
    <t>ARMP</t>
  </si>
  <si>
    <t>CTR_124</t>
  </si>
  <si>
    <t>Mantoum-Village</t>
  </si>
  <si>
    <t>OST_200</t>
  </si>
  <si>
    <t>Mantoum</t>
  </si>
  <si>
    <t>Ngouetou</t>
  </si>
  <si>
    <t>CTR_300</t>
  </si>
  <si>
    <t>Mantoum-Ville</t>
  </si>
  <si>
    <t>OST_201</t>
  </si>
  <si>
    <t>Gaba</t>
  </si>
  <si>
    <t>NRD_155</t>
  </si>
  <si>
    <t>{06-07-2026  ocm ran 18}: Power status check Ongoing        ;         {06-07-2026 ticket}: INC-20260607-00017856...Auto TT closure RCA...Solar Outage</t>
  </si>
  <si>
    <t>Ngonga</t>
  </si>
  <si>
    <t>LIT_135</t>
  </si>
  <si>
    <t>{Hourly-IHS}: 07/06/2026 16:22 0:37:31 47.5 2/3 rectifiers faulty//ETA for replacement is 5:30 PM        ;         {06-07-2026 ticket}: INC-20260607-00012459...GE Fault</t>
  </si>
  <si>
    <t>07/06/2026 16 22 0 37 31 47.5 2/3 rectifiers faulty//ETA for replacement is 5 30 PM .GE Fault</t>
  </si>
  <si>
    <t>Mballa-II</t>
  </si>
  <si>
    <t>CTR_824</t>
  </si>
  <si>
    <t>Douroum-IHS</t>
  </si>
  <si>
    <t>NRD_122</t>
  </si>
  <si>
    <t>Douroum</t>
  </si>
  <si>
    <t>Dragage</t>
  </si>
  <si>
    <t>CTR_344</t>
  </si>
  <si>
    <t>Bastos-Bir-IHS</t>
  </si>
  <si>
    <t>CTR_640</t>
  </si>
  <si>
    <t>Minisite-Dubai</t>
  </si>
  <si>
    <t>LIT_662</t>
  </si>
  <si>
    <t>Wadjiri-IHS</t>
  </si>
  <si>
    <t>ADM_103</t>
  </si>
  <si>
    <t>Wadjiri</t>
  </si>
  <si>
    <t>Banguem-Street-II</t>
  </si>
  <si>
    <t>SUO_150</t>
  </si>
  <si>
    <t>Dabanga</t>
  </si>
  <si>
    <t>EXN_807</t>
  </si>
  <si>
    <t xml:space="preserve">{06-07-2026 cell nokia}: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         {06-07-2026 cell nokia}: 
06062026: FME activer|Intervention en cour||Le FME a faire le Nettoyage des radio et des jumpeurs, swaper les modules SFP et a faire un hard reset. FME a constate que la FO et SFP est faulty.||Cde en cour
05/06/2026 : ETA 15H||Access issues||Intervention reporte a Demain
04/06/2026: intervention prevue pour Demain. 05062026
03/06/2026 :  Check breaker and  interconnection (sfp, optical fiber) between system and radio module, swap its if needed||FME activer|||Zone rouge negotiation acces en cour </t>
  </si>
  <si>
    <t>06062026 FME activer|Intervention en cour || Le FME a faire le Nettoyage des radio et des jumpeurs, swaper les modules SFP et a faire un hard reset. FME a constate que la FO et SFP est faulty. || Cde en cour
05/06/2026 ETA 15H || Access issues || Intervention reporte a Demain
04/06/2026 intervention prevue pour Demain. 05062026
03/06/2026 Check breaker and interconnection (sfp, optical fiber) between system and radio module, swap its if needed || FME activer || |Zone rouge negotiation acces en cour 06062026 FME activer|Intervention en cour || Le FME a faire le Nettoyage des radio et des jumpeurs, swaper les modules SFP et a faire un hard reset. FME a constate que la FO et SFP est faulty. || Cde en cour
05/06/2026 ETA 15H || Access issues || Intervention reporte a Demain
04/06/2026 intervention prevue pour Demain. 05062026
03/06/2026 Check breaker and interconnection (sfp, optical fiber) between system and radio module, swap its if needed || FME activer || |Zone rouge negotiation acces en cour</t>
  </si>
  <si>
    <t>ADM_235_H_NGD-CRF-LAC-TISON</t>
  </si>
  <si>
    <t>ADM_235</t>
  </si>
  <si>
    <t>Sud-Cameroun-Hevea-Camtel</t>
  </si>
  <si>
    <t>SUD_055</t>
  </si>
  <si>
    <t>Nkolnkoumou</t>
  </si>
  <si>
    <t>CTR_676</t>
  </si>
  <si>
    <t>Yassa-II</t>
  </si>
  <si>
    <t>LIT_642</t>
  </si>
  <si>
    <t>Sackbayeme</t>
  </si>
  <si>
    <t>LIT_138</t>
  </si>
  <si>
    <t>Sacbayeme</t>
  </si>
  <si>
    <t>Botko</t>
  </si>
  <si>
    <t>LIT_319</t>
  </si>
  <si>
    <t>Ngd-ZI</t>
  </si>
  <si>
    <t>ADM_033</t>
  </si>
  <si>
    <t>Pang-Camtel</t>
  </si>
  <si>
    <t>ADM_038</t>
  </si>
  <si>
    <t>Pang</t>
  </si>
  <si>
    <t xml:space="preserve">{06-07-2026  ocm ran 18}: 07/06/2026  FME actuellement sur site de Danfili-MTN-IHS. ETA=16H UTC 
06/06/2026 Besoin d'un FME sur site pour vérifier le statut de la G18L18L8_MRBTS2 et son interco avec le MPR S1P2  fme willy Chekep </t>
  </si>
  <si>
    <t>07/06/2026 FME actuellement sur site de Danfili-MTN-IHS. ETA=16H UTC
06/06/2026 Besoin d'un FME sur site pour vérifier le statut de la G18L18L8_MRBTS2 et son interco avec le MPR S1P2 fme willy Chekep</t>
  </si>
  <si>
    <t>Kontcha</t>
  </si>
  <si>
    <t>ADM_130</t>
  </si>
  <si>
    <t>White-Star-Hotel</t>
  </si>
  <si>
    <t>SUO_236</t>
  </si>
  <si>
    <t>{06-07-2026 cell huawei}: 07/06/2026 : Besoin d'analyse BO RAN        ;         {06-07-2026  ocm ran 18}: Power status check Ongoing        ;         {06-07-2026 ticket}: INC-20260607-00017831...Power issue ,CAMUSAT guys still working on it...Others</t>
  </si>
  <si>
    <t>07/06/2026 Besoin d'analyse BO RAN .Power issue ,CAMUSAT guys still working on it.</t>
  </si>
  <si>
    <t>Mousgoy-IHS</t>
  </si>
  <si>
    <t>EXN_136</t>
  </si>
  <si>
    <t>Mousgoy</t>
  </si>
  <si>
    <t>Nkolfoulou-CSD</t>
  </si>
  <si>
    <t>CTR_712</t>
  </si>
  <si>
    <t>Mandama-IHS</t>
  </si>
  <si>
    <t>NRD_123</t>
  </si>
  <si>
    <t>Mandama</t>
  </si>
  <si>
    <t>Saa-IHS</t>
  </si>
  <si>
    <t>CTR_829</t>
  </si>
  <si>
    <t>Saa</t>
  </si>
  <si>
    <t>Baba-MTN</t>
  </si>
  <si>
    <t>NRO_259</t>
  </si>
  <si>
    <t>Baba</t>
  </si>
  <si>
    <t>Loum-Joli-IHS</t>
  </si>
  <si>
    <t>LIT_521</t>
  </si>
  <si>
    <t>Mont-Febe</t>
  </si>
  <si>
    <t>CTR_729</t>
  </si>
  <si>
    <t>LIT_950_Z_Logpom-E-Catholique-IHS</t>
  </si>
  <si>
    <t>LIT_950</t>
  </si>
  <si>
    <t>Djoum</t>
  </si>
  <si>
    <t>SUD_014</t>
  </si>
  <si>
    <t>Bmouang-Terminus</t>
  </si>
  <si>
    <t>LIT_044</t>
  </si>
  <si>
    <t>Logbong</t>
  </si>
  <si>
    <t>LIT_508</t>
  </si>
  <si>
    <t>{06-07-2026 cell nokia}: 07/06/2026:FME activer||ETA: 14h
06/06/2026:FRGU et FFXED deja recu||FME interviendra  apres le site de EBOMBE||ETA: 07062026
05/06/2026 : FRGU &amp; FXED faulty || Mail de cde en cours
04/06/2026 : Need BO RAN analysis ||Closed after rest but check and replace FRGU||FME interviendra apres le site de Kanga||ETA:06062026        ;         {06-07-2026 cell nokia}: 07/06/2026:FME activer||ETA: 14h||Intervetion en cour
06/06/2026:FRGU et FFXED deja recu||FME interviendra  apres le site de EBOMBE||ETA: 07062026
05/06/2026 : FRGU &amp; FXED faulty || Mail de cde en cours
04/06/2026 : Need BO RAN analysis ||Closed after rest but check and replace FRGU||FME interviendra apres le site de Kanga||ETA:06062026</t>
  </si>
  <si>
    <t>07/06/2026 FME activer || ETA 14h
06/06/2026 FRGU et FFXED deja recu || FME interviendra apres le site de EBOMBE || ETA 07062026
05/06/2026 FRGU &amp; FXED faulty || Mail de cde en cours
04/06/2026 Need BO RAN analysis || Closed after rest but check and replace FRGU || FME interviendra apres le site de Kanga || ETA 06062026 07/06/2026 FME activer || ETA 14h || Intervetion en cour
06/06/2026 FRGU et FFXED deja recu || FME interviendra apres le site de EBOMBE || ETA 07062026
05/06/2026 FRGU &amp; FXED faulty || Mail de cde en cours
04/06/2026 Need BO RAN analysis || Closed after rest but check and replace FRGU || FME interviendra apres le site de Kanga || ETA 06062026</t>
  </si>
  <si>
    <t>Poutkak</t>
  </si>
  <si>
    <t>LIT_513</t>
  </si>
  <si>
    <t>Bihaing-IHS</t>
  </si>
  <si>
    <t>LIT_517</t>
  </si>
  <si>
    <t>Bihaing</t>
  </si>
  <si>
    <t>Yabassi-Greenfil</t>
  </si>
  <si>
    <t>LIT_586</t>
  </si>
  <si>
    <t>Yabassi</t>
  </si>
  <si>
    <t>Pouma-Makob</t>
  </si>
  <si>
    <t>LIT_201</t>
  </si>
  <si>
    <t>Pouma</t>
  </si>
  <si>
    <t>Doualayel-MTN</t>
  </si>
  <si>
    <t>ADM_067</t>
  </si>
  <si>
    <t>Doualayel</t>
  </si>
  <si>
    <t>Nyazoro-MTN-IHS</t>
  </si>
  <si>
    <t>CTR_169</t>
  </si>
  <si>
    <t>Nyazoro</t>
  </si>
  <si>
    <t>{06-07-2026  ocm ran 18}: 06.06.2026: Spare FSMF Expediee de Garoua pour Ngaoundere ETA=07.06.2026 et Ensuite sera envoye a TIBATI 
05.06.26: FSMF reçu ce soir , ETA=06.06.26
04/06/2026 FSMF en défaut ETD=04/06/2026 
03/06/2026 FSMF en défaut,  commande passée,  Nouvel ETD=03.06.26
02/06/2026 FSMF en défaut,  commande passée,  Nouvel ETD=02.06.26 
31.05.26: FSMF en défaut,  commande passée,  ETD=01.06.26
30.05.26: FME en route pour le site, ETA=13H UTC | FSMF en défaut,  commande en cours,  update ASAP 
29.05.26: Besoin d'un FME sur site pour vérifier le statut de la BTS; CM-20260529-00003144; FME Willy activé pour investigations, update ASAP</t>
  </si>
  <si>
    <t>06.06.2026 Spare FSMF Expediee de Garoua pour Ngaoundere ETA=07.06.2026 et Ensuite sera envoye a TIBATI
05.06.26 FSMF reçu ce soir , ETA=06.06.26
04/06/2026 FSMF en défaut ETD=04/06/2026
03/06/2026 FSMF en défaut, commande passée, Nouvel ETD=03.06.26
02/06/2026 FSMF en défaut, commande passée, Nouvel ETD=02.06.26
31.05.26 FSMF en défaut, commande passée, ETD=01.06.26
30.05.26 FME en route pour le site, ETA=13H UTC | FSMF en défaut, commande en cours, update ASAP
29.05.26 Besoin d'un FME sur site pour vérifier le statut de la BTS; FME Willy activé pour investigations, update ASAP</t>
  </si>
  <si>
    <t>Koba-MTN</t>
  </si>
  <si>
    <t>ADM_064</t>
  </si>
  <si>
    <t>Koba</t>
  </si>
  <si>
    <t>Simbock-II</t>
  </si>
  <si>
    <t>CTR_716</t>
  </si>
  <si>
    <t>Baikwa-Bere</t>
  </si>
  <si>
    <t>NRD_056</t>
  </si>
  <si>
    <t>Fotokol-Town-IHS</t>
  </si>
  <si>
    <t>EXN_259</t>
  </si>
  <si>
    <t>Fotokol</t>
  </si>
  <si>
    <t>Blangoua</t>
  </si>
  <si>
    <t>EXN_041</t>
  </si>
  <si>
    <t>Yoyo-New</t>
  </si>
  <si>
    <t>LIT_536</t>
  </si>
  <si>
    <t>Yoyo</t>
  </si>
  <si>
    <t>Bfsam-Tamdja</t>
  </si>
  <si>
    <t>OST_019</t>
  </si>
  <si>
    <t>Widikum</t>
  </si>
  <si>
    <t>NRO_219</t>
  </si>
  <si>
    <t>Missole</t>
  </si>
  <si>
    <t>LIT_227</t>
  </si>
  <si>
    <t>Mayo-Darle-MTN</t>
  </si>
  <si>
    <t>ADM_068</t>
  </si>
  <si>
    <t>Mayo-Darle</t>
  </si>
  <si>
    <t>Doumo-IHS-VSAT</t>
  </si>
  <si>
    <t>NRD_152</t>
  </si>
  <si>
    <t>Doumo</t>
  </si>
  <si>
    <t>Badjonre-IHS</t>
  </si>
  <si>
    <t>EXN_152</t>
  </si>
  <si>
    <t>Badjonre</t>
  </si>
  <si>
    <t xml:space="preserve">{06-07-2026 cell nokia}: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         {06-07-2026 cell nokia}: 04/06/2026 : Relance faite a HW SPMS
03/06/2026: Relance faite ce jour
02/05/2026 : Le FME a remplace la FCOP hier. Certaines Cells sont remontees et une radio est restee down pour cause FO faulty || Cde FO de 100m envoyee a HW SPMS
01/062026: Reception de la SPARE ce jour ||Remplc ETD:14h||intervention prevue pour ce jour|| ETA:16h
31/05/2026: Toujour en attente de la FCOP|| ETD: Demain
28/05/2026: Cmd de la FCOP || ETD 30052026 . ETA 31052026
27/05/2026:  Investigation en cour ||FCOP  faulty
26/05/2026: FME activé, ETA 12H || UP apres reset physique 
25/05/2026 : Closed afted reset || check statut of carte ABIA
24/05/2026 : Need BO RAN analysis </t>
  </si>
  <si>
    <t>04/06/2026 Relance faite a HW SPMS
03/06/2026 Relance faite ce jour
02/05/2026 Le FME a remplace la FCOP hier. Certaines Cells sont remontees et une radio est restee down pour cause FO faulty || Cde FO de 100m envoyee a HW SPMS
01/062026 Reception de la SPARE ce jour || Remplc ETD 14h || intervention prevue pour ce jour || ETA 16h
31/05/2026 Toujour en attente de la FCOP || ETD Demain
28/05/2026 Cmd de la FCOP || ETD 30052026 . ETA 31052026
27/05/2026 Investigation en cour || FCOP faulty
26/05/2026 FME activé, ETA 12H || UP apres reset physique
25/05/2026 Closed afted reset || check statut of carte ABIA
24/05/2026 Need BO RAN analysis 04/06/2026 Relance faite a HW SPMS
03/06/2026 Relance faite ce jour
02/05/2026 Le FME a remplace la FCOP hier. Certaines Cells sont remontees et une radio est restee down pour cause FO faulty || Cde FO de 100m envoyee a HW SPMS
01/062026 Reception de la SPARE ce jour || Remplc ETD 14h || intervention prevue pour ce jour || ETA 16h
31/05/2026 Toujour en attente de la FCOP || ETD Demain
28/05/2026 Cmd de la FCOP || ETD 30052026 . ETA 31052026
27/05/2026 Investigation en cour || FCOP faulty
26/05/2026 FME activé, ETA 12H || UP apres reset physique
25/05/2026 Closed afted reset || check statut of carte ABIA
24/05/2026 Need BO RAN analysis</t>
  </si>
  <si>
    <t>Yingui-IHS</t>
  </si>
  <si>
    <t>LIT_180</t>
  </si>
  <si>
    <t>Yingui</t>
  </si>
  <si>
    <t>Makary</t>
  </si>
  <si>
    <t>EXN_020</t>
  </si>
  <si>
    <t>Hile-Alifa-IHS</t>
  </si>
  <si>
    <t>EXN_224</t>
  </si>
  <si>
    <t>Hile-Alifa</t>
  </si>
  <si>
    <t>Chamber-Wangai</t>
  </si>
  <si>
    <t>NRD_055</t>
  </si>
  <si>
    <t>Djoum-CIFAN</t>
  </si>
  <si>
    <t>SUD_231</t>
  </si>
  <si>
    <t>Apouh</t>
  </si>
  <si>
    <t>LIT_512</t>
  </si>
  <si>
    <t>Guiwa-Yangamo</t>
  </si>
  <si>
    <t>EST_123</t>
  </si>
  <si>
    <t>Hybrid Solar - S2</t>
  </si>
  <si>
    <t>Indoor-Agence-Garoua</t>
  </si>
  <si>
    <t>NRD_188</t>
  </si>
  <si>
    <t xml:space="preserve">{06-07-2026 cell huawei}: 27/10/2025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         {06-07-2026 cell huawei}: 27/10/2025 : Feedback Ing.OCM attendu
09/10/2025 : Feedback recu ce jour d'Athanase : Etude de solution en cours
30/09/2025 : Feedback recu ce jour de l'ING.OCM : Analyse d'une probable solution en cours
29/09/2025 : Mail de demande de creation de TT au TAC envoye au BORAN GNOC || Feedback creation du TT attendu du BO RAN GNOC
</t>
  </si>
  <si>
    <t>27/10/2025 Feedback Ing.OCM attendu
09/10/2025 Feedback recu ce jour d'Athanase Etude de solution en cours
30/09/2025 Feedback recu ce jour de l'ING.OCM Analyse d'une probable solution en cours
29/09/2025 Mail de demande de creation de TT au TAC envoye au BORAN GNOC || Feedback creation du TT attendu du BO RAN GNOC
27/10/2025 Feedback Ing.OCM attendu
09/10/2025 Feedback recu ce jour d'Athanase Etude de solution en cours
30/09/2025 Feedback recu ce jour de l'ING.OCM Analyse d'une probable solution en cours
29/09/2025 Mail de demande de creation de TT au TAC envoye au BORAN GNOC || Feedback creation du TT attendu du BO RAN GNOC</t>
  </si>
  <si>
    <t>Ambam</t>
  </si>
  <si>
    <t>CTR_394</t>
  </si>
  <si>
    <t>{06-07-2026 cell zte}: 06/06/2026 : Site down        ;         {06-07-2026 cell zte}: 06/06/2026 : Site down</t>
  </si>
  <si>
    <t>06/06/2026 Site down 06/06/2026 Site down</t>
  </si>
  <si>
    <t>Wada-MTN-IHS</t>
  </si>
  <si>
    <t>ADM_099</t>
  </si>
  <si>
    <t>Wada</t>
  </si>
  <si>
    <t>Evelessi-IHS</t>
  </si>
  <si>
    <t>SUD_138</t>
  </si>
  <si>
    <t>Ebanga-Ngoulou-New</t>
  </si>
  <si>
    <t>SUD_019</t>
  </si>
  <si>
    <t>Ebanga-Ngoulou</t>
  </si>
  <si>
    <t>Guili-Centre-IHS</t>
  </si>
  <si>
    <t>EXN_173</t>
  </si>
  <si>
    <t>Guili</t>
  </si>
  <si>
    <t>Dschang-Meka</t>
  </si>
  <si>
    <t>OST_074</t>
  </si>
  <si>
    <t>Boukoula-IHS</t>
  </si>
  <si>
    <t>NRD_014</t>
  </si>
  <si>
    <t>Boukoula</t>
  </si>
  <si>
    <t>{06-07-2026  ocm ran 18}: 07/06/2026 System Faulty Spare partie de Maroua reçue à Garoua et en cours de transfert vers Guider ETD=15h
06.06.2026: System Faulty Spare partie de Maroua pour Garoua ETD=06.06.2026
05.06.26: FSMF faulty, commande en cours, update ASAP
05.06.26: Besoin d'un FME sur site pour vérifier la MRBTS2 et son interco avec le MPR_1 S1P4; CM-20260605-00000351; FME Elysee en route pour le site, ETA=16H UTC</t>
  </si>
  <si>
    <t>07/06/2026 System Faulty Spare partie de Maroua reçue à Garoua et en cours de transfert vers Guider ETD=15h
06.06.2026 System Faulty Spare partie de Maroua pour Garoua ETD=06.06.2026
05.06.26 FSMF faulty, commande en cours, update ASAP
05.06.26 Besoin d'un FME sur site pour vérifier la MRBTS2 et son interco avec le MPR_1 S1P4; FME Elysee en route pour le site, ETA=16H UTC</t>
  </si>
  <si>
    <t>Mazavou</t>
  </si>
  <si>
    <t>EXN_215</t>
  </si>
  <si>
    <t>Kalfou</t>
  </si>
  <si>
    <t>Nkototououtou</t>
  </si>
  <si>
    <t>SUD_119</t>
  </si>
  <si>
    <t>Meme-II-IHS</t>
  </si>
  <si>
    <t>EXN_169</t>
  </si>
  <si>
    <t>Meme-II</t>
  </si>
  <si>
    <t>Bourha</t>
  </si>
  <si>
    <t>EXN_019</t>
  </si>
  <si>
    <t>Bourrah</t>
  </si>
  <si>
    <t>{06-07-2026 ticket}: INC-20260607-00017167...GE Fault</t>
  </si>
  <si>
    <t>Mengueme</t>
  </si>
  <si>
    <t>CTR_354</t>
  </si>
  <si>
    <t>Bastos-BAT</t>
  </si>
  <si>
    <t>CTR_200</t>
  </si>
  <si>
    <t>Djoum-Caminex</t>
  </si>
  <si>
    <t>SUD_252</t>
  </si>
  <si>
    <t>Mvoutessi-MTN</t>
  </si>
  <si>
    <t>SUD_237</t>
  </si>
  <si>
    <t>Mvoutessi</t>
  </si>
  <si>
    <t>Mak-Universite-II-IHS</t>
  </si>
  <si>
    <t>LIT_576</t>
  </si>
  <si>
    <t>Missoke-Universite</t>
  </si>
  <si>
    <t>LIT_373</t>
  </si>
  <si>
    <t>Melane</t>
  </si>
  <si>
    <t>SUD_256</t>
  </si>
  <si>
    <t>Bangoua-nouveau-Camtel</t>
  </si>
  <si>
    <t>OST_294</t>
  </si>
  <si>
    <t>Bangoua</t>
  </si>
  <si>
    <t>Bonjongo</t>
  </si>
  <si>
    <t>SUO_131</t>
  </si>
  <si>
    <t>Kpwang-MTN</t>
  </si>
  <si>
    <t>SUD_239</t>
  </si>
  <si>
    <t>Kpwang</t>
  </si>
  <si>
    <t>Djaba-IHS</t>
  </si>
  <si>
    <t>NRD_128</t>
  </si>
  <si>
    <t>Djaba</t>
  </si>
  <si>
    <t>Djoum-Ville-IHS</t>
  </si>
  <si>
    <t>SUD_064</t>
  </si>
  <si>
    <t>Kousseri-Ville</t>
  </si>
  <si>
    <t>EXN_064</t>
  </si>
  <si>
    <t>EXN_003</t>
  </si>
  <si>
    <t>Kousseri-Sarra</t>
  </si>
  <si>
    <t>EXN_010</t>
  </si>
  <si>
    <t>Makor</t>
  </si>
  <si>
    <t>ADM_015</t>
  </si>
  <si>
    <t>Kousseri-Papar-IHS</t>
  </si>
  <si>
    <t>EXN_188</t>
  </si>
  <si>
    <t>Kousseri-MTN-IHS</t>
  </si>
  <si>
    <t>EXN_138</t>
  </si>
  <si>
    <t>Kousseri-Arazai-MTN-IHS</t>
  </si>
  <si>
    <t>EXN_181</t>
  </si>
  <si>
    <t>Kousseri-Michedire-MTN-IHS</t>
  </si>
  <si>
    <t>EXN_182</t>
  </si>
  <si>
    <t>EMINEMVOM-IHS</t>
  </si>
  <si>
    <t>SUD_107</t>
  </si>
  <si>
    <t>Eminevom</t>
  </si>
  <si>
    <t>Nkout</t>
  </si>
  <si>
    <t>SUD_012</t>
  </si>
  <si>
    <t>Molyko-IHS</t>
  </si>
  <si>
    <t>SUO_183</t>
  </si>
  <si>
    <t>Endom</t>
  </si>
  <si>
    <t>CTR_225</t>
  </si>
  <si>
    <t>Bikoula-MTN</t>
  </si>
  <si>
    <t>SUD_232</t>
  </si>
  <si>
    <t>Bikoula</t>
  </si>
  <si>
    <t>Tide-Goulfey-IHS</t>
  </si>
  <si>
    <t>EXN_273</t>
  </si>
  <si>
    <t>Kabo-Kabir</t>
  </si>
  <si>
    <t>Bda-Ntamulung-MTN</t>
  </si>
  <si>
    <t>NRO_253</t>
  </si>
  <si>
    <t>Djarengol-Delegue-IHS</t>
  </si>
  <si>
    <t>EXN_101</t>
  </si>
  <si>
    <t>EST_053_N_Mbele-Mbeke</t>
  </si>
  <si>
    <t>EST_053</t>
  </si>
  <si>
    <t>Mbele-Mbeke</t>
  </si>
  <si>
    <t>Kousseri-II</t>
  </si>
  <si>
    <t>EXN_194</t>
  </si>
  <si>
    <t>Zigague</t>
  </si>
  <si>
    <t>EXN_034</t>
  </si>
  <si>
    <t>Kousseri-Ngueli-MTN-IHS</t>
  </si>
  <si>
    <t>EXN_141</t>
  </si>
  <si>
    <t>Goulfey</t>
  </si>
  <si>
    <t>EXN_021</t>
  </si>
  <si>
    <t>Mora-Kourgui</t>
  </si>
  <si>
    <t>EXN_238</t>
  </si>
  <si>
    <t>Kousseri-Market-MTN-IHS</t>
  </si>
  <si>
    <t>EXN_180</t>
  </si>
  <si>
    <t>Yambassa</t>
  </si>
  <si>
    <t>CTR_232</t>
  </si>
  <si>
    <t>Makalingai-MTN</t>
  </si>
  <si>
    <t>EXN_029</t>
  </si>
  <si>
    <t>Makalingai</t>
  </si>
  <si>
    <t>Pinyin-New</t>
  </si>
  <si>
    <t>NRO_247</t>
  </si>
  <si>
    <t>Grid Gen</t>
  </si>
  <si>
    <t>Pinyin</t>
  </si>
  <si>
    <t>Akom-II-IHS</t>
  </si>
  <si>
    <t>SUD_054</t>
  </si>
  <si>
    <t>Akom II</t>
  </si>
  <si>
    <t>Meidougou-MTN</t>
  </si>
  <si>
    <t>ADM_062</t>
  </si>
  <si>
    <t>Meidougou</t>
  </si>
  <si>
    <t>Ndiguina</t>
  </si>
  <si>
    <t>EXN_275</t>
  </si>
  <si>
    <t>Hybrid solar - S3</t>
  </si>
  <si>
    <t>Waza</t>
  </si>
  <si>
    <t>Tadu-IHS</t>
  </si>
  <si>
    <t>NRO_018</t>
  </si>
  <si>
    <t>Tadu</t>
  </si>
  <si>
    <t>Ngd-Madagascar</t>
  </si>
  <si>
    <t>ADM_135</t>
  </si>
  <si>
    <t>Balda</t>
  </si>
  <si>
    <t>EXN_229</t>
  </si>
  <si>
    <t>Letta-MTN</t>
  </si>
  <si>
    <t>EST_063</t>
  </si>
  <si>
    <t>Letta</t>
  </si>
  <si>
    <t>Salack</t>
  </si>
  <si>
    <t>EXN_008</t>
  </si>
  <si>
    <t>Salak</t>
  </si>
  <si>
    <t>Ako</t>
  </si>
  <si>
    <t>NRO_231</t>
  </si>
  <si>
    <t>Mabanda2-IHS</t>
  </si>
  <si>
    <t>LIT_577</t>
  </si>
  <si>
    <t>Bberi-Chateau</t>
  </si>
  <si>
    <t>LIT_017</t>
  </si>
  <si>
    <t>Gbiti-IHS</t>
  </si>
  <si>
    <t>EST_101</t>
  </si>
  <si>
    <t>Gbiti</t>
  </si>
  <si>
    <t>Bberi-Centre</t>
  </si>
  <si>
    <t>LIT_243</t>
  </si>
  <si>
    <t>BTS-Mobile-OKPLASTCAM</t>
  </si>
  <si>
    <t>LIT_780</t>
  </si>
  <si>
    <t>WAS ORANGE</t>
  </si>
  <si>
    <t>Tourou</t>
  </si>
  <si>
    <t>EXN_231</t>
  </si>
  <si>
    <t>Ngwelle-II</t>
  </si>
  <si>
    <t>LIT_377</t>
  </si>
  <si>
    <t>Gari-Gombo</t>
  </si>
  <si>
    <t>EST_048</t>
  </si>
  <si>
    <t>Grand-Hangar-II</t>
  </si>
  <si>
    <t>LIT_361</t>
  </si>
  <si>
    <t>Mabanda-MTN</t>
  </si>
  <si>
    <t>LIT_259</t>
  </si>
  <si>
    <t>Number49-MTN</t>
  </si>
  <si>
    <t>NRO_261</t>
  </si>
  <si>
    <t>Number49</t>
  </si>
  <si>
    <t>Mendji-IHS</t>
  </si>
  <si>
    <t>NRO_087</t>
  </si>
  <si>
    <t>Mendji</t>
  </si>
  <si>
    <t>Mabanda3</t>
  </si>
  <si>
    <t>LIT_488</t>
  </si>
  <si>
    <t>Yarbang-Gaziya-IHS</t>
  </si>
  <si>
    <t>ADM_142</t>
  </si>
  <si>
    <t>Yarban Gaziya</t>
  </si>
  <si>
    <t>Ndogp-St-Nicolas</t>
  </si>
  <si>
    <t>LIT_205</t>
  </si>
  <si>
    <t>Mbiame</t>
  </si>
  <si>
    <t>NRO_236</t>
  </si>
  <si>
    <t>So-Djay-IHS</t>
  </si>
  <si>
    <t>NRD_125</t>
  </si>
  <si>
    <t>So-Djay</t>
  </si>
  <si>
    <t>Djottin</t>
  </si>
  <si>
    <t>NRO_098</t>
  </si>
  <si>
    <t>Yola-MTN-IHS</t>
  </si>
  <si>
    <t>EST_106</t>
  </si>
  <si>
    <t>Yola</t>
  </si>
  <si>
    <t xml:space="preserve">{06-07-2026 cell nokia}: 
06/06/2026: Cde de la SPARE en cours
05/06/2026: Closed after reset but check and clean jumper port 3 of FRGU || Intervenion apres NGOLA
04/06/2026 : Need BO RAN analysis         ;         {06-07-2026 cell nokia}: 
06/06/2026: Cde de la SPARE en cours
05/06/2026: Closed after reset but check and clean jumper port 3 of FRGU || Intervenion apres NGOLA
04/06/2026 : Need BO RAN analysis </t>
  </si>
  <si>
    <t>06/06/2026 Cde de la SPARE en cours
05/06/2026 Closed after reset but check and clean jumper port 3 of FRGU || Intervenion apres NGOLA
04/06/2026 Need BO RAN analysis 06/06/2026 Cde de la SPARE en cours
05/06/2026 Closed after reset but check and clean jumper port 3 of FRGU || Intervenion apres NGOLA
04/06/2026 Need BO RAN analysis</t>
  </si>
  <si>
    <t>Bali</t>
  </si>
  <si>
    <t>NRO_017</t>
  </si>
  <si>
    <t>Boussa-IHS</t>
  </si>
  <si>
    <t>NRD_129</t>
  </si>
  <si>
    <t>Boussa</t>
  </si>
  <si>
    <t>Vivoki-IHS</t>
  </si>
  <si>
    <t>NRO_039</t>
  </si>
  <si>
    <t>Vikovi</t>
  </si>
  <si>
    <t>Ngwele</t>
  </si>
  <si>
    <t>LIT_206</t>
  </si>
  <si>
    <t>Deone-IHS</t>
  </si>
  <si>
    <t>ADM_111</t>
  </si>
  <si>
    <t>Deone</t>
  </si>
  <si>
    <t>Koza-MTN</t>
  </si>
  <si>
    <t>EXN_043</t>
  </si>
  <si>
    <t>Koza</t>
  </si>
  <si>
    <t>Meguia</t>
  </si>
  <si>
    <t>OST_029</t>
  </si>
  <si>
    <t>Bberi-Sodiko-MTN</t>
  </si>
  <si>
    <t>LIT_418</t>
  </si>
  <si>
    <t>Mabanda4-IHS</t>
  </si>
  <si>
    <t>LIT_489</t>
  </si>
  <si>
    <t>Boubara-IHS</t>
  </si>
  <si>
    <t>EST_096</t>
  </si>
  <si>
    <t>Boubara</t>
  </si>
  <si>
    <t>Fonfuka</t>
  </si>
  <si>
    <t>NRO_043</t>
  </si>
  <si>
    <t>SUO_006</t>
  </si>
  <si>
    <t>Mbengwi</t>
  </si>
  <si>
    <t>NRO_011</t>
  </si>
  <si>
    <t>IHS-KUMBA ALASKA STREET</t>
  </si>
  <si>
    <t>SUO_230</t>
  </si>
  <si>
    <t>Kinguin-IHS</t>
  </si>
  <si>
    <t>EXN_168</t>
  </si>
  <si>
    <t>Kinguin</t>
  </si>
  <si>
    <t>Sop-MTN</t>
  </si>
  <si>
    <t>NRO_258</t>
  </si>
  <si>
    <t>Sop</t>
  </si>
  <si>
    <t>Kumba-Krama-IHS</t>
  </si>
  <si>
    <t>SUO_125</t>
  </si>
  <si>
    <t>Guere-IHS</t>
  </si>
  <si>
    <t>EXN_126</t>
  </si>
  <si>
    <t>Guere</t>
  </si>
  <si>
    <t>Bafou</t>
  </si>
  <si>
    <t>OST_017</t>
  </si>
  <si>
    <t>Ndogbong-Guinness</t>
  </si>
  <si>
    <t>LIT_432</t>
  </si>
  <si>
    <t>Wasse</t>
  </si>
  <si>
    <t>EST_153</t>
  </si>
  <si>
    <t>Kumba-Kake</t>
  </si>
  <si>
    <t>SUO_052</t>
  </si>
  <si>
    <t>Montee-Kondengui-MTN-IHS</t>
  </si>
  <si>
    <t>CTR_535</t>
  </si>
  <si>
    <t>Ndokoti-GUINNESS</t>
  </si>
  <si>
    <t>LIT_525</t>
  </si>
  <si>
    <t>Fochieya-IHS</t>
  </si>
  <si>
    <t>OST_195</t>
  </si>
  <si>
    <t xml:space="preserve"> Fochieya</t>
  </si>
  <si>
    <t>Bankwop-IHS</t>
  </si>
  <si>
    <t>OST_161</t>
  </si>
  <si>
    <t>Bankwop</t>
  </si>
  <si>
    <t>Ngog-Mapubi-NEW</t>
  </si>
  <si>
    <t>CTR_546</t>
  </si>
  <si>
    <t>Ngog-Mapubi</t>
  </si>
  <si>
    <t>Ngaoui</t>
  </si>
  <si>
    <t>ADM_037</t>
  </si>
  <si>
    <t>Akonolinga-Town-IHS</t>
  </si>
  <si>
    <t>CTR_784</t>
  </si>
  <si>
    <t>Akonolinga</t>
  </si>
  <si>
    <t>Fondjanti</t>
  </si>
  <si>
    <t>OST_158</t>
  </si>
  <si>
    <t>Baloum-IHS</t>
  </si>
  <si>
    <t>OST_167</t>
  </si>
  <si>
    <t>Baloum</t>
  </si>
  <si>
    <t>Galle</t>
  </si>
  <si>
    <t>ADM_028</t>
  </si>
  <si>
    <t>Kumba-Preventive</t>
  </si>
  <si>
    <t>SUO_217</t>
  </si>
  <si>
    <t>Kumba-Bonakama2</t>
  </si>
  <si>
    <t>SUO_231</t>
  </si>
  <si>
    <t>Meyomessala</t>
  </si>
  <si>
    <t>SUD_003</t>
  </si>
  <si>
    <t>MABETA</t>
  </si>
  <si>
    <t>SUO_165</t>
  </si>
  <si>
    <t>Mbile-IHS</t>
  </si>
  <si>
    <t>SUD_069</t>
  </si>
  <si>
    <t>Mbile</t>
  </si>
  <si>
    <t>Ndelele-MTN</t>
  </si>
  <si>
    <t>EST_041</t>
  </si>
  <si>
    <t>Ndelele</t>
  </si>
  <si>
    <t>Bassamba-IHS</t>
  </si>
  <si>
    <t>OST_143</t>
  </si>
  <si>
    <t>Bassamba</t>
  </si>
  <si>
    <t>CTR_181_N_Nanga-Eboko-CRTV</t>
  </si>
  <si>
    <t>CTR_181</t>
  </si>
  <si>
    <t>Nanga-Eboko</t>
  </si>
  <si>
    <t>Yokadouma</t>
  </si>
  <si>
    <t>EST_013</t>
  </si>
  <si>
    <t>Ayos</t>
  </si>
  <si>
    <t>EST_018</t>
  </si>
  <si>
    <t>Ngong-Town-IHS</t>
  </si>
  <si>
    <t>NRD_088</t>
  </si>
  <si>
    <t>Ngong</t>
  </si>
  <si>
    <t>Nitoukou-IHS</t>
  </si>
  <si>
    <t>CTR_177</t>
  </si>
  <si>
    <t>Banwa</t>
  </si>
  <si>
    <t>OST_089</t>
  </si>
  <si>
    <t>Bantoum</t>
  </si>
  <si>
    <t>Bakou</t>
  </si>
  <si>
    <t>OST_182</t>
  </si>
  <si>
    <t>KYE-Ossi-II</t>
  </si>
  <si>
    <t>SUD_073</t>
  </si>
  <si>
    <t>Kye-Ossi</t>
  </si>
  <si>
    <t>LIT_877_Z_Edea-Elog-Belle</t>
  </si>
  <si>
    <t>LIT_877</t>
  </si>
  <si>
    <t>Fin-Goudron-Mt-Essec</t>
  </si>
  <si>
    <t>LIT_160</t>
  </si>
  <si>
    <t>Ndogp-ZR</t>
  </si>
  <si>
    <t>LIT_251</t>
  </si>
  <si>
    <t>Bep-Universite</t>
  </si>
  <si>
    <t>LIT_265</t>
  </si>
  <si>
    <t>KUMBA-BONAKAMA</t>
  </si>
  <si>
    <t>SUO_218</t>
  </si>
  <si>
    <t>EST_211_Z_BATOURI-TRYPANO-MTN-IHS</t>
  </si>
  <si>
    <t>EST_211</t>
  </si>
  <si>
    <t>Afanoya-II</t>
  </si>
  <si>
    <t>CTR_838</t>
  </si>
  <si>
    <t>Mvog-Atangana-Mballa</t>
  </si>
  <si>
    <t>CTR_728</t>
  </si>
  <si>
    <t>Mak-Village</t>
  </si>
  <si>
    <t>LIT_531</t>
  </si>
  <si>
    <t>Ange-Raphael</t>
  </si>
  <si>
    <t>LIT_056</t>
  </si>
  <si>
    <t>Bonewonda-II</t>
  </si>
  <si>
    <t>LIT_378</t>
  </si>
  <si>
    <t>Mvan-IHS</t>
  </si>
  <si>
    <t>CTR_639</t>
  </si>
  <si>
    <t>LIT_583</t>
  </si>
  <si>
    <t>Sous-Prefecture-Tsinga</t>
  </si>
  <si>
    <t>CTR_475</t>
  </si>
  <si>
    <t>Nkomkana-IHS</t>
  </si>
  <si>
    <t>CTR_448</t>
  </si>
  <si>
    <t>Logbaba-SONEL</t>
  </si>
  <si>
    <t>LIT_342</t>
  </si>
  <si>
    <t>Grid-GenLithium</t>
  </si>
  <si>
    <t>Mvan-MRS-IHS</t>
  </si>
  <si>
    <t>CTR_487</t>
  </si>
  <si>
    <t>Abom-Plateau-II</t>
  </si>
  <si>
    <t>CTR_872</t>
  </si>
  <si>
    <t>Abom</t>
  </si>
  <si>
    <t>Cite-Sic-II</t>
  </si>
  <si>
    <t>LIT_161</t>
  </si>
  <si>
    <t>Nyalla-III</t>
  </si>
  <si>
    <t>LIT_751</t>
  </si>
  <si>
    <t>Oyomabang-II</t>
  </si>
  <si>
    <t>CTR_865</t>
  </si>
  <si>
    <t>SUD_176_Z_Kribi-Mpolongwe-II</t>
  </si>
  <si>
    <t>SUD_176</t>
  </si>
  <si>
    <t>LIT_998_Z_Kendeck</t>
  </si>
  <si>
    <t>LIT_998</t>
  </si>
  <si>
    <t>Moulanga</t>
  </si>
  <si>
    <t>LIT_670</t>
  </si>
  <si>
    <t>Hopital-de-La-Cass</t>
  </si>
  <si>
    <t>CTR_652</t>
  </si>
  <si>
    <t>Bep-Yonyong</t>
  </si>
  <si>
    <t>LIT_092</t>
  </si>
  <si>
    <t>Bfsam-Baleng-IHS</t>
  </si>
  <si>
    <t>OST_169</t>
  </si>
  <si>
    <t>Bepanda-Ambiance</t>
  </si>
  <si>
    <t>LIT_687</t>
  </si>
  <si>
    <t>Bekoko-MTN</t>
  </si>
  <si>
    <t>SUO_061</t>
  </si>
  <si>
    <t>Charles-Atangana</t>
  </si>
  <si>
    <t>CTR_197</t>
  </si>
  <si>
    <t>Kenzou</t>
  </si>
  <si>
    <t>EST_016</t>
  </si>
  <si>
    <t>Song-Mahop</t>
  </si>
  <si>
    <t>LIT_300</t>
  </si>
  <si>
    <t>Gomala-IHS</t>
  </si>
  <si>
    <t>EST_126</t>
  </si>
  <si>
    <t>Gomala</t>
  </si>
  <si>
    <t>Missole-Entree</t>
  </si>
  <si>
    <t>LIT_306</t>
  </si>
  <si>
    <t>Meyo-II</t>
  </si>
  <si>
    <t>CTR_850</t>
  </si>
  <si>
    <t>Bandjoun-Marche-Hiala</t>
  </si>
  <si>
    <t>OST_276</t>
  </si>
  <si>
    <t>Bandjoun</t>
  </si>
  <si>
    <t>Bfsam-Tyo</t>
  </si>
  <si>
    <t>OST_118</t>
  </si>
  <si>
    <t>Mimboman-Liberte-II</t>
  </si>
  <si>
    <t>CTR_655</t>
  </si>
  <si>
    <t>Mimboman-Ecole</t>
  </si>
  <si>
    <t>CTR_422</t>
  </si>
  <si>
    <t>CTR_1107_Z_OKOUI-Chefferie</t>
  </si>
  <si>
    <t>CTR_1107</t>
  </si>
  <si>
    <t>Hilton</t>
  </si>
  <si>
    <t>CTR_702</t>
  </si>
  <si>
    <t>Mimboman-Chapelle</t>
  </si>
  <si>
    <t>CTR_772</t>
  </si>
  <si>
    <t>Maroua-Loperey</t>
  </si>
  <si>
    <t>EXN_082</t>
  </si>
  <si>
    <t>Oyack-II</t>
  </si>
  <si>
    <t>LIT_765</t>
  </si>
  <si>
    <t>LIT_825_Z_Camp-Bertaud</t>
  </si>
  <si>
    <t>LIT_825</t>
  </si>
  <si>
    <t>Bfsam-Baleng</t>
  </si>
  <si>
    <t>OST_063</t>
  </si>
  <si>
    <t>Makepe-Conteneur</t>
  </si>
  <si>
    <t>LIT_730</t>
  </si>
  <si>
    <t>Nsimeyong-Chefferie</t>
  </si>
  <si>
    <t>CTR_660</t>
  </si>
  <si>
    <t>Elig-Edzoa</t>
  </si>
  <si>
    <t>CTR_075</t>
  </si>
  <si>
    <t>Marche-Central-Bonawon-New</t>
  </si>
  <si>
    <t>LIT_740</t>
  </si>
  <si>
    <t>Mehanda-II</t>
  </si>
  <si>
    <t>CTR_763</t>
  </si>
  <si>
    <t>Edea-Lom</t>
  </si>
  <si>
    <t>LIT_321</t>
  </si>
  <si>
    <t>Edea</t>
  </si>
  <si>
    <t>Mabanda-New</t>
  </si>
  <si>
    <t>LIT_791</t>
  </si>
  <si>
    <t>Kambolepi-IHS</t>
  </si>
  <si>
    <t>EST_028</t>
  </si>
  <si>
    <t>Kambolepi</t>
  </si>
  <si>
    <t>Bonewonda</t>
  </si>
  <si>
    <t>LIT_074</t>
  </si>
  <si>
    <t>Bitotol-Ecole-Publique</t>
  </si>
  <si>
    <t>CTR_794</t>
  </si>
  <si>
    <t xml:space="preserve">ESCO </t>
  </si>
  <si>
    <t>Good Grid no GE 8H</t>
  </si>
  <si>
    <t>Mabanda-CIMAF</t>
  </si>
  <si>
    <t>LIT_695</t>
  </si>
  <si>
    <t>Ndokohok-IHS</t>
  </si>
  <si>
    <t>OST_025</t>
  </si>
  <si>
    <t>Makenene</t>
  </si>
  <si>
    <t>Emana-Bilick-IHS</t>
  </si>
  <si>
    <t>CTR_160</t>
  </si>
  <si>
    <t>Bonewonda-Chefferie</t>
  </si>
  <si>
    <t>LIT_379</t>
  </si>
  <si>
    <t>Ebolowa-NewBell</t>
  </si>
  <si>
    <t>SUD_262</t>
  </si>
  <si>
    <t>Etoa-Dispensaire</t>
  </si>
  <si>
    <t>CTR_715</t>
  </si>
  <si>
    <t>Missoke-Chefferie</t>
  </si>
  <si>
    <t>LIT_732</t>
  </si>
  <si>
    <t>Ngodi-Cite</t>
  </si>
  <si>
    <t>LIT_626</t>
  </si>
  <si>
    <t>Nsam-Sofavinc-IHS</t>
  </si>
  <si>
    <t>CTR_488</t>
  </si>
  <si>
    <t>Sikoum-II</t>
  </si>
  <si>
    <t>LIT_388</t>
  </si>
  <si>
    <t>Sikoum</t>
  </si>
  <si>
    <t>NRO_164_H_Bda-Nkwen-Mile-6</t>
  </si>
  <si>
    <t>NRO_164</t>
  </si>
  <si>
    <t>NRO</t>
  </si>
  <si>
    <t>FAYADOR-AKWA</t>
  </si>
  <si>
    <t>LIT_689</t>
  </si>
  <si>
    <t>Nitob-IHS</t>
  </si>
  <si>
    <t>NRO_122</t>
  </si>
  <si>
    <t>Bamenda-Nchuobuh-IHS</t>
  </si>
  <si>
    <t>NRO_125</t>
  </si>
  <si>
    <t>KOTTO-MBANGUE-II</t>
  </si>
  <si>
    <t>LIT_712</t>
  </si>
  <si>
    <t>Edea-Q-Haoussa</t>
  </si>
  <si>
    <t>LIT_000</t>
  </si>
  <si>
    <t>Avenue-General-De-Gaulle</t>
  </si>
  <si>
    <t>LIT_453</t>
  </si>
  <si>
    <t>Ministere-New</t>
  </si>
  <si>
    <t>LIT_581</t>
  </si>
  <si>
    <t>CTR_1135_Z_Montee-Carossel</t>
  </si>
  <si>
    <t>CTR_1135</t>
  </si>
  <si>
    <t>Bda-Mankon-Palace-IHS</t>
  </si>
  <si>
    <t>NRO_059</t>
  </si>
  <si>
    <t>Rd-Pt-Longkak</t>
  </si>
  <si>
    <t>CTR_449</t>
  </si>
  <si>
    <t>CTR_1108_Z_Mewoulo-III</t>
  </si>
  <si>
    <t>CTR_1108</t>
  </si>
  <si>
    <t>Akak-Nkozoa-MTN-IHS</t>
  </si>
  <si>
    <t>CTR_529</t>
  </si>
  <si>
    <t>Old-Airport-IHS</t>
  </si>
  <si>
    <t>LIT_122</t>
  </si>
  <si>
    <t>Nkoabang-II-IHS</t>
  </si>
  <si>
    <t>CTR_458</t>
  </si>
  <si>
    <t>CTR_1050_Z_Nouvelle-Route-Nkomo</t>
  </si>
  <si>
    <t>CTR_1050</t>
  </si>
  <si>
    <t>CTR_953_Z_Akak-II</t>
  </si>
  <si>
    <t>CTR_953</t>
  </si>
  <si>
    <t>NYOM-Camtel</t>
  </si>
  <si>
    <t>CTR_551</t>
  </si>
  <si>
    <t>Hopital-General</t>
  </si>
  <si>
    <t>LIT_248</t>
  </si>
  <si>
    <t>NRD_353_H_Carrefour-Bidzar</t>
  </si>
  <si>
    <t>NRD_353</t>
  </si>
  <si>
    <t>Dibamba-Camrail</t>
  </si>
  <si>
    <t>LIT_385</t>
  </si>
  <si>
    <t>Bambui-II</t>
  </si>
  <si>
    <t>NRO_140</t>
  </si>
  <si>
    <t>Tubah</t>
  </si>
  <si>
    <t>Ngd-Troua-Mala-II</t>
  </si>
  <si>
    <t>ADM_074</t>
  </si>
  <si>
    <t>Nkometou-II</t>
  </si>
  <si>
    <t>CTR_750</t>
  </si>
  <si>
    <t>Ayene</t>
  </si>
  <si>
    <t>CTR_651</t>
  </si>
  <si>
    <t>Santchou-IHS</t>
  </si>
  <si>
    <t>OST_140</t>
  </si>
  <si>
    <t>Ngd-Agence</t>
  </si>
  <si>
    <t>ADM_026</t>
  </si>
  <si>
    <t>OCM/Strategique</t>
  </si>
  <si>
    <t>{06-07-2026 cell huawei}: 01/06/2026 : Relance faite au HW SPMS || Feedback attendu
30/05/2026 : Relance faite au HW SPMS
15/05/2026 : Relance faite ce jour au HW SPMS
13/05/2026 : Check de toute la chaine antennaire en cours  || ETR 13H || RF Jumper MQ5 || Cde passee a HW SPMS || Feedback HW SPMS attendu
12/05/2026 : Fme sur Site || Intervention en cours || Remplacement RF Jumpers OK, mais pas de changement. VSWR toujours dispo || Suite des checks interrompus par la forte pluie dans la ville
11/05/2026 : Escalade faite au Rm || Feedback Rm attendu || EtA 16h
09/05/2026 :  Spare pas encore disponible a ngaoundere
08/05/2026 :  Spare pas disponible au whare house ngaoudere || Spare en cours d'expedition entre maroua pour ngaoundere ce jour
07/05/2026 : Fme sur site || Intervention en cours || Feedback Fme jumper faulty || Commande en cours
06/05/2026 : Besoin d'analyse BO RAN ||check and clean jumper port 1 RRU 81 || Fme active || ETA demain 07/05/2026        ;         {06-07-2026 cell huawei}: 01/06/2026 : Relance faite au HW SPMS || Feedback attendu
30/05/2026 : Relance faite au HW SPMS
15/05/2026 : Relance faite ce jour au HW SPMS
13/05/2026 : Check de toute la chaine antennaire en cours  || ETR 13H || RF Jumper MQ5 || Cde passee a HW SPMS || Feedback HW SPMS attendu
12/05/2026 : Fme sur Site || Intervention en cours || Remplacement RF Jumpers OK, mais pas de changement. VSWR toujours dispo || Suite des checks interrompus par la forte pluie dans la ville
11/05/2026 : Escalade faite au Rm || Feedback Rm attendu || EtA 16h
09/05/2026 :  Spare pas encore disponible a ngaoundere
08/05/2026 :  Spare pas disponible au whare house ngaoudere || Spare en cours d'expedition entre maroua pour ngaoundere ce jour
07/05/2026 : Fme sur site || Intervention en cours || Feedback Fme jumper faulty || Commande en cours
06/05/2026 : Besoin d'analyse BO RAN ||check and clean jumper port 1 RRU 81 || Fme active || ETA demain 07/05/2026</t>
  </si>
  <si>
    <t>01/06/2026 Relance faite au HW SPMS || Feedback attendu
30/05/2026 Relance faite au HW SPMS
15/05/2026 Relance faite ce jour au HW SPMS
13/05/2026 Check de toute la chaine antennaire en cours || ETR 13H || RF Jumper MQ5 || Cde passee a HW SPMS || Feedback HW SPMS attendu
12/05/2026 Fme sur Site || Intervention en cours || Remplacement RF Jumpers OK, mais pas de changement. VSWR toujours dispo || Suite des checks interrompus par la forte pluie dans la ville
11/05/2026 Escalade faite au Rm || Feedback Rm attendu || EtA 16h
09/05/2026 Spare pas encore disponible a ngaoundere
08/05/2026 Spare pas disponible au whare house ngaoudere || Spare en cours d'expedition entre maroua pour ngaoundere ce jour
07/05/2026 Fme sur site || Intervention en cours || Feedback Fme jumper faulty || Commande en cours
06/05/2026 Besoin d'analyse BO RAN || check and clean jumper port 1 RRU 81 || Fme active || ETA demain 07/05/2026 01/06/2026 Relance faite au HW SPMS || Feedback attendu
30/05/2026 Relance faite au HW SPMS
15/05/2026 Relance faite ce jour au HW SPMS
13/05/2026 Check de toute la chaine antennaire en cours || ETR 13H || RF Jumper MQ5 || Cde passee a HW SPMS || Feedback HW SPMS attendu
12/05/2026 Fme sur Site || Intervention en cours || Remplacement RF Jumpers OK, mais pas de changement. VSWR toujours dispo || Suite des checks interrompus par la forte pluie dans la ville
11/05/2026 Escalade faite au Rm || Feedback Rm attendu || EtA 16h
09/05/2026 Spare pas encore disponible a ngaoundere
08/05/2026 Spare pas disponible au whare house ngaoudere || Spare en cours d'expedition entre maroua pour ngaoundere ce jour
07/05/2026 Fme sur site || Intervention en cours || Feedback Fme jumper faulty || Commande en cours
06/05/2026 Besoin d'analyse BO RAN || check and clean jumper port 1 RRU 81 || Fme active || ETA demain 07/05/2026</t>
  </si>
  <si>
    <t>Stade-Abega</t>
  </si>
  <si>
    <t>CTR_274</t>
  </si>
  <si>
    <t>Logpom-Sodikombo</t>
  </si>
  <si>
    <t>LIT_275</t>
  </si>
  <si>
    <t>Ndogbong-Vallee</t>
  </si>
  <si>
    <t>LIT_264</t>
  </si>
  <si>
    <t>Odza-PK10</t>
  </si>
  <si>
    <t>CTR_330</t>
  </si>
  <si>
    <t>Nyabi</t>
  </si>
  <si>
    <t>EST_133</t>
  </si>
  <si>
    <t>Logbessou-II</t>
  </si>
  <si>
    <t>LIT_669</t>
  </si>
  <si>
    <t>Logpom-IHS</t>
  </si>
  <si>
    <t>LIT_376</t>
  </si>
  <si>
    <t>PK18-Crf-Lapaix</t>
  </si>
  <si>
    <t>LIT_731</t>
  </si>
  <si>
    <t>Logbessou-OCM</t>
  </si>
  <si>
    <t>LIT_680</t>
  </si>
  <si>
    <t>PK15</t>
  </si>
  <si>
    <t>LIT_271</t>
  </si>
  <si>
    <t>PK17-University-IHS</t>
  </si>
  <si>
    <t>LIT_234</t>
  </si>
  <si>
    <t>PK19</t>
  </si>
  <si>
    <t>LIT_584</t>
  </si>
  <si>
    <t>Bipindi-IHS</t>
  </si>
  <si>
    <t>SUD_040</t>
  </si>
  <si>
    <t>Solar-Gen-Hybrid</t>
  </si>
  <si>
    <t>Soa-Sofamac</t>
  </si>
  <si>
    <t>CTR_430</t>
  </si>
  <si>
    <t>OST_347_H_Bfsam-Baleng-Lycee</t>
  </si>
  <si>
    <t>OST_347</t>
  </si>
  <si>
    <t>Meiganga-Markt-MTN-IHS</t>
  </si>
  <si>
    <t>ADM_107</t>
  </si>
  <si>
    <t>Meiganga</t>
  </si>
  <si>
    <t>Franqueville</t>
  </si>
  <si>
    <t>LIT_596</t>
  </si>
  <si>
    <t>Kayo-Elie</t>
  </si>
  <si>
    <t>LIT_047</t>
  </si>
  <si>
    <t>PK13-II</t>
  </si>
  <si>
    <t>LIT_448</t>
  </si>
  <si>
    <t>Bomkoul</t>
  </si>
  <si>
    <t>LIT_392</t>
  </si>
  <si>
    <t>Laquintinie</t>
  </si>
  <si>
    <t>LIT_082</t>
  </si>
  <si>
    <t>Garoua-Kolbives-II</t>
  </si>
  <si>
    <t>NRD_141</t>
  </si>
  <si>
    <t>Ngona-II</t>
  </si>
  <si>
    <t>CTR_709</t>
  </si>
  <si>
    <t>Kumba-CCAS-IHS</t>
  </si>
  <si>
    <t>SUO_109</t>
  </si>
  <si>
    <t>Logpom-Kosovo</t>
  </si>
  <si>
    <t>LIT_276</t>
  </si>
  <si>
    <t>Logbessou-PK21-IHS</t>
  </si>
  <si>
    <t>LIT_235</t>
  </si>
  <si>
    <t>Diang-MTN</t>
  </si>
  <si>
    <t>EST_076</t>
  </si>
  <si>
    <t>Diang</t>
  </si>
  <si>
    <t>Messamena</t>
  </si>
  <si>
    <t>EST_046</t>
  </si>
  <si>
    <t>LIT_841_Z_PK12-BASSA-SODIKOMBO</t>
  </si>
  <si>
    <t>LIT_841</t>
  </si>
  <si>
    <t>Ebonji-IHS</t>
  </si>
  <si>
    <t>SUO_101</t>
  </si>
  <si>
    <t>Ebonji</t>
  </si>
  <si>
    <t>Akak-IHS</t>
  </si>
  <si>
    <t>CTR_513</t>
  </si>
  <si>
    <t>Nkolmesseng-Abom</t>
  </si>
  <si>
    <t>CTR_711</t>
  </si>
  <si>
    <t>Bda-Chinde</t>
  </si>
  <si>
    <t>NRO_227</t>
  </si>
  <si>
    <t>Nkolso-MTN-IHS</t>
  </si>
  <si>
    <t>CTR_471</t>
  </si>
  <si>
    <t>Ba-aba</t>
  </si>
  <si>
    <t>CTR_755</t>
  </si>
  <si>
    <t>LIMBE-MOTOWOH-MTN</t>
  </si>
  <si>
    <t>SUO_224</t>
  </si>
  <si>
    <t>Bfsam-Djeleng</t>
  </si>
  <si>
    <t>OST_016</t>
  </si>
  <si>
    <t>Foret-Bar-Mabanda-IHS</t>
  </si>
  <si>
    <t>LIT_360</t>
  </si>
  <si>
    <t>Makepe-III-MTN</t>
  </si>
  <si>
    <t>LIT_677</t>
  </si>
  <si>
    <t>Emombo-Tchad</t>
  </si>
  <si>
    <t>CTR_417</t>
  </si>
  <si>
    <t>Douggoy-Lopere-II</t>
  </si>
  <si>
    <t>EXN_217</t>
  </si>
  <si>
    <t>Sonara</t>
  </si>
  <si>
    <t>SUO_171</t>
  </si>
  <si>
    <t>Mfou-EPC-MTN-IHS</t>
  </si>
  <si>
    <t>CTR_464</t>
  </si>
  <si>
    <t>Hopital-Mbouo</t>
  </si>
  <si>
    <t>OST_296</t>
  </si>
  <si>
    <t>Maroua-Domayo-IHS</t>
  </si>
  <si>
    <t>EXN_241</t>
  </si>
  <si>
    <t>Bberi-Excellence</t>
  </si>
  <si>
    <t>LIT_645</t>
  </si>
  <si>
    <t>MENGUE-BIBEY-IHS</t>
  </si>
  <si>
    <t>CTR_870</t>
  </si>
  <si>
    <t>Hybrid Gen</t>
  </si>
  <si>
    <t>Mengue Bibey</t>
  </si>
  <si>
    <t>Nji-Camtel</t>
  </si>
  <si>
    <t>CTR_139</t>
  </si>
  <si>
    <t>Nji</t>
  </si>
  <si>
    <t>Ndandouck-IHS</t>
  </si>
  <si>
    <t>CTR_141</t>
  </si>
  <si>
    <t>Ndandouck</t>
  </si>
  <si>
    <t>Bonamoutongo-II</t>
  </si>
  <si>
    <t>LIT_610</t>
  </si>
  <si>
    <t>Minta</t>
  </si>
  <si>
    <t>CTR_233</t>
  </si>
  <si>
    <t>Nguelemendouka-FH</t>
  </si>
  <si>
    <t>EST_024</t>
  </si>
  <si>
    <t>Nguelemendouka</t>
  </si>
  <si>
    <t>Makepe-Crf-Conquete</t>
  </si>
  <si>
    <t>LIT_775</t>
  </si>
  <si>
    <t>Nguem-MTN</t>
  </si>
  <si>
    <t>EST_077</t>
  </si>
  <si>
    <t>Nguem</t>
  </si>
  <si>
    <t>Ndogbong-Seven</t>
  </si>
  <si>
    <t>LIT_652</t>
  </si>
  <si>
    <t>Ndogbong-Bifaka</t>
  </si>
  <si>
    <t>LIT_671</t>
  </si>
  <si>
    <t>Cinema-ABC</t>
  </si>
  <si>
    <t>LIT_061</t>
  </si>
  <si>
    <t>C-D-Palmiers-III</t>
  </si>
  <si>
    <t>LIT_168</t>
  </si>
  <si>
    <t>Makepe-AES</t>
  </si>
  <si>
    <t>LIT_357</t>
  </si>
  <si>
    <t>LIT_963_Z_Logbessou-Stade-Njoh</t>
  </si>
  <si>
    <t>LIT_963</t>
  </si>
  <si>
    <t>Meyo</t>
  </si>
  <si>
    <t>CTR_320</t>
  </si>
  <si>
    <t>SCDP-New</t>
  </si>
  <si>
    <t>LIT_739</t>
  </si>
  <si>
    <t>Logbessou-Sunshine-City</t>
  </si>
  <si>
    <t>LIT_638</t>
  </si>
  <si>
    <t>ADM_238_H_NGD-MARZA</t>
  </si>
  <si>
    <t>ADM_238</t>
  </si>
  <si>
    <t>Minkwele-II</t>
  </si>
  <si>
    <t>LIT_621</t>
  </si>
  <si>
    <t>Mekin-CAMTEL</t>
  </si>
  <si>
    <t>CTR_434</t>
  </si>
  <si>
    <t>Mekin</t>
  </si>
  <si>
    <t>Garoua-Mairie</t>
  </si>
  <si>
    <t>NRD_142</t>
  </si>
  <si>
    <t>Bikok</t>
  </si>
  <si>
    <t>CTR_260</t>
  </si>
  <si>
    <t>Bokito-MTN</t>
  </si>
  <si>
    <t>CTR_193</t>
  </si>
  <si>
    <t>Bokito</t>
  </si>
  <si>
    <t>Ekounou-II</t>
  </si>
  <si>
    <t>CTR_719</t>
  </si>
  <si>
    <t>Nkolangaa</t>
  </si>
  <si>
    <t>CTR_247</t>
  </si>
  <si>
    <t>Ngodi-Cimetiere</t>
  </si>
  <si>
    <t>LIT_411</t>
  </si>
  <si>
    <t>Ngodi</t>
  </si>
  <si>
    <t>LIT_294</t>
  </si>
  <si>
    <t>Emene-City</t>
  </si>
  <si>
    <t>LIT_384</t>
  </si>
  <si>
    <t>Bonangang</t>
  </si>
  <si>
    <t>LIT_358</t>
  </si>
  <si>
    <t>Etougebe-Lycee-MTN</t>
  </si>
  <si>
    <t>CTR_419</t>
  </si>
  <si>
    <t>Newb-Srce-Quartier</t>
  </si>
  <si>
    <t>LIT_095</t>
  </si>
  <si>
    <t>Boko-Hospital-IHS</t>
  </si>
  <si>
    <t>LIT_632</t>
  </si>
  <si>
    <t>Nyalla-Marche</t>
  </si>
  <si>
    <t>LIT_655</t>
  </si>
  <si>
    <t>LIT_838_Z_Logpom-Bagam</t>
  </si>
  <si>
    <t>LIT_838</t>
  </si>
  <si>
    <t>Maroua-Ouro-Bah-II-IHS</t>
  </si>
  <si>
    <t>EXN_184</t>
  </si>
  <si>
    <t>Logpom-Denver-City</t>
  </si>
  <si>
    <t>LIT_440</t>
  </si>
  <si>
    <t>Abang-MTN-IHS</t>
  </si>
  <si>
    <t>CTR_462</t>
  </si>
  <si>
    <t>NRD_259_H_GUIDER-KOLLAS</t>
  </si>
  <si>
    <t>NRD_259</t>
  </si>
  <si>
    <t>Bsadi-IPPB-Santa-Lucia</t>
  </si>
  <si>
    <t>LIT_686</t>
  </si>
  <si>
    <t>Laquintinie-Camtel</t>
  </si>
  <si>
    <t>LIT_644</t>
  </si>
  <si>
    <t>Limbe-Bimbia-CRTV</t>
  </si>
  <si>
    <t>SUO_081</t>
  </si>
  <si>
    <t>Bad Grid solar + SE</t>
  </si>
  <si>
    <t>{06-07-2026 cell huawei}: 07/06/2026 : Escalade faite au RM || Feedback attendu
05/06/2026 : Intervention ce jour ETA 12h || Feedback Fme : Jumpers faulty || Commande en cours
03/06/2026 : Besoin d'analyse BO RAN || check and clean jumper port 0, 1 ,2 ,3 of RRU 60  || Fme active || Intervention prevue our demain 05/06/2026        ;         {06-07-2026 cell huawei}: 07/06/2026 : Escalade faite au RM || Feedback attendu
05/06/2026 : Intervention ce jour ETA 12h || Feedback Fme : Jumpers faulty || Commande en cours
03/06/2026 : Besoin d'analyse BO RAN || check and clean jumper port 0, 1 ,2 ,3 of RRU 60  || Fme active || Intervention prevue our demain 05/06/2026</t>
  </si>
  <si>
    <t>07/06/2026 Escalade faite au RM || Feedback attendu
05/06/2026 Intervention ce jour ETA 12h || Feedback Fme Jumpers faulty || Commande en cours
03/06/2026 Besoin d'analyse BO RAN || check and clean jumper port 0, 1 ,2 ,3 of RRU 60 || Fme active || Intervention prevue our demain 05/06/2026 07/06/2026 Escalade faite au RM || Feedback attendu
05/06/2026 Intervention ce jour ETA 12h || Feedback Fme Jumpers faulty || Commande en cours
03/06/2026 Besoin d'analyse BO RAN || check and clean jumper port 0, 1 ,2 ,3 of RRU 60 || Fme active || Intervention prevue our demain 05/06/2026</t>
  </si>
  <si>
    <t>Andom</t>
  </si>
  <si>
    <t>EST_150</t>
  </si>
  <si>
    <t>Bilongue</t>
  </si>
  <si>
    <t>LIT_425</t>
  </si>
  <si>
    <t>PK14-Market-IHS</t>
  </si>
  <si>
    <t>LIT_578</t>
  </si>
  <si>
    <t>Nkolondom</t>
  </si>
  <si>
    <t>CTR_248</t>
  </si>
  <si>
    <t>Foumbot-Ndoumbem</t>
  </si>
  <si>
    <t>OST_228</t>
  </si>
  <si>
    <t>Mandjou-MTN-IHS</t>
  </si>
  <si>
    <t>EST_112</t>
  </si>
  <si>
    <t>Maroua-Loperey-II-IHS</t>
  </si>
  <si>
    <t>EXN_146</t>
  </si>
  <si>
    <t>Limbe-Federal-Qter</t>
  </si>
  <si>
    <t>SUO_065</t>
  </si>
  <si>
    <t>Limbe-Bota-IHS</t>
  </si>
  <si>
    <t>SUO_207</t>
  </si>
  <si>
    <t>ADM_228_H_Ngaoundere-Djalingo</t>
  </si>
  <si>
    <t>ADM_228</t>
  </si>
  <si>
    <t>Afanoya-MTN-IHS</t>
  </si>
  <si>
    <t>CTR_463</t>
  </si>
  <si>
    <t>Afanoya</t>
  </si>
  <si>
    <t>Koweit-City-II-HIS</t>
  </si>
  <si>
    <t>CTR_604</t>
  </si>
  <si>
    <t>Ebolowa-Angale</t>
  </si>
  <si>
    <t>SUD_264</t>
  </si>
  <si>
    <t>Nkolfoulou-I</t>
  </si>
  <si>
    <t>CTR_671</t>
  </si>
  <si>
    <t>Eloumdem</t>
  </si>
  <si>
    <t>CTR_630</t>
  </si>
  <si>
    <t>Ebogo</t>
  </si>
  <si>
    <t>CTR_313</t>
  </si>
  <si>
    <t>Nkong</t>
  </si>
  <si>
    <t>LIT_021</t>
  </si>
  <si>
    <t>BOVA-II-IHS</t>
  </si>
  <si>
    <t>SUO_221</t>
  </si>
  <si>
    <t>LIMBE-ALPHA-CLUB-TOWE-IHS</t>
  </si>
  <si>
    <t>SUO_208</t>
  </si>
  <si>
    <t>Limbe-Kie</t>
  </si>
  <si>
    <t>SUO_002</t>
  </si>
  <si>
    <t>CTR_939_Z_Mehanda-IV</t>
  </si>
  <si>
    <t>CTR_939</t>
  </si>
  <si>
    <t>Good Grid Solar + GE</t>
  </si>
  <si>
    <t>Nkolafamba</t>
  </si>
  <si>
    <t>Ayene-II</t>
  </si>
  <si>
    <t>CTR_791</t>
  </si>
  <si>
    <t>Darassalam-IHS</t>
  </si>
  <si>
    <t>ADM_153</t>
  </si>
  <si>
    <t>Darra Salam</t>
  </si>
  <si>
    <t>ADM_237_H_NGD-MAIRIE-II</t>
  </si>
  <si>
    <t>ADM_237</t>
  </si>
  <si>
    <t>Bonaberi-Magzi-IHS</t>
  </si>
  <si>
    <t>LIT_738</t>
  </si>
  <si>
    <t>Ekounou-Lycee-MTN</t>
  </si>
  <si>
    <t>CTR_726</t>
  </si>
  <si>
    <t>Pain-Magique</t>
  </si>
  <si>
    <t>LIT_381</t>
  </si>
  <si>
    <t>Ekie-Sud-IHS</t>
  </si>
  <si>
    <t>CTR_647</t>
  </si>
  <si>
    <t>Ngom</t>
  </si>
  <si>
    <t>SUD_115</t>
  </si>
  <si>
    <t>Kumba-Makata-IHS</t>
  </si>
  <si>
    <t>SUO_111</t>
  </si>
  <si>
    <t>Nkongmondo</t>
  </si>
  <si>
    <t>LIT_091</t>
  </si>
  <si>
    <t>CNPS-Indoor</t>
  </si>
  <si>
    <t>LIT_708</t>
  </si>
  <si>
    <t>Zouvoul-IHS</t>
  </si>
  <si>
    <t>EXN_172</t>
  </si>
  <si>
    <t>Zouvoul</t>
  </si>
  <si>
    <t>Maroua-Diguirwo-II</t>
  </si>
  <si>
    <t>EXN_196</t>
  </si>
  <si>
    <t>Nkolagaa-II</t>
  </si>
  <si>
    <t>CTR_670</t>
  </si>
  <si>
    <t>Mendong-IV-MTN</t>
  </si>
  <si>
    <t>CTR_746</t>
  </si>
  <si>
    <t>Nkolmessing-Abom-II</t>
  </si>
  <si>
    <t>CTR_875</t>
  </si>
  <si>
    <t>Ebolmadzom</t>
  </si>
  <si>
    <t>Gra-Foulbere-Moussa-yaya</t>
  </si>
  <si>
    <t>NRD_101</t>
  </si>
  <si>
    <t>Nkoulou-II</t>
  </si>
  <si>
    <t>CTR_777</t>
  </si>
  <si>
    <t>Limbe-New-Town-IHS</t>
  </si>
  <si>
    <t>SUO_187</t>
  </si>
  <si>
    <t>Leboudi</t>
  </si>
  <si>
    <t>CTR_593</t>
  </si>
  <si>
    <t>Garoua-Plage</t>
  </si>
  <si>
    <t>NRD_053</t>
  </si>
  <si>
    <t>Ebogo-II</t>
  </si>
  <si>
    <t>CTR_867</t>
  </si>
  <si>
    <t>Baaba-II</t>
  </si>
  <si>
    <t>CTR_879</t>
  </si>
  <si>
    <t>Baaba</t>
  </si>
  <si>
    <t>Nkong-CRTV</t>
  </si>
  <si>
    <t>LIT_116</t>
  </si>
  <si>
    <t>Padarme-IHS</t>
  </si>
  <si>
    <t>NRD_164</t>
  </si>
  <si>
    <t>Padarme</t>
  </si>
  <si>
    <t>PK11-Mbengue-City</t>
  </si>
  <si>
    <t>LIT_261</t>
  </si>
  <si>
    <t>Limbe-Legend-Inn</t>
  </si>
  <si>
    <t>SUO_233</t>
  </si>
  <si>
    <t>{06-07-2026 cell huawei}: 07/06/2026 : Escalade faite au RM || feedback attendu
05/06/2026 : access issue
03/06/2026 : Besoin d'analyse BO RAN || FME should check and clean jumper port (5,6,7,8) of RRU 81 || Fme active || ETA demain        ;         {06-07-2026 cell huawei}: 07/06/2026 : Escalade faite au RM || feedback attendu
05/06/2026 : access issue
03/06/2026 : Besoin d'analyse BO RAN || FME should check and clean jumper port (5,6,7,8) of RRU 81 || Fme active || ETA demain</t>
  </si>
  <si>
    <t>07/06/2026 Escalade faite au RM || feedback attendu
05/06/2026 access issue
03/06/2026 Besoin d'analyse BO RAN || FME should check and clean jumper port (5,6,7,8) of RRU 81 || Fme active || ETA demain 07/06/2026 Escalade faite au RM || feedback attendu
05/06/2026 access issue
03/06/2026 Besoin d'analyse BO RAN || FME should check and clean jumper port (5,6,7,8) of RRU 81 || Fme active || ETA demain</t>
  </si>
  <si>
    <t>Loum-Nkombi-II-IHS</t>
  </si>
  <si>
    <t>LIT_520</t>
  </si>
  <si>
    <t>Foumban-Kounga-II</t>
  </si>
  <si>
    <t>OST_233</t>
  </si>
  <si>
    <t>Minkan-Nord-IHS</t>
  </si>
  <si>
    <t>CTR_646</t>
  </si>
  <si>
    <t>CTR_922_Z_Ekong</t>
  </si>
  <si>
    <t>CTR_922</t>
  </si>
  <si>
    <t>LIT_110</t>
  </si>
  <si>
    <t>Shell-NewBell-Carrefour</t>
  </si>
  <si>
    <t>LIT_407</t>
  </si>
  <si>
    <t>LAF-CAMTEL</t>
  </si>
  <si>
    <t>EXN_107</t>
  </si>
  <si>
    <t>Laf</t>
  </si>
  <si>
    <t>Ndobo-Rail</t>
  </si>
  <si>
    <t>LIT_260</t>
  </si>
  <si>
    <t>Tradex-Simbock-MTN</t>
  </si>
  <si>
    <t>CTR_851</t>
  </si>
  <si>
    <t>Ngd-Maraba-MTN</t>
  </si>
  <si>
    <t>ADM_167</t>
  </si>
  <si>
    <t>KRIBI-NDOMBE-II</t>
  </si>
  <si>
    <t>SUD_096</t>
  </si>
  <si>
    <t>Limbe-College-Excellence-IHS</t>
  </si>
  <si>
    <t>SUO_151</t>
  </si>
  <si>
    <t>Ke-Eke-MTN</t>
  </si>
  <si>
    <t>SUD_255</t>
  </si>
  <si>
    <t>Ke-Eke</t>
  </si>
  <si>
    <t>NRD_265_H_NGONG-LAKARE</t>
  </si>
  <si>
    <t>NRD_265</t>
  </si>
  <si>
    <t>Micro_SNH</t>
  </si>
  <si>
    <t>CTR_843</t>
  </si>
  <si>
    <t>CTR_973_Z_Nkoabang-Ebolmedjock-IHS</t>
  </si>
  <si>
    <t>CTR_973</t>
  </si>
  <si>
    <t>Elobi-Mokolo-MTN-IHS</t>
  </si>
  <si>
    <t>CTR_470</t>
  </si>
  <si>
    <t>Kotto-Mbangue</t>
  </si>
  <si>
    <t>LIT_202</t>
  </si>
  <si>
    <t>Maroua-Massalare</t>
  </si>
  <si>
    <t>EXN_087</t>
  </si>
  <si>
    <t>Touboro-Ville</t>
  </si>
  <si>
    <t>NRD_137</t>
  </si>
  <si>
    <t>Touboro</t>
  </si>
  <si>
    <t>BAMENDA-MILE4-IHS</t>
  </si>
  <si>
    <t>NRO_117</t>
  </si>
  <si>
    <t>Maroua-Diguirwo-IHS</t>
  </si>
  <si>
    <t>EXN_114</t>
  </si>
  <si>
    <t>Kribi-Mpala</t>
  </si>
  <si>
    <t>SUD_053</t>
  </si>
  <si>
    <t>Bipaga</t>
  </si>
  <si>
    <t>SUD_001</t>
  </si>
  <si>
    <t>Mpoloungoue</t>
  </si>
  <si>
    <t>SUD_021</t>
  </si>
  <si>
    <t>Kribi-LONDJI</t>
  </si>
  <si>
    <t>SUD_079</t>
  </si>
  <si>
    <t>Kye-Ossi-MTN-IHS</t>
  </si>
  <si>
    <t>SUD_026</t>
  </si>
  <si>
    <t>Nkwein-Ntambang</t>
  </si>
  <si>
    <t>NRO_222</t>
  </si>
  <si>
    <t>Maroua-Lougol</t>
  </si>
  <si>
    <t>EXN_084</t>
  </si>
  <si>
    <t>Nkoabang-South-MTN</t>
  </si>
  <si>
    <t>CTR_698</t>
  </si>
  <si>
    <t>Simbock-Chefferie-MTN</t>
  </si>
  <si>
    <t>CTR_836</t>
  </si>
  <si>
    <t>Manmenye</t>
  </si>
  <si>
    <t>CTR_117</t>
  </si>
  <si>
    <t>{06-07-2026 cell zte}: 01/06/2026 : New site        ;         {06-07-2026 cell zte}: 01/06/2026 : New site</t>
  </si>
  <si>
    <t>01/06/2026 New site 01/06/2026 New site</t>
  </si>
  <si>
    <t>Nyalla-Crf-Mpome</t>
  </si>
  <si>
    <t>LIT_445</t>
  </si>
  <si>
    <t>Ossombe-MTN</t>
  </si>
  <si>
    <t>CTR_405</t>
  </si>
  <si>
    <t>Ossombe</t>
  </si>
  <si>
    <t>Mulang-IHS</t>
  </si>
  <si>
    <t>NRO_120</t>
  </si>
  <si>
    <t>Mefou-Assi-IHS</t>
  </si>
  <si>
    <t>CTR_642</t>
  </si>
  <si>
    <t>Bamenda-GTTC-IHS</t>
  </si>
  <si>
    <t>NRO_063</t>
  </si>
  <si>
    <t>Maroua-Douggoy</t>
  </si>
  <si>
    <t>EXN_016</t>
  </si>
  <si>
    <t>Nkong-C-Fultang</t>
  </si>
  <si>
    <t>LIT_353</t>
  </si>
  <si>
    <t>CBC-Radio-II</t>
  </si>
  <si>
    <t>CTR_821</t>
  </si>
  <si>
    <t>Bertoua-Bindia-IHS</t>
  </si>
  <si>
    <t>EST_127</t>
  </si>
  <si>
    <t>Buea-Kouma-IHS</t>
  </si>
  <si>
    <t>SUO_215</t>
  </si>
  <si>
    <t>Ngd-Beka</t>
  </si>
  <si>
    <t>ADM_180</t>
  </si>
  <si>
    <t>Medium Grid solar + GE</t>
  </si>
  <si>
    <t>Mayo-Djinga-FH</t>
  </si>
  <si>
    <t>OST_093</t>
  </si>
  <si>
    <t>Mayo-Djinga</t>
  </si>
  <si>
    <t>Pangari-MTN</t>
  </si>
  <si>
    <t>OST_115</t>
  </si>
  <si>
    <t>Pangari</t>
  </si>
  <si>
    <t>Japoma-Village</t>
  </si>
  <si>
    <t>LIT_254</t>
  </si>
  <si>
    <t>Kiiki</t>
  </si>
  <si>
    <t>CTR_190</t>
  </si>
  <si>
    <t xml:space="preserve">{06-07-2026 cell nokia}: 
07/062026: Closed 
06/06/2026 : Need BO RAN analysis         ;         {06-07-2026 cell nokia}: 
07/062026: Closed 
06/06/2026 : Need BO RAN analysis </t>
  </si>
  <si>
    <t>07/062026 Closed
06/06/2026 Need BO RAN analysis 07/062026 Closed
06/06/2026 Need BO RAN analysis</t>
  </si>
  <si>
    <t>Bertoua-Meteo</t>
  </si>
  <si>
    <t>EST_107</t>
  </si>
  <si>
    <t>Sofavinc</t>
  </si>
  <si>
    <t>CTR_261</t>
  </si>
  <si>
    <t>Nguibassal</t>
  </si>
  <si>
    <t>CTR_858</t>
  </si>
  <si>
    <t>Melen-Baaba</t>
  </si>
  <si>
    <t>CTR_594</t>
  </si>
  <si>
    <t>Ba'aba</t>
  </si>
  <si>
    <t>PK12-Marche</t>
  </si>
  <si>
    <t>LIT_249</t>
  </si>
  <si>
    <t>Nsimalene-Yemwak</t>
  </si>
  <si>
    <t>SUD_122</t>
  </si>
  <si>
    <t>{06-07-2026 cell zte}: 11/05/2026: En attente du support de Camusat 
09/05/2026 : Intervention prevu pour ce jour || Relance faite a Camusat  
07/05/2026 : Fedback Camusat : La difficulté réside dans le fait que nous n’avons pas encore trouvé un expert dans la zone pour le retrait de ces abeilles.Nous sommes actuellement en train de chercher hors de ce périmètre et nous pourrons vous faire un retour au plutard Samedi 09/05/2026.
06/05/2026 : Point escalader a Chief Theophile pour support 
06/05/2026 : Relance faite hier a Camusat 
04/05/2026 : En attente du support de Camusat 
02/05/2026 : En attente du suuport de Camusat
28/04/2026 : Relance faite a camusat ce jour
27/04/2026 : Retour camusat attendu
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        ;         {06-07-2026 cell zte}: 11/05/2026: En attente du support de Camusat 
09/05/2026 : Intervention prevu pour ce jour || Relance faite a Camusat  
07/05/2026 : Fedback Camusat : La difficulté réside dans le fait que nous n’avons pas encore trouvé un expert dans la zone pour le retrait de ces abeilles.Nous sommes actuellement en train de chercher hors de ce périmètre et nous pourrons vous faire un retour au plutard Samedi 09/05/2026.
06/05/2026 : Point escalader a Chief Theophile pour support 
06/05/2026 : Relance faite hier a Camusat 
04/05/2026 : En attente du support de Camusat 
02/05/2026 : En attente du suuport de Camusat
28/04/2026 : Relance faite a camusat ce jour
27/04/2026 : Retour camusat attendu
23/04/2026 : Relance faite a camusat ce jour
22/04/2026 : Feedback camusat attendu
21/04/2026 : Le RM a partage les evidences des guepes sur Nsimalene || Mail  envoye a camusat pour support
20/04/2026 : Fme actuellement sur esambout pour remplacement de la fibre et sera sur Nsimalene dans l'apres midi ETA 15h || Feedback Fme : Presence des gepes sur le site 
19/04/2026 : Check and clean RRU 51,52 
18/04/2026 : Site down</t>
  </si>
  <si>
    <t>11/05/2026 En attente du support de Camusat
09/05/2026 Intervention prevu pour ce jour || Relance faite a Camusat
07/05/2026 Fedback Camusat La difficulté réside dans le fait que nous n’avons pas encore trouvé un expert dans la zone pour le retrait de ces abeilles.Nous sommes actuellement en train de chercher hors de ce périmètre et nous pourrons vous faire un retour au plutard Samedi 09/05/2026.
06/05/2026 Point escalader a Chief Theophile pour support
06/05/2026 Relance faite hier a Camusat
04/05/2026 En attente du support de Camusat
02/05/2026 En attente du suuport de Camusat
28/04/2026 Relance faite a camusat ce jour
27/04/2026 Retour camusat attendu
23/04/2026 Relance faite a camusat ce jour
22/04/2026 Feedback camusat attendu
21/04/2026 Le RM a partage les evidences des guepes sur Nsimalene || Mail envoye a camusat pour support
20/04/2026 Fme actuellement sur esambout pour remplacement de la fibre et sera sur Nsimalene dans l'apres midi ETA 15h || Feedback Fme Presence des gepes sur le site
19/04/2026 Check and clean RRU 51,52
18/04/2026 Site down 11/05/2026 En attente du support de Camusat
09/05/2026 Intervention prevu pour ce jour || Relance faite a Camusat
07/05/2026 Fedback Camusat La difficulté réside dans le fait que nous n’avons pas encore trouvé un expert dans la zone pour le retrait de ces abeilles.Nous sommes actuellement en train de chercher hors de ce périmètre et nous pourrons vous faire un retour au plutard Samedi 09/05/2026.
06/05/2026 Point escalader a Chief Theophile pour support
06/05/2026 Relance faite hier a Camusat
04/05/2026 En attente du support de Camusat
02/05/2026 En attente du suuport de Camusat
28/04/2026 Relance faite a camusat ce jour
27/04/2026 Retour camusat attendu
23/04/2026 Relance faite a camusat ce jour
22/04/2026 Feedback camusat attendu
21/04/2026 Le RM a partage les evidences des guepes sur Nsimalene || Mail envoye a camusat pour support
20/04/2026 Fme actuellement sur esambout pour remplacement de la fibre et sera sur Nsimalene dans l'apres midi ETA 15h || Feedback Fme Presence des gepes sur le site
19/04/2026 Check and clean RRU 51,52
18/04/2026 Site down</t>
  </si>
  <si>
    <t>Bfsam-Leproserie-IHS</t>
  </si>
  <si>
    <t>OST_166</t>
  </si>
  <si>
    <t>Tho-II</t>
  </si>
  <si>
    <t>SUD_164</t>
  </si>
  <si>
    <t>Tcheboa-MTN-IHS</t>
  </si>
  <si>
    <t>NRD_025</t>
  </si>
  <si>
    <t>Lengom-IHS</t>
  </si>
  <si>
    <t>CTR_533</t>
  </si>
  <si>
    <t>Bodjongo-IHS</t>
  </si>
  <si>
    <t>LIT_123</t>
  </si>
  <si>
    <t>CTR_1093_Z_Oyomabang-Village-Nkolafeme</t>
  </si>
  <si>
    <t>CTR_1093</t>
  </si>
  <si>
    <t>Ambam-FH</t>
  </si>
  <si>
    <t>SUD_020</t>
  </si>
  <si>
    <t>CTR_1042_Z_Nsimeyong-Terre-Rouge-IHS</t>
  </si>
  <si>
    <t>CTR_1042</t>
  </si>
  <si>
    <t>ADM_231_H_NGD-ONAREF-XII-BALL</t>
  </si>
  <si>
    <t>ADM_231</t>
  </si>
  <si>
    <t>Bondjo-Hill-IHS</t>
  </si>
  <si>
    <t>SUO_167</t>
  </si>
  <si>
    <t>Badongoue-MTN-IHS</t>
  </si>
  <si>
    <t>EST_089</t>
  </si>
  <si>
    <t>Badongoue</t>
  </si>
  <si>
    <t>Mbankomo-Okoa-Maria</t>
  </si>
  <si>
    <t>CTR_541</t>
  </si>
  <si>
    <t>LIT_837_Z_Yassa-Hotel-Midi</t>
  </si>
  <si>
    <t>LIT_837</t>
  </si>
  <si>
    <t>Damas</t>
  </si>
  <si>
    <t>CTR_074</t>
  </si>
  <si>
    <t>Bodjongo </t>
  </si>
  <si>
    <t>LIT_690</t>
  </si>
  <si>
    <t>Zamengoue</t>
  </si>
  <si>
    <t>CTR_100</t>
  </si>
  <si>
    <t>Towe-South-IHS</t>
  </si>
  <si>
    <t>SUO_193</t>
  </si>
  <si>
    <t>PK10-Plateau</t>
  </si>
  <si>
    <t>LIT_223</t>
  </si>
  <si>
    <t>Garoua-Boulai-Frontiere</t>
  </si>
  <si>
    <t>EST_080</t>
  </si>
  <si>
    <t>Garoua-Boulai</t>
  </si>
  <si>
    <t>PK10-Genie-Militaire</t>
  </si>
  <si>
    <t>LIT_447</t>
  </si>
  <si>
    <t>EST_200_Z_Batouri-Qtier-Admin-MTN-IHS</t>
  </si>
  <si>
    <t>EST_200</t>
  </si>
  <si>
    <t>Boko-Douala-II-IHS</t>
  </si>
  <si>
    <t>LIT_575</t>
  </si>
  <si>
    <t>EST_005</t>
  </si>
  <si>
    <t>SONGKOLONG-IHS</t>
  </si>
  <si>
    <t>NRO_094</t>
  </si>
  <si>
    <t>Songkolong</t>
  </si>
  <si>
    <t>Sabongari-NRO</t>
  </si>
  <si>
    <t>NRO_230</t>
  </si>
  <si>
    <t>Sabongari</t>
  </si>
  <si>
    <t>CTN</t>
  </si>
  <si>
    <t>LIT_003</t>
  </si>
  <si>
    <t>Good Grid 100%</t>
  </si>
  <si>
    <t>Ndokoa-IHS</t>
  </si>
  <si>
    <t>CTR_757</t>
  </si>
  <si>
    <t>Ndokoa</t>
  </si>
  <si>
    <t>Talba</t>
  </si>
  <si>
    <t>CTR_206</t>
  </si>
  <si>
    <t>Ndpssi-Vallee-de-la-Paix</t>
  </si>
  <si>
    <t>LIT_554</t>
  </si>
  <si>
    <t>Doumofe-MTN</t>
  </si>
  <si>
    <t>OST_116</t>
  </si>
  <si>
    <t>Doumofe</t>
  </si>
  <si>
    <t>Taete-MTN-IHS</t>
  </si>
  <si>
    <t>CTR_184</t>
  </si>
  <si>
    <t>Taete</t>
  </si>
  <si>
    <t>Makepe-Maturite</t>
  </si>
  <si>
    <t>LIT_401</t>
  </si>
  <si>
    <t>PK10-Bassang</t>
  </si>
  <si>
    <t>LIT_452</t>
  </si>
  <si>
    <t>Nkong-8Bis-MTN</t>
  </si>
  <si>
    <t>LIT_288</t>
  </si>
  <si>
    <t>Buea-UB-Lamp-IHS</t>
  </si>
  <si>
    <t>SUO_200</t>
  </si>
  <si>
    <t>Ndogbong-IUT</t>
  </si>
  <si>
    <t>LIT_221</t>
  </si>
  <si>
    <t>Mvoundou-Ngoke-MTN-IHS</t>
  </si>
  <si>
    <t>CTR_183</t>
  </si>
  <si>
    <t>Mvoundou-Ngoke</t>
  </si>
  <si>
    <t>Ndogpassi-Pays-Bas-IHS</t>
  </si>
  <si>
    <t>LIT_634</t>
  </si>
  <si>
    <t>Afambassi-MTN</t>
  </si>
  <si>
    <t>CTR_365</t>
  </si>
  <si>
    <t>Afambassi</t>
  </si>
  <si>
    <t>Nkolmekong-YDE-HIS</t>
  </si>
  <si>
    <t>CTR_523</t>
  </si>
  <si>
    <t>Garoua-Boulai-Sabal-IHS</t>
  </si>
  <si>
    <t>EST_156</t>
  </si>
  <si>
    <t>Mbong</t>
  </si>
  <si>
    <t>ADM_042</t>
  </si>
  <si>
    <t>Deuk</t>
  </si>
  <si>
    <t>CTR_277</t>
  </si>
  <si>
    <t>EXN_355_H_Maroua-Hedjere-Miskine</t>
  </si>
  <si>
    <t>EXN_355</t>
  </si>
  <si>
    <t>PK9</t>
  </si>
  <si>
    <t>LIT_370</t>
  </si>
  <si>
    <t>BAMENDA-MENTEH-IHS</t>
  </si>
  <si>
    <t>NRO_148</t>
  </si>
  <si>
    <t>Nkomedzap-Camtel</t>
  </si>
  <si>
    <t>SUD_088</t>
  </si>
  <si>
    <t>Nkomedzap</t>
  </si>
  <si>
    <t>Ndogp-Lycee</t>
  </si>
  <si>
    <t>LIT_038</t>
  </si>
  <si>
    <t>PK11</t>
  </si>
  <si>
    <t>LIT_128</t>
  </si>
  <si>
    <t>Ngo-Njo</t>
  </si>
  <si>
    <t>LIT_441</t>
  </si>
  <si>
    <t>Nkolafeme</t>
  </si>
  <si>
    <t>CTR_246</t>
  </si>
  <si>
    <t>BISSIANG-Kribi</t>
  </si>
  <si>
    <t>SUD_128</t>
  </si>
  <si>
    <t>BISSIANG</t>
  </si>
  <si>
    <t>LIT_948_Z_Beedi-Plateau</t>
  </si>
  <si>
    <t>LIT_948</t>
  </si>
  <si>
    <t>Mokolo</t>
  </si>
  <si>
    <t>EXN_012</t>
  </si>
  <si>
    <t>Logbaba-CAMTEL</t>
  </si>
  <si>
    <t>LIT_253</t>
  </si>
  <si>
    <t>Awae-Yde</t>
  </si>
  <si>
    <t>CTR_236</t>
  </si>
  <si>
    <t>Lobo</t>
  </si>
  <si>
    <t>CTR_227</t>
  </si>
  <si>
    <t>Buea-Dirty-South-HIS</t>
  </si>
  <si>
    <t>SUO_260</t>
  </si>
  <si>
    <t>Montee-Jouvence-II-IHS</t>
  </si>
  <si>
    <t>CTR_154</t>
  </si>
  <si>
    <t>Safacam</t>
  </si>
  <si>
    <t>LIT_040</t>
  </si>
  <si>
    <t xml:space="preserve">{06-07-2026 cell zte}: 06/06/2026 : RI envoyer a ZTE || ZTE a demander certains check avant le remplacement de RRU || ETA : 08/06/2026  
05/06/2026 : Faulty  RRUs  reported  by  FME ; find  IR attached
04/06/2026 : FME Yannick Mbah  will be on site this afternoon
01/06/2026 : Point au niveau de ZTE || Check en cours 
26/05/2026 : R.I recu investiguatIon en cours par le BO RAN || Le fme ne detacte aucune alarme sur le site 
23/05/2026 : En attente du RI 
21/05/2026 : FME sur le site de EBOMBE || Intervention apres ebombe || ETA : 14H || Intervention en cours || Check en cours avec le BO 
20/05/2026 : Intervention ce jour apres Edea bonandi  
19/05/2026 : FME fera le site de Mouanko aujoud'hui || Intervention apresle site de  Mouanko
18/05/2026 FME activer mais il est sur le site de Dizangue il fera une investiguation apres le site  de Dizangue 
        ;         {06-07-2026 cell zte}: 06/06/2026 : RI envoyer a ZTE || ZTE a demander certains check avant le remplacement de RRU || ETA : 08/06/2026  
05/06/2026 : Faulty  RRUs  reported  by  FME ; find  IR attached
04/06/2026 : FME Yannick Mbah  will be on site this afternoon
01/06/2026 : Point au niveau de ZTE || Check en cours 
26/05/2026 : R.I recu investiguatIon en cours par le BO RAN || Le fme ne detacte aucune alarme sur le site 
23/05/2026 : En attente du RI 
21/05/2026 : FME sur le site de EBOMBE || Intervention apres ebombe || ETA : 14H || Intervention en cours || Check en cours avec le BO 
20/05/2026 : Intervention ce jour apres Edea bonandi  
19/05/2026 : FME fera le site de Mouanko aujoud'hui || Intervention apresle site de  Mouanko
18/05/2026 FME activer mais il est sur le site de Dizangue il fera une investiguation apres le site  de Dizangue 
</t>
  </si>
  <si>
    <t>06/06/2026 RI envoyer a ZTE || ZTE a demander certains check avant le remplacement de RRU || ETA 08/06/2026
05/06/2026 Faulty RRUs reported by FME find IR attached
04/06/2026 FME Yannick Mbah will be on site this afternoon
01/06/2026 Point au niveau de ZTE || Check en cours
26/05/2026 R.I recu investiguatIon en cours par le BO RAN || Le fme ne detacte aucune alarme sur le site
23/05/2026 En attente du RI
21/05/2026 FME sur le site de EBOMBE || Intervention apres ebombe || ETA 14H || Intervention en cours || Check en cours avec le BO
20/05/2026 Intervention ce jour apres Edea bonandi
19/05/2026 FME fera le site de Mouanko aujoud'hui || Intervention apresle site de Mouanko
18/05/2026 FME activer mais il est sur le site de Dizangue il fera une investiguation apres le site de Dizangue
06/06/2026 RI envoyer a ZTE || ZTE a demander certains check avant le remplacement de RRU || ETA 08/06/2026
05/06/2026 Faulty RRUs reported by FME find IR attached
04/06/2026 FME Yannick Mbah will be on site this afternoon
01/06/2026 Point au niveau de ZTE || Check en cours
26/05/2026 R.I recu investiguatIon en cours par le BO RAN || Le fme ne detacte aucune alarme sur le site
23/05/2026 En attente du RI
21/05/2026 FME sur le site de EBOMBE || Intervention apres ebombe || ETA 14H || Intervention en cours || Check en cours avec le BO
20/05/2026 Intervention ce jour apres Edea bonandi
19/05/2026 FME fera le site de Mouanko aujoud'hui || Intervention apresle site de Mouanko
18/05/2026 FME activer mais il est sur le site de Dizangue il fera une investiguation apres le site de Dizangue</t>
  </si>
  <si>
    <t>Ngd-Mbiassoro</t>
  </si>
  <si>
    <t>ADM_166</t>
  </si>
  <si>
    <t>Buea-Service-Center-IHS</t>
  </si>
  <si>
    <t>SUO_182</t>
  </si>
  <si>
    <t>Scalom-EHS-IHS</t>
  </si>
  <si>
    <t>CTR_155</t>
  </si>
  <si>
    <t>Av-Germaine</t>
  </si>
  <si>
    <t>CTR_090</t>
  </si>
  <si>
    <t>Muyengue-Bafia-IHS</t>
  </si>
  <si>
    <t>LIT_176</t>
  </si>
  <si>
    <t>Ngoro</t>
  </si>
  <si>
    <t>CTR_278</t>
  </si>
  <si>
    <t>SolarAER-Gen-Lithium</t>
  </si>
  <si>
    <t>Bertoua-Meteo-II</t>
  </si>
  <si>
    <t>EST_124</t>
  </si>
  <si>
    <t>Barriere</t>
  </si>
  <si>
    <t>CTR_237</t>
  </si>
  <si>
    <t>Olembe</t>
  </si>
  <si>
    <t>CTR_080</t>
  </si>
  <si>
    <t>NRD_256_H_GUIDER-OURO-ALHADJI</t>
  </si>
  <si>
    <t>NRD_256</t>
  </si>
  <si>
    <t>Sagamla-MTN-IHS</t>
  </si>
  <si>
    <t>NRD_089</t>
  </si>
  <si>
    <t>Guider-CRTV</t>
  </si>
  <si>
    <t>NRD_100</t>
  </si>
  <si>
    <t>NRD_006</t>
  </si>
  <si>
    <t>EXN_153_H_Salak-MTN-HIS</t>
  </si>
  <si>
    <t>EXN_153</t>
  </si>
  <si>
    <t>Chapelle-Essos</t>
  </si>
  <si>
    <t>CTR_207</t>
  </si>
  <si>
    <t>Bidou-IHS</t>
  </si>
  <si>
    <t>SUD_125</t>
  </si>
  <si>
    <t>Ndogp-Ecole-Publique</t>
  </si>
  <si>
    <t>LIT_693</t>
  </si>
  <si>
    <t>Rain-forest-School</t>
  </si>
  <si>
    <t>CTR_766</t>
  </si>
  <si>
    <t>Nkongkarak-MTN-IHS</t>
  </si>
  <si>
    <t>CTR_696</t>
  </si>
  <si>
    <t>Nkongkarak</t>
  </si>
  <si>
    <t>Ndogpassi-Crf-Lotus-MTN</t>
  </si>
  <si>
    <t>LIT_683</t>
  </si>
  <si>
    <t>Minisite_Crf-Nkoabang</t>
  </si>
  <si>
    <t>CTR_881</t>
  </si>
  <si>
    <t>Grid + Solar</t>
  </si>
  <si>
    <t>Mvengue</t>
  </si>
  <si>
    <t>SUD_226</t>
  </si>
  <si>
    <t>H-Franco</t>
  </si>
  <si>
    <t>CTR_102</t>
  </si>
  <si>
    <t>Ondoa-Otoa-IHS</t>
  </si>
  <si>
    <t>CTR_622</t>
  </si>
  <si>
    <t>Nkoulou</t>
  </si>
  <si>
    <t>CTR_659</t>
  </si>
  <si>
    <t>Maan-IHS</t>
  </si>
  <si>
    <t>SUD_037</t>
  </si>
  <si>
    <t>Maan</t>
  </si>
  <si>
    <t>Awae-Escalier-IHS</t>
  </si>
  <si>
    <t>CTR_168</t>
  </si>
  <si>
    <t>Gara-Guider-IHS</t>
  </si>
  <si>
    <t>NRD_115</t>
  </si>
  <si>
    <t>LIT_991_Z_Sodiko-Venise-MTN</t>
  </si>
  <si>
    <t>LIT_991</t>
  </si>
  <si>
    <t>Debunsha-MTN</t>
  </si>
  <si>
    <t>SUO_035</t>
  </si>
  <si>
    <t>Debunsha</t>
  </si>
  <si>
    <t>Tikondi-MTN</t>
  </si>
  <si>
    <t>EST_040</t>
  </si>
  <si>
    <t>Tikondi</t>
  </si>
  <si>
    <t>Madjap</t>
  </si>
  <si>
    <t>LIT_519</t>
  </si>
  <si>
    <t>Mandjap</t>
  </si>
  <si>
    <t>Sorawel-IHS</t>
  </si>
  <si>
    <t>NRD_099</t>
  </si>
  <si>
    <t>Sorawel</t>
  </si>
  <si>
    <t>Nkolmesseng-II</t>
  </si>
  <si>
    <t>CTR_273</t>
  </si>
  <si>
    <t>Bodjongo-II</t>
  </si>
  <si>
    <t>LIT_773</t>
  </si>
  <si>
    <t>Bodjongo</t>
  </si>
  <si>
    <t>Korek-Djarengol-II</t>
  </si>
  <si>
    <t>EXN_235</t>
  </si>
  <si>
    <t>Ndokok</t>
  </si>
  <si>
    <t>CTR_059</t>
  </si>
  <si>
    <t>Guider-Djamboutou</t>
  </si>
  <si>
    <t>NRD_178</t>
  </si>
  <si>
    <t>Mokolo3-IHS</t>
  </si>
  <si>
    <t>EXN_156</t>
  </si>
  <si>
    <t>La-Falaise</t>
  </si>
  <si>
    <t>LIT_041</t>
  </si>
  <si>
    <t xml:space="preserve">{06-07-2026 cell zte}: 27/05/2026 : Fme sur site || Intervention en cours || Fd fme : temsion a 50v || Point sera renvoyer au BO ran pour nouvelle analyse 
26/05/2026 : Power issue || FME activer activer pour investiguation sur le site || ETA : 13H || Intervention en cours 
25/05/2026 : Le FME ira ce jour recuperer ce jour recuperer la nouvelle F.O ||  Intervention prevue pour ce jour apres recuperation ||Cell up apres le remplacement de la F.O 
24/05/2026 : Commande d'une nopuvelle fibre en cours 
23/05/2026 : Fme sur site || Intervention en cours || Le fme apres avoir  troboolshute la fibre optique qu'il avait  récupéré au magazin on observe aucn changement.  Apres avoir swapper les ports  avec une autre radio et sur la même radio  on constate que la fibre que le fme avait recuperer au magasin est faulty || Commande d;une nouvelle fibre effectuer 
22/05/2026 : FME activer || ETA : 13H || Access issue 
21/04/2026 : FME en route pour le site || ETA 13h || FME sur site || Intervention en cours || Le FME a remplacer la F.O mais les cellules restent down || Suite des checks demain avec l'assistance du BO
20/05/2026 : FME etait sur site apres avoir remplacer le power connector a constater que la fibre etait faulty || Commande de la fibre passe  
        ;         {06-07-2026 cell zte}: 27/05/2026 : Fme sur site || Intervention en cours || Fd fme : temsion a 50v || Point sera renvoyer au BO ran pour nouvelle analyse 
26/05/2026 : Power issue || FME activer activer pour investiguation sur le site || ETA : 13H || Intervention en cours 
25/05/2026 : Le FME ira ce jour recuperer ce jour recuperer la nouvelle F.O ||  Intervention prevue pour ce jour apres recuperation ||Cell up apres le remplacement de la F.O 
24/05/2026 : Commande d'une nopuvelle fibre en cours 
23/05/2026 : Fme sur site || Intervention en cours || Le fme apres avoir  troboolshute la fibre optique qu'il avait  récupéré au magazin on observe aucn changement.  Apres avoir swapper les ports  avec une autre radio et sur la même radio  on constate que la fibre que le fme avait recuperer au magasin est faulty || Commande d;une nouvelle fibre effectuer 
22/05/2026 : FME activer || ETA : 13H || Access issue 
21/04/2026 : FME en route pour le site || ETA 13h || FME sur site || Intervention en cours || Le FME a remplacer la F.O mais les cellules restent down || Suite des checks demain avec l'assistance du BO
20/05/2026 : FME etait sur site apres avoir remplacer le power connector a constater que la fibre etait faulty || Commande de la fibre passe  
</t>
  </si>
  <si>
    <t>27/05/2026 Fme sur site || Intervention en cours || Fd fme temsion a 50v || Point sera renvoyer au BO ran pour nouvelle analyse
26/05/2026 Power issue || pour investiguation sur le site || ETA 13H || Intervention en cours
25/05/2026 Le FME ira ce jour recuperer ce jour recuperer la nouvelle F.O || Intervention prevue pour ce jour apres recuperation || Cell up apres le remplacement de la F.O
24/05/2026 Commande d'une nopuvelle fibre en cours
23/05/2026 Fme sur site || Intervention en cours || Le fme apres avoir troboolshute la fibre optique qu'il avait récupéré au magazin on observe aucn changement. Apres avoir swapper les ports avec une autre radio et sur la même radio on constate que la fibre que le fme avait recuperer au magasin est faulty || Commande d;une nouvelle fibre effectuer
22/05/2026 FME activer || ETA 13H || Access issue
21/04/2026 FME en route pour le site || ETA 13h || FME sur site || Intervention en cours || Le FME a remplacer la F.O mais les cellules restent down || Suite des checks demain avec l'assistance du BO
20/05/2026 FME etait sur site apres avoir remplacer le power connector a constater que la fibre etait faulty || Commande de la fibre passe
27/05/2026 Fme sur site || Intervention en cours || Fd fme temsion a 50v || Point sera renvoyer au BO ran pour nouvelle analyse
26/05/2026 Power issue || pour investiguation sur le site || ETA 13H || Intervention en cours
25/05/2026 Le FME ira ce jour recuperer ce jour recuperer la nouvelle F.O || Intervention prevue pour ce jour apres recuperation || Cell up apres le remplacement de la F.O
24/05/2026 Commande d'une nopuvelle fibre en cours
23/05/2026 Fme sur site || Intervention en cours || Le fme apres avoir troboolshute la fibre optique qu'il avait récupéré au magazin on observe aucn changement. Apres avoir swapper les ports avec une autre radio et sur la même radio on constate que la fibre que le fme avait recuperer au magasin est faulty || Commande d;une nouvelle fibre effectuer
22/05/2026 FME activer || ETA 13H || Access issue
21/04/2026 FME en route pour le site || ETA 13h || FME sur site || Intervention en cours || Le FME a remplacer la F.O mais les cellules restent down || Suite des checks demain avec l'assistance du BO
20/05/2026 FME etait sur site apres avoir remplacer le power connector a constater que la fibre etait faulty || Commande de la fibre passe</t>
  </si>
  <si>
    <t>Djoungolo</t>
  </si>
  <si>
    <t>CTR_029</t>
  </si>
  <si>
    <t>Rhumsiki</t>
  </si>
  <si>
    <t>EXN_139</t>
  </si>
  <si>
    <t>Lolodorf</t>
  </si>
  <si>
    <t>SUD_024</t>
  </si>
  <si>
    <t>Mokolo-Djimeta-IHS</t>
  </si>
  <si>
    <t>EXN_140</t>
  </si>
  <si>
    <t>Nyom</t>
  </si>
  <si>
    <t>CTR_381</t>
  </si>
  <si>
    <t>Nsimalen-highway-I</t>
  </si>
  <si>
    <t>CTR_724</t>
  </si>
  <si>
    <t>Messassi</t>
  </si>
  <si>
    <t>CTR_337</t>
  </si>
  <si>
    <t>Bafia-CRTV</t>
  </si>
  <si>
    <t>CTR_101</t>
  </si>
  <si>
    <t>SUD_007</t>
  </si>
  <si>
    <t>CTR_022</t>
  </si>
  <si>
    <t>BAFIA-BEGNIAN-IHS</t>
  </si>
  <si>
    <t>CTR_828</t>
  </si>
  <si>
    <t>Mbakaou-MTN-IHS</t>
  </si>
  <si>
    <t>ADM_109</t>
  </si>
  <si>
    <t>Mbakaou</t>
  </si>
  <si>
    <t>CTR_302_N_Doume-Centre</t>
  </si>
  <si>
    <t>CTR_302</t>
  </si>
  <si>
    <t>Doume</t>
  </si>
  <si>
    <t>Berunda-MTN</t>
  </si>
  <si>
    <t>SUO_066</t>
  </si>
  <si>
    <t>Buea-Entree</t>
  </si>
  <si>
    <t>SUO_033</t>
  </si>
  <si>
    <t>{06-07-2026 cell huawei}: 01/06/2026 : Relance faite au HW SPMS || Feedback attendu
25/05/2026 : Probleme de vswr sur site || Jumpers (huawei 6m) faulty || Comande passe au HW SPMS        ;         {06-07-2026 cell huawei}: 01/06/2026 : Relance faite au HW SPMS || Feedback attendu
25/05/2026 : Probleme de vswr sur site || Jumpers (huawei 6m) faulty || Comande passe au HW SPMS</t>
  </si>
  <si>
    <t>01/06/2026 Relance faite au HW SPMS || Feedback attendu
25/05/2026 Probleme de vswr sur site || Jumpers (huawei 6m) faulty || Comande passe au HW SPMS 01/06/2026 Relance faite au HW SPMS || Feedback attendu
25/05/2026 Probleme de vswr sur site || Jumpers (huawei 6m) faulty || Comande passe au HW SPMS</t>
  </si>
  <si>
    <t>Crf-Nkomo-IHS</t>
  </si>
  <si>
    <t>CTR_554</t>
  </si>
  <si>
    <t>MBPIKILIKI</t>
  </si>
  <si>
    <t>SUD_110</t>
  </si>
  <si>
    <t>Mbikiliki</t>
  </si>
  <si>
    <t>Ekombitie</t>
  </si>
  <si>
    <t>CTR_387</t>
  </si>
  <si>
    <t>Ngoum-II-MTN</t>
  </si>
  <si>
    <t>CTR_367</t>
  </si>
  <si>
    <t>Ngoum-II</t>
  </si>
  <si>
    <t>Mbam</t>
  </si>
  <si>
    <t>CTR_303</t>
  </si>
  <si>
    <t>Nkozoa</t>
  </si>
  <si>
    <t>CTR_079</t>
  </si>
  <si>
    <t>Sambo-Labo-IHS</t>
  </si>
  <si>
    <t>ADM_144</t>
  </si>
  <si>
    <t>Sambo Lambo</t>
  </si>
  <si>
    <t>Olembe-CAMTEL</t>
  </si>
  <si>
    <t>CTR_861</t>
  </si>
  <si>
    <t>CTR_406_N_Mbimbim-MTN</t>
  </si>
  <si>
    <t>CTR_406</t>
  </si>
  <si>
    <t>Mbimbim</t>
  </si>
  <si>
    <t>Deng-Deng-IHS</t>
  </si>
  <si>
    <t>EST_093</t>
  </si>
  <si>
    <t>Deng-Deng</t>
  </si>
  <si>
    <t>Buea-Street2</t>
  </si>
  <si>
    <t>SUO_240</t>
  </si>
  <si>
    <t>Wonya-Mavio-IHS</t>
  </si>
  <si>
    <t>SUO_195</t>
  </si>
  <si>
    <t>Buea-Salvation-Pharmacy-HIS</t>
  </si>
  <si>
    <t>SUO_259</t>
  </si>
  <si>
    <t>Molyko-Buea-SC2</t>
  </si>
  <si>
    <t>SUO_213</t>
  </si>
  <si>
    <t>Buea-David-Square</t>
  </si>
  <si>
    <t>SUO_077</t>
  </si>
  <si>
    <t>Great-Soppo-IHS</t>
  </si>
  <si>
    <t>SUO_181</t>
  </si>
  <si>
    <t>Buea-Centre-Ville</t>
  </si>
  <si>
    <t>SUO_063</t>
  </si>
  <si>
    <t>Buea-Universite</t>
  </si>
  <si>
    <t>SUO_062</t>
  </si>
  <si>
    <t>Buea-GRA-HIS</t>
  </si>
  <si>
    <t>SUO_242</t>
  </si>
  <si>
    <t>Buea-Bomaka-II-IHS</t>
  </si>
  <si>
    <t>SUO_201</t>
  </si>
  <si>
    <t>Buea-Soppo-University-IHS</t>
  </si>
  <si>
    <t>SUO_199</t>
  </si>
  <si>
    <t>C-D-Palmiers-II</t>
  </si>
  <si>
    <t>LIT_371</t>
  </si>
  <si>
    <t>Mansouen</t>
  </si>
  <si>
    <t>OST_293</t>
  </si>
  <si>
    <t>Kumba-Mbongue-Road</t>
  </si>
  <si>
    <t>SUO_237</t>
  </si>
  <si>
    <t>Kanje-I</t>
  </si>
  <si>
    <t>ADM_041</t>
  </si>
  <si>
    <t>Mbantinbang-FH</t>
  </si>
  <si>
    <t>ADM_055</t>
  </si>
  <si>
    <t>Mbantinbang</t>
  </si>
  <si>
    <t>Mbankomo-IHS</t>
  </si>
  <si>
    <t>CTR_528</t>
  </si>
  <si>
    <t>Buea-Bwitingui-Road</t>
  </si>
  <si>
    <t>SUO_232</t>
  </si>
  <si>
    <t>Bokwai-IHS</t>
  </si>
  <si>
    <t>SUO_197</t>
  </si>
  <si>
    <t>Molyko-Paramount-Street-IHS</t>
  </si>
  <si>
    <t>SUO_179</t>
  </si>
  <si>
    <t>Buea-Wokoko-IHS</t>
  </si>
  <si>
    <t>SUO_185</t>
  </si>
  <si>
    <t>Mbamti-New</t>
  </si>
  <si>
    <t>ADM_154</t>
  </si>
  <si>
    <t>Mbamti</t>
  </si>
  <si>
    <t>CTR_1163_Z_Santa-Barbara-Abattoir-IHS</t>
  </si>
  <si>
    <t>CTR_1163</t>
  </si>
  <si>
    <t>Ndoussan</t>
  </si>
  <si>
    <t>CTR_054</t>
  </si>
  <si>
    <t>Kumba-Pulletin-IHS</t>
  </si>
  <si>
    <t>SUO_115</t>
  </si>
  <si>
    <t>Mile4-Q10-IHS</t>
  </si>
  <si>
    <t>SUO_214</t>
  </si>
  <si>
    <t>Mandoumba</t>
  </si>
  <si>
    <t>CTR_066</t>
  </si>
  <si>
    <t>Bafia-Market-MTN</t>
  </si>
  <si>
    <t>CTR_830</t>
  </si>
  <si>
    <t>Angongo</t>
  </si>
  <si>
    <t>CTR_358</t>
  </si>
  <si>
    <t>Song-Bong</t>
  </si>
  <si>
    <t>CTR_311</t>
  </si>
  <si>
    <t>Ebeba</t>
  </si>
  <si>
    <t>CTR_116</t>
  </si>
  <si>
    <t xml:space="preserve">{06-07-2026 cell zte}: 06/06/2026 : Fme activer || ETA : 13H || FME sur site intervention en cours || Malgre le resserage des jumpeurs aucune cellules n'es remontees || Nouvelle intervention pour lundi || ETA : 08/06/2026 
05/06/2026 : Intervention prevue pour ce jour || ETA 16H30  || Forte pluie dans la zone, evidence partagees || Intervention reporter pour demain 
04/06/2026 : Check and clean RRU 51 ant 5 || FME activer || FME sur le realignement de Matomb || Intervention apres matomb         ;         {06-07-2026 cell zte}: 06/06/2026 : Fme activer || ETA : 13H || FME sur site intervention en cours || Malgre le resserage des jumpeurs aucune cellules n'es remontees || Nouvelle intervention pour lundi || ETA : 08/06/2026 
05/06/2026 : Intervention prevue pour ce jour || ETA 16H30  || Forte pluie dans la zone, evidence partagees || Intervention reporter pour demain 
04/06/2026 : Check and clean RRU 51 ant 5 || FME activer || FME sur le realignement de Matomb || Intervention apres matomb </t>
  </si>
  <si>
    <t>06/06/2026 Fme activer || ETA 13H || FME sur site intervention en cours || Malgre le resserage des jumpeurs aucune cellules n'es remontees || Nouvelle intervention pour lundi || ETA 08/06/2026
05/06/2026 Intervention prevue pour ce jour || ETA 16H30 || Forte pluie dans la zone, evidence partagees || Intervention reporter pour demain
04/06/2026 Check and clean RRU 51 ant 5 || FME activer || FME sur le realignement de Matomb || Intervention apres matomb 06/06/2026 Fme activer || ETA 13H || FME sur site intervention en cours || Malgre le resserage des jumpeurs aucune cellules n'es remontees || Nouvelle intervention pour lundi || ETA 08/06/2026
05/06/2026 Intervention prevue pour ce jour || ETA 16H30 || Forte pluie dans la zone, evidence partagees || Intervention reporter pour demain
04/06/2026 Check and clean RRU 51 ant 5 || FME activer || FME sur le realignement de Matomb || Intervention apres matomb</t>
  </si>
  <si>
    <t>Meidjamba-MTN</t>
  </si>
  <si>
    <t>ADM_054</t>
  </si>
  <si>
    <t>Meidjamba</t>
  </si>
  <si>
    <t>Dogba-Ngd-IHS</t>
  </si>
  <si>
    <t>ADM_128</t>
  </si>
  <si>
    <t>Mayo-Baleo-IHS</t>
  </si>
  <si>
    <t>ADM_075</t>
  </si>
  <si>
    <t>Mayo-Baleo</t>
  </si>
  <si>
    <t>Bamoko</t>
  </si>
  <si>
    <t>CTR_091</t>
  </si>
  <si>
    <t>CTR_1162_Z_Messassi-Ngonlonk-IHS</t>
  </si>
  <si>
    <t>CTR_1162</t>
  </si>
  <si>
    <t>Indoor-K-Hotel</t>
  </si>
  <si>
    <t>LIT_778</t>
  </si>
  <si>
    <t>Mfou-Entree</t>
  </si>
  <si>
    <t>CTR_653</t>
  </si>
  <si>
    <t>Ngousso-Savana</t>
  </si>
  <si>
    <t>CTR_272</t>
  </si>
  <si>
    <t>CTR_950_Z_Nkolbisson-Claretains</t>
  </si>
  <si>
    <t>CTR_950</t>
  </si>
  <si>
    <t>Abattoir</t>
  </si>
  <si>
    <t>CTR_104</t>
  </si>
  <si>
    <t>Emana-Lycee2-MTN-IHS</t>
  </si>
  <si>
    <t>CTR_518</t>
  </si>
  <si>
    <t>H-General-Yde</t>
  </si>
  <si>
    <t>CTR_336</t>
  </si>
  <si>
    <t>Nkolbisson-Ayene-Bar</t>
  </si>
  <si>
    <t>CTR_657</t>
  </si>
  <si>
    <t>Boutourou</t>
  </si>
  <si>
    <t>CTR_092</t>
  </si>
  <si>
    <t>Nkolbong-II</t>
  </si>
  <si>
    <t>CTR_658</t>
  </si>
  <si>
    <t>Manguier</t>
  </si>
  <si>
    <t>CTR_049</t>
  </si>
  <si>
    <t>Nkolbi-Boss</t>
  </si>
  <si>
    <t>CTR_333</t>
  </si>
  <si>
    <t>Chapelle-Manguier-IHS</t>
  </si>
  <si>
    <t>CTR_446</t>
  </si>
  <si>
    <t>Olembe-Terminus</t>
  </si>
  <si>
    <t>CTR_383</t>
  </si>
  <si>
    <t>Tongolo</t>
  </si>
  <si>
    <t>CTR_390</t>
  </si>
  <si>
    <t>CTR_934_Z_Nkolbisson-II-MTN</t>
  </si>
  <si>
    <t>CTR_934</t>
  </si>
  <si>
    <t>Oyomambang-Ekorezok</t>
  </si>
  <si>
    <t>CTR_560</t>
  </si>
  <si>
    <t>Okolo</t>
  </si>
  <si>
    <t>CTR_213</t>
  </si>
  <si>
    <t>Nkongtock-IHS</t>
  </si>
  <si>
    <t>CTR_733</t>
  </si>
  <si>
    <t>Nkongtock</t>
  </si>
  <si>
    <t>Mambine</t>
  </si>
  <si>
    <t>CTR_097</t>
  </si>
  <si>
    <t>Ngomedzap</t>
  </si>
  <si>
    <t>CTR_188</t>
  </si>
  <si>
    <t>Etoudi-Chapelle-IHS</t>
  </si>
  <si>
    <t>CTR_520</t>
  </si>
  <si>
    <t>Afeme-Nord</t>
  </si>
  <si>
    <t>CTR_591</t>
  </si>
  <si>
    <t>Etoudi</t>
  </si>
  <si>
    <t>CTR_086</t>
  </si>
  <si>
    <t>Mayo-Tolere-I</t>
  </si>
  <si>
    <t>ADM_043</t>
  </si>
  <si>
    <t>Mayo-Tolere</t>
  </si>
  <si>
    <t>LIT_010_Z_Ndogbong</t>
  </si>
  <si>
    <t>LIT_010</t>
  </si>
  <si>
    <t>GP-Etoudi</t>
  </si>
  <si>
    <t>CTR_735</t>
  </si>
  <si>
    <t>Emana-MTN</t>
  </si>
  <si>
    <t>CTR_370</t>
  </si>
  <si>
    <t>Bafia-Dang</t>
  </si>
  <si>
    <t>CTR_397</t>
  </si>
  <si>
    <t>Bariki-IHS</t>
  </si>
  <si>
    <t>EXN_167</t>
  </si>
  <si>
    <t>Bariki</t>
  </si>
  <si>
    <t>Ndogbong-Hotel-Pacifique</t>
  </si>
  <si>
    <t>LIT_619</t>
  </si>
  <si>
    <t>C-D-Palmiers</t>
  </si>
  <si>
    <t>LIT_036</t>
  </si>
  <si>
    <t>Bonamouti</t>
  </si>
  <si>
    <t>LIT_120</t>
  </si>
  <si>
    <t>Socaver</t>
  </si>
  <si>
    <t>LIT_024</t>
  </si>
  <si>
    <t>Plateau</t>
  </si>
  <si>
    <t>NRD_002</t>
  </si>
  <si>
    <t>Tibati-II</t>
  </si>
  <si>
    <t>ADM_044</t>
  </si>
  <si>
    <t>Tibati</t>
  </si>
  <si>
    <t>Maroua-Doualare-II</t>
  </si>
  <si>
    <t>EXN_111</t>
  </si>
  <si>
    <t>Edea-Bisseke</t>
  </si>
  <si>
    <t>LIT_313</t>
  </si>
  <si>
    <t>Kotto-Antenne</t>
  </si>
  <si>
    <t>LIT_303</t>
  </si>
  <si>
    <t>Bepanda</t>
  </si>
  <si>
    <t>LIT_050</t>
  </si>
  <si>
    <t>Ekoumdoum-MTN-IHS</t>
  </si>
  <si>
    <t>CTR_465</t>
  </si>
  <si>
    <t>Kribi-Port-Eau-Profonde-IHS</t>
  </si>
  <si>
    <t>SUD_076</t>
  </si>
  <si>
    <t>Yona-Hotel-MTN-IHS</t>
  </si>
  <si>
    <t>CTR_466</t>
  </si>
  <si>
    <t>Mendong-Village</t>
  </si>
  <si>
    <t>CTR_713</t>
  </si>
  <si>
    <t>Ngodi-Akwa</t>
  </si>
  <si>
    <t>LIT_460</t>
  </si>
  <si>
    <t>LIT_856_Z_Makepe-Orchidee</t>
  </si>
  <si>
    <t>LIT_856</t>
  </si>
  <si>
    <t>CTR_940_Z_GBS-la-releve-Simbock</t>
  </si>
  <si>
    <t>CTR_940</t>
  </si>
  <si>
    <t>Ferme-Suisse</t>
  </si>
  <si>
    <t>LIT_006</t>
  </si>
  <si>
    <t>Makepe-Decharge2-IHS</t>
  </si>
  <si>
    <t>LIT_490</t>
  </si>
  <si>
    <t>Ntoumba</t>
  </si>
  <si>
    <t>CTR_355</t>
  </si>
  <si>
    <t>Biteng-OKUI</t>
  </si>
  <si>
    <t>CTR_705</t>
  </si>
  <si>
    <t>Dehane-PHP</t>
  </si>
  <si>
    <t>LIT_591</t>
  </si>
  <si>
    <t>Dehane</t>
  </si>
  <si>
    <t>Fraternite-Adama_Ekombitie-III</t>
  </si>
  <si>
    <t>CTR_849</t>
  </si>
  <si>
    <t>Logpom-II</t>
  </si>
  <si>
    <t>LIT_274</t>
  </si>
  <si>
    <t>Sanguere-Paul-MTN</t>
  </si>
  <si>
    <t>NRD_166</t>
  </si>
  <si>
    <t>LIT_978_Z_Edea-Beon-IHS</t>
  </si>
  <si>
    <t>LIT_978</t>
  </si>
  <si>
    <t>Gamba-MTN</t>
  </si>
  <si>
    <t>NRD_059</t>
  </si>
  <si>
    <t>Gamba</t>
  </si>
  <si>
    <t>CTR_936_Z_Nsimalen-TOUTOULI</t>
  </si>
  <si>
    <t>CTR_936</t>
  </si>
  <si>
    <t>Bafanji</t>
  </si>
  <si>
    <t>NRO_051</t>
  </si>
  <si>
    <t>Edea-Centre</t>
  </si>
  <si>
    <t>LIT_185</t>
  </si>
  <si>
    <t>Bertoua-Birpondo-IHS</t>
  </si>
  <si>
    <t>EST_128</t>
  </si>
  <si>
    <t>Bberi-Enem</t>
  </si>
  <si>
    <t>LIT_637</t>
  </si>
  <si>
    <t>Bep-An-2000</t>
  </si>
  <si>
    <t>LIT_459</t>
  </si>
  <si>
    <t>Mbongouen-MTN</t>
  </si>
  <si>
    <t>SUD_214</t>
  </si>
  <si>
    <t>Mbongouen</t>
  </si>
  <si>
    <t>EST_194_Z_Bertoua-Birpondo-II</t>
  </si>
  <si>
    <t>EST_194</t>
  </si>
  <si>
    <t>Pont-Emana-MTN</t>
  </si>
  <si>
    <t>CTR_799</t>
  </si>
  <si>
    <t>Loum-PHP</t>
  </si>
  <si>
    <t>LIT_593</t>
  </si>
  <si>
    <t>Nkeng-Likok-II</t>
  </si>
  <si>
    <t>LIT_658</t>
  </si>
  <si>
    <t>Garoua-Bockle-IHS</t>
  </si>
  <si>
    <t>NRD_094</t>
  </si>
  <si>
    <t>Nkolo2-MTN-IHS</t>
  </si>
  <si>
    <t>CTR_469</t>
  </si>
  <si>
    <t>Edea-Ville</t>
  </si>
  <si>
    <t>LIT_078</t>
  </si>
  <si>
    <t>Kumba Gare Ntam</t>
  </si>
  <si>
    <t>SUO_238</t>
  </si>
  <si>
    <t>Foyemtcha</t>
  </si>
  <si>
    <t>OST_156</t>
  </si>
  <si>
    <t>ADM_004</t>
  </si>
  <si>
    <t>Yelwa</t>
  </si>
  <si>
    <t>NRD_007</t>
  </si>
  <si>
    <t>LIT_862_Z_Bonamatoumbe-Village</t>
  </si>
  <si>
    <t>LIT_862</t>
  </si>
  <si>
    <t>GE</t>
  </si>
  <si>
    <t>CNDH</t>
  </si>
  <si>
    <t>CTR_046</t>
  </si>
  <si>
    <t>Baliama</t>
  </si>
  <si>
    <t>CTR_352</t>
  </si>
  <si>
    <t>Bandjoun-IUT</t>
  </si>
  <si>
    <t>OST_239</t>
  </si>
  <si>
    <t>Rd-Pt-Express</t>
  </si>
  <si>
    <t>CTR_012</t>
  </si>
  <si>
    <t>Bambalang</t>
  </si>
  <si>
    <t>NRO_100</t>
  </si>
  <si>
    <t>Balikumbat-Palais</t>
  </si>
  <si>
    <t>NRO_034</t>
  </si>
  <si>
    <t>Maroua-University-IHS</t>
  </si>
  <si>
    <t>EXN_117</t>
  </si>
  <si>
    <t>Idenau-MTN</t>
  </si>
  <si>
    <t>SUO_036</t>
  </si>
  <si>
    <t>Idenau</t>
  </si>
  <si>
    <t>Port_Autonome_Kribi</t>
  </si>
  <si>
    <t>SUD_092</t>
  </si>
  <si>
    <t>OST_012</t>
  </si>
  <si>
    <t>Bangangte-Centre</t>
  </si>
  <si>
    <t>OST_180</t>
  </si>
  <si>
    <t>Bfsam-Tayim-II</t>
  </si>
  <si>
    <t>OST_291</t>
  </si>
  <si>
    <t>Omeng</t>
  </si>
  <si>
    <t>LIT_136</t>
  </si>
  <si>
    <t>Dagobert</t>
  </si>
  <si>
    <t>CTR_255</t>
  </si>
  <si>
    <t>Bertoua-ENIA-MTN</t>
  </si>
  <si>
    <t>EST_069</t>
  </si>
  <si>
    <t>Montesquieux</t>
  </si>
  <si>
    <t>CTR_270</t>
  </si>
  <si>
    <t>Bayangam</t>
  </si>
  <si>
    <t>OST_051</t>
  </si>
  <si>
    <t>Bfsam-Tayim-IHS</t>
  </si>
  <si>
    <t>OST_213</t>
  </si>
  <si>
    <t>LIT_031</t>
  </si>
  <si>
    <t>Bonateki-New</t>
  </si>
  <si>
    <t>LIT_527</t>
  </si>
  <si>
    <t>Foumban-Nkoungougnet</t>
  </si>
  <si>
    <t>OST_082</t>
  </si>
  <si>
    <t>CHR-Bafoussam</t>
  </si>
  <si>
    <t>OST_307</t>
  </si>
  <si>
    <t>Menganme-Camtel</t>
  </si>
  <si>
    <t>CTR_142</t>
  </si>
  <si>
    <t>Menganme</t>
  </si>
  <si>
    <t>Bfsam-Ndjinga</t>
  </si>
  <si>
    <t>OST_075</t>
  </si>
  <si>
    <t>Makoda-MTN</t>
  </si>
  <si>
    <t>CTR_360</t>
  </si>
  <si>
    <t>Makoda</t>
  </si>
  <si>
    <t>MBANGASSINA</t>
  </si>
  <si>
    <t>CTR_226</t>
  </si>
  <si>
    <t>Mbangassina</t>
  </si>
  <si>
    <t>Minka-MTN-IHS</t>
  </si>
  <si>
    <t>CTR_186</t>
  </si>
  <si>
    <t>Minka</t>
  </si>
  <si>
    <t>Nkomo</t>
  </si>
  <si>
    <t>CTR_042</t>
  </si>
  <si>
    <t>Ngoulmekong-Nord</t>
  </si>
  <si>
    <t>CTR_379</t>
  </si>
  <si>
    <t>Maroua-Ouro-Bah</t>
  </si>
  <si>
    <t>EXN_083</t>
  </si>
  <si>
    <t>Bangou-IHS</t>
  </si>
  <si>
    <t>OST_145</t>
  </si>
  <si>
    <t>Bangou</t>
  </si>
  <si>
    <t>Dschang-Foreke</t>
  </si>
  <si>
    <t>OST_122</t>
  </si>
  <si>
    <t>Bfsam-Mairie-Rurale-MTN-IHS</t>
  </si>
  <si>
    <t>OST_214</t>
  </si>
  <si>
    <t>Kotto-Village</t>
  </si>
  <si>
    <t>LIT_726</t>
  </si>
  <si>
    <t>Njombe-Market-IHS</t>
  </si>
  <si>
    <t>LIT_492</t>
  </si>
  <si>
    <t>Njombe</t>
  </si>
  <si>
    <t>Meskin-MTN-IHS</t>
  </si>
  <si>
    <t>EXN_157</t>
  </si>
  <si>
    <t>Gra-Yelwa-II</t>
  </si>
  <si>
    <t>NRD_072</t>
  </si>
  <si>
    <t>Bellare</t>
  </si>
  <si>
    <t>EXN_046</t>
  </si>
  <si>
    <t>Maroua-Total-Domayo-MTN-IHS</t>
  </si>
  <si>
    <t>EXN_158</t>
  </si>
  <si>
    <t>Kongola-IHS</t>
  </si>
  <si>
    <t>EXN_113</t>
  </si>
  <si>
    <t>Ngd-Lamidat-IHS</t>
  </si>
  <si>
    <t>EXN_362_H_MAROUA-KONGOLA-DJOLAO</t>
  </si>
  <si>
    <t>EXN_362</t>
  </si>
  <si>
    <t>Maroua-Marche-Abattoir</t>
  </si>
  <si>
    <t>EXN_085</t>
  </si>
  <si>
    <t>Bibemire</t>
  </si>
  <si>
    <t>NRD_039</t>
  </si>
  <si>
    <t>Garoua-Djamboutou-II</t>
  </si>
  <si>
    <t>NRD_149</t>
  </si>
  <si>
    <t>Etoug-Ebe-II</t>
  </si>
  <si>
    <t>CTR_740</t>
  </si>
  <si>
    <t>Kumba-Kossala2-IHS</t>
  </si>
  <si>
    <t>SUO_114</t>
  </si>
  <si>
    <t>Nkwein-Clinic-St-Louis-MTN</t>
  </si>
  <si>
    <t>NRO_244</t>
  </si>
  <si>
    <t>Ngd-EPC-IHS</t>
  </si>
  <si>
    <t>ADM_077</t>
  </si>
  <si>
    <t>Gamoko-Hill-IHS</t>
  </si>
  <si>
    <t>SUO_097</t>
  </si>
  <si>
    <t>Gamoko</t>
  </si>
  <si>
    <t>Bai-Panya-IHS</t>
  </si>
  <si>
    <t>SUO_093</t>
  </si>
  <si>
    <t>Mbongue</t>
  </si>
  <si>
    <t>Bamengwi-IHS</t>
  </si>
  <si>
    <t>NRO_093</t>
  </si>
  <si>
    <t>Bamengwi</t>
  </si>
  <si>
    <t>Nkolbewae-IHS</t>
  </si>
  <si>
    <t>CTR_440</t>
  </si>
  <si>
    <t>Nkol-bewaa</t>
  </si>
  <si>
    <t>Maroua-Doursogo</t>
  </si>
  <si>
    <t>EXN_067</t>
  </si>
  <si>
    <t>Madagascar</t>
  </si>
  <si>
    <t>LIT_049</t>
  </si>
  <si>
    <t>Bfsam-Gouache-IHS</t>
  </si>
  <si>
    <t>OST_121</t>
  </si>
  <si>
    <t>Deido-Bonateki</t>
  </si>
  <si>
    <t>LIT_414</t>
  </si>
  <si>
    <t>Kondengui</t>
  </si>
  <si>
    <t>CTR_040</t>
  </si>
  <si>
    <t>Bondjock</t>
  </si>
  <si>
    <t>CTR_205</t>
  </si>
  <si>
    <t>Bfsam-Kamkouop</t>
  </si>
  <si>
    <t>OST_002</t>
  </si>
  <si>
    <t>CTR_192</t>
  </si>
  <si>
    <t>Tchabal</t>
  </si>
  <si>
    <t>ADM_016</t>
  </si>
  <si>
    <t>Nkolfon-Cimencam-IHS</t>
  </si>
  <si>
    <t>CTR_911</t>
  </si>
  <si>
    <t>Makak-Camrail</t>
  </si>
  <si>
    <t>CTR_144</t>
  </si>
  <si>
    <t>Makak</t>
  </si>
  <si>
    <t>Mbonge</t>
  </si>
  <si>
    <t>SUO_134</t>
  </si>
  <si>
    <t>Foumban-Ndjidare-II</t>
  </si>
  <si>
    <t>OST_175</t>
  </si>
  <si>
    <t>DEENA-IHS</t>
  </si>
  <si>
    <t>ADM_082</t>
  </si>
  <si>
    <t>Deena</t>
  </si>
  <si>
    <t>Deido-Pharmacie-La-Rive</t>
  </si>
  <si>
    <t>LIT_436</t>
  </si>
  <si>
    <t>Mbeng</t>
  </si>
  <si>
    <t>CTR_385</t>
  </si>
  <si>
    <t>Njombe-SDH-IHS</t>
  </si>
  <si>
    <t>LIT_787</t>
  </si>
  <si>
    <t>Njombe-Penja</t>
  </si>
  <si>
    <t>Mindourou-Grumcam-IHS</t>
  </si>
  <si>
    <t>EST_122</t>
  </si>
  <si>
    <t>Mvoula</t>
  </si>
  <si>
    <t>SUD_245</t>
  </si>
  <si>
    <t>Ngd-Stade</t>
  </si>
  <si>
    <t>ADM_057</t>
  </si>
  <si>
    <t>Ngaouyanga-IHS</t>
  </si>
  <si>
    <t>ADM_081</t>
  </si>
  <si>
    <t>Ngaouyanga</t>
  </si>
  <si>
    <t>Ekondo-Nege-MTN</t>
  </si>
  <si>
    <t>SUO_047</t>
  </si>
  <si>
    <t>Ekondo-Nege</t>
  </si>
  <si>
    <t>Mogode</t>
  </si>
  <si>
    <t>EXN_024</t>
  </si>
  <si>
    <t>Makepe</t>
  </si>
  <si>
    <t>LIT_037</t>
  </si>
  <si>
    <t>Makepe-Nodal</t>
  </si>
  <si>
    <t>LIT_103</t>
  </si>
  <si>
    <t>Douche</t>
  </si>
  <si>
    <t>LIT_580</t>
  </si>
  <si>
    <t>Ngd-Baladji-II-IHS</t>
  </si>
  <si>
    <t>ADM_158</t>
  </si>
  <si>
    <t>Edea-Peage-IHS</t>
  </si>
  <si>
    <t>LIT_749</t>
  </si>
  <si>
    <t>Ekali-MTN</t>
  </si>
  <si>
    <t>CTR_309</t>
  </si>
  <si>
    <t>Ekali</t>
  </si>
  <si>
    <t>Stamatiades</t>
  </si>
  <si>
    <t>LIT_014</t>
  </si>
  <si>
    <t>Ndemba</t>
  </si>
  <si>
    <t>EST_075</t>
  </si>
  <si>
    <t>Awae-Metet</t>
  </si>
  <si>
    <t>CTR_880</t>
  </si>
  <si>
    <t>H-Astoria</t>
  </si>
  <si>
    <t>LIT_244</t>
  </si>
  <si>
    <t>Denver</t>
  </si>
  <si>
    <t>LIT_106</t>
  </si>
  <si>
    <t>Makepe-Lycee</t>
  </si>
  <si>
    <t>LIT_285</t>
  </si>
  <si>
    <t>Penja-PHP</t>
  </si>
  <si>
    <t>LIT_594</t>
  </si>
  <si>
    <t>Bobongo</t>
  </si>
  <si>
    <t>LIT_250</t>
  </si>
  <si>
    <t>Denver2</t>
  </si>
  <si>
    <t>LIT_486</t>
  </si>
  <si>
    <t>Penja-Market-MTN</t>
  </si>
  <si>
    <t>LIT_767</t>
  </si>
  <si>
    <t>Mbingo-IHS</t>
  </si>
  <si>
    <t>NRO_031</t>
  </si>
  <si>
    <t>Mbingo</t>
  </si>
  <si>
    <t>Cite-Berges-IHS</t>
  </si>
  <si>
    <t>LIT_157</t>
  </si>
  <si>
    <t>Ngd-Q-Haoussa</t>
  </si>
  <si>
    <t>ADM_048</t>
  </si>
  <si>
    <t>Ngd-Crf-Texaco</t>
  </si>
  <si>
    <t>ADM_071</t>
  </si>
  <si>
    <t>Essazok</t>
  </si>
  <si>
    <t>CTR_749</t>
  </si>
  <si>
    <t>LIT_208</t>
  </si>
  <si>
    <t>Ngd-Sabonbari-America-IHS</t>
  </si>
  <si>
    <t>ADM_155</t>
  </si>
  <si>
    <t>Tradex-Nkomo</t>
  </si>
  <si>
    <t>CTR_276</t>
  </si>
  <si>
    <t>Bonaloka-IHS</t>
  </si>
  <si>
    <t>LIT_156</t>
  </si>
  <si>
    <t>Bilongue-II</t>
  </si>
  <si>
    <t>LIT_451</t>
  </si>
  <si>
    <t>LIT_029</t>
  </si>
  <si>
    <t>Mbanga-Mouyouka-IHS</t>
  </si>
  <si>
    <t>LIT_789</t>
  </si>
  <si>
    <t>Mouyouka</t>
  </si>
  <si>
    <t>Akwa-Palace-Micro</t>
  </si>
  <si>
    <t>LIT_705</t>
  </si>
  <si>
    <t>Ekoumdoum-II</t>
  </si>
  <si>
    <t>CTR_665</t>
  </si>
  <si>
    <t>Mvog-Manga-III</t>
  </si>
  <si>
    <t>CTR_739</t>
  </si>
  <si>
    <t>La-Rose</t>
  </si>
  <si>
    <t>LIT_009</t>
  </si>
  <si>
    <t>Bpriso-Croissanterie</t>
  </si>
  <si>
    <t>LIT_675</t>
  </si>
  <si>
    <t>Complexe-BEAC</t>
  </si>
  <si>
    <t>CTR_196</t>
  </si>
  <si>
    <t>Talla-Monatele-IHS</t>
  </si>
  <si>
    <t>CTR_135</t>
  </si>
  <si>
    <t>Monatele</t>
  </si>
  <si>
    <t>Efoulan</t>
  </si>
  <si>
    <t>CTR_209</t>
  </si>
  <si>
    <t>Obobogo-New</t>
  </si>
  <si>
    <t>CTR_543</t>
  </si>
  <si>
    <t>Tsomo-Assi</t>
  </si>
  <si>
    <t>CTR_563</t>
  </si>
  <si>
    <t>Mvog-Manga</t>
  </si>
  <si>
    <t>CTR_378</t>
  </si>
  <si>
    <t>Odza</t>
  </si>
  <si>
    <t>CTR_099</t>
  </si>
  <si>
    <t>Mankon</t>
  </si>
  <si>
    <t>NRO_029</t>
  </si>
  <si>
    <t>Bigoens-IHS</t>
  </si>
  <si>
    <t>EST_029</t>
  </si>
  <si>
    <t>Bigoens</t>
  </si>
  <si>
    <t>Dong-MTN-IHS</t>
  </si>
  <si>
    <t>CTR_167</t>
  </si>
  <si>
    <t>Dong</t>
  </si>
  <si>
    <t>Ekoumdoum</t>
  </si>
  <si>
    <t>CTR_259</t>
  </si>
  <si>
    <t>Bibemi</t>
  </si>
  <si>
    <t>NRD_021</t>
  </si>
  <si>
    <t>Tete-d-elephant-Camrail</t>
  </si>
  <si>
    <t>EST_104</t>
  </si>
  <si>
    <t>Tete-d-elephant</t>
  </si>
  <si>
    <t>Meiganga-Universite</t>
  </si>
  <si>
    <t>ADM_171</t>
  </si>
  <si>
    <t>Camp-Yabassi</t>
  </si>
  <si>
    <t>LIT_162</t>
  </si>
  <si>
    <t>Ancien-Troisieme</t>
  </si>
  <si>
    <t>LIT_653</t>
  </si>
  <si>
    <t>Hila</t>
  </si>
  <si>
    <t>LIT_008</t>
  </si>
  <si>
    <t>LIT_850_Z_Ndogbassi-Taniere-Plus</t>
  </si>
  <si>
    <t>LIT_850</t>
  </si>
  <si>
    <t>medium Grid GE</t>
  </si>
  <si>
    <t>Soa-II</t>
  </si>
  <si>
    <t>CTR_317</t>
  </si>
  <si>
    <t>Tropicana-New</t>
  </si>
  <si>
    <t>CTR_833</t>
  </si>
  <si>
    <t>Denver-Total-IHS</t>
  </si>
  <si>
    <t>LIT_588</t>
  </si>
  <si>
    <t>SOA-Vallee</t>
  </si>
  <si>
    <t>CTR_714</t>
  </si>
  <si>
    <t>Maroua-Diarenga</t>
  </si>
  <si>
    <t>EXN_088</t>
  </si>
  <si>
    <t>CTR_1149_Z_Ekoumdoum-Crf-De-Lamitie</t>
  </si>
  <si>
    <t>CTR_1149</t>
  </si>
  <si>
    <t>Dschang-Universite</t>
  </si>
  <si>
    <t>OST_106</t>
  </si>
  <si>
    <t>Mora-IHS</t>
  </si>
  <si>
    <t>EXN_106</t>
  </si>
  <si>
    <t>Buea-Sandpit-IHS</t>
  </si>
  <si>
    <t>SUO_180</t>
  </si>
  <si>
    <t>Melong-Carrefour-MTN</t>
  </si>
  <si>
    <t>LIT_679</t>
  </si>
  <si>
    <t>Melong</t>
  </si>
  <si>
    <t>Bertoua-Camtel</t>
  </si>
  <si>
    <t>EST_143</t>
  </si>
  <si>
    <t>Meiganga-EELC-MTN-IHS</t>
  </si>
  <si>
    <t>ADM_106</t>
  </si>
  <si>
    <t>Foumban-Njintout-II</t>
  </si>
  <si>
    <t>OST_178</t>
  </si>
  <si>
    <t>Buea-Signal-Hill</t>
  </si>
  <si>
    <t>SUO_023</t>
  </si>
  <si>
    <t>Foumban-Ndjidare</t>
  </si>
  <si>
    <t>OST_087</t>
  </si>
  <si>
    <t>Bfsam-Ndiandam-II</t>
  </si>
  <si>
    <t>OST_240</t>
  </si>
  <si>
    <t>Ancienne-Mairie-Dla-V</t>
  </si>
  <si>
    <t>LIT_771</t>
  </si>
  <si>
    <t>Bertoua-Mokolo</t>
  </si>
  <si>
    <t>EST_060</t>
  </si>
  <si>
    <t>Garoua-Chateau</t>
  </si>
  <si>
    <t>NRD_018</t>
  </si>
  <si>
    <t>OST_360_H_Bandjoun-Yom-V</t>
  </si>
  <si>
    <t>OST_360</t>
  </si>
  <si>
    <t>Buea-Orange</t>
  </si>
  <si>
    <t>SUO_007</t>
  </si>
  <si>
    <t>Quartier-Gentil</t>
  </si>
  <si>
    <t>LIT_450</t>
  </si>
  <si>
    <t>EST_074_N_Mazabe</t>
  </si>
  <si>
    <t>EST_074</t>
  </si>
  <si>
    <t>Solar Only</t>
  </si>
  <si>
    <t>Mazabe</t>
  </si>
  <si>
    <t>EST_201_Z_Bertoua-Qtier-Toungou</t>
  </si>
  <si>
    <t>EST_201</t>
  </si>
  <si>
    <t>Ombessa</t>
  </si>
  <si>
    <t>CTR_095</t>
  </si>
  <si>
    <t>Limbe-Batoke-Camtel</t>
  </si>
  <si>
    <t>SUO_227</t>
  </si>
  <si>
    <t>Bertoua-Ngaikada</t>
  </si>
  <si>
    <t>EST_051</t>
  </si>
  <si>
    <t>Bberi-Abattoir</t>
  </si>
  <si>
    <t>LIT_346</t>
  </si>
  <si>
    <t>Matomb</t>
  </si>
  <si>
    <t>CTR_005</t>
  </si>
  <si>
    <t>Ngd-Bamyangal-rural</t>
  </si>
  <si>
    <t>ADM_151</t>
  </si>
  <si>
    <t>Ebombe</t>
  </si>
  <si>
    <t>CTR_003</t>
  </si>
  <si>
    <t>Ngambe</t>
  </si>
  <si>
    <t>SUO_029</t>
  </si>
  <si>
    <t>Doualare-II</t>
  </si>
  <si>
    <t>EXN_197</t>
  </si>
  <si>
    <t>Otele</t>
  </si>
  <si>
    <t>CTR_201</t>
  </si>
  <si>
    <t>Kodek-Djarengol</t>
  </si>
  <si>
    <t>EXN_053</t>
  </si>
  <si>
    <t>Botmakak</t>
  </si>
  <si>
    <t>CTR_189</t>
  </si>
  <si>
    <t>Stade-Omnisport-Roumde-Adja</t>
  </si>
  <si>
    <t>NRD_174</t>
  </si>
  <si>
    <t>Dschang-Lycee-Technique-IHS</t>
  </si>
  <si>
    <t>OST_267</t>
  </si>
  <si>
    <t>OST_362_H_Dschang-TSINBING</t>
  </si>
  <si>
    <t>OST_362</t>
  </si>
  <si>
    <t>Mora-Technical-School-MTN-IHS</t>
  </si>
  <si>
    <t>EXN_134</t>
  </si>
  <si>
    <t>Mora4-IHS</t>
  </si>
  <si>
    <t>EXN_258</t>
  </si>
  <si>
    <t>Limbe-Fini-Hotel</t>
  </si>
  <si>
    <t>SUO_078</t>
  </si>
  <si>
    <t>Makondo</t>
  </si>
  <si>
    <t>LIT_114</t>
  </si>
  <si>
    <t>Agape</t>
  </si>
  <si>
    <t>LIT_609</t>
  </si>
  <si>
    <t>Ebolowa-Mekalat</t>
  </si>
  <si>
    <t>SUD_223</t>
  </si>
  <si>
    <t>Bamenda-Old-Town-IHS</t>
  </si>
  <si>
    <t>NRO_119</t>
  </si>
  <si>
    <t>Bertoua-Dabadi</t>
  </si>
  <si>
    <t>EST_087</t>
  </si>
  <si>
    <t>Ngoung</t>
  </si>
  <si>
    <t>CTR_115</t>
  </si>
  <si>
    <t xml:space="preserve">{06-07-2026 cell zte}: 01/06/2026 : Need BO RAN analysis || FME Should check GPS connectivity and module || New site         ;         {06-07-2026 cell zte}: 01/06/2026 : Need BO RAN analysis || FME Should check GPS connectivity and module || New site </t>
  </si>
  <si>
    <t>01/06/2026 Need BO RAN analysis || FME Should check GPS connectivity and module || New site 01/06/2026 Need BO RAN analysis || FME Should check GPS connectivity and module || New site</t>
  </si>
  <si>
    <t>Mbanga-Bakoko-SIC</t>
  </si>
  <si>
    <t>LIT_614</t>
  </si>
  <si>
    <t>LIT_113</t>
  </si>
  <si>
    <t>LIT_827_Z_Bwang-Bakoko</t>
  </si>
  <si>
    <t>LIT_827</t>
  </si>
  <si>
    <t>Parcours-Vita</t>
  </si>
  <si>
    <t>LIT_666</t>
  </si>
  <si>
    <t>Ngog-Mbog</t>
  </si>
  <si>
    <t>LIT_121</t>
  </si>
  <si>
    <t>Crf-Patrick-Mboma</t>
  </si>
  <si>
    <t>LIT_697</t>
  </si>
  <si>
    <t>Dschang-St-Augustin</t>
  </si>
  <si>
    <t>OST_084</t>
  </si>
  <si>
    <t>NYANGOBE-MTN</t>
  </si>
  <si>
    <t>LIT_685</t>
  </si>
  <si>
    <t>BIAKOA-MTN-IHS</t>
  </si>
  <si>
    <t>CTR_443</t>
  </si>
  <si>
    <t>Biakoa</t>
  </si>
  <si>
    <t>Ndobo3-MTN</t>
  </si>
  <si>
    <t>LIT_624</t>
  </si>
  <si>
    <t>grid + Gen</t>
  </si>
  <si>
    <t>Bsadi-ZoneA-New</t>
  </si>
  <si>
    <t>LIT_277</t>
  </si>
  <si>
    <t>EST_197_Z_Bertoua-Mokolo-IV-MTN-IHS</t>
  </si>
  <si>
    <t>EST_197</t>
  </si>
  <si>
    <t>Logbaba</t>
  </si>
  <si>
    <t>LIT_058</t>
  </si>
  <si>
    <t>Ntui</t>
  </si>
  <si>
    <t>CTR_114</t>
  </si>
  <si>
    <t>{06-07-2026 cell zte}: 01/06/2026 : Site down
29/05/2026 : Site down        ;         {06-07-2026 cell zte}: 01/06/2026 : Site down
29/05/2026 : Site down</t>
  </si>
  <si>
    <t>01/06/2026 Site down
29/05/2026 Site down 01/06/2026 Site down
29/05/2026 Site down</t>
  </si>
  <si>
    <t>Makepe-Ecole-Sira</t>
  </si>
  <si>
    <t>LIT_167</t>
  </si>
  <si>
    <t>EST_193_Z_Bertoua-Npoklota-Crf-ENIET</t>
  </si>
  <si>
    <t>EST_193</t>
  </si>
  <si>
    <t>EXN_011</t>
  </si>
  <si>
    <t>Kribi-Bwambe-II</t>
  </si>
  <si>
    <t>SUD_093</t>
  </si>
  <si>
    <t>Ntui-Ecole-Publique</t>
  </si>
  <si>
    <t>CTR_826</t>
  </si>
  <si>
    <t>Nkolbisson-Usne-Ds-Eaux-IHS</t>
  </si>
  <si>
    <t>CTR_522</t>
  </si>
  <si>
    <t>Mombal-MTN</t>
  </si>
  <si>
    <t>EST_061</t>
  </si>
  <si>
    <t>Mombal</t>
  </si>
  <si>
    <t>Batchenga-Nachtigal-IHS</t>
  </si>
  <si>
    <t>CTR_699</t>
  </si>
  <si>
    <t>Goufan</t>
  </si>
  <si>
    <t>CTR_231</t>
  </si>
  <si>
    <t>Magada-IHS</t>
  </si>
  <si>
    <t>EXN_128</t>
  </si>
  <si>
    <t>Magada</t>
  </si>
  <si>
    <t>Kaele-MTN-IHS</t>
  </si>
  <si>
    <t>EXN_160</t>
  </si>
  <si>
    <t>Kong-Kong-IHS</t>
  </si>
  <si>
    <t>NRD_070</t>
  </si>
  <si>
    <t>KongKong</t>
  </si>
  <si>
    <t>Kumba-Fiango-IHS</t>
  </si>
  <si>
    <t>SUO_110</t>
  </si>
  <si>
    <t>Mom</t>
  </si>
  <si>
    <t>CTR_202</t>
  </si>
  <si>
    <t>Olama-IHS</t>
  </si>
  <si>
    <t>CTR_441</t>
  </si>
  <si>
    <t>Olama</t>
  </si>
  <si>
    <t>Ndom</t>
  </si>
  <si>
    <t>SUO_028</t>
  </si>
  <si>
    <t>SUD_028</t>
  </si>
  <si>
    <t>Yelwa-MTN-IHS</t>
  </si>
  <si>
    <t>NRD_097</t>
  </si>
  <si>
    <t>Tombel-MTN</t>
  </si>
  <si>
    <t>LIT_225</t>
  </si>
  <si>
    <t>Tombel</t>
  </si>
  <si>
    <t>Ndogp-Nodal</t>
  </si>
  <si>
    <t>LIT_093</t>
  </si>
  <si>
    <t>Ngd-Bamyanga2-IHS</t>
  </si>
  <si>
    <t>ADM_136</t>
  </si>
  <si>
    <t>C-D-Billes</t>
  </si>
  <si>
    <t>LIT_084</t>
  </si>
  <si>
    <t>Nyalla</t>
  </si>
  <si>
    <t>LIT_059</t>
  </si>
  <si>
    <t>Nyalla-Pariso</t>
  </si>
  <si>
    <t>LIT_179</t>
  </si>
  <si>
    <t>Colline-du-loup</t>
  </si>
  <si>
    <t>LIT_133</t>
  </si>
  <si>
    <t>Ebodje</t>
  </si>
  <si>
    <t>Song-Kot-IHS</t>
  </si>
  <si>
    <t>LIT_374</t>
  </si>
  <si>
    <t>LIT_839_Z_KMC-NKOLBONG</t>
  </si>
  <si>
    <t>LIT_839</t>
  </si>
  <si>
    <t>Mengong</t>
  </si>
  <si>
    <t>SUD_017</t>
  </si>
  <si>
    <t>Abiete</t>
  </si>
  <si>
    <t>LIT_851_Z_Yassa-La-Perle</t>
  </si>
  <si>
    <t>LIT_851</t>
  </si>
  <si>
    <t>Good-Grid + solar + SE</t>
  </si>
  <si>
    <t>Soa-UNIV-MTN</t>
  </si>
  <si>
    <t>CTR_431</t>
  </si>
  <si>
    <t>LIT_069</t>
  </si>
  <si>
    <t>Youpwe</t>
  </si>
  <si>
    <t>LIT_268</t>
  </si>
  <si>
    <t>Dibang</t>
  </si>
  <si>
    <t>CTR_204</t>
  </si>
  <si>
    <t>Soulede</t>
  </si>
  <si>
    <t>EXN_052</t>
  </si>
  <si>
    <t>Ndokoma</t>
  </si>
  <si>
    <t>LIT_308</t>
  </si>
  <si>
    <t>Ngwei-II-IHS</t>
  </si>
  <si>
    <t>LIT_664</t>
  </si>
  <si>
    <t>Ngwei</t>
  </si>
  <si>
    <t>LIT_108</t>
  </si>
  <si>
    <t>MONATELE-IHS</t>
  </si>
  <si>
    <t>CTR_869</t>
  </si>
  <si>
    <t>Sibongo</t>
  </si>
  <si>
    <t>LIT_507</t>
  </si>
  <si>
    <t>Zanay-IHS</t>
  </si>
  <si>
    <t>EXN_131</t>
  </si>
  <si>
    <t>Zanay</t>
  </si>
  <si>
    <t>Ekie-Nodal</t>
  </si>
  <si>
    <t>CTR_575</t>
  </si>
  <si>
    <t>H-Paradis</t>
  </si>
  <si>
    <t>CTR_093</t>
  </si>
  <si>
    <t>Mendong-Vallee2-MTN-IHS</t>
  </si>
  <si>
    <t>CTR_521</t>
  </si>
  <si>
    <t>Nkolbong</t>
  </si>
  <si>
    <t>CTR_271</t>
  </si>
  <si>
    <t>Bambili-Round-About-IHS</t>
  </si>
  <si>
    <t>NRO_068</t>
  </si>
  <si>
    <t>EST_206_Z_Garoua-Boulai-Goza</t>
  </si>
  <si>
    <t>EST_206</t>
  </si>
  <si>
    <t>EST_202_Z_Bertoua-Tigaza-II</t>
  </si>
  <si>
    <t>EST_202</t>
  </si>
  <si>
    <t>Ahala</t>
  </si>
  <si>
    <t>CTR_195</t>
  </si>
  <si>
    <t>Bamenda-Bayelle-MTN</t>
  </si>
  <si>
    <t>NRO_112</t>
  </si>
  <si>
    <t>Ngoumou-I</t>
  </si>
  <si>
    <t>CTR_577</t>
  </si>
  <si>
    <t>Ngoumou</t>
  </si>
  <si>
    <t>Lemla</t>
  </si>
  <si>
    <t>OST_261</t>
  </si>
  <si>
    <t>Ndoulou-IHS</t>
  </si>
  <si>
    <t>LIT_431</t>
  </si>
  <si>
    <t>Ndoulou</t>
  </si>
  <si>
    <t>Bberi-Warehouse-IHS</t>
  </si>
  <si>
    <t>LIT_597</t>
  </si>
  <si>
    <t>Soa-Town-IHS</t>
  </si>
  <si>
    <t>CTR_649</t>
  </si>
  <si>
    <t>Maroua-Entree</t>
  </si>
  <si>
    <t>EXN_250</t>
  </si>
  <si>
    <t>Akono</t>
  </si>
  <si>
    <t>CTR_063</t>
  </si>
  <si>
    <t>Miende-MTN</t>
  </si>
  <si>
    <t>CTR_307</t>
  </si>
  <si>
    <t>Miende</t>
  </si>
  <si>
    <t>Japoma-I</t>
  </si>
  <si>
    <t>LIT_725</t>
  </si>
  <si>
    <t>Bamenda-Foncha-Street-IHS</t>
  </si>
  <si>
    <t>NRO_121</t>
  </si>
  <si>
    <t>Essa-Mintsang-IHS</t>
  </si>
  <si>
    <t>CTR_147</t>
  </si>
  <si>
    <t>Essa-Mintsang</t>
  </si>
  <si>
    <t>Montee-Des-Soeurs-IHS</t>
  </si>
  <si>
    <t>CTR_149</t>
  </si>
  <si>
    <t>Simbock</t>
  </si>
  <si>
    <t>CTR_069</t>
  </si>
  <si>
    <t>Foumban-Lycee-MTN</t>
  </si>
  <si>
    <t>OST_128</t>
  </si>
  <si>
    <t>Ndjole</t>
  </si>
  <si>
    <t>CTR_893</t>
  </si>
  <si>
    <t>Nkomeda</t>
  </si>
  <si>
    <t>CTR_597</t>
  </si>
  <si>
    <t>CTR_036</t>
  </si>
  <si>
    <t>Nkapa</t>
  </si>
  <si>
    <t>LIT_051</t>
  </si>
  <si>
    <t>Limbon-IHS</t>
  </si>
  <si>
    <t>ADM_080</t>
  </si>
  <si>
    <t>Limbon</t>
  </si>
  <si>
    <t>Eleveur</t>
  </si>
  <si>
    <t>CTR_254</t>
  </si>
  <si>
    <t>Niete-V14</t>
  </si>
  <si>
    <t>LIT_193</t>
  </si>
  <si>
    <t>Sodiko-Gare-Rtiere-IHS</t>
  </si>
  <si>
    <t>LIT_137</t>
  </si>
  <si>
    <t>Minkwele-IHS</t>
  </si>
  <si>
    <t>LIT_479</t>
  </si>
  <si>
    <t>Minkwele</t>
  </si>
  <si>
    <t>Bamenda-Blue-moon-IHS</t>
  </si>
  <si>
    <t>NRO_128</t>
  </si>
  <si>
    <t>Bda-Nitop-II</t>
  </si>
  <si>
    <t>NRO_226</t>
  </si>
  <si>
    <t>Sky-Way-Hotel-IHS</t>
  </si>
  <si>
    <t>LIT_141</t>
  </si>
  <si>
    <t>Bfsam-Djemoun</t>
  </si>
  <si>
    <t>OST_001</t>
  </si>
  <si>
    <t>Bafang-Centre</t>
  </si>
  <si>
    <t>OST_126</t>
  </si>
  <si>
    <t>Bafang</t>
  </si>
  <si>
    <t>Bafang-Hotel-IHS</t>
  </si>
  <si>
    <t>OST_222</t>
  </si>
  <si>
    <t>Bamenda-Abangoh-IHS</t>
  </si>
  <si>
    <t>NRO_064</t>
  </si>
  <si>
    <t>Garoua-Camp-Chinois-II</t>
  </si>
  <si>
    <t>NRD_163</t>
  </si>
  <si>
    <t>PK5</t>
  </si>
  <si>
    <t>LIT_073</t>
  </si>
  <si>
    <t>Nkolmintag</t>
  </si>
  <si>
    <t>LIT_539</t>
  </si>
  <si>
    <t>Bda-Titam-Naka</t>
  </si>
  <si>
    <t>OST_113</t>
  </si>
  <si>
    <t>Ngd-burkina-rural</t>
  </si>
  <si>
    <t>ADM_147</t>
  </si>
  <si>
    <t>SUD_191_Z_Kribi-Terre-Promise</t>
  </si>
  <si>
    <t>SUD_191</t>
  </si>
  <si>
    <t>Banyangui</t>
  </si>
  <si>
    <t>LIT_382</t>
  </si>
  <si>
    <t>SUD_172_Z_Ebolowa-EPC-ELAT</t>
  </si>
  <si>
    <t>SUD_172</t>
  </si>
  <si>
    <t>Bertoua-Camp-SIC-IHS</t>
  </si>
  <si>
    <t>EST_025</t>
  </si>
  <si>
    <t>H-Progres</t>
  </si>
  <si>
    <t>CTR_017</t>
  </si>
  <si>
    <t>Abome-New</t>
  </si>
  <si>
    <t>CTR_549</t>
  </si>
  <si>
    <t>Nyom-II-IHS</t>
  </si>
  <si>
    <t>CTR_648</t>
  </si>
  <si>
    <t>Eseka-Town-MTN-IHS</t>
  </si>
  <si>
    <t>CTR_185</t>
  </si>
  <si>
    <t>Eseka</t>
  </si>
  <si>
    <t>CTR_067</t>
  </si>
  <si>
    <t>Galdi</t>
  </si>
  <si>
    <t>ADM_031</t>
  </si>
  <si>
    <t>Awae-MTN-IHS</t>
  </si>
  <si>
    <t>CTR_187</t>
  </si>
  <si>
    <t>Awae</t>
  </si>
  <si>
    <t>Boumnyebel-MTN</t>
  </si>
  <si>
    <t>CTR_286</t>
  </si>
  <si>
    <t>Boumnyebel</t>
  </si>
  <si>
    <t>BIBA-MTN</t>
  </si>
  <si>
    <t>CTR_304</t>
  </si>
  <si>
    <t>Biba</t>
  </si>
  <si>
    <t>Dibi-MTN</t>
  </si>
  <si>
    <t>ADM_032</t>
  </si>
  <si>
    <t>Dibi</t>
  </si>
  <si>
    <t>Laore-MTN-IHS</t>
  </si>
  <si>
    <t>ADM_093</t>
  </si>
  <si>
    <t>Laore</t>
  </si>
  <si>
    <t>Belel-MTN-IHS</t>
  </si>
  <si>
    <t>ADM_096</t>
  </si>
  <si>
    <t>Belel</t>
  </si>
  <si>
    <t>Soukounga-MTN</t>
  </si>
  <si>
    <t>ADM_030</t>
  </si>
  <si>
    <t>Soukounga</t>
  </si>
  <si>
    <t>Maroua-Orange</t>
  </si>
  <si>
    <t>EXN_044</t>
  </si>
  <si>
    <t>Sombo</t>
  </si>
  <si>
    <t>CTR_013</t>
  </si>
  <si>
    <t>Boga-Mahole</t>
  </si>
  <si>
    <t>CTR_234</t>
  </si>
  <si>
    <t>CTR_058</t>
  </si>
  <si>
    <t>Mamb</t>
  </si>
  <si>
    <t>CTR_356</t>
  </si>
  <si>
    <t>Biyouha</t>
  </si>
  <si>
    <t>CTR_855</t>
  </si>
  <si>
    <t>Bda-Kwe-Pastoral-Center-IHS</t>
  </si>
  <si>
    <t>NRO_062</t>
  </si>
  <si>
    <t>Tourningal-MTN-IHS</t>
  </si>
  <si>
    <t>ADM_094</t>
  </si>
  <si>
    <t>Tournigal</t>
  </si>
  <si>
    <t>Garoua-Camp-Chinois-IHS</t>
  </si>
  <si>
    <t>NRD_073</t>
  </si>
  <si>
    <t>Limbe-Semme-Beach-MTN</t>
  </si>
  <si>
    <t>SUO_082</t>
  </si>
  <si>
    <t>Djerkoka-MTN-IHS</t>
  </si>
  <si>
    <t>ADM_095</t>
  </si>
  <si>
    <t>Djerkoka</t>
  </si>
  <si>
    <t>Nkoambang</t>
  </si>
  <si>
    <t>CTR_891</t>
  </si>
  <si>
    <t>Hikoa-Malep-Camrail</t>
  </si>
  <si>
    <t>LIT_402</t>
  </si>
  <si>
    <t>Foumban-Manka-IHS</t>
  </si>
  <si>
    <t>OST_042</t>
  </si>
  <si>
    <t>Foumban-Njibam</t>
  </si>
  <si>
    <t>OST_177</t>
  </si>
  <si>
    <t>Akum-IHS</t>
  </si>
  <si>
    <t>NRO_139</t>
  </si>
  <si>
    <t>Akum</t>
  </si>
  <si>
    <t>Kotto-Eglise-EPC</t>
  </si>
  <si>
    <t>LIT_454</t>
  </si>
  <si>
    <t>Ndokoti-New</t>
  </si>
  <si>
    <t>LIT_217</t>
  </si>
  <si>
    <t>Ndogbessol-IHS</t>
  </si>
  <si>
    <t>LIT_499</t>
  </si>
  <si>
    <t>Ndogbessol</t>
  </si>
  <si>
    <t>Base-Navale</t>
  </si>
  <si>
    <t>LIT_347</t>
  </si>
  <si>
    <t>CTR_984_Z_Mbalmayo-Ngalan-II</t>
  </si>
  <si>
    <t>CTR_984</t>
  </si>
  <si>
    <t>Cite-de-la-Paix</t>
  </si>
  <si>
    <t>LIT_442</t>
  </si>
  <si>
    <t>Maroua-Harde</t>
  </si>
  <si>
    <t>EXN_091</t>
  </si>
  <si>
    <t>Garoua-Lycee-Technique-MTN</t>
  </si>
  <si>
    <t>NRD_063</t>
  </si>
  <si>
    <t>Omnisport-Rail-IHS</t>
  </si>
  <si>
    <t>CTR_161</t>
  </si>
  <si>
    <t>Garoua-Nigeriare-II</t>
  </si>
  <si>
    <t>NRD_140</t>
  </si>
  <si>
    <t>Mak-Missoke</t>
  </si>
  <si>
    <t>LIT_080</t>
  </si>
  <si>
    <t>Nkong-Marche</t>
  </si>
  <si>
    <t>LIT_071</t>
  </si>
  <si>
    <t>NKONGSAMBA-Q8-CIMETIERE-IHS</t>
  </si>
  <si>
    <t>LIT_735</t>
  </si>
  <si>
    <t>Campo</t>
  </si>
  <si>
    <t>LIT_132</t>
  </si>
  <si>
    <t>Campo-Beach-IHS</t>
  </si>
  <si>
    <t>LIT_494</t>
  </si>
  <si>
    <t>Sangmelima-Chateau</t>
  </si>
  <si>
    <t>SUD_260</t>
  </si>
  <si>
    <t>Makepe-Missoke-Clinique</t>
  </si>
  <si>
    <t>LIT_398</t>
  </si>
  <si>
    <t>EST_205_Z_Mandjou-Sallekere</t>
  </si>
  <si>
    <t>EST_205</t>
  </si>
  <si>
    <t>Mandjou</t>
  </si>
  <si>
    <t>OST_009</t>
  </si>
  <si>
    <t>Bda-Bus-Station-IHS</t>
  </si>
  <si>
    <t>NRO_066</t>
  </si>
  <si>
    <t>LIT_063</t>
  </si>
  <si>
    <t>Bertoua-Kano</t>
  </si>
  <si>
    <t>EST_032</t>
  </si>
  <si>
    <t>Sangmelima-Akon-MTN</t>
  </si>
  <si>
    <t>SUD_258</t>
  </si>
  <si>
    <t>Bata</t>
  </si>
  <si>
    <t>ADM_027</t>
  </si>
  <si>
    <t>NRD_253_H_GAROUA-CENTRE-PASTEUR</t>
  </si>
  <si>
    <t>NRD_253</t>
  </si>
  <si>
    <t>Bapa</t>
  </si>
  <si>
    <t>OST_259</t>
  </si>
  <si>
    <t>SGC_Bonanjo</t>
  </si>
  <si>
    <t>LIT_742</t>
  </si>
  <si>
    <t>Oyack-IHS</t>
  </si>
  <si>
    <t>LIT_368</t>
  </si>
  <si>
    <t xml:space="preserve">{06-07-2026 cell zte}: 05/06/2026 : ETA : 14H || FME a efectuer tous les checks demander par zte || 
04/06/2026 : ZTE a demander certains checks avant le rempplacement  de la radio || L e fme se rendra sur site pour les tchecks 
03/-06/2026 : Point transferer a zte pour validation de la radio 
31/05/2026 : En attente du RI pour soumettre a ZTE 
30/05/2026 : FME a constater que la RRU faulty apres intervention || Commande initier 
29/05/2026 : Check and clean RRU   61 ant 4 || FME activer || ETA : 15H || Intervention en cours || En attente du feedback du FME         ;         {06-07-2026 cell zte}: 05/06/2026 : ETA : 14H || FME a efectuer tous les checks demander par zte || 
04/06/2026 : ZTE a demander certains checks avant le rempplacement  de la radio || L e fme se rendra sur site pour les tchecks 
03/-06/2026 : Point transferer a zte pour validation de la radio 
31/05/2026 : En attente du RI pour soumettre a ZTE 
30/05/2026 : FME a constater que la RRU faulty apres intervention || Commande initier 
29/05/2026 : Check and clean RRU   61 ant 4 || FME activer || ETA : 15H || Intervention en cours || En attente du feedback du FME </t>
  </si>
  <si>
    <t>05/06/2026 ETA 14H || FME a efectuer tous les checks demander par zte ||
04/06/2026 ZTE a demander certains checks avant le rempplacement de la radio || L e fme se rendra sur site pour les tchecks
03/-06/2026 Point transferer a zte pour validation de la radio
31/05/2026 En attente du RI pour soumettre a ZTE
30/05/2026 FME a constater que la RRU faulty apres intervention || Commande initier
29/05/2026 Check and clean RRU 61 ant 4 || FME activer || ETA 15H || Intervention en cours || En attente du feedback du FME 05/06/2026 ETA 14H || FME a efectuer tous les checks demander par zte ||
04/06/2026 ZTE a demander certains checks avant le rempplacement de la radio || L e fme se rendra sur site pour les tchecks
03/-06/2026 Point transferer a zte pour validation de la radio
31/05/2026 En attente du RI pour soumettre a ZTE
30/05/2026 FME a constater que la RRU faulty apres intervention || Commande initier
29/05/2026 Check and clean RRU 61 ant 4 || FME activer || ETA 15H || Intervention en cours || En attente du feedback du FME</t>
  </si>
  <si>
    <t>Tibati-Market-MTN-IHS</t>
  </si>
  <si>
    <t>ADM_105</t>
  </si>
  <si>
    <t>Ngam</t>
  </si>
  <si>
    <t>ADM_023</t>
  </si>
  <si>
    <t>Nintyaminyoumin</t>
  </si>
  <si>
    <t>SUD_130</t>
  </si>
  <si>
    <t>Evidence-building-IHS</t>
  </si>
  <si>
    <t>NRO_123</t>
  </si>
  <si>
    <t>Bidzar-MTN</t>
  </si>
  <si>
    <t>NRD_027</t>
  </si>
  <si>
    <t>Bidzar</t>
  </si>
  <si>
    <t>CTR_780</t>
  </si>
  <si>
    <t>Longtimbi</t>
  </si>
  <si>
    <t>EST_072</t>
  </si>
  <si>
    <t>Kompigna</t>
  </si>
  <si>
    <t>LIT_111</t>
  </si>
  <si>
    <t>Garoua-Roumde-Adja</t>
  </si>
  <si>
    <t>NRD_065</t>
  </si>
  <si>
    <t>Marche-Congo</t>
  </si>
  <si>
    <t>LIT_547</t>
  </si>
  <si>
    <t>Bfsam-Ndiandam</t>
  </si>
  <si>
    <t>OST_119</t>
  </si>
  <si>
    <t>Foumban-Ndjisse-III</t>
  </si>
  <si>
    <t>OST_229</t>
  </si>
  <si>
    <t>Esse-IHS</t>
  </si>
  <si>
    <t>CTR_134</t>
  </si>
  <si>
    <t>Esse</t>
  </si>
  <si>
    <t>Bertoua-Bonis-MTN</t>
  </si>
  <si>
    <t>EST_052</t>
  </si>
  <si>
    <t>Gra-Plateau-MTN</t>
  </si>
  <si>
    <t>NRD_035</t>
  </si>
  <si>
    <t>Bda-Mulang</t>
  </si>
  <si>
    <t>NRO_243</t>
  </si>
  <si>
    <t>Bamenda-Mile8-IHS</t>
  </si>
  <si>
    <t>NRO_135</t>
  </si>
  <si>
    <t>Foumban-Ndjisse</t>
  </si>
  <si>
    <t>OST_083</t>
  </si>
  <si>
    <t>Ndikinimeki-New</t>
  </si>
  <si>
    <t>CTR_544</t>
  </si>
  <si>
    <t>Ndikinimeki</t>
  </si>
  <si>
    <t>LIT_039</t>
  </si>
  <si>
    <t>Garoua-Boulai-Entrance</t>
  </si>
  <si>
    <t>EST_144</t>
  </si>
  <si>
    <t>Bonawon</t>
  </si>
  <si>
    <t>LIT_400</t>
  </si>
  <si>
    <t>Kumba-Station-IHS</t>
  </si>
  <si>
    <t>SUO_126</t>
  </si>
  <si>
    <t>Ngong-Marche</t>
  </si>
  <si>
    <t>NRD_132</t>
  </si>
  <si>
    <t>Garoua-Boulai-new</t>
  </si>
  <si>
    <t>EST_118</t>
  </si>
  <si>
    <t>Bsadi-Terminus</t>
  </si>
  <si>
    <t>LIT_057</t>
  </si>
  <si>
    <t>Mbankomo-MTN</t>
  </si>
  <si>
    <t>CTR_222</t>
  </si>
  <si>
    <t>Ngd-Baladji</t>
  </si>
  <si>
    <t>ADM_035</t>
  </si>
  <si>
    <t>PK8</t>
  </si>
  <si>
    <t>LIT_255</t>
  </si>
  <si>
    <t>Djamboutou</t>
  </si>
  <si>
    <t>NRD_003</t>
  </si>
  <si>
    <t>Doualare</t>
  </si>
  <si>
    <t>EXN_030</t>
  </si>
  <si>
    <t>Nyalla-Kilimandjaro</t>
  </si>
  <si>
    <t>LIT_343</t>
  </si>
  <si>
    <t>Bambili-University-IHS</t>
  </si>
  <si>
    <t>NRO_061</t>
  </si>
  <si>
    <t>Bambili-Campus-II-IHS</t>
  </si>
  <si>
    <t>NRO_129</t>
  </si>
  <si>
    <t>Obala-ville-IHS</t>
  </si>
  <si>
    <t>CTR_627</t>
  </si>
  <si>
    <t>Yop-IHS</t>
  </si>
  <si>
    <t>CTR_673</t>
  </si>
  <si>
    <t>Yop</t>
  </si>
  <si>
    <t>Obala-Mairie</t>
  </si>
  <si>
    <t>CTR_113</t>
  </si>
  <si>
    <t>Metet</t>
  </si>
  <si>
    <t>CTR_053</t>
  </si>
  <si>
    <t>EST_203_Z_Bertoua-Koume-Bonis</t>
  </si>
  <si>
    <t>EST_203</t>
  </si>
  <si>
    <t>Mbalmayo-mbokoulo-IHS</t>
  </si>
  <si>
    <t>CTR_136</t>
  </si>
  <si>
    <t>Bertoua-Lycee-Technique</t>
  </si>
  <si>
    <t>EST_131</t>
  </si>
  <si>
    <t>CTR_021</t>
  </si>
  <si>
    <t>Mbalmayo-Oyack</t>
  </si>
  <si>
    <t>CTR_493</t>
  </si>
  <si>
    <t>CTR_112</t>
  </si>
  <si>
    <t>{06-07-2026 cell zte}: CEX OCM        ;         {06-07-2026 cell zte}: 07/06/2026 : Site down</t>
  </si>
  <si>
    <t>CEX OCM 07/06/2026 Site down</t>
  </si>
  <si>
    <t>Nkoteng-Ville-IHS</t>
  </si>
  <si>
    <t>CTR_506</t>
  </si>
  <si>
    <t>Nkoteng</t>
  </si>
  <si>
    <t>Gado-Badzere</t>
  </si>
  <si>
    <t>EST_055</t>
  </si>
  <si>
    <t>Doume-MTN-IHS</t>
  </si>
  <si>
    <t>EST_092</t>
  </si>
  <si>
    <t>CTR_983_Z_Mbalmayo-Mbockulu-Ecole-publique</t>
  </si>
  <si>
    <t>CTR_983</t>
  </si>
  <si>
    <t>EST_196_Z_Bertoua-Nkolbikon-LB</t>
  </si>
  <si>
    <t>EST_196</t>
  </si>
  <si>
    <t>Mbalmayo-Ngalan</t>
  </si>
  <si>
    <t>CTR_252</t>
  </si>
  <si>
    <t>Bertoua-Crtv</t>
  </si>
  <si>
    <t>EST_004</t>
  </si>
  <si>
    <t>Mbandjock</t>
  </si>
  <si>
    <t>CTR_030</t>
  </si>
  <si>
    <t>Admin</t>
  </si>
  <si>
    <t>EST_108</t>
  </si>
  <si>
    <t>Nkometou</t>
  </si>
  <si>
    <t>CTR_061</t>
  </si>
  <si>
    <t>Nkolfoulou-II-IHS</t>
  </si>
  <si>
    <t>CTR_621</t>
  </si>
  <si>
    <t>Nkolfoulou</t>
  </si>
  <si>
    <t>CTR_214</t>
  </si>
  <si>
    <t>CTR_954_Z_Nkolfoulou-III</t>
  </si>
  <si>
    <t>CTR_954</t>
  </si>
  <si>
    <t>CTR_073</t>
  </si>
  <si>
    <t>Abong-Mbang-II</t>
  </si>
  <si>
    <t>EST_036</t>
  </si>
  <si>
    <t>Abong-Mbang</t>
  </si>
  <si>
    <t>Garoua-H-Plateau</t>
  </si>
  <si>
    <t>NRD_175</t>
  </si>
  <si>
    <t>Kake</t>
  </si>
  <si>
    <t>LIT_769</t>
  </si>
  <si>
    <t>SANGLA</t>
  </si>
  <si>
    <t>CTR_892</t>
  </si>
  <si>
    <t>Sangla</t>
  </si>
  <si>
    <t>Koundou-MTN</t>
  </si>
  <si>
    <t>CTR_823</t>
  </si>
  <si>
    <t>Koundou</t>
  </si>
  <si>
    <t>Minkama-IHS</t>
  </si>
  <si>
    <t>CTR_909</t>
  </si>
  <si>
    <t>Motcheboum</t>
  </si>
  <si>
    <t>EST_062</t>
  </si>
  <si>
    <t>CTR_946_Z_Nkolfoulou-foret-Bar</t>
  </si>
  <si>
    <t>CTR_946</t>
  </si>
  <si>
    <t>NRD_190_H_Garoua-Military</t>
  </si>
  <si>
    <t>NRD_190</t>
  </si>
  <si>
    <t>Bertoua-Agence-New</t>
  </si>
  <si>
    <t>EST_088</t>
  </si>
  <si>
    <t>EST_001_Z_Bertoua</t>
  </si>
  <si>
    <t>EST_001</t>
  </si>
  <si>
    <t>Nkoteng-IHS</t>
  </si>
  <si>
    <t>CTR_152</t>
  </si>
  <si>
    <t>Mengang-MTN</t>
  </si>
  <si>
    <t>CTR_306</t>
  </si>
  <si>
    <t>Mengang</t>
  </si>
  <si>
    <t>Ngoulemakong-MTN</t>
  </si>
  <si>
    <t>EST_067</t>
  </si>
  <si>
    <t>Ngoulemakong</t>
  </si>
  <si>
    <t>Nkoum</t>
  </si>
  <si>
    <t>EST_022</t>
  </si>
  <si>
    <t>Dimako</t>
  </si>
  <si>
    <t>EST_019</t>
  </si>
  <si>
    <t>Atok</t>
  </si>
  <si>
    <t>EST_017</t>
  </si>
  <si>
    <t>Nguinda</t>
  </si>
  <si>
    <t>CTR_353</t>
  </si>
  <si>
    <t>Mekouda</t>
  </si>
  <si>
    <t>CTR_146</t>
  </si>
  <si>
    <t>Ebebda-MTN</t>
  </si>
  <si>
    <t>CTR_822</t>
  </si>
  <si>
    <t>Hybrid Solar 3</t>
  </si>
  <si>
    <t>Ebebda</t>
  </si>
  <si>
    <t>Ndokayo</t>
  </si>
  <si>
    <t>EST_054</t>
  </si>
  <si>
    <t>DZENG</t>
  </si>
  <si>
    <t>CTR_856</t>
  </si>
  <si>
    <t>Essiezik</t>
  </si>
  <si>
    <t>CTR_348</t>
  </si>
  <si>
    <t>Nguila</t>
  </si>
  <si>
    <t>CTR_299</t>
  </si>
  <si>
    <t>CTR_081</t>
  </si>
  <si>
    <t>Enganme-IHS</t>
  </si>
  <si>
    <t>CTR_143</t>
  </si>
  <si>
    <t>Enganme</t>
  </si>
  <si>
    <t>Zamakoe-MTN</t>
  </si>
  <si>
    <t>CTR_366</t>
  </si>
  <si>
    <t>Zamakoe</t>
  </si>
  <si>
    <t>Ezezang-MTN</t>
  </si>
  <si>
    <t>CTR_230</t>
  </si>
  <si>
    <t>Ezezang</t>
  </si>
  <si>
    <t>Memiam-MTN</t>
  </si>
  <si>
    <t>SUD_235</t>
  </si>
  <si>
    <t>Memiam</t>
  </si>
  <si>
    <t>Avebe-MTN</t>
  </si>
  <si>
    <t>SUD_236</t>
  </si>
  <si>
    <t>Avebe</t>
  </si>
  <si>
    <t>Nkog-Edzen</t>
  </si>
  <si>
    <t>CTR_041</t>
  </si>
  <si>
    <t>Botatango-MTN</t>
  </si>
  <si>
    <t>CTR_223</t>
  </si>
  <si>
    <t>Botatango</t>
  </si>
  <si>
    <t>Bouam</t>
  </si>
  <si>
    <t>EST_003</t>
  </si>
  <si>
    <t>Borongo-IHS</t>
  </si>
  <si>
    <t>EST_154</t>
  </si>
  <si>
    <t xml:space="preserve">Nganha </t>
  </si>
  <si>
    <t>EST_020</t>
  </si>
  <si>
    <t>Biteng-Maetur</t>
  </si>
  <si>
    <t>CTR_395</t>
  </si>
  <si>
    <t>Indoor-Agence-Ngaoundere</t>
  </si>
  <si>
    <t>ADM_176</t>
  </si>
  <si>
    <t>Nkoumadjap-IHS</t>
  </si>
  <si>
    <t>SUD_050</t>
  </si>
  <si>
    <t>Gird-Hybrid-Gen</t>
  </si>
  <si>
    <t>Nkoumadjap</t>
  </si>
  <si>
    <t>Paki-IHS</t>
  </si>
  <si>
    <t>EST_155</t>
  </si>
  <si>
    <t>Doumé</t>
  </si>
  <si>
    <t>Zili-Nkoteng-IHS</t>
  </si>
  <si>
    <t>CTR_910</t>
  </si>
  <si>
    <t>Brigaya</t>
  </si>
  <si>
    <t>EST_056</t>
  </si>
  <si>
    <t>Crfr-Ecole-Maternelle-Carriere</t>
  </si>
  <si>
    <t>CTR_557</t>
  </si>
  <si>
    <t>Ndokoti-Brasseries</t>
  </si>
  <si>
    <t>LIT_406</t>
  </si>
  <si>
    <t>NR-Bastos</t>
  </si>
  <si>
    <t>CTR_038</t>
  </si>
  <si>
    <t>LIT_187</t>
  </si>
  <si>
    <t>Nkong-CRTV-II</t>
  </si>
  <si>
    <t>LIT_558</t>
  </si>
  <si>
    <t>Ndokoti-Carrefour-MTN</t>
  </si>
  <si>
    <t>LIT_684</t>
  </si>
  <si>
    <t>Manjo-Q2-MTN</t>
  </si>
  <si>
    <t>LIT_772</t>
  </si>
  <si>
    <t>Bare</t>
  </si>
  <si>
    <t>LIT_112</t>
  </si>
  <si>
    <t>Manengole</t>
  </si>
  <si>
    <t>LIT_356</t>
  </si>
  <si>
    <t>Kola-IHS</t>
  </si>
  <si>
    <t>LIT_764</t>
  </si>
  <si>
    <t>Ndoungue</t>
  </si>
  <si>
    <t>LIT_109</t>
  </si>
  <si>
    <t>Mimboman-Village</t>
  </si>
  <si>
    <t>CTR_245</t>
  </si>
  <si>
    <t>Meyo-Nkoulou</t>
  </si>
  <si>
    <t>SUD_117</t>
  </si>
  <si>
    <t>Kyé-Ossi</t>
  </si>
  <si>
    <t>Carington</t>
  </si>
  <si>
    <t>CTR_070</t>
  </si>
  <si>
    <t>Bitoto</t>
  </si>
  <si>
    <t>CTR_315</t>
  </si>
  <si>
    <t>Mimboman3-IHS</t>
  </si>
  <si>
    <t>CTR_625</t>
  </si>
  <si>
    <t>H-Plateau-New</t>
  </si>
  <si>
    <t>CTR_484</t>
  </si>
  <si>
    <t>CTR_944_Z_Mimboman-Camtel</t>
  </si>
  <si>
    <t>CTR_944</t>
  </si>
  <si>
    <t>Mimboman-Nodal</t>
  </si>
  <si>
    <t>CTR_351</t>
  </si>
  <si>
    <t>Sohock-IHS</t>
  </si>
  <si>
    <t>LIT_501</t>
  </si>
  <si>
    <t>Sohock</t>
  </si>
  <si>
    <t>Mimboman-Don-Bosco</t>
  </si>
  <si>
    <t>CTR_654</t>
  </si>
  <si>
    <t>Fougerole-MTN-IHS</t>
  </si>
  <si>
    <t>CTR_473</t>
  </si>
  <si>
    <t>Nkolmesseng</t>
  </si>
  <si>
    <t>CTR_078</t>
  </si>
  <si>
    <t>Ngousso-II</t>
  </si>
  <si>
    <t>CTR_342</t>
  </si>
  <si>
    <t>Titi-Garage</t>
  </si>
  <si>
    <t>CTR_542</t>
  </si>
  <si>
    <t>NR-Omnisport</t>
  </si>
  <si>
    <t>CTR_132</t>
  </si>
  <si>
    <t>Mfandena</t>
  </si>
  <si>
    <t>CTR_570</t>
  </si>
  <si>
    <t>Fouda-New</t>
  </si>
  <si>
    <t>CTR_327</t>
  </si>
  <si>
    <t>Nkoabang</t>
  </si>
  <si>
    <t>CTR_084</t>
  </si>
  <si>
    <t>Abom-Plateau</t>
  </si>
  <si>
    <t>CTR_650</t>
  </si>
  <si>
    <t>Ngona</t>
  </si>
  <si>
    <t>CTR_590</t>
  </si>
  <si>
    <t>Camp-Sonel</t>
  </si>
  <si>
    <t>CTR_595</t>
  </si>
  <si>
    <t>CTR_263</t>
  </si>
  <si>
    <t>Mfandena-IHS</t>
  </si>
  <si>
    <t>CTR_643</t>
  </si>
  <si>
    <t>Emombo</t>
  </si>
  <si>
    <t>CTR_212</t>
  </si>
  <si>
    <t>Mimboman-Liberte-IHS</t>
  </si>
  <si>
    <t>CTR_552</t>
  </si>
  <si>
    <t>Nkoabang-Nord</t>
  </si>
  <si>
    <t>CTR_708</t>
  </si>
  <si>
    <t>Ntaba</t>
  </si>
  <si>
    <t>CTR_380</t>
  </si>
  <si>
    <t>Liberte-Indoor</t>
  </si>
  <si>
    <t>LIT_673</t>
  </si>
  <si>
    <t>Ndjeleng-II</t>
  </si>
  <si>
    <t>OST_165</t>
  </si>
  <si>
    <t>Bandjoun-Soung</t>
  </si>
  <si>
    <t>OST_067</t>
  </si>
  <si>
    <t>Bfsam-Nylon</t>
  </si>
  <si>
    <t>OST_107</t>
  </si>
  <si>
    <t>Bfsam-Megom</t>
  </si>
  <si>
    <t>OST_238</t>
  </si>
  <si>
    <t>Bafang-Chefferie</t>
  </si>
  <si>
    <t>OST_099</t>
  </si>
  <si>
    <t>OST_346_H_Bfsam-Kamkouop-II</t>
  </si>
  <si>
    <t>OST_346</t>
  </si>
  <si>
    <t>Akok-II</t>
  </si>
  <si>
    <t>SUD_127</t>
  </si>
  <si>
    <t>Akom-I</t>
  </si>
  <si>
    <t>Fontem</t>
  </si>
  <si>
    <t>SUO_017</t>
  </si>
  <si>
    <t>Bfsam-Toket</t>
  </si>
  <si>
    <t>OST_045</t>
  </si>
  <si>
    <t>OST_015</t>
  </si>
  <si>
    <t>Akok-I</t>
  </si>
  <si>
    <t>SUD_121</t>
  </si>
  <si>
    <t>Bfsam-Kouogouo</t>
  </si>
  <si>
    <t>OST_065</t>
  </si>
  <si>
    <t>Bfsam-Q-Admin</t>
  </si>
  <si>
    <t>OST_111</t>
  </si>
  <si>
    <t>Bfsam-Centre-II</t>
  </si>
  <si>
    <t>OST_170</t>
  </si>
  <si>
    <t>Marche-Mboppi</t>
  </si>
  <si>
    <t>LIT_236</t>
  </si>
  <si>
    <t>Notre-Dame-de-Yassa</t>
  </si>
  <si>
    <t>LIT_620</t>
  </si>
  <si>
    <t>Nkololoun</t>
  </si>
  <si>
    <t>LIT_183</t>
  </si>
  <si>
    <t>Bonewonda-III</t>
  </si>
  <si>
    <t>LIT_615</t>
  </si>
  <si>
    <t>Buca-Voyage</t>
  </si>
  <si>
    <t>LIT_616</t>
  </si>
  <si>
    <t>Bambui-Round-About-IHS</t>
  </si>
  <si>
    <t>NRO_067</t>
  </si>
  <si>
    <t>NRO_147_H_Bambili-Campus-two-IHS</t>
  </si>
  <si>
    <t>NRO_147</t>
  </si>
  <si>
    <t>CNR</t>
  </si>
  <si>
    <t>CTR_002</t>
  </si>
  <si>
    <t>CTR_064_Z_Etoa-Meki</t>
  </si>
  <si>
    <t>CTR_064</t>
  </si>
  <si>
    <t>Tabene</t>
  </si>
  <si>
    <t>EST_007</t>
  </si>
  <si>
    <t>Kribi-Gd-Batanga-II</t>
  </si>
  <si>
    <t>SUD_094</t>
  </si>
  <si>
    <t>Nkomekui</t>
  </si>
  <si>
    <t>SUD_016</t>
  </si>
  <si>
    <t>Mvam-Yetom</t>
  </si>
  <si>
    <t>CTR_860</t>
  </si>
  <si>
    <t>Base-Elf-New</t>
  </si>
  <si>
    <t>LIT_151</t>
  </si>
  <si>
    <t>Dschang-Rectorat-MTN</t>
  </si>
  <si>
    <t>OST_097</t>
  </si>
  <si>
    <t>SS-Hotel-Lagon-Outdoor</t>
  </si>
  <si>
    <t>SUD_091</t>
  </si>
  <si>
    <t>OST_011</t>
  </si>
  <si>
    <t>ZI-Bassa</t>
  </si>
  <si>
    <t>LIT_083</t>
  </si>
  <si>
    <t>E-Police</t>
  </si>
  <si>
    <t>CTR_076</t>
  </si>
  <si>
    <t>Beedi</t>
  </si>
  <si>
    <t>LIT_127</t>
  </si>
  <si>
    <t>Logpom-H-Soeurs</t>
  </si>
  <si>
    <t>LIT_210</t>
  </si>
  <si>
    <t>Koloko</t>
  </si>
  <si>
    <t>LIT_079</t>
  </si>
  <si>
    <t>Sable</t>
  </si>
  <si>
    <t>LIT_267</t>
  </si>
  <si>
    <t>Bamenda-CRTV</t>
  </si>
  <si>
    <t>NRO_008</t>
  </si>
  <si>
    <t>LIT_863_Z_Kotto-Logpom-New</t>
  </si>
  <si>
    <t>LIT_863</t>
  </si>
  <si>
    <t>Kotto-Bloc</t>
  </si>
  <si>
    <t>LIT_246</t>
  </si>
  <si>
    <t>Kotto-Bloc-II</t>
  </si>
  <si>
    <t>LIT_611</t>
  </si>
  <si>
    <t>Makepe-Chefferie</t>
  </si>
  <si>
    <t>LIT_397</t>
  </si>
  <si>
    <t>Mendankwe</t>
  </si>
  <si>
    <t>NRO_229</t>
  </si>
  <si>
    <t>Bda-Tubah-MTN</t>
  </si>
  <si>
    <t>NRO_254</t>
  </si>
  <si>
    <t>Logpom-Andem-IHS</t>
  </si>
  <si>
    <t>LIT_140</t>
  </si>
  <si>
    <t>Bekondo-IHS</t>
  </si>
  <si>
    <t>SUO_096</t>
  </si>
  <si>
    <t>Bekondo</t>
  </si>
  <si>
    <t>Edea-Ekite</t>
  </si>
  <si>
    <t>LIT_322</t>
  </si>
  <si>
    <t>Mbanga-Bakoko-IHS</t>
  </si>
  <si>
    <t>LIT_164</t>
  </si>
  <si>
    <t>Yassa-Pesage-IHS</t>
  </si>
  <si>
    <t>LIT_563</t>
  </si>
  <si>
    <t>Bep-Safari</t>
  </si>
  <si>
    <t>LIT_524</t>
  </si>
  <si>
    <t>Fongo-Tongo</t>
  </si>
  <si>
    <t>SUO_136</t>
  </si>
  <si>
    <t>Edea-Mbondanjick</t>
  </si>
  <si>
    <t>LIT_456</t>
  </si>
  <si>
    <t>be</t>
  </si>
  <si>
    <t>SUD_240</t>
  </si>
  <si>
    <t>Garoua-Foulbere</t>
  </si>
  <si>
    <t>NRD_045</t>
  </si>
  <si>
    <t>Djangane</t>
  </si>
  <si>
    <t>EST_008</t>
  </si>
  <si>
    <t>LIT_869_Z_Bonamikano</t>
  </si>
  <si>
    <t>LIT_869</t>
  </si>
  <si>
    <t>SUD_015</t>
  </si>
  <si>
    <t>Camp-Yabassi-IHS</t>
  </si>
  <si>
    <t>LIT_587</t>
  </si>
  <si>
    <t>Mboppi-Market-IHS</t>
  </si>
  <si>
    <t>LIT_761</t>
  </si>
  <si>
    <t xml:space="preserve">Grid Gen </t>
  </si>
  <si>
    <t>e-Technique</t>
  </si>
  <si>
    <t>SUD_057</t>
  </si>
  <si>
    <t>Bonadibong-Crf-Tif</t>
  </si>
  <si>
    <t>LIT_412</t>
  </si>
  <si>
    <t>Edea-Nkakanzock</t>
  </si>
  <si>
    <t>LIT_314</t>
  </si>
  <si>
    <t>Imm-Olympique</t>
  </si>
  <si>
    <t>CTR_377</t>
  </si>
  <si>
    <t>Yde-M-Central</t>
  </si>
  <si>
    <t>CTR_244</t>
  </si>
  <si>
    <t>Montee-Anne-Rouge</t>
  </si>
  <si>
    <t>CTR_373</t>
  </si>
  <si>
    <t>Mercure</t>
  </si>
  <si>
    <t>CTR_014</t>
  </si>
  <si>
    <t>Nodal</t>
  </si>
  <si>
    <t>CTR_009</t>
  </si>
  <si>
    <t>Elig-Essono</t>
  </si>
  <si>
    <t>CTR_047</t>
  </si>
  <si>
    <t>CTR_951_Z_Odza-Entree-Plaque-LB</t>
  </si>
  <si>
    <t>CTR_951</t>
  </si>
  <si>
    <t>De-La-Salle</t>
  </si>
  <si>
    <t>LIT_245</t>
  </si>
  <si>
    <t>laboratorie-T.Bella</t>
  </si>
  <si>
    <t>CTR_937</t>
  </si>
  <si>
    <t>Ikiliwindi-MTN</t>
  </si>
  <si>
    <t>SUO_048</t>
  </si>
  <si>
    <t>Ikiliwindi</t>
  </si>
  <si>
    <t>CTR_702_Z_Hilton-Indoor-8F</t>
  </si>
  <si>
    <t>CTR_702_indoor_8F</t>
  </si>
  <si>
    <t>EXN_350_H_Maroua-Ziling</t>
  </si>
  <si>
    <t>EXN_350</t>
  </si>
  <si>
    <t>Nsimalen-highway-II</t>
  </si>
  <si>
    <t>CTR_725</t>
  </si>
  <si>
    <t xml:space="preserve">MTN </t>
  </si>
  <si>
    <t>ZI-Bassa-II</t>
  </si>
  <si>
    <t>LIT_729</t>
  </si>
  <si>
    <t>CTR_702_Z_Hilton-Indoor-0F</t>
  </si>
  <si>
    <t>CTR_702_indoor_0F</t>
  </si>
  <si>
    <t>Mbakong-MTN</t>
  </si>
  <si>
    <t>NRO_255</t>
  </si>
  <si>
    <t>Mbakong</t>
  </si>
  <si>
    <t xml:space="preserve">{06-07-2026 cell nokia}: 
06/06/2026: Access issues
05/06/2026 :  Le FME a pris la route pour Mbakong, mais a ete blogue a BAFUT par les Ambazonien || Prochaine tentative demain
04/06/2026: intervention ce jour ||ETA : Attentdu|||le Fme a recu la spares tard que prevue|||Intervetion reporter pour demain 05062026
03/06/2026:Intervetion planned 04/06/2026
02/06/2026 : ETA attendu || Relance faite au PM par mail
01/06/2026: GHOST TOWN
31/05/2026:New case access clearance negotiation on site ongoing 
30/05/2026:New case access clearance negotiation on site ongoing 
29/05/2026 : Acces issue
28/05/2026: Intervention prevue pour demain 29052026
27/05/2026 : FME etait sur site hier il a effectuer le remplacement de la ABIA. A cause du maonque de supervision le BO n'a pas pu mener les actions. Lepoin est actuellemt suivi par le BO RAN 
26/05/2026:En attente du feedbck RM ||Feedback RM : FME en route, ETA 12H || fme sur site || Intervention en cours || remplacement de la ABIAeffectuer ce jour.Site reste en observetion 
25/05/2026: Intervention prevu pour ce jour ||ETA : 16h|| Forte pluie dans la zone evidence envoyer dans le groupe.||Intervention reporte pour demain
23/05/2026 : Check breaker and  interconnection (sfp, optical fiber) between system and radio module, swap its if needed         ;         {06-07-2026 cell nokia}: 
06/06/2026: Access issues
05/06/2026 :  Le FME a pris la route pour Mbakong, mais a ete blogue a BAFUT par les Ambazonien || Prochaine tentative demain
04/06/2026: intervention ce jour ||ETA : Attentdu|||le Fme a recu la spares tard que prevue|||Intervetion reporter pour demain 05062026
03/06/2026:Intervetion planned 04/06/2026
02/06/2026 : ETA attendu || Relance faite au PM par mail
01/06/2026: GHOST TOWN
31/05/2026:New case access clearance negotiation on site ongoing 
30/05/2026:New case access clearance negotiation on site ongoing 
29/05/2026 : Acces issue
28/05/2026: Intervention prevue pour demain 29052026
27/05/2026 : FME etait sur site hier il a effectuer le remplacement de la ABIA. A cause du maonque de supervision le BO n'a pas pu mener les actions. Lepoin est actuellemt suivi par le BO RAN 
26/05/2026:En attente du feedbck RM ||Feedback RM : FME en route, ETA 12H || fme sur site || Intervention en cours || remplacement de la ABIAeffectuer ce jour.Site reste en observetion 
25/05/2026: Intervention prevu pour ce jour ||ETA : 16h|| Forte pluie dans la zone evidence envoyer dans le groupe.||Intervention reporte pour demain
23/05/2026 : Check breaker and  interconnection (sfp, optical fiber) between system and radio module, swap its if needed </t>
  </si>
  <si>
    <t>06/06/2026 Access issues
05/06/2026 Le FME a pris la route pour Mbakong, mais a ete blogue a BAFUT par les Ambazonien || Prochaine tentative demain
04/06/2026 intervention ce jour || ETA Attentdu || |le Fme a recu la spares tard que prevue || |Intervetion reporter pour demain 05062026
03/06/2026 Intervetion planned 04/06/2026
02/06/2026 ETA attendu || Relance faite au PM par mail
01/06/2026 GHOST TOWN
31/05/2026 New case access clearance negotiation on site ongoing
30/05/2026 New case access clearance negotiation on site ongoing
29/05/2026 Acces issue
28/05/2026 Intervention prevue pour demain 29052026
27/05/2026 FME etait sur site hier il a effectuer le remplacement de la ABIA. A cause du maonque de supervision le BO n'a pas pu mener les actions. Lepoin est actuellemt suivi par le BO RAN
26/05/2026 En attente du feedbck RM || Feedback RM FME en route, ETA 12H || fme sur site || Intervention en cours || remplacement de la ABIAeffectuer ce jour.Site reste en observetion
25/05/2026 Intervention prevu pour ce jour || ETA 16h || Forte pluie dans la zone evidence envoyer dans le groupe. || Intervention reporte pour demain
23/05/2026 Check breaker and interconnection (sfp, optical fiber) between system and radio module, swap its if needed 06/06/2026 Access issues
05/06/2026 Le FME a pris la route pour Mbakong, mais a ete blogue a BAFUT par les Ambazonien || Prochaine tentative demain
04/06/2026 intervention ce jour || ETA Attentdu || |le Fme a recu la spares tard que prevue || |Intervetion reporter pour demain 05062026
03/06/2026 Intervetion planned 04/06/2026
02/06/2026 ETA attendu || Relance faite au PM par mail
01/06/2026 GHOST TOWN
31/05/2026 New case access clearance negotiation on site ongoing
30/05/2026 New case access clearance negotiation on site ongoing
29/05/2026 Acces issue
28/05/2026 Intervention prevue pour demain 29052026
27/05/2026 FME etait sur site hier il a effectuer le remplacement de la ABIA. A cause du maonque de supervision le BO n'a pas pu mener les actions. Lepoin est actuellemt suivi par le BO RAN
26/05/2026 En attente du feedbck RM || Feedback RM FME en route, ETA 12H || fme sur site || Intervention en cours || remplacement de la ABIAeffectuer ce jour.Site reste en observetion
25/05/2026 Intervention prevu pour ce jour || ETA 16h || Forte pluie dans la zone evidence envoyer dans le groupe. || Intervention reporte pour demain
23/05/2026 Check breaker and interconnection (sfp, optical fiber) between system and radio module, swap its if needed</t>
  </si>
  <si>
    <t>Nsimalen</t>
  </si>
  <si>
    <t>CTR_010</t>
  </si>
  <si>
    <t>Ngd-Bamyangal-II-IHS</t>
  </si>
  <si>
    <t>ADM_085</t>
  </si>
  <si>
    <t>Odza-II-MTN-IHS</t>
  </si>
  <si>
    <t>CTR_467</t>
  </si>
  <si>
    <t>Maroua-Djoudandou</t>
  </si>
  <si>
    <t>EXN_090</t>
  </si>
  <si>
    <t>Upper-Mawo-IHS</t>
  </si>
  <si>
    <t>SUO_166</t>
  </si>
  <si>
    <t>Edenville-Stade</t>
  </si>
  <si>
    <t>CTR_730</t>
  </si>
  <si>
    <t>Maroua-Ouro-Tchede</t>
  </si>
  <si>
    <t>EXN_092</t>
  </si>
  <si>
    <t>Sodecoton</t>
  </si>
  <si>
    <t>EXN_001</t>
  </si>
  <si>
    <t>MVAMEBOD</t>
  </si>
  <si>
    <t>CTR_981</t>
  </si>
  <si>
    <t>Mvamebod</t>
  </si>
  <si>
    <t>T-junction-IHS</t>
  </si>
  <si>
    <t>NRO_124</t>
  </si>
  <si>
    <t>H-Central</t>
  </si>
  <si>
    <t>CTR_110</t>
  </si>
  <si>
    <t>Indoor-Orange-shop-PlaYce</t>
  </si>
  <si>
    <t>CTR_882</t>
  </si>
  <si>
    <t>Odza-III</t>
  </si>
  <si>
    <t>CTR_628</t>
  </si>
  <si>
    <t>Mehanda</t>
  </si>
  <si>
    <t>CTR_635</t>
  </si>
  <si>
    <t>Odza-II-IHS</t>
  </si>
  <si>
    <t>CTR_158</t>
  </si>
  <si>
    <t>Lada</t>
  </si>
  <si>
    <t>CTR_667</t>
  </si>
  <si>
    <t>Bonamoussongo-IHS</t>
  </si>
  <si>
    <t>LIT_154</t>
  </si>
  <si>
    <t>Brazzaville</t>
  </si>
  <si>
    <t>LIT_081</t>
  </si>
  <si>
    <t>Cellucam-New</t>
  </si>
  <si>
    <t>LIT_209</t>
  </si>
  <si>
    <t>Edea-Entree</t>
  </si>
  <si>
    <t>LIT_229</t>
  </si>
  <si>
    <t>Edea-Beon</t>
  </si>
  <si>
    <t>LIT_186</t>
  </si>
  <si>
    <t>Ngd-La-Gare</t>
  </si>
  <si>
    <t>ADM_002</t>
  </si>
  <si>
    <t>Limbe-Ngueme</t>
  </si>
  <si>
    <t>SUO_235</t>
  </si>
  <si>
    <t>Limbe-GRA-IHS</t>
  </si>
  <si>
    <t>SUO_192</t>
  </si>
  <si>
    <t>Limbe-Mokindi-MTN-IHS</t>
  </si>
  <si>
    <t>SUO_154</t>
  </si>
  <si>
    <t>Limbe-Down-Beach-II</t>
  </si>
  <si>
    <t>SUO_050</t>
  </si>
  <si>
    <t>Down-Beach</t>
  </si>
  <si>
    <t>SUO_014</t>
  </si>
  <si>
    <t>Limbe-Sonara-MTN</t>
  </si>
  <si>
    <t>SUO_080</t>
  </si>
  <si>
    <t>Limbe-Issokolo-IHS</t>
  </si>
  <si>
    <t>SUO_191</t>
  </si>
  <si>
    <t>Limbe-UQ</t>
  </si>
  <si>
    <t>SUO_003</t>
  </si>
  <si>
    <t>Douala-Grand-Mall-FZ</t>
  </si>
  <si>
    <t>LIT_727</t>
  </si>
  <si>
    <t>Douggoy</t>
  </si>
  <si>
    <t>EXN_002</t>
  </si>
  <si>
    <t>Makong-II-IHS</t>
  </si>
  <si>
    <t>OST_256</t>
  </si>
  <si>
    <t>EST_064_N_Garga-Salari-MTN</t>
  </si>
  <si>
    <t>EST_064</t>
  </si>
  <si>
    <t>Garga-Salari</t>
  </si>
  <si>
    <t>Katoual-MTN</t>
  </si>
  <si>
    <t>EXN_026</t>
  </si>
  <si>
    <t>Boko-IHS</t>
  </si>
  <si>
    <t>LIT_633</t>
  </si>
  <si>
    <t>LIT_834_Z_Ngodi-Bakoko-IHS</t>
  </si>
  <si>
    <t>LIT_834</t>
  </si>
  <si>
    <t>Ndogpassi-Lycee-II</t>
  </si>
  <si>
    <t>LIT_409</t>
  </si>
  <si>
    <t>Aeroport</t>
  </si>
  <si>
    <t>LIT_033</t>
  </si>
  <si>
    <t>Bep-Cafrad</t>
  </si>
  <si>
    <t>LIT_649</t>
  </si>
  <si>
    <t>Bfsam-Akwa</t>
  </si>
  <si>
    <t>OST_109</t>
  </si>
  <si>
    <t>Crf-Mutzig-IHS</t>
  </si>
  <si>
    <t>LIT_485</t>
  </si>
  <si>
    <t>Bois-Des-Singes</t>
  </si>
  <si>
    <t>LIT_564</t>
  </si>
  <si>
    <t>Bonadiwoto-IHS</t>
  </si>
  <si>
    <t>LIT_129</t>
  </si>
  <si>
    <t>SABC-Bali</t>
  </si>
  <si>
    <t>LIT_242</t>
  </si>
  <si>
    <t>Ndogp-Bloc-13</t>
  </si>
  <si>
    <t>LIT_292</t>
  </si>
  <si>
    <t>NEW-BELL-CAMTEL</t>
  </si>
  <si>
    <t>LIT_752</t>
  </si>
  <si>
    <t>IPD</t>
  </si>
  <si>
    <t>LIT_100</t>
  </si>
  <si>
    <t>Soboum-IHS</t>
  </si>
  <si>
    <t>LIT_579</t>
  </si>
  <si>
    <t>Kumba-Nkamlikum</t>
  </si>
  <si>
    <t>SUO_216</t>
  </si>
  <si>
    <t>Bpriso-Hydrocarbure</t>
  </si>
  <si>
    <t>LIT_676</t>
  </si>
  <si>
    <t>Madagascar-Nodal</t>
  </si>
  <si>
    <t>LIT_814</t>
  </si>
  <si>
    <t>Cogefar-II</t>
  </si>
  <si>
    <t>LIT_339</t>
  </si>
  <si>
    <t>Chevreuil</t>
  </si>
  <si>
    <t>LIT_018</t>
  </si>
  <si>
    <t>Babylone-IHS</t>
  </si>
  <si>
    <t>LIT_153</t>
  </si>
  <si>
    <t>Shell-Newbell</t>
  </si>
  <si>
    <t>LIT_053</t>
  </si>
  <si>
    <t>Ancien-Aeroport</t>
  </si>
  <si>
    <t>LIT_055</t>
  </si>
  <si>
    <t>Essang-Mvout</t>
  </si>
  <si>
    <t>SUD_162</t>
  </si>
  <si>
    <t>EMVIENG1</t>
  </si>
  <si>
    <t>SUD_160</t>
  </si>
  <si>
    <t>Emvieng</t>
  </si>
  <si>
    <t>Makepe-Indoor</t>
  </si>
  <si>
    <t>LIT_599</t>
  </si>
  <si>
    <t>Boulou_MTN</t>
  </si>
  <si>
    <t>SUD_233</t>
  </si>
  <si>
    <t>Boulou</t>
  </si>
  <si>
    <t>{06-07-2026 ticket}: INC-20260607-00017387...GE Fault</t>
  </si>
  <si>
    <t>Garoua-Lidire</t>
  </si>
  <si>
    <t>NRD_075</t>
  </si>
  <si>
    <t>Ngd-Ville</t>
  </si>
  <si>
    <t>ADM_018</t>
  </si>
  <si>
    <t>Mbanga-Pongo-IHS</t>
  </si>
  <si>
    <t>LIT_598</t>
  </si>
  <si>
    <t>Mbanga Pongo</t>
  </si>
  <si>
    <t>Mobil-Kondengui</t>
  </si>
  <si>
    <t>CTR_125</t>
  </si>
  <si>
    <t>Voirie-Municipale-IHS</t>
  </si>
  <si>
    <t>CTR_632</t>
  </si>
  <si>
    <t>E-Poste</t>
  </si>
  <si>
    <t>CTR_242</t>
  </si>
  <si>
    <t>Sapeur</t>
  </si>
  <si>
    <t>CTR_322</t>
  </si>
  <si>
    <t>Chapelle-Obili</t>
  </si>
  <si>
    <t>CTR_339</t>
  </si>
  <si>
    <t>Lycee-Leclerc-MTN</t>
  </si>
  <si>
    <t>CTR_401</t>
  </si>
  <si>
    <t>CTR_1055_Z_Ndisamba</t>
  </si>
  <si>
    <t>CTR_1055</t>
  </si>
  <si>
    <t>Nkoa-Ayos-IHS</t>
  </si>
  <si>
    <t>CTR_661</t>
  </si>
  <si>
    <t>Mvogmbi-New</t>
  </si>
  <si>
    <t>CTR_483</t>
  </si>
  <si>
    <t>Entree-Cite-Verte-IHS</t>
  </si>
  <si>
    <t>CTR_519</t>
  </si>
  <si>
    <t>Enam-IHS</t>
  </si>
  <si>
    <t>CTR_127</t>
  </si>
  <si>
    <t>Ngd-Chateau</t>
  </si>
  <si>
    <t>ADM_001</t>
  </si>
  <si>
    <t>Nkolbisson-Nodal</t>
  </si>
  <si>
    <t>CTR_576</t>
  </si>
  <si>
    <t>H-Deputes</t>
  </si>
  <si>
    <t>CTR_578</t>
  </si>
  <si>
    <t>Ekounou-PJ</t>
  </si>
  <si>
    <t>CTR_269</t>
  </si>
  <si>
    <t>Nkolndongo</t>
  </si>
  <si>
    <t>CTR_109</t>
  </si>
  <si>
    <t>GSO</t>
  </si>
  <si>
    <t>CTR_389</t>
  </si>
  <si>
    <t>Acropole-IHS</t>
  </si>
  <si>
    <t>CTR_129</t>
  </si>
  <si>
    <t>C-Supreme</t>
  </si>
  <si>
    <t>CTR_240</t>
  </si>
  <si>
    <t>Nkolbisson-II</t>
  </si>
  <si>
    <t>CTR_761</t>
  </si>
  <si>
    <t>Mvog-Ada-New</t>
  </si>
  <si>
    <t>CTR_347</t>
  </si>
  <si>
    <t>Mvog-Ada-TKC</t>
  </si>
  <si>
    <t>CTR_096</t>
  </si>
  <si>
    <t>Ndogbong-Citadelle</t>
  </si>
  <si>
    <t>LIT_344</t>
  </si>
  <si>
    <t>Crf-Nkolbisson</t>
  </si>
  <si>
    <t>CTR_256</t>
  </si>
  <si>
    <t>Orange-Bastos</t>
  </si>
  <si>
    <t>CTR_820</t>
  </si>
  <si>
    <t>Oyomabang-Ecole-IHS</t>
  </si>
  <si>
    <t>CTR_553</t>
  </si>
  <si>
    <t>CTR_1054_Z_AKOK-Ndoe-MTN-IHS</t>
  </si>
  <si>
    <t>CTR_1054</t>
  </si>
  <si>
    <t>Tole-Tea-IHS</t>
  </si>
  <si>
    <t>SUO_152</t>
  </si>
  <si>
    <t>Garoua-Rte-Gashiga</t>
  </si>
  <si>
    <t>NRD_159</t>
  </si>
  <si>
    <t>Nlobisson</t>
  </si>
  <si>
    <t>CTR_631</t>
  </si>
  <si>
    <t>Kumba-Mbo-Street-IHS</t>
  </si>
  <si>
    <t>SUO_116</t>
  </si>
  <si>
    <t>Kumba-Kossala-IHS</t>
  </si>
  <si>
    <t>SUO_113</t>
  </si>
  <si>
    <t>Mefou-Assi</t>
  </si>
  <si>
    <t>CTR_253</t>
  </si>
  <si>
    <t>Bamenda-GRA-IHS</t>
  </si>
  <si>
    <t>NRO_130</t>
  </si>
  <si>
    <t>Bobongo-Itba-HIS</t>
  </si>
  <si>
    <t>LIT_426</t>
  </si>
  <si>
    <t>Gd-Moulin</t>
  </si>
  <si>
    <t>LIT_054</t>
  </si>
  <si>
    <t>Goyoum</t>
  </si>
  <si>
    <t>EST_023</t>
  </si>
  <si>
    <t>Kumba-Mabanda</t>
  </si>
  <si>
    <t>SUO_027</t>
  </si>
  <si>
    <t>Malangue</t>
  </si>
  <si>
    <t>LIT_449</t>
  </si>
  <si>
    <t>Bonamikengue</t>
  </si>
  <si>
    <t>LIT_336</t>
  </si>
  <si>
    <t>Ndjore-Luxe-MTN</t>
  </si>
  <si>
    <t>CTR_363</t>
  </si>
  <si>
    <t>Ndjore-Luxe</t>
  </si>
  <si>
    <t>CTR_033</t>
  </si>
  <si>
    <t>Nanga-Eboko-IHS</t>
  </si>
  <si>
    <t>CTR_138</t>
  </si>
  <si>
    <t>Donga-MTN-IHS</t>
  </si>
  <si>
    <t>CTR_166</t>
  </si>
  <si>
    <t>Donga</t>
  </si>
  <si>
    <t>Ouassa-Bamvele-Camrail</t>
  </si>
  <si>
    <t>CTR_454</t>
  </si>
  <si>
    <t>Ouassa-Bamvele</t>
  </si>
  <si>
    <t>YATCHIKA-IHS</t>
  </si>
  <si>
    <t>LIT_482</t>
  </si>
  <si>
    <t>Deido-plage</t>
  </si>
  <si>
    <t>LIT_345</t>
  </si>
  <si>
    <t>Camatrans-New</t>
  </si>
  <si>
    <t>LIT_311</t>
  </si>
  <si>
    <t>Port-SUD</t>
  </si>
  <si>
    <t>LIT_640</t>
  </si>
  <si>
    <t>Spectrum-Bonanjo-IHS</t>
  </si>
  <si>
    <t>LIT_429</t>
  </si>
  <si>
    <t>Minoterie</t>
  </si>
  <si>
    <t>LIT_023</t>
  </si>
  <si>
    <t>Bpriso-ASECNA</t>
  </si>
  <si>
    <t>LIT_060</t>
  </si>
  <si>
    <t>Madagascar-Yde-New</t>
  </si>
  <si>
    <t>CTR_217</t>
  </si>
  <si>
    <t>KRIBI-MAKAO</t>
  </si>
  <si>
    <t>SUD_095</t>
  </si>
  <si>
    <t>Camp-Sic-Mendong</t>
  </si>
  <si>
    <t>CTR_767</t>
  </si>
  <si>
    <t>Elum-Ndem-IHS</t>
  </si>
  <si>
    <t>CTR_623</t>
  </si>
  <si>
    <t>Fondonera-IHS</t>
  </si>
  <si>
    <t>OST_263</t>
  </si>
  <si>
    <t>Kouen</t>
  </si>
  <si>
    <t>EST_071</t>
  </si>
  <si>
    <t>H-Princes</t>
  </si>
  <si>
    <t>CTR_044</t>
  </si>
  <si>
    <t>Bpriso-Vanitex-New</t>
  </si>
  <si>
    <t>LIT_410</t>
  </si>
  <si>
    <t>Nkolda</t>
  </si>
  <si>
    <t>CTR_215</t>
  </si>
  <si>
    <t>Memve-Ele-IHS</t>
  </si>
  <si>
    <t>SUD_056</t>
  </si>
  <si>
    <t>Memve-Ele</t>
  </si>
  <si>
    <t>Lende-Kribi</t>
  </si>
  <si>
    <t>SUD_086</t>
  </si>
  <si>
    <t>Bonendale-II</t>
  </si>
  <si>
    <t>LIT_641</t>
  </si>
  <si>
    <t>Kribi-Afanmabe</t>
  </si>
  <si>
    <t>SUD_241</t>
  </si>
  <si>
    <t>PK10-Soeurs-Dominicaines</t>
  </si>
  <si>
    <t>LIT_403</t>
  </si>
  <si>
    <t>Pingo-PK10-IHS-New</t>
  </si>
  <si>
    <t>LIT_562</t>
  </si>
  <si>
    <t>PK10-Marche</t>
  </si>
  <si>
    <t>LIT_278</t>
  </si>
  <si>
    <t>Bonassama-New-IHS</t>
  </si>
  <si>
    <t>LIT_589</t>
  </si>
  <si>
    <t>Rond-point</t>
  </si>
  <si>
    <t>LIT_048</t>
  </si>
  <si>
    <t>Mboppi-New</t>
  </si>
  <si>
    <t>LIT_736</t>
  </si>
  <si>
    <t>Reserve-Benoue</t>
  </si>
  <si>
    <t>NRD_168</t>
  </si>
  <si>
    <t>Reserve Benoue</t>
  </si>
  <si>
    <t>{06-07-2026  ocm ran 18}: 05/06/2026 ODU MPT MC 8GHZ 3DB20773BA  expedition en cours ETD=08/06/2026
04.06.26: ODU MPT MC 8GHZ 3DB20773CB faulty récupération en cours du 3DB20773BA (compatible) au WH Bassa et test en cours
30.05.26: ODU MPT MC 8GHZ 3DB20773CB faulty and not available, order done to OCM
28/05/2026 Pas disponible pour le moment 
27/05/2026 Pas d'ODU pour relever NRD_168_H_Reserve-Benoue
26/05/2026: defaut ODU MPT MC 8GHZ 3DB20773CB. en attente demantelement des liaisons ci dessous pour recuperer l'ODU
23/05/2026: defaut ODU MPT MC 8GHZ 3DB20773CB. en attente demantelement des liaisons ci dessous pour recuperer l'ODU
22/05/2026: defaut ODU MPT MC 8GHZ 3DB20773CB. en attente demantelement des liaisons ci dessous pour recuperer l'ODU
21/05/2026: defaut ODU MPT MC 8GHZ 3DB20773CB. en attente demantelement des liaisons ci dessous pour recuperer l'ODU
14/05/2026 : defaut ODU MPT MC 8GHZ 3DB20773CB. en attente demantelement des liaisons ci dessous pour recuperer l'ODU
Nyom-II-IHS_Nkometou; Ndogbong_PK10-Sœurs-Dominicaines; Nkog-Edzen_Monatele
12/05/2026 6 radio à demanteler pour le 12/05 sur les liaisons ci dessous
Nyom-II-IHS_Nkometou
Ndogbong_PK10-Sœurs-Dominicaines
Nkog-Edzen_Monatele
06/05/2026 ODU MPT MC 8GHZ 3DB20773CB faulty and not available, order done to OCM
20.04.26; ODU MPT MC 8GHZ 3DB20773CB faulty and not available, order done to OCM
19.04.26; ODU 3DB20773CB faulty, commande en cours
19.04.26; Besoin d'un FME sur NRD_172_SAKDJE pour vérifier la chaine antennaire de l'ODU 4.3; FME Belo activé pour investigations, ETA=17H UTC</t>
  </si>
  <si>
    <t>05/06/2026 ODU MPT MC 8GHZ 3DB20773BA expedition en cours ETD=08/06/2026
04.06.26 ODU MPT MC 8GHZ 3DB20773CB faulty récupération en cours du 3DB20773BA (compatible) au WH Bassa et test en cours
30.05.26 ODU MPT MC 8GHZ 3DB20773CB faulty and not available, order done to OCM
28/05/2026 Pas disponible pour le moment
27/05/2026 Pas d'ODU pour relever NRD_168_H_Reserve-Benoue
26/05/2026 defaut ODU MPT MC 8GHZ 3DB20773CB. en attente demantelement des liaisons ci dessous pour recuperer l'ODU
23/05/2026 defaut ODU MPT MC 8GHZ 3DB20773CB. en attente demantelement des liaisons ci dessous pour recuperer l'ODU
22/05/2026 defaut ODU MPT MC 8GHZ 3DB20773CB. en attente demantelement des liaisons ci dessous pour recuperer l'ODU
21/05/2026 defaut ODU MPT MC 8GHZ 3DB20773CB. en attente demantelement des liaisons ci dessous pour recuperer l'ODU
14/05/2026 defaut ODU MPT MC 8GHZ 3DB20773CB. en attente demantelement des liaisons ci dessous pour recuperer l'ODU
Nyom-II-IHS_Nkometou; Ndogbong_PK10-Sœurs-Dominicaines; Nkog-Edzen_Monatele
12/05/2026 6 radio à demanteler pour le 12/05 sur les liaisons ci dessous
Nyom-II-IHS_Nkometou
Ndogbong_PK10-Sœurs-Dominicaines
Nkog-Edzen_Monatele
06/05/2026 ODU MPT MC 8GHZ 3DB20773CB faulty and not available, order done to OCM
20.04.26; ODU MPT MC 8GHZ 3DB20773CB faulty and not available, order done to OCM
19.04.26; ODU 3DB20773CB faulty, commande en cours
19.04.26; Besoin d'un FME sur NRD_172_SAKDJE pour vérifier la chaine antennaire de l'ODU 4.3; FME Belo activé pour investigations, ETA=17H UTC</t>
  </si>
  <si>
    <t>CTR_920_Z_MENDONG-ELOUMDEM</t>
  </si>
  <si>
    <t>CTR_920</t>
  </si>
  <si>
    <t>Mankon-II</t>
  </si>
  <si>
    <t>NRO_141</t>
  </si>
  <si>
    <t>Ekekam-MTN-IHS</t>
  </si>
  <si>
    <t>CTR_694</t>
  </si>
  <si>
    <t>H-ville-MTN</t>
  </si>
  <si>
    <t>CTR_369</t>
  </si>
  <si>
    <t>Lagdo-Ville</t>
  </si>
  <si>
    <t>NRD_131</t>
  </si>
  <si>
    <t>Sakdje</t>
  </si>
  <si>
    <t>NRD_172</t>
  </si>
  <si>
    <t>Tchollire-Centre</t>
  </si>
  <si>
    <t>NRD_180</t>
  </si>
  <si>
    <t>Tchollire</t>
  </si>
  <si>
    <t>Kribi-Ndjibo</t>
  </si>
  <si>
    <t>SUD_081</t>
  </si>
  <si>
    <t>Sangmelima-Ville</t>
  </si>
  <si>
    <t>SUD_228</t>
  </si>
  <si>
    <t>Bankim</t>
  </si>
  <si>
    <t>ADM_012</t>
  </si>
  <si>
    <t>Mbamti-Katarko</t>
  </si>
  <si>
    <t>ADM_163</t>
  </si>
  <si>
    <t>Magba</t>
  </si>
  <si>
    <t>OST_023</t>
  </si>
  <si>
    <t>Mbouda-CEBEC-MTN</t>
  </si>
  <si>
    <t>OST_313</t>
  </si>
  <si>
    <t>Mountain-Hotel-IHS</t>
  </si>
  <si>
    <t>SUO_202</t>
  </si>
  <si>
    <t>Tole-II-IHS</t>
  </si>
  <si>
    <t>SUO_190</t>
  </si>
  <si>
    <t>CDC-Delmonte-IHS</t>
  </si>
  <si>
    <t>LIT_173</t>
  </si>
  <si>
    <t>CDC-Delmonte</t>
  </si>
  <si>
    <t>BANKA</t>
  </si>
  <si>
    <t>OST_286</t>
  </si>
  <si>
    <t>Banka</t>
  </si>
  <si>
    <t>Mamegnam</t>
  </si>
  <si>
    <t>OST_272</t>
  </si>
  <si>
    <t>Massangam</t>
  </si>
  <si>
    <t>OST_057</t>
  </si>
  <si>
    <t>{Hourly-IHS}: 07-06-2026 02:31:00 FME Brice is informed and trying to manage with L0, Insecurity area.</t>
  </si>
  <si>
    <t>07-06-2026 02 31 00 FME Brice is informed and trying to manage with L0, Insecurity area.</t>
  </si>
  <si>
    <t>Lamape</t>
  </si>
  <si>
    <t>OST_027</t>
  </si>
  <si>
    <t>Tole-HIS</t>
  </si>
  <si>
    <t>SUO_196</t>
  </si>
  <si>
    <t>Tignere</t>
  </si>
  <si>
    <t>ADM_011</t>
  </si>
  <si>
    <t>Borongo</t>
  </si>
  <si>
    <t>ADM_162</t>
  </si>
  <si>
    <t>Bonadibong</t>
  </si>
  <si>
    <t>LIT_126</t>
  </si>
  <si>
    <t>Djoa-IHS</t>
  </si>
  <si>
    <t>ADM_187</t>
  </si>
  <si>
    <t>Mile4</t>
  </si>
  <si>
    <t>SUO_021</t>
  </si>
  <si>
    <t>Koundoum</t>
  </si>
  <si>
    <t>OST_252</t>
  </si>
  <si>
    <t>Boudva-IHS</t>
  </si>
  <si>
    <t>NRD_092</t>
  </si>
  <si>
    <t>Boudva</t>
  </si>
  <si>
    <t>Nyamboya-MTN</t>
  </si>
  <si>
    <t>ADM_179</t>
  </si>
  <si>
    <t>Nyamboya</t>
  </si>
  <si>
    <t>H-Sawa</t>
  </si>
  <si>
    <t>LIT_099</t>
  </si>
  <si>
    <t>Fotouni-IHS</t>
  </si>
  <si>
    <t>OST_153</t>
  </si>
  <si>
    <t>Fotouni</t>
  </si>
  <si>
    <t>Ngaoundal3-IHS</t>
  </si>
  <si>
    <t>ADM_119</t>
  </si>
  <si>
    <t>Ngaoundal</t>
  </si>
  <si>
    <t>Batsaa</t>
  </si>
  <si>
    <t>OST_290</t>
  </si>
  <si>
    <t>ADM_010</t>
  </si>
  <si>
    <t>ADM_183</t>
  </si>
  <si>
    <t>{06-07-2026  ocm ran 18}: Impacted by Lewa-MTN_G9U9U21L8_ADM_068</t>
  </si>
  <si>
    <t>Impacted by Lewa-MTN_G9U9U21L8_ADM_068</t>
  </si>
  <si>
    <t>Njimom-IHS</t>
  </si>
  <si>
    <t>OST_149</t>
  </si>
  <si>
    <t>Njimom</t>
  </si>
  <si>
    <t>Bombe-Bakundu-MTN</t>
  </si>
  <si>
    <t>SUO_086</t>
  </si>
  <si>
    <t>Bombe-Bakundu</t>
  </si>
  <si>
    <t>BAHAM-NGOUGOUM</t>
  </si>
  <si>
    <t>OST_282</t>
  </si>
  <si>
    <t>Adoumre-IHS</t>
  </si>
  <si>
    <t>NRD_078</t>
  </si>
  <si>
    <t>Adoumre</t>
  </si>
  <si>
    <t>Mbe-IHS</t>
  </si>
  <si>
    <t>ADM_092</t>
  </si>
  <si>
    <t>Mbe</t>
  </si>
  <si>
    <t xml:space="preserve">{06-07-2026  ocm ran 18}: 07/06/2026 Besoin d'un fme sur site de MPR_NGAOUYANGA-IHS pour verifier le status des ODU 5/3 ET 5/4 </t>
  </si>
  <si>
    <t>07/06/2026 Besoin d'un fme sur site de MPR_NGAOUYANGA-IHS pour verifier le status des ODU 5/3 ET 5/4</t>
  </si>
  <si>
    <t>Ribao</t>
  </si>
  <si>
    <t>NRD_028</t>
  </si>
  <si>
    <t>Ngongo-MTN</t>
  </si>
  <si>
    <t>SUO_085</t>
  </si>
  <si>
    <t>Ngongo</t>
  </si>
  <si>
    <t>FOSSET</t>
  </si>
  <si>
    <t>OST_264</t>
  </si>
  <si>
    <t>Bafou-Balepe-IHS</t>
  </si>
  <si>
    <t>OST_255</t>
  </si>
  <si>
    <t>Loung</t>
  </si>
  <si>
    <t>Fokoue</t>
  </si>
  <si>
    <t>OST_059</t>
  </si>
  <si>
    <t>Fokoue-IHS</t>
  </si>
  <si>
    <t>OST_139</t>
  </si>
  <si>
    <t>Bawa-CAMRAIL</t>
  </si>
  <si>
    <t>ADM_014</t>
  </si>
  <si>
    <t>Bafou-Zinkop</t>
  </si>
  <si>
    <t>OST_069</t>
  </si>
  <si>
    <t>Bafou-Badzifeng</t>
  </si>
  <si>
    <t>OST_108</t>
  </si>
  <si>
    <t>Col-Batie-IHS</t>
  </si>
  <si>
    <t>OST_164</t>
  </si>
  <si>
    <t>Batie</t>
  </si>
  <si>
    <t>Gospel-Radio-IHS</t>
  </si>
  <si>
    <t>NRO_126</t>
  </si>
  <si>
    <t>Bonassama</t>
  </si>
  <si>
    <t>LIT_435</t>
  </si>
  <si>
    <t>Bonendale</t>
  </si>
  <si>
    <t>LIT_181</t>
  </si>
  <si>
    <t>Ndoumkain</t>
  </si>
  <si>
    <t>OST_207</t>
  </si>
  <si>
    <t>Poli-Ville-IHS</t>
  </si>
  <si>
    <t>NRD_119</t>
  </si>
  <si>
    <t>Bangang-Fokam-IHS</t>
  </si>
  <si>
    <t>OST_212</t>
  </si>
  <si>
    <t>Bangang</t>
  </si>
  <si>
    <t>Foumban-Njiyouom</t>
  </si>
  <si>
    <t>OST_137</t>
  </si>
  <si>
    <t>Bamendou-II</t>
  </si>
  <si>
    <t>OST_310</t>
  </si>
  <si>
    <t>Bamendou</t>
  </si>
  <si>
    <t>Bon-Marche-IHS</t>
  </si>
  <si>
    <t>ADM_178</t>
  </si>
  <si>
    <t>Banyo</t>
  </si>
  <si>
    <t>Missellele</t>
  </si>
  <si>
    <t>LIT_178</t>
  </si>
  <si>
    <t>misselele</t>
  </si>
  <si>
    <t>Badenkop</t>
  </si>
  <si>
    <t>OST_258</t>
  </si>
  <si>
    <t>Kombou-IHS</t>
  </si>
  <si>
    <t>OST_265</t>
  </si>
  <si>
    <t>Kombou</t>
  </si>
  <si>
    <t>LIT_016</t>
  </si>
  <si>
    <t>Talla-Kribi-IHS</t>
  </si>
  <si>
    <t>LIT_504</t>
  </si>
  <si>
    <t>Armee-de-l-AIR-IHS</t>
  </si>
  <si>
    <t>LIT_748</t>
  </si>
  <si>
    <t>Bamoungoum</t>
  </si>
  <si>
    <t>OST_274</t>
  </si>
  <si>
    <t>Bfsam-Dienso</t>
  </si>
  <si>
    <t>OST_120</t>
  </si>
  <si>
    <t>Bamendjou-MTN</t>
  </si>
  <si>
    <t>OST_044</t>
  </si>
  <si>
    <t>Bamendjou</t>
  </si>
  <si>
    <t>Bahouan-IHS</t>
  </si>
  <si>
    <t>OST_300</t>
  </si>
  <si>
    <t>Bahouan</t>
  </si>
  <si>
    <t>Banyo-Sabongari-MTN</t>
  </si>
  <si>
    <t>ADM_174</t>
  </si>
  <si>
    <t>MTN Sharing</t>
  </si>
  <si>
    <t>Gashiga</t>
  </si>
  <si>
    <t>NRD_022</t>
  </si>
  <si>
    <t>ADM_006</t>
  </si>
  <si>
    <t>Bangam-IHS</t>
  </si>
  <si>
    <t>OST_211</t>
  </si>
  <si>
    <t>Bangam</t>
  </si>
  <si>
    <t>Bascheo-IHS</t>
  </si>
  <si>
    <t>NRD_015</t>
  </si>
  <si>
    <t>Bascheo</t>
  </si>
  <si>
    <t>Bansoa-II</t>
  </si>
  <si>
    <t>OST_299</t>
  </si>
  <si>
    <t>Bansoa</t>
  </si>
  <si>
    <t>Nkololoun-Marche</t>
  </si>
  <si>
    <t>LIT_548</t>
  </si>
  <si>
    <t>Bansoa-IHS</t>
  </si>
  <si>
    <t>OST_151</t>
  </si>
  <si>
    <t>China-Embassy-IHS</t>
  </si>
  <si>
    <t>CTR_874</t>
  </si>
  <si>
    <t>Ekoudou-New</t>
  </si>
  <si>
    <t>CTR_539</t>
  </si>
  <si>
    <t>Dembo</t>
  </si>
  <si>
    <t>NRD_024</t>
  </si>
  <si>
    <t>Mbaka</t>
  </si>
  <si>
    <t>ADM_161</t>
  </si>
  <si>
    <t>Bamoungoum-IHS</t>
  </si>
  <si>
    <t>OST_163</t>
  </si>
  <si>
    <t>be-HIS</t>
  </si>
  <si>
    <t>SUD_043</t>
  </si>
  <si>
    <t>Kribi-Orange</t>
  </si>
  <si>
    <t>SUD_002</t>
  </si>
  <si>
    <t>Azem-IHS</t>
  </si>
  <si>
    <t>SUD_060</t>
  </si>
  <si>
    <t>Azem</t>
  </si>
  <si>
    <t>Sangmelima-CRTV</t>
  </si>
  <si>
    <t>SUD_018</t>
  </si>
  <si>
    <t>Kribi-CRTV</t>
  </si>
  <si>
    <t>SUD_010</t>
  </si>
  <si>
    <t>Kribi-Bassiki</t>
  </si>
  <si>
    <t>SUD_071</t>
  </si>
  <si>
    <t>Kribi-Ebouyie</t>
  </si>
  <si>
    <t>SUD_077</t>
  </si>
  <si>
    <t>Kribi-Kienke-Bridge-IHS</t>
  </si>
  <si>
    <t>SUD_042</t>
  </si>
  <si>
    <t>Kribi-Ocean</t>
  </si>
  <si>
    <t>SUD_006</t>
  </si>
  <si>
    <t>Ebolowa-Elat</t>
  </si>
  <si>
    <t>SUD_217</t>
  </si>
  <si>
    <t>OST_010</t>
  </si>
  <si>
    <t>Manjo-New</t>
  </si>
  <si>
    <t>LIT_062</t>
  </si>
  <si>
    <t>Ngoulmepa-New</t>
  </si>
  <si>
    <t>LIT_067</t>
  </si>
  <si>
    <t>GRID GEN</t>
  </si>
  <si>
    <t>Ngoulmepa</t>
  </si>
  <si>
    <t>Tole-IHS</t>
  </si>
  <si>
    <t>SUO_189</t>
  </si>
  <si>
    <t>LIT_523</t>
  </si>
  <si>
    <t>Djabi-IHS</t>
  </si>
  <si>
    <t>NRD_069</t>
  </si>
  <si>
    <t>Djabi</t>
  </si>
  <si>
    <t>Badankali-IHS</t>
  </si>
  <si>
    <t>NRD_107</t>
  </si>
  <si>
    <t>Badankali</t>
  </si>
  <si>
    <t>GBHS-Muyuka</t>
  </si>
  <si>
    <t>SUO_246</t>
  </si>
  <si>
    <t>Bana-Centre</t>
  </si>
  <si>
    <t>OST_036</t>
  </si>
  <si>
    <t>Bana</t>
  </si>
  <si>
    <t>Total-Ndobo</t>
  </si>
  <si>
    <t>LIT_437</t>
  </si>
  <si>
    <t>Boadibo</t>
  </si>
  <si>
    <t>LIT_682</t>
  </si>
  <si>
    <t>Bomono-Gare-IHS</t>
  </si>
  <si>
    <t>LIT_498</t>
  </si>
  <si>
    <t>Bomono</t>
  </si>
  <si>
    <t>Famkeu-IHS</t>
  </si>
  <si>
    <t>OST_308</t>
  </si>
  <si>
    <t>Songa-Boko</t>
  </si>
  <si>
    <t>LIT_280</t>
  </si>
  <si>
    <t>Bfsam-Centre</t>
  </si>
  <si>
    <t>OST_078</t>
  </si>
  <si>
    <t>Batchenga-MTN-IHS</t>
  </si>
  <si>
    <t>CTR_180</t>
  </si>
  <si>
    <t>Chapelle-Nsimeyong</t>
  </si>
  <si>
    <t>CTR_238</t>
  </si>
  <si>
    <t>Messamendongo</t>
  </si>
  <si>
    <t>CTR_007</t>
  </si>
  <si>
    <t>Ekie-Elegance</t>
  </si>
  <si>
    <t>CTR_285</t>
  </si>
  <si>
    <t>Clge-Advantiste</t>
  </si>
  <si>
    <t>CTR_331</t>
  </si>
  <si>
    <t>Ahala-IHS</t>
  </si>
  <si>
    <t>CTR_164</t>
  </si>
  <si>
    <t>Crf-Mbankolo</t>
  </si>
  <si>
    <t>CTR_637</t>
  </si>
  <si>
    <t>Bastos-Golf</t>
  </si>
  <si>
    <t>CTR_769</t>
  </si>
  <si>
    <t>Oyomabang</t>
  </si>
  <si>
    <t>CTR_340</t>
  </si>
  <si>
    <t>Febe-Village-IHS</t>
  </si>
  <si>
    <t>CTR_692</t>
  </si>
  <si>
    <t>Jean-Vespa2-MTN-IHS</t>
  </si>
  <si>
    <t>CTR_525</t>
  </si>
  <si>
    <t>Mendong-Maetur-IHS</t>
  </si>
  <si>
    <t>CTR_486</t>
  </si>
  <si>
    <t>Bonabappe</t>
  </si>
  <si>
    <t>LIT_290</t>
  </si>
  <si>
    <t>Nkomba-II-IHS</t>
  </si>
  <si>
    <t>LIT_155</t>
  </si>
  <si>
    <t>Camship</t>
  </si>
  <si>
    <t>LIT_139</t>
  </si>
  <si>
    <t>Bamenda-hospital-roundabout-IHS</t>
  </si>
  <si>
    <t>NRO_131</t>
  </si>
  <si>
    <t>Bda-Agence</t>
  </si>
  <si>
    <t>NRO_016</t>
  </si>
  <si>
    <t>St-Thomas</t>
  </si>
  <si>
    <t>LIT_369</t>
  </si>
  <si>
    <t>PK8-Essiac</t>
  </si>
  <si>
    <t>LIT_443</t>
  </si>
  <si>
    <t>Bonaloka-Entree</t>
  </si>
  <si>
    <t>LIT_433</t>
  </si>
  <si>
    <t>Nkwein-MTN</t>
  </si>
  <si>
    <t>NRO_221</t>
  </si>
  <si>
    <t>Bfsam-Tyo-II</t>
  </si>
  <si>
    <t>OST_232</t>
  </si>
  <si>
    <t>Ebolowa-Elat-II</t>
  </si>
  <si>
    <t>SUD_100</t>
  </si>
  <si>
    <t>Hogmeni</t>
  </si>
  <si>
    <t>LIT_325</t>
  </si>
  <si>
    <t>Yambong</t>
  </si>
  <si>
    <t>LIT_365</t>
  </si>
  <si>
    <t>Bfsam-Bamendzi-II</t>
  </si>
  <si>
    <t>OST_135</t>
  </si>
  <si>
    <t>Ngomedzap-MTN</t>
  </si>
  <si>
    <t>CTR_532</t>
  </si>
  <si>
    <t>Brazz-St-Bruno</t>
  </si>
  <si>
    <t>LIT_089</t>
  </si>
  <si>
    <t>Nylon</t>
  </si>
  <si>
    <t>LIT_076</t>
  </si>
  <si>
    <t>Okoth</t>
  </si>
  <si>
    <t>LIT_323</t>
  </si>
  <si>
    <t>LIT_005</t>
  </si>
  <si>
    <t>H-Lumiere</t>
  </si>
  <si>
    <t>LIT_065</t>
  </si>
  <si>
    <t>Hot-Spot</t>
  </si>
  <si>
    <t>NRO_028</t>
  </si>
  <si>
    <t>Nkololoun-II</t>
  </si>
  <si>
    <t>LIT_439</t>
  </si>
  <si>
    <t>Boko-Plage-IHS</t>
  </si>
  <si>
    <t>LIT_363</t>
  </si>
  <si>
    <t>Bsadi-BlocJ</t>
  </si>
  <si>
    <t>LIT_247</t>
  </si>
  <si>
    <t>Du-Levant</t>
  </si>
  <si>
    <t>LIT_046</t>
  </si>
  <si>
    <t>Dschang-Q-Admin</t>
  </si>
  <si>
    <t>OST_112</t>
  </si>
  <si>
    <t>Makepe-St-Tropez</t>
  </si>
  <si>
    <t>LIT_224</t>
  </si>
  <si>
    <t>BTS-Mobile-Tagidor-Hotel</t>
  </si>
  <si>
    <t>OST_306</t>
  </si>
  <si>
    <t>Indoor-BEAC</t>
  </si>
  <si>
    <t>CTR_878</t>
  </si>
  <si>
    <t>Minisite-Tradex-Village</t>
  </si>
  <si>
    <t>LIT_663</t>
  </si>
  <si>
    <t>{06-07-2026 ticket}: INC-20260607-00000231...2026-06-07 00:33:29...Grid Outage...user:OCM_NOC.CAMUSAT</t>
  </si>
  <si>
    <t>.2026-06-07 00 33 29.Grid Outage.user OCM_NOC.CAMUSAT</t>
  </si>
  <si>
    <t>Minisite-PK8-ESG-ISTA</t>
  </si>
  <si>
    <t>LIT_630</t>
  </si>
  <si>
    <t>CBC</t>
  </si>
  <si>
    <t>CTR_805</t>
  </si>
  <si>
    <t>Ngoumou-Camrail</t>
  </si>
  <si>
    <t>CTR_098</t>
  </si>
  <si>
    <t>Cogefar</t>
  </si>
  <si>
    <t>LIT_198</t>
  </si>
  <si>
    <t>Nkolmeyos-IHS</t>
  </si>
  <si>
    <t>SUD_111</t>
  </si>
  <si>
    <t>Nkolmeyos</t>
  </si>
  <si>
    <t>Meyo-Elie</t>
  </si>
  <si>
    <t>SUD_124</t>
  </si>
  <si>
    <t>Lycee-Koumassi-IHS</t>
  </si>
  <si>
    <t>LIT_427</t>
  </si>
  <si>
    <t>Soudanaise-micro</t>
  </si>
  <si>
    <t>LIT_703</t>
  </si>
  <si>
    <t>Kribi-gd-batanga</t>
  </si>
  <si>
    <t>LIT_107</t>
  </si>
  <si>
    <t>Menloh-Maloume-Camrail</t>
  </si>
  <si>
    <t>CTR_451</t>
  </si>
  <si>
    <t>{06-07-2026  ocm ran 18}: 07/06/2026 Besoin d'un FME sur Maka-Camrail pour vérifier la chaine antennaire de l'ODU 5.1</t>
  </si>
  <si>
    <t>07/06/2026 Besoin d'un FME sur Maka-Camrail pour vérifier la chaine antennaire de l'ODU 5.1</t>
  </si>
  <si>
    <t>Bpriso-Nodal</t>
  </si>
  <si>
    <t>LIT_104</t>
  </si>
  <si>
    <t>Otele-Camrail</t>
  </si>
  <si>
    <t>CTR_452</t>
  </si>
  <si>
    <t>Beedi-Hte-Tension</t>
  </si>
  <si>
    <t>LIT_256</t>
  </si>
  <si>
    <t>ZI-Cimencam</t>
  </si>
  <si>
    <t>LIT_258</t>
  </si>
  <si>
    <t>Centenaire</t>
  </si>
  <si>
    <t>LIT_045</t>
  </si>
  <si>
    <t>Bamenda-Meta-Quater-IHS</t>
  </si>
  <si>
    <t>NRO_070</t>
  </si>
  <si>
    <t>ADM_005</t>
  </si>
  <si>
    <t>Ngaoundere-Cifan-MTN-IHS</t>
  </si>
  <si>
    <t>ADM_120</t>
  </si>
  <si>
    <t>Ngd-Aoudi-IHS</t>
  </si>
  <si>
    <t>ADM_115</t>
  </si>
  <si>
    <t>Ndogbat</t>
  </si>
  <si>
    <t>LIT_372</t>
  </si>
  <si>
    <t>Bsadi-Hopital</t>
  </si>
  <si>
    <t>LIT_446</t>
  </si>
  <si>
    <t>Minisite-Elig-Edzoa</t>
  </si>
  <si>
    <t>CTR_684</t>
  </si>
  <si>
    <t>Sokelle-IHS</t>
  </si>
  <si>
    <t>LIT_506</t>
  </si>
  <si>
    <t>Sokelle</t>
  </si>
  <si>
    <t>Bantoum-II-IHS</t>
  </si>
  <si>
    <t>OST_301</t>
  </si>
  <si>
    <t>Bamendjing-MTN-IHS</t>
  </si>
  <si>
    <t>OST_221</t>
  </si>
  <si>
    <t>Bamendjing</t>
  </si>
  <si>
    <t>Jabane</t>
  </si>
  <si>
    <t>SUO_173</t>
  </si>
  <si>
    <t>Oyack-Lycee</t>
  </si>
  <si>
    <t>LIT_299</t>
  </si>
  <si>
    <t>NR-PK5</t>
  </si>
  <si>
    <t>LIT_096</t>
  </si>
  <si>
    <t>{06-07-2026 ticket}: INC-20260607-00017208...GE Fault</t>
  </si>
  <si>
    <t>Nomayos-IHS</t>
  </si>
  <si>
    <t>CTR_527</t>
  </si>
  <si>
    <t>Koutaba-IHS</t>
  </si>
  <si>
    <t>OST_138</t>
  </si>
  <si>
    <t>Koutaba</t>
  </si>
  <si>
    <t>Bfsam-Tougang-EEC</t>
  </si>
  <si>
    <t>OST_077</t>
  </si>
  <si>
    <t>Bamendjing-IHS</t>
  </si>
  <si>
    <t>OST_030</t>
  </si>
  <si>
    <t>OST_056</t>
  </si>
  <si>
    <t>{06-07-2026  ocm ran 18}: 04.06.26: Site vendalisé. Cables power, 02 FO et cables de mise à terre en défaut. Inventaire transmis et vérifications du SPM en cours
01/06/2026 inventaire transmis en attente de mise a disposition du materiel
31.05.26: Site vendalisé, rédation du RI et commande du matériel en cours, update ASAP
31.05.26: Besoin d'un FME sur site pour vérifier les modules radio RAN et leur alimentation; CM-20260531-00002969; FME Patrick activé pour investigations, update ASAP</t>
  </si>
  <si>
    <t>04.06.26 Site vendalisé. Cables power, 02 FO et cables de mise à terre en défaut. Inventaire transmis et vérifications du SPM en cours
01/06/2026 inventaire transmis en attente de mise a disposition du materiel
31.05.26 Site vendalisé, rédation du RI et commande du matériel en cours, update ASAP
31.05.26 Besoin d'un FME sur site pour vérifier les modules radio RAN et leur alimentation; FME Patrick activé pour investigations, update ASAP</t>
  </si>
  <si>
    <t>Malanden</t>
  </si>
  <si>
    <t>OST_275</t>
  </si>
  <si>
    <t>Tongo-IHS</t>
  </si>
  <si>
    <t>NRD_112</t>
  </si>
  <si>
    <t>Tongo</t>
  </si>
  <si>
    <t xml:space="preserve"> {06-07-2026   incident }:   impact by  NRD_112_H_TONGO-IHS  ,Update 28
2026-06-07
ODU récupéré LagdO.
Remplacement demain matin
7/07/2026 Tongo-IHS-        ;         {06-07-2026  ocm ran 18}: Incident P2 sur NRD_112_Tongo; Power + TX issue</t>
  </si>
  <si>
    <t>{06-07-2026 incident } impact by NRD_112_H_TONGO-IHS ,Update 28
2026-06-07
ODU récupéré LagdO.
Remplacement demain matin
7/07/2026 Tongo-IHS- Incident P2 sur NRD_112_Tongo; Power + TX issue</t>
  </si>
  <si>
    <t>Koupa-Matapit-IHS</t>
  </si>
  <si>
    <t>OST_209</t>
  </si>
  <si>
    <t>Koupa-Matapit</t>
  </si>
  <si>
    <t>OST_007</t>
  </si>
  <si>
    <t>Malantouen</t>
  </si>
  <si>
    <t>OST_039</t>
  </si>
  <si>
    <t>Mouanko</t>
  </si>
  <si>
    <t>LIT_191</t>
  </si>
  <si>
    <t>Bfsam-Stade</t>
  </si>
  <si>
    <t>OST_110</t>
  </si>
  <si>
    <t>Binguela-Camrail</t>
  </si>
  <si>
    <t>CTR_453</t>
  </si>
  <si>
    <t>BP-Cite</t>
  </si>
  <si>
    <t>LIT_034</t>
  </si>
  <si>
    <t>Njombe-PHP</t>
  </si>
  <si>
    <t>LIT_590</t>
  </si>
  <si>
    <t>Liberte</t>
  </si>
  <si>
    <t>LIT_019</t>
  </si>
  <si>
    <t>kalat-IHS</t>
  </si>
  <si>
    <t>SUD_082</t>
  </si>
  <si>
    <t>Ebolowa-Si-MTN</t>
  </si>
  <si>
    <t>SUD_263</t>
  </si>
  <si>
    <t>Bali-SNEC</t>
  </si>
  <si>
    <t>LIT_015</t>
  </si>
  <si>
    <t>SNAC</t>
  </si>
  <si>
    <t>LIT_043</t>
  </si>
  <si>
    <t>Bali-Koumassi</t>
  </si>
  <si>
    <t>LIT_413</t>
  </si>
  <si>
    <t>LIT_833_Z_Boko4-MTN-IHS</t>
  </si>
  <si>
    <t>LIT_833</t>
  </si>
  <si>
    <t>Emana</t>
  </si>
  <si>
    <t>CTR_023</t>
  </si>
  <si>
    <t>Mabanda</t>
  </si>
  <si>
    <t>LIT_094</t>
  </si>
  <si>
    <t>Manjo-new</t>
  </si>
  <si>
    <t>LIT_555</t>
  </si>
  <si>
    <t>Olembe-staduim</t>
  </si>
  <si>
    <t>CTR_853</t>
  </si>
  <si>
    <t>Labogenie</t>
  </si>
  <si>
    <t>CTR_015</t>
  </si>
  <si>
    <t>Ndisamba</t>
  </si>
  <si>
    <t>CTR_008</t>
  </si>
  <si>
    <t>OST_004</t>
  </si>
  <si>
    <t>Zingui</t>
  </si>
  <si>
    <t>SUD_136</t>
  </si>
  <si>
    <t>Bonantone</t>
  </si>
  <si>
    <t>LIT_085</t>
  </si>
  <si>
    <t>Newb-Q-Haoussa</t>
  </si>
  <si>
    <t>LIT_395</t>
  </si>
  <si>
    <t>Minisite-SOUDANAISE</t>
  </si>
  <si>
    <t>LIT_665</t>
  </si>
  <si>
    <t>Beka</t>
  </si>
  <si>
    <t>NRD_020</t>
  </si>
  <si>
    <t xml:space="preserve"> {06-07-2026   incident }:   impact by NRD_020_H_Beka   , Cause:
Soucis Energie
Action : En Attente RCA IHS        ;         {06-07-2026 ticket}: INC-20260607-00016159...2026-06-07 18:57:58...FME Ayang is managing with level 0...
En Attente RCA IHS...Others...
Soucis Energie...user:OCM_NOC.IHS</t>
  </si>
  <si>
    <t>{06-07-2026 incident } impact by NRD_020_H_Beka , Cause Soucis Energie
Action En Attente RCA IHS .2026-06-07 18 57 58.FME Ayang is managing with level 0.
En Attente RCA IHS.
Soucis Energie.user OCM_NOC.IHS</t>
  </si>
  <si>
    <t>Nkong-Zem</t>
  </si>
  <si>
    <t>OST_073</t>
  </si>
  <si>
    <t>Bfsam-Banengo</t>
  </si>
  <si>
    <t>OST_003</t>
  </si>
  <si>
    <t>Banekane</t>
  </si>
  <si>
    <t>OST_052</t>
  </si>
  <si>
    <t>Bfsam-Bamendzi</t>
  </si>
  <si>
    <t>OST_024</t>
  </si>
  <si>
    <t>Bangourain</t>
  </si>
  <si>
    <t>OST_090</t>
  </si>
  <si>
    <t>{06-07-2026  ocm ran 18}: 07/06/2026 Red zone and access negotiations ongoing
06/06/2026 No access today; will try again tomorrow
05/06/2026 |Plan for this weekend depending on access
04/06/2026 |Plan for this weekend depending on access
03/06/2026 |Plan for this weekend depending on access
02.06.26: Red zone and access negotiations ongoing
02.06.26: Besoin d'un FME sur site pour vérifier le statut de la BBU Huawei et son interco avec le MPR S1P7
P1 incident at NRO_034_N_Balikumbat-Palais; Power issue, IHS</t>
  </si>
  <si>
    <t>07/06/2026 Red zone and access negotiations ongoing
06/06/2026 No access today; will try again tomorrow
05/06/2026 |Plan for this weekend depending on access
04/06/2026 |Plan for this weekend depending on access
03/06/2026 |Plan for this weekend depending on access
02.06.26 Red zone and access negotiations ongoing
02.06.26 Besoin d'un FME sur site pour vérifier le statut de la BBU Huawei et son interco avec le MPR S1P7
P1 incident at NRO_034_N_Balikumbat-Palais; Power issue, IHS</t>
  </si>
  <si>
    <t>Kekem</t>
  </si>
  <si>
    <t>OST_103</t>
  </si>
  <si>
    <t>Camp-Bertaud</t>
  </si>
  <si>
    <t>LIT_281</t>
  </si>
  <si>
    <t>Bfsam-Q-Haoussa</t>
  </si>
  <si>
    <t>OST_100</t>
  </si>
  <si>
    <t>Ebolowa-Ville</t>
  </si>
  <si>
    <t>CTR_392</t>
  </si>
  <si>
    <t>Santa-Barbara-Dla-IHS</t>
  </si>
  <si>
    <t>LIT_171</t>
  </si>
  <si>
    <t>Bberi-Q-Princes</t>
  </si>
  <si>
    <t>LIT_535</t>
  </si>
  <si>
    <t>Bfsam-Njinkwo</t>
  </si>
  <si>
    <t>OST_076</t>
  </si>
  <si>
    <t>Bfsam-Marche-New</t>
  </si>
  <si>
    <t>OST_223</t>
  </si>
  <si>
    <t>Newb-Mairie</t>
  </si>
  <si>
    <t>LIT_090</t>
  </si>
  <si>
    <t>Deido-Lycee</t>
  </si>
  <si>
    <t>LIT_004</t>
  </si>
  <si>
    <t>Batoufam-Chefferie</t>
  </si>
  <si>
    <t>OST_277</t>
  </si>
  <si>
    <t>Batoufam</t>
  </si>
  <si>
    <t>Garoua-Orange</t>
  </si>
  <si>
    <t>NRD_001</t>
  </si>
  <si>
    <t>Zokok</t>
  </si>
  <si>
    <t>EXN_009</t>
  </si>
  <si>
    <t>Boko-Douala</t>
  </si>
  <si>
    <t>LIT_240</t>
  </si>
  <si>
    <t>Koupa-Kagnam</t>
  </si>
  <si>
    <t>OST_114</t>
  </si>
  <si>
    <t>Rey-Bouba</t>
  </si>
  <si>
    <t>NRD_023</t>
  </si>
  <si>
    <t>Rey-bouba</t>
  </si>
  <si>
    <t>NRD_008</t>
  </si>
  <si>
    <t>Gouna</t>
  </si>
  <si>
    <t>NRD_031</t>
  </si>
  <si>
    <t>Pitchoumba</t>
  </si>
  <si>
    <t>NRD_171</t>
  </si>
  <si>
    <t>PITCHOUMBA</t>
  </si>
  <si>
    <t>NRD_012</t>
  </si>
  <si>
    <t>Djarako</t>
  </si>
  <si>
    <t>NRD_030</t>
  </si>
  <si>
    <t>Oyak</t>
  </si>
  <si>
    <t>LIT_222</t>
  </si>
  <si>
    <t>Bfsam-Eveche-Carrefour</t>
  </si>
  <si>
    <t>OST_066</t>
  </si>
  <si>
    <t>Kopongo</t>
  </si>
  <si>
    <t>LIT_509</t>
  </si>
  <si>
    <t>Meyo-Centre</t>
  </si>
  <si>
    <t>CTR_145</t>
  </si>
  <si>
    <t>Logbadjeck-IHS</t>
  </si>
  <si>
    <t>LIT_503</t>
  </si>
  <si>
    <t>Logbadjeck</t>
  </si>
  <si>
    <t>Mbongo-IHS</t>
  </si>
  <si>
    <t>LIT_480</t>
  </si>
  <si>
    <t>Mbongo</t>
  </si>
  <si>
    <t>MISSOLE-II-PK35-IHS</t>
  </si>
  <si>
    <t>LIT_750</t>
  </si>
  <si>
    <t>Yembon</t>
  </si>
  <si>
    <t>SUD_243</t>
  </si>
  <si>
    <t>Messok</t>
  </si>
  <si>
    <t>SUD_106</t>
  </si>
  <si>
    <t>Ndonkol-MTN-IHS</t>
  </si>
  <si>
    <t>SUD_062</t>
  </si>
  <si>
    <t>Ndonkol</t>
  </si>
  <si>
    <t>Andom-MTN</t>
  </si>
  <si>
    <t>CTR_305</t>
  </si>
  <si>
    <t>Olounou-MTN</t>
  </si>
  <si>
    <t>CTR_298</t>
  </si>
  <si>
    <t>Olounou</t>
  </si>
  <si>
    <t>Ayoumgong-MTN</t>
  </si>
  <si>
    <t>CTR_349</t>
  </si>
  <si>
    <t>Ayoumgong</t>
  </si>
  <si>
    <t>Kamkop-IHS</t>
  </si>
  <si>
    <t>OST_146</t>
  </si>
  <si>
    <t>Kamkop</t>
  </si>
  <si>
    <t>Ouro-Be-IHS</t>
  </si>
  <si>
    <t>NRD_124</t>
  </si>
  <si>
    <t>Ouro-Be</t>
  </si>
  <si>
    <t>Campo-Maan</t>
  </si>
  <si>
    <t>SUD_085</t>
  </si>
  <si>
    <t>Bato</t>
  </si>
  <si>
    <t>OST_273</t>
  </si>
  <si>
    <t>Figuil</t>
  </si>
  <si>
    <t>NRD_005</t>
  </si>
  <si>
    <t>Lagdo-MTN-IHS</t>
  </si>
  <si>
    <t>NRD_090</t>
  </si>
  <si>
    <t>Crf-Figuil</t>
  </si>
  <si>
    <t>NRD_074</t>
  </si>
  <si>
    <t>Bamena</t>
  </si>
  <si>
    <t>OST_260</t>
  </si>
  <si>
    <t>{06-07-2026 ticket}: INC-20260607-00008957...Auto TT closure RCA...GE Fault</t>
  </si>
  <si>
    <t>Boula-Ibi-IHS</t>
  </si>
  <si>
    <t>NRD_105</t>
  </si>
  <si>
    <t>Boula-Ibi</t>
  </si>
  <si>
    <t>Adoumri-Houla-IHS</t>
  </si>
  <si>
    <t>NRD_126</t>
  </si>
  <si>
    <t>Adoumri</t>
  </si>
  <si>
    <t>Badjouma</t>
  </si>
  <si>
    <t>NRD_026</t>
  </si>
  <si>
    <t>Tiko-Long-Street-IHS</t>
  </si>
  <si>
    <t>LIT_174</t>
  </si>
  <si>
    <t>Manoka-IHS</t>
  </si>
  <si>
    <t>LIT_497</t>
  </si>
  <si>
    <t>Manoka</t>
  </si>
  <si>
    <t>Dikoum-Camtel</t>
  </si>
  <si>
    <t>SUD_098</t>
  </si>
  <si>
    <t>Dikoum</t>
  </si>
  <si>
    <t>Lom-Pangar-MTN</t>
  </si>
  <si>
    <t>EST_083</t>
  </si>
  <si>
    <t>Lom-Pangar</t>
  </si>
  <si>
    <t>Penka-Michel-IHS</t>
  </si>
  <si>
    <t>OST_210</t>
  </si>
  <si>
    <t>Penka-Michel</t>
  </si>
  <si>
    <t>Mbitom-camrail</t>
  </si>
  <si>
    <t>EST_105</t>
  </si>
  <si>
    <t>Hybrid solar - S1</t>
  </si>
  <si>
    <t>Mbargue-Camrail</t>
  </si>
  <si>
    <t>CTR_457</t>
  </si>
  <si>
    <t>Pella</t>
  </si>
  <si>
    <t>CTR_894</t>
  </si>
  <si>
    <t>Baigon</t>
  </si>
  <si>
    <t>OST_070</t>
  </si>
  <si>
    <t>Bangangte-Ville</t>
  </si>
  <si>
    <t>OST_018</t>
  </si>
  <si>
    <t>Nkoundja</t>
  </si>
  <si>
    <t>OST_006</t>
  </si>
  <si>
    <t>{06-07-2026 cell huawei}: 05/06/2026 : Besoin d'analyse BO RAN || Site unstable : Transmission check        ;         {06-07-2026 cell huawei}: 05/06/2026 : Besoin d'analyse BO RAN || Site unstable : Transmission check</t>
  </si>
  <si>
    <t>05/06/2026 Besoin d'analyse BO RAN || Site unstable Transmission check 05/06/2026 Besoin d'analyse BO RAN || Site unstable Transmission check</t>
  </si>
  <si>
    <t>Ngambe-Tikar-IHS</t>
  </si>
  <si>
    <t>OST_031</t>
  </si>
  <si>
    <t>Ngambe-Tikar</t>
  </si>
  <si>
    <t>Kouoptamo</t>
  </si>
  <si>
    <t>OST_058</t>
  </si>
  <si>
    <t>{Hourly-IHS}: 07/06/2026 17:55 0:04:31 45.8 FME is on the way to site, ETA is 6:40 PM</t>
  </si>
  <si>
    <t>07/06/2026 17 55 0 04 31 45.8 FME is on the way to site, ETA is 6 40 PM</t>
  </si>
  <si>
    <t>Mengbwa-Camtel</t>
  </si>
  <si>
    <t>SUD_078</t>
  </si>
  <si>
    <t>Mengbwa</t>
  </si>
  <si>
    <t>Oveng-Mission-Catholique</t>
  </si>
  <si>
    <t>CTR_898</t>
  </si>
  <si>
    <t>Bangoulap</t>
  </si>
  <si>
    <t>OST_314</t>
  </si>
  <si>
    <t>Bangangté</t>
  </si>
  <si>
    <t>Batcham-II</t>
  </si>
  <si>
    <t>OST_243</t>
  </si>
  <si>
    <t>Batcham</t>
  </si>
  <si>
    <t>Badoumguia</t>
  </si>
  <si>
    <t>OST_303</t>
  </si>
  <si>
    <t>Bambit-MTN</t>
  </si>
  <si>
    <t>OST_048</t>
  </si>
  <si>
    <t>Bambit</t>
  </si>
  <si>
    <t>Basseu-MTN</t>
  </si>
  <si>
    <t>OST_322</t>
  </si>
  <si>
    <t>Bafou-Dzinmezo</t>
  </si>
  <si>
    <t>OST_254</t>
  </si>
  <si>
    <t>Abouta-MTN</t>
  </si>
  <si>
    <t>SUD_238</t>
  </si>
  <si>
    <t>Abouta</t>
  </si>
  <si>
    <t>Tongo-Ngandima-IHS</t>
  </si>
  <si>
    <t>EST_116</t>
  </si>
  <si>
    <t>Tongo-Ngandima</t>
  </si>
  <si>
    <t>Mbandjock-II</t>
  </si>
  <si>
    <t>CTR_510</t>
  </si>
  <si>
    <t>Djohong</t>
  </si>
  <si>
    <t>ADM_022</t>
  </si>
  <si>
    <t>Ekabita-Essele</t>
  </si>
  <si>
    <t>CTR_437</t>
  </si>
  <si>
    <t>Nkometou-Razel</t>
  </si>
  <si>
    <t>CTR_825</t>
  </si>
  <si>
    <t>Abang-Minko-IHS</t>
  </si>
  <si>
    <t>SUD_044</t>
  </si>
  <si>
    <t>Abang-Minko</t>
  </si>
  <si>
    <t>Bazou</t>
  </si>
  <si>
    <t>OST_037</t>
  </si>
  <si>
    <t>BTS-Mobile-Mbandjock</t>
  </si>
  <si>
    <t>CTR_636</t>
  </si>
  <si>
    <t>Niete-V13</t>
  </si>
  <si>
    <t>LIT_194</t>
  </si>
  <si>
    <t>NR-Cite</t>
  </si>
  <si>
    <t>LIT_404</t>
  </si>
  <si>
    <t>Bazou-IHS</t>
  </si>
  <si>
    <t>OST_152</t>
  </si>
  <si>
    <t>{06-07-2026  ocm ran 18}: Power status check Ongoing        ;         {06-07-2026 ticket}: INC-20260607-00018697...Auto TT closure RCA...GE Fault</t>
  </si>
  <si>
    <t>Babadjou</t>
  </si>
  <si>
    <t>OST_060</t>
  </si>
  <si>
    <t xml:space="preserve"> {06-07-2026   incident }:   impact by  OST_141_H_Mbouda  Fuel Outage(Fuel theft according to power team)
Return to the latest
Action:GE reflueled        ;         {06-07-2026 ticket}: INC-20260607-00018024...2026-06-07 21:51:40...
*Request Access* 
 *Site ID*: OST_
 *Site N*: mbouda 
 *Reason*: refuelling
 *Impact (Yes or No)*: no
 *Company*: camusat 
 *Technician*:  yves seraphin 
 *Tel*:  697700049
 *Date*: 07/06/2026...
GE Refueled...FUEL ISSUE...
Fuel Outage(Fuel theft according to power team)...user:TCHOUPOU BAUDOIN VALDAS </t>
  </si>
  <si>
    <t>EDZENDOUAN</t>
  </si>
  <si>
    <t>CTR_795</t>
  </si>
  <si>
    <t>Edzendouan</t>
  </si>
  <si>
    <t>OST_311</t>
  </si>
  <si>
    <t>MBOUDA</t>
  </si>
  <si>
    <t>{06-07-2026 ticket}: INC-20260607-00009965...power issue in the donor site 
power team alerted and managing 
follow up ongoing ...GE Fault</t>
  </si>
  <si>
    <t>.power issue in the donor site
power team alerted and managing
follow up ongoing .GE Fault</t>
  </si>
  <si>
    <t>Kienke</t>
  </si>
  <si>
    <t>LIT_195</t>
  </si>
  <si>
    <t>Kiienke</t>
  </si>
  <si>
    <t>Mengue-Bibey-Camrail</t>
  </si>
  <si>
    <t>CTR_455</t>
  </si>
  <si>
    <t>Mengue-Bibey</t>
  </si>
  <si>
    <t>Belabo</t>
  </si>
  <si>
    <t>EST_002</t>
  </si>
  <si>
    <t>Niete-FH</t>
  </si>
  <si>
    <t>SUD_005</t>
  </si>
  <si>
    <t>Akoeman</t>
  </si>
  <si>
    <t>CTR_517</t>
  </si>
  <si>
    <t>Tangui</t>
  </si>
  <si>
    <t>LIT_233</t>
  </si>
  <si>
    <t>Borongoue-IHS</t>
  </si>
  <si>
    <t>EST_130</t>
  </si>
  <si>
    <t>Borongoue</t>
  </si>
  <si>
    <t>OST_183</t>
  </si>
  <si>
    <t>Batchingou</t>
  </si>
  <si>
    <t>OST_033</t>
  </si>
  <si>
    <t>Niete-DG</t>
  </si>
  <si>
    <t>SUD_011</t>
  </si>
  <si>
    <t>Adjap-IHS</t>
  </si>
  <si>
    <t>SUD_070</t>
  </si>
  <si>
    <t>Adjap</t>
  </si>
  <si>
    <t>Tonga</t>
  </si>
  <si>
    <t>OST_053</t>
  </si>
  <si>
    <t>Minisite-Bonapriso-Castel-Hall</t>
  </si>
  <si>
    <t>LIT_628</t>
  </si>
  <si>
    <t>Babette</t>
  </si>
  <si>
    <t>OST_257</t>
  </si>
  <si>
    <t>Nkoteng-II</t>
  </si>
  <si>
    <t>CTR_220</t>
  </si>
  <si>
    <t>Mfessang</t>
  </si>
  <si>
    <t>OST_189</t>
  </si>
  <si>
    <t>Demdeng</t>
  </si>
  <si>
    <t>OST_088</t>
  </si>
  <si>
    <t>DIDANGO-II</t>
  </si>
  <si>
    <t>OST_316</t>
  </si>
  <si>
    <t>{06-07-2026 ticket}: INC-20260607-00020767...Auto TT closure RCA...GE Fault</t>
  </si>
  <si>
    <t>Balengou</t>
  </si>
  <si>
    <t>OST_049</t>
  </si>
  <si>
    <t>Bissiang</t>
  </si>
  <si>
    <t>LIT_505</t>
  </si>
  <si>
    <t>LIT_012</t>
  </si>
  <si>
    <t>Pama</t>
  </si>
  <si>
    <t>SUD_004</t>
  </si>
  <si>
    <t>Nkometou-Edouma-IHS</t>
  </si>
  <si>
    <t>CTR_695</t>
  </si>
  <si>
    <t>Edea-Ndokok</t>
  </si>
  <si>
    <t>LIT_230</t>
  </si>
  <si>
    <t>Nkenglikok</t>
  </si>
  <si>
    <t>CTR_060</t>
  </si>
  <si>
    <t>Nkeng-likok</t>
  </si>
  <si>
    <t>Mbambou-IHS</t>
  </si>
  <si>
    <t>LIT_143</t>
  </si>
  <si>
    <t>Mbambou</t>
  </si>
  <si>
    <t>Minisite-Tsinga</t>
  </si>
  <si>
    <t>CTR_690</t>
  </si>
  <si>
    <t>Olamze-IHS</t>
  </si>
  <si>
    <t>SUD_038</t>
  </si>
  <si>
    <t>Olamze</t>
  </si>
  <si>
    <t>Ambassade-Gabon</t>
  </si>
  <si>
    <t>CTR_745</t>
  </si>
  <si>
    <t>EST_009</t>
  </si>
  <si>
    <t>Fifinda-MTN</t>
  </si>
  <si>
    <t>SUD_215</t>
  </si>
  <si>
    <t>Fifinda</t>
  </si>
  <si>
    <t xml:space="preserve">{06-07-2026  ocm ran 18}: 07/06/2026 L'équipe était sur place hier, mais les travaux n'ont pas pu être achevés en raison de la pluie et de la tombée de la nuit. ETA=12H UTC 
06.06.2026: ODU recu remplacement prevue ce Jour ETA=15H
05/06/2026 ODU MPT HQAM, 7/8GHz 3DB20773BA EXPEDITION en cours vers EDA ETD=05/06/2026 
04.06.26: ODU MPT HQAM, 7/8GHz 3DB20773BA pris sur le site de Botmakak faulty, nouvelle commande passée, récupération en cours au WH Bassa et tests en cours
31.05.26: ODU MPT HQAM, 7/8GHz 3DB20773BA pris sur le site de Botmakak faulty, nouvelle commande passée
30.05.26: ODU shipped from Edea to Kribi this day, ETD=30.05.26, ETR=31.05.26
29/05/2026 Cannibalized at BOTMAKAK and shipped to EDEA and then KRIBI ETD 30-May
29/05/2026 Retirer l'ODU (3DB20774CB) à CTR_189_Z_BOTMAKAK pour remplacer à SUD_215_Z_Fifinda-MTN(SUD-215) Deadline 5/29/2026
27/05/2026 Retirer l'ODU (3DB20774CB) à CTR_189_Z_BOTMAKAK pour remplacer à SUD_215_Z_Fifinda-MTN(SUD-215) Deadline 5/29/2026
26/05/2026 21/05/2026  radio à demanteler pour le 12/05 sur les liaisons ci dessous
Nyom-II-IHS_Nkometou // Ndogbong_PK10-Sœurs-Dominicaines // Nkog-Edzen_Monatele
21/05/2026  radio à demanteler pour le 12/05 sur les liaisons ci dessous
Nyom-II-IHS_Nkometou // Ndogbong_PK10-Sœurs-Dominicaines // Nkog-Edzen_Monatele
19/05/2026  ODU MPT HQAM, 7/8GHz 3DB20773BA radio à demanteler pour le 12/05 sur les liaisons ci dessous
Nyom-II-IHS_Nkometou // Ndogbong_PK10-Sœurs-Dominicaines // Nkog-Edzen_Monatele
</t>
  </si>
  <si>
    <t>07/06/2026 L'équipe était sur place hier, mais les travaux n'ont pas pu être achevés en raison de la pluie et de la tombée de la nuit. ETA=12H UTC
06.06.2026 ODU recu remplacement prevue ce Jour ETA=15H
05/06/2026 ODU MPT HQAM, 7/8GHz 3DB20773BA EXPEDITION en cours vers EDA ETD=05/06/2026
04.06.26 ODU MPT HQAM, 7/8GHz 3DB20773BA pris sur le site de Botmakak faulty, nouvelle commande passée, récupération en cours au WH Bassa et tests en cours
31.05.26 ODU MPT HQAM, 7/8GHz 3DB20773BA pris sur le site de Botmakak faulty, nouvelle commande passée
30.05.26 ODU shipped from Edea to Kribi this day, ETD=30.05.26, ETR=31.05.26
29/05/2026 Cannibalized at BOTMAKAK and shipped to EDEA and then KRIBI ETD 30-May
29/05/2026 Retirer l'ODU (3DB20774CB) à CTR_189_Z_BOTMAKAK pour remplacer à SUD_215_Z_Fifinda-MTN(SUD-215) Deadline 5/29/2026
27/05/2026 Retirer l'ODU (3DB20774CB) à CTR_189_Z_BOTMAKAK pour remplacer à SUD_215_Z_Fifinda-MTN(SUD-215) Deadline 5/29/2026
26/05/2026 21/05/2026 radio à demanteler pour le 12/05 sur les liaisons ci dessous
Nyom-II-IHS_Nkometou // Ndogbong_PK10-Sœurs-Dominicaines // Nkog-Edzen_Monatele
21/05/2026 radio à demanteler pour le 12/05 sur les liaisons ci dessous
Nyom-II-IHS_Nkometou // Ndogbong_PK10-Sœurs-Dominicaines // Nkog-Edzen_Monatele
19/05/2026 ODU MPT HQAM, 7/8GHz 3DB20773BA radio à demanteler pour le 12/05 sur les liaisons ci dessous
Nyom-II-IHS_Nkometou // Ndogbong_PK10-Sœurs-Dominicaines // Nkog-Edzen_Monatele</t>
  </si>
  <si>
    <t>Nakong</t>
  </si>
  <si>
    <t xml:space="preserve"> {06-07-2026   incident }:  IMPACT BY NRD_157_H_NaKong  Soucis Energie  ,En Attente RCA HIS        ;         {06-07-2026 ticket}: INC-20260607-00020856...2026-06-07 23:02:58...There is a power issue at Nakong so please to involve the Powerco...
En Attente RCA IHS...Others...
Soucis Energie...user:NYOBE BENOIT n84280187</t>
  </si>
  <si>
    <t>{06-07-2026 incident } IMPACT BY NRD_157_H_NaKong Soucis Energie ,En Attente RCA HIS .2026-06-07 23 02 58.There is a power issue at Nakong so please to involve the Powerco.
En Attente RCA IHS.
Soucis Energie.user NYOBE BENOIT n84280187</t>
  </si>
  <si>
    <t>Balessing</t>
  </si>
  <si>
    <t>OST_008</t>
  </si>
  <si>
    <t>OCM/Stratégique</t>
  </si>
  <si>
    <t>Mbouda-SIK-IHS</t>
  </si>
  <si>
    <t>OST_144</t>
  </si>
  <si>
    <t>Yenon</t>
  </si>
  <si>
    <t>OST_013</t>
  </si>
  <si>
    <t>Baham</t>
  </si>
  <si>
    <t>OST_035</t>
  </si>
  <si>
    <t>OST_040</t>
  </si>
  <si>
    <t>{06-07-2026 ticket}: INC-20260607-00009959...power issue in the site 
power team alerted and managing 
follow up ...GE Fault</t>
  </si>
  <si>
    <t>.power issue in the site
power team alerted and managing
follow up .GE Fault</t>
  </si>
  <si>
    <t>OST_034</t>
  </si>
  <si>
    <t>Bafounda-IHS</t>
  </si>
  <si>
    <t>OST_150</t>
  </si>
  <si>
    <t>Bafounda</t>
  </si>
  <si>
    <t>Bameka-IHS</t>
  </si>
  <si>
    <t>OST_162</t>
  </si>
  <si>
    <t>Bameka</t>
  </si>
  <si>
    <t>Bamendjou-II</t>
  </si>
  <si>
    <t>OST_298</t>
  </si>
  <si>
    <t>Foumban-Kounga</t>
  </si>
  <si>
    <t>OST_028</t>
  </si>
  <si>
    <t>Bakassi</t>
  </si>
  <si>
    <t>SUO_018</t>
  </si>
  <si>
    <t>Foumbot-Mangoum</t>
  </si>
  <si>
    <t>OST_136</t>
  </si>
  <si>
    <t>Ekindi-MTN</t>
  </si>
  <si>
    <t>SUO_045</t>
  </si>
  <si>
    <t>Ekindi</t>
  </si>
  <si>
    <t>Mbatu-IHS</t>
  </si>
  <si>
    <t>NRO_065</t>
  </si>
  <si>
    <t>Small-Ekombe-IHS</t>
  </si>
  <si>
    <t>SUO_090</t>
  </si>
  <si>
    <t>Ndoukoula</t>
  </si>
  <si>
    <t>EXN_073</t>
  </si>
  <si>
    <t>Kay-Kay</t>
  </si>
  <si>
    <t>EXN_050</t>
  </si>
  <si>
    <t>Doreissou-IHS</t>
  </si>
  <si>
    <t>EXN_118</t>
  </si>
  <si>
    <t>Doreissou</t>
  </si>
  <si>
    <t>Guirvidig</t>
  </si>
  <si>
    <t>EXN_098</t>
  </si>
  <si>
    <t>Baligam</t>
  </si>
  <si>
    <t>OST_283</t>
  </si>
  <si>
    <t>Tekele</t>
  </si>
  <si>
    <t>EXN_230</t>
  </si>
  <si>
    <t>Torock-IHS</t>
  </si>
  <si>
    <t>EXN_178</t>
  </si>
  <si>
    <t>Torock</t>
  </si>
  <si>
    <t>Ilor-MTN</t>
  </si>
  <si>
    <t>SUO_046</t>
  </si>
  <si>
    <t>Ilor</t>
  </si>
  <si>
    <t>{06-07-2026  ocm ran 18}: 07/06/2026 Besoin d'un fme sur site pour verifier l'interco entre RTN LOE MTN-SUO-043-NE320-1 et RTN LOE MTN-SUO-043-NE320-2A fme fojo activé RED ZONE 
Impacted by SUO_043_H_Loe MTN (TX issue)</t>
  </si>
  <si>
    <t>07/06/2026 Besoin d'un fme sur site pour verifier l'interco entre RTN LOE MTN-SUO-043-NE320-1 et RTN LOE MTN-SUO-043-NE320-2A fme fojo activé RED ZONE
Impacted by SUO_043_H_Loe MTN (TX issue)</t>
  </si>
  <si>
    <t>Kumbo</t>
  </si>
  <si>
    <t>NRO_037</t>
  </si>
  <si>
    <t>NEW-Bonako</t>
  </si>
  <si>
    <t>SUO_157</t>
  </si>
  <si>
    <t>Sedek</t>
  </si>
  <si>
    <t>EXN_218</t>
  </si>
  <si>
    <t>Gabarairou</t>
  </si>
  <si>
    <t>EXN_210</t>
  </si>
  <si>
    <t>Moulvoudaye</t>
  </si>
  <si>
    <t>Moulvouday</t>
  </si>
  <si>
    <t>EXN_038</t>
  </si>
  <si>
    <t>Berore-IHS</t>
  </si>
  <si>
    <t>NRO_086</t>
  </si>
  <si>
    <t>Berore</t>
  </si>
  <si>
    <t>{06-07-2026  ocm ran 18}: Impacted by SUO_073_H_Mamfe-Brasserie (TX issue)</t>
  </si>
  <si>
    <t>Impacted by SUO_073_H_Mamfe-Brasserie (TX issue)</t>
  </si>
  <si>
    <t>Mutengene-Qter8</t>
  </si>
  <si>
    <t>SUO_064</t>
  </si>
  <si>
    <t>Mutengene-E-Police</t>
  </si>
  <si>
    <t>SUO_164</t>
  </si>
  <si>
    <t>SUO_005</t>
  </si>
  <si>
    <t>Logone-Birni</t>
  </si>
  <si>
    <t>EXN_051</t>
  </si>
  <si>
    <t xml:space="preserve"> {06-07-2026   incident }:   impact by EXN_031_H_Kousseri-CRTV Soucis Energie
En Attente RCA CAMUSAT</t>
  </si>
  <si>
    <t>{06-07-2026 incident } impact by EXN_031_H_Kousseri-CRTV Soucis Energie
En Attente RCA CAMUSAT</t>
  </si>
  <si>
    <t>Kosseoua</t>
  </si>
  <si>
    <t>EXN_244</t>
  </si>
  <si>
    <t>Akum-Ville-MTN</t>
  </si>
  <si>
    <t>NRO_240</t>
  </si>
  <si>
    <t>Tokombere</t>
  </si>
  <si>
    <t>EXN_015</t>
  </si>
  <si>
    <t>Ekombe-Bondji-IHS</t>
  </si>
  <si>
    <t>SUO_091</t>
  </si>
  <si>
    <t>Bombanda-Ebulu-IHS</t>
  </si>
  <si>
    <t>SUO_095</t>
  </si>
  <si>
    <t>Vandalized</t>
  </si>
  <si>
    <t>Mada-IHS</t>
  </si>
  <si>
    <t>EXN_223</t>
  </si>
  <si>
    <t>Mada</t>
  </si>
  <si>
    <t>Kar-Hay</t>
  </si>
  <si>
    <t>EXN_022</t>
  </si>
  <si>
    <t>Bogo-Marche</t>
  </si>
  <si>
    <t>EXN_191</t>
  </si>
  <si>
    <t>Bogo</t>
  </si>
  <si>
    <t>Jakiri</t>
  </si>
  <si>
    <t>NRO_019</t>
  </si>
  <si>
    <t>Kumbo-II</t>
  </si>
  <si>
    <t>NRO_020</t>
  </si>
  <si>
    <t>MBIYEH-IHS</t>
  </si>
  <si>
    <t>NRO_150</t>
  </si>
  <si>
    <t>Ndop-Catholic-Church</t>
  </si>
  <si>
    <t>NRO_136</t>
  </si>
  <si>
    <t>Jakiri-Church-IHS</t>
  </si>
  <si>
    <t>NRO_138</t>
  </si>
  <si>
    <t>Mindif</t>
  </si>
  <si>
    <t>EXN_037</t>
  </si>
  <si>
    <t>Pette</t>
  </si>
  <si>
    <t>EXN_039</t>
  </si>
  <si>
    <t>Ouro-Zangui</t>
  </si>
  <si>
    <t>EXN_199</t>
  </si>
  <si>
    <t>Ouro Zangui</t>
  </si>
  <si>
    <t>Dargala-New</t>
  </si>
  <si>
    <t>EXN_190</t>
  </si>
  <si>
    <t>Dargala</t>
  </si>
  <si>
    <t>Gagadje</t>
  </si>
  <si>
    <t>EXN_209</t>
  </si>
  <si>
    <t>Kar-Hay-Ville</t>
  </si>
  <si>
    <t>EXN_192</t>
  </si>
  <si>
    <t>Meri</t>
  </si>
  <si>
    <t>EXN_023</t>
  </si>
  <si>
    <t>Maga</t>
  </si>
  <si>
    <t>EXN_014</t>
  </si>
  <si>
    <t>Zouhaye</t>
  </si>
  <si>
    <t>EXN_242</t>
  </si>
  <si>
    <t>Hougno</t>
  </si>
  <si>
    <t>EXN_245</t>
  </si>
  <si>
    <t>EXN_006</t>
  </si>
  <si>
    <t>Zidim-IHS</t>
  </si>
  <si>
    <t>EXN_154</t>
  </si>
  <si>
    <t>Zidim</t>
  </si>
  <si>
    <t>Mamfe-Camtel</t>
  </si>
  <si>
    <t>SUO_245</t>
  </si>
  <si>
    <t>Mamfe</t>
  </si>
  <si>
    <t>Kumbo-Bangam-IHS</t>
  </si>
  <si>
    <t>NRO_052</t>
  </si>
  <si>
    <t>Kumbo-Bangam</t>
  </si>
  <si>
    <t>Wina-IHS</t>
  </si>
  <si>
    <t>EXN_127</t>
  </si>
  <si>
    <t>Wina</t>
  </si>
  <si>
    <t>Balaza</t>
  </si>
  <si>
    <t>EXN_036</t>
  </si>
  <si>
    <t>Pouss-New</t>
  </si>
  <si>
    <t>EXN_189</t>
  </si>
  <si>
    <t>Pouss</t>
  </si>
  <si>
    <t>Bogo-MTN</t>
  </si>
  <si>
    <t>EXN_097</t>
  </si>
  <si>
    <t>Dziguilao</t>
  </si>
  <si>
    <t>EXN_074</t>
  </si>
  <si>
    <t>Tiko-Junction-IHS</t>
  </si>
  <si>
    <t>SUO_205</t>
  </si>
  <si>
    <t>Aguli-MTN</t>
  </si>
  <si>
    <t>NRO_256</t>
  </si>
  <si>
    <t>Aguli</t>
  </si>
  <si>
    <t>Kembong</t>
  </si>
  <si>
    <t>NRO_026</t>
  </si>
  <si>
    <t>{06-07-2026 cell nokia}: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        ;         {06-07-2026 cell nokia}: 
06/05/2026:FME actuellement sur le site de FRAINCHANG||Intervention reporter a Mardi 0906/2026
05/062026:FME activer||Intervention en cour||FME a remplacer les anthenes. mais l'alarme persiste toujour||Suit d'intervention prevue pour demain. 
02/06/2026 : ETA attendu || Relance faite au PM par mail || FD PM : Intervetion planned tomorrow 04.06.2026
01/06/2026: GHOST TOWN
31/05/2026 : Access issue || Negociation en cours 
30/05/2026: Feedback  PM: Panel Antenna replacement planned today 30.05.2026
29.05.2025: Intervention planned by today if  acces OK
28/05/2026:Feedback PM||Panel Antenna replacemen planned on  29.05.2025
25/05/2026 :  GHOST  TOWN
22/05/2026 : Action avec le level non productive || Look down dans la zone || Feedback PM : Intevenion planned 24.05.2025 while waiting acces to be granted by local resident
21/05/2026: Access isssue || Action evec le level 0 en cours || Si l'action n'aboutti pas le FME interveindra demain si l'access est possible
19/05/2026:LOCK DOWN
18/05/2026 : GHOST  TOWN
17/05/2026  : No access for this site for now we keep tryin
16/05/2026  : No access for this site for now we keep trying
15/05/2026 : No access for this site for now we keep trying
14/05/2026 : Feedback RM :No access for this site for now we keep trying
12/05/2026: Fme should check and clean jumper, port 1 || Insecurity zone: Access clearance negotiation on site for intervention
11/05/2026 : Ghost town         
09/05/2026 : Need BO RAN analysis||Fme should check and clean jumper, port 1        ;         {06-07-2026 ticket}: INC-20260607-00000431...impact by bachou ntai ...GE Fault</t>
  </si>
  <si>
    <t>06/05/2026 FME actuellement sur le site de FRAINCHANG || Intervention reporter a Mardi 0906/2026
05/062026 FME activer || Intervention en cour || FME a remplacer les anthenes. mais l'alarme persiste toujour || Suit d'intervention prevue pour demain.
02/06/2026 ETA attendu || Relance faite au PM par mail || FD PM Intervetion planned tomorrow 04.06.2026
01/06/2026 GHOST TOWN
31/05/2026 Access issue || Negociation en cours
30/05/2026 Feedback PM Panel Antenna replacement planned today 30.05.2026
29.05.2025 Intervention planned by today if acces OK
28/05/2026 Feedback PM || Panel Antenna replacemen planned on 29.05.2025
25/05/2026 GHOST TOWN
22/05/2026 Action avec le level non productive || Look down dans la zone || Feedback PM Intevenion planned 24.05.2025 while waiting acces to be granted by local resident
21/05/2026 Access isssue || Action evec le level 0 en cours || Si l'action n'aboutti pas le FME interveindra demain si l'access est possible
19/05/2026 LOCK DOWN
18/05/2026 GHOST TOWN
17/05/2026 No access for this site for now we keep tryin
16/05/2026 No access for this site for now we keep trying
15/05/2026 No access for this site for now we keep trying
14/05/2026 Feedback RM No access for this site for now we keep trying
12/05/2026 Fme should check and clean jumper, port 1 || Insecurity zone Access clearance negotiation on site for intervention
11/05/2026 Ghost town
09/05/2026 Need BO RAN analysis || Fme should check and clean jumper, port 1 06/05/2026 FME actuellement sur le site de FRAINCHANG || Intervention reporter a Mardi 0906/2026
05/062026 FME activer || Intervention en cour || FME a remplacer les anthenes. mais l'alarme persiste toujour || Suit d'intervention prevue pour demain.
02/06/2026 ETA attendu || Relance faite au PM par mail || FD PM Intervetion planned tomorrow 04.06.2026
01/06/2026 GHOST TOWN
31/05/2026 Access issue || Negociation en cours
30/05/2026 Feedback PM Panel Antenna replacement planned today 30.05.2026
29.05.2025 Intervention planned by today if acces OK
28/05/2026 Feedback PM || Panel Antenna replacemen planned on 29.05.2025
25/05/2026 GHOST TOWN
22/05/2026 Action avec le level non productive || Look down dans la zone || Feedback PM Intevenion planned 24.05.2025 while waiting acces to be granted by local resident
21/05/2026 Access isssue || Action evec le level 0 en cours || Si l'action n'aboutti pas le FME interveindra demain si l'access est possible
19/05/2026 LOCK DOWN
18/05/2026 GHOST TOWN
17/05/2026 No access for this site for now we keep tryin
16/05/2026 No access for this site for now we keep trying
15/05/2026 No access for this site for now we keep trying
14/05/2026 Feedback RM No access for this site for now we keep trying
12/05/2026 Fme should check and clean jumper, port 1 || Insecurity zone Access clearance negotiation on site for intervention
11/05/2026 Ghost town
09/05/2026 Need BO RAN analysis || Fme should check and clean jumper, port 1 .impact by bachou ntai .GE Fault</t>
  </si>
  <si>
    <t>Mamfe-Brasserie</t>
  </si>
  <si>
    <t>SUO_073</t>
  </si>
  <si>
    <t>{06-07-2026  ocm ran 18}: 04.06.26: 01 ODU UBT-S 15GHz DISPONIBLE A BAFFOUSAM, 01 ODU UBT-S 18GHz 3DB29118AB pas disponible, ODU 3DB29118AB UBT-S 18GHz pas disponible et 02 EAC-BOARD 3DB19417AA pas disponible chez huawei point transmis a OCM
04/06/2026 Site foudroyé, UBT-S 13/15GHz 3DB29115AC (Mamfe-CRTV), UBT-S 18GHz 3DB29118AB (Mamfe-Brasserie) et UBT-S 18GHz 3DB29118AB (Mamfe-Centre) faulty, Point transmis au SPM ETD=ASAP 
03.06.26: Site foudroyé, UBT-S 13/15GHz 3DB29115AC (Mamfe-CRTV), UBT-S 18GHz 3DB29118AB (Mamfe-Brasserie) et UBT-S 18GHz 3DB29118AB (Mamfe-Centre) faulty, commande en cours, update ASAP</t>
  </si>
  <si>
    <t>04.06.26 01 ODU UBT-S 15GHz DISPONIBLE A BAFFOUSAM, 01 ODU UBT-S 18GHz 3DB29118AB pas disponible, ODU 3DB29118AB UBT-S 18GHz pas disponible et 02 EAC-BOARD 3DB19417AA pas disponible chez huawei point transmis a OCM
04/06/2026 Site foudroyé, UBT-S 13/15GHz 3DB29115AC (Mamfe-CRTV), UBT-S 18GHz 3DB29118AB (Mamfe-Brasserie) et UBT-S 18GHz 3DB29118AB (Mamfe-Centre) faulty, Point transmis au SPM ETD=ASAP
03.06.26 Site foudroyé, UBT-S 13/15GHz 3DB29115AC (Mamfe-CRTV), UBT-S 18GHz 3DB29118AB (Mamfe-Brasserie) et UBT-S 18GHz 3DB29118AB (Mamfe-Centre) faulty, commande en cours, update ASAP</t>
  </si>
  <si>
    <t>Guidiguis</t>
  </si>
  <si>
    <t>EXN_018</t>
  </si>
  <si>
    <t>Ekata-IHS</t>
  </si>
  <si>
    <t>SUO_266</t>
  </si>
  <si>
    <t>Bavenga</t>
  </si>
  <si>
    <t>Bambili</t>
  </si>
  <si>
    <t>SUO_010</t>
  </si>
  <si>
    <t>Hina</t>
  </si>
  <si>
    <t>EXN_047</t>
  </si>
  <si>
    <t>Mile29-Mamfe-IHS</t>
  </si>
  <si>
    <t>SUO_102</t>
  </si>
  <si>
    <t>Mile29</t>
  </si>
  <si>
    <t>{Hourly-IHS}: 07/06/2026 17:35 3:25:00 46.8 FME Gerald is managing with level 0        ;         {06-07-2026  ocm ran 18}: 07/06/2026 FME Gerald is managing with level 0</t>
  </si>
  <si>
    <t>07/06/2026 17 35 3 25 00 46.8 FME Gerald is managing with level 0 07/06/2026 FME Gerald is managing with level 0</t>
  </si>
  <si>
    <t>Mamfe-Centre-IHS</t>
  </si>
  <si>
    <t>SUO_106</t>
  </si>
  <si>
    <t>Grid - Gen</t>
  </si>
  <si>
    <t>Datcheka</t>
  </si>
  <si>
    <t>EXN_075</t>
  </si>
  <si>
    <t>Minawao-IHS</t>
  </si>
  <si>
    <t>EXN_155</t>
  </si>
  <si>
    <t>Minawao</t>
  </si>
  <si>
    <t>Kikai-IHS</t>
  </si>
  <si>
    <t>NRO_053</t>
  </si>
  <si>
    <t>Kikai</t>
  </si>
  <si>
    <t>Nkar-IHS</t>
  </si>
  <si>
    <t>NRO_142</t>
  </si>
  <si>
    <t>Datcheka-IHS</t>
  </si>
  <si>
    <t>EXN_265</t>
  </si>
  <si>
    <t>Bamessing-IHS</t>
  </si>
  <si>
    <t>NRO_038</t>
  </si>
  <si>
    <t>Bamessing</t>
  </si>
  <si>
    <t>Bakwele-IHS</t>
  </si>
  <si>
    <t>SUO_249</t>
  </si>
  <si>
    <t>Mamfe-Town-IHS</t>
  </si>
  <si>
    <t>SUO_107</t>
  </si>
  <si>
    <t>{Hourly-IHS}: 07/06/2026 14:48 0:11:12 No Comm Team is on site for PM works</t>
  </si>
  <si>
    <t>07/06/2026 14 48 0 11 12 No Comm Team is on site for PM works</t>
  </si>
  <si>
    <t>Kumbe-MTN</t>
  </si>
  <si>
    <t>SUO_088</t>
  </si>
  <si>
    <t>Kumbe</t>
  </si>
  <si>
    <t>Mutengene-Ombe-IHS</t>
  </si>
  <si>
    <t>SUO_149</t>
  </si>
  <si>
    <t>Goulourgou</t>
  </si>
  <si>
    <t>EXN_200</t>
  </si>
  <si>
    <t>Lara</t>
  </si>
  <si>
    <t>EXN_102</t>
  </si>
  <si>
    <t>EXN_033</t>
  </si>
  <si>
    <t>Mayo-kaba-IHS</t>
  </si>
  <si>
    <t>EXN_162</t>
  </si>
  <si>
    <t xml:space="preserve">Mayo-Kaba </t>
  </si>
  <si>
    <t>Doumo-IHS</t>
  </si>
  <si>
    <t>EXN_165</t>
  </si>
  <si>
    <t>Maltam</t>
  </si>
  <si>
    <t>EXN_035</t>
  </si>
  <si>
    <t>SUO_004</t>
  </si>
  <si>
    <t>Gazawa-MTN-IHS</t>
  </si>
  <si>
    <t>EXN_130</t>
  </si>
  <si>
    <t>Gazawa</t>
  </si>
  <si>
    <t>Moutourwa-MTN</t>
  </si>
  <si>
    <t>EXN_027</t>
  </si>
  <si>
    <t>Moutourwa</t>
  </si>
  <si>
    <t>Mouda-IHS</t>
  </si>
  <si>
    <t>EXN_186</t>
  </si>
  <si>
    <t>Mouda</t>
  </si>
  <si>
    <t>Badjouma-Zagam</t>
  </si>
  <si>
    <t>EXN_239</t>
  </si>
  <si>
    <t>Gamdougoum-IHS</t>
  </si>
  <si>
    <t>EXN_163</t>
  </si>
  <si>
    <t>Gamdougoum</t>
  </si>
  <si>
    <t>Tiko-Likomba-IHS</t>
  </si>
  <si>
    <t>SUO_209</t>
  </si>
  <si>
    <t>Tiko-Market-IHS</t>
  </si>
  <si>
    <t>SUO_104</t>
  </si>
  <si>
    <t>NRO_001</t>
  </si>
  <si>
    <t>Sabga</t>
  </si>
  <si>
    <t>NRO_048</t>
  </si>
  <si>
    <t>Mundemba</t>
  </si>
  <si>
    <t>SUO_020</t>
  </si>
  <si>
    <t>Nguti</t>
  </si>
  <si>
    <t>SUO_022</t>
  </si>
  <si>
    <t>{06-07-2026  ocm ran 18}: New site not yet transferred to MSP</t>
  </si>
  <si>
    <t>New site not yet transferred to MSP</t>
  </si>
  <si>
    <t>Konye</t>
  </si>
  <si>
    <t>SUO_032</t>
  </si>
  <si>
    <t>Kurume</t>
  </si>
  <si>
    <t>SUO_034</t>
  </si>
  <si>
    <t>Ekona-MTN</t>
  </si>
  <si>
    <t>SUO_087</t>
  </si>
  <si>
    <t>Ekona</t>
  </si>
  <si>
    <t>Munyengue-Trouble-IHS</t>
  </si>
  <si>
    <t>SUO_098</t>
  </si>
  <si>
    <t>Muyengue-II-IHS</t>
  </si>
  <si>
    <t>SUO_026</t>
  </si>
  <si>
    <t>Babensi-IHS</t>
  </si>
  <si>
    <t>SUO_099</t>
  </si>
  <si>
    <t>Babensi</t>
  </si>
  <si>
    <t>Ekona-II-IHS</t>
  </si>
  <si>
    <t>SUO_128</t>
  </si>
  <si>
    <t>Akwaya-IHS</t>
  </si>
  <si>
    <t>SUO_092</t>
  </si>
  <si>
    <t>Akwaya</t>
  </si>
  <si>
    <t>Njikwa-Town-IHS</t>
  </si>
  <si>
    <t>NRO_022</t>
  </si>
  <si>
    <t>Njikwa</t>
  </si>
  <si>
    <t>Bova-Bokombo-IHS</t>
  </si>
  <si>
    <t>SUO_025</t>
  </si>
  <si>
    <t>Bova-Bokombo</t>
  </si>
  <si>
    <t>Abuenshie</t>
  </si>
  <si>
    <t>NRO_045</t>
  </si>
  <si>
    <t>Tugi</t>
  </si>
  <si>
    <t>NRO_076</t>
  </si>
  <si>
    <t>Jikejem</t>
  </si>
  <si>
    <t>NRO_071</t>
  </si>
  <si>
    <t>Bai-Kuke-IHS</t>
  </si>
  <si>
    <t>SUO_153</t>
  </si>
  <si>
    <t>Bai-Kuke</t>
  </si>
  <si>
    <t>Kwaja</t>
  </si>
  <si>
    <t>NRO_096</t>
  </si>
  <si>
    <t>Jikejem-II</t>
  </si>
  <si>
    <t>NRO_111</t>
  </si>
  <si>
    <t>Gossi-IHS</t>
  </si>
  <si>
    <t>EXN_232</t>
  </si>
  <si>
    <t>Gossi</t>
  </si>
  <si>
    <t>EXN_005</t>
  </si>
  <si>
    <t>Balatchi-IHS</t>
  </si>
  <si>
    <t>NRO_027</t>
  </si>
  <si>
    <t>Balatchi</t>
  </si>
  <si>
    <t>SUO_009</t>
  </si>
  <si>
    <t>EXN_013</t>
  </si>
  <si>
    <t>Bafut-MTN</t>
  </si>
  <si>
    <t>NRO_036</t>
  </si>
  <si>
    <t>EXN_042</t>
  </si>
  <si>
    <t>Maga-Ville</t>
  </si>
  <si>
    <t>EXN_110</t>
  </si>
  <si>
    <t>Gobo</t>
  </si>
  <si>
    <t>EXN_048</t>
  </si>
  <si>
    <t>Bougoudoum-IHS</t>
  </si>
  <si>
    <t>EXN_135</t>
  </si>
  <si>
    <t>Bougoudoum</t>
  </si>
  <si>
    <t>EXN_058</t>
  </si>
  <si>
    <t>Godola-MTN</t>
  </si>
  <si>
    <t>EXN_028</t>
  </si>
  <si>
    <t>Godola</t>
  </si>
  <si>
    <t>Doulek</t>
  </si>
  <si>
    <t>EXN_272</t>
  </si>
  <si>
    <t>DOUBLE-IHS</t>
  </si>
  <si>
    <t>EXN_109</t>
  </si>
  <si>
    <t>Double(Djakaramani)</t>
  </si>
  <si>
    <t>Guendjen</t>
  </si>
  <si>
    <t>EXN_205</t>
  </si>
  <si>
    <t>Mbengwi-Mile17-IHS</t>
  </si>
  <si>
    <t>NRO_144</t>
  </si>
  <si>
    <t>Wum-II-IHS</t>
  </si>
  <si>
    <t>NRO_149</t>
  </si>
  <si>
    <t>Wum</t>
  </si>
  <si>
    <t>NRO_007</t>
  </si>
  <si>
    <t>{06-07-2026  ocm ran 18}: 
04.06.26: Access negotiation ongoing as site located in red zone, probable intervention on 06-May
01/06/2026 Point tramis au projet et escalade FM THEOPHILE
29/05/2026 Point tramis au projet et escalade FM THEOPHILE
28/05/2026 Point tramis au projet escalade FM THEOPHILE
26/05/2026 New BBU is down 
24/05/2026 escalade RM denis
23/05/2026 |Check to be done by FME Jerry when comming back from BAFMENG
22.05.26: Power issue solved. Need FME on site to check BTS status and its interco with MPR_2, S1P3; CM-20260522-00004292; FME Uche activated to check, update ASAP
21.05.26: IHS: 41v: FME is informed and managing</t>
  </si>
  <si>
    <t>04.06.26 Access negotiation ongoing as site located in red zone, probable intervention on 06-May
01/06/2026 Point tramis au projet et escalade FM THEOPHILE
29/05/2026 Point tramis au projet et escalade FM THEOPHILE
28/05/2026 Point tramis au projet escalade FM THEOPHILE
26/05/2026 New BBU is down
24/05/2026 escalade RM denis
23/05/2026 |Check to be done by FME Jerry when comming back from BAFMENG
22.05.26 Power issue solved. Need FME on site to check BTS status and its interco with MPR_2, S1P3; FME Uche activated to check, update ASAP
21.05.26 IHS 41v FME is informed and managing</t>
  </si>
  <si>
    <t>Bali-Njenka-IHS</t>
  </si>
  <si>
    <t>NRO_151</t>
  </si>
  <si>
    <t>Tsekenis</t>
  </si>
  <si>
    <t>LIT_025</t>
  </si>
  <si>
    <t xml:space="preserve">{06-07-2026 cell zte}: 23/05/2026 : Cell locked         ;         {06-07-2026 cell zte}: 23/05/2026 : Cell locked </t>
  </si>
  <si>
    <t>23/05/2026 Cell locked 23/05/2026 Cell locked</t>
  </si>
  <si>
    <t>Bouba-Ndjida-Park</t>
  </si>
  <si>
    <t>NRD_167</t>
  </si>
  <si>
    <t>Bouba-Ndjida</t>
  </si>
  <si>
    <t>Pouss-II</t>
  </si>
  <si>
    <t>NRD_136</t>
  </si>
  <si>
    <t>{06-07-2026  ocm ran 18}: Power status check Ongoing        ;         {06-07-2026 ticket}: INC-20260607-00013103...Auto TT closure RCA...Others Transmission equipement fault</t>
  </si>
  <si>
    <t>Taram-FH</t>
  </si>
  <si>
    <t>OST_092</t>
  </si>
  <si>
    <t>Taram</t>
  </si>
  <si>
    <t>Pangar-camrail</t>
  </si>
  <si>
    <t>ADM_114</t>
  </si>
  <si>
    <t>Pangar</t>
  </si>
  <si>
    <t>Ngong-II</t>
  </si>
  <si>
    <t>NRD_032</t>
  </si>
  <si>
    <t>Toumbouroum</t>
  </si>
  <si>
    <t>ADM_182</t>
  </si>
  <si>
    <t>Hybrid solar - s3</t>
  </si>
  <si>
    <t>Guidiguis-Ville</t>
  </si>
  <si>
    <t>NRD_144</t>
  </si>
  <si>
    <t>Maga-Lycee</t>
  </si>
  <si>
    <t>NRD_135</t>
  </si>
  <si>
    <t>Phacochere</t>
  </si>
  <si>
    <t>ADM_160</t>
  </si>
  <si>
    <t>{06-07-2026 ticket}: INC-20260607-00006592...Solar Outage</t>
  </si>
  <si>
    <t>.Solar Outage</t>
  </si>
  <si>
    <t>Meba-CAMTEL</t>
  </si>
  <si>
    <t>CTR_407</t>
  </si>
  <si>
    <t>Meba</t>
  </si>
  <si>
    <t>{06-07-2026 cell zte}: 06/06/2026 : Need BO TX analysis        ;         {06-07-2026 cell zte}: 06/06/2026 : Need BO TX analysis</t>
  </si>
  <si>
    <t>06/06/2026 Need BO TX analysis 06/06/2026 Need BO TX analysis</t>
  </si>
  <si>
    <t>CTR_057</t>
  </si>
  <si>
    <t>Minisite-Soa</t>
  </si>
  <si>
    <t>CTR_689</t>
  </si>
  <si>
    <t>BTS-Mobile-Bachuo-Akagbe</t>
  </si>
  <si>
    <t>SUO_168</t>
  </si>
  <si>
    <t>Bachuo</t>
  </si>
  <si>
    <t>Carrefour-Mezzanine</t>
  </si>
  <si>
    <t>LIT_734</t>
  </si>
  <si>
    <t>Mbakwa-Supe-MTN</t>
  </si>
  <si>
    <t>SUO_049</t>
  </si>
  <si>
    <t>Mbakwa</t>
  </si>
  <si>
    <t>Loum-Camtel</t>
  </si>
  <si>
    <t>LIT_086</t>
  </si>
  <si>
    <t>H-ville</t>
  </si>
  <si>
    <t>CTR_077</t>
  </si>
  <si>
    <t>Kotto-Logpom</t>
  </si>
  <si>
    <t>LIT_612</t>
  </si>
  <si>
    <t>NRD_271_H_TOUBORO-PARKE</t>
  </si>
  <si>
    <t>NRD_271</t>
  </si>
  <si>
    <t>Toubouro</t>
  </si>
  <si>
    <t>OST_365_H_Foumban-Kilombo</t>
  </si>
  <si>
    <t>OST_365</t>
  </si>
  <si>
    <t>SUD_177_Z_Kribi-Bongadwe</t>
  </si>
  <si>
    <t>SUD_177</t>
  </si>
  <si>
    <t>oprationnel</t>
  </si>
  <si>
    <t>Operationnel</t>
  </si>
  <si>
    <t>Row Labels</t>
  </si>
  <si>
    <t>Sum of NUR  DU JOUR  06-07-2026</t>
  </si>
  <si>
    <t>Grand Total</t>
  </si>
  <si>
    <t>RCA</t>
  </si>
  <si>
    <t>NUR  DU 06-02-2026</t>
  </si>
  <si>
    <t xml:space="preserve">  NUR DAILY RECAP - NUR 3388</t>
  </si>
  <si>
    <t>NUR</t>
  </si>
  <si>
    <t>ENV TCH OCM</t>
  </si>
  <si>
    <t>AKTIVCO With Backup</t>
  </si>
  <si>
    <t>Hardware issue</t>
  </si>
  <si>
    <t>Power MTN</t>
  </si>
  <si>
    <t>TX issue MPR / ODU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</si>
</sst>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2"/>
      <color rgb="FF000000"/>
      <name val="Aptos Narrow"/>
      <family val="2"/>
    </font>
    <font>
      <sz val="11"/>
      <color theme="1"/>
      <name val="Calibri"/>
      <family val="2"/>
    </font>
    <font>
      <b/>
      <sz val="11"/>
      <color rgb="FFFFFFFF"/>
      <name val="Aptos Narrow"/>
      <family val="2"/>
    </font>
    <font>
      <b/>
      <sz val="11"/>
      <color rgb="FF000000"/>
      <name val="Aptos Narrow"/>
      <family val="2"/>
    </font>
    <font>
      <sz val="12"/>
      <color rgb="FFFFFFFF"/>
      <name val="Aptos Narrow"/>
      <family val="2"/>
    </font>
    <font>
      <b/>
      <sz val="11"/>
      <color theme="1"/>
      <name val="Arial"/>
      <family val="2"/>
    </font>
    <font>
      <b/>
      <sz val="11"/>
      <color rgb="FF000000"/>
      <name val="Arial"/>
      <family val="2"/>
    </font>
    <font>
      <b/>
      <sz val="11"/>
      <name val="Calibri"/>
    </font>
  </fonts>
  <fills count="6">
    <fill>
      <patternFill patternType="none"/>
    </fill>
    <fill>
      <patternFill patternType="gray125"/>
    </fill>
    <fill>
      <patternFill patternType="solid">
        <fgColor rgb="FF084F6B"/>
      </patternFill>
    </fill>
    <fill>
      <patternFill patternType="solid">
        <fgColor rgb="FF0B77A0"/>
      </patternFill>
    </fill>
    <fill>
      <patternFill patternType="solid">
        <fgColor rgb="FF104862"/>
      </patternFill>
    </fill>
    <fill>
      <patternFill patternType="solid">
        <fgColor rgb="FF96DCF8"/>
      </patternFill>
    </fill>
  </fills>
  <borders count="17">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C6C6C6"/>
      </left>
      <right style="thin">
        <color rgb="FFC6C6C6"/>
      </right>
      <top style="thin">
        <color rgb="FFC6C6C6"/>
      </top>
      <bottom style="thin">
        <color rgb="FFC6C6C6"/>
      </bottom>
      <diagonal/>
    </border>
    <border>
      <left style="thin">
        <color rgb="FF000000"/>
      </left>
      <right style="thin">
        <color rgb="FF000000"/>
      </right>
      <top style="thin">
        <color rgb="FF000000"/>
      </top>
      <bottom/>
      <diagonal/>
    </border>
    <border>
      <left style="thin">
        <color rgb="FF000000"/>
      </left>
      <right style="thin">
        <color rgb="FF000000"/>
      </right>
      <top style="thin">
        <color rgb="FFC6C6C6"/>
      </top>
      <bottom style="thin">
        <color rgb="FF000000"/>
      </bottom>
      <diagonal/>
    </border>
    <border>
      <left style="thin">
        <color rgb="FFABABAB"/>
      </left>
      <right/>
      <top style="thin">
        <color rgb="FFABABAB"/>
      </top>
      <bottom/>
      <diagonal/>
    </border>
    <border>
      <left style="thin">
        <color rgb="FFFFFFFF"/>
      </left>
      <right/>
      <top style="thin">
        <color rgb="FFABABAB"/>
      </top>
      <bottom/>
      <diagonal/>
    </border>
    <border>
      <left style="thin">
        <color rgb="FFFFFFFF"/>
      </left>
      <right style="thin">
        <color rgb="FFABABAB"/>
      </right>
      <top style="thin">
        <color rgb="FFABABAB"/>
      </top>
      <bottom/>
      <diagonal/>
    </border>
    <border>
      <left style="thin">
        <color rgb="FFABABAB"/>
      </left>
      <right/>
      <top style="thin">
        <color rgb="FFFFFFFF"/>
      </top>
      <bottom/>
      <diagonal/>
    </border>
    <border>
      <left style="thin">
        <color rgb="FFFFFFFF"/>
      </left>
      <right/>
      <top style="thin">
        <color rgb="FFFFFFFF"/>
      </top>
      <bottom/>
      <diagonal/>
    </border>
    <border>
      <left style="thin">
        <color rgb="FFFFFFFF"/>
      </left>
      <right style="thin">
        <color rgb="FFABABAB"/>
      </right>
      <top style="thin">
        <color rgb="FFFFFFFF"/>
      </top>
      <bottom/>
      <diagonal/>
    </border>
    <border>
      <left style="thin">
        <color rgb="FFABABAB"/>
      </left>
      <right/>
      <top style="thin">
        <color rgb="FFABABAB"/>
      </top>
      <bottom style="thin">
        <color rgb="FFABABAB"/>
      </bottom>
      <diagonal/>
    </border>
    <border>
      <left style="thin">
        <color rgb="FFFFFFFF"/>
      </left>
      <right/>
      <top style="thin">
        <color rgb="FFABABAB"/>
      </top>
      <bottom style="thin">
        <color rgb="FFABABAB"/>
      </bottom>
      <diagonal/>
    </border>
    <border>
      <left style="thin">
        <color rgb="FFFFFFFF"/>
      </left>
      <right style="thin">
        <color rgb="FFABABAB"/>
      </right>
      <top style="thin">
        <color rgb="FFABABAB"/>
      </top>
      <bottom style="thin">
        <color rgb="FFABABAB"/>
      </bottom>
      <diagonal/>
    </border>
    <border>
      <left style="thin">
        <color auto="1"/>
      </left>
      <right style="thin">
        <color auto="1"/>
      </right>
      <top style="thin">
        <color auto="1"/>
      </top>
      <bottom style="thin">
        <color auto="1"/>
      </bottom>
      <diagonal/>
    </border>
  </borders>
  <cellStyleXfs count="1">
    <xf numFmtId="0" fontId="0" fillId="0" borderId="1"/>
  </cellStyleXfs>
  <cellXfs count="33">
    <xf numFmtId="0" fontId="0" fillId="0" borderId="0" xfId="0" applyBorder="1"/>
    <xf numFmtId="1" fontId="1" fillId="0" borderId="1" xfId="0" applyNumberFormat="1" applyFont="1" applyAlignment="1">
      <alignment horizontal="center"/>
    </xf>
    <xf numFmtId="1" fontId="2" fillId="0" borderId="1" xfId="0" applyNumberFormat="1" applyFont="1" applyAlignment="1">
      <alignment horizontal="center"/>
    </xf>
    <xf numFmtId="1" fontId="3" fillId="0" borderId="1" xfId="0" applyNumberFormat="1" applyFont="1" applyAlignment="1">
      <alignment horizontal="center"/>
    </xf>
    <xf numFmtId="1" fontId="4" fillId="0" borderId="1" xfId="0" applyNumberFormat="1" applyFont="1" applyAlignment="1">
      <alignment horizontal="center"/>
    </xf>
    <xf numFmtId="1" fontId="3" fillId="2" borderId="2" xfId="0" applyNumberFormat="1" applyFont="1" applyFill="1" applyBorder="1" applyAlignment="1">
      <alignment horizontal="center"/>
    </xf>
    <xf numFmtId="1" fontId="4" fillId="0" borderId="2" xfId="0" applyNumberFormat="1" applyFont="1" applyBorder="1" applyAlignment="1">
      <alignment horizontal="center"/>
    </xf>
    <xf numFmtId="0" fontId="2" fillId="0" borderId="3" xfId="0" applyFont="1" applyBorder="1" applyAlignment="1">
      <alignment horizontal="left"/>
    </xf>
    <xf numFmtId="1" fontId="2" fillId="0" borderId="1" xfId="0" applyNumberFormat="1" applyFont="1" applyAlignment="1">
      <alignment horizontal="left"/>
    </xf>
    <xf numFmtId="1" fontId="3" fillId="3" borderId="2" xfId="0" applyNumberFormat="1" applyFont="1" applyFill="1" applyBorder="1" applyAlignment="1">
      <alignment horizontal="center"/>
    </xf>
    <xf numFmtId="1" fontId="2" fillId="4" borderId="4" xfId="0" applyNumberFormat="1" applyFont="1" applyFill="1" applyBorder="1" applyAlignment="1">
      <alignment horizontal="left"/>
    </xf>
    <xf numFmtId="1" fontId="3" fillId="4" borderId="4" xfId="0" applyNumberFormat="1" applyFont="1" applyFill="1" applyBorder="1" applyAlignment="1">
      <alignment horizontal="left"/>
    </xf>
    <xf numFmtId="1" fontId="3" fillId="4" borderId="4" xfId="0" applyNumberFormat="1" applyFont="1" applyFill="1" applyBorder="1" applyAlignment="1">
      <alignment horizontal="right"/>
    </xf>
    <xf numFmtId="1" fontId="5" fillId="4" borderId="4" xfId="0" applyNumberFormat="1" applyFont="1" applyFill="1" applyBorder="1" applyAlignment="1">
      <alignment horizontal="left"/>
    </xf>
    <xf numFmtId="1" fontId="6" fillId="5" borderId="2" xfId="0" applyNumberFormat="1" applyFont="1" applyFill="1" applyBorder="1" applyAlignment="1">
      <alignment horizontal="center"/>
    </xf>
    <xf numFmtId="1" fontId="7" fillId="5" borderId="2" xfId="0" applyNumberFormat="1" applyFont="1" applyFill="1" applyBorder="1" applyAlignment="1">
      <alignment horizontal="center"/>
    </xf>
    <xf numFmtId="1" fontId="6" fillId="0" borderId="1" xfId="0" applyNumberFormat="1" applyFont="1" applyAlignment="1">
      <alignment horizontal="center"/>
    </xf>
    <xf numFmtId="1" fontId="7" fillId="0" borderId="2" xfId="0" applyNumberFormat="1" applyFont="1" applyBorder="1" applyAlignment="1">
      <alignment horizontal="center"/>
    </xf>
    <xf numFmtId="1" fontId="7" fillId="0" borderId="1" xfId="0" applyNumberFormat="1" applyFont="1" applyAlignment="1">
      <alignment horizontal="center"/>
    </xf>
    <xf numFmtId="1" fontId="7" fillId="0" borderId="5" xfId="0" applyNumberFormat="1" applyFont="1" applyBorder="1" applyAlignment="1">
      <alignment horizontal="center"/>
    </xf>
    <xf numFmtId="1" fontId="7" fillId="5" borderId="6" xfId="0" applyNumberFormat="1" applyFont="1" applyFill="1" applyBorder="1" applyAlignment="1">
      <alignment horizontal="center"/>
    </xf>
    <xf numFmtId="1" fontId="2" fillId="0" borderId="7" xfId="0" applyNumberFormat="1" applyFont="1" applyBorder="1" applyAlignment="1">
      <alignment horizontal="left"/>
    </xf>
    <xf numFmtId="1" fontId="2" fillId="0" borderId="8" xfId="0" applyNumberFormat="1" applyFont="1" applyBorder="1" applyAlignment="1">
      <alignment horizontal="left"/>
    </xf>
    <xf numFmtId="1" fontId="2" fillId="0" borderId="9" xfId="0" applyNumberFormat="1" applyFont="1" applyBorder="1" applyAlignment="1">
      <alignment horizontal="left"/>
    </xf>
    <xf numFmtId="1" fontId="2" fillId="0" borderId="10" xfId="0" applyNumberFormat="1" applyFont="1" applyBorder="1" applyAlignment="1">
      <alignment horizontal="left"/>
    </xf>
    <xf numFmtId="1" fontId="2" fillId="0" borderId="11" xfId="0" applyNumberFormat="1" applyFont="1" applyBorder="1" applyAlignment="1">
      <alignment horizontal="left"/>
    </xf>
    <xf numFmtId="1" fontId="2" fillId="0" borderId="12" xfId="0" applyNumberFormat="1" applyFont="1" applyBorder="1" applyAlignment="1">
      <alignment horizontal="left"/>
    </xf>
    <xf numFmtId="1" fontId="2" fillId="0" borderId="13" xfId="0" applyNumberFormat="1" applyFont="1" applyBorder="1" applyAlignment="1">
      <alignment horizontal="left"/>
    </xf>
    <xf numFmtId="1" fontId="2" fillId="0" borderId="14" xfId="0" applyNumberFormat="1" applyFont="1" applyBorder="1" applyAlignment="1">
      <alignment horizontal="left"/>
    </xf>
    <xf numFmtId="1" fontId="2" fillId="0" borderId="15" xfId="0" applyNumberFormat="1" applyFont="1" applyBorder="1" applyAlignment="1">
      <alignment horizontal="left"/>
    </xf>
    <xf numFmtId="1" fontId="0" fillId="0" borderId="0" xfId="0" applyNumberFormat="1" applyBorder="1"/>
    <xf numFmtId="0" fontId="0" fillId="0" borderId="0" xfId="0" applyBorder="1"/>
    <xf numFmtId="0" fontId="8" fillId="0" borderId="16"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503"/>
  <sheetViews>
    <sheetView tabSelected="1" workbookViewId="0">
      <selection activeCell="R17" sqref="R17"/>
    </sheetView>
  </sheetViews>
  <sheetFormatPr defaultRowHeight="14.4" x14ac:dyDescent="0.3"/>
  <sheetData>
    <row r="1" spans="1:19" x14ac:dyDescent="0.3">
      <c r="A1" s="32" t="s">
        <v>0</v>
      </c>
      <c r="B1" s="32" t="s">
        <v>1</v>
      </c>
      <c r="C1" s="32" t="s">
        <v>2</v>
      </c>
      <c r="D1" s="32" t="s">
        <v>3</v>
      </c>
      <c r="E1" s="32" t="s">
        <v>4</v>
      </c>
      <c r="F1" s="32" t="s">
        <v>5</v>
      </c>
      <c r="G1" s="32" t="s">
        <v>6</v>
      </c>
      <c r="H1" s="32" t="s">
        <v>7</v>
      </c>
      <c r="I1" s="32" t="s">
        <v>8</v>
      </c>
      <c r="J1" s="32" t="s">
        <v>9</v>
      </c>
      <c r="K1" s="32" t="s">
        <v>10</v>
      </c>
      <c r="L1" s="32" t="s">
        <v>11</v>
      </c>
      <c r="M1" s="32" t="s">
        <v>12</v>
      </c>
      <c r="N1" s="32" t="s">
        <v>13</v>
      </c>
      <c r="O1" s="32" t="s">
        <v>14</v>
      </c>
      <c r="P1" s="32" t="s">
        <v>15</v>
      </c>
      <c r="Q1" s="32" t="s">
        <v>16</v>
      </c>
      <c r="R1" s="32" t="s">
        <v>17</v>
      </c>
      <c r="S1" s="32" t="s">
        <v>18</v>
      </c>
    </row>
    <row r="2" spans="1:19" x14ac:dyDescent="0.3">
      <c r="A2" t="s">
        <v>19</v>
      </c>
      <c r="B2" t="s">
        <v>20</v>
      </c>
      <c r="C2" t="s">
        <v>21</v>
      </c>
      <c r="D2" t="s">
        <v>22</v>
      </c>
      <c r="E2" t="s">
        <v>23</v>
      </c>
      <c r="F2" t="s">
        <v>24</v>
      </c>
      <c r="G2" t="s">
        <v>25</v>
      </c>
      <c r="H2" t="s">
        <v>26</v>
      </c>
      <c r="I2">
        <v>28.33206722728665</v>
      </c>
      <c r="J2">
        <v>23.681342740189709</v>
      </c>
      <c r="K2">
        <v>89.066746205342326</v>
      </c>
      <c r="L2">
        <v>58.575755096373641</v>
      </c>
      <c r="M2" t="s">
        <v>27</v>
      </c>
      <c r="N2" t="s">
        <v>28</v>
      </c>
      <c r="O2" t="s">
        <v>29</v>
      </c>
      <c r="P2" t="s">
        <v>30</v>
      </c>
      <c r="Q2" t="s">
        <v>31</v>
      </c>
      <c r="R2" t="s">
        <v>32</v>
      </c>
      <c r="S2" t="s">
        <v>20</v>
      </c>
    </row>
    <row r="3" spans="1:19" x14ac:dyDescent="0.3">
      <c r="A3" t="s">
        <v>33</v>
      </c>
      <c r="B3" t="s">
        <v>34</v>
      </c>
      <c r="C3" t="s">
        <v>21</v>
      </c>
      <c r="D3" t="s">
        <v>35</v>
      </c>
      <c r="E3" t="s">
        <v>36</v>
      </c>
      <c r="F3" t="s">
        <v>24</v>
      </c>
      <c r="G3" t="s">
        <v>21</v>
      </c>
      <c r="H3" t="s">
        <v>26</v>
      </c>
      <c r="I3">
        <v>26.972352758737109</v>
      </c>
      <c r="J3">
        <v>22.608598680153769</v>
      </c>
      <c r="K3">
        <v>80.071300741414134</v>
      </c>
      <c r="L3">
        <v>53.313693169076927</v>
      </c>
      <c r="M3" t="s">
        <v>37</v>
      </c>
      <c r="N3" t="s">
        <v>28</v>
      </c>
      <c r="O3" t="s">
        <v>38</v>
      </c>
      <c r="P3" t="s">
        <v>30</v>
      </c>
      <c r="Q3" t="s">
        <v>39</v>
      </c>
      <c r="R3" t="s">
        <v>40</v>
      </c>
      <c r="S3" t="s">
        <v>34</v>
      </c>
    </row>
    <row r="4" spans="1:19" x14ac:dyDescent="0.3">
      <c r="A4" t="s">
        <v>41</v>
      </c>
      <c r="B4" t="s">
        <v>42</v>
      </c>
      <c r="C4" t="s">
        <v>43</v>
      </c>
      <c r="E4" t="s">
        <v>44</v>
      </c>
      <c r="F4" t="s">
        <v>45</v>
      </c>
      <c r="G4" t="s">
        <v>43</v>
      </c>
      <c r="H4" t="s">
        <v>26</v>
      </c>
      <c r="I4">
        <v>25.755688643912091</v>
      </c>
      <c r="J4">
        <v>21.521812394222071</v>
      </c>
      <c r="K4">
        <v>76.339801900300984</v>
      </c>
      <c r="L4">
        <v>50.823668557059158</v>
      </c>
      <c r="M4" t="s">
        <v>46</v>
      </c>
      <c r="N4" t="s">
        <v>28</v>
      </c>
      <c r="O4" t="s">
        <v>47</v>
      </c>
      <c r="P4" t="s">
        <v>30</v>
      </c>
      <c r="Q4" t="s">
        <v>48</v>
      </c>
      <c r="R4" t="s">
        <v>49</v>
      </c>
      <c r="S4" t="s">
        <v>50</v>
      </c>
    </row>
    <row r="5" spans="1:19" x14ac:dyDescent="0.3">
      <c r="A5" t="s">
        <v>51</v>
      </c>
      <c r="B5" t="s">
        <v>52</v>
      </c>
      <c r="C5" t="s">
        <v>24</v>
      </c>
      <c r="D5" t="s">
        <v>53</v>
      </c>
      <c r="E5" t="s">
        <v>54</v>
      </c>
      <c r="F5" t="s">
        <v>55</v>
      </c>
      <c r="G5" t="s">
        <v>56</v>
      </c>
      <c r="H5" t="s">
        <v>26</v>
      </c>
      <c r="I5">
        <v>31.799014007647671</v>
      </c>
      <c r="J5">
        <v>53.134962805526037</v>
      </c>
      <c r="K5">
        <v>51.132005794960627</v>
      </c>
      <c r="L5">
        <v>49.091681143513902</v>
      </c>
      <c r="M5" t="s">
        <v>57</v>
      </c>
      <c r="N5" t="s">
        <v>28</v>
      </c>
      <c r="O5" t="s">
        <v>58</v>
      </c>
      <c r="P5" t="s">
        <v>30</v>
      </c>
      <c r="Q5" t="s">
        <v>59</v>
      </c>
      <c r="R5" t="s">
        <v>60</v>
      </c>
      <c r="S5" t="s">
        <v>52</v>
      </c>
    </row>
    <row r="6" spans="1:19" x14ac:dyDescent="0.3">
      <c r="A6" t="s">
        <v>61</v>
      </c>
      <c r="B6" t="s">
        <v>62</v>
      </c>
      <c r="C6" t="s">
        <v>21</v>
      </c>
      <c r="D6" t="s">
        <v>63</v>
      </c>
      <c r="E6" t="s">
        <v>64</v>
      </c>
      <c r="F6" t="s">
        <v>24</v>
      </c>
      <c r="G6" t="s">
        <v>21</v>
      </c>
      <c r="H6" t="s">
        <v>26</v>
      </c>
      <c r="I6">
        <v>24.3844418140846</v>
      </c>
      <c r="J6">
        <v>21.810241764080761</v>
      </c>
      <c r="K6">
        <v>69.191053003689703</v>
      </c>
      <c r="L6">
        <v>46.984394206616422</v>
      </c>
      <c r="M6" t="s">
        <v>27</v>
      </c>
      <c r="N6" t="s">
        <v>28</v>
      </c>
      <c r="O6" t="s">
        <v>29</v>
      </c>
      <c r="P6" t="s">
        <v>30</v>
      </c>
      <c r="Q6" t="s">
        <v>65</v>
      </c>
      <c r="R6" t="s">
        <v>66</v>
      </c>
      <c r="S6" t="s">
        <v>62</v>
      </c>
    </row>
    <row r="7" spans="1:19" x14ac:dyDescent="0.3">
      <c r="A7" t="s">
        <v>67</v>
      </c>
      <c r="B7" t="s">
        <v>68</v>
      </c>
      <c r="C7" t="s">
        <v>43</v>
      </c>
      <c r="D7" t="s">
        <v>35</v>
      </c>
      <c r="E7" t="s">
        <v>36</v>
      </c>
      <c r="F7" t="s">
        <v>45</v>
      </c>
      <c r="G7" t="s">
        <v>43</v>
      </c>
      <c r="H7" t="s">
        <v>26</v>
      </c>
      <c r="I7">
        <v>12.208476629056451</v>
      </c>
      <c r="J7">
        <v>15.283886658532429</v>
      </c>
      <c r="K7">
        <v>74.157584423044753</v>
      </c>
      <c r="L7">
        <v>45.683871249449723</v>
      </c>
      <c r="M7" t="s">
        <v>37</v>
      </c>
      <c r="N7" t="s">
        <v>28</v>
      </c>
      <c r="O7" t="s">
        <v>38</v>
      </c>
      <c r="P7" t="s">
        <v>30</v>
      </c>
      <c r="Q7" t="s">
        <v>69</v>
      </c>
      <c r="R7" t="s">
        <v>70</v>
      </c>
      <c r="S7" t="s">
        <v>68</v>
      </c>
    </row>
    <row r="8" spans="1:19" x14ac:dyDescent="0.3">
      <c r="A8" t="s">
        <v>71</v>
      </c>
      <c r="B8" t="s">
        <v>72</v>
      </c>
      <c r="C8" t="s">
        <v>73</v>
      </c>
      <c r="D8" t="s">
        <v>63</v>
      </c>
      <c r="E8" t="s">
        <v>74</v>
      </c>
      <c r="F8" t="s">
        <v>73</v>
      </c>
      <c r="G8" t="s">
        <v>71</v>
      </c>
      <c r="H8" t="s">
        <v>75</v>
      </c>
      <c r="I8">
        <v>31.799872800508801</v>
      </c>
      <c r="J8">
        <v>39.851222104144533</v>
      </c>
      <c r="K8">
        <v>51.132005794960627</v>
      </c>
      <c r="L8">
        <v>44.628910608292038</v>
      </c>
      <c r="M8" t="s">
        <v>76</v>
      </c>
      <c r="N8" t="s">
        <v>76</v>
      </c>
      <c r="O8" t="s">
        <v>77</v>
      </c>
      <c r="P8" t="s">
        <v>76</v>
      </c>
      <c r="S8" t="s">
        <v>72</v>
      </c>
    </row>
    <row r="9" spans="1:19" x14ac:dyDescent="0.3">
      <c r="A9" t="s">
        <v>78</v>
      </c>
      <c r="B9" t="s">
        <v>79</v>
      </c>
      <c r="C9" t="s">
        <v>21</v>
      </c>
      <c r="D9" t="s">
        <v>35</v>
      </c>
      <c r="E9" t="s">
        <v>80</v>
      </c>
      <c r="F9" t="s">
        <v>24</v>
      </c>
      <c r="G9" t="s">
        <v>21</v>
      </c>
      <c r="H9" t="s">
        <v>26</v>
      </c>
      <c r="I9">
        <v>16.907423111048299</v>
      </c>
      <c r="J9">
        <v>17.76587571010614</v>
      </c>
      <c r="K9">
        <v>57.843377458360557</v>
      </c>
      <c r="L9">
        <v>38.633605321749663</v>
      </c>
      <c r="M9" t="s">
        <v>57</v>
      </c>
      <c r="N9" t="s">
        <v>28</v>
      </c>
      <c r="O9" t="s">
        <v>58</v>
      </c>
      <c r="P9" t="s">
        <v>30</v>
      </c>
      <c r="Q9" t="s">
        <v>81</v>
      </c>
      <c r="R9" t="s">
        <v>82</v>
      </c>
      <c r="S9" t="s">
        <v>79</v>
      </c>
    </row>
    <row r="10" spans="1:19" x14ac:dyDescent="0.3">
      <c r="A10" t="s">
        <v>83</v>
      </c>
      <c r="B10" t="s">
        <v>84</v>
      </c>
      <c r="C10" t="s">
        <v>21</v>
      </c>
      <c r="D10" t="s">
        <v>63</v>
      </c>
      <c r="E10" t="s">
        <v>85</v>
      </c>
      <c r="F10" t="s">
        <v>24</v>
      </c>
      <c r="G10" t="s">
        <v>21</v>
      </c>
      <c r="H10" t="s">
        <v>26</v>
      </c>
      <c r="I10">
        <v>11.12333050667797</v>
      </c>
      <c r="J10">
        <v>14.17485830676585</v>
      </c>
      <c r="K10">
        <v>59.783809460683592</v>
      </c>
      <c r="L10">
        <v>37.631572640163697</v>
      </c>
      <c r="M10" t="s">
        <v>63</v>
      </c>
      <c r="N10" t="s">
        <v>28</v>
      </c>
      <c r="O10" t="s">
        <v>86</v>
      </c>
      <c r="P10" t="s">
        <v>30</v>
      </c>
      <c r="Q10" t="s">
        <v>87</v>
      </c>
      <c r="R10" t="s">
        <v>88</v>
      </c>
      <c r="S10" t="s">
        <v>84</v>
      </c>
    </row>
    <row r="11" spans="1:19" x14ac:dyDescent="0.3">
      <c r="A11" t="s">
        <v>89</v>
      </c>
      <c r="B11" t="s">
        <v>90</v>
      </c>
      <c r="C11" t="s">
        <v>21</v>
      </c>
      <c r="D11" t="s">
        <v>35</v>
      </c>
      <c r="E11" t="s">
        <v>36</v>
      </c>
      <c r="F11" t="s">
        <v>24</v>
      </c>
      <c r="G11" t="s">
        <v>21</v>
      </c>
      <c r="H11" t="s">
        <v>26</v>
      </c>
      <c r="I11">
        <v>18.645497177270549</v>
      </c>
      <c r="J11">
        <v>15.650829495808241</v>
      </c>
      <c r="K11">
        <v>56.71076013092317</v>
      </c>
      <c r="L11">
        <v>37.573806438353962</v>
      </c>
      <c r="M11" t="s">
        <v>37</v>
      </c>
      <c r="N11" t="s">
        <v>28</v>
      </c>
      <c r="O11" t="s">
        <v>38</v>
      </c>
      <c r="P11" t="s">
        <v>30</v>
      </c>
      <c r="Q11" t="s">
        <v>91</v>
      </c>
      <c r="R11" t="s">
        <v>92</v>
      </c>
      <c r="S11" t="s">
        <v>90</v>
      </c>
    </row>
    <row r="12" spans="1:19" x14ac:dyDescent="0.3">
      <c r="A12" t="s">
        <v>93</v>
      </c>
      <c r="B12" t="s">
        <v>94</v>
      </c>
      <c r="C12" t="s">
        <v>21</v>
      </c>
      <c r="D12" t="s">
        <v>95</v>
      </c>
      <c r="E12" t="s">
        <v>74</v>
      </c>
      <c r="F12" t="s">
        <v>24</v>
      </c>
      <c r="G12" t="s">
        <v>21</v>
      </c>
      <c r="H12" t="s">
        <v>26</v>
      </c>
      <c r="I12">
        <v>23.966945798883469</v>
      </c>
      <c r="J12">
        <v>19.993259731570038</v>
      </c>
      <c r="K12">
        <v>51.132005794960627</v>
      </c>
      <c r="L12">
        <v>36.858004856286627</v>
      </c>
      <c r="M12" t="s">
        <v>63</v>
      </c>
      <c r="N12" t="s">
        <v>28</v>
      </c>
      <c r="O12" t="s">
        <v>86</v>
      </c>
      <c r="P12" t="s">
        <v>30</v>
      </c>
      <c r="Q12" t="s">
        <v>96</v>
      </c>
      <c r="R12" t="s">
        <v>97</v>
      </c>
      <c r="S12" t="s">
        <v>98</v>
      </c>
    </row>
    <row r="13" spans="1:19" x14ac:dyDescent="0.3">
      <c r="A13" t="s">
        <v>99</v>
      </c>
      <c r="B13" t="s">
        <v>100</v>
      </c>
      <c r="C13" t="s">
        <v>21</v>
      </c>
      <c r="D13" t="s">
        <v>35</v>
      </c>
      <c r="E13" t="s">
        <v>36</v>
      </c>
      <c r="F13" t="s">
        <v>24</v>
      </c>
      <c r="G13" t="s">
        <v>21</v>
      </c>
      <c r="H13" t="s">
        <v>26</v>
      </c>
      <c r="I13">
        <v>25.450939862907219</v>
      </c>
      <c r="J13">
        <v>22.588714068301389</v>
      </c>
      <c r="K13">
        <v>47.26422727019267</v>
      </c>
      <c r="L13">
        <v>35.912739735763793</v>
      </c>
      <c r="M13" t="s">
        <v>37</v>
      </c>
      <c r="N13" t="s">
        <v>28</v>
      </c>
      <c r="O13" t="s">
        <v>38</v>
      </c>
      <c r="P13" t="s">
        <v>30</v>
      </c>
      <c r="Q13" t="s">
        <v>101</v>
      </c>
      <c r="R13" t="s">
        <v>102</v>
      </c>
      <c r="S13" t="s">
        <v>100</v>
      </c>
    </row>
    <row r="14" spans="1:19" x14ac:dyDescent="0.3">
      <c r="A14" t="s">
        <v>103</v>
      </c>
      <c r="B14" t="s">
        <v>104</v>
      </c>
      <c r="C14" t="s">
        <v>43</v>
      </c>
      <c r="D14" t="s">
        <v>35</v>
      </c>
      <c r="E14" t="s">
        <v>36</v>
      </c>
      <c r="F14" t="s">
        <v>45</v>
      </c>
      <c r="G14" t="s">
        <v>43</v>
      </c>
      <c r="H14" t="s">
        <v>26</v>
      </c>
      <c r="I14">
        <v>0</v>
      </c>
      <c r="J14">
        <v>26.567481402763018</v>
      </c>
      <c r="K14">
        <v>51.132005794960627</v>
      </c>
      <c r="L14">
        <v>35.703128486633631</v>
      </c>
      <c r="M14" t="s">
        <v>37</v>
      </c>
      <c r="N14" t="s">
        <v>28</v>
      </c>
      <c r="O14" t="s">
        <v>38</v>
      </c>
      <c r="P14" t="s">
        <v>30</v>
      </c>
      <c r="Q14" t="s">
        <v>105</v>
      </c>
      <c r="R14" t="s">
        <v>106</v>
      </c>
      <c r="S14" t="s">
        <v>104</v>
      </c>
    </row>
    <row r="15" spans="1:19" x14ac:dyDescent="0.3">
      <c r="A15" t="s">
        <v>107</v>
      </c>
      <c r="B15" t="s">
        <v>108</v>
      </c>
      <c r="E15" t="s">
        <v>80</v>
      </c>
      <c r="F15" t="s">
        <v>109</v>
      </c>
      <c r="G15" t="s">
        <v>25</v>
      </c>
      <c r="H15" t="s">
        <v>26</v>
      </c>
      <c r="I15">
        <v>23.961670357022271</v>
      </c>
      <c r="J15">
        <v>20.265699413547441</v>
      </c>
      <c r="K15">
        <v>46.805051863214523</v>
      </c>
      <c r="L15">
        <v>34.682810348617913</v>
      </c>
      <c r="M15" t="s">
        <v>37</v>
      </c>
      <c r="N15" t="s">
        <v>28</v>
      </c>
      <c r="O15" t="s">
        <v>38</v>
      </c>
      <c r="P15" t="s">
        <v>30</v>
      </c>
      <c r="Q15" t="s">
        <v>110</v>
      </c>
      <c r="R15" t="s">
        <v>111</v>
      </c>
      <c r="S15" t="s">
        <v>108</v>
      </c>
    </row>
    <row r="16" spans="1:19" x14ac:dyDescent="0.3">
      <c r="A16" t="s">
        <v>112</v>
      </c>
      <c r="B16" t="s">
        <v>113</v>
      </c>
      <c r="C16" t="s">
        <v>114</v>
      </c>
      <c r="D16" t="s">
        <v>63</v>
      </c>
      <c r="E16" t="s">
        <v>74</v>
      </c>
      <c r="F16" t="s">
        <v>114</v>
      </c>
      <c r="G16" t="s">
        <v>115</v>
      </c>
      <c r="H16" t="s">
        <v>75</v>
      </c>
      <c r="I16">
        <v>31.020824990774109</v>
      </c>
      <c r="J16">
        <v>51.830419520210967</v>
      </c>
      <c r="K16">
        <v>23.43550265602363</v>
      </c>
      <c r="L16">
        <v>34.03978901544766</v>
      </c>
      <c r="M16" t="s">
        <v>116</v>
      </c>
      <c r="N16" t="s">
        <v>116</v>
      </c>
      <c r="O16" t="s">
        <v>116</v>
      </c>
      <c r="P16" t="s">
        <v>116</v>
      </c>
      <c r="Q16" t="s">
        <v>117</v>
      </c>
      <c r="R16" t="s">
        <v>118</v>
      </c>
      <c r="S16" t="s">
        <v>113</v>
      </c>
    </row>
    <row r="17" spans="1:19" x14ac:dyDescent="0.3">
      <c r="A17" t="s">
        <v>119</v>
      </c>
      <c r="B17" t="s">
        <v>120</v>
      </c>
      <c r="C17" t="s">
        <v>21</v>
      </c>
      <c r="D17" t="s">
        <v>63</v>
      </c>
      <c r="E17" t="s">
        <v>64</v>
      </c>
      <c r="F17" t="s">
        <v>24</v>
      </c>
      <c r="G17" t="s">
        <v>21</v>
      </c>
      <c r="H17" t="s">
        <v>26</v>
      </c>
      <c r="I17">
        <v>8.4684337188577175</v>
      </c>
      <c r="J17">
        <v>14.927501115178231</v>
      </c>
      <c r="K17">
        <v>53.048962840919494</v>
      </c>
      <c r="L17">
        <v>33.984863774382667</v>
      </c>
      <c r="M17" t="s">
        <v>121</v>
      </c>
      <c r="N17" t="s">
        <v>122</v>
      </c>
      <c r="O17" t="s">
        <v>123</v>
      </c>
      <c r="P17" t="s">
        <v>124</v>
      </c>
      <c r="Q17" t="s">
        <v>125</v>
      </c>
      <c r="R17" t="s">
        <v>126</v>
      </c>
      <c r="S17" t="s">
        <v>120</v>
      </c>
    </row>
    <row r="18" spans="1:19" x14ac:dyDescent="0.3">
      <c r="A18" t="s">
        <v>127</v>
      </c>
      <c r="B18" t="s">
        <v>50</v>
      </c>
      <c r="C18" t="s">
        <v>43</v>
      </c>
      <c r="D18" t="s">
        <v>53</v>
      </c>
      <c r="E18" t="s">
        <v>128</v>
      </c>
      <c r="F18" t="s">
        <v>45</v>
      </c>
      <c r="G18" t="s">
        <v>43</v>
      </c>
      <c r="H18" t="s">
        <v>26</v>
      </c>
      <c r="I18">
        <v>25.825128180968761</v>
      </c>
      <c r="J18">
        <v>21.6087819465764</v>
      </c>
      <c r="K18">
        <v>41.639969657468171</v>
      </c>
      <c r="L18">
        <v>32.690659802630023</v>
      </c>
      <c r="M18" t="s">
        <v>57</v>
      </c>
      <c r="N18" t="s">
        <v>28</v>
      </c>
      <c r="O18" t="s">
        <v>58</v>
      </c>
      <c r="P18" t="s">
        <v>30</v>
      </c>
      <c r="Q18" t="s">
        <v>129</v>
      </c>
      <c r="R18" t="s">
        <v>130</v>
      </c>
      <c r="S18" t="s">
        <v>50</v>
      </c>
    </row>
    <row r="19" spans="1:19" x14ac:dyDescent="0.3">
      <c r="A19" t="s">
        <v>131</v>
      </c>
      <c r="B19" t="s">
        <v>132</v>
      </c>
      <c r="C19" t="s">
        <v>21</v>
      </c>
      <c r="D19" t="s">
        <v>35</v>
      </c>
      <c r="E19" t="s">
        <v>36</v>
      </c>
      <c r="F19" t="s">
        <v>24</v>
      </c>
      <c r="G19" t="s">
        <v>21</v>
      </c>
      <c r="H19" t="s">
        <v>26</v>
      </c>
      <c r="I19">
        <v>29.303975376691081</v>
      </c>
      <c r="J19">
        <v>23.336436972750288</v>
      </c>
      <c r="K19">
        <v>39.140149829402162</v>
      </c>
      <c r="L19">
        <v>32.450193998017603</v>
      </c>
      <c r="M19" t="s">
        <v>37</v>
      </c>
      <c r="N19" t="s">
        <v>28</v>
      </c>
      <c r="O19" t="s">
        <v>38</v>
      </c>
      <c r="P19" t="s">
        <v>30</v>
      </c>
      <c r="Q19" t="s">
        <v>133</v>
      </c>
      <c r="R19" t="s">
        <v>134</v>
      </c>
      <c r="S19" t="s">
        <v>132</v>
      </c>
    </row>
    <row r="20" spans="1:19" x14ac:dyDescent="0.3">
      <c r="A20" t="s">
        <v>135</v>
      </c>
      <c r="B20" t="s">
        <v>136</v>
      </c>
      <c r="C20" t="s">
        <v>21</v>
      </c>
      <c r="D20" t="s">
        <v>63</v>
      </c>
      <c r="E20" t="s">
        <v>74</v>
      </c>
      <c r="F20" t="s">
        <v>24</v>
      </c>
      <c r="G20" t="s">
        <v>21</v>
      </c>
      <c r="H20" t="s">
        <v>26</v>
      </c>
      <c r="I20">
        <v>23.969644862161289</v>
      </c>
      <c r="J20">
        <v>19.992644743574601</v>
      </c>
      <c r="K20">
        <v>42.610004829133857</v>
      </c>
      <c r="L20">
        <v>32.395285974896503</v>
      </c>
      <c r="M20" t="s">
        <v>63</v>
      </c>
      <c r="N20" t="s">
        <v>28</v>
      </c>
      <c r="O20" t="s">
        <v>86</v>
      </c>
      <c r="P20" t="s">
        <v>30</v>
      </c>
      <c r="Q20" t="s">
        <v>137</v>
      </c>
      <c r="R20" t="s">
        <v>138</v>
      </c>
      <c r="S20" t="s">
        <v>98</v>
      </c>
    </row>
    <row r="21" spans="1:19" x14ac:dyDescent="0.3">
      <c r="A21" t="s">
        <v>139</v>
      </c>
      <c r="B21" t="s">
        <v>98</v>
      </c>
      <c r="C21" t="s">
        <v>21</v>
      </c>
      <c r="D21" t="s">
        <v>63</v>
      </c>
      <c r="E21" t="s">
        <v>74</v>
      </c>
      <c r="F21" t="s">
        <v>24</v>
      </c>
      <c r="G21" t="s">
        <v>21</v>
      </c>
      <c r="H21" t="s">
        <v>26</v>
      </c>
      <c r="I21">
        <v>23.96670042949458</v>
      </c>
      <c r="J21">
        <v>19.992644743574601</v>
      </c>
      <c r="K21">
        <v>42.610004829133857</v>
      </c>
      <c r="L21">
        <v>32.394872744242718</v>
      </c>
      <c r="M21" t="s">
        <v>63</v>
      </c>
      <c r="N21" t="s">
        <v>28</v>
      </c>
      <c r="O21" t="s">
        <v>86</v>
      </c>
      <c r="P21" t="s">
        <v>30</v>
      </c>
      <c r="Q21" t="s">
        <v>140</v>
      </c>
      <c r="R21" t="s">
        <v>141</v>
      </c>
      <c r="S21" t="s">
        <v>98</v>
      </c>
    </row>
    <row r="22" spans="1:19" x14ac:dyDescent="0.3">
      <c r="A22" t="s">
        <v>142</v>
      </c>
      <c r="B22" t="s">
        <v>143</v>
      </c>
      <c r="C22" t="s">
        <v>45</v>
      </c>
      <c r="D22" t="s">
        <v>63</v>
      </c>
      <c r="E22" t="s">
        <v>74</v>
      </c>
      <c r="F22" t="s">
        <v>144</v>
      </c>
      <c r="G22" t="s">
        <v>145</v>
      </c>
      <c r="H22" t="s">
        <v>26</v>
      </c>
      <c r="I22">
        <v>1.2126155199082911</v>
      </c>
      <c r="J22">
        <v>40.379958033219197</v>
      </c>
      <c r="K22">
        <v>34.817798830276438</v>
      </c>
      <c r="L22">
        <v>31.97024381159547</v>
      </c>
      <c r="M22" t="s">
        <v>121</v>
      </c>
      <c r="N22" t="s">
        <v>122</v>
      </c>
      <c r="O22" t="s">
        <v>123</v>
      </c>
      <c r="P22" t="s">
        <v>124</v>
      </c>
      <c r="Q22" t="s">
        <v>146</v>
      </c>
      <c r="R22" t="s">
        <v>147</v>
      </c>
      <c r="S22" t="s">
        <v>143</v>
      </c>
    </row>
    <row r="23" spans="1:19" x14ac:dyDescent="0.3">
      <c r="A23" t="s">
        <v>148</v>
      </c>
      <c r="B23" t="s">
        <v>149</v>
      </c>
      <c r="C23" t="s">
        <v>21</v>
      </c>
      <c r="D23" t="s">
        <v>53</v>
      </c>
      <c r="E23" t="s">
        <v>150</v>
      </c>
      <c r="F23" t="s">
        <v>109</v>
      </c>
      <c r="G23" t="s">
        <v>25</v>
      </c>
      <c r="H23" t="s">
        <v>26</v>
      </c>
      <c r="I23">
        <v>23.92830012013286</v>
      </c>
      <c r="J23">
        <v>20.98216042822844</v>
      </c>
      <c r="K23">
        <v>40.862764484508368</v>
      </c>
      <c r="L23">
        <v>31.806914395688729</v>
      </c>
      <c r="M23" t="s">
        <v>121</v>
      </c>
      <c r="N23" t="s">
        <v>122</v>
      </c>
      <c r="O23" t="s">
        <v>123</v>
      </c>
      <c r="P23" t="s">
        <v>124</v>
      </c>
      <c r="Q23" t="s">
        <v>151</v>
      </c>
      <c r="R23" t="s">
        <v>152</v>
      </c>
      <c r="S23" t="s">
        <v>149</v>
      </c>
    </row>
    <row r="24" spans="1:19" x14ac:dyDescent="0.3">
      <c r="A24" t="s">
        <v>153</v>
      </c>
      <c r="B24" t="s">
        <v>154</v>
      </c>
      <c r="C24" t="s">
        <v>21</v>
      </c>
      <c r="D24" t="s">
        <v>63</v>
      </c>
      <c r="E24" t="s">
        <v>85</v>
      </c>
      <c r="F24" t="s">
        <v>24</v>
      </c>
      <c r="G24" t="s">
        <v>21</v>
      </c>
      <c r="H24" t="s">
        <v>26</v>
      </c>
      <c r="I24">
        <v>12.097201611193549</v>
      </c>
      <c r="J24">
        <v>10.21915302213301</v>
      </c>
      <c r="K24">
        <v>50.761338206655388</v>
      </c>
      <c r="L24">
        <v>31.71428185746629</v>
      </c>
      <c r="M24" t="s">
        <v>63</v>
      </c>
      <c r="N24" t="s">
        <v>28</v>
      </c>
      <c r="O24" t="s">
        <v>86</v>
      </c>
      <c r="P24" t="s">
        <v>30</v>
      </c>
      <c r="Q24" t="s">
        <v>155</v>
      </c>
      <c r="R24" t="s">
        <v>156</v>
      </c>
      <c r="S24" t="s">
        <v>154</v>
      </c>
    </row>
    <row r="25" spans="1:19" x14ac:dyDescent="0.3">
      <c r="A25" t="s">
        <v>157</v>
      </c>
      <c r="B25" t="s">
        <v>158</v>
      </c>
      <c r="C25" t="s">
        <v>21</v>
      </c>
      <c r="D25" t="s">
        <v>63</v>
      </c>
      <c r="E25" t="s">
        <v>74</v>
      </c>
      <c r="F25" t="s">
        <v>24</v>
      </c>
      <c r="G25" t="s">
        <v>21</v>
      </c>
      <c r="H25" t="s">
        <v>26</v>
      </c>
      <c r="I25">
        <v>15.76007584858549</v>
      </c>
      <c r="J25">
        <v>13.245508947665339</v>
      </c>
      <c r="K25">
        <v>45.987899810727427</v>
      </c>
      <c r="L25">
        <v>30.745290410238869</v>
      </c>
      <c r="M25" t="s">
        <v>159</v>
      </c>
      <c r="N25" t="s">
        <v>160</v>
      </c>
      <c r="O25" t="s">
        <v>161</v>
      </c>
      <c r="P25" t="s">
        <v>124</v>
      </c>
      <c r="Q25" t="s">
        <v>162</v>
      </c>
      <c r="R25" t="s">
        <v>163</v>
      </c>
      <c r="S25" t="s">
        <v>158</v>
      </c>
    </row>
    <row r="26" spans="1:19" x14ac:dyDescent="0.3">
      <c r="A26" t="s">
        <v>164</v>
      </c>
      <c r="B26" t="s">
        <v>165</v>
      </c>
      <c r="C26" t="s">
        <v>21</v>
      </c>
      <c r="D26" t="s">
        <v>35</v>
      </c>
      <c r="E26" t="s">
        <v>36</v>
      </c>
      <c r="F26" t="s">
        <v>24</v>
      </c>
      <c r="G26" t="s">
        <v>21</v>
      </c>
      <c r="H26" t="s">
        <v>26</v>
      </c>
      <c r="I26">
        <v>14.303317786728851</v>
      </c>
      <c r="J26">
        <v>11.9596715472114</v>
      </c>
      <c r="K26">
        <v>46.871005312047288</v>
      </c>
      <c r="L26">
        <v>30.5713203049973</v>
      </c>
      <c r="M26" t="s">
        <v>37</v>
      </c>
      <c r="N26" t="s">
        <v>28</v>
      </c>
      <c r="O26" t="s">
        <v>38</v>
      </c>
      <c r="P26" t="s">
        <v>30</v>
      </c>
      <c r="Q26" t="s">
        <v>166</v>
      </c>
      <c r="R26" t="s">
        <v>167</v>
      </c>
      <c r="S26" t="s">
        <v>165</v>
      </c>
    </row>
    <row r="27" spans="1:19" x14ac:dyDescent="0.3">
      <c r="A27" t="s">
        <v>168</v>
      </c>
      <c r="B27" t="s">
        <v>169</v>
      </c>
      <c r="C27" t="s">
        <v>21</v>
      </c>
      <c r="D27" t="s">
        <v>35</v>
      </c>
      <c r="E27" t="s">
        <v>36</v>
      </c>
      <c r="F27" t="s">
        <v>24</v>
      </c>
      <c r="G27" t="s">
        <v>21</v>
      </c>
      <c r="H27" t="s">
        <v>26</v>
      </c>
      <c r="I27">
        <v>19.40368858894935</v>
      </c>
      <c r="J27">
        <v>16.434119205993099</v>
      </c>
      <c r="K27">
        <v>42.167695882400587</v>
      </c>
      <c r="L27">
        <v>30.327307603939911</v>
      </c>
      <c r="M27" t="s">
        <v>121</v>
      </c>
      <c r="N27" t="s">
        <v>122</v>
      </c>
      <c r="O27" t="s">
        <v>123</v>
      </c>
      <c r="P27" t="s">
        <v>124</v>
      </c>
      <c r="Q27" t="s">
        <v>170</v>
      </c>
      <c r="R27" t="s">
        <v>171</v>
      </c>
      <c r="S27" t="s">
        <v>169</v>
      </c>
    </row>
    <row r="28" spans="1:19" x14ac:dyDescent="0.3">
      <c r="A28" t="s">
        <v>172</v>
      </c>
      <c r="B28" t="s">
        <v>173</v>
      </c>
      <c r="C28" t="s">
        <v>43</v>
      </c>
      <c r="D28" t="s">
        <v>35</v>
      </c>
      <c r="E28" t="s">
        <v>80</v>
      </c>
      <c r="F28" t="s">
        <v>45</v>
      </c>
      <c r="G28" t="s">
        <v>43</v>
      </c>
      <c r="H28" t="s">
        <v>26</v>
      </c>
      <c r="I28">
        <v>13.917106368611559</v>
      </c>
      <c r="J28">
        <v>11.82283671822726</v>
      </c>
      <c r="K28">
        <v>44.167604349797628</v>
      </c>
      <c r="L28">
        <v>29.055400869547491</v>
      </c>
      <c r="M28" t="s">
        <v>57</v>
      </c>
      <c r="N28" t="s">
        <v>28</v>
      </c>
      <c r="O28" t="s">
        <v>58</v>
      </c>
      <c r="P28" t="s">
        <v>30</v>
      </c>
      <c r="Q28" t="s">
        <v>174</v>
      </c>
      <c r="R28" t="s">
        <v>175</v>
      </c>
      <c r="S28" t="s">
        <v>173</v>
      </c>
    </row>
    <row r="29" spans="1:19" x14ac:dyDescent="0.3">
      <c r="A29" t="s">
        <v>176</v>
      </c>
      <c r="B29" t="s">
        <v>177</v>
      </c>
      <c r="C29" t="s">
        <v>21</v>
      </c>
      <c r="D29" t="s">
        <v>53</v>
      </c>
      <c r="E29" t="s">
        <v>178</v>
      </c>
      <c r="F29" t="s">
        <v>24</v>
      </c>
      <c r="G29" t="s">
        <v>21</v>
      </c>
      <c r="H29" t="s">
        <v>26</v>
      </c>
      <c r="I29">
        <v>14.797246366570089</v>
      </c>
      <c r="J29">
        <v>12.3717135041524</v>
      </c>
      <c r="K29">
        <v>42.343692298951787</v>
      </c>
      <c r="L29">
        <v>28.408161140119901</v>
      </c>
      <c r="M29" t="s">
        <v>27</v>
      </c>
      <c r="N29" t="s">
        <v>28</v>
      </c>
      <c r="O29" t="s">
        <v>29</v>
      </c>
      <c r="P29" t="s">
        <v>30</v>
      </c>
      <c r="Q29" t="s">
        <v>179</v>
      </c>
      <c r="R29" t="s">
        <v>180</v>
      </c>
      <c r="S29" t="s">
        <v>181</v>
      </c>
    </row>
    <row r="30" spans="1:19" x14ac:dyDescent="0.3">
      <c r="A30" t="s">
        <v>182</v>
      </c>
      <c r="B30" t="s">
        <v>183</v>
      </c>
      <c r="C30" t="s">
        <v>21</v>
      </c>
      <c r="D30" t="s">
        <v>63</v>
      </c>
      <c r="E30" t="s">
        <v>184</v>
      </c>
      <c r="F30" t="s">
        <v>24</v>
      </c>
      <c r="G30" t="s">
        <v>21</v>
      </c>
      <c r="H30" t="s">
        <v>26</v>
      </c>
      <c r="I30">
        <v>12.86839760048367</v>
      </c>
      <c r="J30">
        <v>11.364824408627539</v>
      </c>
      <c r="K30">
        <v>42.463302790902723</v>
      </c>
      <c r="L30">
        <v>27.86181856199039</v>
      </c>
      <c r="M30" t="s">
        <v>63</v>
      </c>
      <c r="N30" t="s">
        <v>28</v>
      </c>
      <c r="O30" t="s">
        <v>86</v>
      </c>
      <c r="P30" t="s">
        <v>30</v>
      </c>
      <c r="Q30" t="s">
        <v>185</v>
      </c>
      <c r="R30" t="s">
        <v>186</v>
      </c>
      <c r="S30" t="s">
        <v>183</v>
      </c>
    </row>
    <row r="31" spans="1:19" x14ac:dyDescent="0.3">
      <c r="A31" t="s">
        <v>187</v>
      </c>
      <c r="B31" t="s">
        <v>188</v>
      </c>
      <c r="C31" t="s">
        <v>114</v>
      </c>
      <c r="D31" t="s">
        <v>189</v>
      </c>
      <c r="F31" t="s">
        <v>114</v>
      </c>
      <c r="G31" t="s">
        <v>190</v>
      </c>
      <c r="H31" t="s">
        <v>75</v>
      </c>
      <c r="I31">
        <v>31.798032530092101</v>
      </c>
      <c r="J31">
        <v>35.889110694559243</v>
      </c>
      <c r="K31">
        <v>20.296960170692529</v>
      </c>
      <c r="L31">
        <v>27.149495004592371</v>
      </c>
      <c r="M31" t="s">
        <v>46</v>
      </c>
      <c r="N31" t="s">
        <v>28</v>
      </c>
      <c r="O31" t="s">
        <v>47</v>
      </c>
      <c r="P31" t="s">
        <v>30</v>
      </c>
      <c r="Q31" t="s">
        <v>191</v>
      </c>
      <c r="R31" t="s">
        <v>192</v>
      </c>
      <c r="S31" t="s">
        <v>188</v>
      </c>
    </row>
    <row r="32" spans="1:19" x14ac:dyDescent="0.3">
      <c r="A32" t="s">
        <v>193</v>
      </c>
      <c r="B32" t="s">
        <v>194</v>
      </c>
      <c r="D32" t="s">
        <v>53</v>
      </c>
      <c r="E32" t="s">
        <v>178</v>
      </c>
      <c r="F32" t="s">
        <v>195</v>
      </c>
      <c r="G32" t="s">
        <v>196</v>
      </c>
      <c r="H32" t="s">
        <v>75</v>
      </c>
      <c r="I32">
        <v>31.799872800508801</v>
      </c>
      <c r="J32">
        <v>0.47108080450269613</v>
      </c>
      <c r="K32">
        <v>42.669514172298022</v>
      </c>
      <c r="L32">
        <v>26.966778183845761</v>
      </c>
      <c r="M32" t="s">
        <v>57</v>
      </c>
      <c r="N32" t="s">
        <v>28</v>
      </c>
      <c r="O32" t="s">
        <v>58</v>
      </c>
      <c r="P32" t="s">
        <v>30</v>
      </c>
      <c r="Q32" t="s">
        <v>197</v>
      </c>
      <c r="R32" t="s">
        <v>198</v>
      </c>
      <c r="S32" t="s">
        <v>194</v>
      </c>
    </row>
    <row r="33" spans="1:19" x14ac:dyDescent="0.3">
      <c r="A33" t="s">
        <v>199</v>
      </c>
      <c r="B33" t="s">
        <v>200</v>
      </c>
      <c r="C33" t="s">
        <v>43</v>
      </c>
      <c r="D33" t="s">
        <v>35</v>
      </c>
      <c r="E33" t="s">
        <v>150</v>
      </c>
      <c r="F33" t="s">
        <v>45</v>
      </c>
      <c r="G33" t="s">
        <v>43</v>
      </c>
      <c r="H33" t="s">
        <v>26</v>
      </c>
      <c r="I33">
        <v>12.88851789037288</v>
      </c>
      <c r="J33">
        <v>10.76336614909277</v>
      </c>
      <c r="K33">
        <v>35.538486566275388</v>
      </c>
      <c r="L33">
        <v>24.036111951346768</v>
      </c>
      <c r="M33" t="s">
        <v>37</v>
      </c>
      <c r="N33" t="s">
        <v>28</v>
      </c>
      <c r="O33" t="s">
        <v>38</v>
      </c>
      <c r="P33" t="s">
        <v>30</v>
      </c>
      <c r="Q33" t="s">
        <v>201</v>
      </c>
      <c r="R33" t="s">
        <v>202</v>
      </c>
      <c r="S33" t="s">
        <v>173</v>
      </c>
    </row>
    <row r="34" spans="1:19" x14ac:dyDescent="0.3">
      <c r="A34" t="s">
        <v>203</v>
      </c>
      <c r="B34" t="s">
        <v>204</v>
      </c>
      <c r="C34" t="s">
        <v>21</v>
      </c>
      <c r="D34" t="s">
        <v>63</v>
      </c>
      <c r="E34" t="s">
        <v>64</v>
      </c>
      <c r="F34" t="s">
        <v>24</v>
      </c>
      <c r="G34" t="s">
        <v>21</v>
      </c>
      <c r="H34" t="s">
        <v>26</v>
      </c>
      <c r="I34">
        <v>7.868505563014784</v>
      </c>
      <c r="J34">
        <v>6.6600124965560683</v>
      </c>
      <c r="K34">
        <v>38.762807988797263</v>
      </c>
      <c r="L34">
        <v>23.64154554876205</v>
      </c>
      <c r="M34" t="s">
        <v>27</v>
      </c>
      <c r="N34" t="s">
        <v>28</v>
      </c>
      <c r="O34" t="s">
        <v>29</v>
      </c>
      <c r="P34" t="s">
        <v>30</v>
      </c>
      <c r="Q34" t="s">
        <v>205</v>
      </c>
      <c r="R34" t="s">
        <v>206</v>
      </c>
      <c r="S34" t="s">
        <v>204</v>
      </c>
    </row>
    <row r="35" spans="1:19" x14ac:dyDescent="0.3">
      <c r="A35" t="s">
        <v>207</v>
      </c>
      <c r="B35" t="s">
        <v>208</v>
      </c>
      <c r="C35" t="s">
        <v>21</v>
      </c>
      <c r="D35" t="s">
        <v>63</v>
      </c>
      <c r="E35" t="s">
        <v>64</v>
      </c>
      <c r="F35" t="s">
        <v>24</v>
      </c>
      <c r="G35" t="s">
        <v>21</v>
      </c>
      <c r="H35" t="s">
        <v>26</v>
      </c>
      <c r="I35">
        <v>14.172290533060091</v>
      </c>
      <c r="J35">
        <v>11.888845429737209</v>
      </c>
      <c r="K35">
        <v>32.667670369002629</v>
      </c>
      <c r="L35">
        <v>23.090984574375181</v>
      </c>
      <c r="M35" t="s">
        <v>27</v>
      </c>
      <c r="N35" t="s">
        <v>28</v>
      </c>
      <c r="O35" t="s">
        <v>29</v>
      </c>
      <c r="P35" t="s">
        <v>30</v>
      </c>
      <c r="Q35" t="s">
        <v>209</v>
      </c>
      <c r="R35" t="s">
        <v>210</v>
      </c>
      <c r="S35" t="s">
        <v>208</v>
      </c>
    </row>
    <row r="36" spans="1:19" x14ac:dyDescent="0.3">
      <c r="A36" t="s">
        <v>211</v>
      </c>
      <c r="B36" t="s">
        <v>212</v>
      </c>
      <c r="C36" t="s">
        <v>24</v>
      </c>
      <c r="D36" t="s">
        <v>35</v>
      </c>
      <c r="E36" t="s">
        <v>128</v>
      </c>
      <c r="F36" t="s">
        <v>24</v>
      </c>
      <c r="G36" t="s">
        <v>211</v>
      </c>
      <c r="H36" t="s">
        <v>213</v>
      </c>
      <c r="I36">
        <v>31.790671448425311</v>
      </c>
      <c r="J36">
        <v>53.134962805526037</v>
      </c>
      <c r="K36">
        <v>1.4298352623566379</v>
      </c>
      <c r="L36">
        <v>23.061955120947101</v>
      </c>
      <c r="M36" t="s">
        <v>121</v>
      </c>
      <c r="N36" t="s">
        <v>122</v>
      </c>
      <c r="O36" t="s">
        <v>123</v>
      </c>
      <c r="P36" t="s">
        <v>124</v>
      </c>
      <c r="Q36" t="s">
        <v>214</v>
      </c>
      <c r="R36" t="s">
        <v>215</v>
      </c>
      <c r="S36" t="s">
        <v>212</v>
      </c>
    </row>
    <row r="37" spans="1:19" x14ac:dyDescent="0.3">
      <c r="A37" t="s">
        <v>216</v>
      </c>
      <c r="B37" t="s">
        <v>217</v>
      </c>
      <c r="C37" t="s">
        <v>43</v>
      </c>
      <c r="D37" t="s">
        <v>63</v>
      </c>
      <c r="E37" t="s">
        <v>74</v>
      </c>
      <c r="F37" t="s">
        <v>45</v>
      </c>
      <c r="G37" t="s">
        <v>43</v>
      </c>
      <c r="H37" t="s">
        <v>26</v>
      </c>
      <c r="I37">
        <v>10.46451369750076</v>
      </c>
      <c r="J37">
        <v>11.153883526193569</v>
      </c>
      <c r="K37">
        <v>33.780527964262298</v>
      </c>
      <c r="L37">
        <v>22.906494305406099</v>
      </c>
      <c r="M37" t="s">
        <v>63</v>
      </c>
      <c r="N37" t="s">
        <v>28</v>
      </c>
      <c r="O37" t="s">
        <v>86</v>
      </c>
      <c r="P37" t="s">
        <v>30</v>
      </c>
      <c r="Q37" t="s">
        <v>218</v>
      </c>
      <c r="R37" t="s">
        <v>219</v>
      </c>
      <c r="S37" t="s">
        <v>217</v>
      </c>
    </row>
    <row r="38" spans="1:19" x14ac:dyDescent="0.3">
      <c r="A38" t="s">
        <v>220</v>
      </c>
      <c r="B38" t="s">
        <v>221</v>
      </c>
      <c r="C38" t="s">
        <v>43</v>
      </c>
      <c r="D38" t="s">
        <v>35</v>
      </c>
      <c r="E38" t="s">
        <v>36</v>
      </c>
      <c r="F38" t="s">
        <v>45</v>
      </c>
      <c r="G38" t="s">
        <v>43</v>
      </c>
      <c r="H38" t="s">
        <v>26</v>
      </c>
      <c r="I38">
        <v>8.9248207821983527</v>
      </c>
      <c r="J38">
        <v>8.5931247622046421</v>
      </c>
      <c r="K38">
        <v>35.301271145872462</v>
      </c>
      <c r="L38">
        <v>22.626478883638111</v>
      </c>
      <c r="M38" t="s">
        <v>37</v>
      </c>
      <c r="N38" t="s">
        <v>28</v>
      </c>
      <c r="O38" t="s">
        <v>38</v>
      </c>
      <c r="P38" t="s">
        <v>30</v>
      </c>
      <c r="Q38" t="s">
        <v>222</v>
      </c>
      <c r="R38" t="s">
        <v>223</v>
      </c>
      <c r="S38" t="s">
        <v>221</v>
      </c>
    </row>
    <row r="39" spans="1:19" x14ac:dyDescent="0.3">
      <c r="A39" t="s">
        <v>224</v>
      </c>
      <c r="B39" t="s">
        <v>225</v>
      </c>
      <c r="C39" t="s">
        <v>21</v>
      </c>
      <c r="D39" t="s">
        <v>63</v>
      </c>
      <c r="E39" t="s">
        <v>74</v>
      </c>
      <c r="F39" t="s">
        <v>24</v>
      </c>
      <c r="G39" t="s">
        <v>21</v>
      </c>
      <c r="H39" t="s">
        <v>26</v>
      </c>
      <c r="I39">
        <v>22.869776576449251</v>
      </c>
      <c r="J39">
        <v>19.092302318258749</v>
      </c>
      <c r="K39">
        <v>24.668858451668161</v>
      </c>
      <c r="L39">
        <v>22.542834112135381</v>
      </c>
      <c r="M39" t="s">
        <v>159</v>
      </c>
      <c r="N39" t="s">
        <v>160</v>
      </c>
      <c r="O39" t="s">
        <v>161</v>
      </c>
      <c r="P39" t="s">
        <v>124</v>
      </c>
      <c r="S39" t="s">
        <v>225</v>
      </c>
    </row>
    <row r="40" spans="1:19" x14ac:dyDescent="0.3">
      <c r="A40" t="s">
        <v>226</v>
      </c>
      <c r="B40" t="s">
        <v>227</v>
      </c>
      <c r="C40" t="s">
        <v>196</v>
      </c>
      <c r="D40" t="s">
        <v>35</v>
      </c>
      <c r="E40" t="s">
        <v>150</v>
      </c>
      <c r="F40" t="s">
        <v>228</v>
      </c>
      <c r="G40" t="s">
        <v>196</v>
      </c>
      <c r="H40" t="s">
        <v>75</v>
      </c>
      <c r="I40">
        <v>31.740984147174519</v>
      </c>
      <c r="J40">
        <v>52.696630111780223</v>
      </c>
      <c r="K40">
        <v>0.40029074752677851</v>
      </c>
      <c r="L40">
        <v>22.368554083903451</v>
      </c>
      <c r="M40" t="s">
        <v>57</v>
      </c>
      <c r="N40" t="s">
        <v>28</v>
      </c>
      <c r="O40" t="s">
        <v>58</v>
      </c>
      <c r="P40" t="s">
        <v>30</v>
      </c>
      <c r="Q40" t="s">
        <v>229</v>
      </c>
      <c r="R40" t="s">
        <v>230</v>
      </c>
      <c r="S40" t="s">
        <v>227</v>
      </c>
    </row>
    <row r="41" spans="1:19" x14ac:dyDescent="0.3">
      <c r="A41" t="s">
        <v>231</v>
      </c>
      <c r="B41" t="s">
        <v>232</v>
      </c>
      <c r="C41" t="s">
        <v>43</v>
      </c>
      <c r="D41" t="s">
        <v>35</v>
      </c>
      <c r="E41" t="s">
        <v>36</v>
      </c>
      <c r="F41" t="s">
        <v>45</v>
      </c>
      <c r="G41" t="s">
        <v>43</v>
      </c>
      <c r="H41" t="s">
        <v>26</v>
      </c>
      <c r="I41">
        <v>12.800921018538149</v>
      </c>
      <c r="J41">
        <v>10.793398062869819</v>
      </c>
      <c r="K41">
        <v>32.31258699542655</v>
      </c>
      <c r="L41">
        <v>22.34453505215248</v>
      </c>
      <c r="M41" t="s">
        <v>37</v>
      </c>
      <c r="N41" t="s">
        <v>28</v>
      </c>
      <c r="O41" t="s">
        <v>38</v>
      </c>
      <c r="P41" t="s">
        <v>30</v>
      </c>
      <c r="Q41" t="s">
        <v>233</v>
      </c>
      <c r="R41" t="s">
        <v>234</v>
      </c>
      <c r="S41" t="s">
        <v>232</v>
      </c>
    </row>
    <row r="42" spans="1:19" x14ac:dyDescent="0.3">
      <c r="A42" t="s">
        <v>235</v>
      </c>
      <c r="B42" t="s">
        <v>236</v>
      </c>
      <c r="C42" t="s">
        <v>73</v>
      </c>
      <c r="D42" t="s">
        <v>53</v>
      </c>
      <c r="E42" t="s">
        <v>54</v>
      </c>
      <c r="F42" t="s">
        <v>237</v>
      </c>
      <c r="G42" t="s">
        <v>238</v>
      </c>
      <c r="H42" t="s">
        <v>75</v>
      </c>
      <c r="I42">
        <v>31.799872800508801</v>
      </c>
      <c r="J42">
        <v>53.134962805526037</v>
      </c>
      <c r="K42">
        <v>0</v>
      </c>
      <c r="L42">
        <v>22.31445530414603</v>
      </c>
      <c r="M42" t="s">
        <v>239</v>
      </c>
      <c r="N42" t="s">
        <v>239</v>
      </c>
      <c r="O42" t="s">
        <v>240</v>
      </c>
      <c r="P42" t="s">
        <v>239</v>
      </c>
      <c r="S42" t="s">
        <v>236</v>
      </c>
    </row>
    <row r="43" spans="1:19" x14ac:dyDescent="0.3">
      <c r="A43" t="s">
        <v>241</v>
      </c>
      <c r="B43" t="s">
        <v>242</v>
      </c>
      <c r="C43" t="s">
        <v>243</v>
      </c>
      <c r="D43" t="s">
        <v>63</v>
      </c>
      <c r="E43" t="s">
        <v>74</v>
      </c>
      <c r="F43" t="s">
        <v>243</v>
      </c>
      <c r="G43" t="s">
        <v>244</v>
      </c>
      <c r="H43" t="s">
        <v>75</v>
      </c>
      <c r="I43">
        <v>31.799872800508801</v>
      </c>
      <c r="J43">
        <v>53.134962805526037</v>
      </c>
      <c r="K43">
        <v>0</v>
      </c>
      <c r="L43">
        <v>22.31445530414603</v>
      </c>
      <c r="M43" t="s">
        <v>76</v>
      </c>
      <c r="N43" t="s">
        <v>76</v>
      </c>
      <c r="O43" t="s">
        <v>77</v>
      </c>
      <c r="P43" t="s">
        <v>76</v>
      </c>
      <c r="S43" t="s">
        <v>242</v>
      </c>
    </row>
    <row r="44" spans="1:19" x14ac:dyDescent="0.3">
      <c r="A44" t="s">
        <v>245</v>
      </c>
      <c r="B44" t="s">
        <v>246</v>
      </c>
      <c r="C44" t="s">
        <v>243</v>
      </c>
      <c r="D44" t="s">
        <v>189</v>
      </c>
      <c r="F44" t="s">
        <v>243</v>
      </c>
      <c r="G44" t="s">
        <v>244</v>
      </c>
      <c r="H44" t="s">
        <v>75</v>
      </c>
      <c r="I44">
        <v>31.799872800508801</v>
      </c>
      <c r="J44">
        <v>53.134962805526037</v>
      </c>
      <c r="K44">
        <v>0</v>
      </c>
      <c r="L44">
        <v>22.31445530414603</v>
      </c>
      <c r="M44" t="s">
        <v>46</v>
      </c>
      <c r="N44" t="s">
        <v>28</v>
      </c>
      <c r="O44" t="s">
        <v>47</v>
      </c>
      <c r="P44" t="s">
        <v>30</v>
      </c>
      <c r="Q44" t="s">
        <v>247</v>
      </c>
      <c r="R44" t="s">
        <v>248</v>
      </c>
      <c r="S44" t="s">
        <v>246</v>
      </c>
    </row>
    <row r="45" spans="1:19" x14ac:dyDescent="0.3">
      <c r="A45" t="s">
        <v>249</v>
      </c>
      <c r="B45" t="s">
        <v>250</v>
      </c>
      <c r="C45" t="s">
        <v>251</v>
      </c>
      <c r="D45" t="s">
        <v>63</v>
      </c>
      <c r="F45" t="s">
        <v>251</v>
      </c>
      <c r="G45" t="s">
        <v>252</v>
      </c>
      <c r="H45" t="s">
        <v>213</v>
      </c>
      <c r="I45">
        <v>31.795088097425388</v>
      </c>
      <c r="J45">
        <v>53.134962805526037</v>
      </c>
      <c r="K45">
        <v>0</v>
      </c>
      <c r="L45">
        <v>22.313783804333632</v>
      </c>
      <c r="Q45" t="s">
        <v>253</v>
      </c>
      <c r="R45" t="s">
        <v>254</v>
      </c>
      <c r="S45" t="s">
        <v>250</v>
      </c>
    </row>
    <row r="46" spans="1:19" x14ac:dyDescent="0.3">
      <c r="A46" t="s">
        <v>255</v>
      </c>
      <c r="B46" t="s">
        <v>256</v>
      </c>
      <c r="C46" t="s">
        <v>43</v>
      </c>
      <c r="D46" t="s">
        <v>63</v>
      </c>
      <c r="E46" t="s">
        <v>74</v>
      </c>
      <c r="F46" t="s">
        <v>45</v>
      </c>
      <c r="G46" t="s">
        <v>43</v>
      </c>
      <c r="H46" t="s">
        <v>26</v>
      </c>
      <c r="I46">
        <v>25.772619131745699</v>
      </c>
      <c r="J46">
        <v>21.5421069980714</v>
      </c>
      <c r="K46">
        <v>20.842506320484048</v>
      </c>
      <c r="L46">
        <v>21.76945572564129</v>
      </c>
      <c r="M46" t="s">
        <v>63</v>
      </c>
      <c r="N46" t="s">
        <v>28</v>
      </c>
      <c r="O46" t="s">
        <v>86</v>
      </c>
      <c r="P46" t="s">
        <v>30</v>
      </c>
      <c r="Q46" t="s">
        <v>257</v>
      </c>
      <c r="R46" t="s">
        <v>258</v>
      </c>
      <c r="S46" t="s">
        <v>256</v>
      </c>
    </row>
    <row r="47" spans="1:19" x14ac:dyDescent="0.3">
      <c r="A47" t="s">
        <v>259</v>
      </c>
      <c r="B47" t="s">
        <v>260</v>
      </c>
      <c r="C47" t="s">
        <v>24</v>
      </c>
      <c r="D47" t="s">
        <v>35</v>
      </c>
      <c r="E47" t="s">
        <v>44</v>
      </c>
      <c r="F47" t="s">
        <v>144</v>
      </c>
      <c r="G47" t="s">
        <v>261</v>
      </c>
      <c r="H47" t="s">
        <v>26</v>
      </c>
      <c r="I47">
        <v>5.1995000353331928</v>
      </c>
      <c r="J47">
        <v>11.605284714842369</v>
      </c>
      <c r="K47">
        <v>31.686653915228181</v>
      </c>
      <c r="L47">
        <v>21.222699916857991</v>
      </c>
      <c r="M47" t="s">
        <v>76</v>
      </c>
      <c r="N47" t="s">
        <v>76</v>
      </c>
      <c r="O47" t="s">
        <v>77</v>
      </c>
      <c r="P47" t="s">
        <v>76</v>
      </c>
      <c r="Q47" t="s">
        <v>262</v>
      </c>
      <c r="R47" t="s">
        <v>263</v>
      </c>
      <c r="S47" t="s">
        <v>264</v>
      </c>
    </row>
    <row r="48" spans="1:19" x14ac:dyDescent="0.3">
      <c r="A48" t="s">
        <v>265</v>
      </c>
      <c r="B48" t="s">
        <v>266</v>
      </c>
      <c r="C48" t="s">
        <v>21</v>
      </c>
      <c r="D48" t="s">
        <v>35</v>
      </c>
      <c r="E48" t="s">
        <v>36</v>
      </c>
      <c r="F48" t="s">
        <v>24</v>
      </c>
      <c r="G48" t="s">
        <v>21</v>
      </c>
      <c r="H48" t="s">
        <v>26</v>
      </c>
      <c r="I48">
        <v>18.400863896544411</v>
      </c>
      <c r="J48">
        <v>15.37603235984834</v>
      </c>
      <c r="K48">
        <v>25.148319640266351</v>
      </c>
      <c r="L48">
        <v>20.918200578853501</v>
      </c>
      <c r="M48" t="s">
        <v>37</v>
      </c>
      <c r="N48" t="s">
        <v>28</v>
      </c>
      <c r="O48" t="s">
        <v>38</v>
      </c>
      <c r="P48" t="s">
        <v>30</v>
      </c>
      <c r="Q48" t="s">
        <v>267</v>
      </c>
      <c r="R48" t="s">
        <v>268</v>
      </c>
      <c r="S48" t="s">
        <v>266</v>
      </c>
    </row>
    <row r="49" spans="1:19" x14ac:dyDescent="0.3">
      <c r="A49" t="s">
        <v>269</v>
      </c>
      <c r="B49" t="s">
        <v>270</v>
      </c>
      <c r="C49" t="s">
        <v>21</v>
      </c>
      <c r="D49" t="s">
        <v>53</v>
      </c>
      <c r="E49" t="s">
        <v>80</v>
      </c>
      <c r="F49" t="s">
        <v>109</v>
      </c>
      <c r="G49" t="s">
        <v>21</v>
      </c>
      <c r="H49" t="s">
        <v>26</v>
      </c>
      <c r="I49">
        <v>9.2207362652030866</v>
      </c>
      <c r="J49">
        <v>7.7937428661392536</v>
      </c>
      <c r="K49">
        <v>32.327480770262639</v>
      </c>
      <c r="L49">
        <v>20.842097266782261</v>
      </c>
      <c r="M49" t="s">
        <v>57</v>
      </c>
      <c r="N49" t="s">
        <v>28</v>
      </c>
      <c r="O49" t="s">
        <v>58</v>
      </c>
      <c r="P49" t="s">
        <v>30</v>
      </c>
      <c r="Q49" t="s">
        <v>271</v>
      </c>
      <c r="R49" t="s">
        <v>272</v>
      </c>
      <c r="S49" t="s">
        <v>270</v>
      </c>
    </row>
    <row r="50" spans="1:19" x14ac:dyDescent="0.3">
      <c r="A50" t="s">
        <v>273</v>
      </c>
      <c r="B50" t="s">
        <v>264</v>
      </c>
      <c r="C50" t="s">
        <v>24</v>
      </c>
      <c r="D50" t="s">
        <v>63</v>
      </c>
      <c r="E50" t="s">
        <v>74</v>
      </c>
      <c r="F50" t="s">
        <v>144</v>
      </c>
      <c r="G50" t="s">
        <v>261</v>
      </c>
      <c r="H50" t="s">
        <v>26</v>
      </c>
      <c r="I50">
        <v>5.0895745491092113</v>
      </c>
      <c r="J50">
        <v>11.486592031723539</v>
      </c>
      <c r="K50">
        <v>30.220850022251891</v>
      </c>
      <c r="L50">
        <v>20.399768287798071</v>
      </c>
      <c r="M50" t="s">
        <v>76</v>
      </c>
      <c r="N50" t="s">
        <v>76</v>
      </c>
      <c r="O50" t="s">
        <v>77</v>
      </c>
      <c r="P50" t="s">
        <v>76</v>
      </c>
      <c r="Q50" t="s">
        <v>274</v>
      </c>
      <c r="R50" t="s">
        <v>275</v>
      </c>
      <c r="S50" t="s">
        <v>264</v>
      </c>
    </row>
    <row r="51" spans="1:19" x14ac:dyDescent="0.3">
      <c r="A51" t="s">
        <v>276</v>
      </c>
      <c r="B51" t="s">
        <v>277</v>
      </c>
      <c r="C51" t="s">
        <v>21</v>
      </c>
      <c r="D51" t="s">
        <v>35</v>
      </c>
      <c r="E51" t="s">
        <v>278</v>
      </c>
      <c r="F51" t="s">
        <v>24</v>
      </c>
      <c r="G51" t="s">
        <v>21</v>
      </c>
      <c r="H51" t="s">
        <v>26</v>
      </c>
      <c r="I51">
        <v>10.935745608869411</v>
      </c>
      <c r="J51">
        <v>9.1445639981107565</v>
      </c>
      <c r="K51">
        <v>30.012961858259139</v>
      </c>
      <c r="L51">
        <v>20.324525872922209</v>
      </c>
      <c r="M51" t="s">
        <v>27</v>
      </c>
      <c r="N51" t="s">
        <v>28</v>
      </c>
      <c r="O51" t="s">
        <v>29</v>
      </c>
      <c r="P51" t="s">
        <v>30</v>
      </c>
      <c r="Q51" t="s">
        <v>279</v>
      </c>
      <c r="R51" t="s">
        <v>280</v>
      </c>
      <c r="S51" t="s">
        <v>181</v>
      </c>
    </row>
    <row r="52" spans="1:19" x14ac:dyDescent="0.3">
      <c r="A52" t="s">
        <v>281</v>
      </c>
      <c r="B52" t="s">
        <v>282</v>
      </c>
      <c r="C52" t="s">
        <v>21</v>
      </c>
      <c r="D52" t="s">
        <v>35</v>
      </c>
      <c r="E52" t="s">
        <v>80</v>
      </c>
      <c r="F52" t="s">
        <v>24</v>
      </c>
      <c r="G52" t="s">
        <v>21</v>
      </c>
      <c r="H52" t="s">
        <v>26</v>
      </c>
      <c r="I52">
        <v>7.9880004554055866</v>
      </c>
      <c r="J52">
        <v>7.2371787302711859</v>
      </c>
      <c r="K52">
        <v>30.65678061949686</v>
      </c>
      <c r="L52">
        <v>19.607174675903199</v>
      </c>
      <c r="M52" t="s">
        <v>57</v>
      </c>
      <c r="N52" t="s">
        <v>28</v>
      </c>
      <c r="O52" t="s">
        <v>58</v>
      </c>
      <c r="P52" t="s">
        <v>30</v>
      </c>
      <c r="Q52" t="s">
        <v>283</v>
      </c>
      <c r="R52" t="s">
        <v>284</v>
      </c>
      <c r="S52" t="s">
        <v>282</v>
      </c>
    </row>
    <row r="53" spans="1:19" x14ac:dyDescent="0.3">
      <c r="A53" t="s">
        <v>285</v>
      </c>
      <c r="B53" t="s">
        <v>286</v>
      </c>
      <c r="C53" t="s">
        <v>196</v>
      </c>
      <c r="D53" t="s">
        <v>53</v>
      </c>
      <c r="E53" t="s">
        <v>54</v>
      </c>
      <c r="F53" t="s">
        <v>195</v>
      </c>
      <c r="G53" t="s">
        <v>196</v>
      </c>
      <c r="H53" t="s">
        <v>75</v>
      </c>
      <c r="I53">
        <v>31.684549187729171</v>
      </c>
      <c r="J53">
        <v>39.680972927408448</v>
      </c>
      <c r="K53">
        <v>0.90875041163368853</v>
      </c>
      <c r="L53">
        <v>18.254085335986829</v>
      </c>
      <c r="M53" t="s">
        <v>287</v>
      </c>
      <c r="N53" t="s">
        <v>287</v>
      </c>
      <c r="O53" t="s">
        <v>288</v>
      </c>
      <c r="P53" t="s">
        <v>30</v>
      </c>
      <c r="Q53" t="s">
        <v>289</v>
      </c>
      <c r="R53" t="s">
        <v>290</v>
      </c>
      <c r="S53" t="s">
        <v>286</v>
      </c>
    </row>
    <row r="54" spans="1:19" x14ac:dyDescent="0.3">
      <c r="A54" t="s">
        <v>291</v>
      </c>
      <c r="B54" t="s">
        <v>292</v>
      </c>
      <c r="C54" t="s">
        <v>21</v>
      </c>
      <c r="D54" t="s">
        <v>35</v>
      </c>
      <c r="E54" t="s">
        <v>36</v>
      </c>
      <c r="F54" t="s">
        <v>24</v>
      </c>
      <c r="G54" t="s">
        <v>21</v>
      </c>
      <c r="H54" t="s">
        <v>26</v>
      </c>
      <c r="I54">
        <v>16.73087983573992</v>
      </c>
      <c r="J54">
        <v>14.33080901260807</v>
      </c>
      <c r="K54">
        <v>20.540915599575371</v>
      </c>
      <c r="L54">
        <v>17.919816172966229</v>
      </c>
      <c r="M54" t="s">
        <v>37</v>
      </c>
      <c r="N54" t="s">
        <v>28</v>
      </c>
      <c r="O54" t="s">
        <v>38</v>
      </c>
      <c r="P54" t="s">
        <v>30</v>
      </c>
      <c r="Q54" t="s">
        <v>293</v>
      </c>
      <c r="R54" t="s">
        <v>294</v>
      </c>
      <c r="S54" t="s">
        <v>292</v>
      </c>
    </row>
    <row r="55" spans="1:19" x14ac:dyDescent="0.3">
      <c r="A55" t="s">
        <v>295</v>
      </c>
      <c r="B55" t="s">
        <v>296</v>
      </c>
      <c r="C55" t="s">
        <v>21</v>
      </c>
      <c r="D55" t="s">
        <v>63</v>
      </c>
      <c r="E55" t="s">
        <v>85</v>
      </c>
      <c r="F55" t="s">
        <v>24</v>
      </c>
      <c r="G55" t="s">
        <v>21</v>
      </c>
      <c r="H55" t="s">
        <v>26</v>
      </c>
      <c r="I55">
        <v>10.196079586052029</v>
      </c>
      <c r="J55">
        <v>8.5877436172445911</v>
      </c>
      <c r="K55">
        <v>25.871703379657252</v>
      </c>
      <c r="L55">
        <v>17.864908149845149</v>
      </c>
      <c r="M55" t="s">
        <v>63</v>
      </c>
      <c r="N55" t="s">
        <v>28</v>
      </c>
      <c r="O55" t="s">
        <v>86</v>
      </c>
      <c r="P55" t="s">
        <v>30</v>
      </c>
      <c r="Q55" t="s">
        <v>297</v>
      </c>
      <c r="R55" t="s">
        <v>298</v>
      </c>
      <c r="S55" t="s">
        <v>296</v>
      </c>
    </row>
    <row r="56" spans="1:19" x14ac:dyDescent="0.3">
      <c r="A56" t="s">
        <v>299</v>
      </c>
      <c r="B56" t="s">
        <v>300</v>
      </c>
      <c r="C56" t="s">
        <v>45</v>
      </c>
      <c r="D56" t="s">
        <v>63</v>
      </c>
      <c r="E56" t="s">
        <v>74</v>
      </c>
      <c r="F56" t="s">
        <v>45</v>
      </c>
      <c r="G56" t="s">
        <v>301</v>
      </c>
      <c r="H56" t="s">
        <v>26</v>
      </c>
      <c r="I56">
        <v>31.799872800508801</v>
      </c>
      <c r="J56">
        <v>39.851222104144533</v>
      </c>
      <c r="K56">
        <v>0</v>
      </c>
      <c r="L56">
        <v>17.851564243316819</v>
      </c>
      <c r="M56" t="s">
        <v>116</v>
      </c>
      <c r="N56" t="s">
        <v>116</v>
      </c>
      <c r="O56" t="s">
        <v>302</v>
      </c>
      <c r="P56" t="s">
        <v>116</v>
      </c>
      <c r="Q56" t="s">
        <v>303</v>
      </c>
      <c r="R56" t="s">
        <v>304</v>
      </c>
      <c r="S56" t="s">
        <v>300</v>
      </c>
    </row>
    <row r="57" spans="1:19" x14ac:dyDescent="0.3">
      <c r="A57" t="s">
        <v>305</v>
      </c>
      <c r="B57" t="s">
        <v>306</v>
      </c>
      <c r="C57" t="s">
        <v>307</v>
      </c>
      <c r="D57" t="s">
        <v>35</v>
      </c>
      <c r="E57" t="s">
        <v>150</v>
      </c>
      <c r="F57" t="s">
        <v>251</v>
      </c>
      <c r="G57" t="s">
        <v>307</v>
      </c>
      <c r="H57" t="s">
        <v>75</v>
      </c>
      <c r="I57">
        <v>31.799872800508801</v>
      </c>
      <c r="J57">
        <v>39.851222104144533</v>
      </c>
      <c r="K57">
        <v>0</v>
      </c>
      <c r="L57">
        <v>17.851564243316819</v>
      </c>
      <c r="M57" t="s">
        <v>308</v>
      </c>
      <c r="N57" t="s">
        <v>160</v>
      </c>
      <c r="O57" t="s">
        <v>309</v>
      </c>
      <c r="P57" t="s">
        <v>124</v>
      </c>
      <c r="Q57" t="s">
        <v>310</v>
      </c>
      <c r="R57" t="s">
        <v>311</v>
      </c>
      <c r="S57" t="s">
        <v>306</v>
      </c>
    </row>
    <row r="58" spans="1:19" x14ac:dyDescent="0.3">
      <c r="A58" t="s">
        <v>312</v>
      </c>
      <c r="B58" t="s">
        <v>313</v>
      </c>
      <c r="C58" t="s">
        <v>314</v>
      </c>
      <c r="D58" t="s">
        <v>63</v>
      </c>
      <c r="E58" t="s">
        <v>315</v>
      </c>
      <c r="F58" t="s">
        <v>314</v>
      </c>
      <c r="G58" t="s">
        <v>316</v>
      </c>
      <c r="H58" t="s">
        <v>317</v>
      </c>
      <c r="I58">
        <v>31.799872800508801</v>
      </c>
      <c r="J58">
        <v>39.851222104144533</v>
      </c>
      <c r="K58">
        <v>0</v>
      </c>
      <c r="L58">
        <v>17.851564243316819</v>
      </c>
      <c r="M58" t="s">
        <v>63</v>
      </c>
      <c r="N58" t="s">
        <v>28</v>
      </c>
      <c r="O58" t="s">
        <v>86</v>
      </c>
      <c r="P58" t="s">
        <v>30</v>
      </c>
      <c r="Q58" t="s">
        <v>318</v>
      </c>
      <c r="R58" t="s">
        <v>319</v>
      </c>
      <c r="S58" t="s">
        <v>320</v>
      </c>
    </row>
    <row r="59" spans="1:19" x14ac:dyDescent="0.3">
      <c r="A59" t="s">
        <v>321</v>
      </c>
      <c r="B59" t="s">
        <v>322</v>
      </c>
      <c r="C59" t="s">
        <v>251</v>
      </c>
      <c r="D59" t="s">
        <v>63</v>
      </c>
      <c r="E59" t="s">
        <v>323</v>
      </c>
      <c r="F59" t="s">
        <v>251</v>
      </c>
      <c r="G59" t="s">
        <v>321</v>
      </c>
      <c r="H59" t="s">
        <v>213</v>
      </c>
      <c r="I59">
        <v>31.795088097425388</v>
      </c>
      <c r="J59">
        <v>39.851222104144533</v>
      </c>
      <c r="K59">
        <v>0</v>
      </c>
      <c r="L59">
        <v>17.850892743504421</v>
      </c>
      <c r="M59" t="s">
        <v>239</v>
      </c>
      <c r="N59" t="s">
        <v>239</v>
      </c>
      <c r="O59" t="s">
        <v>240</v>
      </c>
      <c r="P59" t="s">
        <v>239</v>
      </c>
      <c r="S59" t="s">
        <v>322</v>
      </c>
    </row>
    <row r="60" spans="1:19" x14ac:dyDescent="0.3">
      <c r="A60" t="s">
        <v>324</v>
      </c>
      <c r="B60" t="s">
        <v>325</v>
      </c>
      <c r="C60" t="s">
        <v>228</v>
      </c>
      <c r="D60" t="s">
        <v>63</v>
      </c>
      <c r="E60" t="s">
        <v>315</v>
      </c>
      <c r="F60" t="s">
        <v>228</v>
      </c>
      <c r="G60" t="s">
        <v>326</v>
      </c>
      <c r="H60" t="s">
        <v>213</v>
      </c>
      <c r="I60">
        <v>31.79287977292535</v>
      </c>
      <c r="J60">
        <v>39.851222104144533</v>
      </c>
      <c r="K60">
        <v>0</v>
      </c>
      <c r="L60">
        <v>17.850582820514092</v>
      </c>
      <c r="M60" t="s">
        <v>121</v>
      </c>
      <c r="N60" t="s">
        <v>122</v>
      </c>
      <c r="O60" t="s">
        <v>123</v>
      </c>
      <c r="P60" t="s">
        <v>124</v>
      </c>
      <c r="Q60" t="s">
        <v>327</v>
      </c>
      <c r="R60" t="s">
        <v>328</v>
      </c>
      <c r="S60" t="s">
        <v>325</v>
      </c>
    </row>
    <row r="61" spans="1:19" x14ac:dyDescent="0.3">
      <c r="A61" t="s">
        <v>329</v>
      </c>
      <c r="B61" t="s">
        <v>330</v>
      </c>
      <c r="C61" t="s">
        <v>228</v>
      </c>
      <c r="D61" t="s">
        <v>63</v>
      </c>
      <c r="E61" t="s">
        <v>331</v>
      </c>
      <c r="F61" t="s">
        <v>228</v>
      </c>
      <c r="G61" t="s">
        <v>332</v>
      </c>
      <c r="H61" t="s">
        <v>213</v>
      </c>
      <c r="I61">
        <v>31.791775610675341</v>
      </c>
      <c r="J61">
        <v>39.851222104144533</v>
      </c>
      <c r="K61">
        <v>0</v>
      </c>
      <c r="L61">
        <v>17.850427859018922</v>
      </c>
      <c r="M61" t="s">
        <v>239</v>
      </c>
      <c r="N61" t="s">
        <v>239</v>
      </c>
      <c r="O61" t="s">
        <v>240</v>
      </c>
      <c r="P61" t="s">
        <v>239</v>
      </c>
      <c r="Q61" t="s">
        <v>333</v>
      </c>
      <c r="R61" t="s">
        <v>334</v>
      </c>
      <c r="S61" t="s">
        <v>335</v>
      </c>
    </row>
    <row r="62" spans="1:19" x14ac:dyDescent="0.3">
      <c r="A62" t="s">
        <v>336</v>
      </c>
      <c r="B62" t="s">
        <v>337</v>
      </c>
      <c r="C62" t="s">
        <v>338</v>
      </c>
      <c r="D62" t="s">
        <v>63</v>
      </c>
      <c r="E62" t="s">
        <v>315</v>
      </c>
      <c r="F62" t="s">
        <v>314</v>
      </c>
      <c r="G62" t="s">
        <v>336</v>
      </c>
      <c r="H62" t="s">
        <v>213</v>
      </c>
      <c r="I62">
        <v>31.791775610675341</v>
      </c>
      <c r="J62">
        <v>39.851222104144533</v>
      </c>
      <c r="K62">
        <v>0</v>
      </c>
      <c r="L62">
        <v>17.850427859018922</v>
      </c>
      <c r="M62" t="s">
        <v>308</v>
      </c>
      <c r="N62" t="s">
        <v>160</v>
      </c>
      <c r="O62" t="s">
        <v>339</v>
      </c>
      <c r="P62" t="s">
        <v>124</v>
      </c>
      <c r="Q62" t="s">
        <v>340</v>
      </c>
      <c r="R62" t="s">
        <v>341</v>
      </c>
      <c r="S62" t="s">
        <v>342</v>
      </c>
    </row>
    <row r="63" spans="1:19" x14ac:dyDescent="0.3">
      <c r="A63" t="s">
        <v>343</v>
      </c>
      <c r="B63" t="s">
        <v>344</v>
      </c>
      <c r="C63" t="s">
        <v>24</v>
      </c>
      <c r="D63" t="s">
        <v>63</v>
      </c>
      <c r="E63" t="s">
        <v>345</v>
      </c>
      <c r="F63" t="s">
        <v>55</v>
      </c>
      <c r="G63" t="s">
        <v>346</v>
      </c>
      <c r="H63" t="s">
        <v>213</v>
      </c>
      <c r="I63">
        <v>31.789935340258641</v>
      </c>
      <c r="J63">
        <v>39.851222104144533</v>
      </c>
      <c r="K63">
        <v>0</v>
      </c>
      <c r="L63">
        <v>17.850169589860311</v>
      </c>
      <c r="M63" t="s">
        <v>308</v>
      </c>
      <c r="N63" t="s">
        <v>160</v>
      </c>
      <c r="O63" t="s">
        <v>339</v>
      </c>
      <c r="P63" t="s">
        <v>124</v>
      </c>
      <c r="Q63" t="s">
        <v>347</v>
      </c>
      <c r="R63" t="s">
        <v>348</v>
      </c>
      <c r="S63" t="s">
        <v>344</v>
      </c>
    </row>
    <row r="64" spans="1:19" x14ac:dyDescent="0.3">
      <c r="A64" t="s">
        <v>349</v>
      </c>
      <c r="B64" t="s">
        <v>350</v>
      </c>
      <c r="C64" t="s">
        <v>114</v>
      </c>
      <c r="D64" t="s">
        <v>35</v>
      </c>
      <c r="E64" t="s">
        <v>36</v>
      </c>
      <c r="F64" t="s">
        <v>114</v>
      </c>
      <c r="G64" t="s">
        <v>190</v>
      </c>
      <c r="H64" t="s">
        <v>75</v>
      </c>
      <c r="I64">
        <v>11.70964066143735</v>
      </c>
      <c r="J64">
        <v>19.587418903583011</v>
      </c>
      <c r="K64">
        <v>18.29024593863527</v>
      </c>
      <c r="L64">
        <v>17.802510321124291</v>
      </c>
      <c r="M64" t="s">
        <v>63</v>
      </c>
      <c r="N64" t="s">
        <v>28</v>
      </c>
      <c r="O64" t="s">
        <v>86</v>
      </c>
      <c r="P64" t="s">
        <v>30</v>
      </c>
      <c r="Q64" t="s">
        <v>351</v>
      </c>
      <c r="R64" t="s">
        <v>352</v>
      </c>
      <c r="S64" t="s">
        <v>353</v>
      </c>
    </row>
    <row r="65" spans="1:19" x14ac:dyDescent="0.3">
      <c r="A65" t="s">
        <v>354</v>
      </c>
      <c r="B65" t="s">
        <v>355</v>
      </c>
      <c r="C65" t="s">
        <v>21</v>
      </c>
      <c r="D65" t="s">
        <v>35</v>
      </c>
      <c r="E65" t="s">
        <v>36</v>
      </c>
      <c r="F65" t="s">
        <v>24</v>
      </c>
      <c r="G65" t="s">
        <v>21</v>
      </c>
      <c r="H65" t="s">
        <v>26</v>
      </c>
      <c r="I65">
        <v>15.521454117887229</v>
      </c>
      <c r="J65">
        <v>12.97747667965521</v>
      </c>
      <c r="K65">
        <v>21.17155024666458</v>
      </c>
      <c r="L65">
        <v>17.625664819250161</v>
      </c>
      <c r="M65" t="s">
        <v>121</v>
      </c>
      <c r="N65" t="s">
        <v>122</v>
      </c>
      <c r="O65" t="s">
        <v>123</v>
      </c>
      <c r="P65" t="s">
        <v>124</v>
      </c>
      <c r="Q65" t="s">
        <v>356</v>
      </c>
      <c r="R65" t="s">
        <v>357</v>
      </c>
      <c r="S65" t="s">
        <v>355</v>
      </c>
    </row>
    <row r="66" spans="1:19" x14ac:dyDescent="0.3">
      <c r="A66" t="s">
        <v>358</v>
      </c>
      <c r="B66" t="s">
        <v>359</v>
      </c>
      <c r="C66" t="s">
        <v>114</v>
      </c>
      <c r="D66" t="s">
        <v>63</v>
      </c>
      <c r="E66" t="s">
        <v>74</v>
      </c>
      <c r="F66" t="s">
        <v>114</v>
      </c>
      <c r="G66" t="s">
        <v>190</v>
      </c>
      <c r="H66" t="s">
        <v>75</v>
      </c>
      <c r="I66">
        <v>11.740925258521189</v>
      </c>
      <c r="J66">
        <v>19.615042114377928</v>
      </c>
      <c r="K66">
        <v>17.31425983265315</v>
      </c>
      <c r="L66">
        <v>17.30506670369213</v>
      </c>
      <c r="M66" t="s">
        <v>63</v>
      </c>
      <c r="N66" t="s">
        <v>28</v>
      </c>
      <c r="O66" t="s">
        <v>86</v>
      </c>
      <c r="P66" t="s">
        <v>30</v>
      </c>
      <c r="Q66" t="s">
        <v>351</v>
      </c>
      <c r="R66" t="s">
        <v>352</v>
      </c>
      <c r="S66" t="s">
        <v>353</v>
      </c>
    </row>
    <row r="67" spans="1:19" x14ac:dyDescent="0.3">
      <c r="A67" t="s">
        <v>360</v>
      </c>
      <c r="B67" t="s">
        <v>361</v>
      </c>
      <c r="C67" t="s">
        <v>114</v>
      </c>
      <c r="D67" t="s">
        <v>63</v>
      </c>
      <c r="E67" t="s">
        <v>74</v>
      </c>
      <c r="F67" t="s">
        <v>114</v>
      </c>
      <c r="G67" t="s">
        <v>362</v>
      </c>
      <c r="H67" t="s">
        <v>75</v>
      </c>
      <c r="I67">
        <v>24.64306114997763</v>
      </c>
      <c r="J67">
        <v>17.142431629734588</v>
      </c>
      <c r="K67">
        <v>15.235706973627041</v>
      </c>
      <c r="L67">
        <v>17.196559221186941</v>
      </c>
      <c r="M67" t="s">
        <v>363</v>
      </c>
      <c r="N67" t="s">
        <v>363</v>
      </c>
      <c r="O67" t="s">
        <v>363</v>
      </c>
      <c r="P67" t="s">
        <v>363</v>
      </c>
      <c r="Q67" t="s">
        <v>364</v>
      </c>
      <c r="R67" t="s">
        <v>365</v>
      </c>
      <c r="S67" t="s">
        <v>361</v>
      </c>
    </row>
    <row r="68" spans="1:19" x14ac:dyDescent="0.3">
      <c r="A68" t="s">
        <v>366</v>
      </c>
      <c r="B68" t="s">
        <v>367</v>
      </c>
      <c r="C68" t="s">
        <v>43</v>
      </c>
      <c r="D68" t="s">
        <v>63</v>
      </c>
      <c r="E68" t="s">
        <v>74</v>
      </c>
      <c r="F68" t="s">
        <v>45</v>
      </c>
      <c r="G68" t="s">
        <v>43</v>
      </c>
      <c r="H68" t="s">
        <v>26</v>
      </c>
      <c r="I68">
        <v>16.089852307257441</v>
      </c>
      <c r="J68">
        <v>13.441177628212699</v>
      </c>
      <c r="K68">
        <v>18.613437564769839</v>
      </c>
      <c r="L68">
        <v>16.521564166180429</v>
      </c>
      <c r="M68" t="s">
        <v>159</v>
      </c>
      <c r="N68" t="s">
        <v>160</v>
      </c>
      <c r="O68" t="s">
        <v>161</v>
      </c>
      <c r="P68" t="s">
        <v>124</v>
      </c>
      <c r="Q68" t="s">
        <v>368</v>
      </c>
      <c r="R68" t="s">
        <v>369</v>
      </c>
      <c r="S68" t="s">
        <v>367</v>
      </c>
    </row>
    <row r="69" spans="1:19" x14ac:dyDescent="0.3">
      <c r="A69" t="s">
        <v>370</v>
      </c>
      <c r="B69" t="s">
        <v>371</v>
      </c>
      <c r="C69" t="s">
        <v>21</v>
      </c>
      <c r="D69" t="s">
        <v>63</v>
      </c>
      <c r="E69" t="s">
        <v>74</v>
      </c>
      <c r="F69" t="s">
        <v>24</v>
      </c>
      <c r="G69" t="s">
        <v>21</v>
      </c>
      <c r="H69" t="s">
        <v>26</v>
      </c>
      <c r="I69">
        <v>9.4457399948177976</v>
      </c>
      <c r="J69">
        <v>7.9010582713425439</v>
      </c>
      <c r="K69">
        <v>22.76794591370053</v>
      </c>
      <c r="L69">
        <v>15.90349163373218</v>
      </c>
      <c r="M69" t="s">
        <v>63</v>
      </c>
      <c r="N69" t="s">
        <v>28</v>
      </c>
      <c r="O69" t="s">
        <v>86</v>
      </c>
      <c r="P69" t="s">
        <v>30</v>
      </c>
      <c r="Q69" t="s">
        <v>372</v>
      </c>
      <c r="R69" t="s">
        <v>373</v>
      </c>
      <c r="S69" t="s">
        <v>374</v>
      </c>
    </row>
    <row r="70" spans="1:19" x14ac:dyDescent="0.3">
      <c r="A70" t="s">
        <v>375</v>
      </c>
      <c r="B70" t="s">
        <v>181</v>
      </c>
      <c r="C70" t="s">
        <v>21</v>
      </c>
      <c r="D70" t="s">
        <v>63</v>
      </c>
      <c r="E70" t="s">
        <v>64</v>
      </c>
      <c r="F70" t="s">
        <v>24</v>
      </c>
      <c r="G70" t="s">
        <v>21</v>
      </c>
      <c r="H70" t="s">
        <v>26</v>
      </c>
      <c r="I70">
        <v>13.32024533012979</v>
      </c>
      <c r="J70">
        <v>11.139277561302009</v>
      </c>
      <c r="K70">
        <v>18.198022895775932</v>
      </c>
      <c r="L70">
        <v>15.14195919264648</v>
      </c>
      <c r="M70" t="s">
        <v>27</v>
      </c>
      <c r="N70" t="s">
        <v>28</v>
      </c>
      <c r="O70" t="s">
        <v>29</v>
      </c>
      <c r="P70" t="s">
        <v>30</v>
      </c>
      <c r="Q70" t="s">
        <v>376</v>
      </c>
      <c r="R70" t="s">
        <v>377</v>
      </c>
      <c r="S70" t="s">
        <v>181</v>
      </c>
    </row>
    <row r="71" spans="1:19" x14ac:dyDescent="0.3">
      <c r="A71" t="s">
        <v>378</v>
      </c>
      <c r="B71" t="s">
        <v>379</v>
      </c>
      <c r="C71" t="s">
        <v>314</v>
      </c>
      <c r="D71" t="s">
        <v>63</v>
      </c>
      <c r="E71" t="s">
        <v>74</v>
      </c>
      <c r="F71" t="s">
        <v>314</v>
      </c>
      <c r="G71" t="s">
        <v>380</v>
      </c>
      <c r="H71" t="s">
        <v>213</v>
      </c>
      <c r="I71">
        <v>21.194517073783562</v>
      </c>
      <c r="J71">
        <v>26.567481402763018</v>
      </c>
      <c r="K71">
        <v>5.6813339772178502</v>
      </c>
      <c r="L71">
        <v>14.875545946565421</v>
      </c>
      <c r="M71" t="s">
        <v>116</v>
      </c>
      <c r="N71" t="s">
        <v>116</v>
      </c>
      <c r="O71" t="s">
        <v>302</v>
      </c>
      <c r="P71" t="s">
        <v>116</v>
      </c>
      <c r="Q71" t="s">
        <v>381</v>
      </c>
      <c r="R71" t="s">
        <v>382</v>
      </c>
      <c r="S71" t="s">
        <v>379</v>
      </c>
    </row>
    <row r="72" spans="1:19" x14ac:dyDescent="0.3">
      <c r="A72" t="s">
        <v>383</v>
      </c>
      <c r="B72" t="s">
        <v>384</v>
      </c>
      <c r="C72" t="s">
        <v>114</v>
      </c>
      <c r="D72" t="s">
        <v>63</v>
      </c>
      <c r="E72" t="s">
        <v>74</v>
      </c>
      <c r="F72" t="s">
        <v>114</v>
      </c>
      <c r="G72" t="s">
        <v>115</v>
      </c>
      <c r="H72" t="s">
        <v>75</v>
      </c>
      <c r="I72">
        <v>8.7983328622241075</v>
      </c>
      <c r="J72">
        <v>14.762991826399549</v>
      </c>
      <c r="K72">
        <v>16.514829070754701</v>
      </c>
      <c r="L72">
        <v>14.84331395557054</v>
      </c>
      <c r="M72" t="s">
        <v>76</v>
      </c>
      <c r="N72" t="s">
        <v>76</v>
      </c>
      <c r="O72" t="s">
        <v>77</v>
      </c>
      <c r="P72" t="s">
        <v>76</v>
      </c>
      <c r="S72" t="s">
        <v>384</v>
      </c>
    </row>
    <row r="73" spans="1:19" x14ac:dyDescent="0.3">
      <c r="A73" t="s">
        <v>385</v>
      </c>
      <c r="B73" t="s">
        <v>386</v>
      </c>
      <c r="C73" t="s">
        <v>114</v>
      </c>
      <c r="D73" t="s">
        <v>63</v>
      </c>
      <c r="E73" t="s">
        <v>74</v>
      </c>
      <c r="F73" t="s">
        <v>114</v>
      </c>
      <c r="G73" t="s">
        <v>190</v>
      </c>
      <c r="H73" t="s">
        <v>75</v>
      </c>
      <c r="I73">
        <v>13.4413351235484</v>
      </c>
      <c r="J73">
        <v>16.839652539982421</v>
      </c>
      <c r="K73">
        <v>13.57141805043973</v>
      </c>
      <c r="L73">
        <v>14.651178919506529</v>
      </c>
      <c r="M73" t="s">
        <v>63</v>
      </c>
      <c r="N73" t="s">
        <v>28</v>
      </c>
      <c r="O73" t="s">
        <v>86</v>
      </c>
      <c r="P73" t="s">
        <v>30</v>
      </c>
      <c r="Q73" t="s">
        <v>318</v>
      </c>
      <c r="R73" t="s">
        <v>319</v>
      </c>
      <c r="S73" t="s">
        <v>386</v>
      </c>
    </row>
    <row r="74" spans="1:19" x14ac:dyDescent="0.3">
      <c r="A74" t="s">
        <v>387</v>
      </c>
      <c r="B74" t="s">
        <v>388</v>
      </c>
      <c r="C74" t="s">
        <v>21</v>
      </c>
      <c r="D74" t="s">
        <v>35</v>
      </c>
      <c r="E74" t="s">
        <v>389</v>
      </c>
      <c r="F74" t="s">
        <v>24</v>
      </c>
      <c r="G74" t="s">
        <v>21</v>
      </c>
      <c r="H74" t="s">
        <v>26</v>
      </c>
      <c r="I74">
        <v>12.346496910308661</v>
      </c>
      <c r="J74">
        <v>10.53371938179767</v>
      </c>
      <c r="K74">
        <v>17.31534480962797</v>
      </c>
      <c r="L74">
        <v>14.33960300655604</v>
      </c>
      <c r="M74" t="s">
        <v>57</v>
      </c>
      <c r="N74" t="s">
        <v>28</v>
      </c>
      <c r="O74" t="s">
        <v>58</v>
      </c>
      <c r="P74" t="s">
        <v>30</v>
      </c>
      <c r="Q74" t="s">
        <v>390</v>
      </c>
      <c r="R74" t="s">
        <v>391</v>
      </c>
      <c r="S74" t="s">
        <v>388</v>
      </c>
    </row>
    <row r="75" spans="1:19" x14ac:dyDescent="0.3">
      <c r="A75" t="s">
        <v>392</v>
      </c>
      <c r="B75" t="s">
        <v>393</v>
      </c>
      <c r="C75" t="s">
        <v>114</v>
      </c>
      <c r="D75" t="s">
        <v>63</v>
      </c>
      <c r="E75" t="s">
        <v>74</v>
      </c>
      <c r="F75" t="s">
        <v>114</v>
      </c>
      <c r="G75" t="s">
        <v>190</v>
      </c>
      <c r="H75" t="s">
        <v>75</v>
      </c>
      <c r="I75">
        <v>9.7037459072385932</v>
      </c>
      <c r="J75">
        <v>16.208008619671741</v>
      </c>
      <c r="K75">
        <v>13.324832374345201</v>
      </c>
      <c r="L75">
        <v>13.785288520397341</v>
      </c>
      <c r="S75" t="s">
        <v>393</v>
      </c>
    </row>
    <row r="76" spans="1:19" x14ac:dyDescent="0.3">
      <c r="A76" t="s">
        <v>394</v>
      </c>
      <c r="B76" t="s">
        <v>395</v>
      </c>
      <c r="C76" t="s">
        <v>114</v>
      </c>
      <c r="D76" t="s">
        <v>63</v>
      </c>
      <c r="E76" t="s">
        <v>74</v>
      </c>
      <c r="F76" t="s">
        <v>114</v>
      </c>
      <c r="G76" t="s">
        <v>190</v>
      </c>
      <c r="H76" t="s">
        <v>75</v>
      </c>
      <c r="I76">
        <v>9.7031324837663622</v>
      </c>
      <c r="J76">
        <v>16.178027954894318</v>
      </c>
      <c r="K76">
        <v>13.05605398740216</v>
      </c>
      <c r="L76">
        <v>13.63437324204792</v>
      </c>
      <c r="M76" t="s">
        <v>63</v>
      </c>
      <c r="N76" t="s">
        <v>28</v>
      </c>
      <c r="O76" t="s">
        <v>86</v>
      </c>
      <c r="P76" t="s">
        <v>30</v>
      </c>
      <c r="Q76" t="s">
        <v>396</v>
      </c>
      <c r="R76" t="s">
        <v>397</v>
      </c>
      <c r="S76" t="s">
        <v>395</v>
      </c>
    </row>
    <row r="77" spans="1:19" x14ac:dyDescent="0.3">
      <c r="A77" t="s">
        <v>398</v>
      </c>
      <c r="B77" t="s">
        <v>399</v>
      </c>
      <c r="C77" t="s">
        <v>43</v>
      </c>
      <c r="D77" t="s">
        <v>53</v>
      </c>
      <c r="E77" t="s">
        <v>400</v>
      </c>
      <c r="F77" t="s">
        <v>45</v>
      </c>
      <c r="G77" t="s">
        <v>43</v>
      </c>
      <c r="H77" t="s">
        <v>26</v>
      </c>
      <c r="I77">
        <v>8.2199972126037419</v>
      </c>
      <c r="J77">
        <v>7.0579097296020787</v>
      </c>
      <c r="K77">
        <v>19.261431843456101</v>
      </c>
      <c r="L77">
        <v>13.6118693893608</v>
      </c>
      <c r="M77" t="s">
        <v>57</v>
      </c>
      <c r="N77" t="s">
        <v>28</v>
      </c>
      <c r="O77" t="s">
        <v>58</v>
      </c>
      <c r="P77" t="s">
        <v>30</v>
      </c>
      <c r="Q77" t="s">
        <v>401</v>
      </c>
      <c r="R77" t="s">
        <v>402</v>
      </c>
      <c r="S77" t="s">
        <v>399</v>
      </c>
    </row>
    <row r="78" spans="1:19" x14ac:dyDescent="0.3">
      <c r="A78" t="s">
        <v>403</v>
      </c>
      <c r="B78" t="s">
        <v>404</v>
      </c>
      <c r="C78" t="s">
        <v>43</v>
      </c>
      <c r="D78" t="s">
        <v>63</v>
      </c>
      <c r="E78" t="s">
        <v>74</v>
      </c>
      <c r="F78" t="s">
        <v>45</v>
      </c>
      <c r="G78" t="s">
        <v>43</v>
      </c>
      <c r="H78" t="s">
        <v>26</v>
      </c>
      <c r="I78">
        <v>0</v>
      </c>
      <c r="J78">
        <v>4.4279135671271694</v>
      </c>
      <c r="K78">
        <v>22.730333378573579</v>
      </c>
      <c r="L78">
        <v>13.391290309961549</v>
      </c>
      <c r="M78" t="s">
        <v>405</v>
      </c>
      <c r="N78" t="s">
        <v>405</v>
      </c>
      <c r="O78" t="s">
        <v>406</v>
      </c>
      <c r="P78" t="s">
        <v>407</v>
      </c>
      <c r="Q78" t="s">
        <v>408</v>
      </c>
      <c r="R78" t="s">
        <v>409</v>
      </c>
      <c r="S78" t="s">
        <v>404</v>
      </c>
    </row>
    <row r="79" spans="1:19" x14ac:dyDescent="0.3">
      <c r="A79" t="s">
        <v>410</v>
      </c>
      <c r="B79" t="s">
        <v>411</v>
      </c>
      <c r="C79" t="s">
        <v>43</v>
      </c>
      <c r="D79" t="s">
        <v>35</v>
      </c>
      <c r="E79" t="s">
        <v>36</v>
      </c>
      <c r="F79" t="s">
        <v>45</v>
      </c>
      <c r="G79" t="s">
        <v>43</v>
      </c>
      <c r="H79" t="s">
        <v>26</v>
      </c>
      <c r="I79">
        <v>31.799872800508801</v>
      </c>
      <c r="J79">
        <v>26.567481402763018</v>
      </c>
      <c r="K79">
        <v>0</v>
      </c>
      <c r="L79">
        <v>13.38867318248762</v>
      </c>
      <c r="M79" t="s">
        <v>37</v>
      </c>
      <c r="N79" t="s">
        <v>28</v>
      </c>
      <c r="O79" t="s">
        <v>38</v>
      </c>
      <c r="P79" t="s">
        <v>30</v>
      </c>
      <c r="Q79" t="s">
        <v>412</v>
      </c>
      <c r="R79" t="s">
        <v>413</v>
      </c>
      <c r="S79" t="s">
        <v>411</v>
      </c>
    </row>
    <row r="80" spans="1:19" x14ac:dyDescent="0.3">
      <c r="A80" t="s">
        <v>414</v>
      </c>
      <c r="B80" t="s">
        <v>415</v>
      </c>
      <c r="C80" t="s">
        <v>21</v>
      </c>
      <c r="D80" t="s">
        <v>63</v>
      </c>
      <c r="E80" t="s">
        <v>416</v>
      </c>
      <c r="F80" t="s">
        <v>24</v>
      </c>
      <c r="G80" t="s">
        <v>21</v>
      </c>
      <c r="H80" t="s">
        <v>26</v>
      </c>
      <c r="I80">
        <v>31.799872800508801</v>
      </c>
      <c r="J80">
        <v>26.567481402763018</v>
      </c>
      <c r="K80">
        <v>0</v>
      </c>
      <c r="L80">
        <v>13.38867318248762</v>
      </c>
      <c r="M80" t="s">
        <v>27</v>
      </c>
      <c r="N80" t="s">
        <v>28</v>
      </c>
      <c r="O80" t="s">
        <v>29</v>
      </c>
      <c r="P80" t="s">
        <v>30</v>
      </c>
      <c r="Q80" t="s">
        <v>417</v>
      </c>
      <c r="R80" t="s">
        <v>418</v>
      </c>
      <c r="S80" t="s">
        <v>415</v>
      </c>
    </row>
    <row r="81" spans="1:19" x14ac:dyDescent="0.3">
      <c r="A81" t="s">
        <v>419</v>
      </c>
      <c r="B81" t="s">
        <v>420</v>
      </c>
      <c r="C81" t="s">
        <v>21</v>
      </c>
      <c r="D81" t="s">
        <v>63</v>
      </c>
      <c r="E81" t="s">
        <v>74</v>
      </c>
      <c r="F81" t="s">
        <v>24</v>
      </c>
      <c r="G81" t="s">
        <v>21</v>
      </c>
      <c r="H81" t="s">
        <v>26</v>
      </c>
      <c r="I81">
        <v>31.799872800508801</v>
      </c>
      <c r="J81">
        <v>26.567481402763018</v>
      </c>
      <c r="K81">
        <v>0</v>
      </c>
      <c r="L81">
        <v>13.38867318248762</v>
      </c>
      <c r="M81" t="s">
        <v>287</v>
      </c>
      <c r="N81" t="s">
        <v>287</v>
      </c>
      <c r="O81" t="s">
        <v>288</v>
      </c>
      <c r="P81" t="s">
        <v>30</v>
      </c>
      <c r="Q81" t="s">
        <v>421</v>
      </c>
      <c r="R81" t="s">
        <v>422</v>
      </c>
      <c r="S81" t="s">
        <v>420</v>
      </c>
    </row>
    <row r="82" spans="1:19" x14ac:dyDescent="0.3">
      <c r="A82" t="s">
        <v>423</v>
      </c>
      <c r="B82" t="s">
        <v>424</v>
      </c>
      <c r="C82" t="s">
        <v>21</v>
      </c>
      <c r="D82" t="s">
        <v>35</v>
      </c>
      <c r="E82" t="s">
        <v>36</v>
      </c>
      <c r="F82" t="s">
        <v>24</v>
      </c>
      <c r="G82" t="s">
        <v>21</v>
      </c>
      <c r="H82" t="s">
        <v>26</v>
      </c>
      <c r="I82">
        <v>31.799872800508801</v>
      </c>
      <c r="J82">
        <v>26.567481402763018</v>
      </c>
      <c r="K82">
        <v>0</v>
      </c>
      <c r="L82">
        <v>13.38867318248762</v>
      </c>
      <c r="M82" t="s">
        <v>37</v>
      </c>
      <c r="N82" t="s">
        <v>28</v>
      </c>
      <c r="O82" t="s">
        <v>38</v>
      </c>
      <c r="P82" t="s">
        <v>30</v>
      </c>
      <c r="Q82" t="s">
        <v>425</v>
      </c>
      <c r="R82" t="s">
        <v>426</v>
      </c>
      <c r="S82" t="s">
        <v>424</v>
      </c>
    </row>
    <row r="83" spans="1:19" x14ac:dyDescent="0.3">
      <c r="A83" t="s">
        <v>427</v>
      </c>
      <c r="B83" t="s">
        <v>428</v>
      </c>
      <c r="C83" t="s">
        <v>21</v>
      </c>
      <c r="D83" t="s">
        <v>63</v>
      </c>
      <c r="E83" t="s">
        <v>64</v>
      </c>
      <c r="F83" t="s">
        <v>24</v>
      </c>
      <c r="G83" t="s">
        <v>21</v>
      </c>
      <c r="H83" t="s">
        <v>26</v>
      </c>
      <c r="I83">
        <v>31.799872800508801</v>
      </c>
      <c r="J83">
        <v>26.567481402763018</v>
      </c>
      <c r="K83">
        <v>0</v>
      </c>
      <c r="L83">
        <v>13.38867318248762</v>
      </c>
      <c r="M83" t="s">
        <v>27</v>
      </c>
      <c r="N83" t="s">
        <v>28</v>
      </c>
      <c r="O83" t="s">
        <v>29</v>
      </c>
      <c r="P83" t="s">
        <v>30</v>
      </c>
      <c r="Q83" t="s">
        <v>429</v>
      </c>
      <c r="R83" t="s">
        <v>430</v>
      </c>
      <c r="S83" t="s">
        <v>428</v>
      </c>
    </row>
    <row r="84" spans="1:19" x14ac:dyDescent="0.3">
      <c r="A84" t="s">
        <v>431</v>
      </c>
      <c r="B84" t="s">
        <v>432</v>
      </c>
      <c r="C84" t="s">
        <v>21</v>
      </c>
      <c r="D84" t="s">
        <v>35</v>
      </c>
      <c r="E84" t="s">
        <v>278</v>
      </c>
      <c r="F84" t="s">
        <v>24</v>
      </c>
      <c r="G84" t="s">
        <v>21</v>
      </c>
      <c r="H84" t="s">
        <v>26</v>
      </c>
      <c r="I84">
        <v>31.799872800508801</v>
      </c>
      <c r="J84">
        <v>26.567481402763018</v>
      </c>
      <c r="K84">
        <v>0</v>
      </c>
      <c r="L84">
        <v>13.38867318248762</v>
      </c>
      <c r="M84" t="s">
        <v>27</v>
      </c>
      <c r="N84" t="s">
        <v>28</v>
      </c>
      <c r="O84" t="s">
        <v>29</v>
      </c>
      <c r="P84" t="s">
        <v>30</v>
      </c>
      <c r="Q84" t="s">
        <v>433</v>
      </c>
      <c r="R84" t="s">
        <v>434</v>
      </c>
      <c r="S84" t="s">
        <v>428</v>
      </c>
    </row>
    <row r="85" spans="1:19" x14ac:dyDescent="0.3">
      <c r="A85" t="s">
        <v>435</v>
      </c>
      <c r="B85" t="s">
        <v>436</v>
      </c>
      <c r="C85" t="s">
        <v>43</v>
      </c>
      <c r="D85" t="s">
        <v>35</v>
      </c>
      <c r="E85" t="s">
        <v>36</v>
      </c>
      <c r="F85" t="s">
        <v>45</v>
      </c>
      <c r="G85" t="s">
        <v>43</v>
      </c>
      <c r="H85" t="s">
        <v>26</v>
      </c>
      <c r="I85">
        <v>31.799872800508801</v>
      </c>
      <c r="J85">
        <v>26.567481402763018</v>
      </c>
      <c r="K85">
        <v>0</v>
      </c>
      <c r="L85">
        <v>13.38867318248762</v>
      </c>
      <c r="M85" t="s">
        <v>37</v>
      </c>
      <c r="N85" t="s">
        <v>28</v>
      </c>
      <c r="O85" t="s">
        <v>38</v>
      </c>
      <c r="P85" t="s">
        <v>30</v>
      </c>
      <c r="Q85" t="s">
        <v>437</v>
      </c>
      <c r="R85" t="s">
        <v>438</v>
      </c>
      <c r="S85" t="s">
        <v>436</v>
      </c>
    </row>
    <row r="86" spans="1:19" x14ac:dyDescent="0.3">
      <c r="A86" t="s">
        <v>439</v>
      </c>
      <c r="B86" t="s">
        <v>440</v>
      </c>
      <c r="C86" t="s">
        <v>43</v>
      </c>
      <c r="D86" t="s">
        <v>35</v>
      </c>
      <c r="E86" t="s">
        <v>36</v>
      </c>
      <c r="F86" t="s">
        <v>45</v>
      </c>
      <c r="G86" t="s">
        <v>43</v>
      </c>
      <c r="H86" t="s">
        <v>26</v>
      </c>
      <c r="I86">
        <v>31.799872800508801</v>
      </c>
      <c r="J86">
        <v>26.567481402763018</v>
      </c>
      <c r="K86">
        <v>0</v>
      </c>
      <c r="L86">
        <v>13.38867318248762</v>
      </c>
      <c r="M86" t="s">
        <v>37</v>
      </c>
      <c r="N86" t="s">
        <v>28</v>
      </c>
      <c r="O86" t="s">
        <v>38</v>
      </c>
      <c r="P86" t="s">
        <v>30</v>
      </c>
      <c r="Q86" t="s">
        <v>441</v>
      </c>
      <c r="R86" t="s">
        <v>442</v>
      </c>
      <c r="S86" t="s">
        <v>440</v>
      </c>
    </row>
    <row r="87" spans="1:19" x14ac:dyDescent="0.3">
      <c r="A87" t="s">
        <v>443</v>
      </c>
      <c r="B87" t="s">
        <v>444</v>
      </c>
      <c r="C87" t="s">
        <v>21</v>
      </c>
      <c r="D87" t="s">
        <v>63</v>
      </c>
      <c r="E87" t="s">
        <v>64</v>
      </c>
      <c r="F87" t="s">
        <v>24</v>
      </c>
      <c r="G87" t="s">
        <v>21</v>
      </c>
      <c r="H87" t="s">
        <v>26</v>
      </c>
      <c r="I87">
        <v>31.799872800508801</v>
      </c>
      <c r="J87">
        <v>26.567481402763018</v>
      </c>
      <c r="K87">
        <v>0</v>
      </c>
      <c r="L87">
        <v>13.38867318248762</v>
      </c>
      <c r="M87" t="s">
        <v>27</v>
      </c>
      <c r="N87" t="s">
        <v>28</v>
      </c>
      <c r="O87" t="s">
        <v>29</v>
      </c>
      <c r="P87" t="s">
        <v>30</v>
      </c>
      <c r="Q87" t="s">
        <v>445</v>
      </c>
      <c r="R87" t="s">
        <v>446</v>
      </c>
      <c r="S87" t="s">
        <v>444</v>
      </c>
    </row>
    <row r="88" spans="1:19" x14ac:dyDescent="0.3">
      <c r="A88" t="s">
        <v>447</v>
      </c>
      <c r="B88" t="s">
        <v>448</v>
      </c>
      <c r="C88" t="s">
        <v>21</v>
      </c>
      <c r="D88" t="s">
        <v>63</v>
      </c>
      <c r="E88" t="s">
        <v>64</v>
      </c>
      <c r="F88" t="s">
        <v>24</v>
      </c>
      <c r="G88" t="s">
        <v>21</v>
      </c>
      <c r="H88" t="s">
        <v>26</v>
      </c>
      <c r="I88">
        <v>31.799872800508801</v>
      </c>
      <c r="J88">
        <v>26.567481402763018</v>
      </c>
      <c r="K88">
        <v>0</v>
      </c>
      <c r="L88">
        <v>13.38867318248762</v>
      </c>
      <c r="M88" t="s">
        <v>27</v>
      </c>
      <c r="N88" t="s">
        <v>28</v>
      </c>
      <c r="O88" t="s">
        <v>29</v>
      </c>
      <c r="P88" t="s">
        <v>30</v>
      </c>
      <c r="Q88" t="s">
        <v>449</v>
      </c>
      <c r="R88" t="s">
        <v>450</v>
      </c>
      <c r="S88" t="s">
        <v>448</v>
      </c>
    </row>
    <row r="89" spans="1:19" x14ac:dyDescent="0.3">
      <c r="A89" t="s">
        <v>451</v>
      </c>
      <c r="B89" t="s">
        <v>452</v>
      </c>
      <c r="C89" t="s">
        <v>21</v>
      </c>
      <c r="D89" t="s">
        <v>35</v>
      </c>
      <c r="E89" t="s">
        <v>36</v>
      </c>
      <c r="F89" t="s">
        <v>24</v>
      </c>
      <c r="G89" t="s">
        <v>21</v>
      </c>
      <c r="H89" t="s">
        <v>26</v>
      </c>
      <c r="I89">
        <v>31.799872800508801</v>
      </c>
      <c r="J89">
        <v>26.567481402763018</v>
      </c>
      <c r="K89">
        <v>0</v>
      </c>
      <c r="L89">
        <v>13.38867318248762</v>
      </c>
      <c r="M89" t="s">
        <v>308</v>
      </c>
      <c r="N89" t="s">
        <v>160</v>
      </c>
      <c r="O89" t="s">
        <v>339</v>
      </c>
      <c r="P89" t="s">
        <v>124</v>
      </c>
      <c r="Q89" t="s">
        <v>453</v>
      </c>
      <c r="R89" t="s">
        <v>454</v>
      </c>
      <c r="S89" t="s">
        <v>452</v>
      </c>
    </row>
    <row r="90" spans="1:19" x14ac:dyDescent="0.3">
      <c r="A90" t="s">
        <v>455</v>
      </c>
      <c r="B90" t="s">
        <v>456</v>
      </c>
      <c r="C90" t="s">
        <v>21</v>
      </c>
      <c r="D90" t="s">
        <v>53</v>
      </c>
      <c r="E90" t="s">
        <v>80</v>
      </c>
      <c r="F90" t="s">
        <v>24</v>
      </c>
      <c r="G90" t="s">
        <v>25</v>
      </c>
      <c r="H90" t="s">
        <v>26</v>
      </c>
      <c r="I90">
        <v>31.799872800508801</v>
      </c>
      <c r="J90">
        <v>26.567481402763018</v>
      </c>
      <c r="K90">
        <v>0</v>
      </c>
      <c r="L90">
        <v>13.38867318248762</v>
      </c>
      <c r="M90" t="s">
        <v>57</v>
      </c>
      <c r="N90" t="s">
        <v>28</v>
      </c>
      <c r="O90" t="s">
        <v>58</v>
      </c>
      <c r="P90" t="s">
        <v>30</v>
      </c>
      <c r="Q90" t="s">
        <v>457</v>
      </c>
      <c r="R90" t="s">
        <v>458</v>
      </c>
      <c r="S90" t="s">
        <v>456</v>
      </c>
    </row>
    <row r="91" spans="1:19" x14ac:dyDescent="0.3">
      <c r="A91" t="s">
        <v>459</v>
      </c>
      <c r="B91" t="s">
        <v>460</v>
      </c>
      <c r="C91" t="s">
        <v>21</v>
      </c>
      <c r="D91" t="s">
        <v>63</v>
      </c>
      <c r="E91" t="s">
        <v>74</v>
      </c>
      <c r="F91" t="s">
        <v>24</v>
      </c>
      <c r="G91" t="s">
        <v>21</v>
      </c>
      <c r="H91" t="s">
        <v>26</v>
      </c>
      <c r="I91">
        <v>0</v>
      </c>
      <c r="J91">
        <v>4.4279135671271694</v>
      </c>
      <c r="K91">
        <v>22.725335908871401</v>
      </c>
      <c r="L91">
        <v>13.38867318248761</v>
      </c>
      <c r="M91" t="s">
        <v>63</v>
      </c>
      <c r="N91" t="s">
        <v>28</v>
      </c>
      <c r="O91" t="s">
        <v>86</v>
      </c>
      <c r="P91" t="s">
        <v>30</v>
      </c>
      <c r="Q91" t="s">
        <v>461</v>
      </c>
      <c r="R91" t="s">
        <v>462</v>
      </c>
      <c r="S91" t="s">
        <v>460</v>
      </c>
    </row>
    <row r="92" spans="1:19" x14ac:dyDescent="0.3">
      <c r="A92" t="s">
        <v>463</v>
      </c>
      <c r="B92" t="s">
        <v>464</v>
      </c>
      <c r="C92" t="s">
        <v>243</v>
      </c>
      <c r="D92" t="s">
        <v>63</v>
      </c>
      <c r="E92" t="s">
        <v>331</v>
      </c>
      <c r="F92" t="s">
        <v>243</v>
      </c>
      <c r="G92" t="s">
        <v>465</v>
      </c>
      <c r="H92" t="s">
        <v>213</v>
      </c>
      <c r="I92">
        <v>63.584287329517352</v>
      </c>
      <c r="J92">
        <v>13.283740701381509</v>
      </c>
      <c r="K92">
        <v>0</v>
      </c>
      <c r="L92">
        <v>13.38650372155527</v>
      </c>
      <c r="M92" t="s">
        <v>239</v>
      </c>
      <c r="N92" t="s">
        <v>239</v>
      </c>
      <c r="O92" t="s">
        <v>240</v>
      </c>
      <c r="P92" t="s">
        <v>239</v>
      </c>
      <c r="S92" t="s">
        <v>464</v>
      </c>
    </row>
    <row r="93" spans="1:19" x14ac:dyDescent="0.3">
      <c r="A93" t="s">
        <v>466</v>
      </c>
      <c r="B93" t="s">
        <v>467</v>
      </c>
      <c r="C93" t="s">
        <v>243</v>
      </c>
      <c r="D93" t="s">
        <v>63</v>
      </c>
      <c r="E93" t="s">
        <v>323</v>
      </c>
      <c r="F93" t="s">
        <v>243</v>
      </c>
      <c r="G93" t="s">
        <v>466</v>
      </c>
      <c r="H93" t="s">
        <v>213</v>
      </c>
      <c r="I93">
        <v>63.584287329517352</v>
      </c>
      <c r="J93">
        <v>13.283740701381509</v>
      </c>
      <c r="K93">
        <v>0</v>
      </c>
      <c r="L93">
        <v>13.38650372155527</v>
      </c>
      <c r="Q93" t="s">
        <v>468</v>
      </c>
      <c r="R93" t="s">
        <v>469</v>
      </c>
      <c r="S93" t="s">
        <v>467</v>
      </c>
    </row>
    <row r="94" spans="1:19" x14ac:dyDescent="0.3">
      <c r="A94" t="s">
        <v>470</v>
      </c>
      <c r="B94" t="s">
        <v>471</v>
      </c>
      <c r="C94" t="s">
        <v>43</v>
      </c>
      <c r="D94" t="s">
        <v>63</v>
      </c>
      <c r="E94" t="s">
        <v>64</v>
      </c>
      <c r="F94" t="s">
        <v>45</v>
      </c>
      <c r="G94" t="s">
        <v>43</v>
      </c>
      <c r="H94" t="s">
        <v>26</v>
      </c>
      <c r="I94">
        <v>8.4905169638580702</v>
      </c>
      <c r="J94">
        <v>7.065494581545769</v>
      </c>
      <c r="K94">
        <v>18.126907586790271</v>
      </c>
      <c r="L94">
        <v>13.0582436209584</v>
      </c>
      <c r="M94" t="s">
        <v>27</v>
      </c>
      <c r="N94" t="s">
        <v>28</v>
      </c>
      <c r="O94" t="s">
        <v>29</v>
      </c>
      <c r="P94" t="s">
        <v>30</v>
      </c>
      <c r="Q94" t="s">
        <v>472</v>
      </c>
      <c r="R94" t="s">
        <v>473</v>
      </c>
      <c r="S94" t="s">
        <v>474</v>
      </c>
    </row>
    <row r="95" spans="1:19" x14ac:dyDescent="0.3">
      <c r="A95" t="s">
        <v>475</v>
      </c>
      <c r="B95" t="s">
        <v>476</v>
      </c>
      <c r="C95" t="s">
        <v>43</v>
      </c>
      <c r="D95" t="s">
        <v>35</v>
      </c>
      <c r="E95" t="s">
        <v>36</v>
      </c>
      <c r="F95" t="s">
        <v>45</v>
      </c>
      <c r="G95" t="s">
        <v>43</v>
      </c>
      <c r="H95" t="s">
        <v>26</v>
      </c>
      <c r="I95">
        <v>11.01684019189849</v>
      </c>
      <c r="J95">
        <v>9.2475744873460091</v>
      </c>
      <c r="K95">
        <v>15.091043376984921</v>
      </c>
      <c r="L95">
        <v>12.55604785100776</v>
      </c>
      <c r="M95" t="s">
        <v>37</v>
      </c>
      <c r="N95" t="s">
        <v>28</v>
      </c>
      <c r="O95" t="s">
        <v>38</v>
      </c>
      <c r="P95" t="s">
        <v>30</v>
      </c>
      <c r="Q95" t="s">
        <v>477</v>
      </c>
      <c r="R95" t="s">
        <v>478</v>
      </c>
      <c r="S95" t="s">
        <v>476</v>
      </c>
    </row>
    <row r="96" spans="1:19" x14ac:dyDescent="0.3">
      <c r="A96" t="s">
        <v>479</v>
      </c>
      <c r="B96" t="s">
        <v>480</v>
      </c>
      <c r="C96" t="s">
        <v>43</v>
      </c>
      <c r="D96" t="s">
        <v>63</v>
      </c>
      <c r="E96" t="s">
        <v>74</v>
      </c>
      <c r="F96" t="s">
        <v>45</v>
      </c>
      <c r="G96" t="s">
        <v>43</v>
      </c>
      <c r="H96" t="s">
        <v>26</v>
      </c>
      <c r="I96">
        <v>5.1986412424720676</v>
      </c>
      <c r="J96">
        <v>4.6287071476364767</v>
      </c>
      <c r="K96">
        <v>19.174502173110241</v>
      </c>
      <c r="L96">
        <v>12.326188299842361</v>
      </c>
      <c r="M96" t="s">
        <v>63</v>
      </c>
      <c r="N96" t="s">
        <v>28</v>
      </c>
      <c r="O96" t="s">
        <v>86</v>
      </c>
      <c r="P96" t="s">
        <v>30</v>
      </c>
      <c r="Q96" t="s">
        <v>481</v>
      </c>
      <c r="R96" t="s">
        <v>482</v>
      </c>
      <c r="S96" t="s">
        <v>480</v>
      </c>
    </row>
    <row r="97" spans="1:19" x14ac:dyDescent="0.3">
      <c r="A97" t="s">
        <v>483</v>
      </c>
      <c r="B97" t="s">
        <v>484</v>
      </c>
      <c r="C97" t="s">
        <v>21</v>
      </c>
      <c r="D97" t="s">
        <v>189</v>
      </c>
      <c r="E97" t="s">
        <v>485</v>
      </c>
      <c r="F97" t="s">
        <v>24</v>
      </c>
      <c r="G97" t="s">
        <v>21</v>
      </c>
      <c r="H97" t="s">
        <v>26</v>
      </c>
      <c r="I97">
        <v>4.0936201995932766</v>
      </c>
      <c r="J97">
        <v>3.535565985751957</v>
      </c>
      <c r="K97">
        <v>19.703872302549971</v>
      </c>
      <c r="L97">
        <v>12.081073650374909</v>
      </c>
      <c r="M97" t="s">
        <v>121</v>
      </c>
      <c r="N97" t="s">
        <v>122</v>
      </c>
      <c r="O97" t="s">
        <v>123</v>
      </c>
      <c r="P97" t="s">
        <v>124</v>
      </c>
      <c r="Q97" t="s">
        <v>486</v>
      </c>
      <c r="R97" t="s">
        <v>487</v>
      </c>
      <c r="S97" t="s">
        <v>484</v>
      </c>
    </row>
    <row r="98" spans="1:19" x14ac:dyDescent="0.3">
      <c r="A98" t="s">
        <v>488</v>
      </c>
      <c r="B98" t="s">
        <v>489</v>
      </c>
      <c r="C98" t="s">
        <v>228</v>
      </c>
      <c r="D98" t="s">
        <v>63</v>
      </c>
      <c r="E98" t="s">
        <v>315</v>
      </c>
      <c r="F98" t="s">
        <v>228</v>
      </c>
      <c r="G98" t="s">
        <v>490</v>
      </c>
      <c r="H98" t="s">
        <v>213</v>
      </c>
      <c r="I98">
        <v>10.6271936023367</v>
      </c>
      <c r="J98">
        <v>31.00897595478936</v>
      </c>
      <c r="K98">
        <v>1.9726854087565059E-4</v>
      </c>
      <c r="L98">
        <v>11.909531275224291</v>
      </c>
      <c r="M98" t="s">
        <v>121</v>
      </c>
      <c r="N98" t="s">
        <v>122</v>
      </c>
      <c r="O98" t="s">
        <v>123</v>
      </c>
      <c r="P98" t="s">
        <v>124</v>
      </c>
      <c r="Q98" t="s">
        <v>491</v>
      </c>
      <c r="R98" t="s">
        <v>492</v>
      </c>
      <c r="S98" t="s">
        <v>489</v>
      </c>
    </row>
    <row r="99" spans="1:19" x14ac:dyDescent="0.3">
      <c r="A99" t="s">
        <v>493</v>
      </c>
      <c r="B99" t="s">
        <v>494</v>
      </c>
      <c r="C99" t="s">
        <v>24</v>
      </c>
      <c r="D99" t="s">
        <v>63</v>
      </c>
      <c r="E99" t="s">
        <v>315</v>
      </c>
      <c r="F99" t="s">
        <v>24</v>
      </c>
      <c r="G99" t="s">
        <v>495</v>
      </c>
      <c r="H99" t="s">
        <v>213</v>
      </c>
      <c r="I99">
        <v>21.194517073783562</v>
      </c>
      <c r="J99">
        <v>26.567481402763018</v>
      </c>
      <c r="K99">
        <v>0</v>
      </c>
      <c r="L99">
        <v>11.90028523934595</v>
      </c>
      <c r="M99" t="s">
        <v>116</v>
      </c>
      <c r="N99" t="s">
        <v>116</v>
      </c>
      <c r="O99" t="s">
        <v>302</v>
      </c>
      <c r="P99" t="s">
        <v>116</v>
      </c>
      <c r="Q99" t="s">
        <v>496</v>
      </c>
      <c r="R99" t="s">
        <v>497</v>
      </c>
      <c r="S99" t="s">
        <v>494</v>
      </c>
    </row>
    <row r="100" spans="1:19" x14ac:dyDescent="0.3">
      <c r="A100" t="s">
        <v>498</v>
      </c>
      <c r="B100" t="s">
        <v>499</v>
      </c>
      <c r="C100" t="s">
        <v>314</v>
      </c>
      <c r="D100" t="s">
        <v>63</v>
      </c>
      <c r="E100" t="s">
        <v>323</v>
      </c>
      <c r="F100" t="s">
        <v>314</v>
      </c>
      <c r="G100" t="s">
        <v>500</v>
      </c>
      <c r="H100" t="s">
        <v>213</v>
      </c>
      <c r="I100">
        <v>21.194517073783562</v>
      </c>
      <c r="J100">
        <v>26.567481402763018</v>
      </c>
      <c r="K100">
        <v>0</v>
      </c>
      <c r="L100">
        <v>11.90028523934595</v>
      </c>
      <c r="M100" t="s">
        <v>287</v>
      </c>
      <c r="N100" t="s">
        <v>287</v>
      </c>
      <c r="O100" t="s">
        <v>288</v>
      </c>
      <c r="P100" t="s">
        <v>30</v>
      </c>
      <c r="Q100" t="s">
        <v>501</v>
      </c>
      <c r="R100" t="s">
        <v>502</v>
      </c>
      <c r="S100" t="s">
        <v>499</v>
      </c>
    </row>
    <row r="101" spans="1:19" x14ac:dyDescent="0.3">
      <c r="A101" t="s">
        <v>503</v>
      </c>
      <c r="B101" t="s">
        <v>474</v>
      </c>
      <c r="C101" t="s">
        <v>43</v>
      </c>
      <c r="D101" t="s">
        <v>63</v>
      </c>
      <c r="E101" t="s">
        <v>64</v>
      </c>
      <c r="F101" t="s">
        <v>45</v>
      </c>
      <c r="G101" t="s">
        <v>43</v>
      </c>
      <c r="H101" t="s">
        <v>26</v>
      </c>
      <c r="I101">
        <v>20.815053313860819</v>
      </c>
      <c r="J101">
        <v>26.558512827829599</v>
      </c>
      <c r="K101">
        <v>0</v>
      </c>
      <c r="L101">
        <v>11.844016998656169</v>
      </c>
      <c r="M101" t="s">
        <v>27</v>
      </c>
      <c r="N101" t="s">
        <v>28</v>
      </c>
      <c r="O101" t="s">
        <v>29</v>
      </c>
      <c r="P101" t="s">
        <v>30</v>
      </c>
      <c r="Q101" t="s">
        <v>504</v>
      </c>
      <c r="R101" t="s">
        <v>505</v>
      </c>
      <c r="S101" t="s">
        <v>474</v>
      </c>
    </row>
    <row r="102" spans="1:19" x14ac:dyDescent="0.3">
      <c r="A102" t="s">
        <v>506</v>
      </c>
      <c r="B102" t="s">
        <v>507</v>
      </c>
      <c r="C102" t="s">
        <v>21</v>
      </c>
      <c r="D102" t="s">
        <v>35</v>
      </c>
      <c r="E102" t="s">
        <v>36</v>
      </c>
      <c r="F102" t="s">
        <v>24</v>
      </c>
      <c r="G102" t="s">
        <v>21</v>
      </c>
      <c r="H102" t="s">
        <v>26</v>
      </c>
      <c r="I102">
        <v>5.472596165170895</v>
      </c>
      <c r="J102">
        <v>4.5822755539811846</v>
      </c>
      <c r="K102">
        <v>18.109252052381901</v>
      </c>
      <c r="L102">
        <v>11.791175128803999</v>
      </c>
      <c r="M102" t="s">
        <v>37</v>
      </c>
      <c r="N102" t="s">
        <v>28</v>
      </c>
      <c r="O102" t="s">
        <v>38</v>
      </c>
      <c r="P102" t="s">
        <v>30</v>
      </c>
      <c r="Q102" t="s">
        <v>508</v>
      </c>
      <c r="R102" t="s">
        <v>509</v>
      </c>
      <c r="S102" t="s">
        <v>507</v>
      </c>
    </row>
    <row r="103" spans="1:19" x14ac:dyDescent="0.3">
      <c r="A103" t="s">
        <v>510</v>
      </c>
      <c r="B103" t="s">
        <v>511</v>
      </c>
      <c r="C103" t="s">
        <v>21</v>
      </c>
      <c r="D103" t="s">
        <v>63</v>
      </c>
      <c r="E103" t="s">
        <v>74</v>
      </c>
      <c r="F103" t="s">
        <v>24</v>
      </c>
      <c r="G103" t="s">
        <v>21</v>
      </c>
      <c r="H103" t="s">
        <v>26</v>
      </c>
      <c r="I103">
        <v>1.5587090429416059</v>
      </c>
      <c r="J103">
        <v>1.311769394261423</v>
      </c>
      <c r="K103">
        <v>20.150981450444561</v>
      </c>
      <c r="L103">
        <v>11.212342290520979</v>
      </c>
      <c r="M103" t="s">
        <v>63</v>
      </c>
      <c r="N103" t="s">
        <v>28</v>
      </c>
      <c r="O103" t="s">
        <v>86</v>
      </c>
      <c r="P103" t="s">
        <v>30</v>
      </c>
      <c r="Q103" t="s">
        <v>512</v>
      </c>
      <c r="R103" t="s">
        <v>513</v>
      </c>
      <c r="S103" t="s">
        <v>511</v>
      </c>
    </row>
    <row r="104" spans="1:19" x14ac:dyDescent="0.3">
      <c r="A104" t="s">
        <v>514</v>
      </c>
      <c r="B104" t="s">
        <v>515</v>
      </c>
      <c r="C104" t="s">
        <v>43</v>
      </c>
      <c r="D104" t="s">
        <v>63</v>
      </c>
      <c r="E104" t="s">
        <v>74</v>
      </c>
      <c r="F104" t="s">
        <v>45</v>
      </c>
      <c r="G104" t="s">
        <v>43</v>
      </c>
      <c r="H104" t="s">
        <v>26</v>
      </c>
      <c r="I104">
        <v>9.6162717200983057</v>
      </c>
      <c r="J104">
        <v>8.1860027092271164</v>
      </c>
      <c r="K104">
        <v>13.474230415968339</v>
      </c>
      <c r="L104">
        <v>11.15612570366293</v>
      </c>
      <c r="M104" t="s">
        <v>63</v>
      </c>
      <c r="N104" t="s">
        <v>28</v>
      </c>
      <c r="O104" t="s">
        <v>86</v>
      </c>
      <c r="P104" t="s">
        <v>30</v>
      </c>
      <c r="Q104" t="s">
        <v>516</v>
      </c>
      <c r="R104" t="s">
        <v>517</v>
      </c>
      <c r="S104" t="s">
        <v>515</v>
      </c>
    </row>
    <row r="105" spans="1:19" x14ac:dyDescent="0.3">
      <c r="A105" t="s">
        <v>518</v>
      </c>
      <c r="B105" t="s">
        <v>519</v>
      </c>
      <c r="C105" t="s">
        <v>21</v>
      </c>
      <c r="D105" t="s">
        <v>35</v>
      </c>
      <c r="E105" t="s">
        <v>80</v>
      </c>
      <c r="F105" t="s">
        <v>24</v>
      </c>
      <c r="G105" t="s">
        <v>21</v>
      </c>
      <c r="H105" t="s">
        <v>26</v>
      </c>
      <c r="I105">
        <v>8.197668598214495</v>
      </c>
      <c r="J105">
        <v>6.9821124591647976</v>
      </c>
      <c r="K105">
        <v>13.93659499769065</v>
      </c>
      <c r="L105">
        <v>10.79470384310018</v>
      </c>
      <c r="M105" t="s">
        <v>57</v>
      </c>
      <c r="N105" t="s">
        <v>28</v>
      </c>
      <c r="O105" t="s">
        <v>58</v>
      </c>
      <c r="P105" t="s">
        <v>30</v>
      </c>
      <c r="Q105" t="s">
        <v>520</v>
      </c>
      <c r="R105" t="s">
        <v>521</v>
      </c>
      <c r="S105" t="s">
        <v>519</v>
      </c>
    </row>
    <row r="106" spans="1:19" x14ac:dyDescent="0.3">
      <c r="A106" t="s">
        <v>522</v>
      </c>
      <c r="B106" t="s">
        <v>523</v>
      </c>
      <c r="C106" t="s">
        <v>314</v>
      </c>
      <c r="D106" t="s">
        <v>63</v>
      </c>
      <c r="E106" t="s">
        <v>524</v>
      </c>
      <c r="F106" t="s">
        <v>314</v>
      </c>
      <c r="G106" t="s">
        <v>525</v>
      </c>
      <c r="H106" t="s">
        <v>213</v>
      </c>
      <c r="I106">
        <v>13.73884550758093</v>
      </c>
      <c r="J106">
        <v>18.32265947183123</v>
      </c>
      <c r="K106">
        <v>5.0520122204606466</v>
      </c>
      <c r="L106">
        <v>10.729640978670821</v>
      </c>
      <c r="M106" t="s">
        <v>63</v>
      </c>
      <c r="N106" t="s">
        <v>28</v>
      </c>
      <c r="O106" t="s">
        <v>86</v>
      </c>
      <c r="P106" t="s">
        <v>30</v>
      </c>
      <c r="Q106" t="s">
        <v>526</v>
      </c>
      <c r="R106" t="s">
        <v>527</v>
      </c>
      <c r="S106" t="s">
        <v>523</v>
      </c>
    </row>
    <row r="107" spans="1:19" x14ac:dyDescent="0.3">
      <c r="A107" t="s">
        <v>528</v>
      </c>
      <c r="B107" t="s">
        <v>529</v>
      </c>
      <c r="C107" t="s">
        <v>24</v>
      </c>
      <c r="D107" t="s">
        <v>35</v>
      </c>
      <c r="E107" t="s">
        <v>54</v>
      </c>
      <c r="F107" t="s">
        <v>24</v>
      </c>
      <c r="G107" t="s">
        <v>528</v>
      </c>
      <c r="H107" t="s">
        <v>26</v>
      </c>
      <c r="I107">
        <v>25.116501385846309</v>
      </c>
      <c r="J107">
        <v>10.49430890109025</v>
      </c>
      <c r="K107">
        <v>6.7640094857235447</v>
      </c>
      <c r="L107">
        <v>10.59290954050404</v>
      </c>
      <c r="M107" t="s">
        <v>116</v>
      </c>
      <c r="N107" t="s">
        <v>116</v>
      </c>
      <c r="O107" t="s">
        <v>116</v>
      </c>
      <c r="P107" t="s">
        <v>116</v>
      </c>
      <c r="Q107" t="s">
        <v>530</v>
      </c>
      <c r="R107" t="s">
        <v>531</v>
      </c>
      <c r="S107" t="s">
        <v>529</v>
      </c>
    </row>
    <row r="108" spans="1:19" x14ac:dyDescent="0.3">
      <c r="A108" t="s">
        <v>532</v>
      </c>
      <c r="B108" t="s">
        <v>533</v>
      </c>
      <c r="C108" t="s">
        <v>21</v>
      </c>
      <c r="D108" t="s">
        <v>35</v>
      </c>
      <c r="E108" t="s">
        <v>36</v>
      </c>
      <c r="F108" t="s">
        <v>24</v>
      </c>
      <c r="G108" t="s">
        <v>21</v>
      </c>
      <c r="H108" t="s">
        <v>26</v>
      </c>
      <c r="I108">
        <v>8.6918425474446259</v>
      </c>
      <c r="J108">
        <v>7.4342311338082689</v>
      </c>
      <c r="K108">
        <v>12.84763977396708</v>
      </c>
      <c r="L108">
        <v>10.44567890215084</v>
      </c>
      <c r="M108" t="s">
        <v>37</v>
      </c>
      <c r="N108" t="s">
        <v>28</v>
      </c>
      <c r="O108" t="s">
        <v>38</v>
      </c>
      <c r="P108" t="s">
        <v>30</v>
      </c>
      <c r="Q108" t="s">
        <v>534</v>
      </c>
      <c r="R108" t="s">
        <v>535</v>
      </c>
      <c r="S108" t="s">
        <v>533</v>
      </c>
    </row>
    <row r="109" spans="1:19" x14ac:dyDescent="0.3">
      <c r="A109" t="s">
        <v>536</v>
      </c>
      <c r="B109" t="s">
        <v>537</v>
      </c>
      <c r="C109" t="s">
        <v>21</v>
      </c>
      <c r="D109" t="s">
        <v>63</v>
      </c>
      <c r="E109" t="s">
        <v>74</v>
      </c>
      <c r="F109" t="s">
        <v>24</v>
      </c>
      <c r="G109" t="s">
        <v>21</v>
      </c>
      <c r="H109" t="s">
        <v>26</v>
      </c>
      <c r="I109">
        <v>1.5587090429416059</v>
      </c>
      <c r="J109">
        <v>1.3126918762545741</v>
      </c>
      <c r="K109">
        <v>18.292711795396219</v>
      </c>
      <c r="L109">
        <v>10.239494023858279</v>
      </c>
      <c r="M109" t="s">
        <v>121</v>
      </c>
      <c r="N109" t="s">
        <v>122</v>
      </c>
      <c r="O109" t="s">
        <v>123</v>
      </c>
      <c r="P109" t="s">
        <v>124</v>
      </c>
      <c r="Q109" t="s">
        <v>538</v>
      </c>
      <c r="R109" t="s">
        <v>539</v>
      </c>
      <c r="S109" t="s">
        <v>537</v>
      </c>
    </row>
    <row r="110" spans="1:19" x14ac:dyDescent="0.3">
      <c r="A110" t="s">
        <v>540</v>
      </c>
      <c r="B110" t="s">
        <v>541</v>
      </c>
      <c r="C110" t="s">
        <v>73</v>
      </c>
      <c r="D110" t="s">
        <v>63</v>
      </c>
      <c r="E110" t="s">
        <v>74</v>
      </c>
      <c r="F110" t="s">
        <v>73</v>
      </c>
      <c r="G110" t="s">
        <v>542</v>
      </c>
      <c r="H110" t="s">
        <v>75</v>
      </c>
      <c r="I110">
        <v>16.148986329980609</v>
      </c>
      <c r="J110">
        <v>23.605442971753192</v>
      </c>
      <c r="K110">
        <v>0</v>
      </c>
      <c r="L110">
        <v>10.197034574182339</v>
      </c>
      <c r="M110" t="s">
        <v>63</v>
      </c>
      <c r="N110" t="s">
        <v>28</v>
      </c>
      <c r="O110" t="s">
        <v>86</v>
      </c>
      <c r="P110" t="s">
        <v>30</v>
      </c>
      <c r="Q110" t="s">
        <v>543</v>
      </c>
      <c r="R110" t="s">
        <v>544</v>
      </c>
      <c r="S110" t="s">
        <v>541</v>
      </c>
    </row>
    <row r="111" spans="1:19" x14ac:dyDescent="0.3">
      <c r="A111" t="s">
        <v>545</v>
      </c>
      <c r="B111" t="s">
        <v>546</v>
      </c>
      <c r="C111" t="s">
        <v>21</v>
      </c>
      <c r="D111" t="s">
        <v>63</v>
      </c>
      <c r="E111" t="s">
        <v>74</v>
      </c>
      <c r="F111" t="s">
        <v>24</v>
      </c>
      <c r="G111" t="s">
        <v>21</v>
      </c>
      <c r="H111" t="s">
        <v>26</v>
      </c>
      <c r="I111">
        <v>8.6674282932497899</v>
      </c>
      <c r="J111">
        <v>7.2836103239264771</v>
      </c>
      <c r="K111">
        <v>11.93122876732938</v>
      </c>
      <c r="L111">
        <v>9.9117332436347318</v>
      </c>
      <c r="M111" t="s">
        <v>63</v>
      </c>
      <c r="N111" t="s">
        <v>28</v>
      </c>
      <c r="O111" t="s">
        <v>86</v>
      </c>
      <c r="P111" t="s">
        <v>30</v>
      </c>
      <c r="Q111" t="s">
        <v>547</v>
      </c>
      <c r="R111" t="s">
        <v>548</v>
      </c>
      <c r="S111" t="s">
        <v>546</v>
      </c>
    </row>
    <row r="112" spans="1:19" x14ac:dyDescent="0.3">
      <c r="A112" t="s">
        <v>549</v>
      </c>
      <c r="B112" t="s">
        <v>550</v>
      </c>
      <c r="C112" t="s">
        <v>21</v>
      </c>
      <c r="D112" t="s">
        <v>63</v>
      </c>
      <c r="E112" t="s">
        <v>74</v>
      </c>
      <c r="F112" t="s">
        <v>24</v>
      </c>
      <c r="G112" t="s">
        <v>21</v>
      </c>
      <c r="H112" t="s">
        <v>26</v>
      </c>
      <c r="I112">
        <v>9.1616022424799191</v>
      </c>
      <c r="J112">
        <v>7.6472219762270237</v>
      </c>
      <c r="K112">
        <v>11.398965365956821</v>
      </c>
      <c r="L112">
        <v>9.8245071397992358</v>
      </c>
      <c r="M112" t="s">
        <v>63</v>
      </c>
      <c r="N112" t="s">
        <v>28</v>
      </c>
      <c r="O112" t="s">
        <v>86</v>
      </c>
      <c r="P112" t="s">
        <v>30</v>
      </c>
      <c r="Q112" t="s">
        <v>551</v>
      </c>
      <c r="R112" t="s">
        <v>552</v>
      </c>
      <c r="S112" t="s">
        <v>550</v>
      </c>
    </row>
    <row r="113" spans="1:19" x14ac:dyDescent="0.3">
      <c r="A113" t="s">
        <v>553</v>
      </c>
      <c r="B113" t="s">
        <v>554</v>
      </c>
      <c r="C113" t="s">
        <v>43</v>
      </c>
      <c r="D113" t="s">
        <v>63</v>
      </c>
      <c r="E113" t="s">
        <v>555</v>
      </c>
      <c r="F113" t="s">
        <v>45</v>
      </c>
      <c r="G113" t="s">
        <v>43</v>
      </c>
      <c r="H113" t="s">
        <v>26</v>
      </c>
      <c r="I113">
        <v>4.5116069535721852</v>
      </c>
      <c r="J113">
        <v>3.7735663399850439</v>
      </c>
      <c r="K113">
        <v>15.05139240026892</v>
      </c>
      <c r="L113">
        <v>9.7832357282529117</v>
      </c>
      <c r="M113" t="s">
        <v>63</v>
      </c>
      <c r="N113" t="s">
        <v>28</v>
      </c>
      <c r="O113" t="s">
        <v>86</v>
      </c>
      <c r="P113" t="s">
        <v>30</v>
      </c>
      <c r="Q113" t="s">
        <v>556</v>
      </c>
      <c r="R113" t="s">
        <v>557</v>
      </c>
      <c r="S113" t="s">
        <v>554</v>
      </c>
    </row>
    <row r="114" spans="1:19" x14ac:dyDescent="0.3">
      <c r="A114" t="s">
        <v>558</v>
      </c>
      <c r="B114" t="s">
        <v>559</v>
      </c>
      <c r="C114" t="s">
        <v>45</v>
      </c>
      <c r="D114" t="s">
        <v>35</v>
      </c>
      <c r="E114" t="s">
        <v>560</v>
      </c>
      <c r="F114" t="s">
        <v>45</v>
      </c>
      <c r="G114" t="s">
        <v>561</v>
      </c>
      <c r="H114" t="s">
        <v>26</v>
      </c>
      <c r="I114">
        <v>4.8037192110490814</v>
      </c>
      <c r="J114">
        <v>4.0587670228677144</v>
      </c>
      <c r="K114">
        <v>14.655474438731551</v>
      </c>
      <c r="L114">
        <v>9.7127110300077106</v>
      </c>
      <c r="M114" t="s">
        <v>63</v>
      </c>
      <c r="N114" t="s">
        <v>28</v>
      </c>
      <c r="O114" t="s">
        <v>86</v>
      </c>
      <c r="P114" t="s">
        <v>30</v>
      </c>
      <c r="Q114" t="s">
        <v>562</v>
      </c>
      <c r="R114" t="s">
        <v>563</v>
      </c>
      <c r="S114" t="s">
        <v>559</v>
      </c>
    </row>
    <row r="115" spans="1:19" x14ac:dyDescent="0.3">
      <c r="A115" t="s">
        <v>564</v>
      </c>
      <c r="B115" t="s">
        <v>565</v>
      </c>
      <c r="E115" t="s">
        <v>54</v>
      </c>
      <c r="F115" t="s">
        <v>109</v>
      </c>
      <c r="G115" t="s">
        <v>566</v>
      </c>
      <c r="H115" t="s">
        <v>26</v>
      </c>
      <c r="I115">
        <v>22.136858211826411</v>
      </c>
      <c r="J115">
        <v>19.461192617520108</v>
      </c>
      <c r="K115">
        <v>0</v>
      </c>
      <c r="L115">
        <v>9.6450617283950617</v>
      </c>
      <c r="M115" t="s">
        <v>57</v>
      </c>
      <c r="N115" t="s">
        <v>28</v>
      </c>
      <c r="O115" t="s">
        <v>58</v>
      </c>
      <c r="P115" t="s">
        <v>30</v>
      </c>
      <c r="Q115" t="s">
        <v>140</v>
      </c>
      <c r="R115" t="s">
        <v>141</v>
      </c>
      <c r="S115" t="s">
        <v>565</v>
      </c>
    </row>
    <row r="116" spans="1:19" x14ac:dyDescent="0.3">
      <c r="A116" t="s">
        <v>567</v>
      </c>
      <c r="B116" t="s">
        <v>568</v>
      </c>
      <c r="E116" t="s">
        <v>80</v>
      </c>
      <c r="F116" t="s">
        <v>109</v>
      </c>
      <c r="G116" t="s">
        <v>25</v>
      </c>
      <c r="H116" t="s">
        <v>26</v>
      </c>
      <c r="I116">
        <v>0</v>
      </c>
      <c r="J116">
        <v>0</v>
      </c>
      <c r="K116">
        <v>18.343015273319509</v>
      </c>
      <c r="L116">
        <v>9.6060630854445286</v>
      </c>
      <c r="M116" t="s">
        <v>121</v>
      </c>
      <c r="N116" t="s">
        <v>122</v>
      </c>
      <c r="O116" t="s">
        <v>123</v>
      </c>
      <c r="P116" t="s">
        <v>124</v>
      </c>
      <c r="Q116" t="s">
        <v>569</v>
      </c>
      <c r="R116" t="s">
        <v>570</v>
      </c>
      <c r="S116" t="s">
        <v>568</v>
      </c>
    </row>
    <row r="117" spans="1:19" x14ac:dyDescent="0.3">
      <c r="A117" t="s">
        <v>571</v>
      </c>
      <c r="B117" t="s">
        <v>572</v>
      </c>
      <c r="C117" t="s">
        <v>114</v>
      </c>
      <c r="D117" t="s">
        <v>189</v>
      </c>
      <c r="F117" t="s">
        <v>114</v>
      </c>
      <c r="G117" t="s">
        <v>190</v>
      </c>
      <c r="H117" t="s">
        <v>75</v>
      </c>
      <c r="I117">
        <v>13.42906665410375</v>
      </c>
      <c r="J117">
        <v>22.44772807034807</v>
      </c>
      <c r="K117">
        <v>0.12855333247061221</v>
      </c>
      <c r="L117">
        <v>9.493681565560145</v>
      </c>
      <c r="M117" t="s">
        <v>46</v>
      </c>
      <c r="N117" t="s">
        <v>28</v>
      </c>
      <c r="O117" t="s">
        <v>47</v>
      </c>
      <c r="P117" t="s">
        <v>30</v>
      </c>
      <c r="Q117" t="s">
        <v>551</v>
      </c>
      <c r="R117" t="s">
        <v>552</v>
      </c>
      <c r="S117" t="s">
        <v>572</v>
      </c>
    </row>
    <row r="118" spans="1:19" x14ac:dyDescent="0.3">
      <c r="A118" t="s">
        <v>573</v>
      </c>
      <c r="B118" t="s">
        <v>574</v>
      </c>
      <c r="C118" t="s">
        <v>243</v>
      </c>
      <c r="D118" t="s">
        <v>63</v>
      </c>
      <c r="E118" t="s">
        <v>575</v>
      </c>
      <c r="F118" t="s">
        <v>243</v>
      </c>
      <c r="G118" t="s">
        <v>573</v>
      </c>
      <c r="H118" t="s">
        <v>317</v>
      </c>
      <c r="I118">
        <v>22.451912507164781</v>
      </c>
      <c r="J118">
        <v>18.763283740701379</v>
      </c>
      <c r="K118">
        <v>0</v>
      </c>
      <c r="L118">
        <v>9.4548034482169641</v>
      </c>
      <c r="M118" t="s">
        <v>308</v>
      </c>
      <c r="N118" t="s">
        <v>160</v>
      </c>
      <c r="O118" t="s">
        <v>339</v>
      </c>
      <c r="P118" t="s">
        <v>124</v>
      </c>
      <c r="Q118" t="s">
        <v>576</v>
      </c>
      <c r="R118" t="s">
        <v>577</v>
      </c>
      <c r="S118" t="s">
        <v>574</v>
      </c>
    </row>
    <row r="119" spans="1:19" x14ac:dyDescent="0.3">
      <c r="A119" t="s">
        <v>578</v>
      </c>
      <c r="B119" t="s">
        <v>579</v>
      </c>
      <c r="C119" t="s">
        <v>243</v>
      </c>
      <c r="D119" t="s">
        <v>63</v>
      </c>
      <c r="E119" t="s">
        <v>74</v>
      </c>
      <c r="F119" t="s">
        <v>243</v>
      </c>
      <c r="G119" t="s">
        <v>573</v>
      </c>
      <c r="H119" t="s">
        <v>317</v>
      </c>
      <c r="I119">
        <v>22.45129908369255</v>
      </c>
      <c r="J119">
        <v>18.763283740701379</v>
      </c>
      <c r="K119">
        <v>0</v>
      </c>
      <c r="L119">
        <v>9.454717358497426</v>
      </c>
      <c r="Q119" t="s">
        <v>580</v>
      </c>
      <c r="R119" t="s">
        <v>581</v>
      </c>
      <c r="S119" t="s">
        <v>574</v>
      </c>
    </row>
    <row r="120" spans="1:19" x14ac:dyDescent="0.3">
      <c r="A120" t="s">
        <v>582</v>
      </c>
      <c r="B120" t="s">
        <v>583</v>
      </c>
      <c r="C120" t="s">
        <v>21</v>
      </c>
      <c r="D120" t="s">
        <v>189</v>
      </c>
      <c r="E120" t="s">
        <v>485</v>
      </c>
      <c r="F120" t="s">
        <v>24</v>
      </c>
      <c r="G120" t="s">
        <v>21</v>
      </c>
      <c r="H120" t="s">
        <v>26</v>
      </c>
      <c r="I120">
        <v>0.1549507690858126</v>
      </c>
      <c r="J120">
        <v>0.40010094002964958</v>
      </c>
      <c r="K120">
        <v>17.345526896381941</v>
      </c>
      <c r="L120">
        <v>9.239854636475485</v>
      </c>
      <c r="M120" t="s">
        <v>121</v>
      </c>
      <c r="N120" t="s">
        <v>122</v>
      </c>
      <c r="O120" t="s">
        <v>123</v>
      </c>
      <c r="P120" t="s">
        <v>124</v>
      </c>
      <c r="Q120" t="s">
        <v>584</v>
      </c>
      <c r="R120" t="s">
        <v>585</v>
      </c>
      <c r="S120" t="s">
        <v>583</v>
      </c>
    </row>
    <row r="121" spans="1:19" x14ac:dyDescent="0.3">
      <c r="A121" t="s">
        <v>586</v>
      </c>
      <c r="B121" t="s">
        <v>587</v>
      </c>
      <c r="C121" t="s">
        <v>43</v>
      </c>
      <c r="D121" t="s">
        <v>63</v>
      </c>
      <c r="E121" t="s">
        <v>74</v>
      </c>
      <c r="F121" t="s">
        <v>45</v>
      </c>
      <c r="G121" t="s">
        <v>43</v>
      </c>
      <c r="H121" t="s">
        <v>26</v>
      </c>
      <c r="I121">
        <v>6.5244947353543914</v>
      </c>
      <c r="J121">
        <v>5.5987994614345133</v>
      </c>
      <c r="K121">
        <v>11.895786186152071</v>
      </c>
      <c r="L121">
        <v>9.0263865679100519</v>
      </c>
      <c r="M121" t="s">
        <v>63</v>
      </c>
      <c r="N121" t="s">
        <v>28</v>
      </c>
      <c r="O121" t="s">
        <v>86</v>
      </c>
      <c r="P121" t="s">
        <v>30</v>
      </c>
      <c r="Q121" t="s">
        <v>588</v>
      </c>
      <c r="R121" t="s">
        <v>589</v>
      </c>
      <c r="S121" t="s">
        <v>587</v>
      </c>
    </row>
    <row r="122" spans="1:19" x14ac:dyDescent="0.3">
      <c r="A122" t="s">
        <v>590</v>
      </c>
      <c r="B122" t="s">
        <v>591</v>
      </c>
      <c r="C122" t="s">
        <v>21</v>
      </c>
      <c r="D122" t="s">
        <v>63</v>
      </c>
      <c r="E122" t="s">
        <v>74</v>
      </c>
      <c r="F122" t="s">
        <v>24</v>
      </c>
      <c r="G122" t="s">
        <v>21</v>
      </c>
      <c r="H122" t="s">
        <v>26</v>
      </c>
      <c r="I122">
        <v>5.8888653334275551E-2</v>
      </c>
      <c r="J122">
        <v>4.889154563702796E-2</v>
      </c>
      <c r="K122">
        <v>17.186265427715021</v>
      </c>
      <c r="L122">
        <v>9.0249746965096325</v>
      </c>
      <c r="M122" t="s">
        <v>121</v>
      </c>
      <c r="N122" t="s">
        <v>122</v>
      </c>
      <c r="O122" t="s">
        <v>123</v>
      </c>
      <c r="P122" t="s">
        <v>124</v>
      </c>
      <c r="Q122" t="s">
        <v>592</v>
      </c>
      <c r="R122" t="s">
        <v>593</v>
      </c>
      <c r="S122" t="s">
        <v>591</v>
      </c>
    </row>
    <row r="123" spans="1:19" x14ac:dyDescent="0.3">
      <c r="A123" t="s">
        <v>594</v>
      </c>
      <c r="B123" t="s">
        <v>595</v>
      </c>
      <c r="C123" t="s">
        <v>596</v>
      </c>
      <c r="D123" t="s">
        <v>63</v>
      </c>
      <c r="E123" t="s">
        <v>74</v>
      </c>
      <c r="F123" t="s">
        <v>73</v>
      </c>
      <c r="G123" t="s">
        <v>596</v>
      </c>
      <c r="H123" t="s">
        <v>75</v>
      </c>
      <c r="I123">
        <v>9.8104815914069672</v>
      </c>
      <c r="J123">
        <v>9.1600411959958539</v>
      </c>
      <c r="K123">
        <v>8.6653494388630588</v>
      </c>
      <c r="L123">
        <v>8.9922606030853451</v>
      </c>
      <c r="M123" t="s">
        <v>63</v>
      </c>
      <c r="N123" t="s">
        <v>28</v>
      </c>
      <c r="O123" t="s">
        <v>86</v>
      </c>
      <c r="P123" t="s">
        <v>30</v>
      </c>
      <c r="Q123" t="s">
        <v>597</v>
      </c>
      <c r="R123" t="s">
        <v>598</v>
      </c>
      <c r="S123" t="s">
        <v>595</v>
      </c>
    </row>
    <row r="124" spans="1:19" x14ac:dyDescent="0.3">
      <c r="A124" t="s">
        <v>599</v>
      </c>
      <c r="B124" t="s">
        <v>600</v>
      </c>
      <c r="C124" t="s">
        <v>21</v>
      </c>
      <c r="D124" t="s">
        <v>63</v>
      </c>
      <c r="E124" t="s">
        <v>74</v>
      </c>
      <c r="F124" t="s">
        <v>24</v>
      </c>
      <c r="G124" t="s">
        <v>21</v>
      </c>
      <c r="H124" t="s">
        <v>26</v>
      </c>
      <c r="I124">
        <v>0</v>
      </c>
      <c r="J124">
        <v>26.567481402763018</v>
      </c>
      <c r="K124">
        <v>2.6565496837917379E-2</v>
      </c>
      <c r="L124">
        <v>8.9396942203356868</v>
      </c>
      <c r="M124" t="s">
        <v>308</v>
      </c>
      <c r="N124" t="s">
        <v>160</v>
      </c>
      <c r="O124" t="s">
        <v>339</v>
      </c>
      <c r="P124" t="s">
        <v>124</v>
      </c>
      <c r="Q124" t="s">
        <v>601</v>
      </c>
      <c r="R124" t="s">
        <v>602</v>
      </c>
      <c r="S124" t="s">
        <v>600</v>
      </c>
    </row>
    <row r="125" spans="1:19" x14ac:dyDescent="0.3">
      <c r="A125" t="s">
        <v>603</v>
      </c>
      <c r="B125" t="s">
        <v>604</v>
      </c>
      <c r="C125" t="s">
        <v>228</v>
      </c>
      <c r="D125" t="s">
        <v>35</v>
      </c>
      <c r="E125" t="s">
        <v>389</v>
      </c>
      <c r="F125" t="s">
        <v>228</v>
      </c>
      <c r="G125" t="s">
        <v>605</v>
      </c>
      <c r="H125" t="s">
        <v>213</v>
      </c>
      <c r="I125">
        <v>31.802449179092179</v>
      </c>
      <c r="J125">
        <v>13.317565041130401</v>
      </c>
      <c r="K125">
        <v>0</v>
      </c>
      <c r="L125">
        <v>8.937507541459432</v>
      </c>
      <c r="M125" t="s">
        <v>116</v>
      </c>
      <c r="N125" t="s">
        <v>116</v>
      </c>
      <c r="O125" t="s">
        <v>116</v>
      </c>
      <c r="P125" t="s">
        <v>116</v>
      </c>
      <c r="Q125" t="s">
        <v>606</v>
      </c>
      <c r="R125" t="s">
        <v>607</v>
      </c>
      <c r="S125" t="s">
        <v>604</v>
      </c>
    </row>
    <row r="126" spans="1:19" x14ac:dyDescent="0.3">
      <c r="A126" t="s">
        <v>608</v>
      </c>
      <c r="B126" t="s">
        <v>609</v>
      </c>
      <c r="C126" t="s">
        <v>73</v>
      </c>
      <c r="D126" t="s">
        <v>63</v>
      </c>
      <c r="E126" t="s">
        <v>74</v>
      </c>
      <c r="F126" t="s">
        <v>73</v>
      </c>
      <c r="G126" t="s">
        <v>608</v>
      </c>
      <c r="H126" t="s">
        <v>213</v>
      </c>
      <c r="I126">
        <v>31.793247827008688</v>
      </c>
      <c r="J126">
        <v>13.283740701381509</v>
      </c>
      <c r="K126">
        <v>1.321699223866789E-2</v>
      </c>
      <c r="L126">
        <v>8.9317739661382287</v>
      </c>
      <c r="M126" t="s">
        <v>116</v>
      </c>
      <c r="N126" t="s">
        <v>116</v>
      </c>
      <c r="O126" t="s">
        <v>302</v>
      </c>
      <c r="P126" t="s">
        <v>116</v>
      </c>
      <c r="Q126" t="s">
        <v>610</v>
      </c>
      <c r="R126" t="s">
        <v>611</v>
      </c>
      <c r="S126" t="s">
        <v>609</v>
      </c>
    </row>
    <row r="127" spans="1:19" x14ac:dyDescent="0.3">
      <c r="A127" t="s">
        <v>612</v>
      </c>
      <c r="B127" t="s">
        <v>613</v>
      </c>
      <c r="C127" t="s">
        <v>21</v>
      </c>
      <c r="D127" t="s">
        <v>35</v>
      </c>
      <c r="E127" t="s">
        <v>36</v>
      </c>
      <c r="F127" t="s">
        <v>24</v>
      </c>
      <c r="G127" t="s">
        <v>21</v>
      </c>
      <c r="H127" t="s">
        <v>26</v>
      </c>
      <c r="I127">
        <v>0</v>
      </c>
      <c r="J127">
        <v>0</v>
      </c>
      <c r="K127">
        <v>17.04400193165355</v>
      </c>
      <c r="L127">
        <v>8.9257821216584095</v>
      </c>
      <c r="M127" t="s">
        <v>121</v>
      </c>
      <c r="N127" t="s">
        <v>122</v>
      </c>
      <c r="O127" t="s">
        <v>123</v>
      </c>
      <c r="P127" t="s">
        <v>124</v>
      </c>
      <c r="Q127" t="s">
        <v>614</v>
      </c>
      <c r="R127" t="s">
        <v>615</v>
      </c>
      <c r="S127" t="s">
        <v>613</v>
      </c>
    </row>
    <row r="128" spans="1:19" x14ac:dyDescent="0.3">
      <c r="A128" t="s">
        <v>616</v>
      </c>
      <c r="B128" t="s">
        <v>617</v>
      </c>
      <c r="C128" t="s">
        <v>21</v>
      </c>
      <c r="D128" t="s">
        <v>35</v>
      </c>
      <c r="E128" t="s">
        <v>36</v>
      </c>
      <c r="F128" t="s">
        <v>24</v>
      </c>
      <c r="G128" t="s">
        <v>21</v>
      </c>
      <c r="H128" t="s">
        <v>26</v>
      </c>
      <c r="I128">
        <v>0</v>
      </c>
      <c r="J128">
        <v>0</v>
      </c>
      <c r="K128">
        <v>17.04400193165355</v>
      </c>
      <c r="L128">
        <v>8.9257821216584095</v>
      </c>
      <c r="M128" t="s">
        <v>121</v>
      </c>
      <c r="N128" t="s">
        <v>122</v>
      </c>
      <c r="O128" t="s">
        <v>123</v>
      </c>
      <c r="P128" t="s">
        <v>124</v>
      </c>
      <c r="Q128" t="s">
        <v>618</v>
      </c>
      <c r="R128" t="s">
        <v>619</v>
      </c>
      <c r="S128" t="s">
        <v>617</v>
      </c>
    </row>
    <row r="129" spans="1:19" x14ac:dyDescent="0.3">
      <c r="A129" t="s">
        <v>620</v>
      </c>
      <c r="B129" t="s">
        <v>621</v>
      </c>
      <c r="C129" t="s">
        <v>21</v>
      </c>
      <c r="D129" t="s">
        <v>63</v>
      </c>
      <c r="E129" t="s">
        <v>64</v>
      </c>
      <c r="F129" t="s">
        <v>24</v>
      </c>
      <c r="G129" t="s">
        <v>21</v>
      </c>
      <c r="H129" t="s">
        <v>26</v>
      </c>
      <c r="I129">
        <v>0</v>
      </c>
      <c r="J129">
        <v>0</v>
      </c>
      <c r="K129">
        <v>17.04400193165355</v>
      </c>
      <c r="L129">
        <v>8.9257821216584095</v>
      </c>
      <c r="M129" t="s">
        <v>287</v>
      </c>
      <c r="N129" t="s">
        <v>287</v>
      </c>
      <c r="O129" t="s">
        <v>288</v>
      </c>
      <c r="P129" t="s">
        <v>30</v>
      </c>
      <c r="Q129" t="s">
        <v>622</v>
      </c>
      <c r="R129" t="s">
        <v>623</v>
      </c>
      <c r="S129" t="s">
        <v>621</v>
      </c>
    </row>
    <row r="130" spans="1:19" x14ac:dyDescent="0.3">
      <c r="A130" t="s">
        <v>624</v>
      </c>
      <c r="B130" t="s">
        <v>625</v>
      </c>
      <c r="C130" t="s">
        <v>21</v>
      </c>
      <c r="D130" t="s">
        <v>63</v>
      </c>
      <c r="E130" t="s">
        <v>74</v>
      </c>
      <c r="F130" t="s">
        <v>24</v>
      </c>
      <c r="G130" t="s">
        <v>21</v>
      </c>
      <c r="H130" t="s">
        <v>26</v>
      </c>
      <c r="I130">
        <v>0</v>
      </c>
      <c r="J130">
        <v>0</v>
      </c>
      <c r="K130">
        <v>17.04400193165355</v>
      </c>
      <c r="L130">
        <v>8.9257821216584095</v>
      </c>
      <c r="M130" t="s">
        <v>121</v>
      </c>
      <c r="N130" t="s">
        <v>122</v>
      </c>
      <c r="O130" t="s">
        <v>123</v>
      </c>
      <c r="P130" t="s">
        <v>124</v>
      </c>
      <c r="Q130" t="s">
        <v>626</v>
      </c>
      <c r="R130" t="s">
        <v>627</v>
      </c>
      <c r="S130" t="s">
        <v>625</v>
      </c>
    </row>
    <row r="131" spans="1:19" x14ac:dyDescent="0.3">
      <c r="A131" t="s">
        <v>628</v>
      </c>
      <c r="B131" t="s">
        <v>629</v>
      </c>
      <c r="C131" t="s">
        <v>21</v>
      </c>
      <c r="D131" t="s">
        <v>63</v>
      </c>
      <c r="E131" t="s">
        <v>74</v>
      </c>
      <c r="F131" t="s">
        <v>24</v>
      </c>
      <c r="G131" t="s">
        <v>21</v>
      </c>
      <c r="H131" t="s">
        <v>26</v>
      </c>
      <c r="I131">
        <v>0</v>
      </c>
      <c r="J131">
        <v>0</v>
      </c>
      <c r="K131">
        <v>17.04400193165355</v>
      </c>
      <c r="L131">
        <v>8.9257821216584095</v>
      </c>
      <c r="M131" t="s">
        <v>287</v>
      </c>
      <c r="N131" t="s">
        <v>287</v>
      </c>
      <c r="O131" t="s">
        <v>288</v>
      </c>
      <c r="P131" t="s">
        <v>30</v>
      </c>
      <c r="Q131" t="s">
        <v>622</v>
      </c>
      <c r="R131" t="s">
        <v>623</v>
      </c>
      <c r="S131" t="s">
        <v>629</v>
      </c>
    </row>
    <row r="132" spans="1:19" x14ac:dyDescent="0.3">
      <c r="A132" t="s">
        <v>630</v>
      </c>
      <c r="B132" t="s">
        <v>631</v>
      </c>
      <c r="C132" t="s">
        <v>24</v>
      </c>
      <c r="D132" t="s">
        <v>53</v>
      </c>
      <c r="E132" t="s">
        <v>80</v>
      </c>
      <c r="F132" t="s">
        <v>144</v>
      </c>
      <c r="G132" t="s">
        <v>632</v>
      </c>
      <c r="H132" t="s">
        <v>213</v>
      </c>
      <c r="I132">
        <v>0</v>
      </c>
      <c r="J132">
        <v>26.567481402763018</v>
      </c>
      <c r="K132">
        <v>0</v>
      </c>
      <c r="L132">
        <v>8.9257821216584095</v>
      </c>
      <c r="M132" t="s">
        <v>76</v>
      </c>
      <c r="N132" t="s">
        <v>76</v>
      </c>
      <c r="O132" t="s">
        <v>77</v>
      </c>
      <c r="P132" t="s">
        <v>76</v>
      </c>
      <c r="S132" t="s">
        <v>631</v>
      </c>
    </row>
    <row r="133" spans="1:19" x14ac:dyDescent="0.3">
      <c r="A133" t="s">
        <v>633</v>
      </c>
      <c r="B133" t="s">
        <v>634</v>
      </c>
      <c r="C133" t="s">
        <v>24</v>
      </c>
      <c r="D133" t="s">
        <v>63</v>
      </c>
      <c r="E133" t="s">
        <v>74</v>
      </c>
      <c r="F133" t="s">
        <v>24</v>
      </c>
      <c r="G133" t="s">
        <v>635</v>
      </c>
      <c r="H133" t="s">
        <v>26</v>
      </c>
      <c r="I133">
        <v>31.799872800508801</v>
      </c>
      <c r="J133">
        <v>13.283740701381509</v>
      </c>
      <c r="K133">
        <v>0</v>
      </c>
      <c r="L133">
        <v>8.9257821216584095</v>
      </c>
      <c r="M133" t="s">
        <v>63</v>
      </c>
      <c r="N133" t="s">
        <v>28</v>
      </c>
      <c r="O133" t="s">
        <v>86</v>
      </c>
      <c r="P133" t="s">
        <v>30</v>
      </c>
      <c r="Q133" t="s">
        <v>636</v>
      </c>
      <c r="R133" t="s">
        <v>637</v>
      </c>
      <c r="S133" t="s">
        <v>634</v>
      </c>
    </row>
    <row r="134" spans="1:19" x14ac:dyDescent="0.3">
      <c r="A134" t="s">
        <v>638</v>
      </c>
      <c r="B134" t="s">
        <v>639</v>
      </c>
      <c r="C134" t="s">
        <v>21</v>
      </c>
      <c r="D134" t="s">
        <v>63</v>
      </c>
      <c r="E134" t="s">
        <v>74</v>
      </c>
      <c r="F134" t="s">
        <v>24</v>
      </c>
      <c r="G134" t="s">
        <v>21</v>
      </c>
      <c r="H134" t="s">
        <v>26</v>
      </c>
      <c r="I134">
        <v>0</v>
      </c>
      <c r="J134">
        <v>0</v>
      </c>
      <c r="K134">
        <v>17.04400193165355</v>
      </c>
      <c r="L134">
        <v>8.9257821216584095</v>
      </c>
      <c r="M134" t="s">
        <v>287</v>
      </c>
      <c r="N134" t="s">
        <v>287</v>
      </c>
      <c r="O134" t="s">
        <v>288</v>
      </c>
      <c r="P134" t="s">
        <v>30</v>
      </c>
      <c r="Q134" t="s">
        <v>622</v>
      </c>
      <c r="R134" t="s">
        <v>623</v>
      </c>
      <c r="S134" t="s">
        <v>639</v>
      </c>
    </row>
    <row r="135" spans="1:19" x14ac:dyDescent="0.3">
      <c r="A135" t="s">
        <v>640</v>
      </c>
      <c r="B135" t="s">
        <v>641</v>
      </c>
      <c r="C135" t="s">
        <v>21</v>
      </c>
      <c r="D135" t="s">
        <v>63</v>
      </c>
      <c r="E135" t="s">
        <v>74</v>
      </c>
      <c r="F135" t="s">
        <v>24</v>
      </c>
      <c r="G135" t="s">
        <v>21</v>
      </c>
      <c r="H135" t="s">
        <v>26</v>
      </c>
      <c r="I135">
        <v>0</v>
      </c>
      <c r="J135">
        <v>0</v>
      </c>
      <c r="K135">
        <v>17.04400193165355</v>
      </c>
      <c r="L135">
        <v>8.9257821216584095</v>
      </c>
      <c r="M135" t="s">
        <v>121</v>
      </c>
      <c r="N135" t="s">
        <v>122</v>
      </c>
      <c r="O135" t="s">
        <v>123</v>
      </c>
      <c r="P135" t="s">
        <v>124</v>
      </c>
      <c r="Q135" t="s">
        <v>642</v>
      </c>
      <c r="R135" t="s">
        <v>643</v>
      </c>
      <c r="S135" t="s">
        <v>641</v>
      </c>
    </row>
    <row r="136" spans="1:19" x14ac:dyDescent="0.3">
      <c r="A136" t="s">
        <v>644</v>
      </c>
      <c r="B136" t="s">
        <v>645</v>
      </c>
      <c r="C136" t="s">
        <v>21</v>
      </c>
      <c r="D136" t="s">
        <v>35</v>
      </c>
      <c r="E136" t="s">
        <v>36</v>
      </c>
      <c r="F136" t="s">
        <v>24</v>
      </c>
      <c r="G136" t="s">
        <v>21</v>
      </c>
      <c r="H136" t="s">
        <v>26</v>
      </c>
      <c r="I136">
        <v>0</v>
      </c>
      <c r="J136">
        <v>0</v>
      </c>
      <c r="K136">
        <v>17.04400193165355</v>
      </c>
      <c r="L136">
        <v>8.9257821216584095</v>
      </c>
      <c r="M136" t="s">
        <v>121</v>
      </c>
      <c r="N136" t="s">
        <v>122</v>
      </c>
      <c r="O136" t="s">
        <v>123</v>
      </c>
      <c r="P136" t="s">
        <v>124</v>
      </c>
      <c r="Q136" t="s">
        <v>646</v>
      </c>
      <c r="R136" t="s">
        <v>647</v>
      </c>
      <c r="S136" t="s">
        <v>645</v>
      </c>
    </row>
    <row r="137" spans="1:19" x14ac:dyDescent="0.3">
      <c r="A137" t="s">
        <v>648</v>
      </c>
      <c r="B137" t="s">
        <v>649</v>
      </c>
      <c r="C137" t="s">
        <v>24</v>
      </c>
      <c r="D137" t="s">
        <v>35</v>
      </c>
      <c r="E137" t="s">
        <v>389</v>
      </c>
      <c r="F137" t="s">
        <v>24</v>
      </c>
      <c r="G137" t="s">
        <v>650</v>
      </c>
      <c r="H137" t="s">
        <v>26</v>
      </c>
      <c r="I137">
        <v>31.799872800508801</v>
      </c>
      <c r="J137">
        <v>13.283740701381509</v>
      </c>
      <c r="K137">
        <v>0</v>
      </c>
      <c r="L137">
        <v>8.9257821216584095</v>
      </c>
      <c r="M137" t="s">
        <v>239</v>
      </c>
      <c r="N137" t="s">
        <v>239</v>
      </c>
      <c r="O137" t="s">
        <v>240</v>
      </c>
      <c r="P137" t="s">
        <v>239</v>
      </c>
      <c r="Q137" t="s">
        <v>651</v>
      </c>
      <c r="R137" t="s">
        <v>652</v>
      </c>
      <c r="S137" t="s">
        <v>649</v>
      </c>
    </row>
    <row r="138" spans="1:19" x14ac:dyDescent="0.3">
      <c r="A138" t="s">
        <v>653</v>
      </c>
      <c r="B138" t="s">
        <v>654</v>
      </c>
      <c r="C138" t="s">
        <v>21</v>
      </c>
      <c r="D138" t="s">
        <v>63</v>
      </c>
      <c r="E138" t="s">
        <v>74</v>
      </c>
      <c r="F138" t="s">
        <v>24</v>
      </c>
      <c r="G138" t="s">
        <v>21</v>
      </c>
      <c r="H138" t="s">
        <v>26</v>
      </c>
      <c r="I138">
        <v>0</v>
      </c>
      <c r="J138">
        <v>0</v>
      </c>
      <c r="K138">
        <v>17.04400193165355</v>
      </c>
      <c r="L138">
        <v>8.9257821216584095</v>
      </c>
      <c r="M138" t="s">
        <v>121</v>
      </c>
      <c r="N138" t="s">
        <v>122</v>
      </c>
      <c r="O138" t="s">
        <v>123</v>
      </c>
      <c r="P138" t="s">
        <v>124</v>
      </c>
      <c r="Q138" t="s">
        <v>655</v>
      </c>
      <c r="R138" t="s">
        <v>656</v>
      </c>
      <c r="S138" t="s">
        <v>654</v>
      </c>
    </row>
    <row r="139" spans="1:19" x14ac:dyDescent="0.3">
      <c r="A139" t="s">
        <v>657</v>
      </c>
      <c r="B139" t="s">
        <v>658</v>
      </c>
      <c r="C139" t="s">
        <v>21</v>
      </c>
      <c r="D139" t="s">
        <v>35</v>
      </c>
      <c r="E139" t="s">
        <v>36</v>
      </c>
      <c r="F139" t="s">
        <v>24</v>
      </c>
      <c r="G139" t="s">
        <v>21</v>
      </c>
      <c r="H139" t="s">
        <v>26</v>
      </c>
      <c r="I139">
        <v>0</v>
      </c>
      <c r="J139">
        <v>0</v>
      </c>
      <c r="K139">
        <v>17.04400193165355</v>
      </c>
      <c r="L139">
        <v>8.9257821216584095</v>
      </c>
      <c r="M139" t="s">
        <v>287</v>
      </c>
      <c r="N139" t="s">
        <v>287</v>
      </c>
      <c r="O139" t="s">
        <v>288</v>
      </c>
      <c r="P139" t="s">
        <v>30</v>
      </c>
      <c r="Q139" t="s">
        <v>622</v>
      </c>
      <c r="R139" t="s">
        <v>623</v>
      </c>
      <c r="S139" t="s">
        <v>658</v>
      </c>
    </row>
    <row r="140" spans="1:19" x14ac:dyDescent="0.3">
      <c r="A140" t="s">
        <v>659</v>
      </c>
      <c r="B140" t="s">
        <v>660</v>
      </c>
      <c r="C140" t="s">
        <v>21</v>
      </c>
      <c r="D140" t="s">
        <v>35</v>
      </c>
      <c r="E140" t="s">
        <v>150</v>
      </c>
      <c r="F140" t="s">
        <v>24</v>
      </c>
      <c r="G140" t="s">
        <v>21</v>
      </c>
      <c r="H140" t="s">
        <v>26</v>
      </c>
      <c r="I140">
        <v>0</v>
      </c>
      <c r="J140">
        <v>0</v>
      </c>
      <c r="K140">
        <v>17.04400193165355</v>
      </c>
      <c r="L140">
        <v>8.9257821216584095</v>
      </c>
      <c r="M140" t="s">
        <v>121</v>
      </c>
      <c r="N140" t="s">
        <v>122</v>
      </c>
      <c r="O140" t="s">
        <v>123</v>
      </c>
      <c r="P140" t="s">
        <v>124</v>
      </c>
      <c r="Q140" t="s">
        <v>661</v>
      </c>
      <c r="R140" t="s">
        <v>662</v>
      </c>
      <c r="S140" t="s">
        <v>660</v>
      </c>
    </row>
    <row r="141" spans="1:19" x14ac:dyDescent="0.3">
      <c r="A141" t="s">
        <v>663</v>
      </c>
      <c r="B141" t="s">
        <v>664</v>
      </c>
      <c r="C141" t="s">
        <v>21</v>
      </c>
      <c r="D141" t="s">
        <v>63</v>
      </c>
      <c r="E141" t="s">
        <v>64</v>
      </c>
      <c r="F141" t="s">
        <v>24</v>
      </c>
      <c r="G141" t="s">
        <v>21</v>
      </c>
      <c r="H141" t="s">
        <v>26</v>
      </c>
      <c r="I141">
        <v>0</v>
      </c>
      <c r="J141">
        <v>0</v>
      </c>
      <c r="K141">
        <v>17.04400193165355</v>
      </c>
      <c r="L141">
        <v>8.9257821216584095</v>
      </c>
      <c r="M141" t="s">
        <v>121</v>
      </c>
      <c r="N141" t="s">
        <v>122</v>
      </c>
      <c r="O141" t="s">
        <v>123</v>
      </c>
      <c r="P141" t="s">
        <v>124</v>
      </c>
      <c r="Q141" t="s">
        <v>642</v>
      </c>
      <c r="R141" t="s">
        <v>643</v>
      </c>
      <c r="S141" t="s">
        <v>664</v>
      </c>
    </row>
    <row r="142" spans="1:19" x14ac:dyDescent="0.3">
      <c r="A142" t="s">
        <v>665</v>
      </c>
      <c r="B142" t="s">
        <v>666</v>
      </c>
      <c r="C142" t="s">
        <v>251</v>
      </c>
      <c r="D142" t="s">
        <v>63</v>
      </c>
      <c r="E142" t="s">
        <v>575</v>
      </c>
      <c r="F142" t="s">
        <v>251</v>
      </c>
      <c r="G142" t="s">
        <v>665</v>
      </c>
      <c r="H142" t="s">
        <v>317</v>
      </c>
      <c r="I142">
        <v>21.198688353394729</v>
      </c>
      <c r="J142">
        <v>8.8558271342543389</v>
      </c>
      <c r="K142">
        <v>5.6813339772178502</v>
      </c>
      <c r="L142">
        <v>8.9256099422193333</v>
      </c>
      <c r="S142" t="s">
        <v>666</v>
      </c>
    </row>
    <row r="143" spans="1:19" x14ac:dyDescent="0.3">
      <c r="A143" t="s">
        <v>667</v>
      </c>
      <c r="B143" t="s">
        <v>668</v>
      </c>
      <c r="C143" t="s">
        <v>45</v>
      </c>
      <c r="D143" t="s">
        <v>63</v>
      </c>
      <c r="E143" t="s">
        <v>323</v>
      </c>
      <c r="F143" t="s">
        <v>45</v>
      </c>
      <c r="G143" t="s">
        <v>667</v>
      </c>
      <c r="H143" t="s">
        <v>213</v>
      </c>
      <c r="I143">
        <v>31.79545615150872</v>
      </c>
      <c r="J143">
        <v>13.283740701381509</v>
      </c>
      <c r="K143">
        <v>0</v>
      </c>
      <c r="L143">
        <v>8.9251622756777387</v>
      </c>
      <c r="M143" t="s">
        <v>363</v>
      </c>
      <c r="N143" t="s">
        <v>363</v>
      </c>
      <c r="O143" t="s">
        <v>363</v>
      </c>
      <c r="P143" t="s">
        <v>363</v>
      </c>
      <c r="Q143" t="s">
        <v>669</v>
      </c>
      <c r="R143" t="s">
        <v>670</v>
      </c>
      <c r="S143" t="s">
        <v>668</v>
      </c>
    </row>
    <row r="144" spans="1:19" x14ac:dyDescent="0.3">
      <c r="A144" t="s">
        <v>671</v>
      </c>
      <c r="B144" t="s">
        <v>672</v>
      </c>
      <c r="C144" t="s">
        <v>45</v>
      </c>
      <c r="D144" t="s">
        <v>63</v>
      </c>
      <c r="E144" t="s">
        <v>323</v>
      </c>
      <c r="F144" t="s">
        <v>45</v>
      </c>
      <c r="G144" t="s">
        <v>673</v>
      </c>
      <c r="H144" t="s">
        <v>213</v>
      </c>
      <c r="I144">
        <v>31.79545615150872</v>
      </c>
      <c r="J144">
        <v>13.283740701381509</v>
      </c>
      <c r="K144">
        <v>0</v>
      </c>
      <c r="L144">
        <v>8.9251622756777387</v>
      </c>
      <c r="M144" t="s">
        <v>76</v>
      </c>
      <c r="N144" t="s">
        <v>76</v>
      </c>
      <c r="O144" t="s">
        <v>77</v>
      </c>
      <c r="P144" t="s">
        <v>76</v>
      </c>
      <c r="Q144" t="s">
        <v>674</v>
      </c>
      <c r="R144" t="s">
        <v>675</v>
      </c>
      <c r="S144" t="s">
        <v>676</v>
      </c>
    </row>
    <row r="145" spans="1:19" x14ac:dyDescent="0.3">
      <c r="A145" t="s">
        <v>677</v>
      </c>
      <c r="B145" t="s">
        <v>678</v>
      </c>
      <c r="C145" t="s">
        <v>251</v>
      </c>
      <c r="D145" t="s">
        <v>63</v>
      </c>
      <c r="E145" t="s">
        <v>315</v>
      </c>
      <c r="F145" t="s">
        <v>251</v>
      </c>
      <c r="G145" t="s">
        <v>679</v>
      </c>
      <c r="H145" t="s">
        <v>213</v>
      </c>
      <c r="I145">
        <v>31.795088097425388</v>
      </c>
      <c r="J145">
        <v>13.283740701381509</v>
      </c>
      <c r="K145">
        <v>0</v>
      </c>
      <c r="L145">
        <v>8.9251106218460148</v>
      </c>
      <c r="S145" t="s">
        <v>678</v>
      </c>
    </row>
    <row r="146" spans="1:19" x14ac:dyDescent="0.3">
      <c r="A146" t="s">
        <v>680</v>
      </c>
      <c r="B146" t="s">
        <v>681</v>
      </c>
      <c r="C146" t="s">
        <v>114</v>
      </c>
      <c r="D146" t="s">
        <v>63</v>
      </c>
      <c r="E146" t="s">
        <v>74</v>
      </c>
      <c r="F146" t="s">
        <v>114</v>
      </c>
      <c r="G146" t="s">
        <v>682</v>
      </c>
      <c r="H146" t="s">
        <v>213</v>
      </c>
      <c r="I146">
        <v>31.792143664758679</v>
      </c>
      <c r="J146">
        <v>13.283740701381509</v>
      </c>
      <c r="K146">
        <v>0</v>
      </c>
      <c r="L146">
        <v>8.924697391192236</v>
      </c>
      <c r="Q146" t="s">
        <v>683</v>
      </c>
      <c r="R146" t="s">
        <v>684</v>
      </c>
      <c r="S146" t="s">
        <v>681</v>
      </c>
    </row>
    <row r="147" spans="1:19" x14ac:dyDescent="0.3">
      <c r="A147" t="s">
        <v>685</v>
      </c>
      <c r="B147" t="s">
        <v>686</v>
      </c>
      <c r="C147" t="s">
        <v>243</v>
      </c>
      <c r="D147" t="s">
        <v>63</v>
      </c>
      <c r="E147" t="s">
        <v>575</v>
      </c>
      <c r="F147" t="s">
        <v>243</v>
      </c>
      <c r="G147" t="s">
        <v>687</v>
      </c>
      <c r="H147" t="s">
        <v>213</v>
      </c>
      <c r="I147">
        <v>31.792143664758679</v>
      </c>
      <c r="J147">
        <v>13.283740701381509</v>
      </c>
      <c r="K147">
        <v>0</v>
      </c>
      <c r="L147">
        <v>8.924697391192236</v>
      </c>
      <c r="Q147" t="s">
        <v>688</v>
      </c>
      <c r="R147" t="s">
        <v>689</v>
      </c>
      <c r="S147" t="s">
        <v>686</v>
      </c>
    </row>
    <row r="148" spans="1:19" x14ac:dyDescent="0.3">
      <c r="A148" t="s">
        <v>690</v>
      </c>
      <c r="B148" t="s">
        <v>691</v>
      </c>
      <c r="C148" t="s">
        <v>114</v>
      </c>
      <c r="D148" t="s">
        <v>63</v>
      </c>
      <c r="E148" t="s">
        <v>315</v>
      </c>
      <c r="F148" t="s">
        <v>114</v>
      </c>
      <c r="G148" t="s">
        <v>690</v>
      </c>
      <c r="H148" t="s">
        <v>213</v>
      </c>
      <c r="I148">
        <v>31.792143664758679</v>
      </c>
      <c r="J148">
        <v>13.283740701381509</v>
      </c>
      <c r="K148">
        <v>0</v>
      </c>
      <c r="L148">
        <v>8.924697391192236</v>
      </c>
      <c r="M148" t="s">
        <v>239</v>
      </c>
      <c r="N148" t="s">
        <v>239</v>
      </c>
      <c r="O148" t="s">
        <v>240</v>
      </c>
      <c r="P148" t="s">
        <v>239</v>
      </c>
      <c r="S148" t="s">
        <v>691</v>
      </c>
    </row>
    <row r="149" spans="1:19" x14ac:dyDescent="0.3">
      <c r="A149" t="s">
        <v>692</v>
      </c>
      <c r="B149" t="s">
        <v>693</v>
      </c>
      <c r="C149" t="s">
        <v>243</v>
      </c>
      <c r="D149" t="s">
        <v>63</v>
      </c>
      <c r="E149" t="s">
        <v>323</v>
      </c>
      <c r="F149" t="s">
        <v>243</v>
      </c>
      <c r="G149" t="s">
        <v>694</v>
      </c>
      <c r="H149" t="s">
        <v>213</v>
      </c>
      <c r="I149">
        <v>31.792143664758679</v>
      </c>
      <c r="J149">
        <v>13.283740701381509</v>
      </c>
      <c r="K149">
        <v>0</v>
      </c>
      <c r="L149">
        <v>8.924697391192236</v>
      </c>
      <c r="Q149" t="s">
        <v>695</v>
      </c>
      <c r="R149" t="s">
        <v>696</v>
      </c>
      <c r="S149" t="s">
        <v>693</v>
      </c>
    </row>
    <row r="150" spans="1:19" x14ac:dyDescent="0.3">
      <c r="A150" t="s">
        <v>697</v>
      </c>
      <c r="B150" t="s">
        <v>698</v>
      </c>
      <c r="C150" t="s">
        <v>314</v>
      </c>
      <c r="D150" t="s">
        <v>35</v>
      </c>
      <c r="E150" t="s">
        <v>389</v>
      </c>
      <c r="F150" t="s">
        <v>314</v>
      </c>
      <c r="G150" t="s">
        <v>697</v>
      </c>
      <c r="H150" t="s">
        <v>213</v>
      </c>
      <c r="I150">
        <v>31.791775610675341</v>
      </c>
      <c r="J150">
        <v>13.283740701381509</v>
      </c>
      <c r="K150">
        <v>0</v>
      </c>
      <c r="L150">
        <v>8.9246457373605121</v>
      </c>
      <c r="M150" t="s">
        <v>57</v>
      </c>
      <c r="N150" t="s">
        <v>28</v>
      </c>
      <c r="O150" t="s">
        <v>58</v>
      </c>
      <c r="P150" t="s">
        <v>30</v>
      </c>
      <c r="Q150" t="s">
        <v>551</v>
      </c>
      <c r="R150" t="s">
        <v>552</v>
      </c>
      <c r="S150" t="s">
        <v>698</v>
      </c>
    </row>
    <row r="151" spans="1:19" x14ac:dyDescent="0.3">
      <c r="A151" t="s">
        <v>699</v>
      </c>
      <c r="B151" t="s">
        <v>700</v>
      </c>
      <c r="C151" t="s">
        <v>228</v>
      </c>
      <c r="D151" t="s">
        <v>63</v>
      </c>
      <c r="E151" t="s">
        <v>315</v>
      </c>
      <c r="F151" t="s">
        <v>228</v>
      </c>
      <c r="G151" t="s">
        <v>699</v>
      </c>
      <c r="H151" t="s">
        <v>213</v>
      </c>
      <c r="I151">
        <v>31.791775610675341</v>
      </c>
      <c r="J151">
        <v>13.283740701381509</v>
      </c>
      <c r="K151">
        <v>0</v>
      </c>
      <c r="L151">
        <v>8.9246457373605121</v>
      </c>
      <c r="M151" t="s">
        <v>76</v>
      </c>
      <c r="N151" t="s">
        <v>76</v>
      </c>
      <c r="O151" t="s">
        <v>77</v>
      </c>
      <c r="P151" t="s">
        <v>76</v>
      </c>
      <c r="S151" t="s">
        <v>700</v>
      </c>
    </row>
    <row r="152" spans="1:19" x14ac:dyDescent="0.3">
      <c r="A152" t="s">
        <v>701</v>
      </c>
      <c r="B152" t="s">
        <v>676</v>
      </c>
      <c r="C152" t="s">
        <v>45</v>
      </c>
      <c r="D152" t="s">
        <v>35</v>
      </c>
      <c r="E152" t="s">
        <v>560</v>
      </c>
      <c r="F152" t="s">
        <v>45</v>
      </c>
      <c r="G152" t="s">
        <v>701</v>
      </c>
      <c r="H152" t="s">
        <v>213</v>
      </c>
      <c r="I152">
        <v>31.790671448425311</v>
      </c>
      <c r="J152">
        <v>13.283740701381509</v>
      </c>
      <c r="K152">
        <v>0</v>
      </c>
      <c r="L152">
        <v>8.9244907758653458</v>
      </c>
      <c r="M152" t="s">
        <v>116</v>
      </c>
      <c r="N152" t="s">
        <v>116</v>
      </c>
      <c r="O152" t="s">
        <v>116</v>
      </c>
      <c r="P152" t="s">
        <v>116</v>
      </c>
      <c r="Q152" t="s">
        <v>702</v>
      </c>
      <c r="R152" t="s">
        <v>703</v>
      </c>
      <c r="S152" t="s">
        <v>676</v>
      </c>
    </row>
    <row r="153" spans="1:19" x14ac:dyDescent="0.3">
      <c r="A153" t="s">
        <v>704</v>
      </c>
      <c r="B153" t="s">
        <v>705</v>
      </c>
      <c r="C153" t="s">
        <v>251</v>
      </c>
      <c r="D153" t="s">
        <v>189</v>
      </c>
      <c r="F153" t="s">
        <v>251</v>
      </c>
      <c r="G153" t="s">
        <v>706</v>
      </c>
      <c r="H153" t="s">
        <v>75</v>
      </c>
      <c r="I153">
        <v>9.711106988905378</v>
      </c>
      <c r="J153">
        <v>21.42300432295562</v>
      </c>
      <c r="K153">
        <v>0.15058165286838979</v>
      </c>
      <c r="L153">
        <v>8.6391550094299259</v>
      </c>
      <c r="Q153" t="s">
        <v>707</v>
      </c>
      <c r="S153" t="s">
        <v>705</v>
      </c>
    </row>
    <row r="154" spans="1:19" x14ac:dyDescent="0.3">
      <c r="A154" t="s">
        <v>708</v>
      </c>
      <c r="B154" t="s">
        <v>709</v>
      </c>
      <c r="C154" t="s">
        <v>243</v>
      </c>
      <c r="D154" t="s">
        <v>63</v>
      </c>
      <c r="E154" t="s">
        <v>74</v>
      </c>
      <c r="F154" t="s">
        <v>243</v>
      </c>
      <c r="G154" t="s">
        <v>708</v>
      </c>
      <c r="H154" t="s">
        <v>213</v>
      </c>
      <c r="I154">
        <v>11.221723631623989</v>
      </c>
      <c r="J154">
        <v>18.76635868067855</v>
      </c>
      <c r="K154">
        <v>1.2738681783223449</v>
      </c>
      <c r="L154">
        <v>8.5468702736743953</v>
      </c>
      <c r="Q154" t="s">
        <v>710</v>
      </c>
      <c r="R154" t="s">
        <v>711</v>
      </c>
      <c r="S154" t="s">
        <v>574</v>
      </c>
    </row>
    <row r="155" spans="1:19" x14ac:dyDescent="0.3">
      <c r="A155" t="s">
        <v>712</v>
      </c>
      <c r="B155" t="s">
        <v>713</v>
      </c>
      <c r="C155" t="s">
        <v>243</v>
      </c>
      <c r="D155" t="s">
        <v>63</v>
      </c>
      <c r="E155" t="s">
        <v>323</v>
      </c>
      <c r="F155" t="s">
        <v>243</v>
      </c>
      <c r="G155" t="s">
        <v>712</v>
      </c>
      <c r="H155" t="s">
        <v>213</v>
      </c>
      <c r="I155">
        <v>30.38556364293061</v>
      </c>
      <c r="J155">
        <v>12.717183010587631</v>
      </c>
      <c r="K155">
        <v>0</v>
      </c>
      <c r="L155">
        <v>8.5369492943948853</v>
      </c>
      <c r="Q155" t="s">
        <v>714</v>
      </c>
      <c r="R155" t="s">
        <v>548</v>
      </c>
      <c r="S155" t="s">
        <v>713</v>
      </c>
    </row>
    <row r="156" spans="1:19" x14ac:dyDescent="0.3">
      <c r="A156" t="s">
        <v>715</v>
      </c>
      <c r="B156" t="s">
        <v>353</v>
      </c>
      <c r="C156" t="s">
        <v>114</v>
      </c>
      <c r="D156" t="s">
        <v>63</v>
      </c>
      <c r="E156" t="s">
        <v>74</v>
      </c>
      <c r="F156" t="s">
        <v>114</v>
      </c>
      <c r="G156" t="s">
        <v>190</v>
      </c>
      <c r="H156" t="s">
        <v>75</v>
      </c>
      <c r="I156">
        <v>11.697372191992709</v>
      </c>
      <c r="J156">
        <v>19.55215959184477</v>
      </c>
      <c r="K156">
        <v>0.25907935034998059</v>
      </c>
      <c r="L156">
        <v>8.3461916938434708</v>
      </c>
      <c r="M156" t="s">
        <v>63</v>
      </c>
      <c r="N156" t="s">
        <v>28</v>
      </c>
      <c r="O156" t="s">
        <v>86</v>
      </c>
      <c r="P156" t="s">
        <v>30</v>
      </c>
      <c r="Q156" t="s">
        <v>716</v>
      </c>
      <c r="R156" t="s">
        <v>717</v>
      </c>
      <c r="S156" t="s">
        <v>353</v>
      </c>
    </row>
    <row r="157" spans="1:19" x14ac:dyDescent="0.3">
      <c r="A157" t="s">
        <v>718</v>
      </c>
      <c r="B157" t="s">
        <v>719</v>
      </c>
      <c r="C157" t="s">
        <v>114</v>
      </c>
      <c r="D157" t="s">
        <v>63</v>
      </c>
      <c r="E157" t="s">
        <v>74</v>
      </c>
      <c r="F157" t="s">
        <v>243</v>
      </c>
      <c r="G157" t="s">
        <v>244</v>
      </c>
      <c r="H157" t="s">
        <v>75</v>
      </c>
      <c r="I157">
        <v>11.466724966433469</v>
      </c>
      <c r="J157">
        <v>19.1630259377337</v>
      </c>
      <c r="K157">
        <v>0.1226352762443436</v>
      </c>
      <c r="L157">
        <v>8.1116316439913234</v>
      </c>
      <c r="M157" t="s">
        <v>63</v>
      </c>
      <c r="N157" t="s">
        <v>28</v>
      </c>
      <c r="O157" t="s">
        <v>86</v>
      </c>
      <c r="P157" t="s">
        <v>30</v>
      </c>
      <c r="Q157" t="s">
        <v>720</v>
      </c>
      <c r="R157" t="s">
        <v>721</v>
      </c>
      <c r="S157" t="s">
        <v>719</v>
      </c>
    </row>
    <row r="158" spans="1:19" x14ac:dyDescent="0.3">
      <c r="A158" t="s">
        <v>722</v>
      </c>
      <c r="B158" t="s">
        <v>723</v>
      </c>
      <c r="C158" t="s">
        <v>24</v>
      </c>
      <c r="D158" t="s">
        <v>63</v>
      </c>
      <c r="E158" t="s">
        <v>74</v>
      </c>
      <c r="F158" t="s">
        <v>24</v>
      </c>
      <c r="G158" t="s">
        <v>724</v>
      </c>
      <c r="H158" t="s">
        <v>26</v>
      </c>
      <c r="I158">
        <v>4.335063678263805</v>
      </c>
      <c r="J158">
        <v>7.5931030326288038</v>
      </c>
      <c r="K158">
        <v>8.6907970806360151</v>
      </c>
      <c r="L158">
        <v>7.7107118201047191</v>
      </c>
      <c r="M158" t="s">
        <v>63</v>
      </c>
      <c r="N158" t="s">
        <v>28</v>
      </c>
      <c r="O158" t="s">
        <v>86</v>
      </c>
      <c r="P158" t="s">
        <v>30</v>
      </c>
      <c r="Q158" t="s">
        <v>725</v>
      </c>
      <c r="R158" t="s">
        <v>726</v>
      </c>
      <c r="S158" t="s">
        <v>723</v>
      </c>
    </row>
    <row r="159" spans="1:19" x14ac:dyDescent="0.3">
      <c r="A159" t="s">
        <v>727</v>
      </c>
      <c r="B159" t="s">
        <v>728</v>
      </c>
      <c r="C159" t="s">
        <v>307</v>
      </c>
      <c r="D159" t="s">
        <v>63</v>
      </c>
      <c r="E159" t="s">
        <v>74</v>
      </c>
      <c r="F159" t="s">
        <v>251</v>
      </c>
      <c r="G159" t="s">
        <v>307</v>
      </c>
      <c r="H159" t="s">
        <v>75</v>
      </c>
      <c r="I159">
        <v>1.012762152655093</v>
      </c>
      <c r="J159">
        <v>16.399423633250681</v>
      </c>
      <c r="K159">
        <v>3.4628848446207749</v>
      </c>
      <c r="L159">
        <v>7.465270029703019</v>
      </c>
      <c r="M159" t="s">
        <v>63</v>
      </c>
      <c r="N159" t="s">
        <v>28</v>
      </c>
      <c r="O159" t="s">
        <v>86</v>
      </c>
      <c r="P159" t="s">
        <v>30</v>
      </c>
      <c r="Q159" t="s">
        <v>729</v>
      </c>
      <c r="R159" t="s">
        <v>730</v>
      </c>
      <c r="S159" t="s">
        <v>728</v>
      </c>
    </row>
    <row r="160" spans="1:19" x14ac:dyDescent="0.3">
      <c r="A160" t="s">
        <v>731</v>
      </c>
      <c r="B160" t="s">
        <v>732</v>
      </c>
      <c r="C160" t="s">
        <v>21</v>
      </c>
      <c r="F160" t="s">
        <v>24</v>
      </c>
      <c r="G160" t="s">
        <v>21</v>
      </c>
      <c r="H160" t="s">
        <v>26</v>
      </c>
      <c r="I160">
        <v>3.7413924418376401</v>
      </c>
      <c r="J160">
        <v>3.7695176690151011</v>
      </c>
      <c r="K160">
        <v>10.626198735166721</v>
      </c>
      <c r="L160">
        <v>7.3563493165440477</v>
      </c>
      <c r="M160" t="s">
        <v>76</v>
      </c>
      <c r="N160" t="s">
        <v>76</v>
      </c>
      <c r="O160" t="s">
        <v>77</v>
      </c>
      <c r="P160" t="s">
        <v>76</v>
      </c>
      <c r="Q160" t="s">
        <v>733</v>
      </c>
      <c r="R160" t="s">
        <v>734</v>
      </c>
      <c r="S160" t="s">
        <v>732</v>
      </c>
    </row>
    <row r="161" spans="1:19" x14ac:dyDescent="0.3">
      <c r="A161" t="s">
        <v>735</v>
      </c>
      <c r="B161" t="s">
        <v>736</v>
      </c>
      <c r="C161" t="s">
        <v>43</v>
      </c>
      <c r="D161" t="s">
        <v>63</v>
      </c>
      <c r="E161" t="s">
        <v>74</v>
      </c>
      <c r="F161" t="s">
        <v>45</v>
      </c>
      <c r="G161" t="s">
        <v>43</v>
      </c>
      <c r="H161" t="s">
        <v>26</v>
      </c>
      <c r="I161">
        <v>3.9370745294796601</v>
      </c>
      <c r="J161">
        <v>3.468788539247714</v>
      </c>
      <c r="K161">
        <v>10.124939372801769</v>
      </c>
      <c r="L161">
        <v>7.0202722694131632</v>
      </c>
      <c r="M161" t="s">
        <v>63</v>
      </c>
      <c r="N161" t="s">
        <v>28</v>
      </c>
      <c r="O161" t="s">
        <v>86</v>
      </c>
      <c r="P161" t="s">
        <v>30</v>
      </c>
      <c r="Q161" t="s">
        <v>737</v>
      </c>
      <c r="R161" t="s">
        <v>738</v>
      </c>
      <c r="S161" t="s">
        <v>736</v>
      </c>
    </row>
    <row r="162" spans="1:19" x14ac:dyDescent="0.3">
      <c r="A162" t="s">
        <v>739</v>
      </c>
      <c r="B162" t="s">
        <v>740</v>
      </c>
      <c r="C162" t="s">
        <v>73</v>
      </c>
      <c r="D162" t="s">
        <v>53</v>
      </c>
      <c r="E162" t="s">
        <v>128</v>
      </c>
      <c r="F162" t="s">
        <v>237</v>
      </c>
      <c r="G162" t="s">
        <v>741</v>
      </c>
      <c r="H162" t="s">
        <v>75</v>
      </c>
      <c r="I162">
        <v>17.289340564859959</v>
      </c>
      <c r="J162">
        <v>9.7055867969457239</v>
      </c>
      <c r="K162">
        <v>2.5252017136586629</v>
      </c>
      <c r="L162">
        <v>7.0096143621344087</v>
      </c>
      <c r="M162" t="s">
        <v>239</v>
      </c>
      <c r="N162" t="s">
        <v>239</v>
      </c>
      <c r="O162" t="s">
        <v>240</v>
      </c>
      <c r="P162" t="s">
        <v>239</v>
      </c>
      <c r="Q162" t="s">
        <v>707</v>
      </c>
      <c r="S162" t="s">
        <v>740</v>
      </c>
    </row>
    <row r="163" spans="1:19" x14ac:dyDescent="0.3">
      <c r="A163" t="s">
        <v>742</v>
      </c>
      <c r="B163" t="s">
        <v>743</v>
      </c>
      <c r="C163" t="s">
        <v>196</v>
      </c>
      <c r="D163" t="s">
        <v>63</v>
      </c>
      <c r="E163" t="s">
        <v>74</v>
      </c>
      <c r="F163" t="s">
        <v>228</v>
      </c>
      <c r="G163" t="s">
        <v>196</v>
      </c>
      <c r="H163" t="s">
        <v>75</v>
      </c>
      <c r="I163">
        <v>13.69774613494139</v>
      </c>
      <c r="J163">
        <v>5.825473786751683</v>
      </c>
      <c r="K163">
        <v>5.9484684596535864</v>
      </c>
      <c r="L163">
        <v>6.9947036227104959</v>
      </c>
      <c r="M163" t="s">
        <v>63</v>
      </c>
      <c r="N163" t="s">
        <v>28</v>
      </c>
      <c r="O163" t="s">
        <v>86</v>
      </c>
      <c r="P163" t="s">
        <v>30</v>
      </c>
      <c r="Q163" t="s">
        <v>744</v>
      </c>
      <c r="R163" t="s">
        <v>745</v>
      </c>
      <c r="S163" t="s">
        <v>743</v>
      </c>
    </row>
    <row r="164" spans="1:19" x14ac:dyDescent="0.3">
      <c r="A164" t="s">
        <v>746</v>
      </c>
      <c r="B164" t="s">
        <v>747</v>
      </c>
      <c r="C164" t="s">
        <v>43</v>
      </c>
      <c r="D164" t="s">
        <v>35</v>
      </c>
      <c r="E164" t="s">
        <v>278</v>
      </c>
      <c r="F164" t="s">
        <v>45</v>
      </c>
      <c r="G164" t="s">
        <v>43</v>
      </c>
      <c r="H164" t="s">
        <v>26</v>
      </c>
      <c r="I164">
        <v>3.1983899842178412</v>
      </c>
      <c r="J164">
        <v>2.7471513756051471</v>
      </c>
      <c r="K164">
        <v>10.659701509025419</v>
      </c>
      <c r="L164">
        <v>6.9542070186400036</v>
      </c>
      <c r="M164" t="s">
        <v>37</v>
      </c>
      <c r="N164" t="s">
        <v>28</v>
      </c>
      <c r="O164" t="s">
        <v>38</v>
      </c>
      <c r="P164" t="s">
        <v>30</v>
      </c>
      <c r="Q164" t="s">
        <v>140</v>
      </c>
      <c r="R164" t="s">
        <v>141</v>
      </c>
      <c r="S164" t="s">
        <v>747</v>
      </c>
    </row>
    <row r="165" spans="1:19" x14ac:dyDescent="0.3">
      <c r="A165" t="s">
        <v>748</v>
      </c>
      <c r="B165" t="s">
        <v>749</v>
      </c>
      <c r="D165" t="s">
        <v>53</v>
      </c>
      <c r="E165" t="s">
        <v>389</v>
      </c>
      <c r="F165" t="s">
        <v>750</v>
      </c>
      <c r="G165" t="s">
        <v>307</v>
      </c>
      <c r="H165" t="s">
        <v>75</v>
      </c>
      <c r="I165">
        <v>12.07892159172104</v>
      </c>
      <c r="J165">
        <v>15.16996013237822</v>
      </c>
      <c r="K165">
        <v>0.18198022895775931</v>
      </c>
      <c r="L165">
        <v>6.8870914732884954</v>
      </c>
      <c r="M165" t="s">
        <v>76</v>
      </c>
      <c r="N165" t="s">
        <v>76</v>
      </c>
      <c r="O165" t="s">
        <v>77</v>
      </c>
      <c r="P165" t="s">
        <v>76</v>
      </c>
      <c r="S165" t="s">
        <v>749</v>
      </c>
    </row>
    <row r="166" spans="1:19" x14ac:dyDescent="0.3">
      <c r="A166" t="s">
        <v>751</v>
      </c>
      <c r="B166" t="s">
        <v>752</v>
      </c>
      <c r="C166" t="s">
        <v>21</v>
      </c>
      <c r="D166" t="s">
        <v>35</v>
      </c>
      <c r="E166" t="s">
        <v>80</v>
      </c>
      <c r="F166" t="s">
        <v>24</v>
      </c>
      <c r="G166" t="s">
        <v>21</v>
      </c>
      <c r="H166" t="s">
        <v>26</v>
      </c>
      <c r="I166">
        <v>5.7405395378418493</v>
      </c>
      <c r="J166">
        <v>4.8943819616641084</v>
      </c>
      <c r="K166">
        <v>8.4332301224327448</v>
      </c>
      <c r="L166">
        <v>6.8663955047116536</v>
      </c>
      <c r="M166" t="s">
        <v>57</v>
      </c>
      <c r="N166" t="s">
        <v>28</v>
      </c>
      <c r="O166" t="s">
        <v>58</v>
      </c>
      <c r="P166" t="s">
        <v>30</v>
      </c>
      <c r="Q166" t="s">
        <v>753</v>
      </c>
      <c r="R166" t="s">
        <v>754</v>
      </c>
      <c r="S166" t="s">
        <v>752</v>
      </c>
    </row>
    <row r="167" spans="1:19" x14ac:dyDescent="0.3">
      <c r="A167" t="s">
        <v>755</v>
      </c>
      <c r="B167" t="s">
        <v>756</v>
      </c>
      <c r="C167" t="s">
        <v>196</v>
      </c>
      <c r="D167" t="s">
        <v>63</v>
      </c>
      <c r="E167" t="s">
        <v>74</v>
      </c>
      <c r="F167" t="s">
        <v>228</v>
      </c>
      <c r="G167" t="s">
        <v>196</v>
      </c>
      <c r="H167" t="s">
        <v>75</v>
      </c>
      <c r="I167">
        <v>5.5183575561994047</v>
      </c>
      <c r="J167">
        <v>9.3330065697117597</v>
      </c>
      <c r="K167">
        <v>5.5951933810354966</v>
      </c>
      <c r="L167">
        <v>6.8401897940844112</v>
      </c>
      <c r="M167" t="s">
        <v>63</v>
      </c>
      <c r="N167" t="s">
        <v>28</v>
      </c>
      <c r="O167" t="s">
        <v>86</v>
      </c>
      <c r="P167" t="s">
        <v>30</v>
      </c>
      <c r="Q167" t="s">
        <v>757</v>
      </c>
      <c r="R167" t="s">
        <v>758</v>
      </c>
      <c r="S167" t="s">
        <v>756</v>
      </c>
    </row>
    <row r="168" spans="1:19" x14ac:dyDescent="0.3">
      <c r="A168" t="s">
        <v>759</v>
      </c>
      <c r="B168" t="s">
        <v>760</v>
      </c>
      <c r="E168" t="s">
        <v>54</v>
      </c>
      <c r="F168" t="s">
        <v>144</v>
      </c>
      <c r="G168" t="s">
        <v>261</v>
      </c>
      <c r="H168" t="s">
        <v>26</v>
      </c>
      <c r="I168">
        <v>4.7558721802149826</v>
      </c>
      <c r="J168">
        <v>13.671695628501331</v>
      </c>
      <c r="K168">
        <v>3.0016052398732862</v>
      </c>
      <c r="L168">
        <v>6.8325966808211938</v>
      </c>
      <c r="M168" t="s">
        <v>76</v>
      </c>
      <c r="N168" t="s">
        <v>76</v>
      </c>
      <c r="O168" t="s">
        <v>77</v>
      </c>
      <c r="P168" t="s">
        <v>76</v>
      </c>
      <c r="Q168" t="s">
        <v>761</v>
      </c>
      <c r="R168" t="s">
        <v>762</v>
      </c>
      <c r="S168" t="s">
        <v>760</v>
      </c>
    </row>
    <row r="169" spans="1:19" x14ac:dyDescent="0.3">
      <c r="A169" t="s">
        <v>763</v>
      </c>
      <c r="B169" t="s">
        <v>764</v>
      </c>
      <c r="C169" t="s">
        <v>243</v>
      </c>
      <c r="D169" t="s">
        <v>63</v>
      </c>
      <c r="E169" t="s">
        <v>74</v>
      </c>
      <c r="F169" t="s">
        <v>243</v>
      </c>
      <c r="G169" t="s">
        <v>765</v>
      </c>
      <c r="H169" t="s">
        <v>213</v>
      </c>
      <c r="I169">
        <v>0.98282708721016965</v>
      </c>
      <c r="J169">
        <v>1.6727673475813749</v>
      </c>
      <c r="K169">
        <v>11.52250693390344</v>
      </c>
      <c r="L169">
        <v>6.7341542094393336</v>
      </c>
      <c r="M169" t="s">
        <v>63</v>
      </c>
      <c r="N169" t="s">
        <v>28</v>
      </c>
      <c r="O169" t="s">
        <v>86</v>
      </c>
      <c r="P169" t="s">
        <v>30</v>
      </c>
      <c r="Q169" t="s">
        <v>766</v>
      </c>
      <c r="R169" t="s">
        <v>767</v>
      </c>
      <c r="S169" t="s">
        <v>768</v>
      </c>
    </row>
    <row r="170" spans="1:19" x14ac:dyDescent="0.3">
      <c r="A170" t="s">
        <v>769</v>
      </c>
      <c r="B170" t="s">
        <v>770</v>
      </c>
      <c r="C170" t="s">
        <v>43</v>
      </c>
      <c r="D170" t="s">
        <v>35</v>
      </c>
      <c r="E170" t="s">
        <v>80</v>
      </c>
      <c r="F170" t="s">
        <v>45</v>
      </c>
      <c r="G170" t="s">
        <v>43</v>
      </c>
      <c r="H170" t="s">
        <v>26</v>
      </c>
      <c r="I170">
        <v>4.0549745208426584</v>
      </c>
      <c r="J170">
        <v>3.5367959617428282</v>
      </c>
      <c r="K170">
        <v>9.2352253753625764</v>
      </c>
      <c r="L170">
        <v>6.5937321449921669</v>
      </c>
      <c r="M170" t="s">
        <v>57</v>
      </c>
      <c r="N170" t="s">
        <v>28</v>
      </c>
      <c r="O170" t="s">
        <v>58</v>
      </c>
      <c r="P170" t="s">
        <v>30</v>
      </c>
      <c r="Q170" t="s">
        <v>771</v>
      </c>
      <c r="R170" t="s">
        <v>772</v>
      </c>
      <c r="S170" t="s">
        <v>770</v>
      </c>
    </row>
    <row r="171" spans="1:19" x14ac:dyDescent="0.3">
      <c r="A171" t="s">
        <v>773</v>
      </c>
      <c r="B171" t="s">
        <v>774</v>
      </c>
      <c r="C171" t="s">
        <v>21</v>
      </c>
      <c r="D171" t="s">
        <v>63</v>
      </c>
      <c r="E171" t="s">
        <v>64</v>
      </c>
      <c r="F171" t="s">
        <v>24</v>
      </c>
      <c r="G171" t="s">
        <v>21</v>
      </c>
      <c r="H171" t="s">
        <v>26</v>
      </c>
      <c r="I171">
        <v>0</v>
      </c>
      <c r="J171">
        <v>0</v>
      </c>
      <c r="K171">
        <v>12.228676848879671</v>
      </c>
      <c r="L171">
        <v>6.4040420569630214</v>
      </c>
      <c r="M171" t="s">
        <v>287</v>
      </c>
      <c r="N171" t="s">
        <v>287</v>
      </c>
      <c r="O171" t="s">
        <v>288</v>
      </c>
      <c r="P171" t="s">
        <v>30</v>
      </c>
      <c r="Q171" t="s">
        <v>622</v>
      </c>
      <c r="R171" t="s">
        <v>623</v>
      </c>
      <c r="S171" t="s">
        <v>774</v>
      </c>
    </row>
    <row r="172" spans="1:19" x14ac:dyDescent="0.3">
      <c r="A172" t="s">
        <v>775</v>
      </c>
      <c r="B172" t="s">
        <v>776</v>
      </c>
      <c r="C172" t="s">
        <v>21</v>
      </c>
      <c r="D172" t="s">
        <v>63</v>
      </c>
      <c r="E172" t="s">
        <v>74</v>
      </c>
      <c r="F172" t="s">
        <v>24</v>
      </c>
      <c r="G172" t="s">
        <v>21</v>
      </c>
      <c r="H172" t="s">
        <v>26</v>
      </c>
      <c r="I172">
        <v>0</v>
      </c>
      <c r="J172">
        <v>0</v>
      </c>
      <c r="K172">
        <v>12.228479580338799</v>
      </c>
      <c r="L172">
        <v>6.4039387492995736</v>
      </c>
      <c r="M172" t="s">
        <v>287</v>
      </c>
      <c r="N172" t="s">
        <v>287</v>
      </c>
      <c r="O172" t="s">
        <v>288</v>
      </c>
      <c r="P172" t="s">
        <v>30</v>
      </c>
      <c r="Q172" t="s">
        <v>622</v>
      </c>
      <c r="R172" t="s">
        <v>623</v>
      </c>
      <c r="S172" t="s">
        <v>776</v>
      </c>
    </row>
    <row r="173" spans="1:19" x14ac:dyDescent="0.3">
      <c r="A173" t="s">
        <v>777</v>
      </c>
      <c r="B173" t="s">
        <v>778</v>
      </c>
      <c r="C173" t="s">
        <v>21</v>
      </c>
      <c r="D173" t="s">
        <v>63</v>
      </c>
      <c r="E173" t="s">
        <v>74</v>
      </c>
      <c r="F173" t="s">
        <v>24</v>
      </c>
      <c r="G173" t="s">
        <v>21</v>
      </c>
      <c r="H173" t="s">
        <v>26</v>
      </c>
      <c r="I173">
        <v>0</v>
      </c>
      <c r="J173">
        <v>0</v>
      </c>
      <c r="K173">
        <v>12.228479580338799</v>
      </c>
      <c r="L173">
        <v>6.4039387492995736</v>
      </c>
      <c r="M173" t="s">
        <v>287</v>
      </c>
      <c r="N173" t="s">
        <v>287</v>
      </c>
      <c r="O173" t="s">
        <v>288</v>
      </c>
      <c r="P173" t="s">
        <v>30</v>
      </c>
      <c r="Q173" t="s">
        <v>622</v>
      </c>
      <c r="R173" t="s">
        <v>623</v>
      </c>
      <c r="S173" t="s">
        <v>778</v>
      </c>
    </row>
    <row r="174" spans="1:19" x14ac:dyDescent="0.3">
      <c r="A174" t="s">
        <v>779</v>
      </c>
      <c r="B174" t="s">
        <v>780</v>
      </c>
      <c r="C174" t="s">
        <v>21</v>
      </c>
      <c r="D174" t="s">
        <v>63</v>
      </c>
      <c r="E174" t="s">
        <v>74</v>
      </c>
      <c r="F174" t="s">
        <v>24</v>
      </c>
      <c r="G174" t="s">
        <v>21</v>
      </c>
      <c r="H174" t="s">
        <v>26</v>
      </c>
      <c r="I174">
        <v>0</v>
      </c>
      <c r="J174">
        <v>0</v>
      </c>
      <c r="K174">
        <v>12.228479580338799</v>
      </c>
      <c r="L174">
        <v>6.4039387492995736</v>
      </c>
      <c r="M174" t="s">
        <v>287</v>
      </c>
      <c r="N174" t="s">
        <v>287</v>
      </c>
      <c r="O174" t="s">
        <v>288</v>
      </c>
      <c r="P174" t="s">
        <v>30</v>
      </c>
      <c r="Q174" t="s">
        <v>622</v>
      </c>
      <c r="R174" t="s">
        <v>623</v>
      </c>
      <c r="S174" t="s">
        <v>780</v>
      </c>
    </row>
    <row r="175" spans="1:19" x14ac:dyDescent="0.3">
      <c r="A175" t="s">
        <v>781</v>
      </c>
      <c r="B175" t="s">
        <v>782</v>
      </c>
      <c r="C175" t="s">
        <v>21</v>
      </c>
      <c r="F175" t="s">
        <v>24</v>
      </c>
      <c r="G175" t="s">
        <v>21</v>
      </c>
      <c r="H175" t="s">
        <v>26</v>
      </c>
      <c r="I175">
        <v>0</v>
      </c>
      <c r="J175">
        <v>0</v>
      </c>
      <c r="K175">
        <v>12.228282311797919</v>
      </c>
      <c r="L175">
        <v>6.4038354416361294</v>
      </c>
      <c r="M175" t="s">
        <v>287</v>
      </c>
      <c r="N175" t="s">
        <v>287</v>
      </c>
      <c r="O175" t="s">
        <v>288</v>
      </c>
      <c r="P175" t="s">
        <v>30</v>
      </c>
      <c r="Q175" t="s">
        <v>622</v>
      </c>
      <c r="R175" t="s">
        <v>623</v>
      </c>
      <c r="S175" t="s">
        <v>782</v>
      </c>
    </row>
    <row r="176" spans="1:19" x14ac:dyDescent="0.3">
      <c r="A176" t="s">
        <v>783</v>
      </c>
      <c r="B176" t="s">
        <v>784</v>
      </c>
      <c r="C176" t="s">
        <v>21</v>
      </c>
      <c r="F176" t="s">
        <v>24</v>
      </c>
      <c r="G176" t="s">
        <v>21</v>
      </c>
      <c r="H176" t="s">
        <v>26</v>
      </c>
      <c r="I176">
        <v>0</v>
      </c>
      <c r="J176">
        <v>0</v>
      </c>
      <c r="K176">
        <v>12.228282311797919</v>
      </c>
      <c r="L176">
        <v>6.4038354416361294</v>
      </c>
      <c r="M176" t="s">
        <v>287</v>
      </c>
      <c r="N176" t="s">
        <v>287</v>
      </c>
      <c r="O176" t="s">
        <v>288</v>
      </c>
      <c r="P176" t="s">
        <v>30</v>
      </c>
      <c r="Q176" t="s">
        <v>622</v>
      </c>
      <c r="R176" t="s">
        <v>623</v>
      </c>
      <c r="S176" t="s">
        <v>784</v>
      </c>
    </row>
    <row r="177" spans="1:19" x14ac:dyDescent="0.3">
      <c r="A177" t="s">
        <v>785</v>
      </c>
      <c r="B177" t="s">
        <v>786</v>
      </c>
      <c r="C177" t="s">
        <v>21</v>
      </c>
      <c r="D177" t="s">
        <v>63</v>
      </c>
      <c r="E177" t="s">
        <v>74</v>
      </c>
      <c r="F177" t="s">
        <v>24</v>
      </c>
      <c r="G177" t="s">
        <v>21</v>
      </c>
      <c r="H177" t="s">
        <v>26</v>
      </c>
      <c r="I177">
        <v>0</v>
      </c>
      <c r="J177">
        <v>0</v>
      </c>
      <c r="K177">
        <v>12.228282311797919</v>
      </c>
      <c r="L177">
        <v>6.4038354416361294</v>
      </c>
      <c r="M177" t="s">
        <v>287</v>
      </c>
      <c r="N177" t="s">
        <v>287</v>
      </c>
      <c r="O177" t="s">
        <v>288</v>
      </c>
      <c r="P177" t="s">
        <v>30</v>
      </c>
      <c r="Q177" t="s">
        <v>622</v>
      </c>
      <c r="R177" t="s">
        <v>623</v>
      </c>
      <c r="S177" t="s">
        <v>786</v>
      </c>
    </row>
    <row r="178" spans="1:19" x14ac:dyDescent="0.3">
      <c r="A178" t="s">
        <v>787</v>
      </c>
      <c r="B178" t="s">
        <v>788</v>
      </c>
      <c r="C178" t="s">
        <v>21</v>
      </c>
      <c r="D178" t="s">
        <v>63</v>
      </c>
      <c r="E178" t="s">
        <v>64</v>
      </c>
      <c r="F178" t="s">
        <v>24</v>
      </c>
      <c r="G178" t="s">
        <v>21</v>
      </c>
      <c r="H178" t="s">
        <v>26</v>
      </c>
      <c r="I178">
        <v>0</v>
      </c>
      <c r="J178">
        <v>0</v>
      </c>
      <c r="K178">
        <v>12.22808504325705</v>
      </c>
      <c r="L178">
        <v>6.4037321339726843</v>
      </c>
      <c r="M178" t="s">
        <v>287</v>
      </c>
      <c r="N178" t="s">
        <v>287</v>
      </c>
      <c r="O178" t="s">
        <v>288</v>
      </c>
      <c r="P178" t="s">
        <v>30</v>
      </c>
      <c r="Q178" t="s">
        <v>622</v>
      </c>
      <c r="R178" t="s">
        <v>623</v>
      </c>
      <c r="S178" t="s">
        <v>788</v>
      </c>
    </row>
    <row r="179" spans="1:19" x14ac:dyDescent="0.3">
      <c r="A179" t="s">
        <v>789</v>
      </c>
      <c r="B179" t="s">
        <v>790</v>
      </c>
      <c r="C179" t="s">
        <v>21</v>
      </c>
      <c r="D179" t="s">
        <v>63</v>
      </c>
      <c r="E179" t="s">
        <v>74</v>
      </c>
      <c r="F179" t="s">
        <v>24</v>
      </c>
      <c r="G179" t="s">
        <v>21</v>
      </c>
      <c r="H179" t="s">
        <v>26</v>
      </c>
      <c r="I179">
        <v>0</v>
      </c>
      <c r="J179">
        <v>0</v>
      </c>
      <c r="K179">
        <v>12.2276905061753</v>
      </c>
      <c r="L179">
        <v>6.4035255186457949</v>
      </c>
      <c r="M179" t="s">
        <v>287</v>
      </c>
      <c r="N179" t="s">
        <v>287</v>
      </c>
      <c r="O179" t="s">
        <v>288</v>
      </c>
      <c r="P179" t="s">
        <v>30</v>
      </c>
      <c r="Q179" t="s">
        <v>622</v>
      </c>
      <c r="R179" t="s">
        <v>623</v>
      </c>
      <c r="S179" t="s">
        <v>790</v>
      </c>
    </row>
    <row r="180" spans="1:19" x14ac:dyDescent="0.3">
      <c r="A180" t="s">
        <v>791</v>
      </c>
      <c r="B180" t="s">
        <v>792</v>
      </c>
      <c r="C180" t="s">
        <v>21</v>
      </c>
      <c r="D180" t="s">
        <v>63</v>
      </c>
      <c r="E180" t="s">
        <v>74</v>
      </c>
      <c r="F180" t="s">
        <v>24</v>
      </c>
      <c r="G180" t="s">
        <v>21</v>
      </c>
      <c r="H180" t="s">
        <v>26</v>
      </c>
      <c r="I180">
        <v>0</v>
      </c>
      <c r="J180">
        <v>0</v>
      </c>
      <c r="K180">
        <v>12.2276905061753</v>
      </c>
      <c r="L180">
        <v>6.4035255186457949</v>
      </c>
      <c r="M180" t="s">
        <v>287</v>
      </c>
      <c r="N180" t="s">
        <v>287</v>
      </c>
      <c r="O180" t="s">
        <v>288</v>
      </c>
      <c r="P180" t="s">
        <v>30</v>
      </c>
      <c r="Q180" t="s">
        <v>622</v>
      </c>
      <c r="R180" t="s">
        <v>623</v>
      </c>
      <c r="S180" t="s">
        <v>792</v>
      </c>
    </row>
    <row r="181" spans="1:19" x14ac:dyDescent="0.3">
      <c r="A181" t="s">
        <v>793</v>
      </c>
      <c r="B181" t="s">
        <v>794</v>
      </c>
      <c r="C181" t="s">
        <v>21</v>
      </c>
      <c r="D181" t="s">
        <v>63</v>
      </c>
      <c r="E181" t="s">
        <v>74</v>
      </c>
      <c r="F181" t="s">
        <v>24</v>
      </c>
      <c r="G181" t="s">
        <v>21</v>
      </c>
      <c r="H181" t="s">
        <v>26</v>
      </c>
      <c r="I181">
        <v>0</v>
      </c>
      <c r="J181">
        <v>0</v>
      </c>
      <c r="K181">
        <v>12.22749323763442</v>
      </c>
      <c r="L181">
        <v>6.403422210982348</v>
      </c>
      <c r="M181" t="s">
        <v>287</v>
      </c>
      <c r="N181" t="s">
        <v>287</v>
      </c>
      <c r="O181" t="s">
        <v>288</v>
      </c>
      <c r="P181" t="s">
        <v>30</v>
      </c>
      <c r="Q181" t="s">
        <v>622</v>
      </c>
      <c r="R181" t="s">
        <v>623</v>
      </c>
      <c r="S181" t="s">
        <v>794</v>
      </c>
    </row>
    <row r="182" spans="1:19" x14ac:dyDescent="0.3">
      <c r="A182" t="s">
        <v>795</v>
      </c>
      <c r="B182" t="s">
        <v>796</v>
      </c>
      <c r="C182" t="s">
        <v>21</v>
      </c>
      <c r="D182" t="s">
        <v>63</v>
      </c>
      <c r="E182" t="s">
        <v>74</v>
      </c>
      <c r="F182" t="s">
        <v>24</v>
      </c>
      <c r="G182" t="s">
        <v>21</v>
      </c>
      <c r="H182" t="s">
        <v>26</v>
      </c>
      <c r="I182">
        <v>0</v>
      </c>
      <c r="J182">
        <v>0</v>
      </c>
      <c r="K182">
        <v>12.22630962638917</v>
      </c>
      <c r="L182">
        <v>6.402802365001679</v>
      </c>
      <c r="M182" t="s">
        <v>287</v>
      </c>
      <c r="N182" t="s">
        <v>287</v>
      </c>
      <c r="O182" t="s">
        <v>288</v>
      </c>
      <c r="P182" t="s">
        <v>30</v>
      </c>
      <c r="Q182" t="s">
        <v>622</v>
      </c>
      <c r="R182" t="s">
        <v>623</v>
      </c>
      <c r="S182" t="s">
        <v>796</v>
      </c>
    </row>
    <row r="183" spans="1:19" x14ac:dyDescent="0.3">
      <c r="A183" t="s">
        <v>797</v>
      </c>
      <c r="B183" t="s">
        <v>798</v>
      </c>
      <c r="C183" t="s">
        <v>24</v>
      </c>
      <c r="D183" t="s">
        <v>63</v>
      </c>
      <c r="E183" t="s">
        <v>323</v>
      </c>
      <c r="F183" t="s">
        <v>55</v>
      </c>
      <c r="G183" t="s">
        <v>799</v>
      </c>
      <c r="H183" t="s">
        <v>213</v>
      </c>
      <c r="I183">
        <v>0</v>
      </c>
      <c r="J183">
        <v>18.850919530050781</v>
      </c>
      <c r="K183">
        <v>0</v>
      </c>
      <c r="L183">
        <v>6.3332763075031124</v>
      </c>
      <c r="M183" t="s">
        <v>63</v>
      </c>
      <c r="N183" t="s">
        <v>28</v>
      </c>
      <c r="O183" t="s">
        <v>86</v>
      </c>
      <c r="P183" t="s">
        <v>30</v>
      </c>
      <c r="Q183" t="s">
        <v>800</v>
      </c>
      <c r="R183" t="s">
        <v>801</v>
      </c>
      <c r="S183" t="s">
        <v>798</v>
      </c>
    </row>
    <row r="184" spans="1:19" x14ac:dyDescent="0.3">
      <c r="A184" t="s">
        <v>802</v>
      </c>
      <c r="B184" t="s">
        <v>803</v>
      </c>
      <c r="C184" t="s">
        <v>24</v>
      </c>
      <c r="D184" t="s">
        <v>35</v>
      </c>
      <c r="E184" t="s">
        <v>278</v>
      </c>
      <c r="F184" t="s">
        <v>24</v>
      </c>
      <c r="G184" t="s">
        <v>783</v>
      </c>
      <c r="H184" t="s">
        <v>26</v>
      </c>
      <c r="I184">
        <v>0</v>
      </c>
      <c r="J184">
        <v>0</v>
      </c>
      <c r="K184">
        <v>11.891775059154259</v>
      </c>
      <c r="L184">
        <v>6.2276097857426622</v>
      </c>
      <c r="M184" t="s">
        <v>287</v>
      </c>
      <c r="N184" t="s">
        <v>287</v>
      </c>
      <c r="O184" t="s">
        <v>288</v>
      </c>
      <c r="P184" t="s">
        <v>30</v>
      </c>
      <c r="Q184" t="s">
        <v>622</v>
      </c>
      <c r="R184" t="s">
        <v>623</v>
      </c>
      <c r="S184" t="s">
        <v>803</v>
      </c>
    </row>
    <row r="185" spans="1:19" x14ac:dyDescent="0.3">
      <c r="A185" t="s">
        <v>804</v>
      </c>
      <c r="B185" t="s">
        <v>805</v>
      </c>
      <c r="C185" t="s">
        <v>21</v>
      </c>
      <c r="D185" t="s">
        <v>35</v>
      </c>
      <c r="E185" t="s">
        <v>80</v>
      </c>
      <c r="F185" t="s">
        <v>24</v>
      </c>
      <c r="G185" t="s">
        <v>21</v>
      </c>
      <c r="H185" t="s">
        <v>26</v>
      </c>
      <c r="I185">
        <v>3.2064871740513028</v>
      </c>
      <c r="J185">
        <v>2.8154150430983589</v>
      </c>
      <c r="K185">
        <v>8.96289615468379</v>
      </c>
      <c r="L185">
        <v>6.0896768370995176</v>
      </c>
      <c r="M185" t="s">
        <v>57</v>
      </c>
      <c r="N185" t="s">
        <v>28</v>
      </c>
      <c r="O185" t="s">
        <v>58</v>
      </c>
      <c r="P185" t="s">
        <v>30</v>
      </c>
      <c r="Q185" t="s">
        <v>806</v>
      </c>
      <c r="R185" t="s">
        <v>807</v>
      </c>
      <c r="S185" t="s">
        <v>805</v>
      </c>
    </row>
    <row r="186" spans="1:19" x14ac:dyDescent="0.3">
      <c r="A186" t="s">
        <v>808</v>
      </c>
      <c r="B186" t="s">
        <v>809</v>
      </c>
      <c r="C186" t="s">
        <v>24</v>
      </c>
      <c r="D186" t="s">
        <v>63</v>
      </c>
      <c r="E186" t="s">
        <v>331</v>
      </c>
      <c r="F186" t="s">
        <v>24</v>
      </c>
      <c r="G186" t="s">
        <v>810</v>
      </c>
      <c r="H186" t="s">
        <v>213</v>
      </c>
      <c r="I186">
        <v>21.396701450231241</v>
      </c>
      <c r="J186">
        <v>9.0659480326944006</v>
      </c>
      <c r="K186">
        <v>0</v>
      </c>
      <c r="L186">
        <v>6.048732566487435</v>
      </c>
      <c r="M186" t="s">
        <v>239</v>
      </c>
      <c r="N186" t="s">
        <v>239</v>
      </c>
      <c r="O186" t="s">
        <v>240</v>
      </c>
      <c r="P186" t="s">
        <v>239</v>
      </c>
      <c r="Q186" t="s">
        <v>811</v>
      </c>
      <c r="R186" t="s">
        <v>812</v>
      </c>
      <c r="S186" t="s">
        <v>809</v>
      </c>
    </row>
    <row r="187" spans="1:19" x14ac:dyDescent="0.3">
      <c r="A187" t="s">
        <v>813</v>
      </c>
      <c r="B187" t="s">
        <v>814</v>
      </c>
      <c r="C187" t="s">
        <v>21</v>
      </c>
      <c r="D187" t="s">
        <v>53</v>
      </c>
      <c r="E187" t="s">
        <v>74</v>
      </c>
      <c r="F187" t="s">
        <v>45</v>
      </c>
      <c r="G187" t="s">
        <v>21</v>
      </c>
      <c r="H187" t="s">
        <v>26</v>
      </c>
      <c r="I187">
        <v>3.9330259345629281</v>
      </c>
      <c r="J187">
        <v>3.2901857755736601</v>
      </c>
      <c r="K187">
        <v>8.3708275073357612</v>
      </c>
      <c r="L187">
        <v>6.0410877993924963</v>
      </c>
      <c r="M187" t="s">
        <v>57</v>
      </c>
      <c r="N187" t="s">
        <v>28</v>
      </c>
      <c r="O187" t="s">
        <v>58</v>
      </c>
      <c r="P187" t="s">
        <v>30</v>
      </c>
      <c r="Q187" t="s">
        <v>815</v>
      </c>
      <c r="R187" t="s">
        <v>548</v>
      </c>
      <c r="S187" t="s">
        <v>814</v>
      </c>
    </row>
    <row r="188" spans="1:19" x14ac:dyDescent="0.3">
      <c r="A188" t="s">
        <v>816</v>
      </c>
      <c r="B188" t="s">
        <v>817</v>
      </c>
      <c r="C188" t="s">
        <v>314</v>
      </c>
      <c r="F188" t="s">
        <v>314</v>
      </c>
      <c r="G188" t="s">
        <v>336</v>
      </c>
      <c r="H188" t="s">
        <v>317</v>
      </c>
      <c r="I188">
        <v>21.199915200339198</v>
      </c>
      <c r="J188">
        <v>8.8558271342543389</v>
      </c>
      <c r="K188">
        <v>0</v>
      </c>
      <c r="L188">
        <v>5.9505214144389402</v>
      </c>
      <c r="M188" t="s">
        <v>76</v>
      </c>
      <c r="N188" t="s">
        <v>76</v>
      </c>
      <c r="O188" t="s">
        <v>77</v>
      </c>
      <c r="P188" t="s">
        <v>76</v>
      </c>
      <c r="Q188" t="s">
        <v>818</v>
      </c>
      <c r="R188" t="s">
        <v>819</v>
      </c>
      <c r="S188" t="s">
        <v>820</v>
      </c>
    </row>
    <row r="189" spans="1:19" x14ac:dyDescent="0.3">
      <c r="A189" t="s">
        <v>821</v>
      </c>
      <c r="B189" t="s">
        <v>822</v>
      </c>
      <c r="C189" t="s">
        <v>21</v>
      </c>
      <c r="D189" t="s">
        <v>63</v>
      </c>
      <c r="E189" t="s">
        <v>74</v>
      </c>
      <c r="F189" t="s">
        <v>24</v>
      </c>
      <c r="G189" t="s">
        <v>21</v>
      </c>
      <c r="H189" t="s">
        <v>26</v>
      </c>
      <c r="I189">
        <v>0</v>
      </c>
      <c r="J189">
        <v>0</v>
      </c>
      <c r="K189">
        <v>11.3626679544357</v>
      </c>
      <c r="L189">
        <v>5.9505214144389393</v>
      </c>
      <c r="M189" t="s">
        <v>159</v>
      </c>
      <c r="N189" t="s">
        <v>160</v>
      </c>
      <c r="O189" t="s">
        <v>161</v>
      </c>
      <c r="P189" t="s">
        <v>124</v>
      </c>
      <c r="Q189" t="s">
        <v>823</v>
      </c>
      <c r="R189" t="s">
        <v>824</v>
      </c>
      <c r="S189" t="s">
        <v>822</v>
      </c>
    </row>
    <row r="190" spans="1:19" x14ac:dyDescent="0.3">
      <c r="A190" t="s">
        <v>825</v>
      </c>
      <c r="B190" t="s">
        <v>826</v>
      </c>
      <c r="C190" t="s">
        <v>251</v>
      </c>
      <c r="D190" t="s">
        <v>63</v>
      </c>
      <c r="E190" t="s">
        <v>331</v>
      </c>
      <c r="F190" t="s">
        <v>251</v>
      </c>
      <c r="G190" t="s">
        <v>827</v>
      </c>
      <c r="H190" t="s">
        <v>213</v>
      </c>
      <c r="I190">
        <v>21.19672539828359</v>
      </c>
      <c r="J190">
        <v>8.8558271342543389</v>
      </c>
      <c r="K190">
        <v>0</v>
      </c>
      <c r="L190">
        <v>5.9500737478973447</v>
      </c>
      <c r="Q190" t="s">
        <v>828</v>
      </c>
      <c r="R190" t="s">
        <v>829</v>
      </c>
      <c r="S190" t="s">
        <v>826</v>
      </c>
    </row>
    <row r="191" spans="1:19" x14ac:dyDescent="0.3">
      <c r="A191" t="s">
        <v>830</v>
      </c>
      <c r="B191" t="s">
        <v>831</v>
      </c>
      <c r="C191" t="s">
        <v>314</v>
      </c>
      <c r="D191" t="s">
        <v>63</v>
      </c>
      <c r="E191" t="s">
        <v>315</v>
      </c>
      <c r="F191" t="s">
        <v>314</v>
      </c>
      <c r="G191" t="s">
        <v>832</v>
      </c>
      <c r="H191" t="s">
        <v>213</v>
      </c>
      <c r="I191">
        <v>21.194517073783562</v>
      </c>
      <c r="J191">
        <v>8.8558271342543389</v>
      </c>
      <c r="K191">
        <v>0</v>
      </c>
      <c r="L191">
        <v>5.9497638249070102</v>
      </c>
      <c r="M191" t="s">
        <v>116</v>
      </c>
      <c r="N191" t="s">
        <v>116</v>
      </c>
      <c r="O191" t="s">
        <v>116</v>
      </c>
      <c r="P191" t="s">
        <v>116</v>
      </c>
      <c r="Q191" t="s">
        <v>833</v>
      </c>
      <c r="R191" t="s">
        <v>834</v>
      </c>
      <c r="S191" t="s">
        <v>831</v>
      </c>
    </row>
    <row r="192" spans="1:19" x14ac:dyDescent="0.3">
      <c r="A192" t="s">
        <v>835</v>
      </c>
      <c r="B192" t="s">
        <v>836</v>
      </c>
      <c r="C192" t="s">
        <v>314</v>
      </c>
      <c r="D192" t="s">
        <v>63</v>
      </c>
      <c r="E192" t="s">
        <v>323</v>
      </c>
      <c r="F192" t="s">
        <v>314</v>
      </c>
      <c r="G192" t="s">
        <v>837</v>
      </c>
      <c r="H192" t="s">
        <v>213</v>
      </c>
      <c r="I192">
        <v>21.194517073783562</v>
      </c>
      <c r="J192">
        <v>8.8558271342543389</v>
      </c>
      <c r="K192">
        <v>0</v>
      </c>
      <c r="L192">
        <v>5.9497638249070102</v>
      </c>
      <c r="M192" t="s">
        <v>308</v>
      </c>
      <c r="N192" t="s">
        <v>160</v>
      </c>
      <c r="O192" t="s">
        <v>339</v>
      </c>
      <c r="P192" t="s">
        <v>124</v>
      </c>
      <c r="Q192" t="s">
        <v>838</v>
      </c>
      <c r="R192" t="s">
        <v>839</v>
      </c>
      <c r="S192" t="s">
        <v>499</v>
      </c>
    </row>
    <row r="193" spans="1:19" x14ac:dyDescent="0.3">
      <c r="A193" t="s">
        <v>840</v>
      </c>
      <c r="B193" t="s">
        <v>841</v>
      </c>
      <c r="C193" t="s">
        <v>24</v>
      </c>
      <c r="D193" t="s">
        <v>35</v>
      </c>
      <c r="E193" t="s">
        <v>389</v>
      </c>
      <c r="F193" t="s">
        <v>144</v>
      </c>
      <c r="G193" t="s">
        <v>842</v>
      </c>
      <c r="H193" t="s">
        <v>213</v>
      </c>
      <c r="I193">
        <v>21.193290226839089</v>
      </c>
      <c r="J193">
        <v>8.8558271342543389</v>
      </c>
      <c r="K193">
        <v>0</v>
      </c>
      <c r="L193">
        <v>5.9495916454679341</v>
      </c>
      <c r="M193" t="s">
        <v>239</v>
      </c>
      <c r="N193" t="s">
        <v>239</v>
      </c>
      <c r="O193" t="s">
        <v>240</v>
      </c>
      <c r="P193" t="s">
        <v>239</v>
      </c>
      <c r="Q193" t="s">
        <v>843</v>
      </c>
      <c r="R193" t="s">
        <v>844</v>
      </c>
      <c r="S193" t="s">
        <v>841</v>
      </c>
    </row>
    <row r="194" spans="1:19" x14ac:dyDescent="0.3">
      <c r="A194" t="s">
        <v>845</v>
      </c>
      <c r="B194" t="s">
        <v>846</v>
      </c>
      <c r="C194" t="s">
        <v>243</v>
      </c>
      <c r="D194" t="s">
        <v>63</v>
      </c>
      <c r="E194" t="s">
        <v>331</v>
      </c>
      <c r="F194" t="s">
        <v>243</v>
      </c>
      <c r="G194" t="s">
        <v>845</v>
      </c>
      <c r="H194" t="s">
        <v>213</v>
      </c>
      <c r="I194">
        <v>21.080420307948401</v>
      </c>
      <c r="J194">
        <v>8.8196965895225734</v>
      </c>
      <c r="K194">
        <v>0</v>
      </c>
      <c r="L194">
        <v>5.9216124866182147</v>
      </c>
      <c r="Q194" t="s">
        <v>847</v>
      </c>
      <c r="R194" t="s">
        <v>848</v>
      </c>
      <c r="S194" t="s">
        <v>846</v>
      </c>
    </row>
    <row r="195" spans="1:19" x14ac:dyDescent="0.3">
      <c r="A195" t="s">
        <v>849</v>
      </c>
      <c r="B195" t="s">
        <v>850</v>
      </c>
      <c r="C195" t="s">
        <v>114</v>
      </c>
      <c r="D195" t="s">
        <v>35</v>
      </c>
      <c r="E195" t="s">
        <v>150</v>
      </c>
      <c r="F195" t="s">
        <v>114</v>
      </c>
      <c r="G195" t="s">
        <v>190</v>
      </c>
      <c r="H195" t="s">
        <v>75</v>
      </c>
      <c r="I195">
        <v>8.3253833651332059</v>
      </c>
      <c r="J195">
        <v>13.91564086669028</v>
      </c>
      <c r="K195">
        <v>8.2195225364841584E-2</v>
      </c>
      <c r="L195">
        <v>5.8866428425420407</v>
      </c>
      <c r="M195" t="s">
        <v>57</v>
      </c>
      <c r="N195" t="s">
        <v>28</v>
      </c>
      <c r="O195" t="s">
        <v>58</v>
      </c>
      <c r="P195" t="s">
        <v>30</v>
      </c>
      <c r="Q195" t="s">
        <v>140</v>
      </c>
      <c r="R195" t="s">
        <v>141</v>
      </c>
      <c r="S195" t="s">
        <v>850</v>
      </c>
    </row>
    <row r="196" spans="1:19" x14ac:dyDescent="0.3">
      <c r="A196" t="s">
        <v>851</v>
      </c>
      <c r="B196" t="s">
        <v>852</v>
      </c>
      <c r="C196" t="s">
        <v>45</v>
      </c>
      <c r="D196" t="s">
        <v>35</v>
      </c>
      <c r="E196" t="s">
        <v>36</v>
      </c>
      <c r="F196" t="s">
        <v>45</v>
      </c>
      <c r="G196" t="s">
        <v>853</v>
      </c>
      <c r="H196" t="s">
        <v>26</v>
      </c>
      <c r="I196">
        <v>8.1056550773796907</v>
      </c>
      <c r="J196">
        <v>10.16575156452946</v>
      </c>
      <c r="K196">
        <v>2.2192710848507229</v>
      </c>
      <c r="L196">
        <v>5.7151349032792318</v>
      </c>
      <c r="M196" t="s">
        <v>76</v>
      </c>
      <c r="N196" t="s">
        <v>76</v>
      </c>
      <c r="O196" t="s">
        <v>77</v>
      </c>
      <c r="P196" t="s">
        <v>76</v>
      </c>
      <c r="S196" t="s">
        <v>852</v>
      </c>
    </row>
    <row r="197" spans="1:19" x14ac:dyDescent="0.3">
      <c r="A197" t="s">
        <v>854</v>
      </c>
      <c r="B197" t="s">
        <v>855</v>
      </c>
      <c r="C197" t="s">
        <v>243</v>
      </c>
      <c r="D197" t="s">
        <v>35</v>
      </c>
      <c r="E197" t="s">
        <v>389</v>
      </c>
      <c r="F197" t="s">
        <v>73</v>
      </c>
      <c r="G197" t="s">
        <v>854</v>
      </c>
      <c r="H197" t="s">
        <v>213</v>
      </c>
      <c r="I197">
        <v>8.3132375803830119</v>
      </c>
      <c r="J197">
        <v>10.464789477309401</v>
      </c>
      <c r="K197">
        <v>1.811058987985924</v>
      </c>
      <c r="L197">
        <v>5.6309575644955796</v>
      </c>
      <c r="M197" t="s">
        <v>57</v>
      </c>
      <c r="N197" t="s">
        <v>28</v>
      </c>
      <c r="O197" t="s">
        <v>58</v>
      </c>
      <c r="P197" t="s">
        <v>30</v>
      </c>
      <c r="Q197" t="s">
        <v>856</v>
      </c>
      <c r="R197" t="s">
        <v>857</v>
      </c>
      <c r="S197" t="s">
        <v>855</v>
      </c>
    </row>
    <row r="198" spans="1:19" x14ac:dyDescent="0.3">
      <c r="A198" t="s">
        <v>858</v>
      </c>
      <c r="B198" t="s">
        <v>859</v>
      </c>
      <c r="C198" t="s">
        <v>21</v>
      </c>
      <c r="D198" t="s">
        <v>63</v>
      </c>
      <c r="E198" t="s">
        <v>74</v>
      </c>
      <c r="F198" t="s">
        <v>24</v>
      </c>
      <c r="G198" t="s">
        <v>21</v>
      </c>
      <c r="H198" t="s">
        <v>26</v>
      </c>
      <c r="I198">
        <v>0</v>
      </c>
      <c r="J198">
        <v>0</v>
      </c>
      <c r="K198">
        <v>10.687582129469179</v>
      </c>
      <c r="L198">
        <v>5.5969853721858307</v>
      </c>
      <c r="M198" t="s">
        <v>287</v>
      </c>
      <c r="N198" t="s">
        <v>287</v>
      </c>
      <c r="O198" t="s">
        <v>288</v>
      </c>
      <c r="P198" t="s">
        <v>30</v>
      </c>
      <c r="Q198" t="s">
        <v>860</v>
      </c>
      <c r="R198" t="s">
        <v>861</v>
      </c>
      <c r="S198" t="s">
        <v>859</v>
      </c>
    </row>
    <row r="199" spans="1:19" x14ac:dyDescent="0.3">
      <c r="A199" t="s">
        <v>862</v>
      </c>
      <c r="B199" t="s">
        <v>863</v>
      </c>
      <c r="C199" t="s">
        <v>21</v>
      </c>
      <c r="D199" t="s">
        <v>63</v>
      </c>
      <c r="E199" t="s">
        <v>74</v>
      </c>
      <c r="F199" t="s">
        <v>24</v>
      </c>
      <c r="G199" t="s">
        <v>21</v>
      </c>
      <c r="H199" t="s">
        <v>26</v>
      </c>
      <c r="I199">
        <v>0</v>
      </c>
      <c r="J199">
        <v>0</v>
      </c>
      <c r="K199">
        <v>10.515005034293161</v>
      </c>
      <c r="L199">
        <v>5.5066083846152578</v>
      </c>
      <c r="M199" t="s">
        <v>287</v>
      </c>
      <c r="N199" t="s">
        <v>287</v>
      </c>
      <c r="O199" t="s">
        <v>288</v>
      </c>
      <c r="P199" t="s">
        <v>30</v>
      </c>
      <c r="Q199" t="s">
        <v>622</v>
      </c>
      <c r="R199" t="s">
        <v>623</v>
      </c>
      <c r="S199" t="s">
        <v>863</v>
      </c>
    </row>
    <row r="200" spans="1:19" x14ac:dyDescent="0.3">
      <c r="A200" t="s">
        <v>864</v>
      </c>
      <c r="B200" t="s">
        <v>865</v>
      </c>
      <c r="C200" t="s">
        <v>43</v>
      </c>
      <c r="D200" t="s">
        <v>35</v>
      </c>
      <c r="E200" t="s">
        <v>278</v>
      </c>
      <c r="F200" t="s">
        <v>45</v>
      </c>
      <c r="G200" t="s">
        <v>43</v>
      </c>
      <c r="H200" t="s">
        <v>26</v>
      </c>
      <c r="I200">
        <v>2.3238934822038488</v>
      </c>
      <c r="J200">
        <v>1.944284547565633</v>
      </c>
      <c r="K200">
        <v>8.522000965826777</v>
      </c>
      <c r="L200">
        <v>5.4422477102889486</v>
      </c>
      <c r="M200" t="s">
        <v>27</v>
      </c>
      <c r="N200" t="s">
        <v>28</v>
      </c>
      <c r="O200" t="s">
        <v>29</v>
      </c>
      <c r="P200" t="s">
        <v>30</v>
      </c>
      <c r="Q200" t="s">
        <v>866</v>
      </c>
      <c r="R200" t="s">
        <v>867</v>
      </c>
      <c r="S200" t="s">
        <v>865</v>
      </c>
    </row>
    <row r="201" spans="1:19" x14ac:dyDescent="0.3">
      <c r="A201" t="s">
        <v>868</v>
      </c>
      <c r="B201" t="s">
        <v>869</v>
      </c>
      <c r="C201" t="s">
        <v>307</v>
      </c>
      <c r="D201" t="s">
        <v>35</v>
      </c>
      <c r="E201" t="s">
        <v>150</v>
      </c>
      <c r="F201" t="s">
        <v>251</v>
      </c>
      <c r="G201" t="s">
        <v>307</v>
      </c>
      <c r="H201" t="s">
        <v>75</v>
      </c>
      <c r="I201">
        <v>4.0700647382595658</v>
      </c>
      <c r="J201">
        <v>5.1094740130672651</v>
      </c>
      <c r="K201">
        <v>6.0038680415494872</v>
      </c>
      <c r="L201">
        <v>5.431985815720064</v>
      </c>
      <c r="M201" t="s">
        <v>57</v>
      </c>
      <c r="N201" t="s">
        <v>28</v>
      </c>
      <c r="O201" t="s">
        <v>58</v>
      </c>
      <c r="P201" t="s">
        <v>30</v>
      </c>
      <c r="Q201" t="s">
        <v>870</v>
      </c>
      <c r="R201" t="s">
        <v>871</v>
      </c>
      <c r="S201" t="s">
        <v>869</v>
      </c>
    </row>
    <row r="202" spans="1:19" x14ac:dyDescent="0.3">
      <c r="A202" t="s">
        <v>872</v>
      </c>
      <c r="B202" t="s">
        <v>873</v>
      </c>
      <c r="C202" t="s">
        <v>21</v>
      </c>
      <c r="D202" t="s">
        <v>63</v>
      </c>
      <c r="E202" t="s">
        <v>74</v>
      </c>
      <c r="F202" t="s">
        <v>24</v>
      </c>
      <c r="G202" t="s">
        <v>21</v>
      </c>
      <c r="H202" t="s">
        <v>26</v>
      </c>
      <c r="I202">
        <v>0</v>
      </c>
      <c r="J202">
        <v>0</v>
      </c>
      <c r="K202">
        <v>10.28074864200336</v>
      </c>
      <c r="L202">
        <v>5.3839305342741763</v>
      </c>
      <c r="M202" t="s">
        <v>287</v>
      </c>
      <c r="N202" t="s">
        <v>287</v>
      </c>
      <c r="O202" t="s">
        <v>288</v>
      </c>
      <c r="P202" t="s">
        <v>30</v>
      </c>
      <c r="Q202" t="s">
        <v>622</v>
      </c>
      <c r="R202" t="s">
        <v>623</v>
      </c>
      <c r="S202" t="s">
        <v>873</v>
      </c>
    </row>
    <row r="203" spans="1:19" x14ac:dyDescent="0.3">
      <c r="A203" t="s">
        <v>874</v>
      </c>
      <c r="B203" t="s">
        <v>875</v>
      </c>
      <c r="C203" t="s">
        <v>73</v>
      </c>
      <c r="D203" t="s">
        <v>35</v>
      </c>
      <c r="E203" t="s">
        <v>128</v>
      </c>
      <c r="F203" t="s">
        <v>73</v>
      </c>
      <c r="G203" t="s">
        <v>876</v>
      </c>
      <c r="H203" t="s">
        <v>75</v>
      </c>
      <c r="I203">
        <v>12.41569107797643</v>
      </c>
      <c r="J203">
        <v>10.38202234292387</v>
      </c>
      <c r="K203">
        <v>0.2013783021438619</v>
      </c>
      <c r="L203">
        <v>5.3359269066600117</v>
      </c>
      <c r="M203" t="s">
        <v>57</v>
      </c>
      <c r="N203" t="s">
        <v>28</v>
      </c>
      <c r="O203" t="s">
        <v>58</v>
      </c>
      <c r="P203" t="s">
        <v>30</v>
      </c>
      <c r="Q203" t="s">
        <v>870</v>
      </c>
      <c r="R203" t="s">
        <v>871</v>
      </c>
      <c r="S203" t="s">
        <v>875</v>
      </c>
    </row>
    <row r="204" spans="1:19" x14ac:dyDescent="0.3">
      <c r="A204" t="s">
        <v>877</v>
      </c>
      <c r="B204" t="s">
        <v>878</v>
      </c>
      <c r="C204" t="s">
        <v>24</v>
      </c>
      <c r="D204" t="s">
        <v>63</v>
      </c>
      <c r="E204" t="s">
        <v>74</v>
      </c>
      <c r="F204" t="s">
        <v>24</v>
      </c>
      <c r="G204" t="s">
        <v>879</v>
      </c>
      <c r="H204" t="s">
        <v>26</v>
      </c>
      <c r="I204">
        <v>0.26021423692083012</v>
      </c>
      <c r="J204">
        <v>0.35838425433935578</v>
      </c>
      <c r="K204">
        <v>9.5566744627194034</v>
      </c>
      <c r="L204">
        <v>5.1616640963720011</v>
      </c>
      <c r="M204" t="s">
        <v>159</v>
      </c>
      <c r="N204" t="s">
        <v>160</v>
      </c>
      <c r="O204" t="s">
        <v>161</v>
      </c>
      <c r="P204" t="s">
        <v>124</v>
      </c>
      <c r="Q204" t="s">
        <v>880</v>
      </c>
      <c r="R204" t="s">
        <v>881</v>
      </c>
      <c r="S204" t="s">
        <v>878</v>
      </c>
    </row>
    <row r="205" spans="1:19" x14ac:dyDescent="0.3">
      <c r="A205" t="s">
        <v>882</v>
      </c>
      <c r="B205" t="s">
        <v>883</v>
      </c>
      <c r="C205" t="s">
        <v>21</v>
      </c>
      <c r="D205" t="s">
        <v>35</v>
      </c>
      <c r="E205" t="s">
        <v>150</v>
      </c>
      <c r="F205" t="s">
        <v>24</v>
      </c>
      <c r="G205" t="s">
        <v>25</v>
      </c>
      <c r="H205" t="s">
        <v>26</v>
      </c>
      <c r="I205">
        <v>4.2801009351518147</v>
      </c>
      <c r="J205">
        <v>3.585687507379856</v>
      </c>
      <c r="K205">
        <v>6.2139590375820273</v>
      </c>
      <c r="L205">
        <v>5.0595444710565003</v>
      </c>
      <c r="M205" t="s">
        <v>76</v>
      </c>
      <c r="N205" t="s">
        <v>76</v>
      </c>
      <c r="O205" t="s">
        <v>77</v>
      </c>
      <c r="P205" t="s">
        <v>76</v>
      </c>
      <c r="S205" t="s">
        <v>883</v>
      </c>
    </row>
    <row r="206" spans="1:19" x14ac:dyDescent="0.3">
      <c r="A206" t="s">
        <v>884</v>
      </c>
      <c r="B206" t="s">
        <v>885</v>
      </c>
      <c r="C206" t="s">
        <v>21</v>
      </c>
      <c r="D206" t="s">
        <v>63</v>
      </c>
      <c r="E206" t="s">
        <v>74</v>
      </c>
      <c r="F206" t="s">
        <v>24</v>
      </c>
      <c r="G206" t="s">
        <v>21</v>
      </c>
      <c r="H206" t="s">
        <v>26</v>
      </c>
      <c r="I206">
        <v>3.609506395307752</v>
      </c>
      <c r="J206">
        <v>3.177027984413745</v>
      </c>
      <c r="K206">
        <v>6.6142497851088011</v>
      </c>
      <c r="L206">
        <v>5.0377637720134851</v>
      </c>
      <c r="M206" t="s">
        <v>63</v>
      </c>
      <c r="N206" t="s">
        <v>28</v>
      </c>
      <c r="O206" t="s">
        <v>86</v>
      </c>
      <c r="P206" t="s">
        <v>30</v>
      </c>
      <c r="Q206" t="s">
        <v>886</v>
      </c>
      <c r="R206" t="s">
        <v>887</v>
      </c>
      <c r="S206" t="s">
        <v>885</v>
      </c>
    </row>
    <row r="207" spans="1:19" x14ac:dyDescent="0.3">
      <c r="A207" t="s">
        <v>888</v>
      </c>
      <c r="B207" t="s">
        <v>889</v>
      </c>
      <c r="C207" t="s">
        <v>307</v>
      </c>
      <c r="D207" t="s">
        <v>63</v>
      </c>
      <c r="E207" t="s">
        <v>74</v>
      </c>
      <c r="F207" t="s">
        <v>251</v>
      </c>
      <c r="G207" t="s">
        <v>307</v>
      </c>
      <c r="H207" t="s">
        <v>75</v>
      </c>
      <c r="I207">
        <v>8.7504858313900087</v>
      </c>
      <c r="J207">
        <v>9.875733475682555</v>
      </c>
      <c r="K207">
        <v>0.88540696763007387</v>
      </c>
      <c r="L207">
        <v>5.0096640875564136</v>
      </c>
      <c r="M207" t="s">
        <v>63</v>
      </c>
      <c r="N207" t="s">
        <v>28</v>
      </c>
      <c r="O207" t="s">
        <v>86</v>
      </c>
      <c r="P207" t="s">
        <v>30</v>
      </c>
      <c r="Q207" t="s">
        <v>890</v>
      </c>
      <c r="R207" t="s">
        <v>891</v>
      </c>
      <c r="S207" t="s">
        <v>889</v>
      </c>
    </row>
    <row r="208" spans="1:19" x14ac:dyDescent="0.3">
      <c r="A208" t="s">
        <v>892</v>
      </c>
      <c r="B208" t="s">
        <v>893</v>
      </c>
      <c r="C208" t="s">
        <v>196</v>
      </c>
      <c r="D208" t="s">
        <v>35</v>
      </c>
      <c r="E208" t="s">
        <v>80</v>
      </c>
      <c r="F208" t="s">
        <v>228</v>
      </c>
      <c r="G208" t="s">
        <v>196</v>
      </c>
      <c r="H208" t="s">
        <v>75</v>
      </c>
      <c r="I208">
        <v>5.104910135915012</v>
      </c>
      <c r="J208">
        <v>6.3492898118628718</v>
      </c>
      <c r="K208">
        <v>4.0505807059793932</v>
      </c>
      <c r="L208">
        <v>4.9708376240449548</v>
      </c>
      <c r="M208" t="s">
        <v>63</v>
      </c>
      <c r="N208" t="s">
        <v>28</v>
      </c>
      <c r="O208" t="s">
        <v>86</v>
      </c>
      <c r="P208" t="s">
        <v>30</v>
      </c>
      <c r="Q208" t="s">
        <v>894</v>
      </c>
      <c r="R208" t="s">
        <v>895</v>
      </c>
      <c r="S208" t="s">
        <v>896</v>
      </c>
    </row>
    <row r="209" spans="1:19" x14ac:dyDescent="0.3">
      <c r="A209" t="s">
        <v>897</v>
      </c>
      <c r="B209" t="s">
        <v>898</v>
      </c>
      <c r="C209" t="s">
        <v>73</v>
      </c>
      <c r="D209" t="s">
        <v>63</v>
      </c>
      <c r="E209" t="s">
        <v>74</v>
      </c>
      <c r="F209" t="s">
        <v>73</v>
      </c>
      <c r="G209" t="s">
        <v>876</v>
      </c>
      <c r="H209" t="s">
        <v>75</v>
      </c>
      <c r="I209">
        <v>5.6165053117565318</v>
      </c>
      <c r="J209">
        <v>4.6967658191312101</v>
      </c>
      <c r="K209">
        <v>4.8883144428978582</v>
      </c>
      <c r="L209">
        <v>4.9261570596049404</v>
      </c>
      <c r="M209" t="s">
        <v>57</v>
      </c>
      <c r="N209" t="s">
        <v>28</v>
      </c>
      <c r="O209" t="s">
        <v>58</v>
      </c>
      <c r="P209" t="s">
        <v>30</v>
      </c>
      <c r="Q209" t="s">
        <v>899</v>
      </c>
      <c r="R209" t="s">
        <v>900</v>
      </c>
      <c r="S209" t="s">
        <v>901</v>
      </c>
    </row>
    <row r="210" spans="1:19" x14ac:dyDescent="0.3">
      <c r="A210" t="s">
        <v>902</v>
      </c>
      <c r="B210" t="s">
        <v>903</v>
      </c>
      <c r="C210" t="s">
        <v>24</v>
      </c>
      <c r="D210" t="s">
        <v>35</v>
      </c>
      <c r="E210" t="s">
        <v>389</v>
      </c>
      <c r="F210" t="s">
        <v>55</v>
      </c>
      <c r="G210" t="s">
        <v>904</v>
      </c>
      <c r="H210" t="s">
        <v>26</v>
      </c>
      <c r="I210">
        <v>3.2362995548017799</v>
      </c>
      <c r="J210">
        <v>5.6853590217918946</v>
      </c>
      <c r="K210">
        <v>4.8823963866715916</v>
      </c>
      <c r="L210">
        <v>4.921146637927853</v>
      </c>
      <c r="M210" t="s">
        <v>57</v>
      </c>
      <c r="N210" t="s">
        <v>28</v>
      </c>
      <c r="O210" t="s">
        <v>58</v>
      </c>
      <c r="P210" t="s">
        <v>30</v>
      </c>
      <c r="Q210" t="s">
        <v>905</v>
      </c>
      <c r="R210" t="s">
        <v>906</v>
      </c>
      <c r="S210" t="s">
        <v>903</v>
      </c>
    </row>
    <row r="211" spans="1:19" x14ac:dyDescent="0.3">
      <c r="A211" t="s">
        <v>907</v>
      </c>
      <c r="B211" t="s">
        <v>908</v>
      </c>
      <c r="C211" t="s">
        <v>314</v>
      </c>
      <c r="D211" t="s">
        <v>63</v>
      </c>
      <c r="E211" t="s">
        <v>331</v>
      </c>
      <c r="F211" t="s">
        <v>314</v>
      </c>
      <c r="G211" t="s">
        <v>907</v>
      </c>
      <c r="H211" t="s">
        <v>213</v>
      </c>
      <c r="I211">
        <v>11.688416209298129</v>
      </c>
      <c r="J211">
        <v>8.8208753165138205</v>
      </c>
      <c r="K211">
        <v>0.49895227078423537</v>
      </c>
      <c r="L211">
        <v>4.8652025922715234</v>
      </c>
      <c r="M211" t="s">
        <v>63</v>
      </c>
      <c r="N211" t="s">
        <v>28</v>
      </c>
      <c r="O211" t="s">
        <v>86</v>
      </c>
      <c r="P211" t="s">
        <v>30</v>
      </c>
      <c r="Q211" t="s">
        <v>909</v>
      </c>
      <c r="R211" t="s">
        <v>910</v>
      </c>
      <c r="S211" t="s">
        <v>908</v>
      </c>
    </row>
    <row r="212" spans="1:19" x14ac:dyDescent="0.3">
      <c r="A212" t="s">
        <v>911</v>
      </c>
      <c r="B212" t="s">
        <v>912</v>
      </c>
      <c r="C212" t="s">
        <v>24</v>
      </c>
      <c r="D212" t="s">
        <v>63</v>
      </c>
      <c r="E212" t="s">
        <v>74</v>
      </c>
      <c r="F212" t="s">
        <v>24</v>
      </c>
      <c r="G212" t="s">
        <v>911</v>
      </c>
      <c r="H212" t="s">
        <v>26</v>
      </c>
      <c r="I212">
        <v>4.7563629189927683</v>
      </c>
      <c r="J212">
        <v>9.2576192912714337</v>
      </c>
      <c r="K212">
        <v>1.612867590199067</v>
      </c>
      <c r="L212">
        <v>4.6224153111323787</v>
      </c>
      <c r="M212" t="s">
        <v>57</v>
      </c>
      <c r="N212" t="s">
        <v>28</v>
      </c>
      <c r="O212" t="s">
        <v>58</v>
      </c>
      <c r="P212" t="s">
        <v>30</v>
      </c>
      <c r="Q212" t="s">
        <v>913</v>
      </c>
      <c r="R212" t="s">
        <v>914</v>
      </c>
      <c r="S212" t="s">
        <v>915</v>
      </c>
    </row>
    <row r="213" spans="1:19" x14ac:dyDescent="0.3">
      <c r="A213" t="s">
        <v>916</v>
      </c>
      <c r="B213" t="s">
        <v>917</v>
      </c>
      <c r="C213" t="s">
        <v>114</v>
      </c>
      <c r="D213" t="s">
        <v>63</v>
      </c>
      <c r="E213" t="s">
        <v>74</v>
      </c>
      <c r="F213" t="s">
        <v>114</v>
      </c>
      <c r="G213" t="s">
        <v>115</v>
      </c>
      <c r="H213" t="s">
        <v>75</v>
      </c>
      <c r="I213">
        <v>5.914629119261301</v>
      </c>
      <c r="J213">
        <v>9.947277079151414</v>
      </c>
      <c r="K213">
        <v>0.71181065165952817</v>
      </c>
      <c r="L213">
        <v>4.5447968199972779</v>
      </c>
      <c r="M213" t="s">
        <v>76</v>
      </c>
      <c r="N213" t="s">
        <v>76</v>
      </c>
      <c r="O213" t="s">
        <v>77</v>
      </c>
      <c r="P213" t="s">
        <v>76</v>
      </c>
      <c r="S213" t="s">
        <v>917</v>
      </c>
    </row>
    <row r="214" spans="1:19" x14ac:dyDescent="0.3">
      <c r="A214" t="s">
        <v>918</v>
      </c>
      <c r="B214" t="s">
        <v>919</v>
      </c>
      <c r="C214" t="s">
        <v>43</v>
      </c>
      <c r="D214" t="s">
        <v>63</v>
      </c>
      <c r="E214" t="s">
        <v>74</v>
      </c>
      <c r="F214" t="s">
        <v>45</v>
      </c>
      <c r="G214" t="s">
        <v>43</v>
      </c>
      <c r="H214" t="s">
        <v>26</v>
      </c>
      <c r="I214">
        <v>1.340821025604787</v>
      </c>
      <c r="J214">
        <v>1.323505415174296</v>
      </c>
      <c r="K214">
        <v>7.456750845098429</v>
      </c>
      <c r="L214">
        <v>4.5378579886025472</v>
      </c>
      <c r="M214" t="s">
        <v>63</v>
      </c>
      <c r="N214" t="s">
        <v>28</v>
      </c>
      <c r="O214" t="s">
        <v>86</v>
      </c>
      <c r="P214" t="s">
        <v>30</v>
      </c>
      <c r="Q214" t="s">
        <v>870</v>
      </c>
      <c r="R214" t="s">
        <v>871</v>
      </c>
      <c r="S214" t="s">
        <v>919</v>
      </c>
    </row>
    <row r="215" spans="1:19" x14ac:dyDescent="0.3">
      <c r="A215" t="s">
        <v>920</v>
      </c>
      <c r="B215" t="s">
        <v>921</v>
      </c>
      <c r="C215" t="s">
        <v>228</v>
      </c>
      <c r="D215" t="s">
        <v>63</v>
      </c>
      <c r="E215" t="s">
        <v>74</v>
      </c>
      <c r="F215" t="s">
        <v>228</v>
      </c>
      <c r="G215" t="s">
        <v>196</v>
      </c>
      <c r="H215" t="s">
        <v>75</v>
      </c>
      <c r="I215">
        <v>4.1583977182609786</v>
      </c>
      <c r="J215">
        <v>5.2053608913554008</v>
      </c>
      <c r="K215">
        <v>4.2021487015521606</v>
      </c>
      <c r="L215">
        <v>4.5330541822523491</v>
      </c>
      <c r="M215" t="s">
        <v>63</v>
      </c>
      <c r="N215" t="s">
        <v>28</v>
      </c>
      <c r="O215" t="s">
        <v>86</v>
      </c>
      <c r="P215" t="s">
        <v>30</v>
      </c>
      <c r="Q215" t="s">
        <v>922</v>
      </c>
      <c r="R215" t="s">
        <v>923</v>
      </c>
      <c r="S215" t="s">
        <v>743</v>
      </c>
    </row>
    <row r="216" spans="1:19" x14ac:dyDescent="0.3">
      <c r="A216" t="s">
        <v>924</v>
      </c>
      <c r="B216" t="s">
        <v>925</v>
      </c>
      <c r="C216" t="s">
        <v>43</v>
      </c>
      <c r="D216" t="s">
        <v>485</v>
      </c>
      <c r="F216" t="s">
        <v>45</v>
      </c>
      <c r="G216" t="s">
        <v>43</v>
      </c>
      <c r="H216" t="s">
        <v>26</v>
      </c>
      <c r="I216">
        <v>3.6082795483632881</v>
      </c>
      <c r="J216">
        <v>3.6558473878589881</v>
      </c>
      <c r="K216">
        <v>5.3110280479041663</v>
      </c>
      <c r="L216">
        <v>4.5159739818960896</v>
      </c>
      <c r="M216" t="s">
        <v>46</v>
      </c>
      <c r="N216" t="s">
        <v>28</v>
      </c>
      <c r="O216" t="s">
        <v>926</v>
      </c>
      <c r="P216" t="s">
        <v>30</v>
      </c>
      <c r="Q216" t="s">
        <v>870</v>
      </c>
      <c r="R216" t="s">
        <v>871</v>
      </c>
      <c r="S216" t="s">
        <v>925</v>
      </c>
    </row>
    <row r="217" spans="1:19" x14ac:dyDescent="0.3">
      <c r="A217" t="s">
        <v>927</v>
      </c>
      <c r="B217" t="s">
        <v>928</v>
      </c>
      <c r="C217" t="s">
        <v>314</v>
      </c>
      <c r="D217" t="s">
        <v>63</v>
      </c>
      <c r="E217" t="s">
        <v>323</v>
      </c>
      <c r="F217" t="s">
        <v>314</v>
      </c>
      <c r="G217" t="s">
        <v>927</v>
      </c>
      <c r="H217" t="s">
        <v>213</v>
      </c>
      <c r="I217">
        <v>5.7575927103698996</v>
      </c>
      <c r="J217">
        <v>11.00927264262538</v>
      </c>
      <c r="K217">
        <v>0</v>
      </c>
      <c r="L217">
        <v>4.5067842339548836</v>
      </c>
      <c r="M217" t="s">
        <v>63</v>
      </c>
      <c r="N217" t="s">
        <v>28</v>
      </c>
      <c r="O217" t="s">
        <v>86</v>
      </c>
      <c r="P217" t="s">
        <v>30</v>
      </c>
      <c r="Q217" t="s">
        <v>929</v>
      </c>
      <c r="R217" t="s">
        <v>548</v>
      </c>
      <c r="S217" t="s">
        <v>928</v>
      </c>
    </row>
    <row r="218" spans="1:19" x14ac:dyDescent="0.3">
      <c r="A218" t="s">
        <v>930</v>
      </c>
      <c r="B218" t="s">
        <v>931</v>
      </c>
      <c r="C218" t="s">
        <v>307</v>
      </c>
      <c r="D218" t="s">
        <v>53</v>
      </c>
      <c r="E218" t="s">
        <v>54</v>
      </c>
      <c r="F218" t="s">
        <v>750</v>
      </c>
      <c r="G218" t="s">
        <v>307</v>
      </c>
      <c r="H218" t="s">
        <v>75</v>
      </c>
      <c r="I218">
        <v>7.8757439599871244</v>
      </c>
      <c r="J218">
        <v>9.8654324267590301</v>
      </c>
      <c r="K218">
        <v>0.1495953101640117</v>
      </c>
      <c r="L218">
        <v>4.498101756120084</v>
      </c>
      <c r="M218" t="s">
        <v>57</v>
      </c>
      <c r="N218" t="s">
        <v>28</v>
      </c>
      <c r="O218" t="s">
        <v>58</v>
      </c>
      <c r="P218" t="s">
        <v>30</v>
      </c>
      <c r="Q218" t="s">
        <v>870</v>
      </c>
      <c r="R218" t="s">
        <v>871</v>
      </c>
      <c r="S218" t="s">
        <v>931</v>
      </c>
    </row>
    <row r="219" spans="1:19" x14ac:dyDescent="0.3">
      <c r="A219" t="s">
        <v>932</v>
      </c>
      <c r="B219" t="s">
        <v>933</v>
      </c>
      <c r="C219" t="s">
        <v>251</v>
      </c>
      <c r="D219" t="s">
        <v>63</v>
      </c>
      <c r="E219" t="s">
        <v>74</v>
      </c>
      <c r="F219" t="s">
        <v>251</v>
      </c>
      <c r="G219" t="s">
        <v>934</v>
      </c>
      <c r="H219" t="s">
        <v>213</v>
      </c>
      <c r="I219">
        <v>13.844599714193739</v>
      </c>
      <c r="J219">
        <v>7.5969467076002672</v>
      </c>
      <c r="K219">
        <v>0</v>
      </c>
      <c r="L219">
        <v>4.4953124492070664</v>
      </c>
      <c r="Q219" t="s">
        <v>935</v>
      </c>
      <c r="R219" t="s">
        <v>734</v>
      </c>
      <c r="S219" t="s">
        <v>933</v>
      </c>
    </row>
    <row r="220" spans="1:19" x14ac:dyDescent="0.3">
      <c r="A220" t="s">
        <v>936</v>
      </c>
      <c r="B220" t="s">
        <v>937</v>
      </c>
      <c r="C220" t="s">
        <v>251</v>
      </c>
      <c r="D220" t="s">
        <v>63</v>
      </c>
      <c r="E220" t="s">
        <v>315</v>
      </c>
      <c r="F220" t="s">
        <v>251</v>
      </c>
      <c r="G220" t="s">
        <v>936</v>
      </c>
      <c r="H220" t="s">
        <v>213</v>
      </c>
      <c r="I220">
        <v>31.902069150982651</v>
      </c>
      <c r="J220">
        <v>0</v>
      </c>
      <c r="K220">
        <v>0</v>
      </c>
      <c r="L220">
        <v>4.4772336081041697</v>
      </c>
      <c r="S220" t="s">
        <v>937</v>
      </c>
    </row>
    <row r="221" spans="1:19" x14ac:dyDescent="0.3">
      <c r="A221" t="s">
        <v>938</v>
      </c>
      <c r="B221" t="s">
        <v>939</v>
      </c>
      <c r="C221" t="s">
        <v>314</v>
      </c>
      <c r="D221" t="s">
        <v>63</v>
      </c>
      <c r="E221" t="s">
        <v>575</v>
      </c>
      <c r="F221" t="s">
        <v>314</v>
      </c>
      <c r="G221" t="s">
        <v>940</v>
      </c>
      <c r="H221" t="s">
        <v>213</v>
      </c>
      <c r="I221">
        <v>31.791775610675341</v>
      </c>
      <c r="J221">
        <v>3.7418265948982142E-2</v>
      </c>
      <c r="K221">
        <v>0</v>
      </c>
      <c r="L221">
        <v>4.4743259580979604</v>
      </c>
      <c r="M221" t="s">
        <v>121</v>
      </c>
      <c r="N221" t="s">
        <v>122</v>
      </c>
      <c r="O221" t="s">
        <v>123</v>
      </c>
      <c r="P221" t="s">
        <v>124</v>
      </c>
      <c r="Q221" t="s">
        <v>941</v>
      </c>
      <c r="R221" t="s">
        <v>942</v>
      </c>
      <c r="S221" t="s">
        <v>939</v>
      </c>
    </row>
    <row r="222" spans="1:19" x14ac:dyDescent="0.3">
      <c r="A222" t="s">
        <v>943</v>
      </c>
      <c r="B222" t="s">
        <v>944</v>
      </c>
      <c r="C222" t="s">
        <v>43</v>
      </c>
      <c r="D222" t="s">
        <v>35</v>
      </c>
      <c r="E222" t="s">
        <v>36</v>
      </c>
      <c r="F222" t="s">
        <v>45</v>
      </c>
      <c r="G222" t="s">
        <v>43</v>
      </c>
      <c r="H222" t="s">
        <v>26</v>
      </c>
      <c r="I222">
        <v>0</v>
      </c>
      <c r="J222">
        <v>13.283740701381509</v>
      </c>
      <c r="K222">
        <v>0</v>
      </c>
      <c r="L222">
        <v>4.4628910608292047</v>
      </c>
      <c r="M222" t="s">
        <v>76</v>
      </c>
      <c r="N222" t="s">
        <v>76</v>
      </c>
      <c r="O222" t="s">
        <v>77</v>
      </c>
      <c r="P222" t="s">
        <v>76</v>
      </c>
      <c r="S222" t="s">
        <v>944</v>
      </c>
    </row>
    <row r="223" spans="1:19" x14ac:dyDescent="0.3">
      <c r="A223" t="s">
        <v>945</v>
      </c>
      <c r="B223" t="s">
        <v>946</v>
      </c>
      <c r="C223" t="s">
        <v>21</v>
      </c>
      <c r="D223" t="s">
        <v>53</v>
      </c>
      <c r="E223" t="s">
        <v>947</v>
      </c>
      <c r="F223" t="s">
        <v>24</v>
      </c>
      <c r="G223" t="s">
        <v>25</v>
      </c>
      <c r="H223" t="s">
        <v>26</v>
      </c>
      <c r="I223">
        <v>10.599957600169599</v>
      </c>
      <c r="J223">
        <v>4.4279135671271694</v>
      </c>
      <c r="K223">
        <v>2.8406669886089251</v>
      </c>
      <c r="L223">
        <v>4.4628910608292047</v>
      </c>
      <c r="M223" t="s">
        <v>121</v>
      </c>
      <c r="N223" t="s">
        <v>122</v>
      </c>
      <c r="O223" t="s">
        <v>123</v>
      </c>
      <c r="P223" t="s">
        <v>124</v>
      </c>
      <c r="Q223" t="s">
        <v>948</v>
      </c>
      <c r="R223" t="s">
        <v>949</v>
      </c>
      <c r="S223" t="s">
        <v>946</v>
      </c>
    </row>
    <row r="224" spans="1:19" x14ac:dyDescent="0.3">
      <c r="A224" t="s">
        <v>950</v>
      </c>
      <c r="B224" t="s">
        <v>951</v>
      </c>
      <c r="C224" t="s">
        <v>251</v>
      </c>
      <c r="D224" t="s">
        <v>63</v>
      </c>
      <c r="E224" t="s">
        <v>575</v>
      </c>
      <c r="F224" t="s">
        <v>251</v>
      </c>
      <c r="G224" t="s">
        <v>950</v>
      </c>
      <c r="H224" t="s">
        <v>317</v>
      </c>
      <c r="I224">
        <v>10.599957600169599</v>
      </c>
      <c r="J224">
        <v>4.4279135671271694</v>
      </c>
      <c r="K224">
        <v>2.8406669886089251</v>
      </c>
      <c r="L224">
        <v>4.4628910608292047</v>
      </c>
      <c r="S224" t="s">
        <v>951</v>
      </c>
    </row>
    <row r="225" spans="1:19" x14ac:dyDescent="0.3">
      <c r="A225" t="s">
        <v>952</v>
      </c>
      <c r="B225" t="s">
        <v>953</v>
      </c>
      <c r="C225" t="s">
        <v>43</v>
      </c>
      <c r="D225" t="s">
        <v>35</v>
      </c>
      <c r="E225" t="s">
        <v>80</v>
      </c>
      <c r="F225" t="s">
        <v>45</v>
      </c>
      <c r="G225" t="s">
        <v>43</v>
      </c>
      <c r="H225" t="s">
        <v>26</v>
      </c>
      <c r="I225">
        <v>10.599957600169599</v>
      </c>
      <c r="J225">
        <v>8.8558271342543389</v>
      </c>
      <c r="K225">
        <v>0</v>
      </c>
      <c r="L225">
        <v>4.4628910608292047</v>
      </c>
      <c r="M225" t="s">
        <v>76</v>
      </c>
      <c r="N225" t="s">
        <v>76</v>
      </c>
      <c r="O225" t="s">
        <v>77</v>
      </c>
      <c r="P225" t="s">
        <v>76</v>
      </c>
      <c r="S225" t="s">
        <v>953</v>
      </c>
    </row>
    <row r="226" spans="1:19" x14ac:dyDescent="0.3">
      <c r="A226" t="s">
        <v>954</v>
      </c>
      <c r="B226" t="s">
        <v>955</v>
      </c>
      <c r="C226" t="s">
        <v>251</v>
      </c>
      <c r="D226" t="s">
        <v>35</v>
      </c>
      <c r="E226" t="s">
        <v>44</v>
      </c>
      <c r="F226" t="s">
        <v>251</v>
      </c>
      <c r="G226" t="s">
        <v>956</v>
      </c>
      <c r="H226" t="s">
        <v>213</v>
      </c>
      <c r="I226">
        <v>0</v>
      </c>
      <c r="J226">
        <v>13.283740701381509</v>
      </c>
      <c r="K226">
        <v>0</v>
      </c>
      <c r="L226">
        <v>4.4628910608292047</v>
      </c>
      <c r="S226" t="s">
        <v>955</v>
      </c>
    </row>
    <row r="227" spans="1:19" x14ac:dyDescent="0.3">
      <c r="A227" t="s">
        <v>957</v>
      </c>
      <c r="B227" t="s">
        <v>958</v>
      </c>
      <c r="E227" t="s">
        <v>389</v>
      </c>
      <c r="F227" t="s">
        <v>959</v>
      </c>
      <c r="G227" t="s">
        <v>960</v>
      </c>
      <c r="H227" t="s">
        <v>213</v>
      </c>
      <c r="I227">
        <v>0</v>
      </c>
      <c r="J227">
        <v>13.283740701381509</v>
      </c>
      <c r="K227">
        <v>0</v>
      </c>
      <c r="L227">
        <v>4.4628910608292047</v>
      </c>
      <c r="M227" t="s">
        <v>76</v>
      </c>
      <c r="N227" t="s">
        <v>76</v>
      </c>
      <c r="O227" t="s">
        <v>77</v>
      </c>
      <c r="P227" t="s">
        <v>76</v>
      </c>
      <c r="Q227" t="s">
        <v>961</v>
      </c>
      <c r="R227" t="s">
        <v>962</v>
      </c>
      <c r="S227" t="s">
        <v>831</v>
      </c>
    </row>
    <row r="228" spans="1:19" x14ac:dyDescent="0.3">
      <c r="A228" t="s">
        <v>963</v>
      </c>
      <c r="B228" t="s">
        <v>964</v>
      </c>
      <c r="C228" t="s">
        <v>251</v>
      </c>
      <c r="D228" t="s">
        <v>63</v>
      </c>
      <c r="E228" t="s">
        <v>323</v>
      </c>
      <c r="F228" t="s">
        <v>251</v>
      </c>
      <c r="G228" t="s">
        <v>963</v>
      </c>
      <c r="H228" t="s">
        <v>213</v>
      </c>
      <c r="I228">
        <v>31.79287977292535</v>
      </c>
      <c r="J228">
        <v>0</v>
      </c>
      <c r="K228">
        <v>0</v>
      </c>
      <c r="L228">
        <v>4.4619096380264773</v>
      </c>
      <c r="S228" t="s">
        <v>964</v>
      </c>
    </row>
    <row r="229" spans="1:19" x14ac:dyDescent="0.3">
      <c r="A229" t="s">
        <v>965</v>
      </c>
      <c r="B229" t="s">
        <v>966</v>
      </c>
      <c r="C229" t="s">
        <v>24</v>
      </c>
      <c r="D229" t="s">
        <v>63</v>
      </c>
      <c r="E229" t="s">
        <v>74</v>
      </c>
      <c r="F229" t="s">
        <v>24</v>
      </c>
      <c r="G229" t="s">
        <v>967</v>
      </c>
      <c r="H229" t="s">
        <v>213</v>
      </c>
      <c r="I229">
        <v>31.790671448425311</v>
      </c>
      <c r="J229">
        <v>0</v>
      </c>
      <c r="K229">
        <v>0</v>
      </c>
      <c r="L229">
        <v>4.4615997150361411</v>
      </c>
      <c r="M229" t="s">
        <v>287</v>
      </c>
      <c r="N229" t="s">
        <v>287</v>
      </c>
      <c r="O229" t="s">
        <v>288</v>
      </c>
      <c r="P229" t="s">
        <v>30</v>
      </c>
      <c r="Q229" t="s">
        <v>968</v>
      </c>
      <c r="R229" t="s">
        <v>969</v>
      </c>
      <c r="S229" t="s">
        <v>966</v>
      </c>
    </row>
    <row r="230" spans="1:19" x14ac:dyDescent="0.3">
      <c r="A230" t="s">
        <v>970</v>
      </c>
      <c r="B230" t="s">
        <v>971</v>
      </c>
      <c r="C230" t="s">
        <v>338</v>
      </c>
      <c r="D230" t="s">
        <v>35</v>
      </c>
      <c r="E230" t="s">
        <v>389</v>
      </c>
      <c r="F230" t="s">
        <v>314</v>
      </c>
      <c r="G230" t="s">
        <v>972</v>
      </c>
      <c r="H230" t="s">
        <v>213</v>
      </c>
      <c r="I230">
        <v>31.789935340258641</v>
      </c>
      <c r="J230">
        <v>0</v>
      </c>
      <c r="K230">
        <v>0</v>
      </c>
      <c r="L230">
        <v>4.4614964073726959</v>
      </c>
      <c r="M230" t="s">
        <v>116</v>
      </c>
      <c r="N230" t="s">
        <v>116</v>
      </c>
      <c r="O230" t="s">
        <v>302</v>
      </c>
      <c r="P230" t="s">
        <v>116</v>
      </c>
      <c r="Q230" t="s">
        <v>973</v>
      </c>
      <c r="R230" t="s">
        <v>974</v>
      </c>
      <c r="S230" t="s">
        <v>971</v>
      </c>
    </row>
    <row r="231" spans="1:19" x14ac:dyDescent="0.3">
      <c r="A231" t="s">
        <v>975</v>
      </c>
      <c r="B231" t="s">
        <v>976</v>
      </c>
      <c r="C231" t="s">
        <v>24</v>
      </c>
      <c r="D231" t="s">
        <v>63</v>
      </c>
      <c r="E231" t="s">
        <v>315</v>
      </c>
      <c r="F231" t="s">
        <v>55</v>
      </c>
      <c r="G231" t="s">
        <v>977</v>
      </c>
      <c r="H231" t="s">
        <v>213</v>
      </c>
      <c r="I231">
        <v>31.789935340258641</v>
      </c>
      <c r="J231">
        <v>0</v>
      </c>
      <c r="K231">
        <v>0</v>
      </c>
      <c r="L231">
        <v>4.4614964073726959</v>
      </c>
      <c r="M231" t="s">
        <v>116</v>
      </c>
      <c r="N231" t="s">
        <v>116</v>
      </c>
      <c r="O231" t="s">
        <v>116</v>
      </c>
      <c r="P231" t="s">
        <v>116</v>
      </c>
      <c r="Q231" t="s">
        <v>978</v>
      </c>
      <c r="R231" t="s">
        <v>979</v>
      </c>
      <c r="S231" t="s">
        <v>976</v>
      </c>
    </row>
    <row r="232" spans="1:19" x14ac:dyDescent="0.3">
      <c r="A232" t="s">
        <v>980</v>
      </c>
      <c r="B232" t="s">
        <v>981</v>
      </c>
      <c r="C232" t="s">
        <v>596</v>
      </c>
      <c r="D232" t="s">
        <v>63</v>
      </c>
      <c r="E232" t="s">
        <v>74</v>
      </c>
      <c r="F232" t="s">
        <v>73</v>
      </c>
      <c r="G232" t="s">
        <v>596</v>
      </c>
      <c r="H232" t="s">
        <v>75</v>
      </c>
      <c r="I232">
        <v>6.9868933487229006</v>
      </c>
      <c r="J232">
        <v>8.76363018393881</v>
      </c>
      <c r="K232">
        <v>0.96727341209345552</v>
      </c>
      <c r="L232">
        <v>4.431399441422351</v>
      </c>
      <c r="M232" t="s">
        <v>63</v>
      </c>
      <c r="N232" t="s">
        <v>28</v>
      </c>
      <c r="O232" t="s">
        <v>86</v>
      </c>
      <c r="P232" t="s">
        <v>30</v>
      </c>
      <c r="Q232" t="s">
        <v>982</v>
      </c>
      <c r="R232" t="s">
        <v>983</v>
      </c>
      <c r="S232" t="s">
        <v>981</v>
      </c>
    </row>
    <row r="233" spans="1:19" x14ac:dyDescent="0.3">
      <c r="A233" t="s">
        <v>984</v>
      </c>
      <c r="B233" t="s">
        <v>985</v>
      </c>
      <c r="C233" t="s">
        <v>24</v>
      </c>
      <c r="D233" t="s">
        <v>63</v>
      </c>
      <c r="E233" t="s">
        <v>323</v>
      </c>
      <c r="F233" t="s">
        <v>24</v>
      </c>
      <c r="G233" t="s">
        <v>984</v>
      </c>
      <c r="H233" t="s">
        <v>213</v>
      </c>
      <c r="I233">
        <v>0.1237888566964251</v>
      </c>
      <c r="J233">
        <v>13.038514238202071</v>
      </c>
      <c r="K233">
        <v>2.5712465448356411E-2</v>
      </c>
      <c r="L233">
        <v>4.4113414788653564</v>
      </c>
      <c r="M233" t="s">
        <v>116</v>
      </c>
      <c r="N233" t="s">
        <v>116</v>
      </c>
      <c r="O233" t="s">
        <v>116</v>
      </c>
      <c r="P233" t="s">
        <v>116</v>
      </c>
      <c r="Q233" t="s">
        <v>986</v>
      </c>
      <c r="R233" t="s">
        <v>987</v>
      </c>
      <c r="S233" t="s">
        <v>985</v>
      </c>
    </row>
    <row r="234" spans="1:19" x14ac:dyDescent="0.3">
      <c r="A234" t="s">
        <v>988</v>
      </c>
      <c r="B234" t="s">
        <v>989</v>
      </c>
      <c r="C234" t="s">
        <v>73</v>
      </c>
      <c r="D234" t="s">
        <v>63</v>
      </c>
      <c r="E234" t="s">
        <v>74</v>
      </c>
      <c r="F234" t="s">
        <v>73</v>
      </c>
      <c r="G234" t="s">
        <v>71</v>
      </c>
      <c r="H234" t="s">
        <v>75</v>
      </c>
      <c r="I234">
        <v>10.19755180238538</v>
      </c>
      <c r="J234">
        <v>8.5298834966741452</v>
      </c>
      <c r="K234">
        <v>0.1949670745654043</v>
      </c>
      <c r="L234">
        <v>4.3990124889323061</v>
      </c>
      <c r="M234" t="s">
        <v>63</v>
      </c>
      <c r="N234" t="s">
        <v>28</v>
      </c>
      <c r="O234" t="s">
        <v>86</v>
      </c>
      <c r="P234" t="s">
        <v>30</v>
      </c>
      <c r="Q234" t="s">
        <v>990</v>
      </c>
      <c r="R234" t="s">
        <v>991</v>
      </c>
      <c r="S234" t="s">
        <v>989</v>
      </c>
    </row>
    <row r="235" spans="1:19" x14ac:dyDescent="0.3">
      <c r="A235" t="s">
        <v>992</v>
      </c>
      <c r="B235" t="s">
        <v>993</v>
      </c>
      <c r="C235" t="s">
        <v>43</v>
      </c>
      <c r="D235" t="s">
        <v>63</v>
      </c>
      <c r="E235" t="s">
        <v>74</v>
      </c>
      <c r="F235" t="s">
        <v>45</v>
      </c>
      <c r="G235" t="s">
        <v>43</v>
      </c>
      <c r="H235" t="s">
        <v>26</v>
      </c>
      <c r="I235">
        <v>3.7515752714766921</v>
      </c>
      <c r="J235">
        <v>3.181947888377219</v>
      </c>
      <c r="K235">
        <v>5.3265793845431926</v>
      </c>
      <c r="L235">
        <v>4.3850143005354907</v>
      </c>
      <c r="M235" t="s">
        <v>63</v>
      </c>
      <c r="N235" t="s">
        <v>28</v>
      </c>
      <c r="O235" t="s">
        <v>86</v>
      </c>
      <c r="P235" t="s">
        <v>30</v>
      </c>
      <c r="Q235" t="s">
        <v>994</v>
      </c>
      <c r="R235" t="s">
        <v>995</v>
      </c>
      <c r="S235" t="s">
        <v>993</v>
      </c>
    </row>
    <row r="236" spans="1:19" x14ac:dyDescent="0.3">
      <c r="A236" t="s">
        <v>996</v>
      </c>
      <c r="B236" t="s">
        <v>997</v>
      </c>
      <c r="C236" t="s">
        <v>307</v>
      </c>
      <c r="D236" t="s">
        <v>63</v>
      </c>
      <c r="E236" t="s">
        <v>74</v>
      </c>
      <c r="F236" t="s">
        <v>251</v>
      </c>
      <c r="G236" t="s">
        <v>307</v>
      </c>
      <c r="H236" t="s">
        <v>75</v>
      </c>
      <c r="I236">
        <v>7.2696815694218708</v>
      </c>
      <c r="J236">
        <v>9.1218094422796856</v>
      </c>
      <c r="K236">
        <v>0.3325618818261491</v>
      </c>
      <c r="L236">
        <v>4.2590306049641677</v>
      </c>
      <c r="M236" t="s">
        <v>63</v>
      </c>
      <c r="N236" t="s">
        <v>28</v>
      </c>
      <c r="O236" t="s">
        <v>86</v>
      </c>
      <c r="P236" t="s">
        <v>30</v>
      </c>
      <c r="Q236" t="s">
        <v>998</v>
      </c>
      <c r="R236" t="s">
        <v>999</v>
      </c>
      <c r="S236" t="s">
        <v>915</v>
      </c>
    </row>
    <row r="237" spans="1:19" x14ac:dyDescent="0.3">
      <c r="A237" t="s">
        <v>1000</v>
      </c>
      <c r="B237" t="s">
        <v>1001</v>
      </c>
      <c r="C237" t="s">
        <v>21</v>
      </c>
      <c r="D237" t="s">
        <v>1002</v>
      </c>
      <c r="E237" t="s">
        <v>74</v>
      </c>
      <c r="F237" t="s">
        <v>24</v>
      </c>
      <c r="G237" t="s">
        <v>21</v>
      </c>
      <c r="H237" t="s">
        <v>26</v>
      </c>
      <c r="I237">
        <v>0</v>
      </c>
      <c r="J237">
        <v>0</v>
      </c>
      <c r="K237">
        <v>7.9660982176392796</v>
      </c>
      <c r="L237">
        <v>4.1717700652408558</v>
      </c>
      <c r="M237" t="s">
        <v>287</v>
      </c>
      <c r="N237" t="s">
        <v>287</v>
      </c>
      <c r="O237" t="s">
        <v>288</v>
      </c>
      <c r="P237" t="s">
        <v>30</v>
      </c>
      <c r="Q237" t="s">
        <v>622</v>
      </c>
      <c r="R237" t="s">
        <v>623</v>
      </c>
      <c r="S237" t="s">
        <v>1001</v>
      </c>
    </row>
    <row r="238" spans="1:19" x14ac:dyDescent="0.3">
      <c r="A238" t="s">
        <v>1003</v>
      </c>
      <c r="B238" t="s">
        <v>1004</v>
      </c>
      <c r="C238" t="s">
        <v>24</v>
      </c>
      <c r="D238" t="s">
        <v>63</v>
      </c>
      <c r="E238" t="s">
        <v>323</v>
      </c>
      <c r="F238" t="s">
        <v>24</v>
      </c>
      <c r="G238" t="s">
        <v>1005</v>
      </c>
      <c r="H238" t="s">
        <v>26</v>
      </c>
      <c r="I238">
        <v>7.4188661578687016</v>
      </c>
      <c r="J238">
        <v>6.1539798743128529</v>
      </c>
      <c r="K238">
        <v>2.0107582371451929</v>
      </c>
      <c r="L238">
        <v>4.1617320039427703</v>
      </c>
      <c r="M238" t="s">
        <v>57</v>
      </c>
      <c r="N238" t="s">
        <v>28</v>
      </c>
      <c r="O238" t="s">
        <v>58</v>
      </c>
      <c r="P238" t="s">
        <v>30</v>
      </c>
      <c r="Q238" t="s">
        <v>913</v>
      </c>
      <c r="R238" t="s">
        <v>914</v>
      </c>
      <c r="S238" t="s">
        <v>915</v>
      </c>
    </row>
    <row r="239" spans="1:19" x14ac:dyDescent="0.3">
      <c r="A239" t="s">
        <v>1006</v>
      </c>
      <c r="B239" t="s">
        <v>1007</v>
      </c>
      <c r="C239" t="s">
        <v>73</v>
      </c>
      <c r="D239" t="s">
        <v>63</v>
      </c>
      <c r="E239" t="s">
        <v>74</v>
      </c>
      <c r="F239" t="s">
        <v>73</v>
      </c>
      <c r="G239" t="s">
        <v>876</v>
      </c>
      <c r="H239" t="s">
        <v>75</v>
      </c>
      <c r="I239">
        <v>2.804572115044873</v>
      </c>
      <c r="J239">
        <v>3.529569852796473</v>
      </c>
      <c r="K239">
        <v>4.917411552677013</v>
      </c>
      <c r="L239">
        <v>4.1546209931089653</v>
      </c>
      <c r="M239" t="s">
        <v>57</v>
      </c>
      <c r="N239" t="s">
        <v>28</v>
      </c>
      <c r="O239" t="s">
        <v>58</v>
      </c>
      <c r="P239" t="s">
        <v>30</v>
      </c>
      <c r="Q239" t="s">
        <v>899</v>
      </c>
      <c r="R239" t="s">
        <v>900</v>
      </c>
      <c r="S239" t="s">
        <v>901</v>
      </c>
    </row>
    <row r="240" spans="1:19" x14ac:dyDescent="0.3">
      <c r="A240" t="s">
        <v>1008</v>
      </c>
      <c r="B240" t="s">
        <v>1009</v>
      </c>
      <c r="C240" t="s">
        <v>196</v>
      </c>
      <c r="D240" t="s">
        <v>35</v>
      </c>
      <c r="E240" t="s">
        <v>178</v>
      </c>
      <c r="F240" t="s">
        <v>228</v>
      </c>
      <c r="G240" t="s">
        <v>196</v>
      </c>
      <c r="H240" t="s">
        <v>75</v>
      </c>
      <c r="I240">
        <v>5.1423289677211663</v>
      </c>
      <c r="J240">
        <v>4.5038133355636907</v>
      </c>
      <c r="K240">
        <v>3.574341570215501</v>
      </c>
      <c r="L240">
        <v>4.1066690193265218</v>
      </c>
      <c r="M240" t="s">
        <v>57</v>
      </c>
      <c r="N240" t="s">
        <v>28</v>
      </c>
      <c r="O240" t="s">
        <v>58</v>
      </c>
      <c r="P240" t="s">
        <v>30</v>
      </c>
      <c r="Q240" t="s">
        <v>1010</v>
      </c>
      <c r="R240" t="s">
        <v>548</v>
      </c>
      <c r="S240" t="s">
        <v>1009</v>
      </c>
    </row>
    <row r="241" spans="1:19" x14ac:dyDescent="0.3">
      <c r="A241" t="s">
        <v>1011</v>
      </c>
      <c r="B241" t="s">
        <v>1012</v>
      </c>
      <c r="C241" t="s">
        <v>21</v>
      </c>
      <c r="D241" t="s">
        <v>63</v>
      </c>
      <c r="E241" t="s">
        <v>74</v>
      </c>
      <c r="F241" t="s">
        <v>24</v>
      </c>
      <c r="G241" t="s">
        <v>21</v>
      </c>
      <c r="H241" t="s">
        <v>26</v>
      </c>
      <c r="I241">
        <v>1.444980331189786</v>
      </c>
      <c r="J241">
        <v>1.3249916361632621</v>
      </c>
      <c r="K241">
        <v>6.5050616477341503</v>
      </c>
      <c r="L241">
        <v>4.0545847390062759</v>
      </c>
      <c r="M241" t="s">
        <v>63</v>
      </c>
      <c r="N241" t="s">
        <v>28</v>
      </c>
      <c r="O241" t="s">
        <v>86</v>
      </c>
      <c r="P241" t="s">
        <v>30</v>
      </c>
      <c r="Q241" t="s">
        <v>1013</v>
      </c>
      <c r="R241" t="s">
        <v>734</v>
      </c>
      <c r="S241" t="s">
        <v>1012</v>
      </c>
    </row>
    <row r="242" spans="1:19" x14ac:dyDescent="0.3">
      <c r="A242" t="s">
        <v>1014</v>
      </c>
      <c r="B242" t="s">
        <v>1015</v>
      </c>
      <c r="C242" t="s">
        <v>307</v>
      </c>
      <c r="D242" t="s">
        <v>35</v>
      </c>
      <c r="E242" t="s">
        <v>44</v>
      </c>
      <c r="F242" t="s">
        <v>251</v>
      </c>
      <c r="G242" t="s">
        <v>307</v>
      </c>
      <c r="H242" t="s">
        <v>75</v>
      </c>
      <c r="I242">
        <v>7.050689389835032</v>
      </c>
      <c r="J242">
        <v>8.8350712894084324</v>
      </c>
      <c r="K242">
        <v>0.12575869480820759</v>
      </c>
      <c r="L242">
        <v>4.0236613117483673</v>
      </c>
      <c r="M242" t="s">
        <v>57</v>
      </c>
      <c r="N242" t="s">
        <v>28</v>
      </c>
      <c r="O242" t="s">
        <v>58</v>
      </c>
      <c r="P242" t="s">
        <v>30</v>
      </c>
      <c r="Q242" t="s">
        <v>870</v>
      </c>
      <c r="R242" t="s">
        <v>871</v>
      </c>
      <c r="S242" t="s">
        <v>1015</v>
      </c>
    </row>
    <row r="243" spans="1:19" x14ac:dyDescent="0.3">
      <c r="A243" t="s">
        <v>1016</v>
      </c>
      <c r="B243" t="s">
        <v>1017</v>
      </c>
      <c r="C243" t="s">
        <v>24</v>
      </c>
      <c r="D243" t="s">
        <v>35</v>
      </c>
      <c r="E243" t="s">
        <v>150</v>
      </c>
      <c r="F243" t="s">
        <v>55</v>
      </c>
      <c r="G243" t="s">
        <v>56</v>
      </c>
      <c r="H243" t="s">
        <v>26</v>
      </c>
      <c r="I243">
        <v>2.1028156628114232</v>
      </c>
      <c r="J243">
        <v>1.13972650253867</v>
      </c>
      <c r="K243">
        <v>6.3396848543000868</v>
      </c>
      <c r="L243">
        <v>3.9980582291578859</v>
      </c>
      <c r="M243" t="s">
        <v>57</v>
      </c>
      <c r="N243" t="s">
        <v>28</v>
      </c>
      <c r="O243" t="s">
        <v>58</v>
      </c>
      <c r="P243" t="s">
        <v>30</v>
      </c>
      <c r="Q243" t="s">
        <v>870</v>
      </c>
      <c r="R243" t="s">
        <v>871</v>
      </c>
      <c r="S243" t="s">
        <v>1017</v>
      </c>
    </row>
    <row r="244" spans="1:19" x14ac:dyDescent="0.3">
      <c r="A244" t="s">
        <v>1018</v>
      </c>
      <c r="B244" t="s">
        <v>1019</v>
      </c>
      <c r="C244" t="s">
        <v>243</v>
      </c>
      <c r="D244" t="s">
        <v>63</v>
      </c>
      <c r="E244" t="s">
        <v>331</v>
      </c>
      <c r="F244" t="s">
        <v>243</v>
      </c>
      <c r="G244" t="s">
        <v>1020</v>
      </c>
      <c r="H244" t="s">
        <v>317</v>
      </c>
      <c r="I244">
        <v>14.126529142031581</v>
      </c>
      <c r="J244">
        <v>5.9041410011676572</v>
      </c>
      <c r="K244">
        <v>5.3426896487147033E-2</v>
      </c>
      <c r="L244">
        <v>3.994132537946971</v>
      </c>
      <c r="Q244" t="s">
        <v>1021</v>
      </c>
      <c r="R244" t="s">
        <v>1022</v>
      </c>
      <c r="S244" t="s">
        <v>1019</v>
      </c>
    </row>
    <row r="245" spans="1:19" x14ac:dyDescent="0.3">
      <c r="A245" t="s">
        <v>1023</v>
      </c>
      <c r="B245" t="s">
        <v>1024</v>
      </c>
      <c r="C245" t="s">
        <v>24</v>
      </c>
      <c r="D245" t="s">
        <v>63</v>
      </c>
      <c r="E245" t="s">
        <v>74</v>
      </c>
      <c r="F245" t="s">
        <v>24</v>
      </c>
      <c r="G245" t="s">
        <v>1025</v>
      </c>
      <c r="H245" t="s">
        <v>213</v>
      </c>
      <c r="I245">
        <v>1.9049252506693679</v>
      </c>
      <c r="J245">
        <v>1.6931132004303271</v>
      </c>
      <c r="K245">
        <v>5.9632561495768019</v>
      </c>
      <c r="L245">
        <v>3.959072902320488</v>
      </c>
      <c r="M245" t="s">
        <v>116</v>
      </c>
      <c r="N245" t="s">
        <v>116</v>
      </c>
      <c r="O245" t="s">
        <v>302</v>
      </c>
      <c r="P245" t="s">
        <v>116</v>
      </c>
      <c r="Q245" t="s">
        <v>1026</v>
      </c>
      <c r="R245" t="s">
        <v>1027</v>
      </c>
      <c r="S245" t="s">
        <v>1024</v>
      </c>
    </row>
    <row r="246" spans="1:19" x14ac:dyDescent="0.3">
      <c r="A246" t="s">
        <v>1028</v>
      </c>
      <c r="B246" t="s">
        <v>1029</v>
      </c>
      <c r="C246" t="s">
        <v>307</v>
      </c>
      <c r="D246" t="s">
        <v>63</v>
      </c>
      <c r="E246" t="s">
        <v>74</v>
      </c>
      <c r="F246" t="s">
        <v>251</v>
      </c>
      <c r="G246" t="s">
        <v>307</v>
      </c>
      <c r="H246" t="s">
        <v>75</v>
      </c>
      <c r="I246">
        <v>6.3783772642687211</v>
      </c>
      <c r="J246">
        <v>7.9797767347581381</v>
      </c>
      <c r="K246">
        <v>0.68698769359934619</v>
      </c>
      <c r="L246">
        <v>3.9358670157639231</v>
      </c>
      <c r="M246" t="s">
        <v>76</v>
      </c>
      <c r="N246" t="s">
        <v>76</v>
      </c>
      <c r="O246" t="s">
        <v>77</v>
      </c>
      <c r="P246" t="s">
        <v>76</v>
      </c>
      <c r="S246" t="s">
        <v>1029</v>
      </c>
    </row>
    <row r="247" spans="1:19" x14ac:dyDescent="0.3">
      <c r="A247" t="s">
        <v>1030</v>
      </c>
      <c r="B247" t="s">
        <v>1031</v>
      </c>
      <c r="C247" t="s">
        <v>21</v>
      </c>
      <c r="D247" t="s">
        <v>35</v>
      </c>
      <c r="E247" t="s">
        <v>278</v>
      </c>
      <c r="F247" t="s">
        <v>24</v>
      </c>
      <c r="G247" t="s">
        <v>21</v>
      </c>
      <c r="H247" t="s">
        <v>26</v>
      </c>
      <c r="I247">
        <v>2.1379034854230952</v>
      </c>
      <c r="J247">
        <v>1.890473097965127</v>
      </c>
      <c r="K247">
        <v>5.6813339772178528</v>
      </c>
      <c r="L247">
        <v>3.9104361126125169</v>
      </c>
      <c r="M247" t="s">
        <v>76</v>
      </c>
      <c r="N247" t="s">
        <v>76</v>
      </c>
      <c r="O247" t="s">
        <v>77</v>
      </c>
      <c r="P247" t="s">
        <v>76</v>
      </c>
      <c r="S247" t="s">
        <v>1031</v>
      </c>
    </row>
    <row r="248" spans="1:19" x14ac:dyDescent="0.3">
      <c r="A248" t="s">
        <v>1032</v>
      </c>
      <c r="B248" t="s">
        <v>1033</v>
      </c>
      <c r="C248" t="s">
        <v>114</v>
      </c>
      <c r="D248" t="s">
        <v>63</v>
      </c>
      <c r="E248" t="s">
        <v>74</v>
      </c>
      <c r="F248" t="s">
        <v>114</v>
      </c>
      <c r="G248" t="s">
        <v>190</v>
      </c>
      <c r="H248" t="s">
        <v>75</v>
      </c>
      <c r="I248">
        <v>2.194215760173996</v>
      </c>
      <c r="J248">
        <v>2.7498163235853639</v>
      </c>
      <c r="K248">
        <v>5.114680093552634</v>
      </c>
      <c r="L248">
        <v>3.9102983690612572</v>
      </c>
      <c r="M248" t="s">
        <v>76</v>
      </c>
      <c r="N248" t="s">
        <v>76</v>
      </c>
      <c r="O248" t="s">
        <v>77</v>
      </c>
      <c r="P248" t="s">
        <v>76</v>
      </c>
      <c r="S248" t="s">
        <v>1033</v>
      </c>
    </row>
    <row r="249" spans="1:19" x14ac:dyDescent="0.3">
      <c r="A249" t="s">
        <v>1034</v>
      </c>
      <c r="B249" t="s">
        <v>1035</v>
      </c>
      <c r="C249" t="s">
        <v>21</v>
      </c>
      <c r="D249" t="s">
        <v>35</v>
      </c>
      <c r="E249" t="s">
        <v>80</v>
      </c>
      <c r="F249" t="s">
        <v>24</v>
      </c>
      <c r="G249" t="s">
        <v>1036</v>
      </c>
      <c r="H249" t="s">
        <v>26</v>
      </c>
      <c r="I249">
        <v>0</v>
      </c>
      <c r="J249">
        <v>0</v>
      </c>
      <c r="K249">
        <v>7.4531013770922314</v>
      </c>
      <c r="L249">
        <v>3.9031184864518198</v>
      </c>
      <c r="M249" t="s">
        <v>76</v>
      </c>
      <c r="N249" t="s">
        <v>76</v>
      </c>
      <c r="O249" t="s">
        <v>77</v>
      </c>
      <c r="P249" t="s">
        <v>76</v>
      </c>
      <c r="S249" t="s">
        <v>1035</v>
      </c>
    </row>
    <row r="250" spans="1:19" x14ac:dyDescent="0.3">
      <c r="A250" t="s">
        <v>1037</v>
      </c>
      <c r="B250" t="s">
        <v>1038</v>
      </c>
      <c r="C250" t="s">
        <v>73</v>
      </c>
      <c r="D250" t="s">
        <v>63</v>
      </c>
      <c r="E250" t="s">
        <v>323</v>
      </c>
      <c r="F250" t="s">
        <v>73</v>
      </c>
      <c r="G250" t="s">
        <v>1037</v>
      </c>
      <c r="H250" t="s">
        <v>213</v>
      </c>
      <c r="I250">
        <v>6.4326038992140324</v>
      </c>
      <c r="J250">
        <v>8.8313813614358256</v>
      </c>
      <c r="K250">
        <v>0</v>
      </c>
      <c r="L250">
        <v>3.8698189829346759</v>
      </c>
      <c r="M250" t="s">
        <v>76</v>
      </c>
      <c r="N250" t="s">
        <v>76</v>
      </c>
      <c r="O250" t="s">
        <v>77</v>
      </c>
      <c r="P250" t="s">
        <v>76</v>
      </c>
      <c r="Q250" t="s">
        <v>1039</v>
      </c>
      <c r="R250" t="s">
        <v>1040</v>
      </c>
      <c r="S250" t="s">
        <v>1041</v>
      </c>
    </row>
    <row r="251" spans="1:19" x14ac:dyDescent="0.3">
      <c r="A251" t="s">
        <v>1042</v>
      </c>
      <c r="B251" t="s">
        <v>1043</v>
      </c>
      <c r="C251" t="s">
        <v>196</v>
      </c>
      <c r="D251" t="s">
        <v>35</v>
      </c>
      <c r="E251" t="s">
        <v>80</v>
      </c>
      <c r="F251" t="s">
        <v>228</v>
      </c>
      <c r="G251" t="s">
        <v>196</v>
      </c>
      <c r="H251" t="s">
        <v>75</v>
      </c>
      <c r="I251">
        <v>3.3462250410257619</v>
      </c>
      <c r="J251">
        <v>4.2114377927342863</v>
      </c>
      <c r="K251">
        <v>3.7311700602116189</v>
      </c>
      <c r="L251">
        <v>3.8384995429668969</v>
      </c>
      <c r="M251" t="s">
        <v>76</v>
      </c>
      <c r="N251" t="s">
        <v>76</v>
      </c>
      <c r="O251" t="s">
        <v>77</v>
      </c>
      <c r="P251" t="s">
        <v>76</v>
      </c>
      <c r="S251" t="s">
        <v>1043</v>
      </c>
    </row>
    <row r="252" spans="1:19" x14ac:dyDescent="0.3">
      <c r="A252" t="s">
        <v>1044</v>
      </c>
      <c r="B252" t="s">
        <v>1045</v>
      </c>
      <c r="C252" t="s">
        <v>228</v>
      </c>
      <c r="D252" t="s">
        <v>63</v>
      </c>
      <c r="E252" t="s">
        <v>74</v>
      </c>
      <c r="F252" t="s">
        <v>228</v>
      </c>
      <c r="G252" t="s">
        <v>1046</v>
      </c>
      <c r="H252" t="s">
        <v>317</v>
      </c>
      <c r="I252">
        <v>6.9402731648332674</v>
      </c>
      <c r="J252">
        <v>5.7967743469647477</v>
      </c>
      <c r="K252">
        <v>1.7497719575667481</v>
      </c>
      <c r="L252">
        <v>3.837879696986227</v>
      </c>
      <c r="M252" t="s">
        <v>76</v>
      </c>
      <c r="N252" t="s">
        <v>76</v>
      </c>
      <c r="O252" t="s">
        <v>77</v>
      </c>
      <c r="P252" t="s">
        <v>76</v>
      </c>
      <c r="S252" t="s">
        <v>1045</v>
      </c>
    </row>
    <row r="253" spans="1:19" x14ac:dyDescent="0.3">
      <c r="A253" t="s">
        <v>1047</v>
      </c>
      <c r="B253" t="s">
        <v>1048</v>
      </c>
      <c r="C253" t="s">
        <v>196</v>
      </c>
      <c r="D253" t="s">
        <v>35</v>
      </c>
      <c r="E253" t="s">
        <v>150</v>
      </c>
      <c r="F253" t="s">
        <v>228</v>
      </c>
      <c r="G253" t="s">
        <v>196</v>
      </c>
      <c r="H253" t="s">
        <v>75</v>
      </c>
      <c r="I253">
        <v>3.354812969637011</v>
      </c>
      <c r="J253">
        <v>4.1713098260321946</v>
      </c>
      <c r="K253">
        <v>3.732813964718916</v>
      </c>
      <c r="L253">
        <v>3.827084046156211</v>
      </c>
      <c r="M253" t="s">
        <v>76</v>
      </c>
      <c r="N253" t="s">
        <v>76</v>
      </c>
      <c r="O253" t="s">
        <v>77</v>
      </c>
      <c r="P253" t="s">
        <v>76</v>
      </c>
      <c r="S253" t="s">
        <v>1048</v>
      </c>
    </row>
    <row r="254" spans="1:19" x14ac:dyDescent="0.3">
      <c r="A254" t="s">
        <v>1049</v>
      </c>
      <c r="B254" t="s">
        <v>1050</v>
      </c>
      <c r="C254" t="s">
        <v>196</v>
      </c>
      <c r="D254" t="s">
        <v>63</v>
      </c>
      <c r="E254" t="s">
        <v>74</v>
      </c>
      <c r="F254" t="s">
        <v>228</v>
      </c>
      <c r="G254" t="s">
        <v>196</v>
      </c>
      <c r="H254" t="s">
        <v>75</v>
      </c>
      <c r="I254">
        <v>3.2940840458860392</v>
      </c>
      <c r="J254">
        <v>4.146300314217866</v>
      </c>
      <c r="K254">
        <v>3.654728500622316</v>
      </c>
      <c r="L254">
        <v>3.7692661905147591</v>
      </c>
      <c r="M254" t="s">
        <v>76</v>
      </c>
      <c r="N254" t="s">
        <v>76</v>
      </c>
      <c r="O254" t="s">
        <v>77</v>
      </c>
      <c r="P254" t="s">
        <v>76</v>
      </c>
      <c r="S254" t="s">
        <v>1050</v>
      </c>
    </row>
    <row r="255" spans="1:19" x14ac:dyDescent="0.3">
      <c r="A255" t="s">
        <v>1051</v>
      </c>
      <c r="B255" t="s">
        <v>1052</v>
      </c>
      <c r="C255" t="s">
        <v>1053</v>
      </c>
      <c r="D255" t="s">
        <v>63</v>
      </c>
      <c r="E255" t="s">
        <v>74</v>
      </c>
      <c r="F255" t="s">
        <v>314</v>
      </c>
      <c r="G255" t="s">
        <v>1053</v>
      </c>
      <c r="H255" t="s">
        <v>75</v>
      </c>
      <c r="I255">
        <v>3.5971152411686651</v>
      </c>
      <c r="J255">
        <v>4.5168305814670484</v>
      </c>
      <c r="K255">
        <v>3.3021109838071472</v>
      </c>
      <c r="L255">
        <v>3.7516177980095509</v>
      </c>
      <c r="M255" t="s">
        <v>63</v>
      </c>
      <c r="N255" t="s">
        <v>28</v>
      </c>
      <c r="O255" t="s">
        <v>86</v>
      </c>
      <c r="P255" t="s">
        <v>30</v>
      </c>
      <c r="Q255" t="s">
        <v>1054</v>
      </c>
      <c r="R255" t="s">
        <v>1055</v>
      </c>
      <c r="S255" t="s">
        <v>1052</v>
      </c>
    </row>
    <row r="256" spans="1:19" x14ac:dyDescent="0.3">
      <c r="A256" t="s">
        <v>1056</v>
      </c>
      <c r="B256" t="s">
        <v>1057</v>
      </c>
      <c r="C256" t="s">
        <v>251</v>
      </c>
      <c r="D256" t="s">
        <v>63</v>
      </c>
      <c r="E256" t="s">
        <v>331</v>
      </c>
      <c r="F256" t="s">
        <v>251</v>
      </c>
      <c r="G256" t="s">
        <v>1058</v>
      </c>
      <c r="H256" t="s">
        <v>213</v>
      </c>
      <c r="I256">
        <v>26.127545952779151</v>
      </c>
      <c r="J256">
        <v>4.3561649676603486E-3</v>
      </c>
      <c r="K256">
        <v>0</v>
      </c>
      <c r="L256">
        <v>3.6682829494971529</v>
      </c>
      <c r="Q256" t="s">
        <v>1059</v>
      </c>
      <c r="R256" t="s">
        <v>1060</v>
      </c>
      <c r="S256" t="s">
        <v>1057</v>
      </c>
    </row>
    <row r="257" spans="1:19" x14ac:dyDescent="0.3">
      <c r="A257" t="s">
        <v>1061</v>
      </c>
      <c r="B257" t="s">
        <v>1062</v>
      </c>
      <c r="C257" t="s">
        <v>196</v>
      </c>
      <c r="D257" t="s">
        <v>35</v>
      </c>
      <c r="E257" t="s">
        <v>150</v>
      </c>
      <c r="F257" t="s">
        <v>228</v>
      </c>
      <c r="G257" t="s">
        <v>196</v>
      </c>
      <c r="H257" t="s">
        <v>75</v>
      </c>
      <c r="I257">
        <v>2.7395492269882769</v>
      </c>
      <c r="J257">
        <v>3.4208707246034549</v>
      </c>
      <c r="K257">
        <v>4.0645538942914161</v>
      </c>
      <c r="L257">
        <v>3.6623427588490589</v>
      </c>
      <c r="M257" t="s">
        <v>76</v>
      </c>
      <c r="N257" t="s">
        <v>76</v>
      </c>
      <c r="O257" t="s">
        <v>77</v>
      </c>
      <c r="P257" t="s">
        <v>76</v>
      </c>
      <c r="S257" t="s">
        <v>1062</v>
      </c>
    </row>
    <row r="258" spans="1:19" x14ac:dyDescent="0.3">
      <c r="A258" t="s">
        <v>1063</v>
      </c>
      <c r="B258" t="s">
        <v>1064</v>
      </c>
      <c r="C258" t="s">
        <v>228</v>
      </c>
      <c r="D258" t="s">
        <v>63</v>
      </c>
      <c r="E258" t="s">
        <v>74</v>
      </c>
      <c r="F258" t="s">
        <v>228</v>
      </c>
      <c r="G258" t="s">
        <v>1065</v>
      </c>
      <c r="H258" t="s">
        <v>75</v>
      </c>
      <c r="I258">
        <v>4.2025642082616859</v>
      </c>
      <c r="J258">
        <v>7.5807520237204971</v>
      </c>
      <c r="K258">
        <v>1.002452968549608</v>
      </c>
      <c r="L258">
        <v>3.661654041092758</v>
      </c>
      <c r="M258" t="s">
        <v>76</v>
      </c>
      <c r="N258" t="s">
        <v>76</v>
      </c>
      <c r="O258" t="s">
        <v>77</v>
      </c>
      <c r="P258" t="s">
        <v>76</v>
      </c>
      <c r="S258" t="s">
        <v>1064</v>
      </c>
    </row>
    <row r="259" spans="1:19" x14ac:dyDescent="0.3">
      <c r="A259" t="s">
        <v>1066</v>
      </c>
      <c r="B259" t="s">
        <v>1067</v>
      </c>
      <c r="C259" t="s">
        <v>21</v>
      </c>
      <c r="D259" t="s">
        <v>53</v>
      </c>
      <c r="E259" t="s">
        <v>178</v>
      </c>
      <c r="F259" t="s">
        <v>24</v>
      </c>
      <c r="G259" t="s">
        <v>25</v>
      </c>
      <c r="H259" t="s">
        <v>26</v>
      </c>
      <c r="I259">
        <v>2.2046439592019409</v>
      </c>
      <c r="J259">
        <v>1.8523438422481999</v>
      </c>
      <c r="K259">
        <v>5.1782991979850177</v>
      </c>
      <c r="L259">
        <v>3.6435579820459529</v>
      </c>
      <c r="M259" t="s">
        <v>76</v>
      </c>
      <c r="N259" t="s">
        <v>76</v>
      </c>
      <c r="O259" t="s">
        <v>77</v>
      </c>
      <c r="P259" t="s">
        <v>76</v>
      </c>
      <c r="S259" t="s">
        <v>1067</v>
      </c>
    </row>
    <row r="260" spans="1:19" x14ac:dyDescent="0.3">
      <c r="A260" t="s">
        <v>1068</v>
      </c>
      <c r="B260" t="s">
        <v>1069</v>
      </c>
      <c r="C260" t="s">
        <v>314</v>
      </c>
      <c r="D260" t="s">
        <v>63</v>
      </c>
      <c r="E260" t="s">
        <v>315</v>
      </c>
      <c r="F260" t="s">
        <v>314</v>
      </c>
      <c r="G260" t="s">
        <v>1070</v>
      </c>
      <c r="H260" t="s">
        <v>213</v>
      </c>
      <c r="I260">
        <v>7.3402252687285543</v>
      </c>
      <c r="J260">
        <v>3.3340700118514408</v>
      </c>
      <c r="K260">
        <v>2.8092355344294102</v>
      </c>
      <c r="L260">
        <v>3.621455212676941</v>
      </c>
      <c r="M260" t="s">
        <v>76</v>
      </c>
      <c r="N260" t="s">
        <v>76</v>
      </c>
      <c r="O260" t="s">
        <v>77</v>
      </c>
      <c r="P260" t="s">
        <v>76</v>
      </c>
      <c r="S260" t="s">
        <v>1069</v>
      </c>
    </row>
    <row r="261" spans="1:19" x14ac:dyDescent="0.3">
      <c r="A261" t="s">
        <v>1071</v>
      </c>
      <c r="B261" t="s">
        <v>1072</v>
      </c>
      <c r="C261" t="s">
        <v>24</v>
      </c>
      <c r="D261" t="s">
        <v>35</v>
      </c>
      <c r="E261" t="s">
        <v>80</v>
      </c>
      <c r="F261" t="s">
        <v>144</v>
      </c>
      <c r="G261" t="s">
        <v>1073</v>
      </c>
      <c r="H261" t="s">
        <v>26</v>
      </c>
      <c r="I261">
        <v>1.635264292276164</v>
      </c>
      <c r="J261">
        <v>4.5280028633841081</v>
      </c>
      <c r="K261">
        <v>3.5410360648976682</v>
      </c>
      <c r="L261">
        <v>3.6051619671321862</v>
      </c>
      <c r="M261" t="s">
        <v>76</v>
      </c>
      <c r="N261" t="s">
        <v>76</v>
      </c>
      <c r="O261" t="s">
        <v>77</v>
      </c>
      <c r="P261" t="s">
        <v>76</v>
      </c>
      <c r="S261" t="s">
        <v>1072</v>
      </c>
    </row>
    <row r="262" spans="1:19" x14ac:dyDescent="0.3">
      <c r="A262" t="s">
        <v>1074</v>
      </c>
      <c r="B262" t="s">
        <v>1075</v>
      </c>
      <c r="C262" t="s">
        <v>21</v>
      </c>
      <c r="D262" t="s">
        <v>35</v>
      </c>
      <c r="E262" t="s">
        <v>278</v>
      </c>
      <c r="F262" t="s">
        <v>24</v>
      </c>
      <c r="G262" t="s">
        <v>21</v>
      </c>
      <c r="H262" t="s">
        <v>26</v>
      </c>
      <c r="I262">
        <v>2.0388969370048451</v>
      </c>
      <c r="J262">
        <v>2.629996162474908</v>
      </c>
      <c r="K262">
        <v>4.6469235050463924</v>
      </c>
      <c r="L262">
        <v>3.603285211246265</v>
      </c>
      <c r="M262" t="s">
        <v>76</v>
      </c>
      <c r="N262" t="s">
        <v>76</v>
      </c>
      <c r="O262" t="s">
        <v>77</v>
      </c>
      <c r="P262" t="s">
        <v>76</v>
      </c>
      <c r="S262" t="s">
        <v>1075</v>
      </c>
    </row>
    <row r="263" spans="1:19" x14ac:dyDescent="0.3">
      <c r="A263" t="s">
        <v>1076</v>
      </c>
      <c r="B263" t="s">
        <v>1077</v>
      </c>
      <c r="C263" t="s">
        <v>43</v>
      </c>
      <c r="D263" t="s">
        <v>63</v>
      </c>
      <c r="E263" t="s">
        <v>74</v>
      </c>
      <c r="F263" t="s">
        <v>45</v>
      </c>
      <c r="G263" t="s">
        <v>43</v>
      </c>
      <c r="H263" t="s">
        <v>26</v>
      </c>
      <c r="I263">
        <v>1.1266135491013589</v>
      </c>
      <c r="J263">
        <v>0.46467467955025488</v>
      </c>
      <c r="K263">
        <v>6.2114603027309334</v>
      </c>
      <c r="L263">
        <v>3.5671103110965658</v>
      </c>
      <c r="M263" t="s">
        <v>63</v>
      </c>
      <c r="N263" t="s">
        <v>28</v>
      </c>
      <c r="O263" t="s">
        <v>86</v>
      </c>
      <c r="P263" t="s">
        <v>30</v>
      </c>
      <c r="Q263" t="s">
        <v>1078</v>
      </c>
      <c r="R263" t="s">
        <v>734</v>
      </c>
      <c r="S263" t="s">
        <v>1077</v>
      </c>
    </row>
    <row r="264" spans="1:19" x14ac:dyDescent="0.3">
      <c r="A264" t="s">
        <v>1079</v>
      </c>
      <c r="B264" t="s">
        <v>1080</v>
      </c>
      <c r="D264" t="s">
        <v>53</v>
      </c>
      <c r="E264" t="s">
        <v>54</v>
      </c>
      <c r="F264" t="s">
        <v>237</v>
      </c>
      <c r="G264" t="s">
        <v>542</v>
      </c>
      <c r="H264" t="s">
        <v>75</v>
      </c>
      <c r="I264">
        <v>6.1777877888488444</v>
      </c>
      <c r="J264">
        <v>7.7465425374896704</v>
      </c>
      <c r="K264">
        <v>0.15058165286838979</v>
      </c>
      <c r="L264">
        <v>3.5484460599008139</v>
      </c>
      <c r="M264" t="s">
        <v>76</v>
      </c>
      <c r="N264" t="s">
        <v>76</v>
      </c>
      <c r="O264" t="s">
        <v>77</v>
      </c>
      <c r="P264" t="s">
        <v>76</v>
      </c>
      <c r="S264" t="s">
        <v>1080</v>
      </c>
    </row>
    <row r="265" spans="1:19" x14ac:dyDescent="0.3">
      <c r="A265" t="s">
        <v>1081</v>
      </c>
      <c r="B265" t="s">
        <v>1082</v>
      </c>
      <c r="C265" t="s">
        <v>314</v>
      </c>
      <c r="D265" t="s">
        <v>63</v>
      </c>
      <c r="E265" t="s">
        <v>315</v>
      </c>
      <c r="F265" t="s">
        <v>314</v>
      </c>
      <c r="G265" t="s">
        <v>1083</v>
      </c>
      <c r="H265" t="s">
        <v>213</v>
      </c>
      <c r="I265">
        <v>1.2771476691871011</v>
      </c>
      <c r="J265">
        <v>9.9686361119973572</v>
      </c>
      <c r="K265">
        <v>0</v>
      </c>
      <c r="L265">
        <v>3.5283659729022099</v>
      </c>
      <c r="M265" t="s">
        <v>116</v>
      </c>
      <c r="N265" t="s">
        <v>116</v>
      </c>
      <c r="O265" t="s">
        <v>302</v>
      </c>
      <c r="P265" t="s">
        <v>116</v>
      </c>
      <c r="Q265" t="s">
        <v>1084</v>
      </c>
      <c r="R265" t="s">
        <v>1085</v>
      </c>
      <c r="S265" t="s">
        <v>1082</v>
      </c>
    </row>
    <row r="266" spans="1:19" x14ac:dyDescent="0.3">
      <c r="A266" t="s">
        <v>1086</v>
      </c>
      <c r="B266" t="s">
        <v>896</v>
      </c>
      <c r="C266" t="s">
        <v>196</v>
      </c>
      <c r="D266" t="s">
        <v>63</v>
      </c>
      <c r="E266" t="s">
        <v>74</v>
      </c>
      <c r="F266" t="s">
        <v>228</v>
      </c>
      <c r="G266" t="s">
        <v>196</v>
      </c>
      <c r="H266" t="s">
        <v>75</v>
      </c>
      <c r="I266">
        <v>5.0092160742468144</v>
      </c>
      <c r="J266">
        <v>6.3110068091470861</v>
      </c>
      <c r="K266">
        <v>1.309205549611197</v>
      </c>
      <c r="L266">
        <v>3.5089136606891471</v>
      </c>
      <c r="M266" t="s">
        <v>63</v>
      </c>
      <c r="N266" t="s">
        <v>28</v>
      </c>
      <c r="O266" t="s">
        <v>86</v>
      </c>
      <c r="P266" t="s">
        <v>30</v>
      </c>
      <c r="Q266" t="s">
        <v>1087</v>
      </c>
      <c r="R266" t="s">
        <v>1088</v>
      </c>
      <c r="S266" t="s">
        <v>896</v>
      </c>
    </row>
    <row r="267" spans="1:19" x14ac:dyDescent="0.3">
      <c r="A267" t="s">
        <v>1089</v>
      </c>
      <c r="B267" t="s">
        <v>1090</v>
      </c>
      <c r="C267" t="s">
        <v>45</v>
      </c>
      <c r="D267" t="s">
        <v>63</v>
      </c>
      <c r="E267" t="s">
        <v>74</v>
      </c>
      <c r="F267" t="s">
        <v>45</v>
      </c>
      <c r="G267" t="s">
        <v>1091</v>
      </c>
      <c r="H267" t="s">
        <v>26</v>
      </c>
      <c r="I267">
        <v>7.5388517890372881</v>
      </c>
      <c r="J267">
        <v>3.3309287302711859</v>
      </c>
      <c r="K267">
        <v>2.4831835144521559</v>
      </c>
      <c r="L267">
        <v>3.4775253489457389</v>
      </c>
      <c r="M267" t="s">
        <v>63</v>
      </c>
      <c r="N267" t="s">
        <v>28</v>
      </c>
      <c r="O267" t="s">
        <v>86</v>
      </c>
      <c r="P267" t="s">
        <v>30</v>
      </c>
      <c r="Q267" t="s">
        <v>1092</v>
      </c>
      <c r="R267" t="s">
        <v>1093</v>
      </c>
      <c r="S267" t="s">
        <v>1090</v>
      </c>
    </row>
    <row r="268" spans="1:19" x14ac:dyDescent="0.3">
      <c r="A268" t="s">
        <v>1094</v>
      </c>
      <c r="B268" t="s">
        <v>1095</v>
      </c>
      <c r="C268" t="s">
        <v>114</v>
      </c>
      <c r="D268" t="s">
        <v>63</v>
      </c>
      <c r="E268" t="s">
        <v>74</v>
      </c>
      <c r="F268" t="s">
        <v>114</v>
      </c>
      <c r="G268" t="s">
        <v>115</v>
      </c>
      <c r="H268" t="s">
        <v>75</v>
      </c>
      <c r="I268">
        <v>3.873155803673082</v>
      </c>
      <c r="J268">
        <v>4.8878733387124287</v>
      </c>
      <c r="K268">
        <v>2.4510616203795759</v>
      </c>
      <c r="L268">
        <v>3.4693296076457592</v>
      </c>
      <c r="M268" t="s">
        <v>76</v>
      </c>
      <c r="N268" t="s">
        <v>76</v>
      </c>
      <c r="O268" t="s">
        <v>77</v>
      </c>
      <c r="P268" t="s">
        <v>76</v>
      </c>
      <c r="S268" t="s">
        <v>1095</v>
      </c>
    </row>
    <row r="269" spans="1:19" x14ac:dyDescent="0.3">
      <c r="A269" t="s">
        <v>1096</v>
      </c>
      <c r="B269" t="s">
        <v>1097</v>
      </c>
      <c r="C269" t="s">
        <v>596</v>
      </c>
      <c r="D269" t="s">
        <v>35</v>
      </c>
      <c r="E269" t="s">
        <v>36</v>
      </c>
      <c r="F269" t="s">
        <v>73</v>
      </c>
      <c r="G269" t="s">
        <v>596</v>
      </c>
      <c r="H269" t="s">
        <v>75</v>
      </c>
      <c r="I269">
        <v>5.7815162257869481</v>
      </c>
      <c r="J269">
        <v>7.2468647911992772</v>
      </c>
      <c r="K269">
        <v>0.42149711567090759</v>
      </c>
      <c r="L269">
        <v>3.466833005779169</v>
      </c>
      <c r="M269" t="s">
        <v>76</v>
      </c>
      <c r="N269" t="s">
        <v>76</v>
      </c>
      <c r="O269" t="s">
        <v>77</v>
      </c>
      <c r="P269" t="s">
        <v>76</v>
      </c>
      <c r="S269" t="s">
        <v>1097</v>
      </c>
    </row>
    <row r="270" spans="1:19" x14ac:dyDescent="0.3">
      <c r="A270" t="s">
        <v>1098</v>
      </c>
      <c r="B270" t="s">
        <v>1099</v>
      </c>
      <c r="C270" t="s">
        <v>21</v>
      </c>
      <c r="D270" t="s">
        <v>35</v>
      </c>
      <c r="E270" t="s">
        <v>80</v>
      </c>
      <c r="F270" t="s">
        <v>24</v>
      </c>
      <c r="G270" t="s">
        <v>21</v>
      </c>
      <c r="H270" t="s">
        <v>26</v>
      </c>
      <c r="I270">
        <v>1.4491516108009641</v>
      </c>
      <c r="J270">
        <v>1.2579579446609199</v>
      </c>
      <c r="K270">
        <v>5.3664605078902197</v>
      </c>
      <c r="L270">
        <v>3.436374463006767</v>
      </c>
      <c r="M270" t="s">
        <v>76</v>
      </c>
      <c r="N270" t="s">
        <v>76</v>
      </c>
      <c r="O270" t="s">
        <v>77</v>
      </c>
      <c r="P270" t="s">
        <v>76</v>
      </c>
      <c r="S270" t="s">
        <v>1099</v>
      </c>
    </row>
    <row r="271" spans="1:19" x14ac:dyDescent="0.3">
      <c r="A271" t="s">
        <v>1100</v>
      </c>
      <c r="B271" t="s">
        <v>1101</v>
      </c>
      <c r="C271" t="s">
        <v>196</v>
      </c>
      <c r="D271" t="s">
        <v>63</v>
      </c>
      <c r="E271" t="s">
        <v>74</v>
      </c>
      <c r="F271" t="s">
        <v>228</v>
      </c>
      <c r="G271" t="s">
        <v>196</v>
      </c>
      <c r="H271" t="s">
        <v>75</v>
      </c>
      <c r="I271">
        <v>3.6455756954749958</v>
      </c>
      <c r="J271">
        <v>4.5652608861075032</v>
      </c>
      <c r="K271">
        <v>2.6279457453647148</v>
      </c>
      <c r="L271">
        <v>3.4216359030219281</v>
      </c>
      <c r="M271" t="s">
        <v>76</v>
      </c>
      <c r="N271" t="s">
        <v>76</v>
      </c>
      <c r="O271" t="s">
        <v>77</v>
      </c>
      <c r="P271" t="s">
        <v>76</v>
      </c>
      <c r="S271" t="s">
        <v>1101</v>
      </c>
    </row>
    <row r="272" spans="1:19" x14ac:dyDescent="0.3">
      <c r="A272" t="s">
        <v>1102</v>
      </c>
      <c r="B272" t="s">
        <v>1103</v>
      </c>
      <c r="E272" t="s">
        <v>54</v>
      </c>
      <c r="F272" t="s">
        <v>959</v>
      </c>
      <c r="G272" t="s">
        <v>1053</v>
      </c>
      <c r="H272" t="s">
        <v>75</v>
      </c>
      <c r="I272">
        <v>5.1668659066104476</v>
      </c>
      <c r="J272">
        <v>6.4968869307671113</v>
      </c>
      <c r="K272">
        <v>0.93554605510262701</v>
      </c>
      <c r="L272">
        <v>3.397806268653921</v>
      </c>
      <c r="M272" t="s">
        <v>76</v>
      </c>
      <c r="N272" t="s">
        <v>76</v>
      </c>
      <c r="O272" t="s">
        <v>77</v>
      </c>
      <c r="P272" t="s">
        <v>76</v>
      </c>
      <c r="S272" t="s">
        <v>1103</v>
      </c>
    </row>
    <row r="273" spans="1:19" x14ac:dyDescent="0.3">
      <c r="A273" t="s">
        <v>1104</v>
      </c>
      <c r="B273" t="s">
        <v>1105</v>
      </c>
      <c r="C273" t="s">
        <v>251</v>
      </c>
      <c r="D273" t="s">
        <v>63</v>
      </c>
      <c r="E273" t="s">
        <v>74</v>
      </c>
      <c r="F273" t="s">
        <v>251</v>
      </c>
      <c r="G273" t="s">
        <v>706</v>
      </c>
      <c r="H273" t="s">
        <v>75</v>
      </c>
      <c r="I273">
        <v>3.9835720286748479</v>
      </c>
      <c r="J273">
        <v>5.0498714265097542</v>
      </c>
      <c r="K273">
        <v>2.0022756898875409</v>
      </c>
      <c r="L273">
        <v>3.3042267435165491</v>
      </c>
      <c r="Q273" t="s">
        <v>1106</v>
      </c>
      <c r="R273" t="s">
        <v>1107</v>
      </c>
      <c r="S273" t="s">
        <v>1105</v>
      </c>
    </row>
    <row r="274" spans="1:19" x14ac:dyDescent="0.3">
      <c r="A274" t="s">
        <v>1108</v>
      </c>
      <c r="B274" t="s">
        <v>1109</v>
      </c>
      <c r="C274" t="s">
        <v>43</v>
      </c>
      <c r="D274" t="s">
        <v>63</v>
      </c>
      <c r="E274" t="s">
        <v>64</v>
      </c>
      <c r="F274" t="s">
        <v>45</v>
      </c>
      <c r="G274" t="s">
        <v>43</v>
      </c>
      <c r="H274" t="s">
        <v>26</v>
      </c>
      <c r="I274">
        <v>2.3242615362871879</v>
      </c>
      <c r="J274">
        <v>1.9458220175542169</v>
      </c>
      <c r="K274">
        <v>4.2610004829133894</v>
      </c>
      <c r="L274">
        <v>3.211370372023294</v>
      </c>
      <c r="M274" t="s">
        <v>159</v>
      </c>
      <c r="N274" t="s">
        <v>160</v>
      </c>
      <c r="O274" t="s">
        <v>161</v>
      </c>
      <c r="P274" t="s">
        <v>124</v>
      </c>
      <c r="S274" t="s">
        <v>1109</v>
      </c>
    </row>
    <row r="275" spans="1:19" x14ac:dyDescent="0.3">
      <c r="A275" t="s">
        <v>1110</v>
      </c>
      <c r="B275" t="s">
        <v>1111</v>
      </c>
      <c r="C275" t="s">
        <v>24</v>
      </c>
      <c r="D275" t="s">
        <v>63</v>
      </c>
      <c r="E275" t="s">
        <v>74</v>
      </c>
      <c r="F275" t="s">
        <v>24</v>
      </c>
      <c r="G275" t="s">
        <v>1110</v>
      </c>
      <c r="H275" t="s">
        <v>26</v>
      </c>
      <c r="I275">
        <v>3.6748973374476872</v>
      </c>
      <c r="J275">
        <v>6.4207309173324916</v>
      </c>
      <c r="K275">
        <v>0.9972911083966961</v>
      </c>
      <c r="L275">
        <v>3.1951682868063158</v>
      </c>
      <c r="M275" t="s">
        <v>57</v>
      </c>
      <c r="N275" t="s">
        <v>28</v>
      </c>
      <c r="O275" t="s">
        <v>58</v>
      </c>
      <c r="P275" t="s">
        <v>30</v>
      </c>
      <c r="Q275" t="s">
        <v>913</v>
      </c>
      <c r="R275" t="s">
        <v>914</v>
      </c>
      <c r="S275" t="s">
        <v>915</v>
      </c>
    </row>
    <row r="276" spans="1:19" x14ac:dyDescent="0.3">
      <c r="A276" t="s">
        <v>1112</v>
      </c>
      <c r="B276" t="s">
        <v>1113</v>
      </c>
      <c r="C276" t="s">
        <v>24</v>
      </c>
      <c r="D276" t="s">
        <v>63</v>
      </c>
      <c r="E276" t="s">
        <v>323</v>
      </c>
      <c r="F276" t="s">
        <v>24</v>
      </c>
      <c r="G276" t="s">
        <v>1114</v>
      </c>
      <c r="H276" t="s">
        <v>26</v>
      </c>
      <c r="I276">
        <v>3.671094111919849</v>
      </c>
      <c r="J276">
        <v>6.3658432387399797</v>
      </c>
      <c r="K276">
        <v>0.99196485779305421</v>
      </c>
      <c r="L276">
        <v>3.1734048057072108</v>
      </c>
      <c r="M276" t="s">
        <v>57</v>
      </c>
      <c r="N276" t="s">
        <v>28</v>
      </c>
      <c r="O276" t="s">
        <v>58</v>
      </c>
      <c r="P276" t="s">
        <v>30</v>
      </c>
      <c r="Q276" t="s">
        <v>913</v>
      </c>
      <c r="R276" t="s">
        <v>914</v>
      </c>
      <c r="S276" t="s">
        <v>915</v>
      </c>
    </row>
    <row r="277" spans="1:19" x14ac:dyDescent="0.3">
      <c r="A277" t="s">
        <v>1115</v>
      </c>
      <c r="B277" t="s">
        <v>1116</v>
      </c>
      <c r="C277" t="s">
        <v>243</v>
      </c>
      <c r="D277" t="s">
        <v>63</v>
      </c>
      <c r="E277" t="s">
        <v>331</v>
      </c>
      <c r="F277" t="s">
        <v>243</v>
      </c>
      <c r="G277" t="s">
        <v>1117</v>
      </c>
      <c r="H277" t="s">
        <v>213</v>
      </c>
      <c r="I277">
        <v>11.23350136229085</v>
      </c>
      <c r="J277">
        <v>4.7259264999147224</v>
      </c>
      <c r="K277">
        <v>0</v>
      </c>
      <c r="L277">
        <v>3.1642965133801342</v>
      </c>
      <c r="Q277" t="s">
        <v>1118</v>
      </c>
      <c r="R277" t="s">
        <v>1119</v>
      </c>
      <c r="S277" t="s">
        <v>574</v>
      </c>
    </row>
    <row r="278" spans="1:19" x14ac:dyDescent="0.3">
      <c r="A278" t="s">
        <v>1120</v>
      </c>
      <c r="B278" t="s">
        <v>1121</v>
      </c>
      <c r="C278" t="s">
        <v>228</v>
      </c>
      <c r="D278" t="s">
        <v>63</v>
      </c>
      <c r="E278" t="s">
        <v>323</v>
      </c>
      <c r="F278" t="s">
        <v>228</v>
      </c>
      <c r="G278" t="s">
        <v>1122</v>
      </c>
      <c r="H278" t="s">
        <v>213</v>
      </c>
      <c r="I278">
        <v>0.61047903956532323</v>
      </c>
      <c r="J278">
        <v>9.0720979126487453</v>
      </c>
      <c r="K278">
        <v>0</v>
      </c>
      <c r="L278">
        <v>3.1335969193930251</v>
      </c>
      <c r="M278" t="s">
        <v>63</v>
      </c>
      <c r="N278" t="s">
        <v>28</v>
      </c>
      <c r="O278" t="s">
        <v>86</v>
      </c>
      <c r="P278" t="s">
        <v>30</v>
      </c>
      <c r="Q278" t="s">
        <v>1123</v>
      </c>
      <c r="R278" t="s">
        <v>734</v>
      </c>
      <c r="S278" t="s">
        <v>1121</v>
      </c>
    </row>
    <row r="279" spans="1:19" x14ac:dyDescent="0.3">
      <c r="A279" t="s">
        <v>1124</v>
      </c>
      <c r="B279" t="s">
        <v>1125</v>
      </c>
      <c r="C279" t="s">
        <v>21</v>
      </c>
      <c r="D279" t="s">
        <v>63</v>
      </c>
      <c r="E279" t="s">
        <v>74</v>
      </c>
      <c r="F279" t="s">
        <v>24</v>
      </c>
      <c r="G279" t="s">
        <v>21</v>
      </c>
      <c r="H279" t="s">
        <v>26</v>
      </c>
      <c r="I279">
        <v>1.492704677329439</v>
      </c>
      <c r="J279">
        <v>1.293524750396871</v>
      </c>
      <c r="K279">
        <v>4.4998269297334694</v>
      </c>
      <c r="L279">
        <v>3.0005883027074298</v>
      </c>
      <c r="M279" t="s">
        <v>76</v>
      </c>
      <c r="N279" t="s">
        <v>76</v>
      </c>
      <c r="O279" t="s">
        <v>77</v>
      </c>
      <c r="P279" t="s">
        <v>76</v>
      </c>
      <c r="S279" t="s">
        <v>1125</v>
      </c>
    </row>
    <row r="280" spans="1:19" x14ac:dyDescent="0.3">
      <c r="A280" t="s">
        <v>1126</v>
      </c>
      <c r="B280" t="s">
        <v>1127</v>
      </c>
      <c r="C280" t="s">
        <v>307</v>
      </c>
      <c r="D280" t="s">
        <v>35</v>
      </c>
      <c r="E280" t="s">
        <v>44</v>
      </c>
      <c r="F280" t="s">
        <v>251</v>
      </c>
      <c r="G280" t="s">
        <v>307</v>
      </c>
      <c r="H280" t="s">
        <v>75</v>
      </c>
      <c r="I280">
        <v>5.2852566367512308</v>
      </c>
      <c r="J280">
        <v>6.6195770358562616</v>
      </c>
      <c r="K280">
        <v>6.0495685868523393E-2</v>
      </c>
      <c r="L280">
        <v>2.9973857651406339</v>
      </c>
      <c r="M280" t="s">
        <v>76</v>
      </c>
      <c r="N280" t="s">
        <v>76</v>
      </c>
      <c r="O280" t="s">
        <v>77</v>
      </c>
      <c r="P280" t="s">
        <v>76</v>
      </c>
      <c r="S280" t="s">
        <v>1127</v>
      </c>
    </row>
    <row r="281" spans="1:19" x14ac:dyDescent="0.3">
      <c r="A281" t="s">
        <v>1128</v>
      </c>
      <c r="B281" t="s">
        <v>1129</v>
      </c>
      <c r="C281" t="s">
        <v>314</v>
      </c>
      <c r="D281" t="s">
        <v>63</v>
      </c>
      <c r="E281" t="s">
        <v>315</v>
      </c>
      <c r="F281" t="s">
        <v>314</v>
      </c>
      <c r="G281" t="s">
        <v>1128</v>
      </c>
      <c r="H281" t="s">
        <v>213</v>
      </c>
      <c r="I281">
        <v>2.837328928462064</v>
      </c>
      <c r="J281">
        <v>7.7278434781160739</v>
      </c>
      <c r="K281">
        <v>0</v>
      </c>
      <c r="L281">
        <v>2.994495443698912</v>
      </c>
      <c r="M281" t="s">
        <v>76</v>
      </c>
      <c r="N281" t="s">
        <v>76</v>
      </c>
      <c r="O281" t="s">
        <v>77</v>
      </c>
      <c r="P281" t="s">
        <v>76</v>
      </c>
      <c r="S281" t="s">
        <v>1129</v>
      </c>
    </row>
    <row r="282" spans="1:19" x14ac:dyDescent="0.3">
      <c r="A282" t="s">
        <v>1130</v>
      </c>
      <c r="B282" t="s">
        <v>1131</v>
      </c>
      <c r="C282" t="s">
        <v>24</v>
      </c>
      <c r="D282" t="s">
        <v>63</v>
      </c>
      <c r="E282" t="s">
        <v>1132</v>
      </c>
      <c r="F282" t="s">
        <v>314</v>
      </c>
      <c r="G282" t="s">
        <v>1133</v>
      </c>
      <c r="H282" t="s">
        <v>26</v>
      </c>
      <c r="I282">
        <v>21.199915200339198</v>
      </c>
      <c r="J282">
        <v>0</v>
      </c>
      <c r="K282">
        <v>6.9043989306477723E-4</v>
      </c>
      <c r="L282">
        <v>2.9756222840415281</v>
      </c>
      <c r="M282" t="s">
        <v>76</v>
      </c>
      <c r="N282" t="s">
        <v>76</v>
      </c>
      <c r="O282" t="s">
        <v>77</v>
      </c>
      <c r="P282" t="s">
        <v>76</v>
      </c>
      <c r="S282" t="s">
        <v>1131</v>
      </c>
    </row>
    <row r="283" spans="1:19" x14ac:dyDescent="0.3">
      <c r="A283" t="s">
        <v>1134</v>
      </c>
      <c r="B283" t="s">
        <v>1135</v>
      </c>
      <c r="C283" t="s">
        <v>21</v>
      </c>
      <c r="D283" t="s">
        <v>35</v>
      </c>
      <c r="E283" t="s">
        <v>80</v>
      </c>
      <c r="F283" t="s">
        <v>24</v>
      </c>
      <c r="G283" t="s">
        <v>21</v>
      </c>
      <c r="H283" t="s">
        <v>213</v>
      </c>
      <c r="I283">
        <v>0</v>
      </c>
      <c r="J283">
        <v>0</v>
      </c>
      <c r="K283">
        <v>5.6814983676685804</v>
      </c>
      <c r="L283">
        <v>2.9753467969390068</v>
      </c>
      <c r="M283" t="s">
        <v>239</v>
      </c>
      <c r="N283" t="s">
        <v>239</v>
      </c>
      <c r="O283" t="s">
        <v>240</v>
      </c>
      <c r="P283" t="s">
        <v>239</v>
      </c>
      <c r="S283" t="s">
        <v>1135</v>
      </c>
    </row>
    <row r="284" spans="1:19" x14ac:dyDescent="0.3">
      <c r="A284" t="s">
        <v>1136</v>
      </c>
      <c r="B284" t="s">
        <v>1137</v>
      </c>
      <c r="C284" t="s">
        <v>251</v>
      </c>
      <c r="D284" t="s">
        <v>1138</v>
      </c>
      <c r="F284" t="s">
        <v>251</v>
      </c>
      <c r="G284" t="s">
        <v>1139</v>
      </c>
      <c r="H284" t="s">
        <v>213</v>
      </c>
      <c r="I284">
        <v>0</v>
      </c>
      <c r="J284">
        <v>8.8558271342543389</v>
      </c>
      <c r="K284">
        <v>0</v>
      </c>
      <c r="L284">
        <v>2.9752607072194701</v>
      </c>
      <c r="Q284" t="s">
        <v>1140</v>
      </c>
      <c r="R284" t="s">
        <v>1141</v>
      </c>
      <c r="S284" t="s">
        <v>1137</v>
      </c>
    </row>
    <row r="285" spans="1:19" x14ac:dyDescent="0.3">
      <c r="A285" t="s">
        <v>1142</v>
      </c>
      <c r="B285" t="s">
        <v>1143</v>
      </c>
      <c r="C285" t="s">
        <v>43</v>
      </c>
      <c r="D285" t="s">
        <v>35</v>
      </c>
      <c r="E285" t="s">
        <v>36</v>
      </c>
      <c r="F285" t="s">
        <v>45</v>
      </c>
      <c r="G285" t="s">
        <v>43</v>
      </c>
      <c r="H285" t="s">
        <v>26</v>
      </c>
      <c r="I285">
        <v>21.199915200339198</v>
      </c>
      <c r="J285">
        <v>0</v>
      </c>
      <c r="K285">
        <v>0</v>
      </c>
      <c r="L285">
        <v>2.9752607072194701</v>
      </c>
      <c r="M285" t="s">
        <v>37</v>
      </c>
      <c r="N285" t="s">
        <v>28</v>
      </c>
      <c r="O285" t="s">
        <v>38</v>
      </c>
      <c r="P285" t="s">
        <v>30</v>
      </c>
      <c r="Q285" t="s">
        <v>1144</v>
      </c>
      <c r="R285" t="s">
        <v>1145</v>
      </c>
      <c r="S285" t="s">
        <v>1143</v>
      </c>
    </row>
    <row r="286" spans="1:19" x14ac:dyDescent="0.3">
      <c r="A286" t="s">
        <v>1146</v>
      </c>
      <c r="B286" t="s">
        <v>1147</v>
      </c>
      <c r="C286" t="s">
        <v>45</v>
      </c>
      <c r="D286" t="s">
        <v>63</v>
      </c>
      <c r="E286" t="s">
        <v>74</v>
      </c>
      <c r="F286" t="s">
        <v>45</v>
      </c>
      <c r="G286" t="s">
        <v>1146</v>
      </c>
      <c r="H286" t="s">
        <v>213</v>
      </c>
      <c r="I286">
        <v>10.598485383836239</v>
      </c>
      <c r="J286">
        <v>4.4279135671271694</v>
      </c>
      <c r="K286">
        <v>0</v>
      </c>
      <c r="L286">
        <v>2.975054091892579</v>
      </c>
      <c r="M286" t="s">
        <v>121</v>
      </c>
      <c r="N286" t="s">
        <v>122</v>
      </c>
      <c r="O286" t="s">
        <v>123</v>
      </c>
      <c r="P286" t="s">
        <v>124</v>
      </c>
      <c r="Q286" t="s">
        <v>1148</v>
      </c>
      <c r="R286" t="s">
        <v>1149</v>
      </c>
      <c r="S286" t="s">
        <v>1147</v>
      </c>
    </row>
    <row r="287" spans="1:19" x14ac:dyDescent="0.3">
      <c r="A287" t="s">
        <v>1150</v>
      </c>
      <c r="B287" t="s">
        <v>1151</v>
      </c>
      <c r="C287" t="s">
        <v>243</v>
      </c>
      <c r="D287" t="s">
        <v>63</v>
      </c>
      <c r="E287" t="s">
        <v>74</v>
      </c>
      <c r="F287" t="s">
        <v>243</v>
      </c>
      <c r="G287" t="s">
        <v>1152</v>
      </c>
      <c r="H287" t="s">
        <v>213</v>
      </c>
      <c r="I287">
        <v>10.597381221586231</v>
      </c>
      <c r="J287">
        <v>4.4279135671271694</v>
      </c>
      <c r="K287">
        <v>0</v>
      </c>
      <c r="L287">
        <v>2.9748991303974122</v>
      </c>
      <c r="Q287" t="s">
        <v>1153</v>
      </c>
      <c r="R287" t="s">
        <v>1154</v>
      </c>
      <c r="S287" t="s">
        <v>1151</v>
      </c>
    </row>
    <row r="288" spans="1:19" x14ac:dyDescent="0.3">
      <c r="A288" t="s">
        <v>1155</v>
      </c>
      <c r="B288" t="s">
        <v>1156</v>
      </c>
      <c r="C288" t="s">
        <v>314</v>
      </c>
      <c r="D288" t="s">
        <v>35</v>
      </c>
      <c r="E288" t="s">
        <v>389</v>
      </c>
      <c r="F288" t="s">
        <v>314</v>
      </c>
      <c r="G288" t="s">
        <v>1157</v>
      </c>
      <c r="H288" t="s">
        <v>213</v>
      </c>
      <c r="I288">
        <v>10.59664511341955</v>
      </c>
      <c r="J288">
        <v>4.4279135671271694</v>
      </c>
      <c r="K288">
        <v>0</v>
      </c>
      <c r="L288">
        <v>2.974795822733967</v>
      </c>
      <c r="M288" t="s">
        <v>76</v>
      </c>
      <c r="N288" t="s">
        <v>76</v>
      </c>
      <c r="O288" t="s">
        <v>77</v>
      </c>
      <c r="P288" t="s">
        <v>76</v>
      </c>
      <c r="S288" t="s">
        <v>1156</v>
      </c>
    </row>
    <row r="289" spans="1:19" x14ac:dyDescent="0.3">
      <c r="A289" t="s">
        <v>1158</v>
      </c>
      <c r="B289" t="s">
        <v>1159</v>
      </c>
      <c r="C289" t="s">
        <v>314</v>
      </c>
      <c r="D289" t="s">
        <v>63</v>
      </c>
      <c r="E289" t="s">
        <v>323</v>
      </c>
      <c r="F289" t="s">
        <v>314</v>
      </c>
      <c r="G289" t="s">
        <v>1157</v>
      </c>
      <c r="H289" t="s">
        <v>213</v>
      </c>
      <c r="I289">
        <v>0</v>
      </c>
      <c r="J289">
        <v>8.8542893972975332</v>
      </c>
      <c r="K289">
        <v>0</v>
      </c>
      <c r="L289">
        <v>2.974744079209882</v>
      </c>
      <c r="M289" t="s">
        <v>121</v>
      </c>
      <c r="N289" t="s">
        <v>122</v>
      </c>
      <c r="O289" t="s">
        <v>123</v>
      </c>
      <c r="P289" t="s">
        <v>124</v>
      </c>
      <c r="Q289" t="s">
        <v>1160</v>
      </c>
      <c r="R289" t="s">
        <v>1161</v>
      </c>
      <c r="S289" t="s">
        <v>1159</v>
      </c>
    </row>
    <row r="290" spans="1:19" x14ac:dyDescent="0.3">
      <c r="A290" t="s">
        <v>1162</v>
      </c>
      <c r="B290" t="s">
        <v>1163</v>
      </c>
      <c r="C290" t="s">
        <v>114</v>
      </c>
      <c r="D290" t="s">
        <v>63</v>
      </c>
      <c r="E290" t="s">
        <v>74</v>
      </c>
      <c r="F290" t="s">
        <v>114</v>
      </c>
      <c r="G290" t="s">
        <v>1162</v>
      </c>
      <c r="H290" t="s">
        <v>213</v>
      </c>
      <c r="I290">
        <v>21.194762443172451</v>
      </c>
      <c r="J290">
        <v>0</v>
      </c>
      <c r="K290">
        <v>0</v>
      </c>
      <c r="L290">
        <v>2.9745375535753551</v>
      </c>
      <c r="M290" t="s">
        <v>239</v>
      </c>
      <c r="N290" t="s">
        <v>239</v>
      </c>
      <c r="O290" t="s">
        <v>240</v>
      </c>
      <c r="P290" t="s">
        <v>239</v>
      </c>
      <c r="S290" t="s">
        <v>1163</v>
      </c>
    </row>
    <row r="291" spans="1:19" x14ac:dyDescent="0.3">
      <c r="A291" t="s">
        <v>1164</v>
      </c>
      <c r="B291" t="s">
        <v>1165</v>
      </c>
      <c r="C291" t="s">
        <v>45</v>
      </c>
      <c r="D291" t="s">
        <v>63</v>
      </c>
      <c r="E291" t="s">
        <v>345</v>
      </c>
      <c r="F291" t="s">
        <v>45</v>
      </c>
      <c r="G291" t="s">
        <v>1166</v>
      </c>
      <c r="H291" t="s">
        <v>26</v>
      </c>
      <c r="I291">
        <v>6.8750049073877779</v>
      </c>
      <c r="J291">
        <v>2.901513362459164</v>
      </c>
      <c r="K291">
        <v>1.9708113576178801</v>
      </c>
      <c r="L291">
        <v>2.9717654646062428</v>
      </c>
      <c r="M291" t="s">
        <v>63</v>
      </c>
      <c r="N291" t="s">
        <v>28</v>
      </c>
      <c r="O291" t="s">
        <v>86</v>
      </c>
      <c r="P291" t="s">
        <v>30</v>
      </c>
      <c r="Q291" t="s">
        <v>1167</v>
      </c>
      <c r="R291" t="s">
        <v>1168</v>
      </c>
      <c r="S291" t="s">
        <v>1165</v>
      </c>
    </row>
    <row r="292" spans="1:19" x14ac:dyDescent="0.3">
      <c r="A292" t="s">
        <v>1169</v>
      </c>
      <c r="B292" t="s">
        <v>1170</v>
      </c>
      <c r="C292" t="s">
        <v>24</v>
      </c>
      <c r="D292" t="s">
        <v>63</v>
      </c>
      <c r="E292" t="s">
        <v>74</v>
      </c>
      <c r="F292" t="s">
        <v>24</v>
      </c>
      <c r="G292" t="s">
        <v>1171</v>
      </c>
      <c r="H292" t="s">
        <v>213</v>
      </c>
      <c r="I292">
        <v>3.3451208787757438</v>
      </c>
      <c r="J292">
        <v>4.271347873289514</v>
      </c>
      <c r="K292">
        <v>2.0101006753422741</v>
      </c>
      <c r="L292">
        <v>2.9571646481726672</v>
      </c>
      <c r="M292" t="s">
        <v>57</v>
      </c>
      <c r="N292" t="s">
        <v>28</v>
      </c>
      <c r="O292" t="s">
        <v>58</v>
      </c>
      <c r="P292" t="s">
        <v>30</v>
      </c>
      <c r="Q292" t="s">
        <v>1172</v>
      </c>
      <c r="R292" t="s">
        <v>1173</v>
      </c>
      <c r="S292" t="s">
        <v>915</v>
      </c>
    </row>
    <row r="293" spans="1:19" x14ac:dyDescent="0.3">
      <c r="A293" t="s">
        <v>1174</v>
      </c>
      <c r="B293" t="s">
        <v>374</v>
      </c>
      <c r="C293" t="s">
        <v>21</v>
      </c>
      <c r="D293" t="s">
        <v>63</v>
      </c>
      <c r="E293" t="s">
        <v>74</v>
      </c>
      <c r="F293" t="s">
        <v>24</v>
      </c>
      <c r="G293" t="s">
        <v>21</v>
      </c>
      <c r="H293" t="s">
        <v>26</v>
      </c>
      <c r="I293">
        <v>1.366952865521871</v>
      </c>
      <c r="J293">
        <v>1.182621915220214</v>
      </c>
      <c r="K293">
        <v>4.4385421697014484</v>
      </c>
      <c r="L293">
        <v>2.9135860321427338</v>
      </c>
      <c r="M293" t="s">
        <v>63</v>
      </c>
      <c r="N293" t="s">
        <v>28</v>
      </c>
      <c r="O293" t="s">
        <v>86</v>
      </c>
      <c r="P293" t="s">
        <v>30</v>
      </c>
      <c r="Q293" t="s">
        <v>1175</v>
      </c>
      <c r="R293" t="s">
        <v>1176</v>
      </c>
      <c r="S293" t="s">
        <v>374</v>
      </c>
    </row>
    <row r="294" spans="1:19" x14ac:dyDescent="0.3">
      <c r="A294" t="s">
        <v>1177</v>
      </c>
      <c r="B294" t="s">
        <v>1178</v>
      </c>
      <c r="C294" t="s">
        <v>114</v>
      </c>
      <c r="D294" t="s">
        <v>63</v>
      </c>
      <c r="E294" t="s">
        <v>323</v>
      </c>
      <c r="F294" t="s">
        <v>114</v>
      </c>
      <c r="G294" t="s">
        <v>1179</v>
      </c>
      <c r="H294" t="s">
        <v>213</v>
      </c>
      <c r="I294">
        <v>10.093269812105939</v>
      </c>
      <c r="J294">
        <v>4.4330384670891219</v>
      </c>
      <c r="K294">
        <v>0</v>
      </c>
      <c r="L294">
        <v>2.9058723932721642</v>
      </c>
      <c r="Q294" t="s">
        <v>1180</v>
      </c>
      <c r="R294" t="s">
        <v>1181</v>
      </c>
      <c r="S294" t="s">
        <v>1178</v>
      </c>
    </row>
    <row r="295" spans="1:19" x14ac:dyDescent="0.3">
      <c r="A295" t="s">
        <v>1182</v>
      </c>
      <c r="B295" t="s">
        <v>1183</v>
      </c>
      <c r="C295" t="s">
        <v>43</v>
      </c>
      <c r="D295" t="s">
        <v>485</v>
      </c>
      <c r="F295" t="s">
        <v>45</v>
      </c>
      <c r="G295" t="s">
        <v>43</v>
      </c>
      <c r="H295" t="s">
        <v>26</v>
      </c>
      <c r="I295">
        <v>1.776719744972872</v>
      </c>
      <c r="J295">
        <v>2.0149569180409599</v>
      </c>
      <c r="K295">
        <v>3.6929657194620402</v>
      </c>
      <c r="L295">
        <v>2.8602792778050512</v>
      </c>
      <c r="M295" t="s">
        <v>76</v>
      </c>
      <c r="N295" t="s">
        <v>76</v>
      </c>
      <c r="O295" t="s">
        <v>77</v>
      </c>
      <c r="P295" t="s">
        <v>76</v>
      </c>
      <c r="S295" t="s">
        <v>1183</v>
      </c>
    </row>
    <row r="296" spans="1:19" x14ac:dyDescent="0.3">
      <c r="A296" t="s">
        <v>1184</v>
      </c>
      <c r="B296" t="s">
        <v>1185</v>
      </c>
      <c r="C296" t="s">
        <v>251</v>
      </c>
      <c r="D296" t="s">
        <v>63</v>
      </c>
      <c r="E296" t="s">
        <v>323</v>
      </c>
      <c r="F296" t="s">
        <v>251</v>
      </c>
      <c r="G296" t="s">
        <v>1184</v>
      </c>
      <c r="H296" t="s">
        <v>213</v>
      </c>
      <c r="I296">
        <v>2.0977855903391198</v>
      </c>
      <c r="J296">
        <v>7.6289260833628516</v>
      </c>
      <c r="K296">
        <v>0</v>
      </c>
      <c r="L296">
        <v>2.8574727529481252</v>
      </c>
      <c r="Q296" t="s">
        <v>1186</v>
      </c>
      <c r="R296" t="s">
        <v>1187</v>
      </c>
      <c r="S296" t="s">
        <v>1185</v>
      </c>
    </row>
    <row r="297" spans="1:19" x14ac:dyDescent="0.3">
      <c r="A297" t="s">
        <v>1188</v>
      </c>
      <c r="B297" t="s">
        <v>1189</v>
      </c>
      <c r="C297" t="s">
        <v>24</v>
      </c>
      <c r="D297" t="s">
        <v>63</v>
      </c>
      <c r="E297" t="s">
        <v>74</v>
      </c>
      <c r="F297" t="s">
        <v>55</v>
      </c>
      <c r="G297" t="s">
        <v>1188</v>
      </c>
      <c r="H297" t="s">
        <v>26</v>
      </c>
      <c r="I297">
        <v>5.9546243296508292</v>
      </c>
      <c r="J297">
        <v>2.777593281379148</v>
      </c>
      <c r="K297">
        <v>2.008884186006874</v>
      </c>
      <c r="L297">
        <v>2.820901840088553</v>
      </c>
      <c r="M297" t="s">
        <v>63</v>
      </c>
      <c r="N297" t="s">
        <v>28</v>
      </c>
      <c r="O297" t="s">
        <v>86</v>
      </c>
      <c r="P297" t="s">
        <v>30</v>
      </c>
      <c r="Q297" t="s">
        <v>1190</v>
      </c>
      <c r="R297" t="s">
        <v>1191</v>
      </c>
      <c r="S297" t="s">
        <v>1189</v>
      </c>
    </row>
    <row r="298" spans="1:19" x14ac:dyDescent="0.3">
      <c r="A298" t="s">
        <v>1192</v>
      </c>
      <c r="B298" t="s">
        <v>1193</v>
      </c>
      <c r="C298" t="s">
        <v>73</v>
      </c>
      <c r="D298" t="s">
        <v>63</v>
      </c>
      <c r="E298" t="s">
        <v>74</v>
      </c>
      <c r="F298" t="s">
        <v>73</v>
      </c>
      <c r="G298" t="s">
        <v>1192</v>
      </c>
      <c r="H298" t="s">
        <v>213</v>
      </c>
      <c r="I298">
        <v>2.7692389230443082</v>
      </c>
      <c r="J298">
        <v>4.693895875152517</v>
      </c>
      <c r="K298">
        <v>1.505060332610541</v>
      </c>
      <c r="L298">
        <v>2.7538207306248541</v>
      </c>
      <c r="M298" t="s">
        <v>57</v>
      </c>
      <c r="N298" t="s">
        <v>28</v>
      </c>
      <c r="O298" t="s">
        <v>58</v>
      </c>
      <c r="P298" t="s">
        <v>30</v>
      </c>
      <c r="Q298" t="s">
        <v>1194</v>
      </c>
      <c r="R298" t="s">
        <v>1195</v>
      </c>
      <c r="S298" t="s">
        <v>901</v>
      </c>
    </row>
    <row r="299" spans="1:19" x14ac:dyDescent="0.3">
      <c r="A299" t="s">
        <v>1196</v>
      </c>
      <c r="B299" t="s">
        <v>1197</v>
      </c>
      <c r="C299" t="s">
        <v>43</v>
      </c>
      <c r="D299" t="s">
        <v>63</v>
      </c>
      <c r="E299" t="s">
        <v>74</v>
      </c>
      <c r="F299" t="s">
        <v>45</v>
      </c>
      <c r="G299" t="s">
        <v>43</v>
      </c>
      <c r="H299" t="s">
        <v>26</v>
      </c>
      <c r="I299">
        <v>1.084287329517349</v>
      </c>
      <c r="J299">
        <v>0.95845879088440122</v>
      </c>
      <c r="K299">
        <v>4.3385270194775067</v>
      </c>
      <c r="L299">
        <v>2.746227617361638</v>
      </c>
      <c r="M299" t="s">
        <v>63</v>
      </c>
      <c r="N299" t="s">
        <v>28</v>
      </c>
      <c r="O299" t="s">
        <v>86</v>
      </c>
      <c r="P299" t="s">
        <v>30</v>
      </c>
      <c r="Q299" t="s">
        <v>1198</v>
      </c>
      <c r="R299" t="s">
        <v>1199</v>
      </c>
      <c r="S299" t="s">
        <v>1197</v>
      </c>
    </row>
    <row r="300" spans="1:19" x14ac:dyDescent="0.3">
      <c r="A300" t="s">
        <v>1200</v>
      </c>
      <c r="B300" t="s">
        <v>1201</v>
      </c>
      <c r="C300" t="s">
        <v>24</v>
      </c>
      <c r="D300" t="s">
        <v>35</v>
      </c>
      <c r="E300" t="s">
        <v>80</v>
      </c>
      <c r="F300" t="s">
        <v>144</v>
      </c>
      <c r="G300" t="s">
        <v>1073</v>
      </c>
      <c r="H300" t="s">
        <v>26</v>
      </c>
      <c r="I300">
        <v>1.6345281841094861</v>
      </c>
      <c r="J300">
        <v>2.9345177182141411</v>
      </c>
      <c r="K300">
        <v>2.7797438875685039</v>
      </c>
      <c r="L300">
        <v>2.6710196383735898</v>
      </c>
      <c r="M300" t="s">
        <v>76</v>
      </c>
      <c r="N300" t="s">
        <v>76</v>
      </c>
      <c r="O300" t="s">
        <v>77</v>
      </c>
      <c r="P300" t="s">
        <v>76</v>
      </c>
      <c r="S300" t="s">
        <v>1201</v>
      </c>
    </row>
    <row r="301" spans="1:19" x14ac:dyDescent="0.3">
      <c r="A301" t="s">
        <v>1202</v>
      </c>
      <c r="B301" t="s">
        <v>1203</v>
      </c>
      <c r="C301" t="s">
        <v>21</v>
      </c>
      <c r="D301" t="s">
        <v>63</v>
      </c>
      <c r="E301" t="s">
        <v>74</v>
      </c>
      <c r="F301" t="s">
        <v>24</v>
      </c>
      <c r="G301" t="s">
        <v>21</v>
      </c>
      <c r="H301" t="s">
        <v>26</v>
      </c>
      <c r="I301">
        <v>1.3500223776882669</v>
      </c>
      <c r="J301">
        <v>1.126350513637973</v>
      </c>
      <c r="K301">
        <v>3.6382894555493479</v>
      </c>
      <c r="L301">
        <v>2.4732198987639999</v>
      </c>
      <c r="M301" t="s">
        <v>63</v>
      </c>
      <c r="N301" t="s">
        <v>28</v>
      </c>
      <c r="O301" t="s">
        <v>86</v>
      </c>
      <c r="P301" t="s">
        <v>30</v>
      </c>
      <c r="Q301" t="s">
        <v>1204</v>
      </c>
      <c r="R301" t="s">
        <v>548</v>
      </c>
      <c r="S301" t="s">
        <v>1203</v>
      </c>
    </row>
    <row r="302" spans="1:19" x14ac:dyDescent="0.3">
      <c r="A302" t="s">
        <v>1205</v>
      </c>
      <c r="B302" t="s">
        <v>1206</v>
      </c>
      <c r="C302" t="s">
        <v>196</v>
      </c>
      <c r="D302" t="s">
        <v>63</v>
      </c>
      <c r="E302" t="s">
        <v>74</v>
      </c>
      <c r="F302" t="s">
        <v>228</v>
      </c>
      <c r="G302" t="s">
        <v>196</v>
      </c>
      <c r="H302" t="s">
        <v>75</v>
      </c>
      <c r="I302">
        <v>3.1229388971333001</v>
      </c>
      <c r="J302">
        <v>4.6563816074310216</v>
      </c>
      <c r="K302">
        <v>0.82326737725425336</v>
      </c>
      <c r="L302">
        <v>2.4338080251596859</v>
      </c>
      <c r="M302" t="s">
        <v>63</v>
      </c>
      <c r="N302" t="s">
        <v>28</v>
      </c>
      <c r="O302" t="s">
        <v>86</v>
      </c>
      <c r="P302" t="s">
        <v>30</v>
      </c>
      <c r="Q302" t="s">
        <v>1207</v>
      </c>
      <c r="R302" t="s">
        <v>1208</v>
      </c>
      <c r="S302" t="s">
        <v>1206</v>
      </c>
    </row>
    <row r="303" spans="1:19" x14ac:dyDescent="0.3">
      <c r="A303" t="s">
        <v>1209</v>
      </c>
      <c r="B303" t="s">
        <v>1210</v>
      </c>
      <c r="C303" t="s">
        <v>43</v>
      </c>
      <c r="D303" t="s">
        <v>22</v>
      </c>
      <c r="E303" t="s">
        <v>74</v>
      </c>
      <c r="F303" t="s">
        <v>45</v>
      </c>
      <c r="G303" t="s">
        <v>43</v>
      </c>
      <c r="H303" t="s">
        <v>26</v>
      </c>
      <c r="I303">
        <v>1.7044584599439381</v>
      </c>
      <c r="J303">
        <v>1.5387512135763111</v>
      </c>
      <c r="K303">
        <v>3.19575036218504</v>
      </c>
      <c r="L303">
        <v>2.4297618083414179</v>
      </c>
      <c r="M303" t="s">
        <v>63</v>
      </c>
      <c r="N303" t="s">
        <v>28</v>
      </c>
      <c r="O303" t="s">
        <v>86</v>
      </c>
      <c r="P303" t="s">
        <v>30</v>
      </c>
      <c r="Q303" t="s">
        <v>1211</v>
      </c>
      <c r="R303" t="s">
        <v>1212</v>
      </c>
      <c r="S303" t="s">
        <v>1210</v>
      </c>
    </row>
    <row r="304" spans="1:19" x14ac:dyDescent="0.3">
      <c r="A304" t="s">
        <v>1213</v>
      </c>
      <c r="B304" t="s">
        <v>1214</v>
      </c>
      <c r="C304" t="s">
        <v>24</v>
      </c>
      <c r="D304" t="s">
        <v>63</v>
      </c>
      <c r="E304" t="s">
        <v>315</v>
      </c>
      <c r="F304" t="s">
        <v>55</v>
      </c>
      <c r="G304" t="s">
        <v>1213</v>
      </c>
      <c r="H304" t="s">
        <v>213</v>
      </c>
      <c r="I304">
        <v>2.451362879733666</v>
      </c>
      <c r="J304">
        <v>6.0245761502735462</v>
      </c>
      <c r="K304">
        <v>0</v>
      </c>
      <c r="L304">
        <v>2.368087133264682</v>
      </c>
      <c r="M304" t="s">
        <v>76</v>
      </c>
      <c r="N304" t="s">
        <v>76</v>
      </c>
      <c r="O304" t="s">
        <v>77</v>
      </c>
      <c r="P304" t="s">
        <v>76</v>
      </c>
      <c r="S304" t="s">
        <v>1214</v>
      </c>
    </row>
    <row r="305" spans="1:19" x14ac:dyDescent="0.3">
      <c r="A305" t="s">
        <v>1215</v>
      </c>
      <c r="B305" t="s">
        <v>1216</v>
      </c>
      <c r="C305" t="s">
        <v>24</v>
      </c>
      <c r="D305" t="s">
        <v>63</v>
      </c>
      <c r="E305" t="s">
        <v>74</v>
      </c>
      <c r="F305" t="s">
        <v>55</v>
      </c>
      <c r="G305" t="s">
        <v>1215</v>
      </c>
      <c r="H305" t="s">
        <v>213</v>
      </c>
      <c r="I305">
        <v>0.97583405962672454</v>
      </c>
      <c r="J305">
        <v>6.6359254667348893</v>
      </c>
      <c r="K305">
        <v>0</v>
      </c>
      <c r="L305">
        <v>2.3663997747617449</v>
      </c>
      <c r="M305" t="s">
        <v>76</v>
      </c>
      <c r="N305" t="s">
        <v>76</v>
      </c>
      <c r="O305" t="s">
        <v>77</v>
      </c>
      <c r="P305" t="s">
        <v>76</v>
      </c>
      <c r="S305" t="s">
        <v>1216</v>
      </c>
    </row>
    <row r="306" spans="1:19" x14ac:dyDescent="0.3">
      <c r="A306" t="s">
        <v>1217</v>
      </c>
      <c r="B306" t="s">
        <v>1218</v>
      </c>
      <c r="C306" t="s">
        <v>251</v>
      </c>
      <c r="D306" t="s">
        <v>63</v>
      </c>
      <c r="E306" t="s">
        <v>74</v>
      </c>
      <c r="F306" t="s">
        <v>251</v>
      </c>
      <c r="G306" t="s">
        <v>1219</v>
      </c>
      <c r="H306" t="s">
        <v>75</v>
      </c>
      <c r="I306">
        <v>2.1525029640622182</v>
      </c>
      <c r="J306">
        <v>4.8989431226302456</v>
      </c>
      <c r="K306">
        <v>0.72003017419601234</v>
      </c>
      <c r="L306">
        <v>2.3250422734958822</v>
      </c>
      <c r="S306" t="s">
        <v>1218</v>
      </c>
    </row>
    <row r="307" spans="1:19" x14ac:dyDescent="0.3">
      <c r="A307" t="s">
        <v>1220</v>
      </c>
      <c r="B307" t="s">
        <v>1221</v>
      </c>
      <c r="C307" t="s">
        <v>43</v>
      </c>
      <c r="D307" t="s">
        <v>35</v>
      </c>
      <c r="E307" t="s">
        <v>150</v>
      </c>
      <c r="F307" t="s">
        <v>45</v>
      </c>
      <c r="G307" t="s">
        <v>43</v>
      </c>
      <c r="H307" t="s">
        <v>26</v>
      </c>
      <c r="I307">
        <v>1.0879678703507409</v>
      </c>
      <c r="J307">
        <v>0.90679979926791843</v>
      </c>
      <c r="K307">
        <v>3.522196919244045</v>
      </c>
      <c r="L307">
        <v>2.3018841389402671</v>
      </c>
      <c r="M307" t="s">
        <v>76</v>
      </c>
      <c r="N307" t="s">
        <v>76</v>
      </c>
      <c r="O307" t="s">
        <v>77</v>
      </c>
      <c r="P307" t="s">
        <v>76</v>
      </c>
      <c r="Q307" t="s">
        <v>1222</v>
      </c>
      <c r="R307" t="s">
        <v>1223</v>
      </c>
      <c r="S307" t="s">
        <v>1221</v>
      </c>
    </row>
    <row r="308" spans="1:19" x14ac:dyDescent="0.3">
      <c r="A308" t="s">
        <v>1224</v>
      </c>
      <c r="B308" t="s">
        <v>1225</v>
      </c>
      <c r="C308" t="s">
        <v>43</v>
      </c>
      <c r="D308" t="s">
        <v>35</v>
      </c>
      <c r="E308" t="s">
        <v>36</v>
      </c>
      <c r="F308" t="s">
        <v>45</v>
      </c>
      <c r="G308" t="s">
        <v>43</v>
      </c>
      <c r="H308" t="s">
        <v>26</v>
      </c>
      <c r="I308">
        <v>1.08661833871183</v>
      </c>
      <c r="J308">
        <v>0.90710729326563477</v>
      </c>
      <c r="K308">
        <v>3.522098284973608</v>
      </c>
      <c r="L308">
        <v>2.3017463953890061</v>
      </c>
      <c r="M308" t="s">
        <v>37</v>
      </c>
      <c r="N308" t="s">
        <v>28</v>
      </c>
      <c r="O308" t="s">
        <v>38</v>
      </c>
      <c r="P308" t="s">
        <v>30</v>
      </c>
      <c r="Q308" t="s">
        <v>1226</v>
      </c>
      <c r="R308" t="s">
        <v>1227</v>
      </c>
      <c r="S308" t="s">
        <v>1225</v>
      </c>
    </row>
    <row r="309" spans="1:19" x14ac:dyDescent="0.3">
      <c r="A309" t="s">
        <v>1228</v>
      </c>
      <c r="B309" t="s">
        <v>1229</v>
      </c>
      <c r="C309" t="s">
        <v>43</v>
      </c>
      <c r="D309" t="s">
        <v>35</v>
      </c>
      <c r="E309" t="s">
        <v>150</v>
      </c>
      <c r="F309" t="s">
        <v>45</v>
      </c>
      <c r="G309" t="s">
        <v>43</v>
      </c>
      <c r="H309" t="s">
        <v>26</v>
      </c>
      <c r="I309">
        <v>1.0872317621840619</v>
      </c>
      <c r="J309">
        <v>0.90941349824851381</v>
      </c>
      <c r="K309">
        <v>3.518514573147701</v>
      </c>
      <c r="L309">
        <v>2.3007305366984632</v>
      </c>
      <c r="M309" t="s">
        <v>76</v>
      </c>
      <c r="N309" t="s">
        <v>76</v>
      </c>
      <c r="O309" t="s">
        <v>77</v>
      </c>
      <c r="P309" t="s">
        <v>76</v>
      </c>
      <c r="Q309" t="s">
        <v>1230</v>
      </c>
      <c r="R309" t="s">
        <v>1223</v>
      </c>
      <c r="S309" t="s">
        <v>1229</v>
      </c>
    </row>
    <row r="310" spans="1:19" x14ac:dyDescent="0.3">
      <c r="A310" t="s">
        <v>1231</v>
      </c>
      <c r="B310" t="s">
        <v>1232</v>
      </c>
      <c r="C310" t="s">
        <v>251</v>
      </c>
      <c r="D310" t="s">
        <v>63</v>
      </c>
      <c r="E310" t="s">
        <v>74</v>
      </c>
      <c r="F310" t="s">
        <v>251</v>
      </c>
      <c r="G310" t="s">
        <v>1219</v>
      </c>
      <c r="H310" t="s">
        <v>75</v>
      </c>
      <c r="I310">
        <v>2.0850263821166939</v>
      </c>
      <c r="J310">
        <v>4.8193534262211193</v>
      </c>
      <c r="K310">
        <v>0.73498970521241336</v>
      </c>
      <c r="L310">
        <v>2.296667101936289</v>
      </c>
      <c r="S310" t="s">
        <v>1232</v>
      </c>
    </row>
    <row r="311" spans="1:19" x14ac:dyDescent="0.3">
      <c r="A311" t="s">
        <v>1233</v>
      </c>
      <c r="B311" t="s">
        <v>1234</v>
      </c>
      <c r="C311" t="s">
        <v>243</v>
      </c>
      <c r="D311" t="s">
        <v>63</v>
      </c>
      <c r="E311" t="s">
        <v>323</v>
      </c>
      <c r="F311" t="s">
        <v>243</v>
      </c>
      <c r="G311" t="s">
        <v>1233</v>
      </c>
      <c r="H311" t="s">
        <v>213</v>
      </c>
      <c r="I311">
        <v>8.0725302098791616</v>
      </c>
      <c r="J311">
        <v>3.4308642795292639</v>
      </c>
      <c r="K311">
        <v>0</v>
      </c>
      <c r="L311">
        <v>2.285578746059846</v>
      </c>
      <c r="M311" t="s">
        <v>63</v>
      </c>
      <c r="N311" t="s">
        <v>28</v>
      </c>
      <c r="O311" t="s">
        <v>86</v>
      </c>
      <c r="P311" t="s">
        <v>30</v>
      </c>
      <c r="Q311" t="s">
        <v>1235</v>
      </c>
      <c r="R311" t="s">
        <v>1236</v>
      </c>
      <c r="S311" t="s">
        <v>768</v>
      </c>
    </row>
    <row r="312" spans="1:19" x14ac:dyDescent="0.3">
      <c r="A312" t="s">
        <v>1237</v>
      </c>
      <c r="B312" t="s">
        <v>1238</v>
      </c>
      <c r="C312" t="s">
        <v>73</v>
      </c>
      <c r="D312" t="s">
        <v>63</v>
      </c>
      <c r="E312" t="s">
        <v>74</v>
      </c>
      <c r="F312" t="s">
        <v>73</v>
      </c>
      <c r="G312" t="s">
        <v>1237</v>
      </c>
      <c r="H312" t="s">
        <v>317</v>
      </c>
      <c r="I312">
        <v>4.7037311850752586</v>
      </c>
      <c r="J312">
        <v>3.918498510909068</v>
      </c>
      <c r="K312">
        <v>0.5784899961177552</v>
      </c>
      <c r="L312">
        <v>2.2795696836361219</v>
      </c>
      <c r="M312" t="s">
        <v>63</v>
      </c>
      <c r="N312" t="s">
        <v>28</v>
      </c>
      <c r="O312" t="s">
        <v>86</v>
      </c>
      <c r="P312" t="s">
        <v>30</v>
      </c>
      <c r="Q312" t="s">
        <v>1239</v>
      </c>
      <c r="R312" t="s">
        <v>548</v>
      </c>
      <c r="S312" t="s">
        <v>1238</v>
      </c>
    </row>
    <row r="313" spans="1:19" x14ac:dyDescent="0.3">
      <c r="A313" t="s">
        <v>1240</v>
      </c>
      <c r="B313" t="s">
        <v>1241</v>
      </c>
      <c r="C313" t="s">
        <v>73</v>
      </c>
      <c r="D313" t="s">
        <v>63</v>
      </c>
      <c r="E313" t="s">
        <v>74</v>
      </c>
      <c r="F313" t="s">
        <v>73</v>
      </c>
      <c r="G313" t="s">
        <v>1240</v>
      </c>
      <c r="H313" t="s">
        <v>213</v>
      </c>
      <c r="I313">
        <v>2.8060443313782302</v>
      </c>
      <c r="J313">
        <v>3.2095198501725251</v>
      </c>
      <c r="K313">
        <v>1.530047681121453</v>
      </c>
      <c r="L313">
        <v>2.2733712238294141</v>
      </c>
      <c r="M313" t="s">
        <v>57</v>
      </c>
      <c r="N313" t="s">
        <v>28</v>
      </c>
      <c r="O313" t="s">
        <v>58</v>
      </c>
      <c r="P313" t="s">
        <v>30</v>
      </c>
      <c r="Q313" t="s">
        <v>1242</v>
      </c>
      <c r="R313" t="s">
        <v>1243</v>
      </c>
      <c r="S313" t="s">
        <v>901</v>
      </c>
    </row>
    <row r="314" spans="1:19" x14ac:dyDescent="0.3">
      <c r="A314" t="s">
        <v>1244</v>
      </c>
      <c r="B314" t="s">
        <v>1245</v>
      </c>
      <c r="C314" t="s">
        <v>73</v>
      </c>
      <c r="D314" t="s">
        <v>35</v>
      </c>
      <c r="E314" t="s">
        <v>128</v>
      </c>
      <c r="F314" t="s">
        <v>73</v>
      </c>
      <c r="G314" t="s">
        <v>741</v>
      </c>
      <c r="H314" t="s">
        <v>75</v>
      </c>
      <c r="I314">
        <v>1.4617881343289441</v>
      </c>
      <c r="J314">
        <v>1.219418696947036</v>
      </c>
      <c r="K314">
        <v>3.077389237659669</v>
      </c>
      <c r="L314">
        <v>2.226435108737514</v>
      </c>
      <c r="M314" t="s">
        <v>76</v>
      </c>
      <c r="N314" t="s">
        <v>76</v>
      </c>
      <c r="O314" t="s">
        <v>77</v>
      </c>
      <c r="P314" t="s">
        <v>76</v>
      </c>
      <c r="Q314" t="s">
        <v>707</v>
      </c>
      <c r="S314" t="s">
        <v>1245</v>
      </c>
    </row>
    <row r="315" spans="1:19" x14ac:dyDescent="0.3">
      <c r="A315" t="s">
        <v>1246</v>
      </c>
      <c r="B315" t="s">
        <v>1247</v>
      </c>
      <c r="C315" t="s">
        <v>45</v>
      </c>
      <c r="D315" t="s">
        <v>63</v>
      </c>
      <c r="E315" t="s">
        <v>74</v>
      </c>
      <c r="F315" t="s">
        <v>114</v>
      </c>
      <c r="G315" t="s">
        <v>1246</v>
      </c>
      <c r="H315" t="s">
        <v>26</v>
      </c>
      <c r="I315">
        <v>5.0611116999976442</v>
      </c>
      <c r="J315">
        <v>2.185513588774747</v>
      </c>
      <c r="K315">
        <v>1.417670369002642</v>
      </c>
      <c r="L315">
        <v>2.1869715813014778</v>
      </c>
      <c r="Q315" t="s">
        <v>707</v>
      </c>
      <c r="S315" t="s">
        <v>1247</v>
      </c>
    </row>
    <row r="316" spans="1:19" x14ac:dyDescent="0.3">
      <c r="A316" t="s">
        <v>1248</v>
      </c>
      <c r="B316" t="s">
        <v>1249</v>
      </c>
      <c r="C316" t="s">
        <v>24</v>
      </c>
      <c r="D316" t="s">
        <v>63</v>
      </c>
      <c r="E316" t="s">
        <v>74</v>
      </c>
      <c r="F316" t="s">
        <v>144</v>
      </c>
      <c r="G316" t="s">
        <v>1250</v>
      </c>
      <c r="H316" t="s">
        <v>213</v>
      </c>
      <c r="I316">
        <v>11.36060270573733</v>
      </c>
      <c r="J316">
        <v>1.5897952171973599</v>
      </c>
      <c r="K316">
        <v>0</v>
      </c>
      <c r="L316">
        <v>2.1284994437915401</v>
      </c>
      <c r="M316" t="s">
        <v>63</v>
      </c>
      <c r="N316" t="s">
        <v>28</v>
      </c>
      <c r="O316" t="s">
        <v>86</v>
      </c>
      <c r="P316" t="s">
        <v>30</v>
      </c>
      <c r="Q316" t="s">
        <v>1251</v>
      </c>
      <c r="R316" t="s">
        <v>734</v>
      </c>
      <c r="S316" t="s">
        <v>1249</v>
      </c>
    </row>
    <row r="317" spans="1:19" x14ac:dyDescent="0.3">
      <c r="A317" t="s">
        <v>1252</v>
      </c>
      <c r="B317" t="s">
        <v>1253</v>
      </c>
      <c r="C317" t="s">
        <v>45</v>
      </c>
      <c r="D317" t="s">
        <v>63</v>
      </c>
      <c r="E317" t="s">
        <v>74</v>
      </c>
      <c r="F317" t="s">
        <v>45</v>
      </c>
      <c r="G317" t="s">
        <v>1254</v>
      </c>
      <c r="H317" t="s">
        <v>213</v>
      </c>
      <c r="I317">
        <v>2.7129266482934069</v>
      </c>
      <c r="J317">
        <v>5.1925928937263626</v>
      </c>
      <c r="K317">
        <v>0</v>
      </c>
      <c r="L317">
        <v>2.125277337616462</v>
      </c>
      <c r="M317" t="s">
        <v>63</v>
      </c>
      <c r="N317" t="s">
        <v>28</v>
      </c>
      <c r="O317" t="s">
        <v>86</v>
      </c>
      <c r="P317" t="s">
        <v>30</v>
      </c>
      <c r="Q317" t="s">
        <v>1255</v>
      </c>
      <c r="R317" t="s">
        <v>1256</v>
      </c>
      <c r="S317" t="s">
        <v>1253</v>
      </c>
    </row>
    <row r="318" spans="1:19" x14ac:dyDescent="0.3">
      <c r="A318" t="s">
        <v>1257</v>
      </c>
      <c r="B318" t="s">
        <v>915</v>
      </c>
      <c r="C318" t="s">
        <v>24</v>
      </c>
      <c r="D318" t="s">
        <v>63</v>
      </c>
      <c r="E318" t="s">
        <v>74</v>
      </c>
      <c r="F318" t="s">
        <v>24</v>
      </c>
      <c r="G318" t="s">
        <v>1257</v>
      </c>
      <c r="H318" t="s">
        <v>26</v>
      </c>
      <c r="I318">
        <v>4.335799786430484</v>
      </c>
      <c r="J318">
        <v>2.1012602334002439</v>
      </c>
      <c r="K318">
        <v>1.536721933421078</v>
      </c>
      <c r="L318">
        <v>2.1192189720253869</v>
      </c>
      <c r="M318" t="s">
        <v>57</v>
      </c>
      <c r="N318" t="s">
        <v>28</v>
      </c>
      <c r="O318" t="s">
        <v>58</v>
      </c>
      <c r="P318" t="s">
        <v>30</v>
      </c>
      <c r="Q318" t="s">
        <v>1258</v>
      </c>
      <c r="R318" t="s">
        <v>1259</v>
      </c>
      <c r="S318" t="s">
        <v>915</v>
      </c>
    </row>
    <row r="319" spans="1:19" x14ac:dyDescent="0.3">
      <c r="A319" t="s">
        <v>1260</v>
      </c>
      <c r="B319" t="s">
        <v>1261</v>
      </c>
      <c r="C319" t="s">
        <v>1053</v>
      </c>
      <c r="D319" t="s">
        <v>35</v>
      </c>
      <c r="E319" t="s">
        <v>178</v>
      </c>
      <c r="F319" t="s">
        <v>314</v>
      </c>
      <c r="G319" t="s">
        <v>1053</v>
      </c>
      <c r="H319" t="s">
        <v>75</v>
      </c>
      <c r="I319">
        <v>1.9126543864194909</v>
      </c>
      <c r="J319">
        <v>2.388100884270739</v>
      </c>
      <c r="K319">
        <v>1.9220531499314559</v>
      </c>
      <c r="L319">
        <v>2.0773104965544831</v>
      </c>
      <c r="M319" t="s">
        <v>76</v>
      </c>
      <c r="N319" t="s">
        <v>76</v>
      </c>
      <c r="O319" t="s">
        <v>77</v>
      </c>
      <c r="P319" t="s">
        <v>76</v>
      </c>
      <c r="Q319" t="s">
        <v>707</v>
      </c>
      <c r="S319" t="s">
        <v>1261</v>
      </c>
    </row>
    <row r="320" spans="1:19" x14ac:dyDescent="0.3">
      <c r="A320" t="s">
        <v>876</v>
      </c>
      <c r="B320" t="s">
        <v>901</v>
      </c>
      <c r="C320" t="s">
        <v>73</v>
      </c>
      <c r="D320" t="s">
        <v>35</v>
      </c>
      <c r="E320" t="s">
        <v>400</v>
      </c>
      <c r="F320" t="s">
        <v>73</v>
      </c>
      <c r="G320" t="s">
        <v>876</v>
      </c>
      <c r="H320" t="s">
        <v>75</v>
      </c>
      <c r="I320">
        <v>5.482778994809947</v>
      </c>
      <c r="J320">
        <v>3.43675791448551</v>
      </c>
      <c r="K320">
        <v>0.28110767074775822</v>
      </c>
      <c r="L320">
        <v>2.071318652074666</v>
      </c>
      <c r="M320" t="s">
        <v>57</v>
      </c>
      <c r="N320" t="s">
        <v>28</v>
      </c>
      <c r="O320" t="s">
        <v>58</v>
      </c>
      <c r="P320" t="s">
        <v>30</v>
      </c>
      <c r="Q320" t="s">
        <v>899</v>
      </c>
      <c r="R320" t="s">
        <v>900</v>
      </c>
      <c r="S320" t="s">
        <v>901</v>
      </c>
    </row>
    <row r="321" spans="1:19" x14ac:dyDescent="0.3">
      <c r="A321" t="s">
        <v>1262</v>
      </c>
      <c r="B321" t="s">
        <v>1263</v>
      </c>
      <c r="C321" t="s">
        <v>43</v>
      </c>
      <c r="D321" t="s">
        <v>63</v>
      </c>
      <c r="E321" t="s">
        <v>74</v>
      </c>
      <c r="F321" t="s">
        <v>45</v>
      </c>
      <c r="G321" t="s">
        <v>43</v>
      </c>
      <c r="H321" t="s">
        <v>26</v>
      </c>
      <c r="I321">
        <v>0.55870609850893926</v>
      </c>
      <c r="J321">
        <v>0.59402715458994249</v>
      </c>
      <c r="K321">
        <v>3.414915711097855</v>
      </c>
      <c r="L321">
        <v>2.0663426662853919</v>
      </c>
      <c r="M321" t="s">
        <v>76</v>
      </c>
      <c r="N321" t="s">
        <v>76</v>
      </c>
      <c r="O321" t="s">
        <v>77</v>
      </c>
      <c r="P321" t="s">
        <v>76</v>
      </c>
      <c r="S321" t="s">
        <v>1263</v>
      </c>
    </row>
    <row r="322" spans="1:19" x14ac:dyDescent="0.3">
      <c r="A322" t="s">
        <v>1264</v>
      </c>
      <c r="B322" t="s">
        <v>1265</v>
      </c>
      <c r="C322" t="s">
        <v>243</v>
      </c>
      <c r="D322" t="s">
        <v>63</v>
      </c>
      <c r="E322" t="s">
        <v>323</v>
      </c>
      <c r="F322" t="s">
        <v>243</v>
      </c>
      <c r="G322" t="s">
        <v>1266</v>
      </c>
      <c r="H322" t="s">
        <v>213</v>
      </c>
      <c r="I322">
        <v>9.4180132538729104</v>
      </c>
      <c r="J322">
        <v>2.1998633086682151</v>
      </c>
      <c r="K322">
        <v>0</v>
      </c>
      <c r="L322">
        <v>2.0608329242349859</v>
      </c>
      <c r="Q322" t="s">
        <v>1267</v>
      </c>
      <c r="R322" t="s">
        <v>548</v>
      </c>
      <c r="S322" t="s">
        <v>1265</v>
      </c>
    </row>
    <row r="323" spans="1:19" x14ac:dyDescent="0.3">
      <c r="A323" t="s">
        <v>1268</v>
      </c>
      <c r="B323" t="s">
        <v>1269</v>
      </c>
      <c r="C323" t="s">
        <v>1053</v>
      </c>
      <c r="D323" t="s">
        <v>63</v>
      </c>
      <c r="E323" t="s">
        <v>74</v>
      </c>
      <c r="F323" t="s">
        <v>314</v>
      </c>
      <c r="G323" t="s">
        <v>1053</v>
      </c>
      <c r="H323" t="s">
        <v>75</v>
      </c>
      <c r="I323">
        <v>1.737215273361129</v>
      </c>
      <c r="J323">
        <v>2.1755200338489389</v>
      </c>
      <c r="K323">
        <v>2.0417293980626661</v>
      </c>
      <c r="L323">
        <v>2.043942121261709</v>
      </c>
      <c r="M323" t="s">
        <v>76</v>
      </c>
      <c r="N323" t="s">
        <v>76</v>
      </c>
      <c r="O323" t="s">
        <v>77</v>
      </c>
      <c r="P323" t="s">
        <v>76</v>
      </c>
      <c r="S323" t="s">
        <v>1269</v>
      </c>
    </row>
    <row r="324" spans="1:19" x14ac:dyDescent="0.3">
      <c r="A324" t="s">
        <v>1270</v>
      </c>
      <c r="B324" t="s">
        <v>1271</v>
      </c>
      <c r="C324" t="s">
        <v>21</v>
      </c>
      <c r="D324" t="s">
        <v>35</v>
      </c>
      <c r="E324" t="s">
        <v>128</v>
      </c>
      <c r="F324" t="s">
        <v>24</v>
      </c>
      <c r="G324" t="s">
        <v>21</v>
      </c>
      <c r="H324" t="s">
        <v>26</v>
      </c>
      <c r="I324">
        <v>1.437251195439663</v>
      </c>
      <c r="J324">
        <v>1.19922659109694</v>
      </c>
      <c r="K324">
        <v>2.7070833083459851</v>
      </c>
      <c r="L324">
        <v>2.0222819478260479</v>
      </c>
      <c r="M324" t="s">
        <v>57</v>
      </c>
      <c r="N324" t="s">
        <v>28</v>
      </c>
      <c r="O324" t="s">
        <v>58</v>
      </c>
      <c r="P324" t="s">
        <v>30</v>
      </c>
      <c r="Q324" t="s">
        <v>1272</v>
      </c>
      <c r="R324" t="s">
        <v>1273</v>
      </c>
      <c r="S324" t="s">
        <v>1271</v>
      </c>
    </row>
    <row r="325" spans="1:19" x14ac:dyDescent="0.3">
      <c r="A325" t="s">
        <v>1274</v>
      </c>
      <c r="B325" t="s">
        <v>1275</v>
      </c>
      <c r="C325" t="s">
        <v>24</v>
      </c>
      <c r="D325" t="s">
        <v>63</v>
      </c>
      <c r="E325" t="s">
        <v>1132</v>
      </c>
      <c r="F325" t="s">
        <v>144</v>
      </c>
      <c r="G325" t="s">
        <v>1276</v>
      </c>
      <c r="H325" t="s">
        <v>213</v>
      </c>
      <c r="I325">
        <v>0</v>
      </c>
      <c r="J325">
        <v>5.6017719034124456</v>
      </c>
      <c r="K325">
        <v>0.2202832039777754</v>
      </c>
      <c r="L325">
        <v>1.9973675829918669</v>
      </c>
      <c r="M325" t="s">
        <v>76</v>
      </c>
      <c r="N325" t="s">
        <v>76</v>
      </c>
      <c r="O325" t="s">
        <v>77</v>
      </c>
      <c r="P325" t="s">
        <v>76</v>
      </c>
      <c r="Q325" t="s">
        <v>707</v>
      </c>
      <c r="S325" t="s">
        <v>1275</v>
      </c>
    </row>
    <row r="326" spans="1:19" x14ac:dyDescent="0.3">
      <c r="A326" t="s">
        <v>1277</v>
      </c>
      <c r="B326" t="s">
        <v>1278</v>
      </c>
      <c r="C326" t="s">
        <v>43</v>
      </c>
      <c r="D326" t="s">
        <v>63</v>
      </c>
      <c r="E326" t="s">
        <v>74</v>
      </c>
      <c r="F326" t="s">
        <v>45</v>
      </c>
      <c r="G326" t="s">
        <v>43</v>
      </c>
      <c r="H326" t="s">
        <v>26</v>
      </c>
      <c r="I326">
        <v>1.086372969322938</v>
      </c>
      <c r="J326">
        <v>0.90710729326563477</v>
      </c>
      <c r="K326">
        <v>2.9320352011244828</v>
      </c>
      <c r="L326">
        <v>1.992701520192929</v>
      </c>
      <c r="M326" t="s">
        <v>63</v>
      </c>
      <c r="N326" t="s">
        <v>28</v>
      </c>
      <c r="O326" t="s">
        <v>86</v>
      </c>
      <c r="P326" t="s">
        <v>30</v>
      </c>
      <c r="Q326" t="s">
        <v>1279</v>
      </c>
      <c r="R326" t="s">
        <v>1280</v>
      </c>
      <c r="S326" t="s">
        <v>1197</v>
      </c>
    </row>
    <row r="327" spans="1:19" x14ac:dyDescent="0.3">
      <c r="A327" t="s">
        <v>1281</v>
      </c>
      <c r="B327" t="s">
        <v>1282</v>
      </c>
      <c r="D327" t="s">
        <v>53</v>
      </c>
      <c r="E327" t="s">
        <v>54</v>
      </c>
      <c r="F327" t="s">
        <v>195</v>
      </c>
      <c r="G327" t="s">
        <v>196</v>
      </c>
      <c r="H327" t="s">
        <v>75</v>
      </c>
      <c r="I327">
        <v>1.751937436694698</v>
      </c>
      <c r="J327">
        <v>2.219491675522494</v>
      </c>
      <c r="K327">
        <v>1.902983857646813</v>
      </c>
      <c r="L327">
        <v>1.988121547113529</v>
      </c>
      <c r="M327" t="s">
        <v>239</v>
      </c>
      <c r="N327" t="s">
        <v>239</v>
      </c>
      <c r="O327" t="s">
        <v>240</v>
      </c>
      <c r="P327" t="s">
        <v>239</v>
      </c>
      <c r="S327" t="s">
        <v>1282</v>
      </c>
    </row>
    <row r="328" spans="1:19" x14ac:dyDescent="0.3">
      <c r="A328" t="s">
        <v>1283</v>
      </c>
      <c r="B328" t="s">
        <v>1284</v>
      </c>
      <c r="C328" t="s">
        <v>196</v>
      </c>
      <c r="D328" t="s">
        <v>53</v>
      </c>
      <c r="E328" t="s">
        <v>128</v>
      </c>
      <c r="F328" t="s">
        <v>228</v>
      </c>
      <c r="G328" t="s">
        <v>196</v>
      </c>
      <c r="H328" t="s">
        <v>75</v>
      </c>
      <c r="I328">
        <v>1.737215273361129</v>
      </c>
      <c r="J328">
        <v>2.1953533967016958</v>
      </c>
      <c r="K328">
        <v>1.889832621588438</v>
      </c>
      <c r="L328">
        <v>1.971058564701176</v>
      </c>
      <c r="M328" t="s">
        <v>76</v>
      </c>
      <c r="N328" t="s">
        <v>76</v>
      </c>
      <c r="O328" t="s">
        <v>77</v>
      </c>
      <c r="P328" t="s">
        <v>76</v>
      </c>
      <c r="S328" t="s">
        <v>1284</v>
      </c>
    </row>
    <row r="329" spans="1:19" x14ac:dyDescent="0.3">
      <c r="A329" t="s">
        <v>1285</v>
      </c>
      <c r="B329" t="s">
        <v>1286</v>
      </c>
      <c r="C329" t="s">
        <v>43</v>
      </c>
      <c r="D329" t="s">
        <v>63</v>
      </c>
      <c r="E329" t="s">
        <v>74</v>
      </c>
      <c r="F329" t="s">
        <v>45</v>
      </c>
      <c r="G329" t="s">
        <v>43</v>
      </c>
      <c r="H329" t="s">
        <v>26</v>
      </c>
      <c r="I329">
        <v>0.51895625750830332</v>
      </c>
      <c r="J329">
        <v>0.55036300691410522</v>
      </c>
      <c r="K329">
        <v>3.1957503621850418</v>
      </c>
      <c r="L329">
        <v>1.931319550162621</v>
      </c>
      <c r="M329" t="s">
        <v>63</v>
      </c>
      <c r="N329" t="s">
        <v>28</v>
      </c>
      <c r="O329" t="s">
        <v>86</v>
      </c>
      <c r="P329" t="s">
        <v>30</v>
      </c>
      <c r="Q329" t="s">
        <v>1287</v>
      </c>
      <c r="R329" t="s">
        <v>734</v>
      </c>
      <c r="S329" t="s">
        <v>1286</v>
      </c>
    </row>
    <row r="330" spans="1:19" x14ac:dyDescent="0.3">
      <c r="A330" t="s">
        <v>1288</v>
      </c>
      <c r="B330" t="s">
        <v>1289</v>
      </c>
      <c r="C330" t="s">
        <v>45</v>
      </c>
      <c r="D330" t="s">
        <v>35</v>
      </c>
      <c r="E330" t="s">
        <v>1290</v>
      </c>
      <c r="F330" t="s">
        <v>45</v>
      </c>
      <c r="G330" t="s">
        <v>561</v>
      </c>
      <c r="H330" t="s">
        <v>26</v>
      </c>
      <c r="I330">
        <v>6.6319665276894462</v>
      </c>
      <c r="J330">
        <v>2.873223914669186</v>
      </c>
      <c r="K330">
        <v>0</v>
      </c>
      <c r="L330">
        <v>1.896057201040019</v>
      </c>
      <c r="M330" t="s">
        <v>76</v>
      </c>
      <c r="N330" t="s">
        <v>76</v>
      </c>
      <c r="O330" t="s">
        <v>77</v>
      </c>
      <c r="P330" t="s">
        <v>76</v>
      </c>
      <c r="S330" t="s">
        <v>1289</v>
      </c>
    </row>
    <row r="331" spans="1:19" x14ac:dyDescent="0.3">
      <c r="A331" t="s">
        <v>1291</v>
      </c>
      <c r="B331" t="s">
        <v>1292</v>
      </c>
      <c r="C331" t="s">
        <v>243</v>
      </c>
      <c r="D331" t="s">
        <v>63</v>
      </c>
      <c r="E331" t="s">
        <v>315</v>
      </c>
      <c r="F331" t="s">
        <v>243</v>
      </c>
      <c r="G331" t="s">
        <v>1293</v>
      </c>
      <c r="H331" t="s">
        <v>213</v>
      </c>
      <c r="I331">
        <v>2.30573614742578</v>
      </c>
      <c r="J331">
        <v>4.6267596856509359</v>
      </c>
      <c r="K331">
        <v>0</v>
      </c>
      <c r="L331">
        <v>1.878030013768845</v>
      </c>
      <c r="Q331" t="s">
        <v>1294</v>
      </c>
      <c r="R331" t="s">
        <v>1295</v>
      </c>
      <c r="S331" t="s">
        <v>1292</v>
      </c>
    </row>
    <row r="332" spans="1:19" x14ac:dyDescent="0.3">
      <c r="A332" t="s">
        <v>1296</v>
      </c>
      <c r="B332" t="s">
        <v>1297</v>
      </c>
      <c r="C332" t="s">
        <v>73</v>
      </c>
      <c r="D332" t="s">
        <v>35</v>
      </c>
      <c r="E332" t="s">
        <v>150</v>
      </c>
      <c r="F332" t="s">
        <v>73</v>
      </c>
      <c r="G332" t="s">
        <v>741</v>
      </c>
      <c r="H332" t="s">
        <v>75</v>
      </c>
      <c r="I332">
        <v>1.468535792523497</v>
      </c>
      <c r="J332">
        <v>1.8408640663334259</v>
      </c>
      <c r="K332">
        <v>1.984192740307277</v>
      </c>
      <c r="L332">
        <v>1.8636702485499741</v>
      </c>
      <c r="M332" t="s">
        <v>76</v>
      </c>
      <c r="N332" t="s">
        <v>76</v>
      </c>
      <c r="O332" t="s">
        <v>77</v>
      </c>
      <c r="P332" t="s">
        <v>76</v>
      </c>
      <c r="Q332" t="s">
        <v>707</v>
      </c>
      <c r="S332" t="s">
        <v>1297</v>
      </c>
    </row>
    <row r="333" spans="1:19" x14ac:dyDescent="0.3">
      <c r="A333" t="s">
        <v>1298</v>
      </c>
      <c r="B333" t="s">
        <v>1299</v>
      </c>
      <c r="C333" t="s">
        <v>196</v>
      </c>
      <c r="D333" t="s">
        <v>63</v>
      </c>
      <c r="E333" t="s">
        <v>74</v>
      </c>
      <c r="F333" t="s">
        <v>228</v>
      </c>
      <c r="G333" t="s">
        <v>196</v>
      </c>
      <c r="H333" t="s">
        <v>75</v>
      </c>
      <c r="I333">
        <v>1.775860952111747</v>
      </c>
      <c r="J333">
        <v>2.2381975603836222</v>
      </c>
      <c r="K333">
        <v>1.6286161953789711</v>
      </c>
      <c r="L333">
        <v>1.8540798537934851</v>
      </c>
      <c r="M333" t="s">
        <v>76</v>
      </c>
      <c r="N333" t="s">
        <v>76</v>
      </c>
      <c r="O333" t="s">
        <v>77</v>
      </c>
      <c r="P333" t="s">
        <v>76</v>
      </c>
      <c r="S333" t="s">
        <v>1299</v>
      </c>
    </row>
    <row r="334" spans="1:19" x14ac:dyDescent="0.3">
      <c r="A334" t="s">
        <v>1300</v>
      </c>
      <c r="B334" t="s">
        <v>1301</v>
      </c>
      <c r="C334" t="s">
        <v>114</v>
      </c>
      <c r="D334" t="s">
        <v>63</v>
      </c>
      <c r="E334" t="s">
        <v>74</v>
      </c>
      <c r="F334" t="s">
        <v>114</v>
      </c>
      <c r="G334" t="s">
        <v>1302</v>
      </c>
      <c r="H334" t="s">
        <v>213</v>
      </c>
      <c r="I334">
        <v>6.4226664389638746</v>
      </c>
      <c r="J334">
        <v>2.824332369032156</v>
      </c>
      <c r="K334">
        <v>0</v>
      </c>
      <c r="L334">
        <v>1.8502574702460159</v>
      </c>
      <c r="Q334" t="s">
        <v>1303</v>
      </c>
      <c r="R334" t="s">
        <v>1304</v>
      </c>
      <c r="S334" t="s">
        <v>1301</v>
      </c>
    </row>
    <row r="335" spans="1:19" x14ac:dyDescent="0.3">
      <c r="A335" t="s">
        <v>1305</v>
      </c>
      <c r="B335" t="s">
        <v>1306</v>
      </c>
      <c r="C335" t="s">
        <v>43</v>
      </c>
      <c r="D335" t="s">
        <v>63</v>
      </c>
      <c r="E335" t="s">
        <v>64</v>
      </c>
      <c r="F335" t="s">
        <v>45</v>
      </c>
      <c r="G335" t="s">
        <v>43</v>
      </c>
      <c r="H335" t="s">
        <v>26</v>
      </c>
      <c r="I335">
        <v>0.5482778994809947</v>
      </c>
      <c r="J335">
        <v>0.45170868264651559</v>
      </c>
      <c r="K335">
        <v>3.036784796329437</v>
      </c>
      <c r="L335">
        <v>1.8190413379416821</v>
      </c>
      <c r="M335" t="s">
        <v>76</v>
      </c>
      <c r="N335" t="s">
        <v>76</v>
      </c>
      <c r="O335" t="s">
        <v>77</v>
      </c>
      <c r="P335" t="s">
        <v>76</v>
      </c>
      <c r="S335" t="s">
        <v>1306</v>
      </c>
    </row>
    <row r="336" spans="1:19" x14ac:dyDescent="0.3">
      <c r="A336" t="s">
        <v>1307</v>
      </c>
      <c r="B336" t="s">
        <v>1308</v>
      </c>
      <c r="C336" t="s">
        <v>114</v>
      </c>
      <c r="D336" t="s">
        <v>63</v>
      </c>
      <c r="E336" t="s">
        <v>74</v>
      </c>
      <c r="F336" t="s">
        <v>114</v>
      </c>
      <c r="G336" t="s">
        <v>1309</v>
      </c>
      <c r="H336" t="s">
        <v>317</v>
      </c>
      <c r="I336">
        <v>12.62670875242425</v>
      </c>
      <c r="J336">
        <v>0</v>
      </c>
      <c r="K336">
        <v>0</v>
      </c>
      <c r="L336">
        <v>1.772070786961967</v>
      </c>
      <c r="Q336" t="s">
        <v>1310</v>
      </c>
      <c r="R336" t="s">
        <v>1311</v>
      </c>
      <c r="S336" t="s">
        <v>1308</v>
      </c>
    </row>
    <row r="337" spans="1:19" x14ac:dyDescent="0.3">
      <c r="A337" t="s">
        <v>1312</v>
      </c>
      <c r="B337" t="s">
        <v>1313</v>
      </c>
      <c r="C337" t="s">
        <v>73</v>
      </c>
      <c r="D337" t="s">
        <v>63</v>
      </c>
      <c r="E337" t="s">
        <v>74</v>
      </c>
      <c r="F337" t="s">
        <v>73</v>
      </c>
      <c r="G337" t="s">
        <v>1314</v>
      </c>
      <c r="H337" t="s">
        <v>213</v>
      </c>
      <c r="I337">
        <v>2.3279420771205799</v>
      </c>
      <c r="J337">
        <v>3.9374606407682911</v>
      </c>
      <c r="K337">
        <v>0.2087101162464057</v>
      </c>
      <c r="L337">
        <v>1.7588646239848991</v>
      </c>
      <c r="M337" t="s">
        <v>63</v>
      </c>
      <c r="N337" t="s">
        <v>28</v>
      </c>
      <c r="O337" t="s">
        <v>86</v>
      </c>
      <c r="P337" t="s">
        <v>30</v>
      </c>
      <c r="Q337" t="s">
        <v>1315</v>
      </c>
      <c r="R337" t="s">
        <v>548</v>
      </c>
      <c r="S337" t="s">
        <v>1313</v>
      </c>
    </row>
    <row r="338" spans="1:19" x14ac:dyDescent="0.3">
      <c r="A338" t="s">
        <v>1316</v>
      </c>
      <c r="B338" t="s">
        <v>1317</v>
      </c>
      <c r="C338" t="s">
        <v>307</v>
      </c>
      <c r="D338" t="s">
        <v>35</v>
      </c>
      <c r="E338" t="s">
        <v>44</v>
      </c>
      <c r="F338" t="s">
        <v>251</v>
      </c>
      <c r="G338" t="s">
        <v>307</v>
      </c>
      <c r="H338" t="s">
        <v>75</v>
      </c>
      <c r="I338">
        <v>2.8671413092125411</v>
      </c>
      <c r="J338">
        <v>3.597679773290825</v>
      </c>
      <c r="K338">
        <v>0.25595593178611681</v>
      </c>
      <c r="L338">
        <v>1.745124704746698</v>
      </c>
      <c r="M338" t="s">
        <v>76</v>
      </c>
      <c r="N338" t="s">
        <v>76</v>
      </c>
      <c r="O338" t="s">
        <v>77</v>
      </c>
      <c r="P338" t="s">
        <v>76</v>
      </c>
      <c r="S338" t="s">
        <v>1317</v>
      </c>
    </row>
    <row r="339" spans="1:19" x14ac:dyDescent="0.3">
      <c r="A339" t="s">
        <v>1318</v>
      </c>
      <c r="B339" t="s">
        <v>1319</v>
      </c>
      <c r="C339" t="s">
        <v>114</v>
      </c>
      <c r="D339" t="s">
        <v>63</v>
      </c>
      <c r="E339" t="s">
        <v>74</v>
      </c>
      <c r="F339" t="s">
        <v>114</v>
      </c>
      <c r="G339" t="s">
        <v>362</v>
      </c>
      <c r="H339" t="s">
        <v>75</v>
      </c>
      <c r="I339">
        <v>2.1028156628114232</v>
      </c>
      <c r="J339">
        <v>1.7785452827960799</v>
      </c>
      <c r="K339">
        <v>1.5965600574866829</v>
      </c>
      <c r="L339">
        <v>1.7287504400906459</v>
      </c>
      <c r="M339" t="s">
        <v>63</v>
      </c>
      <c r="N339" t="s">
        <v>28</v>
      </c>
      <c r="O339" t="s">
        <v>86</v>
      </c>
      <c r="P339" t="s">
        <v>30</v>
      </c>
      <c r="Q339" t="s">
        <v>1320</v>
      </c>
      <c r="R339" t="s">
        <v>1321</v>
      </c>
      <c r="S339" t="s">
        <v>1319</v>
      </c>
    </row>
    <row r="340" spans="1:19" x14ac:dyDescent="0.3">
      <c r="A340" t="s">
        <v>1322</v>
      </c>
      <c r="B340" t="s">
        <v>1323</v>
      </c>
      <c r="C340" t="s">
        <v>1324</v>
      </c>
      <c r="D340" t="s">
        <v>63</v>
      </c>
      <c r="E340" t="s">
        <v>74</v>
      </c>
      <c r="F340" t="s">
        <v>45</v>
      </c>
      <c r="G340" t="s">
        <v>1325</v>
      </c>
      <c r="H340" t="s">
        <v>26</v>
      </c>
      <c r="I340">
        <v>1.3470779450215531</v>
      </c>
      <c r="J340">
        <v>1.158432387399799</v>
      </c>
      <c r="K340">
        <v>2.0713196791940058</v>
      </c>
      <c r="L340">
        <v>1.6629778943639191</v>
      </c>
      <c r="M340" t="s">
        <v>63</v>
      </c>
      <c r="N340" t="s">
        <v>28</v>
      </c>
      <c r="O340" t="s">
        <v>86</v>
      </c>
      <c r="P340" t="s">
        <v>30</v>
      </c>
      <c r="Q340" t="s">
        <v>1326</v>
      </c>
      <c r="R340" t="s">
        <v>1327</v>
      </c>
      <c r="S340" t="s">
        <v>1323</v>
      </c>
    </row>
    <row r="341" spans="1:19" x14ac:dyDescent="0.3">
      <c r="A341" t="s">
        <v>1328</v>
      </c>
      <c r="B341" t="s">
        <v>1329</v>
      </c>
      <c r="C341" t="s">
        <v>251</v>
      </c>
      <c r="D341" t="s">
        <v>35</v>
      </c>
      <c r="E341" t="s">
        <v>389</v>
      </c>
      <c r="F341" t="s">
        <v>251</v>
      </c>
      <c r="G341" t="s">
        <v>1328</v>
      </c>
      <c r="H341" t="s">
        <v>213</v>
      </c>
      <c r="I341">
        <v>0.36940361497813268</v>
      </c>
      <c r="J341">
        <v>4.6575090854226531</v>
      </c>
      <c r="K341">
        <v>0</v>
      </c>
      <c r="L341">
        <v>1.6166099714209681</v>
      </c>
      <c r="Q341" t="s">
        <v>1330</v>
      </c>
      <c r="R341" t="s">
        <v>1331</v>
      </c>
      <c r="S341" t="s">
        <v>1329</v>
      </c>
    </row>
    <row r="342" spans="1:19" x14ac:dyDescent="0.3">
      <c r="A342" t="s">
        <v>1332</v>
      </c>
      <c r="B342" t="s">
        <v>1333</v>
      </c>
      <c r="C342" t="s">
        <v>73</v>
      </c>
      <c r="D342" t="s">
        <v>63</v>
      </c>
      <c r="E342" t="s">
        <v>331</v>
      </c>
      <c r="F342" t="s">
        <v>73</v>
      </c>
      <c r="G342" t="s">
        <v>1332</v>
      </c>
      <c r="H342" t="s">
        <v>213</v>
      </c>
      <c r="I342">
        <v>2.806289700767123</v>
      </c>
      <c r="J342">
        <v>3.624431751092219</v>
      </c>
      <c r="K342">
        <v>0</v>
      </c>
      <c r="L342">
        <v>1.6115306779682499</v>
      </c>
      <c r="M342" t="s">
        <v>57</v>
      </c>
      <c r="N342" t="s">
        <v>28</v>
      </c>
      <c r="O342" t="s">
        <v>58</v>
      </c>
      <c r="P342" t="s">
        <v>30</v>
      </c>
      <c r="Q342" t="s">
        <v>1334</v>
      </c>
      <c r="R342" t="s">
        <v>1335</v>
      </c>
      <c r="S342" t="s">
        <v>901</v>
      </c>
    </row>
    <row r="343" spans="1:19" x14ac:dyDescent="0.3">
      <c r="A343" t="s">
        <v>1336</v>
      </c>
      <c r="B343" t="s">
        <v>1337</v>
      </c>
      <c r="C343" t="s">
        <v>196</v>
      </c>
      <c r="D343" t="s">
        <v>63</v>
      </c>
      <c r="E343" t="s">
        <v>74</v>
      </c>
      <c r="F343" t="s">
        <v>228</v>
      </c>
      <c r="G343" t="s">
        <v>196</v>
      </c>
      <c r="H343" t="s">
        <v>75</v>
      </c>
      <c r="I343">
        <v>2.7272807575436371</v>
      </c>
      <c r="J343">
        <v>3.4195894996129672</v>
      </c>
      <c r="K343">
        <v>0.14647189160014781</v>
      </c>
      <c r="L343">
        <v>1.6083281404014509</v>
      </c>
      <c r="M343" t="s">
        <v>308</v>
      </c>
      <c r="N343" t="s">
        <v>160</v>
      </c>
      <c r="O343" t="s">
        <v>339</v>
      </c>
      <c r="P343" t="s">
        <v>124</v>
      </c>
      <c r="Q343" t="s">
        <v>1338</v>
      </c>
      <c r="R343" t="s">
        <v>1339</v>
      </c>
      <c r="S343" t="s">
        <v>1337</v>
      </c>
    </row>
    <row r="344" spans="1:19" x14ac:dyDescent="0.3">
      <c r="A344" t="s">
        <v>1340</v>
      </c>
      <c r="B344" t="s">
        <v>1341</v>
      </c>
      <c r="C344" t="s">
        <v>43</v>
      </c>
      <c r="D344" t="s">
        <v>485</v>
      </c>
      <c r="E344" t="s">
        <v>485</v>
      </c>
      <c r="F344" t="s">
        <v>45</v>
      </c>
      <c r="G344" t="s">
        <v>43</v>
      </c>
      <c r="H344" t="s">
        <v>26</v>
      </c>
      <c r="I344">
        <v>0.80763334354069982</v>
      </c>
      <c r="J344">
        <v>0.79615320908935849</v>
      </c>
      <c r="K344">
        <v>2.3231329716217362</v>
      </c>
      <c r="L344">
        <v>1.59742918190799</v>
      </c>
      <c r="M344" t="s">
        <v>76</v>
      </c>
      <c r="N344" t="s">
        <v>76</v>
      </c>
      <c r="O344" t="s">
        <v>77</v>
      </c>
      <c r="P344" t="s">
        <v>76</v>
      </c>
      <c r="S344" t="s">
        <v>1341</v>
      </c>
    </row>
    <row r="345" spans="1:19" x14ac:dyDescent="0.3">
      <c r="A345" t="s">
        <v>1342</v>
      </c>
      <c r="B345" t="s">
        <v>1343</v>
      </c>
      <c r="C345" t="s">
        <v>314</v>
      </c>
      <c r="D345" t="s">
        <v>63</v>
      </c>
      <c r="E345" t="s">
        <v>323</v>
      </c>
      <c r="F345" t="s">
        <v>314</v>
      </c>
      <c r="G345" t="s">
        <v>1344</v>
      </c>
      <c r="H345" t="s">
        <v>213</v>
      </c>
      <c r="I345">
        <v>1.8533976790018769</v>
      </c>
      <c r="J345">
        <v>3.0480421012371108</v>
      </c>
      <c r="K345">
        <v>0.58127117842880693</v>
      </c>
      <c r="L345">
        <v>1.5885575313112259</v>
      </c>
      <c r="M345" t="s">
        <v>63</v>
      </c>
      <c r="N345" t="s">
        <v>28</v>
      </c>
      <c r="O345" t="s">
        <v>86</v>
      </c>
      <c r="P345" t="s">
        <v>30</v>
      </c>
      <c r="Q345" t="s">
        <v>1345</v>
      </c>
      <c r="R345" t="s">
        <v>734</v>
      </c>
      <c r="S345" t="s">
        <v>1343</v>
      </c>
    </row>
    <row r="346" spans="1:19" x14ac:dyDescent="0.3">
      <c r="A346" t="s">
        <v>1346</v>
      </c>
      <c r="B346" t="s">
        <v>1347</v>
      </c>
      <c r="C346" t="s">
        <v>45</v>
      </c>
      <c r="D346" t="s">
        <v>63</v>
      </c>
      <c r="E346" t="s">
        <v>1348</v>
      </c>
      <c r="F346" t="s">
        <v>45</v>
      </c>
      <c r="G346" t="s">
        <v>1349</v>
      </c>
      <c r="H346" t="s">
        <v>213</v>
      </c>
      <c r="I346">
        <v>0</v>
      </c>
      <c r="J346">
        <v>4.6885147301924661</v>
      </c>
      <c r="K346">
        <v>0</v>
      </c>
      <c r="L346">
        <v>1.575183598379474</v>
      </c>
      <c r="M346" t="s">
        <v>63</v>
      </c>
      <c r="N346" t="s">
        <v>28</v>
      </c>
      <c r="O346" t="s">
        <v>86</v>
      </c>
      <c r="P346" t="s">
        <v>30</v>
      </c>
      <c r="Q346" t="s">
        <v>1350</v>
      </c>
      <c r="R346" t="s">
        <v>734</v>
      </c>
      <c r="S346" t="s">
        <v>1347</v>
      </c>
    </row>
    <row r="347" spans="1:19" x14ac:dyDescent="0.3">
      <c r="A347" t="s">
        <v>1351</v>
      </c>
      <c r="B347" t="s">
        <v>1352</v>
      </c>
      <c r="C347" t="s">
        <v>24</v>
      </c>
      <c r="D347" t="s">
        <v>63</v>
      </c>
      <c r="E347" t="s">
        <v>323</v>
      </c>
      <c r="F347" t="s">
        <v>55</v>
      </c>
      <c r="G347" t="s">
        <v>1353</v>
      </c>
      <c r="H347" t="s">
        <v>213</v>
      </c>
      <c r="I347">
        <v>11.223686586735131</v>
      </c>
      <c r="J347">
        <v>0</v>
      </c>
      <c r="K347">
        <v>0</v>
      </c>
      <c r="L347">
        <v>1.5751663804355669</v>
      </c>
      <c r="M347" t="s">
        <v>76</v>
      </c>
      <c r="N347" t="s">
        <v>76</v>
      </c>
      <c r="O347" t="s">
        <v>77</v>
      </c>
      <c r="P347" t="s">
        <v>76</v>
      </c>
      <c r="S347" t="s">
        <v>1352</v>
      </c>
    </row>
    <row r="348" spans="1:19" x14ac:dyDescent="0.3">
      <c r="A348" t="s">
        <v>1354</v>
      </c>
      <c r="B348" t="s">
        <v>1355</v>
      </c>
      <c r="C348" t="s">
        <v>307</v>
      </c>
      <c r="D348" t="s">
        <v>63</v>
      </c>
      <c r="E348" t="s">
        <v>74</v>
      </c>
      <c r="F348" t="s">
        <v>251</v>
      </c>
      <c r="G348" t="s">
        <v>307</v>
      </c>
      <c r="H348" t="s">
        <v>75</v>
      </c>
      <c r="I348">
        <v>2.6874082318485542</v>
      </c>
      <c r="J348">
        <v>3.3672642710014302</v>
      </c>
      <c r="K348">
        <v>0.1257586948082077</v>
      </c>
      <c r="L348">
        <v>1.574305483240191</v>
      </c>
      <c r="M348" t="s">
        <v>63</v>
      </c>
      <c r="N348" t="s">
        <v>28</v>
      </c>
      <c r="O348" t="s">
        <v>86</v>
      </c>
      <c r="P348" t="s">
        <v>30</v>
      </c>
      <c r="Q348" t="s">
        <v>1356</v>
      </c>
      <c r="R348" t="s">
        <v>1357</v>
      </c>
      <c r="S348" t="s">
        <v>1355</v>
      </c>
    </row>
    <row r="349" spans="1:19" x14ac:dyDescent="0.3">
      <c r="A349" t="s">
        <v>1358</v>
      </c>
      <c r="B349" t="s">
        <v>1359</v>
      </c>
      <c r="C349" t="s">
        <v>196</v>
      </c>
      <c r="D349" t="s">
        <v>35</v>
      </c>
      <c r="E349" t="s">
        <v>389</v>
      </c>
      <c r="F349" t="s">
        <v>228</v>
      </c>
      <c r="G349" t="s">
        <v>196</v>
      </c>
      <c r="H349" t="s">
        <v>75</v>
      </c>
      <c r="I349">
        <v>2.2531044135082721</v>
      </c>
      <c r="J349">
        <v>3.0981045249996719</v>
      </c>
      <c r="K349">
        <v>0.40818148916180341</v>
      </c>
      <c r="L349">
        <v>1.5708274585708719</v>
      </c>
      <c r="M349" t="s">
        <v>76</v>
      </c>
      <c r="N349" t="s">
        <v>76</v>
      </c>
      <c r="O349" t="s">
        <v>77</v>
      </c>
      <c r="P349" t="s">
        <v>76</v>
      </c>
      <c r="S349" t="s">
        <v>1359</v>
      </c>
    </row>
    <row r="350" spans="1:19" x14ac:dyDescent="0.3">
      <c r="A350" t="s">
        <v>1360</v>
      </c>
      <c r="B350" t="s">
        <v>1361</v>
      </c>
      <c r="C350" t="s">
        <v>24</v>
      </c>
      <c r="D350" t="s">
        <v>63</v>
      </c>
      <c r="E350" t="s">
        <v>575</v>
      </c>
      <c r="F350" t="s">
        <v>144</v>
      </c>
      <c r="G350" t="s">
        <v>1362</v>
      </c>
      <c r="H350" t="s">
        <v>213</v>
      </c>
      <c r="I350">
        <v>11.17461270895657</v>
      </c>
      <c r="J350">
        <v>0</v>
      </c>
      <c r="K350">
        <v>0</v>
      </c>
      <c r="L350">
        <v>1.568279202872559</v>
      </c>
      <c r="M350" t="s">
        <v>116</v>
      </c>
      <c r="N350" t="s">
        <v>116</v>
      </c>
      <c r="O350" t="s">
        <v>116</v>
      </c>
      <c r="P350" t="s">
        <v>116</v>
      </c>
      <c r="Q350" t="s">
        <v>1363</v>
      </c>
      <c r="R350" t="s">
        <v>1364</v>
      </c>
      <c r="S350" t="s">
        <v>1361</v>
      </c>
    </row>
    <row r="351" spans="1:19" x14ac:dyDescent="0.3">
      <c r="A351" t="s">
        <v>1365</v>
      </c>
      <c r="B351" t="s">
        <v>1366</v>
      </c>
      <c r="C351" t="s">
        <v>21</v>
      </c>
      <c r="D351" t="s">
        <v>35</v>
      </c>
      <c r="E351" t="s">
        <v>36</v>
      </c>
      <c r="F351" t="s">
        <v>24</v>
      </c>
      <c r="G351" t="s">
        <v>21</v>
      </c>
      <c r="H351" t="s">
        <v>26</v>
      </c>
      <c r="I351">
        <v>1.139004703240446</v>
      </c>
      <c r="J351">
        <v>1.3893603796853879</v>
      </c>
      <c r="K351">
        <v>1.750429519369666</v>
      </c>
      <c r="L351">
        <v>1.543313184206655</v>
      </c>
      <c r="M351" t="s">
        <v>76</v>
      </c>
      <c r="N351" t="s">
        <v>76</v>
      </c>
      <c r="O351" t="s">
        <v>77</v>
      </c>
      <c r="P351" t="s">
        <v>76</v>
      </c>
      <c r="S351" t="s">
        <v>1366</v>
      </c>
    </row>
    <row r="352" spans="1:19" x14ac:dyDescent="0.3">
      <c r="A352" t="s">
        <v>1367</v>
      </c>
      <c r="B352" t="s">
        <v>1368</v>
      </c>
      <c r="C352" t="s">
        <v>307</v>
      </c>
      <c r="D352" t="s">
        <v>35</v>
      </c>
      <c r="E352" t="s">
        <v>150</v>
      </c>
      <c r="F352" t="s">
        <v>251</v>
      </c>
      <c r="G352" t="s">
        <v>307</v>
      </c>
      <c r="H352" t="s">
        <v>75</v>
      </c>
      <c r="I352">
        <v>2.3757891079546791</v>
      </c>
      <c r="J352">
        <v>2.9911991117933381</v>
      </c>
      <c r="K352">
        <v>0.38746829236986341</v>
      </c>
      <c r="L352">
        <v>1.5412814668255681</v>
      </c>
      <c r="M352" t="s">
        <v>76</v>
      </c>
      <c r="N352" t="s">
        <v>76</v>
      </c>
      <c r="O352" t="s">
        <v>77</v>
      </c>
      <c r="P352" t="s">
        <v>76</v>
      </c>
      <c r="S352" t="s">
        <v>1368</v>
      </c>
    </row>
    <row r="353" spans="1:19" x14ac:dyDescent="0.3">
      <c r="A353" t="s">
        <v>1369</v>
      </c>
      <c r="B353" t="s">
        <v>1370</v>
      </c>
      <c r="C353" t="s">
        <v>243</v>
      </c>
      <c r="D353" t="s">
        <v>63</v>
      </c>
      <c r="E353" t="s">
        <v>74</v>
      </c>
      <c r="F353" t="s">
        <v>243</v>
      </c>
      <c r="G353" t="s">
        <v>1369</v>
      </c>
      <c r="H353" t="s">
        <v>213</v>
      </c>
      <c r="I353">
        <v>4.4016814673482054</v>
      </c>
      <c r="J353">
        <v>2.366576304430537</v>
      </c>
      <c r="K353">
        <v>0.22968127959179879</v>
      </c>
      <c r="L353">
        <v>1.533117512498956</v>
      </c>
      <c r="M353" t="s">
        <v>63</v>
      </c>
      <c r="N353" t="s">
        <v>28</v>
      </c>
      <c r="O353" t="s">
        <v>86</v>
      </c>
      <c r="P353" t="s">
        <v>30</v>
      </c>
      <c r="Q353" t="s">
        <v>1371</v>
      </c>
      <c r="R353" t="s">
        <v>1372</v>
      </c>
      <c r="S353" t="s">
        <v>768</v>
      </c>
    </row>
    <row r="354" spans="1:19" x14ac:dyDescent="0.3">
      <c r="A354" t="s">
        <v>1373</v>
      </c>
      <c r="B354" t="s">
        <v>1374</v>
      </c>
      <c r="C354" t="s">
        <v>243</v>
      </c>
      <c r="D354" t="s">
        <v>63</v>
      </c>
      <c r="E354" t="s">
        <v>74</v>
      </c>
      <c r="F354" t="s">
        <v>243</v>
      </c>
      <c r="G354" t="s">
        <v>1375</v>
      </c>
      <c r="H354" t="s">
        <v>317</v>
      </c>
      <c r="I354">
        <v>2.7886231047668399</v>
      </c>
      <c r="J354">
        <v>1.1667859743377811</v>
      </c>
      <c r="K354">
        <v>1.3769344153118259</v>
      </c>
      <c r="L354">
        <v>1.504452284807382</v>
      </c>
      <c r="M354" t="s">
        <v>57</v>
      </c>
      <c r="N354" t="s">
        <v>28</v>
      </c>
      <c r="O354" t="s">
        <v>58</v>
      </c>
      <c r="P354" t="s">
        <v>30</v>
      </c>
      <c r="Q354" t="s">
        <v>899</v>
      </c>
      <c r="R354" t="s">
        <v>900</v>
      </c>
      <c r="S354" t="s">
        <v>901</v>
      </c>
    </row>
    <row r="355" spans="1:19" x14ac:dyDescent="0.3">
      <c r="A355" t="s">
        <v>1376</v>
      </c>
      <c r="B355" t="s">
        <v>1377</v>
      </c>
      <c r="C355" t="s">
        <v>228</v>
      </c>
      <c r="D355" t="s">
        <v>63</v>
      </c>
      <c r="E355" t="s">
        <v>74</v>
      </c>
      <c r="F355" t="s">
        <v>228</v>
      </c>
      <c r="G355" t="s">
        <v>196</v>
      </c>
      <c r="H355" t="s">
        <v>75</v>
      </c>
      <c r="I355">
        <v>1.731081038638808</v>
      </c>
      <c r="J355">
        <v>2.884344947586623</v>
      </c>
      <c r="K355">
        <v>0.5428172683094139</v>
      </c>
      <c r="L355">
        <v>1.496256543507402</v>
      </c>
      <c r="M355" t="s">
        <v>76</v>
      </c>
      <c r="N355" t="s">
        <v>76</v>
      </c>
      <c r="O355" t="s">
        <v>77</v>
      </c>
      <c r="P355" t="s">
        <v>76</v>
      </c>
      <c r="S355" t="s">
        <v>1377</v>
      </c>
    </row>
    <row r="356" spans="1:19" x14ac:dyDescent="0.3">
      <c r="A356" t="s">
        <v>1378</v>
      </c>
      <c r="B356" t="s">
        <v>1379</v>
      </c>
      <c r="C356" t="s">
        <v>73</v>
      </c>
      <c r="D356" t="s">
        <v>35</v>
      </c>
      <c r="E356" t="s">
        <v>389</v>
      </c>
      <c r="F356" t="s">
        <v>73</v>
      </c>
      <c r="G356" t="s">
        <v>1378</v>
      </c>
      <c r="H356" t="s">
        <v>213</v>
      </c>
      <c r="I356">
        <v>5.3003468541681391</v>
      </c>
      <c r="J356">
        <v>2.2383000583828601</v>
      </c>
      <c r="K356">
        <v>0</v>
      </c>
      <c r="L356">
        <v>1.495860530797529</v>
      </c>
      <c r="M356" t="s">
        <v>57</v>
      </c>
      <c r="N356" t="s">
        <v>28</v>
      </c>
      <c r="O356" t="s">
        <v>58</v>
      </c>
      <c r="P356" t="s">
        <v>30</v>
      </c>
      <c r="Q356" t="s">
        <v>1380</v>
      </c>
      <c r="R356" t="s">
        <v>857</v>
      </c>
      <c r="S356" t="s">
        <v>1379</v>
      </c>
    </row>
    <row r="357" spans="1:19" x14ac:dyDescent="0.3">
      <c r="A357" t="s">
        <v>1381</v>
      </c>
      <c r="B357" t="s">
        <v>1382</v>
      </c>
      <c r="C357" t="s">
        <v>243</v>
      </c>
      <c r="D357" t="s">
        <v>63</v>
      </c>
      <c r="E357" t="s">
        <v>74</v>
      </c>
      <c r="F357" t="s">
        <v>73</v>
      </c>
      <c r="G357" t="s">
        <v>1381</v>
      </c>
      <c r="H357" t="s">
        <v>213</v>
      </c>
      <c r="I357">
        <v>5.4625360202262891</v>
      </c>
      <c r="J357">
        <v>2.1553791769984652</v>
      </c>
      <c r="K357">
        <v>0</v>
      </c>
      <c r="L357">
        <v>1.490764019400904</v>
      </c>
      <c r="M357" t="s">
        <v>57</v>
      </c>
      <c r="N357" t="s">
        <v>28</v>
      </c>
      <c r="O357" t="s">
        <v>58</v>
      </c>
      <c r="P357" t="s">
        <v>30</v>
      </c>
      <c r="Q357" t="s">
        <v>1383</v>
      </c>
      <c r="R357" t="s">
        <v>1243</v>
      </c>
      <c r="S357" t="s">
        <v>901</v>
      </c>
    </row>
    <row r="358" spans="1:19" x14ac:dyDescent="0.3">
      <c r="A358" t="s">
        <v>1384</v>
      </c>
      <c r="B358" t="s">
        <v>1385</v>
      </c>
      <c r="C358" t="s">
        <v>73</v>
      </c>
      <c r="D358" t="s">
        <v>63</v>
      </c>
      <c r="E358" t="s">
        <v>74</v>
      </c>
      <c r="F358" t="s">
        <v>73</v>
      </c>
      <c r="G358" t="s">
        <v>1386</v>
      </c>
      <c r="H358" t="s">
        <v>213</v>
      </c>
      <c r="I358">
        <v>0</v>
      </c>
      <c r="J358">
        <v>4.4279135671271694</v>
      </c>
      <c r="K358">
        <v>4.9317135218884811E-4</v>
      </c>
      <c r="L358">
        <v>1.4878886227683481</v>
      </c>
      <c r="M358" t="s">
        <v>76</v>
      </c>
      <c r="N358" t="s">
        <v>76</v>
      </c>
      <c r="O358" t="s">
        <v>77</v>
      </c>
      <c r="P358" t="s">
        <v>76</v>
      </c>
      <c r="S358" t="s">
        <v>1385</v>
      </c>
    </row>
    <row r="359" spans="1:19" x14ac:dyDescent="0.3">
      <c r="A359" t="s">
        <v>1387</v>
      </c>
      <c r="B359" t="s">
        <v>1388</v>
      </c>
      <c r="C359" t="s">
        <v>73</v>
      </c>
      <c r="D359" t="s">
        <v>63</v>
      </c>
      <c r="E359" t="s">
        <v>74</v>
      </c>
      <c r="F359" t="s">
        <v>73</v>
      </c>
      <c r="G359" t="s">
        <v>542</v>
      </c>
      <c r="H359" t="s">
        <v>75</v>
      </c>
      <c r="I359">
        <v>0</v>
      </c>
      <c r="J359">
        <v>4.4279135671271694</v>
      </c>
      <c r="K359">
        <v>0</v>
      </c>
      <c r="L359">
        <v>1.4876303536097351</v>
      </c>
      <c r="M359" t="s">
        <v>76</v>
      </c>
      <c r="N359" t="s">
        <v>76</v>
      </c>
      <c r="O359" t="s">
        <v>77</v>
      </c>
      <c r="P359" t="s">
        <v>76</v>
      </c>
      <c r="S359" t="s">
        <v>1388</v>
      </c>
    </row>
    <row r="360" spans="1:19" x14ac:dyDescent="0.3">
      <c r="A360" t="s">
        <v>1389</v>
      </c>
      <c r="B360" t="s">
        <v>1390</v>
      </c>
      <c r="C360" t="s">
        <v>43</v>
      </c>
      <c r="D360" t="s">
        <v>63</v>
      </c>
      <c r="E360" t="s">
        <v>74</v>
      </c>
      <c r="F360" t="s">
        <v>45</v>
      </c>
      <c r="G360" t="s">
        <v>43</v>
      </c>
      <c r="H360" t="s">
        <v>26</v>
      </c>
      <c r="I360">
        <v>0</v>
      </c>
      <c r="J360">
        <v>4.4279135671271694</v>
      </c>
      <c r="K360">
        <v>0</v>
      </c>
      <c r="L360">
        <v>1.4876303536097351</v>
      </c>
      <c r="M360" t="s">
        <v>239</v>
      </c>
      <c r="N360" t="s">
        <v>239</v>
      </c>
      <c r="O360" t="s">
        <v>240</v>
      </c>
      <c r="P360" t="s">
        <v>239</v>
      </c>
      <c r="Q360" t="s">
        <v>1391</v>
      </c>
      <c r="R360" t="s">
        <v>1392</v>
      </c>
      <c r="S360" t="s">
        <v>1390</v>
      </c>
    </row>
    <row r="361" spans="1:19" x14ac:dyDescent="0.3">
      <c r="A361" t="s">
        <v>1393</v>
      </c>
      <c r="B361" t="s">
        <v>1394</v>
      </c>
      <c r="C361" t="s">
        <v>24</v>
      </c>
      <c r="D361" t="s">
        <v>35</v>
      </c>
      <c r="E361" t="s">
        <v>560</v>
      </c>
      <c r="F361" t="s">
        <v>144</v>
      </c>
      <c r="G361" t="s">
        <v>145</v>
      </c>
      <c r="H361" t="s">
        <v>26</v>
      </c>
      <c r="I361">
        <v>10.599957600169599</v>
      </c>
      <c r="J361">
        <v>0</v>
      </c>
      <c r="K361">
        <v>0</v>
      </c>
      <c r="L361">
        <v>1.4876303536097351</v>
      </c>
      <c r="M361" t="s">
        <v>57</v>
      </c>
      <c r="N361" t="s">
        <v>28</v>
      </c>
      <c r="O361" t="s">
        <v>58</v>
      </c>
      <c r="P361" t="s">
        <v>30</v>
      </c>
      <c r="Q361" t="s">
        <v>1395</v>
      </c>
      <c r="R361" t="s">
        <v>1396</v>
      </c>
      <c r="S361" t="s">
        <v>1394</v>
      </c>
    </row>
    <row r="362" spans="1:19" x14ac:dyDescent="0.3">
      <c r="A362" t="s">
        <v>1397</v>
      </c>
      <c r="B362" t="s">
        <v>1398</v>
      </c>
      <c r="C362" t="s">
        <v>251</v>
      </c>
      <c r="D362" t="s">
        <v>63</v>
      </c>
      <c r="E362" t="s">
        <v>74</v>
      </c>
      <c r="F362" t="s">
        <v>251</v>
      </c>
      <c r="G362" t="s">
        <v>1399</v>
      </c>
      <c r="H362" t="s">
        <v>75</v>
      </c>
      <c r="I362">
        <v>10.599957600169599</v>
      </c>
      <c r="J362">
        <v>0</v>
      </c>
      <c r="K362">
        <v>0</v>
      </c>
      <c r="L362">
        <v>1.4876303536097351</v>
      </c>
      <c r="S362" t="s">
        <v>1398</v>
      </c>
    </row>
    <row r="363" spans="1:19" x14ac:dyDescent="0.3">
      <c r="A363" t="s">
        <v>1400</v>
      </c>
      <c r="B363" t="s">
        <v>1401</v>
      </c>
      <c r="C363" t="s">
        <v>314</v>
      </c>
      <c r="D363" t="s">
        <v>63</v>
      </c>
      <c r="E363" t="s">
        <v>331</v>
      </c>
      <c r="F363" t="s">
        <v>314</v>
      </c>
      <c r="G363" t="s">
        <v>1402</v>
      </c>
      <c r="H363" t="s">
        <v>213</v>
      </c>
      <c r="I363">
        <v>0</v>
      </c>
      <c r="J363">
        <v>4.4279135671271694</v>
      </c>
      <c r="K363">
        <v>0</v>
      </c>
      <c r="L363">
        <v>1.4876303536097351</v>
      </c>
      <c r="M363" t="s">
        <v>116</v>
      </c>
      <c r="N363" t="s">
        <v>116</v>
      </c>
      <c r="O363" t="s">
        <v>302</v>
      </c>
      <c r="P363" t="s">
        <v>116</v>
      </c>
      <c r="Q363" t="s">
        <v>1403</v>
      </c>
      <c r="R363" t="s">
        <v>1404</v>
      </c>
      <c r="S363" t="s">
        <v>1401</v>
      </c>
    </row>
    <row r="364" spans="1:19" x14ac:dyDescent="0.3">
      <c r="A364" t="s">
        <v>1405</v>
      </c>
      <c r="B364" t="s">
        <v>1406</v>
      </c>
      <c r="C364" t="s">
        <v>21</v>
      </c>
      <c r="D364" t="s">
        <v>35</v>
      </c>
      <c r="E364" t="s">
        <v>36</v>
      </c>
      <c r="F364" t="s">
        <v>24</v>
      </c>
      <c r="G364" t="s">
        <v>21</v>
      </c>
      <c r="H364" t="s">
        <v>26</v>
      </c>
      <c r="I364">
        <v>0</v>
      </c>
      <c r="J364">
        <v>4.4279135671271694</v>
      </c>
      <c r="K364">
        <v>0</v>
      </c>
      <c r="L364">
        <v>1.4876303536097351</v>
      </c>
      <c r="M364" t="s">
        <v>37</v>
      </c>
      <c r="N364" t="s">
        <v>28</v>
      </c>
      <c r="O364" t="s">
        <v>38</v>
      </c>
      <c r="P364" t="s">
        <v>30</v>
      </c>
      <c r="Q364" t="s">
        <v>1407</v>
      </c>
      <c r="R364" t="s">
        <v>1408</v>
      </c>
      <c r="S364" t="s">
        <v>1406</v>
      </c>
    </row>
    <row r="365" spans="1:19" x14ac:dyDescent="0.3">
      <c r="A365" t="s">
        <v>1409</v>
      </c>
      <c r="B365" t="s">
        <v>820</v>
      </c>
      <c r="C365" t="s">
        <v>1053</v>
      </c>
      <c r="D365" t="s">
        <v>63</v>
      </c>
      <c r="E365" t="s">
        <v>74</v>
      </c>
      <c r="F365" t="s">
        <v>314</v>
      </c>
      <c r="G365" t="s">
        <v>1053</v>
      </c>
      <c r="H365" t="s">
        <v>75</v>
      </c>
      <c r="I365">
        <v>1.7071575232217591</v>
      </c>
      <c r="J365">
        <v>1.456701565185448</v>
      </c>
      <c r="K365">
        <v>1.430854483151162</v>
      </c>
      <c r="L365">
        <v>1.478315445955767</v>
      </c>
      <c r="M365" t="s">
        <v>76</v>
      </c>
      <c r="N365" t="s">
        <v>76</v>
      </c>
      <c r="O365" t="s">
        <v>77</v>
      </c>
      <c r="P365" t="s">
        <v>76</v>
      </c>
      <c r="S365" t="s">
        <v>820</v>
      </c>
    </row>
    <row r="366" spans="1:19" x14ac:dyDescent="0.3">
      <c r="A366" t="s">
        <v>1410</v>
      </c>
      <c r="B366" t="s">
        <v>1411</v>
      </c>
      <c r="C366" t="s">
        <v>21</v>
      </c>
      <c r="D366" t="s">
        <v>63</v>
      </c>
      <c r="E366" t="s">
        <v>74</v>
      </c>
      <c r="F366" t="s">
        <v>24</v>
      </c>
      <c r="G366" t="s">
        <v>21</v>
      </c>
      <c r="H366" t="s">
        <v>26</v>
      </c>
      <c r="I366">
        <v>0.43908852142369198</v>
      </c>
      <c r="J366">
        <v>0.7641225843271543</v>
      </c>
      <c r="K366">
        <v>2.2119063926580331</v>
      </c>
      <c r="L366">
        <v>1.47669695922846</v>
      </c>
      <c r="M366" t="s">
        <v>76</v>
      </c>
      <c r="N366" t="s">
        <v>76</v>
      </c>
      <c r="O366" t="s">
        <v>77</v>
      </c>
      <c r="P366" t="s">
        <v>76</v>
      </c>
      <c r="S366" t="s">
        <v>1411</v>
      </c>
    </row>
    <row r="367" spans="1:19" x14ac:dyDescent="0.3">
      <c r="A367" t="s">
        <v>1412</v>
      </c>
      <c r="B367" t="s">
        <v>1413</v>
      </c>
      <c r="C367" t="s">
        <v>251</v>
      </c>
      <c r="D367" t="s">
        <v>63</v>
      </c>
      <c r="E367" t="s">
        <v>323</v>
      </c>
      <c r="F367" t="s">
        <v>251</v>
      </c>
      <c r="G367" t="s">
        <v>1414</v>
      </c>
      <c r="H367" t="s">
        <v>213</v>
      </c>
      <c r="I367">
        <v>5.3504022095022732</v>
      </c>
      <c r="J367">
        <v>2.0441688478240909</v>
      </c>
      <c r="K367">
        <v>0</v>
      </c>
      <c r="L367">
        <v>1.4376638803901121</v>
      </c>
      <c r="Q367" t="s">
        <v>1415</v>
      </c>
      <c r="R367" t="s">
        <v>1416</v>
      </c>
      <c r="S367" t="s">
        <v>1413</v>
      </c>
    </row>
    <row r="368" spans="1:19" x14ac:dyDescent="0.3">
      <c r="A368" t="s">
        <v>1417</v>
      </c>
      <c r="B368" t="s">
        <v>1418</v>
      </c>
      <c r="C368" t="s">
        <v>114</v>
      </c>
      <c r="D368" t="s">
        <v>1419</v>
      </c>
      <c r="E368" t="s">
        <v>323</v>
      </c>
      <c r="F368" t="s">
        <v>114</v>
      </c>
      <c r="G368" t="s">
        <v>1420</v>
      </c>
      <c r="H368" t="s">
        <v>317</v>
      </c>
      <c r="I368">
        <v>3.474430546722258</v>
      </c>
      <c r="J368">
        <v>1.4698725580876659</v>
      </c>
      <c r="K368">
        <v>0.86699523714834903</v>
      </c>
      <c r="L368">
        <v>1.435477201513857</v>
      </c>
      <c r="M368" t="s">
        <v>63</v>
      </c>
      <c r="N368" t="s">
        <v>28</v>
      </c>
      <c r="O368" t="s">
        <v>86</v>
      </c>
      <c r="P368" t="s">
        <v>30</v>
      </c>
      <c r="Q368" t="s">
        <v>1421</v>
      </c>
      <c r="R368" t="s">
        <v>1422</v>
      </c>
      <c r="S368" t="s">
        <v>1423</v>
      </c>
    </row>
    <row r="369" spans="1:19" x14ac:dyDescent="0.3">
      <c r="A369" t="s">
        <v>1424</v>
      </c>
      <c r="B369" t="s">
        <v>1425</v>
      </c>
      <c r="C369" t="s">
        <v>24</v>
      </c>
      <c r="D369" t="s">
        <v>35</v>
      </c>
      <c r="E369" t="s">
        <v>54</v>
      </c>
      <c r="F369" t="s">
        <v>24</v>
      </c>
      <c r="G369" t="s">
        <v>1426</v>
      </c>
      <c r="H369" t="s">
        <v>26</v>
      </c>
      <c r="I369">
        <v>0</v>
      </c>
      <c r="J369">
        <v>2.2356863594022638</v>
      </c>
      <c r="K369">
        <v>1.3045697389006199</v>
      </c>
      <c r="L369">
        <v>1.4343063813281449</v>
      </c>
      <c r="M369" t="s">
        <v>76</v>
      </c>
      <c r="N369" t="s">
        <v>76</v>
      </c>
      <c r="O369" t="s">
        <v>77</v>
      </c>
      <c r="P369" t="s">
        <v>76</v>
      </c>
      <c r="Q369" t="s">
        <v>707</v>
      </c>
      <c r="S369" t="s">
        <v>1425</v>
      </c>
    </row>
    <row r="370" spans="1:19" x14ac:dyDescent="0.3">
      <c r="A370" t="s">
        <v>1427</v>
      </c>
      <c r="B370" t="s">
        <v>1428</v>
      </c>
      <c r="C370" t="s">
        <v>24</v>
      </c>
      <c r="D370" t="s">
        <v>35</v>
      </c>
      <c r="E370" t="s">
        <v>389</v>
      </c>
      <c r="F370" t="s">
        <v>144</v>
      </c>
      <c r="G370" t="s">
        <v>1429</v>
      </c>
      <c r="H370" t="s">
        <v>26</v>
      </c>
      <c r="I370">
        <v>2.8481251815733479</v>
      </c>
      <c r="J370">
        <v>1.3422113000354241</v>
      </c>
      <c r="K370">
        <v>0.99255666341568105</v>
      </c>
      <c r="L370">
        <v>1.3704450273751541</v>
      </c>
      <c r="M370" t="s">
        <v>76</v>
      </c>
      <c r="N370" t="s">
        <v>76</v>
      </c>
      <c r="O370" t="s">
        <v>77</v>
      </c>
      <c r="P370" t="s">
        <v>76</v>
      </c>
      <c r="Q370" t="s">
        <v>707</v>
      </c>
      <c r="S370" t="s">
        <v>1428</v>
      </c>
    </row>
    <row r="371" spans="1:19" x14ac:dyDescent="0.3">
      <c r="A371" t="s">
        <v>1430</v>
      </c>
      <c r="B371" t="s">
        <v>1431</v>
      </c>
      <c r="C371" t="s">
        <v>43</v>
      </c>
      <c r="D371" t="s">
        <v>35</v>
      </c>
      <c r="E371" t="s">
        <v>278</v>
      </c>
      <c r="F371" t="s">
        <v>45</v>
      </c>
      <c r="G371" t="s">
        <v>43</v>
      </c>
      <c r="H371" t="s">
        <v>26</v>
      </c>
      <c r="I371">
        <v>0.54361588109203118</v>
      </c>
      <c r="J371">
        <v>0.45355364663281877</v>
      </c>
      <c r="K371">
        <v>2.127639847613997</v>
      </c>
      <c r="L371">
        <v>1.342896317123121</v>
      </c>
      <c r="M371" t="s">
        <v>76</v>
      </c>
      <c r="N371" t="s">
        <v>76</v>
      </c>
      <c r="O371" t="s">
        <v>77</v>
      </c>
      <c r="P371" t="s">
        <v>76</v>
      </c>
      <c r="S371" t="s">
        <v>1431</v>
      </c>
    </row>
    <row r="372" spans="1:19" x14ac:dyDescent="0.3">
      <c r="A372" t="s">
        <v>1432</v>
      </c>
      <c r="B372" t="s">
        <v>1433</v>
      </c>
      <c r="D372" t="s">
        <v>53</v>
      </c>
      <c r="E372" t="s">
        <v>54</v>
      </c>
      <c r="F372" t="s">
        <v>195</v>
      </c>
      <c r="G372" t="s">
        <v>196</v>
      </c>
      <c r="H372" t="s">
        <v>75</v>
      </c>
      <c r="I372">
        <v>2.2451299083692549</v>
      </c>
      <c r="J372">
        <v>2.8181824890778131</v>
      </c>
      <c r="K372">
        <v>0.12132015263850621</v>
      </c>
      <c r="L372">
        <v>1.3254373220008959</v>
      </c>
      <c r="M372" t="s">
        <v>76</v>
      </c>
      <c r="N372" t="s">
        <v>76</v>
      </c>
      <c r="O372" t="s">
        <v>77</v>
      </c>
      <c r="P372" t="s">
        <v>76</v>
      </c>
      <c r="S372" t="s">
        <v>1433</v>
      </c>
    </row>
    <row r="373" spans="1:19" x14ac:dyDescent="0.3">
      <c r="A373" t="s">
        <v>1434</v>
      </c>
      <c r="B373" t="s">
        <v>768</v>
      </c>
      <c r="C373" t="s">
        <v>243</v>
      </c>
      <c r="D373" t="s">
        <v>63</v>
      </c>
      <c r="E373" t="s">
        <v>74</v>
      </c>
      <c r="F373" t="s">
        <v>243</v>
      </c>
      <c r="G373" t="s">
        <v>1434</v>
      </c>
      <c r="H373" t="s">
        <v>213</v>
      </c>
      <c r="I373">
        <v>4.6665577226579984</v>
      </c>
      <c r="J373">
        <v>1.957968030464045</v>
      </c>
      <c r="K373">
        <v>0</v>
      </c>
      <c r="L373">
        <v>1.3127304793971459</v>
      </c>
      <c r="M373" t="s">
        <v>63</v>
      </c>
      <c r="N373" t="s">
        <v>28</v>
      </c>
      <c r="O373" t="s">
        <v>86</v>
      </c>
      <c r="P373" t="s">
        <v>30</v>
      </c>
      <c r="Q373" t="s">
        <v>1435</v>
      </c>
      <c r="R373" t="s">
        <v>1436</v>
      </c>
      <c r="S373" t="s">
        <v>768</v>
      </c>
    </row>
    <row r="374" spans="1:19" x14ac:dyDescent="0.3">
      <c r="A374" t="s">
        <v>1437</v>
      </c>
      <c r="B374" t="s">
        <v>1438</v>
      </c>
      <c r="C374" t="s">
        <v>24</v>
      </c>
      <c r="D374" t="s">
        <v>63</v>
      </c>
      <c r="E374" t="s">
        <v>74</v>
      </c>
      <c r="F374" t="s">
        <v>55</v>
      </c>
      <c r="G374" t="s">
        <v>56</v>
      </c>
      <c r="H374" t="s">
        <v>26</v>
      </c>
      <c r="I374">
        <v>0.81143656906853856</v>
      </c>
      <c r="J374">
        <v>1.483966032983036</v>
      </c>
      <c r="K374">
        <v>1.331562650910433</v>
      </c>
      <c r="L374">
        <v>1.309768993045052</v>
      </c>
      <c r="M374" t="s">
        <v>63</v>
      </c>
      <c r="N374" t="s">
        <v>28</v>
      </c>
      <c r="O374" t="s">
        <v>86</v>
      </c>
      <c r="P374" t="s">
        <v>30</v>
      </c>
      <c r="Q374" t="s">
        <v>1439</v>
      </c>
      <c r="R374" t="s">
        <v>734</v>
      </c>
      <c r="S374" t="s">
        <v>1438</v>
      </c>
    </row>
    <row r="375" spans="1:19" x14ac:dyDescent="0.3">
      <c r="A375" t="s">
        <v>1440</v>
      </c>
      <c r="B375" t="s">
        <v>1441</v>
      </c>
      <c r="C375" t="s">
        <v>114</v>
      </c>
      <c r="D375" t="s">
        <v>63</v>
      </c>
      <c r="E375" t="s">
        <v>331</v>
      </c>
      <c r="F375" t="s">
        <v>114</v>
      </c>
      <c r="G375" t="s">
        <v>1440</v>
      </c>
      <c r="H375" t="s">
        <v>317</v>
      </c>
      <c r="I375">
        <v>9.3105414615378574</v>
      </c>
      <c r="J375">
        <v>0</v>
      </c>
      <c r="K375">
        <v>0</v>
      </c>
      <c r="L375">
        <v>1.306669763141699</v>
      </c>
      <c r="S375" t="s">
        <v>1441</v>
      </c>
    </row>
    <row r="376" spans="1:19" x14ac:dyDescent="0.3">
      <c r="A376" t="s">
        <v>1442</v>
      </c>
      <c r="B376" t="s">
        <v>1443</v>
      </c>
      <c r="C376" t="s">
        <v>114</v>
      </c>
      <c r="D376" t="s">
        <v>63</v>
      </c>
      <c r="E376" t="s">
        <v>331</v>
      </c>
      <c r="F376" t="s">
        <v>114</v>
      </c>
      <c r="G376" t="s">
        <v>1444</v>
      </c>
      <c r="H376" t="s">
        <v>317</v>
      </c>
      <c r="I376">
        <v>9.2939790277875929</v>
      </c>
      <c r="J376">
        <v>0</v>
      </c>
      <c r="K376">
        <v>0</v>
      </c>
      <c r="L376">
        <v>1.3043453407141841</v>
      </c>
      <c r="Q376" t="s">
        <v>1445</v>
      </c>
      <c r="R376" t="s">
        <v>548</v>
      </c>
      <c r="S376" t="s">
        <v>1443</v>
      </c>
    </row>
    <row r="377" spans="1:19" x14ac:dyDescent="0.3">
      <c r="A377" t="s">
        <v>1446</v>
      </c>
      <c r="B377" t="s">
        <v>1447</v>
      </c>
      <c r="C377" t="s">
        <v>21</v>
      </c>
      <c r="D377" t="s">
        <v>189</v>
      </c>
      <c r="E377" t="s">
        <v>485</v>
      </c>
      <c r="F377" t="s">
        <v>24</v>
      </c>
      <c r="G377" t="s">
        <v>21</v>
      </c>
      <c r="H377" t="s">
        <v>26</v>
      </c>
      <c r="I377">
        <v>0.68065468478866831</v>
      </c>
      <c r="J377">
        <v>0.64783860419044637</v>
      </c>
      <c r="K377">
        <v>1.881284318150493</v>
      </c>
      <c r="L377">
        <v>1.298387932122181</v>
      </c>
      <c r="M377" t="s">
        <v>76</v>
      </c>
      <c r="N377" t="s">
        <v>76</v>
      </c>
      <c r="O377" t="s">
        <v>77</v>
      </c>
      <c r="P377" t="s">
        <v>76</v>
      </c>
      <c r="S377" t="s">
        <v>1447</v>
      </c>
    </row>
    <row r="378" spans="1:19" x14ac:dyDescent="0.3">
      <c r="A378" t="s">
        <v>566</v>
      </c>
      <c r="B378" t="s">
        <v>1448</v>
      </c>
      <c r="C378" t="s">
        <v>21</v>
      </c>
      <c r="D378" t="s">
        <v>63</v>
      </c>
      <c r="E378" t="s">
        <v>74</v>
      </c>
      <c r="F378" t="s">
        <v>24</v>
      </c>
      <c r="G378" t="s">
        <v>21</v>
      </c>
      <c r="H378" t="s">
        <v>26</v>
      </c>
      <c r="I378">
        <v>0.49024803900784403</v>
      </c>
      <c r="J378">
        <v>0.48768548037942211</v>
      </c>
      <c r="K378">
        <v>2.034331827779829</v>
      </c>
      <c r="L378">
        <v>1.2980091373562159</v>
      </c>
      <c r="M378" t="s">
        <v>63</v>
      </c>
      <c r="N378" t="s">
        <v>28</v>
      </c>
      <c r="O378" t="s">
        <v>86</v>
      </c>
      <c r="P378" t="s">
        <v>30</v>
      </c>
      <c r="Q378" t="s">
        <v>1449</v>
      </c>
      <c r="R378" t="s">
        <v>734</v>
      </c>
      <c r="S378" t="s">
        <v>1448</v>
      </c>
    </row>
    <row r="379" spans="1:19" x14ac:dyDescent="0.3">
      <c r="A379" t="s">
        <v>1450</v>
      </c>
      <c r="B379" t="s">
        <v>1451</v>
      </c>
      <c r="C379" t="s">
        <v>24</v>
      </c>
      <c r="D379" t="s">
        <v>53</v>
      </c>
      <c r="E379" t="s">
        <v>389</v>
      </c>
      <c r="F379" t="s">
        <v>144</v>
      </c>
      <c r="G379" t="s">
        <v>1452</v>
      </c>
      <c r="H379" t="s">
        <v>213</v>
      </c>
      <c r="I379">
        <v>0</v>
      </c>
      <c r="J379">
        <v>3.2819859356345371</v>
      </c>
      <c r="K379">
        <v>0.34622608112397241</v>
      </c>
      <c r="L379">
        <v>1.283952442007372</v>
      </c>
      <c r="M379" t="s">
        <v>76</v>
      </c>
      <c r="N379" t="s">
        <v>76</v>
      </c>
      <c r="O379" t="s">
        <v>77</v>
      </c>
      <c r="P379" t="s">
        <v>76</v>
      </c>
      <c r="Q379" t="s">
        <v>1453</v>
      </c>
      <c r="R379" t="s">
        <v>1454</v>
      </c>
      <c r="S379" t="s">
        <v>1451</v>
      </c>
    </row>
    <row r="380" spans="1:19" x14ac:dyDescent="0.3">
      <c r="A380" t="s">
        <v>1455</v>
      </c>
      <c r="B380" t="s">
        <v>1456</v>
      </c>
      <c r="C380" t="s">
        <v>24</v>
      </c>
      <c r="D380" t="s">
        <v>63</v>
      </c>
      <c r="E380" t="s">
        <v>1457</v>
      </c>
      <c r="F380" t="s">
        <v>55</v>
      </c>
      <c r="G380" t="s">
        <v>56</v>
      </c>
      <c r="H380" t="s">
        <v>26</v>
      </c>
      <c r="I380">
        <v>0.56017831484229619</v>
      </c>
      <c r="J380">
        <v>1.4783798920245079</v>
      </c>
      <c r="K380">
        <v>1.3527690190545629</v>
      </c>
      <c r="L380">
        <v>1.2837354618568819</v>
      </c>
      <c r="M380" t="s">
        <v>76</v>
      </c>
      <c r="N380" t="s">
        <v>76</v>
      </c>
      <c r="O380" t="s">
        <v>77</v>
      </c>
      <c r="P380" t="s">
        <v>76</v>
      </c>
      <c r="S380" t="s">
        <v>1456</v>
      </c>
    </row>
    <row r="381" spans="1:19" x14ac:dyDescent="0.3">
      <c r="A381" t="s">
        <v>1458</v>
      </c>
      <c r="B381" t="s">
        <v>1459</v>
      </c>
      <c r="C381" t="s">
        <v>73</v>
      </c>
      <c r="D381" t="s">
        <v>63</v>
      </c>
      <c r="E381" t="s">
        <v>74</v>
      </c>
      <c r="F381" t="s">
        <v>73</v>
      </c>
      <c r="G381" t="s">
        <v>1458</v>
      </c>
      <c r="H381" t="s">
        <v>213</v>
      </c>
      <c r="I381">
        <v>2.7320654606270458</v>
      </c>
      <c r="J381">
        <v>2.6719690931633</v>
      </c>
      <c r="K381">
        <v>0</v>
      </c>
      <c r="L381">
        <v>1.2811183343829391</v>
      </c>
      <c r="M381" t="s">
        <v>57</v>
      </c>
      <c r="N381" t="s">
        <v>28</v>
      </c>
      <c r="O381" t="s">
        <v>58</v>
      </c>
      <c r="P381" t="s">
        <v>30</v>
      </c>
      <c r="Q381" t="s">
        <v>1460</v>
      </c>
      <c r="R381" t="s">
        <v>1335</v>
      </c>
      <c r="S381" t="s">
        <v>901</v>
      </c>
    </row>
    <row r="382" spans="1:19" x14ac:dyDescent="0.3">
      <c r="A382" t="s">
        <v>1461</v>
      </c>
      <c r="B382" t="s">
        <v>1462</v>
      </c>
      <c r="C382" t="s">
        <v>73</v>
      </c>
      <c r="F382" t="s">
        <v>73</v>
      </c>
      <c r="G382" t="s">
        <v>741</v>
      </c>
      <c r="H382" t="s">
        <v>75</v>
      </c>
      <c r="I382">
        <v>1.9789041214205509</v>
      </c>
      <c r="J382">
        <v>2.486191469542514</v>
      </c>
      <c r="K382">
        <v>0.29425890680613292</v>
      </c>
      <c r="L382">
        <v>1.2671029280422179</v>
      </c>
      <c r="M382" t="s">
        <v>76</v>
      </c>
      <c r="N382" t="s">
        <v>76</v>
      </c>
      <c r="O382" t="s">
        <v>77</v>
      </c>
      <c r="P382" t="s">
        <v>76</v>
      </c>
      <c r="S382" t="s">
        <v>1462</v>
      </c>
    </row>
    <row r="383" spans="1:19" x14ac:dyDescent="0.3">
      <c r="A383" t="s">
        <v>1463</v>
      </c>
      <c r="B383" t="s">
        <v>1464</v>
      </c>
      <c r="C383" t="s">
        <v>243</v>
      </c>
      <c r="D383" t="s">
        <v>63</v>
      </c>
      <c r="E383" t="s">
        <v>74</v>
      </c>
      <c r="F383" t="s">
        <v>243</v>
      </c>
      <c r="G383" t="s">
        <v>1463</v>
      </c>
      <c r="H383" t="s">
        <v>213</v>
      </c>
      <c r="I383">
        <v>1.224025196491807</v>
      </c>
      <c r="J383">
        <v>2.121452339250339</v>
      </c>
      <c r="K383">
        <v>0.7262441332335946</v>
      </c>
      <c r="L383">
        <v>1.264847377390333</v>
      </c>
      <c r="M383" t="s">
        <v>63</v>
      </c>
      <c r="N383" t="s">
        <v>28</v>
      </c>
      <c r="O383" t="s">
        <v>86</v>
      </c>
      <c r="P383" t="s">
        <v>30</v>
      </c>
      <c r="Q383" t="s">
        <v>1465</v>
      </c>
      <c r="R383" t="s">
        <v>1466</v>
      </c>
      <c r="S383" t="s">
        <v>1464</v>
      </c>
    </row>
    <row r="384" spans="1:19" x14ac:dyDescent="0.3">
      <c r="A384" t="s">
        <v>1467</v>
      </c>
      <c r="B384" t="s">
        <v>1468</v>
      </c>
      <c r="C384" t="s">
        <v>338</v>
      </c>
      <c r="D384" t="s">
        <v>63</v>
      </c>
      <c r="E384" t="s">
        <v>323</v>
      </c>
      <c r="F384" t="s">
        <v>314</v>
      </c>
      <c r="G384" t="s">
        <v>1469</v>
      </c>
      <c r="H384" t="s">
        <v>213</v>
      </c>
      <c r="I384">
        <v>2.157410351840074</v>
      </c>
      <c r="J384">
        <v>2.8518018328282229</v>
      </c>
      <c r="K384">
        <v>0</v>
      </c>
      <c r="L384">
        <v>1.2608872502916031</v>
      </c>
      <c r="M384" t="s">
        <v>63</v>
      </c>
      <c r="N384" t="s">
        <v>28</v>
      </c>
      <c r="O384" t="s">
        <v>86</v>
      </c>
      <c r="P384" t="s">
        <v>30</v>
      </c>
      <c r="Q384" t="s">
        <v>1470</v>
      </c>
      <c r="R384" t="s">
        <v>548</v>
      </c>
      <c r="S384" t="s">
        <v>1468</v>
      </c>
    </row>
    <row r="385" spans="1:19" x14ac:dyDescent="0.3">
      <c r="A385" t="s">
        <v>1471</v>
      </c>
      <c r="B385" t="s">
        <v>1472</v>
      </c>
      <c r="C385" t="s">
        <v>24</v>
      </c>
      <c r="D385" t="s">
        <v>35</v>
      </c>
      <c r="E385" t="s">
        <v>560</v>
      </c>
      <c r="F385" t="s">
        <v>144</v>
      </c>
      <c r="G385" t="s">
        <v>1471</v>
      </c>
      <c r="H385" t="s">
        <v>26</v>
      </c>
      <c r="I385">
        <v>2.8919236174907161</v>
      </c>
      <c r="J385">
        <v>2.3261920927303499</v>
      </c>
      <c r="K385">
        <v>0.13535909713082109</v>
      </c>
      <c r="L385">
        <v>1.25827012281766</v>
      </c>
      <c r="M385" t="s">
        <v>76</v>
      </c>
      <c r="N385" t="s">
        <v>76</v>
      </c>
      <c r="O385" t="s">
        <v>77</v>
      </c>
      <c r="P385" t="s">
        <v>76</v>
      </c>
      <c r="Q385" t="s">
        <v>1473</v>
      </c>
      <c r="R385" t="s">
        <v>1474</v>
      </c>
      <c r="S385" t="s">
        <v>1472</v>
      </c>
    </row>
    <row r="386" spans="1:19" x14ac:dyDescent="0.3">
      <c r="A386" t="s">
        <v>1475</v>
      </c>
      <c r="B386" t="s">
        <v>1476</v>
      </c>
      <c r="C386" t="s">
        <v>21</v>
      </c>
      <c r="D386" t="s">
        <v>63</v>
      </c>
      <c r="E386" t="s">
        <v>74</v>
      </c>
      <c r="F386" t="s">
        <v>24</v>
      </c>
      <c r="G386" t="s">
        <v>21</v>
      </c>
      <c r="H386" t="s">
        <v>26</v>
      </c>
      <c r="I386">
        <v>1.02208618943302</v>
      </c>
      <c r="J386">
        <v>1.3090531972815891</v>
      </c>
      <c r="K386">
        <v>1.287341619664149</v>
      </c>
      <c r="L386">
        <v>1.257409225622284</v>
      </c>
      <c r="M386" t="s">
        <v>76</v>
      </c>
      <c r="N386" t="s">
        <v>76</v>
      </c>
      <c r="O386" t="s">
        <v>77</v>
      </c>
      <c r="P386" t="s">
        <v>76</v>
      </c>
      <c r="Q386" t="s">
        <v>1477</v>
      </c>
      <c r="R386" t="s">
        <v>1478</v>
      </c>
      <c r="S386" t="s">
        <v>1476</v>
      </c>
    </row>
    <row r="387" spans="1:19" x14ac:dyDescent="0.3">
      <c r="A387" t="s">
        <v>1479</v>
      </c>
      <c r="B387" t="s">
        <v>1480</v>
      </c>
      <c r="C387" t="s">
        <v>21</v>
      </c>
      <c r="D387" t="s">
        <v>35</v>
      </c>
      <c r="E387" t="s">
        <v>36</v>
      </c>
      <c r="F387" t="s">
        <v>24</v>
      </c>
      <c r="G387" t="s">
        <v>21</v>
      </c>
      <c r="H387" t="s">
        <v>26</v>
      </c>
      <c r="I387">
        <v>1.9138812333639559E-2</v>
      </c>
      <c r="J387">
        <v>1.5682193883574891E-2</v>
      </c>
      <c r="K387">
        <v>2.3784996754274941</v>
      </c>
      <c r="L387">
        <v>1.2535524061869989</v>
      </c>
      <c r="M387" t="s">
        <v>287</v>
      </c>
      <c r="N387" t="s">
        <v>287</v>
      </c>
      <c r="O387" t="s">
        <v>288</v>
      </c>
      <c r="P387" t="s">
        <v>30</v>
      </c>
      <c r="Q387" t="s">
        <v>622</v>
      </c>
      <c r="R387" t="s">
        <v>623</v>
      </c>
      <c r="S387" t="s">
        <v>1480</v>
      </c>
    </row>
    <row r="388" spans="1:19" x14ac:dyDescent="0.3">
      <c r="A388" t="s">
        <v>1481</v>
      </c>
      <c r="B388" t="s">
        <v>1482</v>
      </c>
      <c r="C388" t="s">
        <v>1053</v>
      </c>
      <c r="D388" t="s">
        <v>63</v>
      </c>
      <c r="E388" t="s">
        <v>74</v>
      </c>
      <c r="F388" t="s">
        <v>314</v>
      </c>
      <c r="G388" t="s">
        <v>1053</v>
      </c>
      <c r="H388" t="s">
        <v>75</v>
      </c>
      <c r="I388">
        <v>2.104042509755887</v>
      </c>
      <c r="J388">
        <v>2.6380422554151739</v>
      </c>
      <c r="K388">
        <v>0.1334850459925028</v>
      </c>
      <c r="L388">
        <v>1.251486252918097</v>
      </c>
      <c r="M388" t="s">
        <v>63</v>
      </c>
      <c r="N388" t="s">
        <v>28</v>
      </c>
      <c r="O388" t="s">
        <v>86</v>
      </c>
      <c r="P388" t="s">
        <v>30</v>
      </c>
      <c r="Q388" t="s">
        <v>1483</v>
      </c>
      <c r="R388" t="s">
        <v>1484</v>
      </c>
      <c r="S388" t="s">
        <v>1482</v>
      </c>
    </row>
    <row r="389" spans="1:19" x14ac:dyDescent="0.3">
      <c r="A389" t="s">
        <v>1485</v>
      </c>
      <c r="B389" t="s">
        <v>1486</v>
      </c>
      <c r="C389" t="s">
        <v>243</v>
      </c>
      <c r="D389" t="s">
        <v>63</v>
      </c>
      <c r="E389" t="s">
        <v>323</v>
      </c>
      <c r="F389" t="s">
        <v>243</v>
      </c>
      <c r="G389" t="s">
        <v>1463</v>
      </c>
      <c r="H389" t="s">
        <v>213</v>
      </c>
      <c r="I389">
        <v>1.224515935269592</v>
      </c>
      <c r="J389">
        <v>2.1129962543131149</v>
      </c>
      <c r="K389">
        <v>0.67988602612782389</v>
      </c>
      <c r="L389">
        <v>1.237797987511619</v>
      </c>
      <c r="M389" t="s">
        <v>63</v>
      </c>
      <c r="N389" t="s">
        <v>28</v>
      </c>
      <c r="O389" t="s">
        <v>86</v>
      </c>
      <c r="P389" t="s">
        <v>30</v>
      </c>
      <c r="Q389" t="s">
        <v>1487</v>
      </c>
      <c r="R389" t="s">
        <v>1488</v>
      </c>
      <c r="S389" t="s">
        <v>1464</v>
      </c>
    </row>
    <row r="390" spans="1:19" x14ac:dyDescent="0.3">
      <c r="A390" t="s">
        <v>1489</v>
      </c>
      <c r="B390" t="s">
        <v>1490</v>
      </c>
      <c r="C390" t="s">
        <v>21</v>
      </c>
      <c r="D390" t="s">
        <v>63</v>
      </c>
      <c r="E390" t="s">
        <v>74</v>
      </c>
      <c r="F390" t="s">
        <v>24</v>
      </c>
      <c r="G390" t="s">
        <v>21</v>
      </c>
      <c r="H390" t="s">
        <v>26</v>
      </c>
      <c r="I390">
        <v>0.25383463280961688</v>
      </c>
      <c r="J390">
        <v>0.2526575681242697</v>
      </c>
      <c r="K390">
        <v>2.1305002414566969</v>
      </c>
      <c r="L390">
        <v>1.2362311546160361</v>
      </c>
      <c r="M390" t="s">
        <v>63</v>
      </c>
      <c r="N390" t="s">
        <v>28</v>
      </c>
      <c r="O390" t="s">
        <v>86</v>
      </c>
      <c r="P390" t="s">
        <v>30</v>
      </c>
      <c r="Q390" t="s">
        <v>1491</v>
      </c>
      <c r="R390" t="s">
        <v>1492</v>
      </c>
      <c r="S390" t="s">
        <v>1490</v>
      </c>
    </row>
    <row r="391" spans="1:19" x14ac:dyDescent="0.3">
      <c r="A391" t="s">
        <v>1493</v>
      </c>
      <c r="B391" t="s">
        <v>1494</v>
      </c>
      <c r="C391" t="s">
        <v>114</v>
      </c>
      <c r="F391" t="s">
        <v>114</v>
      </c>
      <c r="G391" t="s">
        <v>1495</v>
      </c>
      <c r="H391" t="s">
        <v>213</v>
      </c>
      <c r="I391">
        <v>0</v>
      </c>
      <c r="J391">
        <v>3.666865922777188</v>
      </c>
      <c r="K391">
        <v>0</v>
      </c>
      <c r="L391">
        <v>1.2319438865830621</v>
      </c>
      <c r="Q391" t="s">
        <v>1496</v>
      </c>
      <c r="R391" t="s">
        <v>1497</v>
      </c>
      <c r="S391" t="s">
        <v>1494</v>
      </c>
    </row>
    <row r="392" spans="1:19" x14ac:dyDescent="0.3">
      <c r="A392" t="s">
        <v>1498</v>
      </c>
      <c r="B392" t="s">
        <v>1499</v>
      </c>
      <c r="C392" t="s">
        <v>43</v>
      </c>
      <c r="D392" t="s">
        <v>35</v>
      </c>
      <c r="E392" t="s">
        <v>74</v>
      </c>
      <c r="F392" t="s">
        <v>45</v>
      </c>
      <c r="G392" t="s">
        <v>43</v>
      </c>
      <c r="H392" t="s">
        <v>26</v>
      </c>
      <c r="I392">
        <v>0.55392139542552932</v>
      </c>
      <c r="J392">
        <v>0.45386114063053501</v>
      </c>
      <c r="K392">
        <v>1.872078452909633</v>
      </c>
      <c r="L392">
        <v>1.2106108540816449</v>
      </c>
      <c r="M392" t="s">
        <v>76</v>
      </c>
      <c r="N392" t="s">
        <v>76</v>
      </c>
      <c r="O392" t="s">
        <v>77</v>
      </c>
      <c r="P392" t="s">
        <v>76</v>
      </c>
      <c r="S392" t="s">
        <v>1499</v>
      </c>
    </row>
    <row r="393" spans="1:19" x14ac:dyDescent="0.3">
      <c r="A393" t="s">
        <v>1500</v>
      </c>
      <c r="B393" t="s">
        <v>1501</v>
      </c>
      <c r="C393" t="s">
        <v>24</v>
      </c>
      <c r="D393" t="s">
        <v>63</v>
      </c>
      <c r="E393" t="s">
        <v>323</v>
      </c>
      <c r="F393" t="s">
        <v>55</v>
      </c>
      <c r="G393" t="s">
        <v>1502</v>
      </c>
      <c r="H393" t="s">
        <v>213</v>
      </c>
      <c r="I393">
        <v>8.5469519233034177</v>
      </c>
      <c r="J393">
        <v>0</v>
      </c>
      <c r="K393">
        <v>0</v>
      </c>
      <c r="L393">
        <v>1.199505280261294</v>
      </c>
      <c r="M393" t="s">
        <v>121</v>
      </c>
      <c r="N393" t="s">
        <v>122</v>
      </c>
      <c r="O393" t="s">
        <v>123</v>
      </c>
      <c r="P393" t="s">
        <v>124</v>
      </c>
      <c r="Q393" t="s">
        <v>1503</v>
      </c>
      <c r="R393" t="s">
        <v>1504</v>
      </c>
      <c r="S393" t="s">
        <v>1501</v>
      </c>
    </row>
    <row r="394" spans="1:19" x14ac:dyDescent="0.3">
      <c r="A394" t="s">
        <v>1505</v>
      </c>
      <c r="B394" t="s">
        <v>1506</v>
      </c>
      <c r="C394" t="s">
        <v>43</v>
      </c>
      <c r="D394" t="s">
        <v>63</v>
      </c>
      <c r="E394" t="s">
        <v>74</v>
      </c>
      <c r="F394" t="s">
        <v>45</v>
      </c>
      <c r="G394" t="s">
        <v>43</v>
      </c>
      <c r="H394" t="s">
        <v>26</v>
      </c>
      <c r="I394">
        <v>0.66887695412181314</v>
      </c>
      <c r="J394">
        <v>0.59730709056559217</v>
      </c>
      <c r="K394">
        <v>1.705715316771192</v>
      </c>
      <c r="L394">
        <v>1.187814296348088</v>
      </c>
      <c r="M394" t="s">
        <v>63</v>
      </c>
      <c r="N394" t="s">
        <v>28</v>
      </c>
      <c r="O394" t="s">
        <v>86</v>
      </c>
      <c r="P394" t="s">
        <v>30</v>
      </c>
      <c r="Q394" t="s">
        <v>1507</v>
      </c>
      <c r="R394" t="s">
        <v>734</v>
      </c>
      <c r="S394" t="s">
        <v>1506</v>
      </c>
    </row>
    <row r="395" spans="1:19" x14ac:dyDescent="0.3">
      <c r="A395" t="s">
        <v>1508</v>
      </c>
      <c r="B395" t="s">
        <v>1509</v>
      </c>
      <c r="C395" t="s">
        <v>114</v>
      </c>
      <c r="D395" t="s">
        <v>189</v>
      </c>
      <c r="F395" t="s">
        <v>114</v>
      </c>
      <c r="G395" t="s">
        <v>190</v>
      </c>
      <c r="H395" t="s">
        <v>75</v>
      </c>
      <c r="I395">
        <v>0</v>
      </c>
      <c r="J395">
        <v>3.3178602353682058</v>
      </c>
      <c r="K395">
        <v>0.10784013567867221</v>
      </c>
      <c r="L395">
        <v>1.171164544589516</v>
      </c>
      <c r="M395" t="s">
        <v>76</v>
      </c>
      <c r="N395" t="s">
        <v>76</v>
      </c>
      <c r="O395" t="s">
        <v>77</v>
      </c>
      <c r="P395" t="s">
        <v>76</v>
      </c>
      <c r="S395" t="s">
        <v>1509</v>
      </c>
    </row>
    <row r="396" spans="1:19" x14ac:dyDescent="0.3">
      <c r="A396" t="s">
        <v>1510</v>
      </c>
      <c r="B396" t="s">
        <v>1511</v>
      </c>
      <c r="C396" t="s">
        <v>43</v>
      </c>
      <c r="D396" t="s">
        <v>35</v>
      </c>
      <c r="E396" t="s">
        <v>36</v>
      </c>
      <c r="F396" t="s">
        <v>45</v>
      </c>
      <c r="G396" t="s">
        <v>43</v>
      </c>
      <c r="H396" t="s">
        <v>26</v>
      </c>
      <c r="I396">
        <v>0.40522754575648368</v>
      </c>
      <c r="J396">
        <v>0.50423890725652964</v>
      </c>
      <c r="K396">
        <v>1.7912641073309219</v>
      </c>
      <c r="L396">
        <v>1.1643462388021391</v>
      </c>
      <c r="M396" t="s">
        <v>76</v>
      </c>
      <c r="N396" t="s">
        <v>76</v>
      </c>
      <c r="O396" t="s">
        <v>77</v>
      </c>
      <c r="P396" t="s">
        <v>76</v>
      </c>
      <c r="S396" t="s">
        <v>1511</v>
      </c>
    </row>
    <row r="397" spans="1:19" x14ac:dyDescent="0.3">
      <c r="A397" t="s">
        <v>1512</v>
      </c>
      <c r="B397" t="s">
        <v>1513</v>
      </c>
      <c r="C397" t="s">
        <v>314</v>
      </c>
      <c r="D397" t="s">
        <v>63</v>
      </c>
      <c r="E397" t="s">
        <v>315</v>
      </c>
      <c r="F397" t="s">
        <v>314</v>
      </c>
      <c r="G397" t="s">
        <v>1514</v>
      </c>
      <c r="H397" t="s">
        <v>213</v>
      </c>
      <c r="I397">
        <v>1.871677698474391</v>
      </c>
      <c r="J397">
        <v>1.781211974968677</v>
      </c>
      <c r="K397">
        <v>0.5779176908609488</v>
      </c>
      <c r="L397">
        <v>1.1637544089120659</v>
      </c>
      <c r="M397" t="s">
        <v>63</v>
      </c>
      <c r="N397" t="s">
        <v>28</v>
      </c>
      <c r="O397" t="s">
        <v>86</v>
      </c>
      <c r="P397" t="s">
        <v>30</v>
      </c>
      <c r="Q397" t="s">
        <v>1515</v>
      </c>
      <c r="R397" t="s">
        <v>734</v>
      </c>
      <c r="S397" t="s">
        <v>1513</v>
      </c>
    </row>
    <row r="398" spans="1:19" x14ac:dyDescent="0.3">
      <c r="A398" t="s">
        <v>1516</v>
      </c>
      <c r="B398" t="s">
        <v>1517</v>
      </c>
      <c r="C398" t="s">
        <v>114</v>
      </c>
      <c r="D398" t="s">
        <v>189</v>
      </c>
      <c r="F398" t="s">
        <v>114</v>
      </c>
      <c r="G398" t="s">
        <v>362</v>
      </c>
      <c r="H398" t="s">
        <v>75</v>
      </c>
      <c r="I398">
        <v>1.276534245714869</v>
      </c>
      <c r="J398">
        <v>1.0797651729838229</v>
      </c>
      <c r="K398">
        <v>1.1678297619836691</v>
      </c>
      <c r="L398">
        <v>1.1534989341404001</v>
      </c>
      <c r="M398" t="s">
        <v>76</v>
      </c>
      <c r="N398" t="s">
        <v>76</v>
      </c>
      <c r="O398" t="s">
        <v>77</v>
      </c>
      <c r="P398" t="s">
        <v>76</v>
      </c>
      <c r="S398" t="s">
        <v>1517</v>
      </c>
    </row>
    <row r="399" spans="1:19" x14ac:dyDescent="0.3">
      <c r="A399" t="s">
        <v>1518</v>
      </c>
      <c r="B399" t="s">
        <v>1519</v>
      </c>
      <c r="C399" t="s">
        <v>314</v>
      </c>
      <c r="D399" t="s">
        <v>63</v>
      </c>
      <c r="E399" t="s">
        <v>524</v>
      </c>
      <c r="F399" t="s">
        <v>314</v>
      </c>
      <c r="G399" t="s">
        <v>1518</v>
      </c>
      <c r="H399" t="s">
        <v>213</v>
      </c>
      <c r="I399">
        <v>2.015464160365581</v>
      </c>
      <c r="J399">
        <v>1.5594698786478829</v>
      </c>
      <c r="K399">
        <v>0.6182067290140465</v>
      </c>
      <c r="L399">
        <v>1.1305349237552871</v>
      </c>
      <c r="M399" t="s">
        <v>63</v>
      </c>
      <c r="N399" t="s">
        <v>28</v>
      </c>
      <c r="O399" t="s">
        <v>86</v>
      </c>
      <c r="P399" t="s">
        <v>30</v>
      </c>
      <c r="Q399" t="s">
        <v>1520</v>
      </c>
      <c r="R399" t="s">
        <v>734</v>
      </c>
      <c r="S399" t="s">
        <v>1519</v>
      </c>
    </row>
    <row r="400" spans="1:19" x14ac:dyDescent="0.3">
      <c r="A400" t="s">
        <v>1521</v>
      </c>
      <c r="B400" t="s">
        <v>1522</v>
      </c>
      <c r="C400" t="s">
        <v>1053</v>
      </c>
      <c r="D400" t="s">
        <v>63</v>
      </c>
      <c r="E400" t="s">
        <v>74</v>
      </c>
      <c r="F400" t="s">
        <v>314</v>
      </c>
      <c r="G400" t="s">
        <v>1053</v>
      </c>
      <c r="H400" t="s">
        <v>75</v>
      </c>
      <c r="I400">
        <v>0.95448692279304959</v>
      </c>
      <c r="J400">
        <v>1.217932475958069</v>
      </c>
      <c r="K400">
        <v>1.102895533945444</v>
      </c>
      <c r="L400">
        <v>1.120715968940482</v>
      </c>
      <c r="M400" t="s">
        <v>76</v>
      </c>
      <c r="N400" t="s">
        <v>76</v>
      </c>
      <c r="O400" t="s">
        <v>77</v>
      </c>
      <c r="P400" t="s">
        <v>76</v>
      </c>
      <c r="S400" t="s">
        <v>1522</v>
      </c>
    </row>
    <row r="401" spans="1:19" x14ac:dyDescent="0.3">
      <c r="A401" t="s">
        <v>1523</v>
      </c>
      <c r="B401" t="s">
        <v>1524</v>
      </c>
      <c r="C401" t="s">
        <v>43</v>
      </c>
      <c r="D401" t="s">
        <v>63</v>
      </c>
      <c r="E401" t="s">
        <v>74</v>
      </c>
      <c r="F401" t="s">
        <v>45</v>
      </c>
      <c r="G401" t="s">
        <v>43</v>
      </c>
      <c r="H401" t="s">
        <v>26</v>
      </c>
      <c r="I401">
        <v>0.75316133920649497</v>
      </c>
      <c r="J401">
        <v>0.62580153435404873</v>
      </c>
      <c r="K401">
        <v>1.528173629983135</v>
      </c>
      <c r="L401">
        <v>1.116239303524527</v>
      </c>
      <c r="M401" t="s">
        <v>76</v>
      </c>
      <c r="N401" t="s">
        <v>76</v>
      </c>
      <c r="O401" t="s">
        <v>77</v>
      </c>
      <c r="P401" t="s">
        <v>76</v>
      </c>
      <c r="Q401" t="s">
        <v>1525</v>
      </c>
      <c r="R401" t="s">
        <v>1526</v>
      </c>
      <c r="S401" t="s">
        <v>1524</v>
      </c>
    </row>
    <row r="402" spans="1:19" x14ac:dyDescent="0.3">
      <c r="A402" t="s">
        <v>1527</v>
      </c>
      <c r="B402" t="s">
        <v>1528</v>
      </c>
      <c r="C402" t="s">
        <v>251</v>
      </c>
      <c r="D402" t="s">
        <v>63</v>
      </c>
      <c r="E402" t="s">
        <v>74</v>
      </c>
      <c r="F402" t="s">
        <v>251</v>
      </c>
      <c r="G402" t="s">
        <v>1529</v>
      </c>
      <c r="H402" t="s">
        <v>213</v>
      </c>
      <c r="I402">
        <v>3.9118014824237002</v>
      </c>
      <c r="J402">
        <v>1.680454697524304</v>
      </c>
      <c r="K402">
        <v>0</v>
      </c>
      <c r="L402">
        <v>1.113570522218861</v>
      </c>
      <c r="M402" t="s">
        <v>239</v>
      </c>
      <c r="N402" t="s">
        <v>239</v>
      </c>
      <c r="O402" t="s">
        <v>240</v>
      </c>
      <c r="P402" t="s">
        <v>239</v>
      </c>
      <c r="Q402" t="s">
        <v>1530</v>
      </c>
      <c r="R402" t="s">
        <v>1531</v>
      </c>
      <c r="S402" t="s">
        <v>1528</v>
      </c>
    </row>
    <row r="403" spans="1:19" x14ac:dyDescent="0.3">
      <c r="A403" t="s">
        <v>1532</v>
      </c>
      <c r="B403" t="s">
        <v>1533</v>
      </c>
      <c r="C403" t="s">
        <v>243</v>
      </c>
      <c r="D403" t="s">
        <v>63</v>
      </c>
      <c r="E403" t="s">
        <v>331</v>
      </c>
      <c r="F403" t="s">
        <v>243</v>
      </c>
      <c r="G403" t="s">
        <v>1534</v>
      </c>
      <c r="H403" t="s">
        <v>213</v>
      </c>
      <c r="I403">
        <v>3.92885465495175</v>
      </c>
      <c r="J403">
        <v>1.64509288778683</v>
      </c>
      <c r="K403">
        <v>0</v>
      </c>
      <c r="L403">
        <v>1.104083435125818</v>
      </c>
      <c r="Q403" t="s">
        <v>1535</v>
      </c>
      <c r="R403" t="s">
        <v>1536</v>
      </c>
      <c r="S403" t="s">
        <v>1533</v>
      </c>
    </row>
    <row r="404" spans="1:19" x14ac:dyDescent="0.3">
      <c r="A404" t="s">
        <v>1537</v>
      </c>
      <c r="B404" t="s">
        <v>1538</v>
      </c>
      <c r="C404" t="s">
        <v>114</v>
      </c>
      <c r="D404" t="s">
        <v>189</v>
      </c>
      <c r="E404" t="s">
        <v>485</v>
      </c>
      <c r="F404" t="s">
        <v>114</v>
      </c>
      <c r="G404" t="s">
        <v>190</v>
      </c>
      <c r="H404" t="s">
        <v>75</v>
      </c>
      <c r="I404">
        <v>0</v>
      </c>
      <c r="J404">
        <v>2.3851284422928059</v>
      </c>
      <c r="K404">
        <v>0.51388454898098967</v>
      </c>
      <c r="L404">
        <v>1.0704395727305229</v>
      </c>
      <c r="M404" t="s">
        <v>76</v>
      </c>
      <c r="N404" t="s">
        <v>76</v>
      </c>
      <c r="O404" t="s">
        <v>77</v>
      </c>
      <c r="P404" t="s">
        <v>76</v>
      </c>
      <c r="S404" t="s">
        <v>1538</v>
      </c>
    </row>
    <row r="405" spans="1:19" x14ac:dyDescent="0.3">
      <c r="A405" t="s">
        <v>1539</v>
      </c>
      <c r="B405" t="s">
        <v>1540</v>
      </c>
      <c r="C405" t="s">
        <v>196</v>
      </c>
      <c r="D405" t="s">
        <v>63</v>
      </c>
      <c r="E405" t="s">
        <v>74</v>
      </c>
      <c r="F405" t="s">
        <v>228</v>
      </c>
      <c r="G405" t="s">
        <v>196</v>
      </c>
      <c r="H405" t="s">
        <v>75</v>
      </c>
      <c r="I405">
        <v>0.79990420779057625</v>
      </c>
      <c r="J405">
        <v>1.009861537502788</v>
      </c>
      <c r="K405">
        <v>1.124430682991032</v>
      </c>
      <c r="L405">
        <v>1.040394260611901</v>
      </c>
      <c r="M405" t="s">
        <v>76</v>
      </c>
      <c r="N405" t="s">
        <v>76</v>
      </c>
      <c r="O405" t="s">
        <v>77</v>
      </c>
      <c r="P405" t="s">
        <v>76</v>
      </c>
      <c r="S405" t="s">
        <v>1540</v>
      </c>
    </row>
    <row r="406" spans="1:19" x14ac:dyDescent="0.3">
      <c r="A406" t="s">
        <v>1541</v>
      </c>
      <c r="B406" t="s">
        <v>1542</v>
      </c>
      <c r="C406" t="s">
        <v>73</v>
      </c>
      <c r="D406" t="s">
        <v>63</v>
      </c>
      <c r="E406" t="s">
        <v>74</v>
      </c>
      <c r="F406" t="s">
        <v>73</v>
      </c>
      <c r="G406" t="s">
        <v>1543</v>
      </c>
      <c r="H406" t="s">
        <v>213</v>
      </c>
      <c r="I406">
        <v>3.585582879890703</v>
      </c>
      <c r="J406">
        <v>1.555150893454559</v>
      </c>
      <c r="K406">
        <v>0</v>
      </c>
      <c r="L406">
        <v>1.0256901365148789</v>
      </c>
      <c r="M406" t="s">
        <v>57</v>
      </c>
      <c r="N406" t="s">
        <v>28</v>
      </c>
      <c r="O406" t="s">
        <v>58</v>
      </c>
      <c r="P406" t="s">
        <v>30</v>
      </c>
      <c r="Q406" t="s">
        <v>1544</v>
      </c>
      <c r="R406" t="s">
        <v>1545</v>
      </c>
      <c r="S406" t="s">
        <v>901</v>
      </c>
    </row>
    <row r="407" spans="1:19" x14ac:dyDescent="0.3">
      <c r="A407" t="s">
        <v>1546</v>
      </c>
      <c r="B407" t="s">
        <v>1547</v>
      </c>
      <c r="C407" t="s">
        <v>251</v>
      </c>
      <c r="D407" t="s">
        <v>63</v>
      </c>
      <c r="E407" t="s">
        <v>74</v>
      </c>
      <c r="F407" t="s">
        <v>251</v>
      </c>
      <c r="G407" t="s">
        <v>1548</v>
      </c>
      <c r="H407" t="s">
        <v>213</v>
      </c>
      <c r="I407">
        <v>2.8433404784899379</v>
      </c>
      <c r="J407">
        <v>0.61806293541150048</v>
      </c>
      <c r="K407">
        <v>0.79719505176852579</v>
      </c>
      <c r="L407">
        <v>1.0241749574510171</v>
      </c>
      <c r="M407" t="s">
        <v>63</v>
      </c>
      <c r="N407" t="s">
        <v>28</v>
      </c>
      <c r="O407" t="s">
        <v>86</v>
      </c>
      <c r="P407" t="s">
        <v>30</v>
      </c>
      <c r="Q407" t="s">
        <v>1549</v>
      </c>
      <c r="R407" t="s">
        <v>1550</v>
      </c>
      <c r="S407" t="s">
        <v>1547</v>
      </c>
    </row>
    <row r="408" spans="1:19" x14ac:dyDescent="0.3">
      <c r="A408" t="s">
        <v>1551</v>
      </c>
      <c r="B408" t="s">
        <v>1552</v>
      </c>
      <c r="C408" t="s">
        <v>1053</v>
      </c>
      <c r="D408" t="s">
        <v>63</v>
      </c>
      <c r="E408" t="s">
        <v>74</v>
      </c>
      <c r="F408" t="s">
        <v>314</v>
      </c>
      <c r="G408" t="s">
        <v>1053</v>
      </c>
      <c r="H408" t="s">
        <v>75</v>
      </c>
      <c r="I408">
        <v>0.76187195251218998</v>
      </c>
      <c r="J408">
        <v>0.63425761929127134</v>
      </c>
      <c r="K408">
        <v>1.342905592010782</v>
      </c>
      <c r="L408">
        <v>1.0232796243678259</v>
      </c>
      <c r="M408" t="s">
        <v>76</v>
      </c>
      <c r="N408" t="s">
        <v>76</v>
      </c>
      <c r="O408" t="s">
        <v>77</v>
      </c>
      <c r="P408" t="s">
        <v>76</v>
      </c>
      <c r="S408" t="s">
        <v>1552</v>
      </c>
    </row>
    <row r="409" spans="1:19" x14ac:dyDescent="0.3">
      <c r="A409" t="s">
        <v>1553</v>
      </c>
      <c r="B409" t="s">
        <v>1554</v>
      </c>
      <c r="C409" t="s">
        <v>1053</v>
      </c>
      <c r="D409" t="s">
        <v>63</v>
      </c>
      <c r="E409" t="s">
        <v>74</v>
      </c>
      <c r="F409" t="s">
        <v>314</v>
      </c>
      <c r="G409" t="s">
        <v>1053</v>
      </c>
      <c r="H409" t="s">
        <v>75</v>
      </c>
      <c r="I409">
        <v>0.75205717695647745</v>
      </c>
      <c r="J409">
        <v>0.62815898833654771</v>
      </c>
      <c r="K409">
        <v>1.284546982001745</v>
      </c>
      <c r="L409">
        <v>0.98929140309438146</v>
      </c>
      <c r="M409" t="s">
        <v>76</v>
      </c>
      <c r="N409" t="s">
        <v>76</v>
      </c>
      <c r="O409" t="s">
        <v>77</v>
      </c>
      <c r="P409" t="s">
        <v>76</v>
      </c>
      <c r="S409" t="s">
        <v>1554</v>
      </c>
    </row>
    <row r="410" spans="1:19" x14ac:dyDescent="0.3">
      <c r="A410" t="s">
        <v>1555</v>
      </c>
      <c r="B410" t="s">
        <v>1556</v>
      </c>
      <c r="C410" t="s">
        <v>45</v>
      </c>
      <c r="D410" t="s">
        <v>63</v>
      </c>
      <c r="E410" t="s">
        <v>74</v>
      </c>
      <c r="F410" t="s">
        <v>45</v>
      </c>
      <c r="G410" t="s">
        <v>1557</v>
      </c>
      <c r="H410" t="s">
        <v>26</v>
      </c>
      <c r="I410">
        <v>0.32560517906076519</v>
      </c>
      <c r="J410">
        <v>0.58915849962608591</v>
      </c>
      <c r="K410">
        <v>1.420333494304461</v>
      </c>
      <c r="L410">
        <v>0.98744908309627566</v>
      </c>
      <c r="M410" t="s">
        <v>76</v>
      </c>
      <c r="N410" t="s">
        <v>76</v>
      </c>
      <c r="O410" t="s">
        <v>77</v>
      </c>
      <c r="P410" t="s">
        <v>76</v>
      </c>
      <c r="S410" t="s">
        <v>1556</v>
      </c>
    </row>
    <row r="411" spans="1:19" x14ac:dyDescent="0.3">
      <c r="A411" t="s">
        <v>1558</v>
      </c>
      <c r="B411" t="s">
        <v>1559</v>
      </c>
      <c r="C411" t="s">
        <v>251</v>
      </c>
      <c r="D411" t="s">
        <v>35</v>
      </c>
      <c r="E411" t="s">
        <v>400</v>
      </c>
      <c r="F411" t="s">
        <v>251</v>
      </c>
      <c r="G411" t="s">
        <v>706</v>
      </c>
      <c r="H411" t="s">
        <v>75</v>
      </c>
      <c r="I411">
        <v>1.5850862522475839</v>
      </c>
      <c r="J411">
        <v>2.0107032510725391</v>
      </c>
      <c r="K411">
        <v>0.1412113971767979</v>
      </c>
      <c r="L411">
        <v>0.97193571563560111</v>
      </c>
      <c r="M411" t="s">
        <v>57</v>
      </c>
      <c r="N411" t="s">
        <v>28</v>
      </c>
      <c r="O411" t="s">
        <v>58</v>
      </c>
      <c r="P411" t="s">
        <v>30</v>
      </c>
      <c r="Q411" t="s">
        <v>1560</v>
      </c>
      <c r="R411" t="s">
        <v>1561</v>
      </c>
      <c r="S411" t="s">
        <v>1559</v>
      </c>
    </row>
    <row r="412" spans="1:19" x14ac:dyDescent="0.3">
      <c r="A412" t="s">
        <v>1562</v>
      </c>
      <c r="B412" t="s">
        <v>1563</v>
      </c>
      <c r="C412" t="s">
        <v>251</v>
      </c>
      <c r="D412" t="s">
        <v>63</v>
      </c>
      <c r="E412" t="s">
        <v>74</v>
      </c>
      <c r="F412" t="s">
        <v>251</v>
      </c>
      <c r="G412" t="s">
        <v>1548</v>
      </c>
      <c r="H412" t="s">
        <v>213</v>
      </c>
      <c r="I412">
        <v>2.9267660707134948</v>
      </c>
      <c r="J412">
        <v>1.179700722241902</v>
      </c>
      <c r="K412">
        <v>0.31293441703823488</v>
      </c>
      <c r="L412">
        <v>0.97097190617841478</v>
      </c>
      <c r="Q412" t="s">
        <v>1564</v>
      </c>
      <c r="R412" t="s">
        <v>548</v>
      </c>
      <c r="S412" t="s">
        <v>1563</v>
      </c>
    </row>
    <row r="413" spans="1:19" x14ac:dyDescent="0.3">
      <c r="A413" t="s">
        <v>1565</v>
      </c>
      <c r="B413" t="s">
        <v>1566</v>
      </c>
      <c r="C413" t="s">
        <v>24</v>
      </c>
      <c r="D413" t="s">
        <v>35</v>
      </c>
      <c r="E413" t="s">
        <v>178</v>
      </c>
      <c r="F413" t="s">
        <v>24</v>
      </c>
      <c r="G413" t="s">
        <v>1565</v>
      </c>
      <c r="H413" t="s">
        <v>26</v>
      </c>
      <c r="I413">
        <v>0.76861961070674234</v>
      </c>
      <c r="J413">
        <v>1.482633558992928</v>
      </c>
      <c r="K413">
        <v>0.68909189136868609</v>
      </c>
      <c r="L413">
        <v>0.96685642218288281</v>
      </c>
      <c r="M413" t="s">
        <v>159</v>
      </c>
      <c r="N413" t="s">
        <v>160</v>
      </c>
      <c r="O413" t="s">
        <v>161</v>
      </c>
      <c r="P413" t="s">
        <v>124</v>
      </c>
      <c r="Q413" t="s">
        <v>1567</v>
      </c>
      <c r="R413" t="s">
        <v>1568</v>
      </c>
      <c r="S413" t="s">
        <v>1566</v>
      </c>
    </row>
    <row r="414" spans="1:19" x14ac:dyDescent="0.3">
      <c r="A414" t="s">
        <v>1569</v>
      </c>
      <c r="B414" t="s">
        <v>1570</v>
      </c>
      <c r="C414" t="s">
        <v>43</v>
      </c>
      <c r="D414" t="s">
        <v>63</v>
      </c>
      <c r="E414" t="s">
        <v>555</v>
      </c>
      <c r="F414" t="s">
        <v>45</v>
      </c>
      <c r="G414" t="s">
        <v>43</v>
      </c>
      <c r="H414" t="s">
        <v>26</v>
      </c>
      <c r="I414">
        <v>0.39860257225637757</v>
      </c>
      <c r="J414">
        <v>0.59269468059983488</v>
      </c>
      <c r="K414">
        <v>1.3467852066480031</v>
      </c>
      <c r="L414">
        <v>0.96036525732974787</v>
      </c>
      <c r="M414" t="s">
        <v>76</v>
      </c>
      <c r="N414" t="s">
        <v>76</v>
      </c>
      <c r="O414" t="s">
        <v>77</v>
      </c>
      <c r="P414" t="s">
        <v>76</v>
      </c>
      <c r="S414" t="s">
        <v>1570</v>
      </c>
    </row>
    <row r="415" spans="1:19" x14ac:dyDescent="0.3">
      <c r="A415" t="s">
        <v>1571</v>
      </c>
      <c r="B415" t="s">
        <v>1572</v>
      </c>
      <c r="C415" t="s">
        <v>196</v>
      </c>
      <c r="D415" t="s">
        <v>63</v>
      </c>
      <c r="E415" t="s">
        <v>74</v>
      </c>
      <c r="F415" t="s">
        <v>228</v>
      </c>
      <c r="G415" t="s">
        <v>196</v>
      </c>
      <c r="H415" t="s">
        <v>75</v>
      </c>
      <c r="I415">
        <v>1.3587329909939621</v>
      </c>
      <c r="J415">
        <v>1.6935744414269029</v>
      </c>
      <c r="K415">
        <v>0.38319414065089152</v>
      </c>
      <c r="L415">
        <v>0.9603480393858399</v>
      </c>
      <c r="M415" t="s">
        <v>76</v>
      </c>
      <c r="N415" t="s">
        <v>76</v>
      </c>
      <c r="O415" t="s">
        <v>77</v>
      </c>
      <c r="P415" t="s">
        <v>76</v>
      </c>
      <c r="S415" t="s">
        <v>1572</v>
      </c>
    </row>
    <row r="416" spans="1:19" x14ac:dyDescent="0.3">
      <c r="A416" t="s">
        <v>1573</v>
      </c>
      <c r="B416" t="s">
        <v>1574</v>
      </c>
      <c r="C416" t="s">
        <v>251</v>
      </c>
      <c r="D416" t="s">
        <v>35</v>
      </c>
      <c r="E416" t="s">
        <v>44</v>
      </c>
      <c r="F416" t="s">
        <v>251</v>
      </c>
      <c r="G416" t="s">
        <v>1219</v>
      </c>
      <c r="H416" t="s">
        <v>75</v>
      </c>
      <c r="I416">
        <v>0.47724346139652468</v>
      </c>
      <c r="J416">
        <v>2.14184944109891</v>
      </c>
      <c r="K416">
        <v>0.32976724416374431</v>
      </c>
      <c r="L416">
        <v>0.95926330891966638</v>
      </c>
      <c r="S416" t="s">
        <v>1574</v>
      </c>
    </row>
    <row r="417" spans="1:19" x14ac:dyDescent="0.3">
      <c r="A417" t="s">
        <v>1575</v>
      </c>
      <c r="B417" t="s">
        <v>1423</v>
      </c>
      <c r="C417" t="s">
        <v>114</v>
      </c>
      <c r="D417" t="s">
        <v>63</v>
      </c>
      <c r="E417" t="s">
        <v>74</v>
      </c>
      <c r="F417" t="s">
        <v>114</v>
      </c>
      <c r="G417" t="s">
        <v>1576</v>
      </c>
      <c r="H417" t="s">
        <v>213</v>
      </c>
      <c r="I417">
        <v>3.362174051303795</v>
      </c>
      <c r="J417">
        <v>1.4262596594114489</v>
      </c>
      <c r="K417">
        <v>0</v>
      </c>
      <c r="L417">
        <v>0.95103313173187176</v>
      </c>
      <c r="M417" t="s">
        <v>63</v>
      </c>
      <c r="N417" t="s">
        <v>28</v>
      </c>
      <c r="O417" t="s">
        <v>86</v>
      </c>
      <c r="P417" t="s">
        <v>30</v>
      </c>
      <c r="Q417" t="s">
        <v>1577</v>
      </c>
      <c r="R417" t="s">
        <v>1578</v>
      </c>
      <c r="S417" t="s">
        <v>1423</v>
      </c>
    </row>
    <row r="418" spans="1:19" x14ac:dyDescent="0.3">
      <c r="A418" t="s">
        <v>1579</v>
      </c>
      <c r="B418" t="s">
        <v>1580</v>
      </c>
      <c r="C418" t="s">
        <v>43</v>
      </c>
      <c r="D418" t="s">
        <v>35</v>
      </c>
      <c r="E418" t="s">
        <v>1581</v>
      </c>
      <c r="F418" t="s">
        <v>45</v>
      </c>
      <c r="G418" t="s">
        <v>43</v>
      </c>
      <c r="H418" t="s">
        <v>26</v>
      </c>
      <c r="I418">
        <v>0.40706781617317972</v>
      </c>
      <c r="J418">
        <v>0.34685322942496277</v>
      </c>
      <c r="K418">
        <v>1.4783304453218951</v>
      </c>
      <c r="L418">
        <v>0.94784781210898095</v>
      </c>
      <c r="M418" t="s">
        <v>76</v>
      </c>
      <c r="N418" t="s">
        <v>76</v>
      </c>
      <c r="O418" t="s">
        <v>77</v>
      </c>
      <c r="P418" t="s">
        <v>76</v>
      </c>
      <c r="S418" t="s">
        <v>1580</v>
      </c>
    </row>
    <row r="419" spans="1:19" x14ac:dyDescent="0.3">
      <c r="A419" t="s">
        <v>1582</v>
      </c>
      <c r="B419" t="s">
        <v>1583</v>
      </c>
      <c r="C419" t="s">
        <v>45</v>
      </c>
      <c r="D419" t="s">
        <v>63</v>
      </c>
      <c r="E419" t="s">
        <v>74</v>
      </c>
      <c r="F419" t="s">
        <v>45</v>
      </c>
      <c r="G419" t="s">
        <v>1582</v>
      </c>
      <c r="H419" t="s">
        <v>26</v>
      </c>
      <c r="I419">
        <v>1.107720106156612</v>
      </c>
      <c r="J419">
        <v>1.9500244355230161</v>
      </c>
      <c r="K419">
        <v>0.23317141531498251</v>
      </c>
      <c r="L419">
        <v>0.93271323941426953</v>
      </c>
      <c r="M419" t="s">
        <v>76</v>
      </c>
      <c r="N419" t="s">
        <v>76</v>
      </c>
      <c r="O419" t="s">
        <v>77</v>
      </c>
      <c r="P419" t="s">
        <v>76</v>
      </c>
      <c r="S419" t="s">
        <v>1583</v>
      </c>
    </row>
    <row r="420" spans="1:19" x14ac:dyDescent="0.3">
      <c r="A420" t="s">
        <v>1584</v>
      </c>
      <c r="B420" t="s">
        <v>1585</v>
      </c>
      <c r="C420" t="s">
        <v>24</v>
      </c>
      <c r="D420" t="s">
        <v>63</v>
      </c>
      <c r="E420" t="s">
        <v>74</v>
      </c>
      <c r="F420" t="s">
        <v>55</v>
      </c>
      <c r="G420" t="s">
        <v>1586</v>
      </c>
      <c r="H420" t="s">
        <v>213</v>
      </c>
      <c r="I420">
        <v>6.6454618440785493</v>
      </c>
      <c r="J420">
        <v>0</v>
      </c>
      <c r="K420">
        <v>0</v>
      </c>
      <c r="L420">
        <v>0.93264436763864023</v>
      </c>
      <c r="M420" t="s">
        <v>76</v>
      </c>
      <c r="N420" t="s">
        <v>76</v>
      </c>
      <c r="O420" t="s">
        <v>77</v>
      </c>
      <c r="P420" t="s">
        <v>76</v>
      </c>
      <c r="Q420" t="s">
        <v>1587</v>
      </c>
      <c r="R420" t="s">
        <v>1588</v>
      </c>
      <c r="S420" t="s">
        <v>1585</v>
      </c>
    </row>
    <row r="421" spans="1:19" x14ac:dyDescent="0.3">
      <c r="A421" t="s">
        <v>1589</v>
      </c>
      <c r="B421" t="s">
        <v>1590</v>
      </c>
      <c r="C421" t="s">
        <v>21</v>
      </c>
      <c r="D421" t="s">
        <v>63</v>
      </c>
      <c r="E421" t="s">
        <v>74</v>
      </c>
      <c r="F421" t="s">
        <v>24</v>
      </c>
      <c r="G421" t="s">
        <v>21</v>
      </c>
      <c r="H421" t="s">
        <v>26</v>
      </c>
      <c r="I421">
        <v>0.75168912287313816</v>
      </c>
      <c r="J421">
        <v>0.62974770732475205</v>
      </c>
      <c r="K421">
        <v>1.149352275321653</v>
      </c>
      <c r="L421">
        <v>0.91897332017606892</v>
      </c>
      <c r="M421" t="s">
        <v>76</v>
      </c>
      <c r="N421" t="s">
        <v>76</v>
      </c>
      <c r="O421" t="s">
        <v>77</v>
      </c>
      <c r="P421" t="s">
        <v>76</v>
      </c>
      <c r="Q421" t="s">
        <v>1591</v>
      </c>
      <c r="S421" t="s">
        <v>1590</v>
      </c>
    </row>
    <row r="422" spans="1:19" x14ac:dyDescent="0.3">
      <c r="A422" t="s">
        <v>1592</v>
      </c>
      <c r="B422" t="s">
        <v>1593</v>
      </c>
      <c r="C422" t="s">
        <v>114</v>
      </c>
      <c r="D422" t="s">
        <v>63</v>
      </c>
      <c r="E422" t="s">
        <v>74</v>
      </c>
      <c r="F422" t="s">
        <v>114</v>
      </c>
      <c r="G422" t="s">
        <v>190</v>
      </c>
      <c r="H422" t="s">
        <v>75</v>
      </c>
      <c r="I422">
        <v>0</v>
      </c>
      <c r="J422">
        <v>2.7325966597132019</v>
      </c>
      <c r="K422">
        <v>0</v>
      </c>
      <c r="L422">
        <v>0.91806076914897072</v>
      </c>
      <c r="Q422" t="s">
        <v>1594</v>
      </c>
      <c r="R422" t="s">
        <v>734</v>
      </c>
      <c r="S422" t="s">
        <v>1593</v>
      </c>
    </row>
    <row r="423" spans="1:19" x14ac:dyDescent="0.3">
      <c r="A423" t="s">
        <v>1595</v>
      </c>
      <c r="B423" t="s">
        <v>1596</v>
      </c>
      <c r="C423" t="s">
        <v>251</v>
      </c>
      <c r="D423" t="s">
        <v>63</v>
      </c>
      <c r="E423" t="s">
        <v>323</v>
      </c>
      <c r="F423" t="s">
        <v>251</v>
      </c>
      <c r="G423" t="s">
        <v>1597</v>
      </c>
      <c r="H423" t="s">
        <v>213</v>
      </c>
      <c r="I423">
        <v>2.3472035741486659</v>
      </c>
      <c r="J423">
        <v>1.7498458430091439</v>
      </c>
      <c r="K423">
        <v>0</v>
      </c>
      <c r="L423">
        <v>0.91730317961703989</v>
      </c>
      <c r="Q423" t="s">
        <v>1598</v>
      </c>
      <c r="R423" t="s">
        <v>1599</v>
      </c>
      <c r="S423" t="s">
        <v>1596</v>
      </c>
    </row>
    <row r="424" spans="1:19" x14ac:dyDescent="0.3">
      <c r="A424" t="s">
        <v>1600</v>
      </c>
      <c r="B424" t="s">
        <v>1601</v>
      </c>
      <c r="C424" t="s">
        <v>243</v>
      </c>
      <c r="D424" t="s">
        <v>63</v>
      </c>
      <c r="E424" t="s">
        <v>315</v>
      </c>
      <c r="F424" t="s">
        <v>243</v>
      </c>
      <c r="G424" t="s">
        <v>1600</v>
      </c>
      <c r="H424" t="s">
        <v>213</v>
      </c>
      <c r="I424">
        <v>4.2821865749574037</v>
      </c>
      <c r="J424">
        <v>0.92581317812676334</v>
      </c>
      <c r="K424">
        <v>0</v>
      </c>
      <c r="L424">
        <v>0.91201727083743134</v>
      </c>
      <c r="M424" t="s">
        <v>63</v>
      </c>
      <c r="N424" t="s">
        <v>28</v>
      </c>
      <c r="O424" t="s">
        <v>86</v>
      </c>
      <c r="P424" t="s">
        <v>30</v>
      </c>
      <c r="Q424" t="s">
        <v>1602</v>
      </c>
      <c r="R424" t="s">
        <v>1372</v>
      </c>
      <c r="S424" t="s">
        <v>768</v>
      </c>
    </row>
    <row r="425" spans="1:19" x14ac:dyDescent="0.3">
      <c r="A425" t="s">
        <v>1603</v>
      </c>
      <c r="B425" t="s">
        <v>1604</v>
      </c>
      <c r="C425" t="s">
        <v>45</v>
      </c>
      <c r="D425" t="s">
        <v>63</v>
      </c>
      <c r="F425" t="s">
        <v>1605</v>
      </c>
      <c r="G425" t="s">
        <v>1606</v>
      </c>
      <c r="H425" t="s">
        <v>26</v>
      </c>
      <c r="I425">
        <v>0.77279089031792014</v>
      </c>
      <c r="J425">
        <v>0.7296832565828324</v>
      </c>
      <c r="K425">
        <v>1.0652501207283489</v>
      </c>
      <c r="L425">
        <v>0.91146629663239187</v>
      </c>
      <c r="M425" t="s">
        <v>76</v>
      </c>
      <c r="N425" t="s">
        <v>76</v>
      </c>
      <c r="O425" t="s">
        <v>77</v>
      </c>
      <c r="P425" t="s">
        <v>76</v>
      </c>
      <c r="S425" t="s">
        <v>1604</v>
      </c>
    </row>
    <row r="426" spans="1:19" x14ac:dyDescent="0.3">
      <c r="A426" t="s">
        <v>1607</v>
      </c>
      <c r="B426" t="s">
        <v>1608</v>
      </c>
      <c r="C426" t="s">
        <v>243</v>
      </c>
      <c r="D426" t="s">
        <v>63</v>
      </c>
      <c r="E426" t="s">
        <v>74</v>
      </c>
      <c r="F426" t="s">
        <v>243</v>
      </c>
      <c r="G426" t="s">
        <v>1369</v>
      </c>
      <c r="H426" t="s">
        <v>213</v>
      </c>
      <c r="I426">
        <v>4.2824319443462961</v>
      </c>
      <c r="J426">
        <v>0.92299448314768906</v>
      </c>
      <c r="K426">
        <v>0</v>
      </c>
      <c r="L426">
        <v>0.91110471981033259</v>
      </c>
      <c r="M426" t="s">
        <v>63</v>
      </c>
      <c r="N426" t="s">
        <v>28</v>
      </c>
      <c r="O426" t="s">
        <v>86</v>
      </c>
      <c r="P426" t="s">
        <v>30</v>
      </c>
      <c r="Q426" t="s">
        <v>1609</v>
      </c>
      <c r="R426" t="s">
        <v>1372</v>
      </c>
      <c r="S426" t="s">
        <v>768</v>
      </c>
    </row>
    <row r="427" spans="1:19" x14ac:dyDescent="0.3">
      <c r="A427" t="s">
        <v>1610</v>
      </c>
      <c r="B427" t="s">
        <v>1611</v>
      </c>
      <c r="C427" t="s">
        <v>243</v>
      </c>
      <c r="D427" t="s">
        <v>63</v>
      </c>
      <c r="E427" t="s">
        <v>315</v>
      </c>
      <c r="F427" t="s">
        <v>243</v>
      </c>
      <c r="G427" t="s">
        <v>1610</v>
      </c>
      <c r="H427" t="s">
        <v>213</v>
      </c>
      <c r="I427">
        <v>3.0710432713824698</v>
      </c>
      <c r="J427">
        <v>1.4285658643943271</v>
      </c>
      <c r="K427">
        <v>0</v>
      </c>
      <c r="L427">
        <v>0.91094975831516478</v>
      </c>
      <c r="M427" t="s">
        <v>63</v>
      </c>
      <c r="N427" t="s">
        <v>28</v>
      </c>
      <c r="O427" t="s">
        <v>86</v>
      </c>
      <c r="P427" t="s">
        <v>30</v>
      </c>
      <c r="Q427" t="s">
        <v>1612</v>
      </c>
      <c r="R427" t="s">
        <v>1236</v>
      </c>
      <c r="S427" t="s">
        <v>768</v>
      </c>
    </row>
    <row r="428" spans="1:19" x14ac:dyDescent="0.3">
      <c r="A428" t="s">
        <v>1613</v>
      </c>
      <c r="B428" t="s">
        <v>1614</v>
      </c>
      <c r="C428" t="s">
        <v>307</v>
      </c>
      <c r="D428" t="s">
        <v>63</v>
      </c>
      <c r="E428" t="s">
        <v>74</v>
      </c>
      <c r="F428" t="s">
        <v>251</v>
      </c>
      <c r="G428" t="s">
        <v>307</v>
      </c>
      <c r="H428" t="s">
        <v>75</v>
      </c>
      <c r="I428">
        <v>0.97288962696001069</v>
      </c>
      <c r="J428">
        <v>1.2352033888298499</v>
      </c>
      <c r="K428">
        <v>0.67630231430191667</v>
      </c>
      <c r="L428">
        <v>0.90569828542337139</v>
      </c>
      <c r="M428" t="s">
        <v>76</v>
      </c>
      <c r="N428" t="s">
        <v>76</v>
      </c>
      <c r="O428" t="s">
        <v>77</v>
      </c>
      <c r="P428" t="s">
        <v>76</v>
      </c>
      <c r="S428" t="s">
        <v>1614</v>
      </c>
    </row>
    <row r="429" spans="1:19" x14ac:dyDescent="0.3">
      <c r="A429" t="s">
        <v>1615</v>
      </c>
      <c r="B429" t="s">
        <v>1041</v>
      </c>
      <c r="C429" t="s">
        <v>73</v>
      </c>
      <c r="D429" t="s">
        <v>63</v>
      </c>
      <c r="E429" t="s">
        <v>74</v>
      </c>
      <c r="F429" t="s">
        <v>73</v>
      </c>
      <c r="G429" t="s">
        <v>1615</v>
      </c>
      <c r="H429" t="s">
        <v>213</v>
      </c>
      <c r="I429">
        <v>3.0768094520214508</v>
      </c>
      <c r="J429">
        <v>1.359123469909868</v>
      </c>
      <c r="K429">
        <v>0</v>
      </c>
      <c r="L429">
        <v>0.88842868768412897</v>
      </c>
      <c r="M429" t="s">
        <v>63</v>
      </c>
      <c r="N429" t="s">
        <v>28</v>
      </c>
      <c r="O429" t="s">
        <v>86</v>
      </c>
      <c r="P429" t="s">
        <v>30</v>
      </c>
      <c r="Q429" t="s">
        <v>1616</v>
      </c>
      <c r="R429" t="s">
        <v>1617</v>
      </c>
      <c r="S429" t="s">
        <v>1041</v>
      </c>
    </row>
    <row r="430" spans="1:19" x14ac:dyDescent="0.3">
      <c r="A430" t="s">
        <v>1618</v>
      </c>
      <c r="B430" t="s">
        <v>1619</v>
      </c>
      <c r="C430" t="s">
        <v>307</v>
      </c>
      <c r="D430" t="s">
        <v>63</v>
      </c>
      <c r="E430" t="s">
        <v>74</v>
      </c>
      <c r="F430" t="s">
        <v>251</v>
      </c>
      <c r="G430" t="s">
        <v>307</v>
      </c>
      <c r="H430" t="s">
        <v>75</v>
      </c>
      <c r="I430">
        <v>1.5127022825242029</v>
      </c>
      <c r="J430">
        <v>1.8970842189160471</v>
      </c>
      <c r="K430">
        <v>4.6686888007230018E-2</v>
      </c>
      <c r="L430">
        <v>0.87410335835307196</v>
      </c>
      <c r="M430" t="s">
        <v>63</v>
      </c>
      <c r="N430" t="s">
        <v>28</v>
      </c>
      <c r="O430" t="s">
        <v>86</v>
      </c>
      <c r="P430" t="s">
        <v>30</v>
      </c>
      <c r="Q430" t="s">
        <v>1620</v>
      </c>
      <c r="R430" t="s">
        <v>1621</v>
      </c>
      <c r="S430" t="s">
        <v>1619</v>
      </c>
    </row>
    <row r="431" spans="1:19" x14ac:dyDescent="0.3">
      <c r="A431" t="s">
        <v>1622</v>
      </c>
      <c r="B431" t="s">
        <v>1623</v>
      </c>
      <c r="C431" t="s">
        <v>114</v>
      </c>
      <c r="D431" t="s">
        <v>63</v>
      </c>
      <c r="E431" t="s">
        <v>331</v>
      </c>
      <c r="F431" t="s">
        <v>114</v>
      </c>
      <c r="G431" t="s">
        <v>1624</v>
      </c>
      <c r="H431" t="s">
        <v>317</v>
      </c>
      <c r="I431">
        <v>6.2084589624604476</v>
      </c>
      <c r="J431">
        <v>0</v>
      </c>
      <c r="K431">
        <v>0</v>
      </c>
      <c r="L431">
        <v>0.87131405144005392</v>
      </c>
      <c r="M431" t="s">
        <v>76</v>
      </c>
      <c r="N431" t="s">
        <v>76</v>
      </c>
      <c r="O431" t="s">
        <v>77</v>
      </c>
      <c r="P431" t="s">
        <v>76</v>
      </c>
      <c r="S431" t="s">
        <v>1623</v>
      </c>
    </row>
    <row r="432" spans="1:19" x14ac:dyDescent="0.3">
      <c r="A432" t="s">
        <v>1625</v>
      </c>
      <c r="B432" t="s">
        <v>1626</v>
      </c>
      <c r="C432" t="s">
        <v>1053</v>
      </c>
      <c r="D432" t="s">
        <v>63</v>
      </c>
      <c r="E432" t="s">
        <v>74</v>
      </c>
      <c r="F432" t="s">
        <v>314</v>
      </c>
      <c r="G432" t="s">
        <v>1053</v>
      </c>
      <c r="H432" t="s">
        <v>75</v>
      </c>
      <c r="I432">
        <v>0.75635114126210157</v>
      </c>
      <c r="J432">
        <v>0.94298159299930462</v>
      </c>
      <c r="K432">
        <v>0.85367961063924469</v>
      </c>
      <c r="L432">
        <v>0.87002270564698969</v>
      </c>
      <c r="M432" t="s">
        <v>76</v>
      </c>
      <c r="N432" t="s">
        <v>76</v>
      </c>
      <c r="O432" t="s">
        <v>77</v>
      </c>
      <c r="P432" t="s">
        <v>76</v>
      </c>
      <c r="S432" t="s">
        <v>1626</v>
      </c>
    </row>
    <row r="433" spans="1:19" x14ac:dyDescent="0.3">
      <c r="A433" t="s">
        <v>1627</v>
      </c>
      <c r="B433" t="s">
        <v>1628</v>
      </c>
      <c r="C433" t="s">
        <v>1053</v>
      </c>
      <c r="D433" t="s">
        <v>63</v>
      </c>
      <c r="E433" t="s">
        <v>74</v>
      </c>
      <c r="F433" t="s">
        <v>314</v>
      </c>
      <c r="G433" t="s">
        <v>1053</v>
      </c>
      <c r="H433" t="s">
        <v>75</v>
      </c>
      <c r="I433">
        <v>0.75635114126210157</v>
      </c>
      <c r="J433">
        <v>0.94180286600805541</v>
      </c>
      <c r="K433">
        <v>0.85285765838559613</v>
      </c>
      <c r="L433">
        <v>0.86919624433942855</v>
      </c>
      <c r="M433" t="s">
        <v>76</v>
      </c>
      <c r="N433" t="s">
        <v>76</v>
      </c>
      <c r="O433" t="s">
        <v>77</v>
      </c>
      <c r="P433" t="s">
        <v>76</v>
      </c>
      <c r="S433" t="s">
        <v>1628</v>
      </c>
    </row>
    <row r="434" spans="1:19" x14ac:dyDescent="0.3">
      <c r="A434" t="s">
        <v>1629</v>
      </c>
      <c r="B434" t="s">
        <v>1630</v>
      </c>
      <c r="C434" t="s">
        <v>1053</v>
      </c>
      <c r="D434" t="s">
        <v>63</v>
      </c>
      <c r="E434" t="s">
        <v>74</v>
      </c>
      <c r="F434" t="s">
        <v>314</v>
      </c>
      <c r="G434" t="s">
        <v>1053</v>
      </c>
      <c r="H434" t="s">
        <v>75</v>
      </c>
      <c r="I434">
        <v>0.74899005959531717</v>
      </c>
      <c r="J434">
        <v>0.94318658899778263</v>
      </c>
      <c r="K434">
        <v>0.85137814432902903</v>
      </c>
      <c r="L434">
        <v>0.86785324471464209</v>
      </c>
      <c r="M434" t="s">
        <v>76</v>
      </c>
      <c r="N434" t="s">
        <v>76</v>
      </c>
      <c r="O434" t="s">
        <v>77</v>
      </c>
      <c r="P434" t="s">
        <v>76</v>
      </c>
      <c r="S434" t="s">
        <v>1630</v>
      </c>
    </row>
    <row r="435" spans="1:19" x14ac:dyDescent="0.3">
      <c r="A435" t="s">
        <v>1631</v>
      </c>
      <c r="B435" t="s">
        <v>1632</v>
      </c>
      <c r="C435" t="s">
        <v>1053</v>
      </c>
      <c r="D435" t="s">
        <v>63</v>
      </c>
      <c r="E435" t="s">
        <v>74</v>
      </c>
      <c r="F435" t="s">
        <v>314</v>
      </c>
      <c r="G435" t="s">
        <v>1053</v>
      </c>
      <c r="H435" t="s">
        <v>75</v>
      </c>
      <c r="I435">
        <v>0.7477632126508531</v>
      </c>
      <c r="J435">
        <v>0.94047039201794769</v>
      </c>
      <c r="K435">
        <v>0.84924106846954306</v>
      </c>
      <c r="L435">
        <v>0.86564934789447945</v>
      </c>
      <c r="M435" t="s">
        <v>76</v>
      </c>
      <c r="N435" t="s">
        <v>76</v>
      </c>
      <c r="O435" t="s">
        <v>77</v>
      </c>
      <c r="P435" t="s">
        <v>76</v>
      </c>
      <c r="S435" t="s">
        <v>1632</v>
      </c>
    </row>
    <row r="436" spans="1:19" x14ac:dyDescent="0.3">
      <c r="A436" t="s">
        <v>1633</v>
      </c>
      <c r="B436" t="s">
        <v>1634</v>
      </c>
      <c r="C436" t="s">
        <v>45</v>
      </c>
      <c r="D436" t="s">
        <v>63</v>
      </c>
      <c r="E436" t="s">
        <v>74</v>
      </c>
      <c r="F436" t="s">
        <v>45</v>
      </c>
      <c r="G436" t="s">
        <v>1635</v>
      </c>
      <c r="H436" t="s">
        <v>26</v>
      </c>
      <c r="I436">
        <v>0.71598787678923359</v>
      </c>
      <c r="J436">
        <v>1.556432118445048</v>
      </c>
      <c r="K436">
        <v>0.46150975137851252</v>
      </c>
      <c r="L436">
        <v>0.86508115574553124</v>
      </c>
      <c r="M436" t="s">
        <v>76</v>
      </c>
      <c r="N436" t="s">
        <v>76</v>
      </c>
      <c r="O436" t="s">
        <v>77</v>
      </c>
      <c r="P436" t="s">
        <v>76</v>
      </c>
      <c r="S436" t="s">
        <v>1634</v>
      </c>
    </row>
    <row r="437" spans="1:19" x14ac:dyDescent="0.3">
      <c r="A437" t="s">
        <v>1636</v>
      </c>
      <c r="B437" t="s">
        <v>1637</v>
      </c>
      <c r="C437" t="s">
        <v>114</v>
      </c>
      <c r="D437" t="s">
        <v>63</v>
      </c>
      <c r="E437" t="s">
        <v>74</v>
      </c>
      <c r="F437" t="s">
        <v>114</v>
      </c>
      <c r="G437" t="s">
        <v>1638</v>
      </c>
      <c r="H437" t="s">
        <v>213</v>
      </c>
      <c r="I437">
        <v>0.6953768481222371</v>
      </c>
      <c r="J437">
        <v>2.2754555831070178</v>
      </c>
      <c r="K437">
        <v>0</v>
      </c>
      <c r="L437">
        <v>0.86206801556171553</v>
      </c>
      <c r="Q437" t="s">
        <v>1639</v>
      </c>
      <c r="R437" t="s">
        <v>1640</v>
      </c>
      <c r="S437" t="s">
        <v>1637</v>
      </c>
    </row>
    <row r="438" spans="1:19" x14ac:dyDescent="0.3">
      <c r="A438" t="s">
        <v>1641</v>
      </c>
      <c r="B438" t="s">
        <v>1642</v>
      </c>
      <c r="C438" t="s">
        <v>1053</v>
      </c>
      <c r="D438" t="s">
        <v>35</v>
      </c>
      <c r="E438" t="s">
        <v>54</v>
      </c>
      <c r="F438" t="s">
        <v>314</v>
      </c>
      <c r="G438" t="s">
        <v>1053</v>
      </c>
      <c r="H438" t="s">
        <v>75</v>
      </c>
      <c r="I438">
        <v>1.096801168350882</v>
      </c>
      <c r="J438">
        <v>1.376035639784311</v>
      </c>
      <c r="K438">
        <v>0.46752644187521891</v>
      </c>
      <c r="L438">
        <v>0.86106937481507917</v>
      </c>
      <c r="M438" t="s">
        <v>76</v>
      </c>
      <c r="N438" t="s">
        <v>76</v>
      </c>
      <c r="O438" t="s">
        <v>77</v>
      </c>
      <c r="P438" t="s">
        <v>76</v>
      </c>
      <c r="S438" t="s">
        <v>1642</v>
      </c>
    </row>
    <row r="439" spans="1:19" x14ac:dyDescent="0.3">
      <c r="A439" t="s">
        <v>1643</v>
      </c>
      <c r="B439" t="s">
        <v>1644</v>
      </c>
      <c r="C439" t="s">
        <v>43</v>
      </c>
      <c r="D439" t="s">
        <v>35</v>
      </c>
      <c r="E439" t="s">
        <v>80</v>
      </c>
      <c r="F439" t="s">
        <v>45</v>
      </c>
      <c r="G439" t="s">
        <v>43</v>
      </c>
      <c r="H439" t="s">
        <v>26</v>
      </c>
      <c r="I439">
        <v>0.6696130622884916</v>
      </c>
      <c r="J439">
        <v>0.68125295194237789</v>
      </c>
      <c r="K439">
        <v>1.017609768106885</v>
      </c>
      <c r="L439">
        <v>0.85576624809156299</v>
      </c>
      <c r="M439" t="s">
        <v>76</v>
      </c>
      <c r="N439" t="s">
        <v>76</v>
      </c>
      <c r="O439" t="s">
        <v>77</v>
      </c>
      <c r="P439" t="s">
        <v>76</v>
      </c>
      <c r="S439" t="s">
        <v>1644</v>
      </c>
    </row>
    <row r="440" spans="1:19" x14ac:dyDescent="0.3">
      <c r="A440" t="s">
        <v>1645</v>
      </c>
      <c r="B440" t="s">
        <v>1646</v>
      </c>
      <c r="C440" t="s">
        <v>24</v>
      </c>
      <c r="D440" t="s">
        <v>35</v>
      </c>
      <c r="E440" t="s">
        <v>80</v>
      </c>
      <c r="F440" t="s">
        <v>24</v>
      </c>
      <c r="G440" t="s">
        <v>650</v>
      </c>
      <c r="H440" t="s">
        <v>26</v>
      </c>
      <c r="I440">
        <v>0</v>
      </c>
      <c r="J440">
        <v>1.965962874404692</v>
      </c>
      <c r="K440">
        <v>0.35794376741881229</v>
      </c>
      <c r="L440">
        <v>0.847949301557549</v>
      </c>
      <c r="M440" t="s">
        <v>76</v>
      </c>
      <c r="N440" t="s">
        <v>76</v>
      </c>
      <c r="O440" t="s">
        <v>77</v>
      </c>
      <c r="P440" t="s">
        <v>76</v>
      </c>
      <c r="Q440" t="s">
        <v>707</v>
      </c>
      <c r="S440" t="s">
        <v>1646</v>
      </c>
    </row>
    <row r="441" spans="1:19" x14ac:dyDescent="0.3">
      <c r="A441" t="s">
        <v>1647</v>
      </c>
      <c r="B441" t="s">
        <v>1648</v>
      </c>
      <c r="C441" t="s">
        <v>196</v>
      </c>
      <c r="D441" t="s">
        <v>63</v>
      </c>
      <c r="E441" t="s">
        <v>74</v>
      </c>
      <c r="F441" t="s">
        <v>228</v>
      </c>
      <c r="G441" t="s">
        <v>196</v>
      </c>
      <c r="H441" t="s">
        <v>75</v>
      </c>
      <c r="I441">
        <v>0.97657016779340289</v>
      </c>
      <c r="J441">
        <v>1.6291544489051579</v>
      </c>
      <c r="K441">
        <v>0.30477989565283248</v>
      </c>
      <c r="L441">
        <v>0.8440063924027269</v>
      </c>
      <c r="M441" t="s">
        <v>63</v>
      </c>
      <c r="N441" t="s">
        <v>28</v>
      </c>
      <c r="O441" t="s">
        <v>86</v>
      </c>
      <c r="P441" t="s">
        <v>30</v>
      </c>
      <c r="Q441" t="s">
        <v>1649</v>
      </c>
      <c r="R441" t="s">
        <v>1650</v>
      </c>
      <c r="S441" t="s">
        <v>1648</v>
      </c>
    </row>
    <row r="442" spans="1:19" x14ac:dyDescent="0.3">
      <c r="A442" t="s">
        <v>1651</v>
      </c>
      <c r="B442" t="s">
        <v>1652</v>
      </c>
      <c r="C442" t="s">
        <v>21</v>
      </c>
      <c r="D442" t="s">
        <v>485</v>
      </c>
      <c r="F442" t="s">
        <v>24</v>
      </c>
      <c r="G442" t="s">
        <v>21</v>
      </c>
      <c r="H442" t="s">
        <v>26</v>
      </c>
      <c r="I442">
        <v>0.73929796873405107</v>
      </c>
      <c r="J442">
        <v>0.62021539339552101</v>
      </c>
      <c r="K442">
        <v>1.010902637717114</v>
      </c>
      <c r="L442">
        <v>0.84152700848004403</v>
      </c>
      <c r="M442" t="s">
        <v>46</v>
      </c>
      <c r="N442" t="s">
        <v>28</v>
      </c>
      <c r="O442" t="s">
        <v>1653</v>
      </c>
      <c r="P442" t="s">
        <v>30</v>
      </c>
      <c r="Q442" t="s">
        <v>1654</v>
      </c>
      <c r="R442" t="s">
        <v>734</v>
      </c>
      <c r="S442" t="s">
        <v>1652</v>
      </c>
    </row>
    <row r="443" spans="1:19" x14ac:dyDescent="0.3">
      <c r="A443" t="s">
        <v>1655</v>
      </c>
      <c r="B443" t="s">
        <v>1656</v>
      </c>
      <c r="C443" t="s">
        <v>307</v>
      </c>
      <c r="D443" t="s">
        <v>63</v>
      </c>
      <c r="E443" t="s">
        <v>74</v>
      </c>
      <c r="F443" t="s">
        <v>251</v>
      </c>
      <c r="G443" t="s">
        <v>307</v>
      </c>
      <c r="H443" t="s">
        <v>75</v>
      </c>
      <c r="I443">
        <v>1.436637771967431</v>
      </c>
      <c r="J443">
        <v>1.7973536656564459</v>
      </c>
      <c r="K443">
        <v>4.6851278457959701E-2</v>
      </c>
      <c r="L443">
        <v>0.83000820400591302</v>
      </c>
      <c r="M443" t="s">
        <v>63</v>
      </c>
      <c r="N443" t="s">
        <v>28</v>
      </c>
      <c r="O443" t="s">
        <v>86</v>
      </c>
      <c r="P443" t="s">
        <v>30</v>
      </c>
      <c r="Q443" t="s">
        <v>1657</v>
      </c>
      <c r="R443" t="s">
        <v>1658</v>
      </c>
      <c r="S443" t="s">
        <v>1656</v>
      </c>
    </row>
    <row r="444" spans="1:19" x14ac:dyDescent="0.3">
      <c r="A444" t="s">
        <v>1659</v>
      </c>
      <c r="B444" t="s">
        <v>1660</v>
      </c>
      <c r="D444" t="s">
        <v>53</v>
      </c>
      <c r="E444" t="s">
        <v>54</v>
      </c>
      <c r="F444" t="s">
        <v>750</v>
      </c>
      <c r="G444" t="s">
        <v>307</v>
      </c>
      <c r="H444" t="s">
        <v>75</v>
      </c>
      <c r="I444">
        <v>1.458721016967784</v>
      </c>
      <c r="J444">
        <v>1.8329204713923981</v>
      </c>
      <c r="K444">
        <v>0</v>
      </c>
      <c r="L444">
        <v>0.82052111691286933</v>
      </c>
      <c r="M444" t="s">
        <v>76</v>
      </c>
      <c r="N444" t="s">
        <v>76</v>
      </c>
      <c r="O444" t="s">
        <v>77</v>
      </c>
      <c r="P444" t="s">
        <v>76</v>
      </c>
      <c r="S444" t="s">
        <v>1660</v>
      </c>
    </row>
    <row r="445" spans="1:19" x14ac:dyDescent="0.3">
      <c r="A445" t="s">
        <v>1661</v>
      </c>
      <c r="B445" t="s">
        <v>1662</v>
      </c>
      <c r="C445" t="s">
        <v>596</v>
      </c>
      <c r="D445" t="s">
        <v>35</v>
      </c>
      <c r="E445" t="s">
        <v>80</v>
      </c>
      <c r="F445" t="s">
        <v>73</v>
      </c>
      <c r="G445" t="s">
        <v>596</v>
      </c>
      <c r="H445" t="s">
        <v>75</v>
      </c>
      <c r="I445">
        <v>0.7698464576512063</v>
      </c>
      <c r="J445">
        <v>0.985569511683132</v>
      </c>
      <c r="K445">
        <v>0.71822187923798586</v>
      </c>
      <c r="L445">
        <v>0.81528686196498346</v>
      </c>
      <c r="M445" t="s">
        <v>76</v>
      </c>
      <c r="N445" t="s">
        <v>76</v>
      </c>
      <c r="O445" t="s">
        <v>77</v>
      </c>
      <c r="P445" t="s">
        <v>76</v>
      </c>
      <c r="S445" t="s">
        <v>1662</v>
      </c>
    </row>
    <row r="446" spans="1:19" x14ac:dyDescent="0.3">
      <c r="A446" t="s">
        <v>1663</v>
      </c>
      <c r="B446" t="s">
        <v>1664</v>
      </c>
      <c r="C446" t="s">
        <v>43</v>
      </c>
      <c r="D446" t="s">
        <v>63</v>
      </c>
      <c r="E446" t="s">
        <v>74</v>
      </c>
      <c r="F446" t="s">
        <v>45</v>
      </c>
      <c r="G446" t="s">
        <v>43</v>
      </c>
      <c r="H446" t="s">
        <v>26</v>
      </c>
      <c r="I446">
        <v>0.96307485140429816</v>
      </c>
      <c r="J446">
        <v>0.91048972724052513</v>
      </c>
      <c r="K446">
        <v>0.71016674715223083</v>
      </c>
      <c r="L446">
        <v>0.81296243953746816</v>
      </c>
      <c r="M446" t="s">
        <v>63</v>
      </c>
      <c r="N446" t="s">
        <v>28</v>
      </c>
      <c r="O446" t="s">
        <v>86</v>
      </c>
      <c r="P446" t="s">
        <v>30</v>
      </c>
      <c r="Q446" t="s">
        <v>1665</v>
      </c>
      <c r="R446" t="s">
        <v>734</v>
      </c>
      <c r="S446" t="s">
        <v>1664</v>
      </c>
    </row>
    <row r="447" spans="1:19" x14ac:dyDescent="0.3">
      <c r="A447" t="s">
        <v>1666</v>
      </c>
      <c r="B447" t="s">
        <v>1667</v>
      </c>
      <c r="C447" t="s">
        <v>21</v>
      </c>
      <c r="D447" t="s">
        <v>63</v>
      </c>
      <c r="E447" t="s">
        <v>74</v>
      </c>
      <c r="F447" t="s">
        <v>24</v>
      </c>
      <c r="G447" t="s">
        <v>21</v>
      </c>
      <c r="H447" t="s">
        <v>26</v>
      </c>
      <c r="I447">
        <v>0.37750080481159548</v>
      </c>
      <c r="J447">
        <v>0.31425886566694222</v>
      </c>
      <c r="K447">
        <v>1.24016156030473</v>
      </c>
      <c r="L447">
        <v>0.80802088963600982</v>
      </c>
      <c r="M447" t="s">
        <v>63</v>
      </c>
      <c r="N447" t="s">
        <v>28</v>
      </c>
      <c r="O447" t="s">
        <v>86</v>
      </c>
      <c r="P447" t="s">
        <v>30</v>
      </c>
      <c r="Q447" t="s">
        <v>1668</v>
      </c>
      <c r="R447" t="s">
        <v>1669</v>
      </c>
      <c r="S447" t="s">
        <v>1667</v>
      </c>
    </row>
    <row r="448" spans="1:19" x14ac:dyDescent="0.3">
      <c r="A448" t="s">
        <v>1670</v>
      </c>
      <c r="B448" t="s">
        <v>1671</v>
      </c>
      <c r="C448" t="s">
        <v>43</v>
      </c>
      <c r="D448" t="s">
        <v>35</v>
      </c>
      <c r="E448" t="s">
        <v>1672</v>
      </c>
      <c r="F448" t="s">
        <v>45</v>
      </c>
      <c r="G448" t="s">
        <v>43</v>
      </c>
      <c r="H448" t="s">
        <v>26</v>
      </c>
      <c r="I448">
        <v>0.5445973586476025</v>
      </c>
      <c r="J448">
        <v>0.45140118864879641</v>
      </c>
      <c r="K448">
        <v>1.0998707496520179</v>
      </c>
      <c r="L448">
        <v>0.80407798048118717</v>
      </c>
      <c r="M448" t="s">
        <v>76</v>
      </c>
      <c r="N448" t="s">
        <v>76</v>
      </c>
      <c r="O448" t="s">
        <v>77</v>
      </c>
      <c r="P448" t="s">
        <v>76</v>
      </c>
      <c r="S448" t="s">
        <v>1671</v>
      </c>
    </row>
    <row r="449" spans="1:19" x14ac:dyDescent="0.3">
      <c r="A449" t="s">
        <v>1673</v>
      </c>
      <c r="B449" t="s">
        <v>1674</v>
      </c>
      <c r="C449" t="s">
        <v>228</v>
      </c>
      <c r="D449" t="s">
        <v>35</v>
      </c>
      <c r="E449" t="s">
        <v>54</v>
      </c>
      <c r="F449" t="s">
        <v>228</v>
      </c>
      <c r="G449" t="s">
        <v>196</v>
      </c>
      <c r="H449" t="s">
        <v>75</v>
      </c>
      <c r="I449">
        <v>0.65513626834381555</v>
      </c>
      <c r="J449">
        <v>1.089963723908109</v>
      </c>
      <c r="K449">
        <v>0.64375300505743938</v>
      </c>
      <c r="L449">
        <v>0.79526239320053771</v>
      </c>
      <c r="M449" t="s">
        <v>76</v>
      </c>
      <c r="N449" t="s">
        <v>76</v>
      </c>
      <c r="O449" t="s">
        <v>77</v>
      </c>
      <c r="P449" t="s">
        <v>76</v>
      </c>
      <c r="S449" t="s">
        <v>1674</v>
      </c>
    </row>
    <row r="450" spans="1:19" x14ac:dyDescent="0.3">
      <c r="A450" t="s">
        <v>1675</v>
      </c>
      <c r="B450" t="s">
        <v>1676</v>
      </c>
      <c r="C450" t="s">
        <v>73</v>
      </c>
      <c r="D450" t="s">
        <v>63</v>
      </c>
      <c r="E450" t="s">
        <v>74</v>
      </c>
      <c r="F450" t="s">
        <v>73</v>
      </c>
      <c r="G450" t="s">
        <v>741</v>
      </c>
      <c r="H450" t="s">
        <v>75</v>
      </c>
      <c r="I450">
        <v>1.3121128071043271</v>
      </c>
      <c r="J450">
        <v>1.6478603337662849</v>
      </c>
      <c r="K450">
        <v>0.10948404018596899</v>
      </c>
      <c r="L450">
        <v>0.79510743170537013</v>
      </c>
      <c r="M450" t="s">
        <v>76</v>
      </c>
      <c r="N450" t="s">
        <v>76</v>
      </c>
      <c r="O450" t="s">
        <v>77</v>
      </c>
      <c r="P450" t="s">
        <v>76</v>
      </c>
      <c r="Q450" t="s">
        <v>707</v>
      </c>
      <c r="S450" t="s">
        <v>1676</v>
      </c>
    </row>
    <row r="451" spans="1:19" x14ac:dyDescent="0.3">
      <c r="A451" t="s">
        <v>1677</v>
      </c>
      <c r="B451" t="s">
        <v>1678</v>
      </c>
      <c r="C451" t="s">
        <v>196</v>
      </c>
      <c r="D451" t="s">
        <v>63</v>
      </c>
      <c r="E451" t="s">
        <v>74</v>
      </c>
      <c r="F451" t="s">
        <v>228</v>
      </c>
      <c r="G451" t="s">
        <v>196</v>
      </c>
      <c r="H451" t="s">
        <v>75</v>
      </c>
      <c r="I451">
        <v>0.66249735001059995</v>
      </c>
      <c r="J451">
        <v>0.83253999881922303</v>
      </c>
      <c r="K451">
        <v>0.79795124784188221</v>
      </c>
      <c r="L451">
        <v>0.79056189451378456</v>
      </c>
      <c r="M451" t="s">
        <v>76</v>
      </c>
      <c r="N451" t="s">
        <v>76</v>
      </c>
      <c r="O451" t="s">
        <v>77</v>
      </c>
      <c r="P451" t="s">
        <v>76</v>
      </c>
      <c r="S451" t="s">
        <v>1678</v>
      </c>
    </row>
    <row r="452" spans="1:19" x14ac:dyDescent="0.3">
      <c r="A452" t="s">
        <v>1679</v>
      </c>
      <c r="B452" t="s">
        <v>1680</v>
      </c>
      <c r="C452" t="s">
        <v>45</v>
      </c>
      <c r="D452" t="s">
        <v>63</v>
      </c>
      <c r="E452" t="s">
        <v>575</v>
      </c>
      <c r="F452" t="s">
        <v>45</v>
      </c>
      <c r="G452" t="s">
        <v>1681</v>
      </c>
      <c r="H452" t="s">
        <v>213</v>
      </c>
      <c r="I452">
        <v>2.8010142589059268</v>
      </c>
      <c r="J452">
        <v>1.1777701692526461</v>
      </c>
      <c r="K452">
        <v>0</v>
      </c>
      <c r="L452">
        <v>0.78879412714658026</v>
      </c>
      <c r="M452" t="s">
        <v>121</v>
      </c>
      <c r="N452" t="s">
        <v>122</v>
      </c>
      <c r="O452" t="s">
        <v>123</v>
      </c>
      <c r="P452" t="s">
        <v>124</v>
      </c>
      <c r="Q452" t="s">
        <v>1682</v>
      </c>
      <c r="R452" t="s">
        <v>1683</v>
      </c>
      <c r="S452" t="s">
        <v>1680</v>
      </c>
    </row>
    <row r="453" spans="1:19" x14ac:dyDescent="0.3">
      <c r="A453" t="s">
        <v>1684</v>
      </c>
      <c r="B453" t="s">
        <v>1685</v>
      </c>
      <c r="C453" t="s">
        <v>73</v>
      </c>
      <c r="D453" t="s">
        <v>63</v>
      </c>
      <c r="E453" t="s">
        <v>74</v>
      </c>
      <c r="F453" t="s">
        <v>73</v>
      </c>
      <c r="G453" t="s">
        <v>1686</v>
      </c>
      <c r="H453" t="s">
        <v>213</v>
      </c>
      <c r="I453">
        <v>2.7723060404054678</v>
      </c>
      <c r="J453">
        <v>1.1736020912871781</v>
      </c>
      <c r="K453">
        <v>0</v>
      </c>
      <c r="L453">
        <v>0.78336479396044123</v>
      </c>
      <c r="M453" t="s">
        <v>57</v>
      </c>
      <c r="N453" t="s">
        <v>28</v>
      </c>
      <c r="O453" t="s">
        <v>58</v>
      </c>
      <c r="P453" t="s">
        <v>30</v>
      </c>
      <c r="Q453" t="s">
        <v>1687</v>
      </c>
      <c r="R453" t="s">
        <v>1243</v>
      </c>
      <c r="S453" t="s">
        <v>901</v>
      </c>
    </row>
    <row r="454" spans="1:19" x14ac:dyDescent="0.3">
      <c r="A454" t="s">
        <v>1688</v>
      </c>
      <c r="B454" t="s">
        <v>1689</v>
      </c>
      <c r="E454" t="s">
        <v>74</v>
      </c>
      <c r="F454" t="s">
        <v>109</v>
      </c>
      <c r="G454" t="s">
        <v>25</v>
      </c>
      <c r="H454" t="s">
        <v>26</v>
      </c>
      <c r="I454">
        <v>0.52570391570285568</v>
      </c>
      <c r="J454">
        <v>0.48312431941328521</v>
      </c>
      <c r="K454">
        <v>1.030793882255405</v>
      </c>
      <c r="L454">
        <v>0.77590942424848486</v>
      </c>
      <c r="M454" t="s">
        <v>76</v>
      </c>
      <c r="N454" t="s">
        <v>76</v>
      </c>
      <c r="O454" t="s">
        <v>77</v>
      </c>
      <c r="P454" t="s">
        <v>76</v>
      </c>
      <c r="S454" t="s">
        <v>1689</v>
      </c>
    </row>
    <row r="455" spans="1:19" x14ac:dyDescent="0.3">
      <c r="A455" t="s">
        <v>1690</v>
      </c>
      <c r="B455" t="s">
        <v>1691</v>
      </c>
      <c r="C455" t="s">
        <v>243</v>
      </c>
      <c r="D455" t="s">
        <v>63</v>
      </c>
      <c r="E455" t="s">
        <v>74</v>
      </c>
      <c r="F455" t="s">
        <v>243</v>
      </c>
      <c r="G455" t="s">
        <v>1690</v>
      </c>
      <c r="H455" t="s">
        <v>213</v>
      </c>
      <c r="I455">
        <v>2.7309612983770291</v>
      </c>
      <c r="J455">
        <v>1.152333756445074</v>
      </c>
      <c r="K455">
        <v>0</v>
      </c>
      <c r="L455">
        <v>0.77041690014198594</v>
      </c>
      <c r="M455" t="s">
        <v>57</v>
      </c>
      <c r="N455" t="s">
        <v>28</v>
      </c>
      <c r="O455" t="s">
        <v>58</v>
      </c>
      <c r="P455" t="s">
        <v>30</v>
      </c>
      <c r="Q455" t="s">
        <v>1692</v>
      </c>
      <c r="R455" t="s">
        <v>1195</v>
      </c>
      <c r="S455" t="s">
        <v>901</v>
      </c>
    </row>
    <row r="456" spans="1:19" x14ac:dyDescent="0.3">
      <c r="A456" t="s">
        <v>1693</v>
      </c>
      <c r="B456" t="s">
        <v>1694</v>
      </c>
      <c r="C456" t="s">
        <v>24</v>
      </c>
      <c r="D456" t="s">
        <v>63</v>
      </c>
      <c r="E456" t="s">
        <v>74</v>
      </c>
      <c r="F456" t="s">
        <v>55</v>
      </c>
      <c r="G456" t="s">
        <v>904</v>
      </c>
      <c r="H456" t="s">
        <v>26</v>
      </c>
      <c r="I456">
        <v>0.72531191356716052</v>
      </c>
      <c r="J456">
        <v>0.31487385366237608</v>
      </c>
      <c r="K456">
        <v>1.0652501207283469</v>
      </c>
      <c r="L456">
        <v>0.76544091435271233</v>
      </c>
      <c r="M456" t="s">
        <v>76</v>
      </c>
      <c r="N456" t="s">
        <v>76</v>
      </c>
      <c r="O456" t="s">
        <v>77</v>
      </c>
      <c r="P456" t="s">
        <v>76</v>
      </c>
      <c r="S456" t="s">
        <v>1694</v>
      </c>
    </row>
    <row r="457" spans="1:19" x14ac:dyDescent="0.3">
      <c r="A457" t="s">
        <v>1695</v>
      </c>
      <c r="B457" t="s">
        <v>1696</v>
      </c>
      <c r="C457" t="s">
        <v>114</v>
      </c>
      <c r="D457" t="s">
        <v>63</v>
      </c>
      <c r="E457" t="s">
        <v>64</v>
      </c>
      <c r="F457" t="s">
        <v>114</v>
      </c>
      <c r="G457" t="s">
        <v>362</v>
      </c>
      <c r="H457" t="s">
        <v>75</v>
      </c>
      <c r="I457">
        <v>1.0023339536271481</v>
      </c>
      <c r="J457">
        <v>0.84068858975872796</v>
      </c>
      <c r="K457">
        <v>0.62813591223811971</v>
      </c>
      <c r="L457">
        <v>0.75206257193656978</v>
      </c>
      <c r="M457" t="s">
        <v>76</v>
      </c>
      <c r="N457" t="s">
        <v>76</v>
      </c>
      <c r="O457" t="s">
        <v>77</v>
      </c>
      <c r="P457" t="s">
        <v>76</v>
      </c>
      <c r="S457" t="s">
        <v>1696</v>
      </c>
    </row>
    <row r="458" spans="1:19" x14ac:dyDescent="0.3">
      <c r="A458" t="s">
        <v>1697</v>
      </c>
      <c r="B458" t="s">
        <v>1698</v>
      </c>
      <c r="C458" t="s">
        <v>114</v>
      </c>
      <c r="D458" t="s">
        <v>63</v>
      </c>
      <c r="E458" t="s">
        <v>74</v>
      </c>
      <c r="F458" t="s">
        <v>114</v>
      </c>
      <c r="G458" t="s">
        <v>1699</v>
      </c>
      <c r="H458" t="s">
        <v>317</v>
      </c>
      <c r="I458">
        <v>1.399218940161276</v>
      </c>
      <c r="J458">
        <v>1.170373404311148</v>
      </c>
      <c r="K458">
        <v>0.30872526647034498</v>
      </c>
      <c r="L458">
        <v>0.75125332857291605</v>
      </c>
      <c r="S458" t="s">
        <v>1698</v>
      </c>
    </row>
    <row r="459" spans="1:19" x14ac:dyDescent="0.3">
      <c r="A459" t="s">
        <v>1700</v>
      </c>
      <c r="B459" t="s">
        <v>1701</v>
      </c>
      <c r="C459" t="s">
        <v>21</v>
      </c>
      <c r="D459" t="s">
        <v>63</v>
      </c>
      <c r="F459" t="s">
        <v>109</v>
      </c>
      <c r="G459" t="s">
        <v>25</v>
      </c>
      <c r="H459" t="s">
        <v>26</v>
      </c>
      <c r="I459">
        <v>0.3768873813393635</v>
      </c>
      <c r="J459">
        <v>0.3136438776715067</v>
      </c>
      <c r="K459">
        <v>1.130776154389199</v>
      </c>
      <c r="L459">
        <v>0.75044408520926231</v>
      </c>
      <c r="M459" t="s">
        <v>76</v>
      </c>
      <c r="N459" t="s">
        <v>76</v>
      </c>
      <c r="O459" t="s">
        <v>77</v>
      </c>
      <c r="P459" t="s">
        <v>76</v>
      </c>
      <c r="S459" t="s">
        <v>1701</v>
      </c>
    </row>
    <row r="460" spans="1:19" x14ac:dyDescent="0.3">
      <c r="A460" t="s">
        <v>1702</v>
      </c>
      <c r="B460" t="s">
        <v>1703</v>
      </c>
      <c r="C460" t="s">
        <v>73</v>
      </c>
      <c r="D460" t="s">
        <v>63</v>
      </c>
      <c r="E460" t="s">
        <v>74</v>
      </c>
      <c r="F460" t="s">
        <v>73</v>
      </c>
      <c r="G460" t="s">
        <v>71</v>
      </c>
      <c r="H460" t="s">
        <v>75</v>
      </c>
      <c r="I460">
        <v>0.9201352083480554</v>
      </c>
      <c r="J460">
        <v>0.77867730021909976</v>
      </c>
      <c r="K460">
        <v>0.68172719917599622</v>
      </c>
      <c r="L460">
        <v>0.74775808595968962</v>
      </c>
      <c r="M460" t="s">
        <v>76</v>
      </c>
      <c r="N460" t="s">
        <v>76</v>
      </c>
      <c r="O460" t="s">
        <v>77</v>
      </c>
      <c r="P460" t="s">
        <v>76</v>
      </c>
      <c r="Q460" t="s">
        <v>1704</v>
      </c>
      <c r="R460" t="s">
        <v>1705</v>
      </c>
      <c r="S460" t="s">
        <v>1703</v>
      </c>
    </row>
    <row r="461" spans="1:19" x14ac:dyDescent="0.3">
      <c r="A461" t="s">
        <v>1706</v>
      </c>
      <c r="B461" t="s">
        <v>1707</v>
      </c>
      <c r="C461" t="s">
        <v>43</v>
      </c>
      <c r="D461" t="s">
        <v>189</v>
      </c>
      <c r="E461" t="s">
        <v>485</v>
      </c>
      <c r="F461" t="s">
        <v>45</v>
      </c>
      <c r="G461" t="s">
        <v>43</v>
      </c>
      <c r="H461" t="s">
        <v>26</v>
      </c>
      <c r="I461">
        <v>0.36658186700586531</v>
      </c>
      <c r="J461">
        <v>0.37791012319439632</v>
      </c>
      <c r="K461">
        <v>1.0652501207283489</v>
      </c>
      <c r="L461">
        <v>0.7362737173733751</v>
      </c>
      <c r="M461" t="s">
        <v>76</v>
      </c>
      <c r="N461" t="s">
        <v>76</v>
      </c>
      <c r="O461" t="s">
        <v>77</v>
      </c>
      <c r="P461" t="s">
        <v>76</v>
      </c>
      <c r="S461" t="s">
        <v>1707</v>
      </c>
    </row>
    <row r="462" spans="1:19" x14ac:dyDescent="0.3">
      <c r="A462" t="s">
        <v>1708</v>
      </c>
      <c r="B462" t="s">
        <v>1709</v>
      </c>
      <c r="C462" t="s">
        <v>228</v>
      </c>
      <c r="D462" t="s">
        <v>63</v>
      </c>
      <c r="E462" t="s">
        <v>315</v>
      </c>
      <c r="F462" t="s">
        <v>228</v>
      </c>
      <c r="G462" t="s">
        <v>1710</v>
      </c>
      <c r="H462" t="s">
        <v>213</v>
      </c>
      <c r="I462">
        <v>3.337514427720067</v>
      </c>
      <c r="J462">
        <v>0.79343701210952389</v>
      </c>
      <c r="K462">
        <v>0</v>
      </c>
      <c r="L462">
        <v>0.73496515363640225</v>
      </c>
      <c r="M462" t="s">
        <v>63</v>
      </c>
      <c r="N462" t="s">
        <v>28</v>
      </c>
      <c r="O462" t="s">
        <v>86</v>
      </c>
      <c r="P462" t="s">
        <v>30</v>
      </c>
      <c r="Q462" t="s">
        <v>1711</v>
      </c>
      <c r="R462" t="s">
        <v>1712</v>
      </c>
      <c r="S462" t="s">
        <v>1709</v>
      </c>
    </row>
    <row r="463" spans="1:19" x14ac:dyDescent="0.3">
      <c r="A463" t="s">
        <v>1713</v>
      </c>
      <c r="B463" t="s">
        <v>1714</v>
      </c>
      <c r="C463" t="s">
        <v>114</v>
      </c>
      <c r="D463" t="s">
        <v>53</v>
      </c>
      <c r="E463" t="s">
        <v>1715</v>
      </c>
      <c r="F463" t="s">
        <v>114</v>
      </c>
      <c r="G463" t="s">
        <v>362</v>
      </c>
      <c r="H463" t="s">
        <v>75</v>
      </c>
      <c r="I463">
        <v>1.0164426934884849</v>
      </c>
      <c r="J463">
        <v>0.85975321761719214</v>
      </c>
      <c r="K463">
        <v>0.57602413935680996</v>
      </c>
      <c r="L463">
        <v>0.7331572695261126</v>
      </c>
      <c r="M463" t="s">
        <v>76</v>
      </c>
      <c r="N463" t="s">
        <v>76</v>
      </c>
      <c r="O463" t="s">
        <v>77</v>
      </c>
      <c r="P463" t="s">
        <v>76</v>
      </c>
      <c r="S463" t="s">
        <v>1714</v>
      </c>
    </row>
    <row r="464" spans="1:19" x14ac:dyDescent="0.3">
      <c r="A464" t="s">
        <v>1716</v>
      </c>
      <c r="B464" t="s">
        <v>1717</v>
      </c>
      <c r="C464" t="s">
        <v>21</v>
      </c>
      <c r="D464" t="s">
        <v>63</v>
      </c>
      <c r="E464" t="s">
        <v>74</v>
      </c>
      <c r="F464" t="s">
        <v>24</v>
      </c>
      <c r="G464" t="s">
        <v>21</v>
      </c>
      <c r="H464" t="s">
        <v>26</v>
      </c>
      <c r="I464">
        <v>0.17985576205843321</v>
      </c>
      <c r="J464">
        <v>0.22329189134228089</v>
      </c>
      <c r="K464">
        <v>1.1990639476223079</v>
      </c>
      <c r="L464">
        <v>0.7281985016807464</v>
      </c>
      <c r="M464" t="s">
        <v>76</v>
      </c>
      <c r="N464" t="s">
        <v>76</v>
      </c>
      <c r="O464" t="s">
        <v>77</v>
      </c>
      <c r="P464" t="s">
        <v>76</v>
      </c>
      <c r="S464" t="s">
        <v>1717</v>
      </c>
    </row>
    <row r="465" spans="1:19" x14ac:dyDescent="0.3">
      <c r="A465" t="s">
        <v>1718</v>
      </c>
      <c r="B465" t="s">
        <v>1719</v>
      </c>
      <c r="C465" t="s">
        <v>114</v>
      </c>
      <c r="D465" t="s">
        <v>63</v>
      </c>
      <c r="E465" t="s">
        <v>74</v>
      </c>
      <c r="F465" t="s">
        <v>114</v>
      </c>
      <c r="G465" t="s">
        <v>190</v>
      </c>
      <c r="H465" t="s">
        <v>75</v>
      </c>
      <c r="I465">
        <v>0.82076060584646537</v>
      </c>
      <c r="J465">
        <v>1.421391004447593</v>
      </c>
      <c r="K465">
        <v>0.24822958060182149</v>
      </c>
      <c r="L465">
        <v>0.72272319551815545</v>
      </c>
      <c r="M465" t="s">
        <v>76</v>
      </c>
      <c r="N465" t="s">
        <v>76</v>
      </c>
      <c r="O465" t="s">
        <v>77</v>
      </c>
      <c r="P465" t="s">
        <v>76</v>
      </c>
      <c r="S465" t="s">
        <v>1719</v>
      </c>
    </row>
    <row r="466" spans="1:19" x14ac:dyDescent="0.3">
      <c r="A466" t="s">
        <v>1720</v>
      </c>
      <c r="B466" t="s">
        <v>1721</v>
      </c>
      <c r="C466" t="s">
        <v>21</v>
      </c>
      <c r="D466" t="s">
        <v>35</v>
      </c>
      <c r="E466" t="s">
        <v>36</v>
      </c>
      <c r="F466" t="s">
        <v>24</v>
      </c>
      <c r="G466" t="s">
        <v>21</v>
      </c>
      <c r="H466" t="s">
        <v>26</v>
      </c>
      <c r="I466">
        <v>0.58226155984264949</v>
      </c>
      <c r="J466">
        <v>0.48983793836344308</v>
      </c>
      <c r="K466">
        <v>0.84555872237319885</v>
      </c>
      <c r="L466">
        <v>0.68909655106676881</v>
      </c>
      <c r="M466" t="s">
        <v>76</v>
      </c>
      <c r="N466" t="s">
        <v>76</v>
      </c>
      <c r="O466" t="s">
        <v>77</v>
      </c>
      <c r="P466" t="s">
        <v>76</v>
      </c>
      <c r="S466" t="s">
        <v>1721</v>
      </c>
    </row>
    <row r="467" spans="1:19" x14ac:dyDescent="0.3">
      <c r="A467" t="s">
        <v>1722</v>
      </c>
      <c r="B467" t="s">
        <v>1723</v>
      </c>
      <c r="C467" t="s">
        <v>24</v>
      </c>
      <c r="D467" t="s">
        <v>63</v>
      </c>
      <c r="E467" t="s">
        <v>323</v>
      </c>
      <c r="F467" t="s">
        <v>55</v>
      </c>
      <c r="G467" t="s">
        <v>1724</v>
      </c>
      <c r="H467" t="s">
        <v>26</v>
      </c>
      <c r="I467">
        <v>0.6098656160930912</v>
      </c>
      <c r="J467">
        <v>0.87963782946956814</v>
      </c>
      <c r="K467">
        <v>0.57273633034221627</v>
      </c>
      <c r="L467">
        <v>0.6810557712619566</v>
      </c>
      <c r="M467" t="s">
        <v>76</v>
      </c>
      <c r="N467" t="s">
        <v>76</v>
      </c>
      <c r="O467" t="s">
        <v>77</v>
      </c>
      <c r="P467" t="s">
        <v>76</v>
      </c>
      <c r="S467" t="s">
        <v>1723</v>
      </c>
    </row>
    <row r="468" spans="1:19" x14ac:dyDescent="0.3">
      <c r="A468" t="s">
        <v>1725</v>
      </c>
      <c r="B468" t="s">
        <v>1726</v>
      </c>
      <c r="C468" t="s">
        <v>21</v>
      </c>
      <c r="D468" t="s">
        <v>63</v>
      </c>
      <c r="E468" t="s">
        <v>74</v>
      </c>
      <c r="F468" t="s">
        <v>24</v>
      </c>
      <c r="G468" t="s">
        <v>21</v>
      </c>
      <c r="H468" t="s">
        <v>26</v>
      </c>
      <c r="I468">
        <v>0.41344742028439302</v>
      </c>
      <c r="J468">
        <v>0.46631464753807927</v>
      </c>
      <c r="K468">
        <v>0.88770843394029098</v>
      </c>
      <c r="L468">
        <v>0.67957502808591075</v>
      </c>
      <c r="M468" t="s">
        <v>63</v>
      </c>
      <c r="N468" t="s">
        <v>28</v>
      </c>
      <c r="O468" t="s">
        <v>86</v>
      </c>
      <c r="P468" t="s">
        <v>30</v>
      </c>
      <c r="Q468" t="s">
        <v>1727</v>
      </c>
      <c r="R468" t="s">
        <v>734</v>
      </c>
      <c r="S468" t="s">
        <v>1726</v>
      </c>
    </row>
    <row r="469" spans="1:19" x14ac:dyDescent="0.3">
      <c r="A469" t="s">
        <v>1728</v>
      </c>
      <c r="B469" t="s">
        <v>1729</v>
      </c>
      <c r="C469" t="s">
        <v>43</v>
      </c>
      <c r="D469" t="s">
        <v>63</v>
      </c>
      <c r="E469" t="s">
        <v>64</v>
      </c>
      <c r="F469" t="s">
        <v>45</v>
      </c>
      <c r="G469" t="s">
        <v>43</v>
      </c>
      <c r="H469" t="s">
        <v>26</v>
      </c>
      <c r="I469">
        <v>0.55085427806436926</v>
      </c>
      <c r="J469">
        <v>0.45201617664423172</v>
      </c>
      <c r="K469">
        <v>0.8571646881947137</v>
      </c>
      <c r="L469">
        <v>0.67805984902204808</v>
      </c>
      <c r="M469" t="s">
        <v>76</v>
      </c>
      <c r="N469" t="s">
        <v>76</v>
      </c>
      <c r="O469" t="s">
        <v>77</v>
      </c>
      <c r="P469" t="s">
        <v>76</v>
      </c>
      <c r="Q469" t="s">
        <v>1730</v>
      </c>
      <c r="R469" t="s">
        <v>1731</v>
      </c>
      <c r="S469" t="s">
        <v>1729</v>
      </c>
    </row>
    <row r="470" spans="1:19" x14ac:dyDescent="0.3">
      <c r="A470" t="s">
        <v>1732</v>
      </c>
      <c r="B470" t="s">
        <v>1733</v>
      </c>
      <c r="C470" t="s">
        <v>45</v>
      </c>
      <c r="D470" t="s">
        <v>63</v>
      </c>
      <c r="E470" t="s">
        <v>1734</v>
      </c>
      <c r="F470" t="s">
        <v>45</v>
      </c>
      <c r="G470" t="s">
        <v>1735</v>
      </c>
      <c r="H470" t="s">
        <v>26</v>
      </c>
      <c r="I470">
        <v>1.017669540432949</v>
      </c>
      <c r="J470">
        <v>1.531576353629577</v>
      </c>
      <c r="K470">
        <v>3.6494680061989693E-2</v>
      </c>
      <c r="L470">
        <v>0.67649301612646406</v>
      </c>
      <c r="M470" t="s">
        <v>76</v>
      </c>
      <c r="N470" t="s">
        <v>76</v>
      </c>
      <c r="O470" t="s">
        <v>77</v>
      </c>
      <c r="P470" t="s">
        <v>76</v>
      </c>
      <c r="Q470" t="s">
        <v>1525</v>
      </c>
      <c r="R470" t="s">
        <v>1526</v>
      </c>
      <c r="S470" t="s">
        <v>1733</v>
      </c>
    </row>
    <row r="471" spans="1:19" x14ac:dyDescent="0.3">
      <c r="A471" t="s">
        <v>1736</v>
      </c>
      <c r="B471" t="s">
        <v>1737</v>
      </c>
      <c r="C471" t="s">
        <v>43</v>
      </c>
      <c r="F471" t="s">
        <v>45</v>
      </c>
      <c r="G471" t="s">
        <v>43</v>
      </c>
      <c r="H471" t="s">
        <v>26</v>
      </c>
      <c r="I471">
        <v>0.37872765175605971</v>
      </c>
      <c r="J471">
        <v>0.4575510686031416</v>
      </c>
      <c r="K471">
        <v>0.88770843394029098</v>
      </c>
      <c r="L471">
        <v>0.6717580815518972</v>
      </c>
      <c r="M471" t="s">
        <v>76</v>
      </c>
      <c r="N471" t="s">
        <v>76</v>
      </c>
      <c r="O471" t="s">
        <v>77</v>
      </c>
      <c r="P471" t="s">
        <v>76</v>
      </c>
      <c r="S471" t="s">
        <v>1737</v>
      </c>
    </row>
    <row r="472" spans="1:19" x14ac:dyDescent="0.3">
      <c r="A472" t="s">
        <v>1738</v>
      </c>
      <c r="B472" t="s">
        <v>1739</v>
      </c>
      <c r="C472" t="s">
        <v>24</v>
      </c>
      <c r="D472" t="s">
        <v>63</v>
      </c>
      <c r="E472" t="s">
        <v>345</v>
      </c>
      <c r="F472" t="s">
        <v>55</v>
      </c>
      <c r="G472" t="s">
        <v>1738</v>
      </c>
      <c r="H472" t="s">
        <v>26</v>
      </c>
      <c r="I472">
        <v>0.59612493031509362</v>
      </c>
      <c r="J472">
        <v>0.93601172905104835</v>
      </c>
      <c r="K472">
        <v>0.51352288998938467</v>
      </c>
      <c r="L472">
        <v>0.66705758286514305</v>
      </c>
      <c r="M472" t="s">
        <v>239</v>
      </c>
      <c r="N472" t="s">
        <v>239</v>
      </c>
      <c r="O472" t="s">
        <v>240</v>
      </c>
      <c r="P472" t="s">
        <v>239</v>
      </c>
      <c r="S472" t="s">
        <v>1739</v>
      </c>
    </row>
    <row r="473" spans="1:19" x14ac:dyDescent="0.3">
      <c r="A473" t="s">
        <v>1740</v>
      </c>
      <c r="B473" t="s">
        <v>1741</v>
      </c>
      <c r="C473" t="s">
        <v>43</v>
      </c>
      <c r="D473" t="s">
        <v>63</v>
      </c>
      <c r="E473" t="s">
        <v>74</v>
      </c>
      <c r="F473" t="s">
        <v>45</v>
      </c>
      <c r="G473" t="s">
        <v>43</v>
      </c>
      <c r="H473" t="s">
        <v>26</v>
      </c>
      <c r="I473">
        <v>0.18353630289182549</v>
      </c>
      <c r="J473">
        <v>0.22539310032668189</v>
      </c>
      <c r="K473">
        <v>1.0652501207283429</v>
      </c>
      <c r="L473">
        <v>0.65934394399457219</v>
      </c>
      <c r="M473" t="s">
        <v>76</v>
      </c>
      <c r="N473" t="s">
        <v>76</v>
      </c>
      <c r="O473" t="s">
        <v>77</v>
      </c>
      <c r="P473" t="s">
        <v>76</v>
      </c>
      <c r="S473" t="s">
        <v>1741</v>
      </c>
    </row>
    <row r="474" spans="1:19" x14ac:dyDescent="0.3">
      <c r="A474" t="s">
        <v>1742</v>
      </c>
      <c r="B474" t="s">
        <v>1743</v>
      </c>
      <c r="C474" t="s">
        <v>24</v>
      </c>
      <c r="D474" t="s">
        <v>53</v>
      </c>
      <c r="E474" t="s">
        <v>389</v>
      </c>
      <c r="F474" t="s">
        <v>55</v>
      </c>
      <c r="G474" t="s">
        <v>1742</v>
      </c>
      <c r="H474" t="s">
        <v>213</v>
      </c>
      <c r="I474">
        <v>0</v>
      </c>
      <c r="J474">
        <v>0</v>
      </c>
      <c r="K474">
        <v>1.229936474269343</v>
      </c>
      <c r="L474">
        <v>0.64410606363641865</v>
      </c>
      <c r="M474" t="s">
        <v>76</v>
      </c>
      <c r="N474" t="s">
        <v>76</v>
      </c>
      <c r="O474" t="s">
        <v>77</v>
      </c>
      <c r="P474" t="s">
        <v>76</v>
      </c>
      <c r="S474" t="s">
        <v>1743</v>
      </c>
    </row>
    <row r="475" spans="1:19" x14ac:dyDescent="0.3">
      <c r="A475" t="s">
        <v>1744</v>
      </c>
      <c r="B475" t="s">
        <v>1745</v>
      </c>
      <c r="C475" t="s">
        <v>596</v>
      </c>
      <c r="D475" t="s">
        <v>63</v>
      </c>
      <c r="E475" t="s">
        <v>74</v>
      </c>
      <c r="F475" t="s">
        <v>73</v>
      </c>
      <c r="G475" t="s">
        <v>596</v>
      </c>
      <c r="H475" t="s">
        <v>75</v>
      </c>
      <c r="I475">
        <v>0.46374814500742001</v>
      </c>
      <c r="J475">
        <v>0.60607066950053134</v>
      </c>
      <c r="K475">
        <v>0.65443838435486845</v>
      </c>
      <c r="L475">
        <v>0.61142640609994547</v>
      </c>
      <c r="M475" t="s">
        <v>76</v>
      </c>
      <c r="N475" t="s">
        <v>76</v>
      </c>
      <c r="O475" t="s">
        <v>77</v>
      </c>
      <c r="P475" t="s">
        <v>76</v>
      </c>
      <c r="S475" t="s">
        <v>1745</v>
      </c>
    </row>
    <row r="476" spans="1:19" x14ac:dyDescent="0.3">
      <c r="A476" t="s">
        <v>1746</v>
      </c>
      <c r="B476" t="s">
        <v>1747</v>
      </c>
      <c r="C476" t="s">
        <v>45</v>
      </c>
      <c r="D476" t="s">
        <v>63</v>
      </c>
      <c r="E476" t="s">
        <v>74</v>
      </c>
      <c r="F476" t="s">
        <v>45</v>
      </c>
      <c r="G476" t="s">
        <v>1748</v>
      </c>
      <c r="H476" t="s">
        <v>26</v>
      </c>
      <c r="I476">
        <v>0.3603249475890985</v>
      </c>
      <c r="J476">
        <v>0.66070210309494604</v>
      </c>
      <c r="K476">
        <v>0.63106206226110806</v>
      </c>
      <c r="L476">
        <v>0.60302404947307542</v>
      </c>
      <c r="M476" t="s">
        <v>76</v>
      </c>
      <c r="N476" t="s">
        <v>76</v>
      </c>
      <c r="O476" t="s">
        <v>77</v>
      </c>
      <c r="P476" t="s">
        <v>76</v>
      </c>
      <c r="S476" t="s">
        <v>1747</v>
      </c>
    </row>
    <row r="477" spans="1:19" x14ac:dyDescent="0.3">
      <c r="A477" t="s">
        <v>1749</v>
      </c>
      <c r="B477" t="s">
        <v>1750</v>
      </c>
      <c r="C477" t="s">
        <v>307</v>
      </c>
      <c r="D477" t="s">
        <v>63</v>
      </c>
      <c r="E477" t="s">
        <v>1751</v>
      </c>
      <c r="F477" t="s">
        <v>251</v>
      </c>
      <c r="G477" t="s">
        <v>307</v>
      </c>
      <c r="H477" t="s">
        <v>75</v>
      </c>
      <c r="I477">
        <v>0.84897808556913934</v>
      </c>
      <c r="J477">
        <v>1.0254412333871239</v>
      </c>
      <c r="K477">
        <v>0.25496958908173872</v>
      </c>
      <c r="L477">
        <v>0.59718716648842662</v>
      </c>
      <c r="M477" t="s">
        <v>76</v>
      </c>
      <c r="N477" t="s">
        <v>76</v>
      </c>
      <c r="O477" t="s">
        <v>77</v>
      </c>
      <c r="P477" t="s">
        <v>76</v>
      </c>
      <c r="S477" t="s">
        <v>1750</v>
      </c>
    </row>
    <row r="478" spans="1:19" x14ac:dyDescent="0.3">
      <c r="A478" t="s">
        <v>1752</v>
      </c>
      <c r="B478" t="s">
        <v>1753</v>
      </c>
      <c r="C478" t="s">
        <v>73</v>
      </c>
      <c r="D478" t="s">
        <v>63</v>
      </c>
      <c r="E478" t="s">
        <v>74</v>
      </c>
      <c r="F478" t="s">
        <v>73</v>
      </c>
      <c r="G478" t="s">
        <v>1754</v>
      </c>
      <c r="H478" t="s">
        <v>317</v>
      </c>
      <c r="I478">
        <v>0</v>
      </c>
      <c r="J478">
        <v>1.5550996444549401</v>
      </c>
      <c r="K478">
        <v>0.14022505447241981</v>
      </c>
      <c r="L478">
        <v>0.59589582069536251</v>
      </c>
      <c r="M478" t="s">
        <v>63</v>
      </c>
      <c r="N478" t="s">
        <v>28</v>
      </c>
      <c r="O478" t="s">
        <v>86</v>
      </c>
      <c r="P478" t="s">
        <v>30</v>
      </c>
      <c r="Q478" t="s">
        <v>1755</v>
      </c>
      <c r="R478" t="s">
        <v>1756</v>
      </c>
      <c r="S478" t="s">
        <v>1753</v>
      </c>
    </row>
    <row r="479" spans="1:19" x14ac:dyDescent="0.3">
      <c r="A479" t="s">
        <v>1757</v>
      </c>
      <c r="B479" t="s">
        <v>1758</v>
      </c>
      <c r="C479" t="s">
        <v>43</v>
      </c>
      <c r="D479" t="s">
        <v>35</v>
      </c>
      <c r="E479" t="s">
        <v>36</v>
      </c>
      <c r="F479" t="s">
        <v>45</v>
      </c>
      <c r="G479" t="s">
        <v>43</v>
      </c>
      <c r="H479" t="s">
        <v>26</v>
      </c>
      <c r="I479">
        <v>0.34302640567215509</v>
      </c>
      <c r="J479">
        <v>0.4813306044266018</v>
      </c>
      <c r="K479">
        <v>0.73544999847445647</v>
      </c>
      <c r="L479">
        <v>0.5950004876121715</v>
      </c>
      <c r="M479" t="s">
        <v>76</v>
      </c>
      <c r="N479" t="s">
        <v>76</v>
      </c>
      <c r="O479" t="s">
        <v>77</v>
      </c>
      <c r="P479" t="s">
        <v>76</v>
      </c>
      <c r="S479" t="s">
        <v>1758</v>
      </c>
    </row>
    <row r="480" spans="1:19" x14ac:dyDescent="0.3">
      <c r="A480" t="s">
        <v>1759</v>
      </c>
      <c r="B480" t="s">
        <v>1760</v>
      </c>
      <c r="C480" t="s">
        <v>21</v>
      </c>
      <c r="D480" t="s">
        <v>35</v>
      </c>
      <c r="E480" t="s">
        <v>36</v>
      </c>
      <c r="F480" t="s">
        <v>24</v>
      </c>
      <c r="G480" t="s">
        <v>21</v>
      </c>
      <c r="H480" t="s">
        <v>26</v>
      </c>
      <c r="I480">
        <v>0.578212964925918</v>
      </c>
      <c r="J480">
        <v>0.48245808241822991</v>
      </c>
      <c r="K480">
        <v>0.65660833830450038</v>
      </c>
      <c r="L480">
        <v>0.58709745135861924</v>
      </c>
      <c r="M480" t="s">
        <v>37</v>
      </c>
      <c r="N480" t="s">
        <v>28</v>
      </c>
      <c r="O480" t="s">
        <v>38</v>
      </c>
      <c r="P480" t="s">
        <v>30</v>
      </c>
      <c r="Q480" t="s">
        <v>1761</v>
      </c>
      <c r="R480" t="s">
        <v>1762</v>
      </c>
      <c r="S480" t="s">
        <v>1760</v>
      </c>
    </row>
    <row r="481" spans="1:19" x14ac:dyDescent="0.3">
      <c r="A481" t="s">
        <v>1763</v>
      </c>
      <c r="B481" t="s">
        <v>1764</v>
      </c>
      <c r="C481" t="s">
        <v>196</v>
      </c>
      <c r="D481" t="s">
        <v>35</v>
      </c>
      <c r="E481" t="s">
        <v>389</v>
      </c>
      <c r="F481" t="s">
        <v>228</v>
      </c>
      <c r="G481" t="s">
        <v>196</v>
      </c>
      <c r="H481" t="s">
        <v>75</v>
      </c>
      <c r="I481">
        <v>0.35271849653342119</v>
      </c>
      <c r="J481">
        <v>1.578366690282206</v>
      </c>
      <c r="K481">
        <v>0</v>
      </c>
      <c r="L481">
        <v>0.57977982519792393</v>
      </c>
      <c r="M481" t="s">
        <v>76</v>
      </c>
      <c r="N481" t="s">
        <v>76</v>
      </c>
      <c r="O481" t="s">
        <v>77</v>
      </c>
      <c r="P481" t="s">
        <v>76</v>
      </c>
      <c r="S481" t="s">
        <v>1764</v>
      </c>
    </row>
    <row r="482" spans="1:19" x14ac:dyDescent="0.3">
      <c r="A482" t="s">
        <v>1765</v>
      </c>
      <c r="B482" t="s">
        <v>1766</v>
      </c>
      <c r="C482" t="s">
        <v>21</v>
      </c>
      <c r="D482" t="s">
        <v>35</v>
      </c>
      <c r="E482" t="s">
        <v>36</v>
      </c>
      <c r="F482" t="s">
        <v>24</v>
      </c>
      <c r="G482" t="s">
        <v>21</v>
      </c>
      <c r="H482" t="s">
        <v>26</v>
      </c>
      <c r="I482">
        <v>0</v>
      </c>
      <c r="J482">
        <v>0.92273823814959188</v>
      </c>
      <c r="K482">
        <v>0.47304996101973651</v>
      </c>
      <c r="L482">
        <v>0.55774085699629816</v>
      </c>
      <c r="M482" t="s">
        <v>76</v>
      </c>
      <c r="N482" t="s">
        <v>76</v>
      </c>
      <c r="O482" t="s">
        <v>77</v>
      </c>
      <c r="P482" t="s">
        <v>76</v>
      </c>
      <c r="S482" t="s">
        <v>1766</v>
      </c>
    </row>
    <row r="483" spans="1:19" x14ac:dyDescent="0.3">
      <c r="A483" t="s">
        <v>1767</v>
      </c>
      <c r="B483" t="s">
        <v>1768</v>
      </c>
      <c r="C483" t="s">
        <v>45</v>
      </c>
      <c r="D483" t="s">
        <v>63</v>
      </c>
      <c r="E483" t="s">
        <v>74</v>
      </c>
      <c r="F483" t="s">
        <v>45</v>
      </c>
      <c r="G483" t="s">
        <v>1769</v>
      </c>
      <c r="H483" t="s">
        <v>26</v>
      </c>
      <c r="I483">
        <v>0.79830930676277301</v>
      </c>
      <c r="J483">
        <v>0.49598781831778682</v>
      </c>
      <c r="K483">
        <v>0.53262506036417345</v>
      </c>
      <c r="L483">
        <v>0.55760311344503788</v>
      </c>
      <c r="M483" t="s">
        <v>76</v>
      </c>
      <c r="N483" t="s">
        <v>76</v>
      </c>
      <c r="O483" t="s">
        <v>77</v>
      </c>
      <c r="P483" t="s">
        <v>76</v>
      </c>
      <c r="S483" t="s">
        <v>1768</v>
      </c>
    </row>
    <row r="484" spans="1:19" x14ac:dyDescent="0.3">
      <c r="A484" t="s">
        <v>1770</v>
      </c>
      <c r="B484" t="s">
        <v>1771</v>
      </c>
      <c r="C484" t="s">
        <v>1053</v>
      </c>
      <c r="D484" t="s">
        <v>63</v>
      </c>
      <c r="E484" t="s">
        <v>74</v>
      </c>
      <c r="F484" t="s">
        <v>314</v>
      </c>
      <c r="G484" t="s">
        <v>1053</v>
      </c>
      <c r="H484" t="s">
        <v>75</v>
      </c>
      <c r="I484">
        <v>0.46068102764625979</v>
      </c>
      <c r="J484">
        <v>0.5853148246546227</v>
      </c>
      <c r="K484">
        <v>0.56106460834040861</v>
      </c>
      <c r="L484">
        <v>0.55512372952235489</v>
      </c>
      <c r="M484" t="s">
        <v>76</v>
      </c>
      <c r="N484" t="s">
        <v>76</v>
      </c>
      <c r="O484" t="s">
        <v>77</v>
      </c>
      <c r="P484" t="s">
        <v>76</v>
      </c>
      <c r="S484" t="s">
        <v>1771</v>
      </c>
    </row>
    <row r="485" spans="1:19" x14ac:dyDescent="0.3">
      <c r="A485" t="s">
        <v>1772</v>
      </c>
      <c r="B485" t="s">
        <v>1773</v>
      </c>
      <c r="C485" t="s">
        <v>43</v>
      </c>
      <c r="D485" t="s">
        <v>35</v>
      </c>
      <c r="E485" t="s">
        <v>278</v>
      </c>
      <c r="F485" t="s">
        <v>45</v>
      </c>
      <c r="G485" t="s">
        <v>43</v>
      </c>
      <c r="H485" t="s">
        <v>26</v>
      </c>
      <c r="I485">
        <v>0.105999576001696</v>
      </c>
      <c r="J485">
        <v>0.19126126658007581</v>
      </c>
      <c r="K485">
        <v>0.88994414407021005</v>
      </c>
      <c r="L485">
        <v>0.5451889758877142</v>
      </c>
      <c r="M485" t="s">
        <v>76</v>
      </c>
      <c r="N485" t="s">
        <v>76</v>
      </c>
      <c r="O485" t="s">
        <v>77</v>
      </c>
      <c r="P485" t="s">
        <v>76</v>
      </c>
      <c r="S485" t="s">
        <v>1773</v>
      </c>
    </row>
    <row r="486" spans="1:19" x14ac:dyDescent="0.3">
      <c r="A486" t="s">
        <v>1774</v>
      </c>
      <c r="B486" t="s">
        <v>1775</v>
      </c>
      <c r="C486" t="s">
        <v>21</v>
      </c>
      <c r="D486" t="s">
        <v>485</v>
      </c>
      <c r="F486" t="s">
        <v>24</v>
      </c>
      <c r="G486" t="s">
        <v>21</v>
      </c>
      <c r="H486" t="s">
        <v>26</v>
      </c>
      <c r="I486">
        <v>0.1050180984461247</v>
      </c>
      <c r="J486">
        <v>0.1860338686188851</v>
      </c>
      <c r="K486">
        <v>0.88770843394029098</v>
      </c>
      <c r="L486">
        <v>0.54212418187217848</v>
      </c>
      <c r="M486" t="s">
        <v>76</v>
      </c>
      <c r="N486" t="s">
        <v>76</v>
      </c>
      <c r="O486" t="s">
        <v>77</v>
      </c>
      <c r="P486" t="s">
        <v>76</v>
      </c>
      <c r="S486" t="s">
        <v>1775</v>
      </c>
    </row>
    <row r="487" spans="1:19" x14ac:dyDescent="0.3">
      <c r="A487" t="s">
        <v>1776</v>
      </c>
      <c r="B487" t="s">
        <v>1777</v>
      </c>
      <c r="E487" t="s">
        <v>74</v>
      </c>
      <c r="F487" t="s">
        <v>109</v>
      </c>
      <c r="G487" t="s">
        <v>25</v>
      </c>
      <c r="H487" t="s">
        <v>26</v>
      </c>
      <c r="I487">
        <v>0.3768873813393635</v>
      </c>
      <c r="J487">
        <v>0.31425886566694222</v>
      </c>
      <c r="K487">
        <v>0.71805748878725606</v>
      </c>
      <c r="L487">
        <v>0.5345138506650533</v>
      </c>
      <c r="M487" t="s">
        <v>76</v>
      </c>
      <c r="N487" t="s">
        <v>76</v>
      </c>
      <c r="O487" t="s">
        <v>77</v>
      </c>
      <c r="P487" t="s">
        <v>76</v>
      </c>
      <c r="S487" t="s">
        <v>1777</v>
      </c>
    </row>
    <row r="488" spans="1:19" x14ac:dyDescent="0.3">
      <c r="A488" t="s">
        <v>1778</v>
      </c>
      <c r="B488" t="s">
        <v>1779</v>
      </c>
      <c r="C488" t="s">
        <v>1053</v>
      </c>
      <c r="D488" t="s">
        <v>35</v>
      </c>
      <c r="E488" t="s">
        <v>389</v>
      </c>
      <c r="F488" t="s">
        <v>314</v>
      </c>
      <c r="G488" t="s">
        <v>1053</v>
      </c>
      <c r="H488" t="s">
        <v>75</v>
      </c>
      <c r="I488">
        <v>0.4251024662568017</v>
      </c>
      <c r="J488">
        <v>0.5321696120491729</v>
      </c>
      <c r="K488">
        <v>0.55646167571997762</v>
      </c>
      <c r="L488">
        <v>0.52986500581002305</v>
      </c>
      <c r="M488" t="s">
        <v>76</v>
      </c>
      <c r="N488" t="s">
        <v>76</v>
      </c>
      <c r="O488" t="s">
        <v>77</v>
      </c>
      <c r="P488" t="s">
        <v>76</v>
      </c>
      <c r="S488" t="s">
        <v>1779</v>
      </c>
    </row>
    <row r="489" spans="1:19" x14ac:dyDescent="0.3">
      <c r="A489" t="s">
        <v>1780</v>
      </c>
      <c r="B489" t="s">
        <v>1781</v>
      </c>
      <c r="C489" t="s">
        <v>307</v>
      </c>
      <c r="D489" t="s">
        <v>35</v>
      </c>
      <c r="E489" t="s">
        <v>150</v>
      </c>
      <c r="F489" t="s">
        <v>251</v>
      </c>
      <c r="G489" t="s">
        <v>307</v>
      </c>
      <c r="H489" t="s">
        <v>75</v>
      </c>
      <c r="I489">
        <v>0.80603844251289658</v>
      </c>
      <c r="J489">
        <v>1.0075553325199089</v>
      </c>
      <c r="K489">
        <v>0.12740259931550449</v>
      </c>
      <c r="L489">
        <v>0.51834620133589215</v>
      </c>
      <c r="M489" t="s">
        <v>76</v>
      </c>
      <c r="N489" t="s">
        <v>76</v>
      </c>
      <c r="O489" t="s">
        <v>77</v>
      </c>
      <c r="P489" t="s">
        <v>76</v>
      </c>
      <c r="S489" t="s">
        <v>1781</v>
      </c>
    </row>
    <row r="490" spans="1:19" x14ac:dyDescent="0.3">
      <c r="A490" t="s">
        <v>1782</v>
      </c>
      <c r="B490" t="s">
        <v>1783</v>
      </c>
      <c r="E490" t="s">
        <v>54</v>
      </c>
      <c r="F490" t="s">
        <v>237</v>
      </c>
      <c r="G490" t="s">
        <v>244</v>
      </c>
      <c r="H490" t="s">
        <v>75</v>
      </c>
      <c r="I490">
        <v>0.60974293139864477</v>
      </c>
      <c r="J490">
        <v>0.87210422652549813</v>
      </c>
      <c r="K490">
        <v>0.25809300764560261</v>
      </c>
      <c r="L490">
        <v>0.51373179236867661</v>
      </c>
      <c r="M490" t="s">
        <v>76</v>
      </c>
      <c r="N490" t="s">
        <v>76</v>
      </c>
      <c r="O490" t="s">
        <v>77</v>
      </c>
      <c r="P490" t="s">
        <v>76</v>
      </c>
      <c r="S490" t="s">
        <v>1783</v>
      </c>
    </row>
    <row r="491" spans="1:19" x14ac:dyDescent="0.3">
      <c r="A491" t="s">
        <v>1784</v>
      </c>
      <c r="B491" t="s">
        <v>1785</v>
      </c>
      <c r="C491" t="s">
        <v>24</v>
      </c>
      <c r="D491" t="s">
        <v>63</v>
      </c>
      <c r="E491" t="s">
        <v>74</v>
      </c>
      <c r="F491" t="s">
        <v>144</v>
      </c>
      <c r="G491" t="s">
        <v>1073</v>
      </c>
      <c r="H491" t="s">
        <v>26</v>
      </c>
      <c r="I491">
        <v>0.20647834075330371</v>
      </c>
      <c r="J491">
        <v>0.45785856260085828</v>
      </c>
      <c r="K491">
        <v>0.62951679202424893</v>
      </c>
      <c r="L491">
        <v>0.51247488246342787</v>
      </c>
      <c r="M491" t="s">
        <v>76</v>
      </c>
      <c r="N491" t="s">
        <v>76</v>
      </c>
      <c r="O491" t="s">
        <v>77</v>
      </c>
      <c r="P491" t="s">
        <v>76</v>
      </c>
      <c r="S491" t="s">
        <v>1785</v>
      </c>
    </row>
    <row r="492" spans="1:19" x14ac:dyDescent="0.3">
      <c r="A492" t="s">
        <v>1786</v>
      </c>
      <c r="B492" t="s">
        <v>1787</v>
      </c>
      <c r="C492" t="s">
        <v>45</v>
      </c>
      <c r="D492" t="s">
        <v>63</v>
      </c>
      <c r="E492" t="s">
        <v>74</v>
      </c>
      <c r="F492" t="s">
        <v>45</v>
      </c>
      <c r="G492" t="s">
        <v>1786</v>
      </c>
      <c r="H492" t="s">
        <v>26</v>
      </c>
      <c r="I492">
        <v>0.9104431174867893</v>
      </c>
      <c r="J492">
        <v>0.77221992626703861</v>
      </c>
      <c r="K492">
        <v>0.2335988304868796</v>
      </c>
      <c r="L492">
        <v>0.50954783199914888</v>
      </c>
      <c r="M492" t="s">
        <v>76</v>
      </c>
      <c r="N492" t="s">
        <v>76</v>
      </c>
      <c r="O492" t="s">
        <v>77</v>
      </c>
      <c r="P492" t="s">
        <v>76</v>
      </c>
      <c r="S492" t="s">
        <v>1787</v>
      </c>
    </row>
    <row r="493" spans="1:19" x14ac:dyDescent="0.3">
      <c r="A493" t="s">
        <v>1788</v>
      </c>
      <c r="B493" t="s">
        <v>1789</v>
      </c>
      <c r="C493" t="s">
        <v>243</v>
      </c>
      <c r="D493" t="s">
        <v>63</v>
      </c>
      <c r="E493" t="s">
        <v>74</v>
      </c>
      <c r="F493" t="s">
        <v>243</v>
      </c>
      <c r="G493" t="s">
        <v>244</v>
      </c>
      <c r="H493" t="s">
        <v>75</v>
      </c>
      <c r="I493">
        <v>0.40117895083975219</v>
      </c>
      <c r="J493">
        <v>0.54165067697878544</v>
      </c>
      <c r="K493">
        <v>0.51207625402296331</v>
      </c>
      <c r="L493">
        <v>0.50644860209579579</v>
      </c>
      <c r="M493" t="s">
        <v>76</v>
      </c>
      <c r="N493" t="s">
        <v>76</v>
      </c>
      <c r="O493" t="s">
        <v>77</v>
      </c>
      <c r="P493" t="s">
        <v>76</v>
      </c>
      <c r="S493" t="s">
        <v>1789</v>
      </c>
    </row>
    <row r="494" spans="1:19" x14ac:dyDescent="0.3">
      <c r="A494" t="s">
        <v>1790</v>
      </c>
      <c r="B494" t="s">
        <v>1791</v>
      </c>
      <c r="C494" t="s">
        <v>1053</v>
      </c>
      <c r="D494" t="s">
        <v>189</v>
      </c>
      <c r="F494" t="s">
        <v>314</v>
      </c>
      <c r="G494" t="s">
        <v>1053</v>
      </c>
      <c r="H494" t="s">
        <v>75</v>
      </c>
      <c r="I494">
        <v>0.40117895083975219</v>
      </c>
      <c r="J494">
        <v>0.52140732212907204</v>
      </c>
      <c r="K494">
        <v>0.52243285241893311</v>
      </c>
      <c r="L494">
        <v>0.50507116658319406</v>
      </c>
      <c r="M494" t="s">
        <v>76</v>
      </c>
      <c r="N494" t="s">
        <v>76</v>
      </c>
      <c r="O494" t="s">
        <v>77</v>
      </c>
      <c r="P494" t="s">
        <v>76</v>
      </c>
      <c r="S494" t="s">
        <v>1791</v>
      </c>
    </row>
    <row r="495" spans="1:19" x14ac:dyDescent="0.3">
      <c r="A495" t="s">
        <v>1792</v>
      </c>
      <c r="B495" t="s">
        <v>1793</v>
      </c>
      <c r="E495" t="s">
        <v>54</v>
      </c>
      <c r="F495" t="s">
        <v>1605</v>
      </c>
      <c r="G495" t="s">
        <v>43</v>
      </c>
      <c r="H495" t="s">
        <v>26</v>
      </c>
      <c r="I495">
        <v>0.30855200653271458</v>
      </c>
      <c r="J495">
        <v>0.24768641516117501</v>
      </c>
      <c r="K495">
        <v>0.7062213763347186</v>
      </c>
      <c r="L495">
        <v>0.49635888696598829</v>
      </c>
      <c r="M495" t="s">
        <v>76</v>
      </c>
      <c r="N495" t="s">
        <v>76</v>
      </c>
      <c r="O495" t="s">
        <v>77</v>
      </c>
      <c r="P495" t="s">
        <v>76</v>
      </c>
      <c r="S495" t="s">
        <v>1793</v>
      </c>
    </row>
    <row r="496" spans="1:19" x14ac:dyDescent="0.3">
      <c r="A496" t="s">
        <v>1794</v>
      </c>
      <c r="B496" t="s">
        <v>1795</v>
      </c>
      <c r="C496" t="s">
        <v>596</v>
      </c>
      <c r="D496" t="s">
        <v>35</v>
      </c>
      <c r="E496" t="s">
        <v>80</v>
      </c>
      <c r="F496" t="s">
        <v>73</v>
      </c>
      <c r="G496" t="s">
        <v>596</v>
      </c>
      <c r="H496" t="s">
        <v>75</v>
      </c>
      <c r="I496">
        <v>0.48276427264661309</v>
      </c>
      <c r="J496">
        <v>0.62600653035252751</v>
      </c>
      <c r="K496">
        <v>0.41377076448661249</v>
      </c>
      <c r="L496">
        <v>0.49475761818258962</v>
      </c>
      <c r="M496" t="s">
        <v>76</v>
      </c>
      <c r="N496" t="s">
        <v>76</v>
      </c>
      <c r="O496" t="s">
        <v>77</v>
      </c>
      <c r="P496" t="s">
        <v>76</v>
      </c>
      <c r="S496" t="s">
        <v>1795</v>
      </c>
    </row>
    <row r="497" spans="1:19" x14ac:dyDescent="0.3">
      <c r="A497" t="s">
        <v>1796</v>
      </c>
      <c r="B497" t="s">
        <v>1797</v>
      </c>
      <c r="C497" t="s">
        <v>307</v>
      </c>
      <c r="D497" t="s">
        <v>35</v>
      </c>
      <c r="E497" t="s">
        <v>178</v>
      </c>
      <c r="F497" t="s">
        <v>251</v>
      </c>
      <c r="G497" t="s">
        <v>307</v>
      </c>
      <c r="H497" t="s">
        <v>75</v>
      </c>
      <c r="I497">
        <v>0.48092400222991699</v>
      </c>
      <c r="J497">
        <v>0.59740958856483128</v>
      </c>
      <c r="K497">
        <v>0.42018199206507012</v>
      </c>
      <c r="L497">
        <v>0.48824923538554699</v>
      </c>
      <c r="M497" t="s">
        <v>76</v>
      </c>
      <c r="N497" t="s">
        <v>76</v>
      </c>
      <c r="O497" t="s">
        <v>77</v>
      </c>
      <c r="P497" t="s">
        <v>76</v>
      </c>
      <c r="S497" t="s">
        <v>1797</v>
      </c>
    </row>
    <row r="498" spans="1:19" x14ac:dyDescent="0.3">
      <c r="A498" t="s">
        <v>1420</v>
      </c>
      <c r="B498" t="s">
        <v>1798</v>
      </c>
      <c r="C498" t="s">
        <v>114</v>
      </c>
      <c r="D498" t="s">
        <v>63</v>
      </c>
      <c r="E498" t="s">
        <v>74</v>
      </c>
      <c r="F498" t="s">
        <v>114</v>
      </c>
      <c r="G498" t="s">
        <v>1420</v>
      </c>
      <c r="H498" t="s">
        <v>317</v>
      </c>
      <c r="I498">
        <v>3.4713634293610971</v>
      </c>
      <c r="J498">
        <v>0</v>
      </c>
      <c r="K498">
        <v>0</v>
      </c>
      <c r="L498">
        <v>0.48718172286328071</v>
      </c>
      <c r="M498" t="s">
        <v>63</v>
      </c>
      <c r="N498" t="s">
        <v>28</v>
      </c>
      <c r="O498" t="s">
        <v>86</v>
      </c>
      <c r="P498" t="s">
        <v>30</v>
      </c>
      <c r="Q498" t="s">
        <v>1421</v>
      </c>
      <c r="R498" t="s">
        <v>1422</v>
      </c>
      <c r="S498" t="s">
        <v>1423</v>
      </c>
    </row>
    <row r="499" spans="1:19" x14ac:dyDescent="0.3">
      <c r="A499" t="s">
        <v>1799</v>
      </c>
      <c r="B499" t="s">
        <v>1800</v>
      </c>
      <c r="C499" t="s">
        <v>114</v>
      </c>
      <c r="D499" t="s">
        <v>63</v>
      </c>
      <c r="F499" t="s">
        <v>114</v>
      </c>
      <c r="G499" t="s">
        <v>1799</v>
      </c>
      <c r="H499" t="s">
        <v>317</v>
      </c>
      <c r="I499">
        <v>3.452347301721904</v>
      </c>
      <c r="J499">
        <v>0</v>
      </c>
      <c r="K499">
        <v>0</v>
      </c>
      <c r="L499">
        <v>0.4845129415576151</v>
      </c>
      <c r="M499" t="s">
        <v>63</v>
      </c>
      <c r="N499" t="s">
        <v>28</v>
      </c>
      <c r="O499" t="s">
        <v>86</v>
      </c>
      <c r="P499" t="s">
        <v>30</v>
      </c>
      <c r="Q499" t="s">
        <v>1421</v>
      </c>
      <c r="R499" t="s">
        <v>1422</v>
      </c>
      <c r="S499" t="s">
        <v>1423</v>
      </c>
    </row>
    <row r="500" spans="1:19" x14ac:dyDescent="0.3">
      <c r="A500" t="s">
        <v>1801</v>
      </c>
      <c r="B500" t="s">
        <v>1802</v>
      </c>
      <c r="C500" t="s">
        <v>251</v>
      </c>
      <c r="D500" t="s">
        <v>63</v>
      </c>
      <c r="E500" t="s">
        <v>74</v>
      </c>
      <c r="F500" t="s">
        <v>251</v>
      </c>
      <c r="G500" t="s">
        <v>1801</v>
      </c>
      <c r="H500" t="s">
        <v>213</v>
      </c>
      <c r="I500">
        <v>1.167958291129799</v>
      </c>
      <c r="J500">
        <v>0.54938927592133413</v>
      </c>
      <c r="K500">
        <v>0.25151447856921022</v>
      </c>
      <c r="L500">
        <v>0.48020693109292989</v>
      </c>
      <c r="S500" t="s">
        <v>1802</v>
      </c>
    </row>
    <row r="501" spans="1:19" x14ac:dyDescent="0.3">
      <c r="A501" t="s">
        <v>1803</v>
      </c>
      <c r="B501" t="s">
        <v>1804</v>
      </c>
      <c r="C501" t="s">
        <v>73</v>
      </c>
      <c r="D501" t="s">
        <v>63</v>
      </c>
      <c r="E501" t="s">
        <v>74</v>
      </c>
      <c r="F501" t="s">
        <v>73</v>
      </c>
      <c r="G501" t="s">
        <v>741</v>
      </c>
      <c r="H501" t="s">
        <v>75</v>
      </c>
      <c r="I501">
        <v>0.80419817209620059</v>
      </c>
      <c r="J501">
        <v>1.039380961283636</v>
      </c>
      <c r="K501">
        <v>3.0905404737180429E-2</v>
      </c>
      <c r="L501">
        <v>0.47824560997527787</v>
      </c>
      <c r="M501" t="s">
        <v>76</v>
      </c>
      <c r="N501" t="s">
        <v>76</v>
      </c>
      <c r="O501" t="s">
        <v>77</v>
      </c>
      <c r="P501" t="s">
        <v>76</v>
      </c>
      <c r="S501" t="s">
        <v>1804</v>
      </c>
    </row>
    <row r="502" spans="1:19" x14ac:dyDescent="0.3">
      <c r="A502" t="s">
        <v>1805</v>
      </c>
      <c r="B502" t="s">
        <v>1806</v>
      </c>
      <c r="C502" t="s">
        <v>251</v>
      </c>
      <c r="D502" t="s">
        <v>63</v>
      </c>
      <c r="E502" t="s">
        <v>74</v>
      </c>
      <c r="F502" t="s">
        <v>251</v>
      </c>
      <c r="G502" t="s">
        <v>1219</v>
      </c>
      <c r="H502" t="s">
        <v>75</v>
      </c>
      <c r="I502">
        <v>1.3495316389104809E-2</v>
      </c>
      <c r="J502">
        <v>1.3970477296283179</v>
      </c>
      <c r="K502">
        <v>0</v>
      </c>
      <c r="L502">
        <v>0.47125512474882458</v>
      </c>
      <c r="S502" t="s">
        <v>1806</v>
      </c>
    </row>
    <row r="503" spans="1:19" x14ac:dyDescent="0.3">
      <c r="A503" t="s">
        <v>1219</v>
      </c>
      <c r="B503" t="s">
        <v>1807</v>
      </c>
      <c r="C503" t="s">
        <v>251</v>
      </c>
      <c r="D503" t="s">
        <v>35</v>
      </c>
      <c r="E503" t="s">
        <v>400</v>
      </c>
      <c r="F503" t="s">
        <v>251</v>
      </c>
      <c r="G503" t="s">
        <v>1219</v>
      </c>
      <c r="H503" t="s">
        <v>75</v>
      </c>
      <c r="I503">
        <v>1.16550459724087E-2</v>
      </c>
      <c r="J503">
        <v>1.3474899469962349</v>
      </c>
      <c r="K503">
        <v>0</v>
      </c>
      <c r="L503">
        <v>0.45434710383164001</v>
      </c>
      <c r="S503" t="s">
        <v>1807</v>
      </c>
    </row>
    <row r="504" spans="1:19" x14ac:dyDescent="0.3">
      <c r="A504" t="s">
        <v>1808</v>
      </c>
      <c r="B504" t="s">
        <v>1809</v>
      </c>
      <c r="C504" t="s">
        <v>228</v>
      </c>
      <c r="D504" t="s">
        <v>35</v>
      </c>
      <c r="E504" t="s">
        <v>150</v>
      </c>
      <c r="F504" t="s">
        <v>228</v>
      </c>
      <c r="G504" t="s">
        <v>196</v>
      </c>
      <c r="H504" t="s">
        <v>75</v>
      </c>
      <c r="I504">
        <v>0.36989435375591828</v>
      </c>
      <c r="J504">
        <v>0.61488549743509013</v>
      </c>
      <c r="K504">
        <v>0.35574093537903428</v>
      </c>
      <c r="L504">
        <v>0.44479114496296618</v>
      </c>
      <c r="M504" t="s">
        <v>76</v>
      </c>
      <c r="N504" t="s">
        <v>76</v>
      </c>
      <c r="O504" t="s">
        <v>77</v>
      </c>
      <c r="P504" t="s">
        <v>76</v>
      </c>
      <c r="S504" t="s">
        <v>1809</v>
      </c>
    </row>
    <row r="505" spans="1:19" x14ac:dyDescent="0.3">
      <c r="A505" t="s">
        <v>1810</v>
      </c>
      <c r="B505" t="s">
        <v>1811</v>
      </c>
      <c r="C505" t="s">
        <v>228</v>
      </c>
      <c r="D505" t="s">
        <v>63</v>
      </c>
      <c r="E505" t="s">
        <v>74</v>
      </c>
      <c r="F505" t="s">
        <v>228</v>
      </c>
      <c r="G505" t="s">
        <v>196</v>
      </c>
      <c r="H505" t="s">
        <v>75</v>
      </c>
      <c r="I505">
        <v>0.36989435375591828</v>
      </c>
      <c r="J505">
        <v>0.61452675443775329</v>
      </c>
      <c r="K505">
        <v>0.35541215447757502</v>
      </c>
      <c r="L505">
        <v>0.44449843991653842</v>
      </c>
      <c r="M505" t="s">
        <v>76</v>
      </c>
      <c r="N505" t="s">
        <v>76</v>
      </c>
      <c r="O505" t="s">
        <v>77</v>
      </c>
      <c r="P505" t="s">
        <v>76</v>
      </c>
      <c r="S505" t="s">
        <v>1811</v>
      </c>
    </row>
    <row r="506" spans="1:19" x14ac:dyDescent="0.3">
      <c r="A506" t="s">
        <v>1812</v>
      </c>
      <c r="B506" t="s">
        <v>1813</v>
      </c>
      <c r="C506" t="s">
        <v>43</v>
      </c>
      <c r="D506" t="s">
        <v>35</v>
      </c>
      <c r="E506" t="s">
        <v>36</v>
      </c>
      <c r="F506" t="s">
        <v>45</v>
      </c>
      <c r="G506" t="s">
        <v>43</v>
      </c>
      <c r="H506" t="s">
        <v>26</v>
      </c>
      <c r="I506">
        <v>0</v>
      </c>
      <c r="J506">
        <v>0.80886296099500143</v>
      </c>
      <c r="K506">
        <v>0.31349258954150577</v>
      </c>
      <c r="L506">
        <v>0.43592390385059349</v>
      </c>
      <c r="M506" t="s">
        <v>76</v>
      </c>
      <c r="N506" t="s">
        <v>76</v>
      </c>
      <c r="O506" t="s">
        <v>77</v>
      </c>
      <c r="P506" t="s">
        <v>76</v>
      </c>
      <c r="S506" t="s">
        <v>1813</v>
      </c>
    </row>
    <row r="507" spans="1:19" x14ac:dyDescent="0.3">
      <c r="A507" t="s">
        <v>1814</v>
      </c>
      <c r="B507" t="s">
        <v>1815</v>
      </c>
      <c r="C507" t="s">
        <v>73</v>
      </c>
      <c r="D507" t="s">
        <v>35</v>
      </c>
      <c r="E507" t="s">
        <v>150</v>
      </c>
      <c r="F507" t="s">
        <v>73</v>
      </c>
      <c r="G507" t="s">
        <v>542</v>
      </c>
      <c r="H507" t="s">
        <v>213</v>
      </c>
      <c r="I507">
        <v>0.93608421862608848</v>
      </c>
      <c r="J507">
        <v>0.45252866664042701</v>
      </c>
      <c r="K507">
        <v>0.28528318819629261</v>
      </c>
      <c r="L507">
        <v>0.43280745600333242</v>
      </c>
      <c r="M507" t="s">
        <v>76</v>
      </c>
      <c r="N507" t="s">
        <v>76</v>
      </c>
      <c r="O507" t="s">
        <v>77</v>
      </c>
      <c r="P507" t="s">
        <v>76</v>
      </c>
      <c r="Q507" t="s">
        <v>1816</v>
      </c>
      <c r="R507" t="s">
        <v>1223</v>
      </c>
      <c r="S507" t="s">
        <v>1815</v>
      </c>
    </row>
    <row r="508" spans="1:19" x14ac:dyDescent="0.3">
      <c r="A508" t="s">
        <v>1817</v>
      </c>
      <c r="B508" t="s">
        <v>1818</v>
      </c>
      <c r="C508" t="s">
        <v>243</v>
      </c>
      <c r="D508" t="s">
        <v>63</v>
      </c>
      <c r="E508" t="s">
        <v>74</v>
      </c>
      <c r="F508" t="s">
        <v>243</v>
      </c>
      <c r="G508" t="s">
        <v>1817</v>
      </c>
      <c r="H508" t="s">
        <v>213</v>
      </c>
      <c r="I508">
        <v>1.5265656529966469</v>
      </c>
      <c r="J508">
        <v>0.6488123351832169</v>
      </c>
      <c r="K508">
        <v>0</v>
      </c>
      <c r="L508">
        <v>0.43222204591047653</v>
      </c>
      <c r="Q508" t="s">
        <v>1819</v>
      </c>
      <c r="R508" t="s">
        <v>1820</v>
      </c>
      <c r="S508" t="s">
        <v>1818</v>
      </c>
    </row>
    <row r="509" spans="1:19" x14ac:dyDescent="0.3">
      <c r="A509" t="s">
        <v>1821</v>
      </c>
      <c r="B509" t="s">
        <v>1822</v>
      </c>
      <c r="C509" t="s">
        <v>228</v>
      </c>
      <c r="D509" t="s">
        <v>63</v>
      </c>
      <c r="E509" t="s">
        <v>74</v>
      </c>
      <c r="F509" t="s">
        <v>228</v>
      </c>
      <c r="G509" t="s">
        <v>1821</v>
      </c>
      <c r="H509" t="s">
        <v>213</v>
      </c>
      <c r="I509">
        <v>0.50791463500812661</v>
      </c>
      <c r="J509">
        <v>0.78257222419018391</v>
      </c>
      <c r="K509">
        <v>0.18220826669680509</v>
      </c>
      <c r="L509">
        <v>0.42962103197371959</v>
      </c>
      <c r="M509" t="s">
        <v>63</v>
      </c>
      <c r="N509" t="s">
        <v>28</v>
      </c>
      <c r="O509" t="s">
        <v>86</v>
      </c>
      <c r="P509" t="s">
        <v>30</v>
      </c>
      <c r="Q509" t="s">
        <v>1823</v>
      </c>
      <c r="R509" t="s">
        <v>734</v>
      </c>
      <c r="S509" t="s">
        <v>1822</v>
      </c>
    </row>
    <row r="510" spans="1:19" x14ac:dyDescent="0.3">
      <c r="A510" t="s">
        <v>765</v>
      </c>
      <c r="B510" t="s">
        <v>1824</v>
      </c>
      <c r="C510" t="s">
        <v>243</v>
      </c>
      <c r="D510" t="s">
        <v>35</v>
      </c>
      <c r="E510" t="s">
        <v>560</v>
      </c>
      <c r="F510" t="s">
        <v>243</v>
      </c>
      <c r="G510" t="s">
        <v>765</v>
      </c>
      <c r="H510" t="s">
        <v>213</v>
      </c>
      <c r="I510">
        <v>0.98294977190461608</v>
      </c>
      <c r="J510">
        <v>0.84073983875834735</v>
      </c>
      <c r="K510">
        <v>0</v>
      </c>
      <c r="L510">
        <v>0.42041053638991782</v>
      </c>
      <c r="M510" t="s">
        <v>63</v>
      </c>
      <c r="N510" t="s">
        <v>28</v>
      </c>
      <c r="O510" t="s">
        <v>86</v>
      </c>
      <c r="P510" t="s">
        <v>30</v>
      </c>
      <c r="Q510" t="s">
        <v>1825</v>
      </c>
      <c r="R510" t="s">
        <v>1372</v>
      </c>
      <c r="S510" t="s">
        <v>768</v>
      </c>
    </row>
    <row r="511" spans="1:19" x14ac:dyDescent="0.3">
      <c r="A511" t="s">
        <v>1826</v>
      </c>
      <c r="B511" t="s">
        <v>1827</v>
      </c>
      <c r="C511" t="s">
        <v>196</v>
      </c>
      <c r="D511" t="s">
        <v>63</v>
      </c>
      <c r="E511" t="s">
        <v>74</v>
      </c>
      <c r="F511" t="s">
        <v>228</v>
      </c>
      <c r="G511" t="s">
        <v>196</v>
      </c>
      <c r="H511" t="s">
        <v>75</v>
      </c>
      <c r="I511">
        <v>0.37234804764484652</v>
      </c>
      <c r="J511">
        <v>0.46723712953123159</v>
      </c>
      <c r="K511">
        <v>0.39355073904686172</v>
      </c>
      <c r="L511">
        <v>0.41533124293719947</v>
      </c>
      <c r="M511" t="s">
        <v>76</v>
      </c>
      <c r="N511" t="s">
        <v>76</v>
      </c>
      <c r="O511" t="s">
        <v>77</v>
      </c>
      <c r="P511" t="s">
        <v>76</v>
      </c>
      <c r="S511" t="s">
        <v>1827</v>
      </c>
    </row>
    <row r="512" spans="1:19" x14ac:dyDescent="0.3">
      <c r="A512" t="s">
        <v>1828</v>
      </c>
      <c r="B512" t="s">
        <v>1829</v>
      </c>
      <c r="C512" t="s">
        <v>24</v>
      </c>
      <c r="D512" t="s">
        <v>63</v>
      </c>
      <c r="E512" t="s">
        <v>74</v>
      </c>
      <c r="F512" t="s">
        <v>24</v>
      </c>
      <c r="G512" t="s">
        <v>1828</v>
      </c>
      <c r="H512" t="s">
        <v>26</v>
      </c>
      <c r="I512">
        <v>0.89191772862538166</v>
      </c>
      <c r="J512">
        <v>0.86129068760577798</v>
      </c>
      <c r="K512">
        <v>0</v>
      </c>
      <c r="L512">
        <v>0.41453921751745348</v>
      </c>
      <c r="M512" t="s">
        <v>76</v>
      </c>
      <c r="N512" t="s">
        <v>76</v>
      </c>
      <c r="O512" t="s">
        <v>77</v>
      </c>
      <c r="P512" t="s">
        <v>76</v>
      </c>
      <c r="S512" t="s">
        <v>1829</v>
      </c>
    </row>
    <row r="513" spans="1:19" x14ac:dyDescent="0.3">
      <c r="A513" t="s">
        <v>1830</v>
      </c>
      <c r="B513" t="s">
        <v>1831</v>
      </c>
      <c r="C513" t="s">
        <v>251</v>
      </c>
      <c r="D513" t="s">
        <v>63</v>
      </c>
      <c r="E513" t="s">
        <v>74</v>
      </c>
      <c r="F513" t="s">
        <v>251</v>
      </c>
      <c r="G513" t="s">
        <v>1832</v>
      </c>
      <c r="H513" t="s">
        <v>213</v>
      </c>
      <c r="I513">
        <v>1.234330710825305</v>
      </c>
      <c r="J513">
        <v>0.70031757980084186</v>
      </c>
      <c r="K513">
        <v>4.9317135218918118E-4</v>
      </c>
      <c r="L513">
        <v>0.40877120630843422</v>
      </c>
      <c r="S513" t="s">
        <v>1831</v>
      </c>
    </row>
    <row r="514" spans="1:19" x14ac:dyDescent="0.3">
      <c r="A514" t="s">
        <v>1833</v>
      </c>
      <c r="B514" t="s">
        <v>1834</v>
      </c>
      <c r="C514" t="s">
        <v>24</v>
      </c>
      <c r="D514" t="s">
        <v>63</v>
      </c>
      <c r="E514" t="s">
        <v>331</v>
      </c>
      <c r="F514" t="s">
        <v>55</v>
      </c>
      <c r="G514" t="s">
        <v>1835</v>
      </c>
      <c r="H514" t="s">
        <v>26</v>
      </c>
      <c r="I514">
        <v>0.56140516178676036</v>
      </c>
      <c r="J514">
        <v>0.17588656669421859</v>
      </c>
      <c r="K514">
        <v>0.51342425571894656</v>
      </c>
      <c r="L514">
        <v>0.40675670687125459</v>
      </c>
      <c r="M514" t="s">
        <v>76</v>
      </c>
      <c r="N514" t="s">
        <v>76</v>
      </c>
      <c r="O514" t="s">
        <v>77</v>
      </c>
      <c r="P514" t="s">
        <v>76</v>
      </c>
      <c r="S514" t="s">
        <v>1834</v>
      </c>
    </row>
    <row r="515" spans="1:19" x14ac:dyDescent="0.3">
      <c r="A515" t="s">
        <v>1836</v>
      </c>
      <c r="B515" t="s">
        <v>1837</v>
      </c>
      <c r="C515" t="s">
        <v>596</v>
      </c>
      <c r="D515" t="s">
        <v>63</v>
      </c>
      <c r="E515" t="s">
        <v>74</v>
      </c>
      <c r="F515" t="s">
        <v>73</v>
      </c>
      <c r="G515" t="s">
        <v>596</v>
      </c>
      <c r="H515" t="s">
        <v>75</v>
      </c>
      <c r="I515">
        <v>0.59808788542623603</v>
      </c>
      <c r="J515">
        <v>0.75233531441466261</v>
      </c>
      <c r="K515">
        <v>0.12921089427353091</v>
      </c>
      <c r="L515">
        <v>0.40436341266810899</v>
      </c>
      <c r="M515" t="s">
        <v>76</v>
      </c>
      <c r="N515" t="s">
        <v>76</v>
      </c>
      <c r="O515" t="s">
        <v>77</v>
      </c>
      <c r="P515" t="s">
        <v>76</v>
      </c>
      <c r="S515" t="s">
        <v>1837</v>
      </c>
    </row>
    <row r="516" spans="1:19" x14ac:dyDescent="0.3">
      <c r="A516" t="s">
        <v>1838</v>
      </c>
      <c r="B516" t="s">
        <v>1839</v>
      </c>
      <c r="E516" t="s">
        <v>54</v>
      </c>
      <c r="F516" t="s">
        <v>195</v>
      </c>
      <c r="G516" t="s">
        <v>196</v>
      </c>
      <c r="H516" t="s">
        <v>75</v>
      </c>
      <c r="I516">
        <v>0.37173462417261438</v>
      </c>
      <c r="J516">
        <v>0.470773310504979</v>
      </c>
      <c r="K516">
        <v>0.35590532582976397</v>
      </c>
      <c r="L516">
        <v>0.39671864557317021</v>
      </c>
      <c r="M516" t="s">
        <v>76</v>
      </c>
      <c r="N516" t="s">
        <v>76</v>
      </c>
      <c r="O516" t="s">
        <v>77</v>
      </c>
      <c r="P516" t="s">
        <v>76</v>
      </c>
      <c r="S516" t="s">
        <v>1839</v>
      </c>
    </row>
    <row r="517" spans="1:19" x14ac:dyDescent="0.3">
      <c r="A517" t="s">
        <v>1840</v>
      </c>
      <c r="B517" t="s">
        <v>1841</v>
      </c>
      <c r="C517" t="s">
        <v>196</v>
      </c>
      <c r="D517" t="s">
        <v>35</v>
      </c>
      <c r="E517" t="s">
        <v>80</v>
      </c>
      <c r="F517" t="s">
        <v>228</v>
      </c>
      <c r="G517" t="s">
        <v>196</v>
      </c>
      <c r="H517" t="s">
        <v>75</v>
      </c>
      <c r="I517">
        <v>0.37173462417261438</v>
      </c>
      <c r="J517">
        <v>0.4606260085803125</v>
      </c>
      <c r="K517">
        <v>0.35837118259070938</v>
      </c>
      <c r="L517">
        <v>0.39460083847254518</v>
      </c>
      <c r="M517" t="s">
        <v>76</v>
      </c>
      <c r="N517" t="s">
        <v>76</v>
      </c>
      <c r="O517" t="s">
        <v>77</v>
      </c>
      <c r="P517" t="s">
        <v>76</v>
      </c>
      <c r="S517" t="s">
        <v>1841</v>
      </c>
    </row>
    <row r="518" spans="1:19" x14ac:dyDescent="0.3">
      <c r="A518" t="s">
        <v>1842</v>
      </c>
      <c r="B518" t="s">
        <v>1843</v>
      </c>
      <c r="C518" t="s">
        <v>196</v>
      </c>
      <c r="D518" t="s">
        <v>35</v>
      </c>
      <c r="E518" t="s">
        <v>150</v>
      </c>
      <c r="F518" t="s">
        <v>228</v>
      </c>
      <c r="G518" t="s">
        <v>196</v>
      </c>
      <c r="H518" t="s">
        <v>75</v>
      </c>
      <c r="I518">
        <v>0.36989435375591828</v>
      </c>
      <c r="J518">
        <v>0.46083100457879062</v>
      </c>
      <c r="K518">
        <v>0.35804240168925</v>
      </c>
      <c r="L518">
        <v>0.39423926165048728</v>
      </c>
      <c r="M518" t="s">
        <v>76</v>
      </c>
      <c r="N518" t="s">
        <v>76</v>
      </c>
      <c r="O518" t="s">
        <v>77</v>
      </c>
      <c r="P518" t="s">
        <v>76</v>
      </c>
      <c r="S518" t="s">
        <v>1843</v>
      </c>
    </row>
    <row r="519" spans="1:19" x14ac:dyDescent="0.3">
      <c r="A519" t="s">
        <v>1844</v>
      </c>
      <c r="B519" t="s">
        <v>1845</v>
      </c>
      <c r="C519" t="s">
        <v>196</v>
      </c>
      <c r="D519" t="s">
        <v>63</v>
      </c>
      <c r="E519" t="s">
        <v>74</v>
      </c>
      <c r="F519" t="s">
        <v>228</v>
      </c>
      <c r="G519" t="s">
        <v>196</v>
      </c>
      <c r="H519" t="s">
        <v>75</v>
      </c>
      <c r="I519">
        <v>0.36989435375591828</v>
      </c>
      <c r="J519">
        <v>0.4618559845711811</v>
      </c>
      <c r="K519">
        <v>0.35475459267465631</v>
      </c>
      <c r="L519">
        <v>0.39286182613788567</v>
      </c>
      <c r="M519" t="s">
        <v>76</v>
      </c>
      <c r="N519" t="s">
        <v>76</v>
      </c>
      <c r="O519" t="s">
        <v>77</v>
      </c>
      <c r="P519" t="s">
        <v>76</v>
      </c>
      <c r="S519" t="s">
        <v>1845</v>
      </c>
    </row>
    <row r="520" spans="1:19" x14ac:dyDescent="0.3">
      <c r="A520" t="s">
        <v>1846</v>
      </c>
      <c r="B520" t="s">
        <v>1847</v>
      </c>
      <c r="C520" t="s">
        <v>24</v>
      </c>
      <c r="D520" t="s">
        <v>63</v>
      </c>
      <c r="F520" t="s">
        <v>144</v>
      </c>
      <c r="G520" t="s">
        <v>1848</v>
      </c>
      <c r="H520" t="s">
        <v>213</v>
      </c>
      <c r="I520">
        <v>2.7902180057946442</v>
      </c>
      <c r="J520">
        <v>0</v>
      </c>
      <c r="K520">
        <v>0</v>
      </c>
      <c r="L520">
        <v>0.39158769828872919</v>
      </c>
      <c r="M520" t="s">
        <v>76</v>
      </c>
      <c r="N520" t="s">
        <v>76</v>
      </c>
      <c r="O520" t="s">
        <v>77</v>
      </c>
      <c r="P520" t="s">
        <v>76</v>
      </c>
      <c r="S520" t="s">
        <v>1847</v>
      </c>
    </row>
    <row r="521" spans="1:19" x14ac:dyDescent="0.3">
      <c r="A521" t="s">
        <v>1849</v>
      </c>
      <c r="B521" t="s">
        <v>1850</v>
      </c>
      <c r="C521" t="s">
        <v>251</v>
      </c>
      <c r="D521" t="s">
        <v>63</v>
      </c>
      <c r="E521" t="s">
        <v>74</v>
      </c>
      <c r="F521" t="s">
        <v>251</v>
      </c>
      <c r="G521" t="s">
        <v>1851</v>
      </c>
      <c r="H521" t="s">
        <v>213</v>
      </c>
      <c r="I521">
        <v>0.92528796551480463</v>
      </c>
      <c r="J521">
        <v>0.76340509833248038</v>
      </c>
      <c r="K521">
        <v>0</v>
      </c>
      <c r="L521">
        <v>0.38633622539693552</v>
      </c>
      <c r="S521" t="s">
        <v>1850</v>
      </c>
    </row>
    <row r="522" spans="1:19" x14ac:dyDescent="0.3">
      <c r="A522" t="s">
        <v>1852</v>
      </c>
      <c r="B522" t="s">
        <v>1853</v>
      </c>
      <c r="C522" t="s">
        <v>228</v>
      </c>
      <c r="D522" t="s">
        <v>35</v>
      </c>
      <c r="E522" t="s">
        <v>80</v>
      </c>
      <c r="F522" t="s">
        <v>228</v>
      </c>
      <c r="G522" t="s">
        <v>1065</v>
      </c>
      <c r="H522" t="s">
        <v>75</v>
      </c>
      <c r="I522">
        <v>0.28953587889352139</v>
      </c>
      <c r="J522">
        <v>0.48461054040225132</v>
      </c>
      <c r="K522">
        <v>0.33995945210898493</v>
      </c>
      <c r="L522">
        <v>0.38148076521501501</v>
      </c>
      <c r="M522" t="s">
        <v>76</v>
      </c>
      <c r="N522" t="s">
        <v>76</v>
      </c>
      <c r="O522" t="s">
        <v>77</v>
      </c>
      <c r="P522" t="s">
        <v>76</v>
      </c>
      <c r="S522" t="s">
        <v>1853</v>
      </c>
    </row>
    <row r="523" spans="1:19" x14ac:dyDescent="0.3">
      <c r="A523" t="s">
        <v>1854</v>
      </c>
      <c r="B523" t="s">
        <v>1855</v>
      </c>
      <c r="E523" t="s">
        <v>178</v>
      </c>
      <c r="F523" t="s">
        <v>109</v>
      </c>
      <c r="G523" t="s">
        <v>25</v>
      </c>
      <c r="H523" t="s">
        <v>26</v>
      </c>
      <c r="I523">
        <v>0.24168884805942259</v>
      </c>
      <c r="J523">
        <v>0.2008960785085476</v>
      </c>
      <c r="K523">
        <v>0.53479501431380505</v>
      </c>
      <c r="L523">
        <v>0.38148076521501478</v>
      </c>
      <c r="M523" t="s">
        <v>76</v>
      </c>
      <c r="N523" t="s">
        <v>76</v>
      </c>
      <c r="O523" t="s">
        <v>77</v>
      </c>
      <c r="P523" t="s">
        <v>76</v>
      </c>
      <c r="S523" t="s">
        <v>1855</v>
      </c>
    </row>
    <row r="524" spans="1:19" x14ac:dyDescent="0.3">
      <c r="A524" t="s">
        <v>1856</v>
      </c>
      <c r="B524" t="s">
        <v>1857</v>
      </c>
      <c r="C524" t="s">
        <v>24</v>
      </c>
      <c r="D524" t="s">
        <v>63</v>
      </c>
      <c r="E524" t="s">
        <v>1132</v>
      </c>
      <c r="F524" t="s">
        <v>144</v>
      </c>
      <c r="G524" t="s">
        <v>1856</v>
      </c>
      <c r="H524" t="s">
        <v>26</v>
      </c>
      <c r="I524">
        <v>0.77990660259581179</v>
      </c>
      <c r="J524">
        <v>0.36366290130016682</v>
      </c>
      <c r="K524">
        <v>0.28298172188607668</v>
      </c>
      <c r="L524">
        <v>0.37982784259989311</v>
      </c>
      <c r="M524" t="s">
        <v>76</v>
      </c>
      <c r="N524" t="s">
        <v>76</v>
      </c>
      <c r="O524" t="s">
        <v>77</v>
      </c>
      <c r="P524" t="s">
        <v>76</v>
      </c>
      <c r="S524" t="s">
        <v>1857</v>
      </c>
    </row>
    <row r="525" spans="1:19" x14ac:dyDescent="0.3">
      <c r="A525" t="s">
        <v>1858</v>
      </c>
      <c r="B525" t="s">
        <v>1859</v>
      </c>
      <c r="C525" t="s">
        <v>196</v>
      </c>
      <c r="D525" t="s">
        <v>63</v>
      </c>
      <c r="E525" t="s">
        <v>74</v>
      </c>
      <c r="F525" t="s">
        <v>228</v>
      </c>
      <c r="G525" t="s">
        <v>196</v>
      </c>
      <c r="H525" t="s">
        <v>75</v>
      </c>
      <c r="I525">
        <v>0.66249735001059995</v>
      </c>
      <c r="J525">
        <v>0.83279624381732065</v>
      </c>
      <c r="K525">
        <v>0</v>
      </c>
      <c r="L525">
        <v>0.37276848559780967</v>
      </c>
      <c r="M525" t="s">
        <v>76</v>
      </c>
      <c r="N525" t="s">
        <v>76</v>
      </c>
      <c r="O525" t="s">
        <v>77</v>
      </c>
      <c r="P525" t="s">
        <v>76</v>
      </c>
      <c r="S525" t="s">
        <v>1859</v>
      </c>
    </row>
    <row r="526" spans="1:19" x14ac:dyDescent="0.3">
      <c r="A526" t="s">
        <v>1860</v>
      </c>
      <c r="B526" t="s">
        <v>1861</v>
      </c>
      <c r="C526" t="s">
        <v>243</v>
      </c>
      <c r="D526" t="s">
        <v>63</v>
      </c>
      <c r="E526" t="s">
        <v>323</v>
      </c>
      <c r="F526" t="s">
        <v>243</v>
      </c>
      <c r="G526" t="s">
        <v>1860</v>
      </c>
      <c r="H526" t="s">
        <v>213</v>
      </c>
      <c r="I526">
        <v>1.2840180120761</v>
      </c>
      <c r="J526">
        <v>0.5683514057805592</v>
      </c>
      <c r="K526">
        <v>0</v>
      </c>
      <c r="L526">
        <v>0.37114999887050287</v>
      </c>
      <c r="M526" t="s">
        <v>63</v>
      </c>
      <c r="N526" t="s">
        <v>28</v>
      </c>
      <c r="O526" t="s">
        <v>86</v>
      </c>
      <c r="P526" t="s">
        <v>30</v>
      </c>
      <c r="Q526" t="s">
        <v>1862</v>
      </c>
      <c r="R526" t="s">
        <v>1488</v>
      </c>
      <c r="S526" t="s">
        <v>1464</v>
      </c>
    </row>
    <row r="527" spans="1:19" x14ac:dyDescent="0.3">
      <c r="A527" t="s">
        <v>1863</v>
      </c>
      <c r="B527" t="s">
        <v>1864</v>
      </c>
      <c r="C527" t="s">
        <v>314</v>
      </c>
      <c r="D527" t="s">
        <v>35</v>
      </c>
      <c r="E527" t="s">
        <v>1865</v>
      </c>
      <c r="F527" t="s">
        <v>314</v>
      </c>
      <c r="G527" t="s">
        <v>1866</v>
      </c>
      <c r="H527" t="s">
        <v>317</v>
      </c>
      <c r="I527">
        <v>0.92197547876475161</v>
      </c>
      <c r="J527">
        <v>0.38667370212933438</v>
      </c>
      <c r="K527">
        <v>0.20581684431356331</v>
      </c>
      <c r="L527">
        <v>0.36708656410832818</v>
      </c>
      <c r="M527" t="s">
        <v>76</v>
      </c>
      <c r="N527" t="s">
        <v>76</v>
      </c>
      <c r="O527" t="s">
        <v>77</v>
      </c>
      <c r="P527" t="s">
        <v>76</v>
      </c>
      <c r="S527" t="s">
        <v>1864</v>
      </c>
    </row>
    <row r="528" spans="1:19" x14ac:dyDescent="0.3">
      <c r="A528" t="s">
        <v>1867</v>
      </c>
      <c r="B528" t="s">
        <v>1868</v>
      </c>
      <c r="C528" t="s">
        <v>314</v>
      </c>
      <c r="D528" t="s">
        <v>63</v>
      </c>
      <c r="E528" t="s">
        <v>323</v>
      </c>
      <c r="F528" t="s">
        <v>314</v>
      </c>
      <c r="G528" t="s">
        <v>1869</v>
      </c>
      <c r="H528" t="s">
        <v>317</v>
      </c>
      <c r="I528">
        <v>1.036685668072143</v>
      </c>
      <c r="J528">
        <v>0.65557720313299495</v>
      </c>
      <c r="K528">
        <v>1.8082949580265149E-3</v>
      </c>
      <c r="L528">
        <v>0.3666905513984553</v>
      </c>
      <c r="M528" t="s">
        <v>76</v>
      </c>
      <c r="N528" t="s">
        <v>76</v>
      </c>
      <c r="O528" t="s">
        <v>77</v>
      </c>
      <c r="P528" t="s">
        <v>76</v>
      </c>
      <c r="S528" t="s">
        <v>1868</v>
      </c>
    </row>
    <row r="529" spans="1:19" x14ac:dyDescent="0.3">
      <c r="A529" t="s">
        <v>1870</v>
      </c>
      <c r="B529" t="s">
        <v>1871</v>
      </c>
      <c r="C529" t="s">
        <v>45</v>
      </c>
      <c r="D529" t="s">
        <v>189</v>
      </c>
      <c r="F529" t="s">
        <v>45</v>
      </c>
      <c r="G529" t="s">
        <v>1872</v>
      </c>
      <c r="H529" t="s">
        <v>26</v>
      </c>
      <c r="I529">
        <v>0</v>
      </c>
      <c r="J529">
        <v>0.49491158932577611</v>
      </c>
      <c r="K529">
        <v>0.37954467264469249</v>
      </c>
      <c r="L529">
        <v>0.36503762878333318</v>
      </c>
      <c r="M529" t="s">
        <v>76</v>
      </c>
      <c r="N529" t="s">
        <v>76</v>
      </c>
      <c r="O529" t="s">
        <v>77</v>
      </c>
      <c r="P529" t="s">
        <v>76</v>
      </c>
      <c r="S529" t="s">
        <v>1871</v>
      </c>
    </row>
    <row r="530" spans="1:19" x14ac:dyDescent="0.3">
      <c r="A530" t="s">
        <v>1873</v>
      </c>
      <c r="B530" t="s">
        <v>1874</v>
      </c>
      <c r="C530" t="s">
        <v>196</v>
      </c>
      <c r="D530" t="s">
        <v>63</v>
      </c>
      <c r="E530" t="s">
        <v>74</v>
      </c>
      <c r="F530" t="s">
        <v>228</v>
      </c>
      <c r="G530" t="s">
        <v>196</v>
      </c>
      <c r="H530" t="s">
        <v>75</v>
      </c>
      <c r="I530">
        <v>0.37173462417261438</v>
      </c>
      <c r="J530">
        <v>0.46103600057726868</v>
      </c>
      <c r="K530">
        <v>0.29869744897583428</v>
      </c>
      <c r="L530">
        <v>0.36348801383165652</v>
      </c>
      <c r="M530" t="s">
        <v>76</v>
      </c>
      <c r="N530" t="s">
        <v>76</v>
      </c>
      <c r="O530" t="s">
        <v>77</v>
      </c>
      <c r="P530" t="s">
        <v>76</v>
      </c>
      <c r="S530" t="s">
        <v>1874</v>
      </c>
    </row>
    <row r="531" spans="1:19" x14ac:dyDescent="0.3">
      <c r="A531" t="s">
        <v>1875</v>
      </c>
      <c r="B531" t="s">
        <v>1876</v>
      </c>
      <c r="C531" t="s">
        <v>21</v>
      </c>
      <c r="D531" t="s">
        <v>35</v>
      </c>
      <c r="E531" t="s">
        <v>80</v>
      </c>
      <c r="F531" t="s">
        <v>24</v>
      </c>
      <c r="G531" t="s">
        <v>21</v>
      </c>
      <c r="H531" t="s">
        <v>26</v>
      </c>
      <c r="I531">
        <v>0.1010921882238397</v>
      </c>
      <c r="J531">
        <v>0.21309334041799591</v>
      </c>
      <c r="K531">
        <v>0.52960027607074744</v>
      </c>
      <c r="L531">
        <v>0.36312643700959879</v>
      </c>
      <c r="M531" t="s">
        <v>76</v>
      </c>
      <c r="N531" t="s">
        <v>76</v>
      </c>
      <c r="O531" t="s">
        <v>77</v>
      </c>
      <c r="P531" t="s">
        <v>76</v>
      </c>
      <c r="S531" t="s">
        <v>1876</v>
      </c>
    </row>
    <row r="532" spans="1:19" x14ac:dyDescent="0.3">
      <c r="A532" t="s">
        <v>1877</v>
      </c>
      <c r="B532" t="s">
        <v>1878</v>
      </c>
      <c r="C532" t="s">
        <v>196</v>
      </c>
      <c r="D532" t="s">
        <v>63</v>
      </c>
      <c r="E532" t="s">
        <v>74</v>
      </c>
      <c r="F532" t="s">
        <v>228</v>
      </c>
      <c r="G532" t="s">
        <v>196</v>
      </c>
      <c r="H532" t="s">
        <v>75</v>
      </c>
      <c r="I532">
        <v>0.37357489458931059</v>
      </c>
      <c r="J532">
        <v>0.46139474357460541</v>
      </c>
      <c r="K532">
        <v>0.29672476356707822</v>
      </c>
      <c r="L532">
        <v>0.3628337319631707</v>
      </c>
      <c r="M532" t="s">
        <v>76</v>
      </c>
      <c r="N532" t="s">
        <v>76</v>
      </c>
      <c r="O532" t="s">
        <v>77</v>
      </c>
      <c r="P532" t="s">
        <v>76</v>
      </c>
      <c r="S532" t="s">
        <v>1878</v>
      </c>
    </row>
    <row r="533" spans="1:19" x14ac:dyDescent="0.3">
      <c r="A533" t="s">
        <v>1879</v>
      </c>
      <c r="B533" t="s">
        <v>1880</v>
      </c>
      <c r="C533" t="s">
        <v>196</v>
      </c>
      <c r="D533" t="s">
        <v>63</v>
      </c>
      <c r="E533" t="s">
        <v>74</v>
      </c>
      <c r="F533" t="s">
        <v>228</v>
      </c>
      <c r="G533" t="s">
        <v>196</v>
      </c>
      <c r="H533" t="s">
        <v>75</v>
      </c>
      <c r="I533">
        <v>0.37173462417261438</v>
      </c>
      <c r="J533">
        <v>0.46103600057726868</v>
      </c>
      <c r="K533">
        <v>0.29688915401780769</v>
      </c>
      <c r="L533">
        <v>0.36254102691674278</v>
      </c>
      <c r="M533" t="s">
        <v>76</v>
      </c>
      <c r="N533" t="s">
        <v>76</v>
      </c>
      <c r="O533" t="s">
        <v>77</v>
      </c>
      <c r="P533" t="s">
        <v>76</v>
      </c>
      <c r="S533" t="s">
        <v>1880</v>
      </c>
    </row>
    <row r="534" spans="1:19" x14ac:dyDescent="0.3">
      <c r="A534" t="s">
        <v>1881</v>
      </c>
      <c r="B534" t="s">
        <v>1882</v>
      </c>
      <c r="C534" t="s">
        <v>228</v>
      </c>
      <c r="D534" t="s">
        <v>35</v>
      </c>
      <c r="E534" t="s">
        <v>80</v>
      </c>
      <c r="F534" t="s">
        <v>228</v>
      </c>
      <c r="G534" t="s">
        <v>196</v>
      </c>
      <c r="H534" t="s">
        <v>75</v>
      </c>
      <c r="I534">
        <v>0.36928093028368619</v>
      </c>
      <c r="J534">
        <v>0.46159973957308348</v>
      </c>
      <c r="K534">
        <v>0.29508085905978132</v>
      </c>
      <c r="L534">
        <v>0.36143907850666152</v>
      </c>
      <c r="M534" t="s">
        <v>76</v>
      </c>
      <c r="N534" t="s">
        <v>76</v>
      </c>
      <c r="O534" t="s">
        <v>77</v>
      </c>
      <c r="P534" t="s">
        <v>76</v>
      </c>
      <c r="S534" t="s">
        <v>1882</v>
      </c>
    </row>
    <row r="535" spans="1:19" x14ac:dyDescent="0.3">
      <c r="A535" t="s">
        <v>1883</v>
      </c>
      <c r="B535" t="s">
        <v>1884</v>
      </c>
      <c r="C535" t="s">
        <v>73</v>
      </c>
      <c r="D535" t="s">
        <v>63</v>
      </c>
      <c r="E535" t="s">
        <v>74</v>
      </c>
      <c r="F535" t="s">
        <v>73</v>
      </c>
      <c r="G535" t="s">
        <v>542</v>
      </c>
      <c r="H535" t="s">
        <v>75</v>
      </c>
      <c r="I535">
        <v>0.33063525153306789</v>
      </c>
      <c r="J535">
        <v>0.42813414282153223</v>
      </c>
      <c r="K535">
        <v>0.31168429458347929</v>
      </c>
      <c r="L535">
        <v>0.35346717047747972</v>
      </c>
      <c r="M535" t="s">
        <v>76</v>
      </c>
      <c r="N535" t="s">
        <v>76</v>
      </c>
      <c r="O535" t="s">
        <v>77</v>
      </c>
      <c r="P535" t="s">
        <v>76</v>
      </c>
      <c r="S535" t="s">
        <v>1884</v>
      </c>
    </row>
    <row r="536" spans="1:19" x14ac:dyDescent="0.3">
      <c r="A536" t="s">
        <v>1885</v>
      </c>
      <c r="B536" t="s">
        <v>1886</v>
      </c>
      <c r="C536" t="s">
        <v>243</v>
      </c>
      <c r="D536" t="s">
        <v>63</v>
      </c>
      <c r="E536" t="s">
        <v>74</v>
      </c>
      <c r="F536" t="s">
        <v>243</v>
      </c>
      <c r="G536" t="s">
        <v>1885</v>
      </c>
      <c r="H536" t="s">
        <v>213</v>
      </c>
      <c r="I536">
        <v>1.2506477751866769</v>
      </c>
      <c r="J536">
        <v>0.5235085311134734</v>
      </c>
      <c r="K536">
        <v>0</v>
      </c>
      <c r="L536">
        <v>0.35140101720857758</v>
      </c>
      <c r="M536" t="s">
        <v>63</v>
      </c>
      <c r="N536" t="s">
        <v>28</v>
      </c>
      <c r="O536" t="s">
        <v>86</v>
      </c>
      <c r="P536" t="s">
        <v>30</v>
      </c>
      <c r="Q536" t="s">
        <v>1887</v>
      </c>
      <c r="R536" t="s">
        <v>1488</v>
      </c>
      <c r="S536" t="s">
        <v>1464</v>
      </c>
    </row>
    <row r="537" spans="1:19" x14ac:dyDescent="0.3">
      <c r="A537" t="s">
        <v>1888</v>
      </c>
      <c r="B537" t="s">
        <v>1889</v>
      </c>
      <c r="C537" t="s">
        <v>114</v>
      </c>
      <c r="D537" t="s">
        <v>63</v>
      </c>
      <c r="E537" t="s">
        <v>1890</v>
      </c>
      <c r="F537" t="s">
        <v>114</v>
      </c>
      <c r="G537" t="s">
        <v>1891</v>
      </c>
      <c r="H537" t="s">
        <v>75</v>
      </c>
      <c r="I537">
        <v>0.55269454848106536</v>
      </c>
      <c r="J537">
        <v>0.49081166935621418</v>
      </c>
      <c r="K537">
        <v>0.2076251392715899</v>
      </c>
      <c r="L537">
        <v>0.3511944018816871</v>
      </c>
      <c r="S537" t="s">
        <v>1889</v>
      </c>
    </row>
    <row r="538" spans="1:19" x14ac:dyDescent="0.3">
      <c r="A538" t="s">
        <v>1892</v>
      </c>
      <c r="B538" t="s">
        <v>1893</v>
      </c>
      <c r="C538" t="s">
        <v>243</v>
      </c>
      <c r="D538" t="s">
        <v>63</v>
      </c>
      <c r="E538" t="s">
        <v>74</v>
      </c>
      <c r="F538" t="s">
        <v>243</v>
      </c>
      <c r="G538" t="s">
        <v>1463</v>
      </c>
      <c r="H538" t="s">
        <v>213</v>
      </c>
      <c r="I538">
        <v>1.222307610769557</v>
      </c>
      <c r="J538">
        <v>0.53017090106401144</v>
      </c>
      <c r="K538">
        <v>0</v>
      </c>
      <c r="L538">
        <v>0.34966200487391791</v>
      </c>
      <c r="M538" t="s">
        <v>63</v>
      </c>
      <c r="N538" t="s">
        <v>28</v>
      </c>
      <c r="O538" t="s">
        <v>86</v>
      </c>
      <c r="P538" t="s">
        <v>30</v>
      </c>
      <c r="Q538" t="s">
        <v>1894</v>
      </c>
      <c r="R538" t="s">
        <v>1488</v>
      </c>
      <c r="S538" t="s">
        <v>1464</v>
      </c>
    </row>
    <row r="539" spans="1:19" x14ac:dyDescent="0.3">
      <c r="A539" t="s">
        <v>1895</v>
      </c>
      <c r="B539" t="s">
        <v>1896</v>
      </c>
      <c r="C539" t="s">
        <v>243</v>
      </c>
      <c r="D539" t="s">
        <v>63</v>
      </c>
      <c r="E539" t="s">
        <v>323</v>
      </c>
      <c r="F539" t="s">
        <v>243</v>
      </c>
      <c r="G539" t="s">
        <v>1895</v>
      </c>
      <c r="H539" t="s">
        <v>213</v>
      </c>
      <c r="I539">
        <v>1.222307610769557</v>
      </c>
      <c r="J539">
        <v>0.53017090106401088</v>
      </c>
      <c r="K539">
        <v>0</v>
      </c>
      <c r="L539">
        <v>0.34966200487391769</v>
      </c>
      <c r="M539" t="s">
        <v>63</v>
      </c>
      <c r="N539" t="s">
        <v>28</v>
      </c>
      <c r="O539" t="s">
        <v>86</v>
      </c>
      <c r="P539" t="s">
        <v>30</v>
      </c>
      <c r="Q539" t="s">
        <v>1897</v>
      </c>
      <c r="R539" t="s">
        <v>1898</v>
      </c>
      <c r="S539" t="s">
        <v>1464</v>
      </c>
    </row>
    <row r="540" spans="1:19" x14ac:dyDescent="0.3">
      <c r="A540" t="s">
        <v>1899</v>
      </c>
      <c r="B540" t="s">
        <v>1900</v>
      </c>
      <c r="C540" t="s">
        <v>45</v>
      </c>
      <c r="D540" t="s">
        <v>63</v>
      </c>
      <c r="E540" t="s">
        <v>74</v>
      </c>
      <c r="F540" t="s">
        <v>45</v>
      </c>
      <c r="G540" t="s">
        <v>1901</v>
      </c>
      <c r="H540" t="s">
        <v>26</v>
      </c>
      <c r="I540">
        <v>0.49895865231353892</v>
      </c>
      <c r="J540">
        <v>0.34792945841697098</v>
      </c>
      <c r="K540">
        <v>0.30810058275757218</v>
      </c>
      <c r="L540">
        <v>0.34826735141740839</v>
      </c>
      <c r="M540" t="s">
        <v>76</v>
      </c>
      <c r="N540" t="s">
        <v>76</v>
      </c>
      <c r="O540" t="s">
        <v>77</v>
      </c>
      <c r="P540" t="s">
        <v>76</v>
      </c>
      <c r="S540" t="s">
        <v>1900</v>
      </c>
    </row>
    <row r="541" spans="1:19" x14ac:dyDescent="0.3">
      <c r="A541" t="s">
        <v>1902</v>
      </c>
      <c r="B541" t="s">
        <v>1903</v>
      </c>
      <c r="C541" t="s">
        <v>24</v>
      </c>
      <c r="D541" t="s">
        <v>63</v>
      </c>
      <c r="E541" t="s">
        <v>315</v>
      </c>
      <c r="F541" t="s">
        <v>144</v>
      </c>
      <c r="G541" t="s">
        <v>1902</v>
      </c>
      <c r="H541" t="s">
        <v>213</v>
      </c>
      <c r="I541">
        <v>0.38756094975620098</v>
      </c>
      <c r="J541">
        <v>0.63523135028404254</v>
      </c>
      <c r="K541">
        <v>0.14607566382784329</v>
      </c>
      <c r="L541">
        <v>0.34430633892007528</v>
      </c>
      <c r="M541" t="s">
        <v>76</v>
      </c>
      <c r="N541" t="s">
        <v>76</v>
      </c>
      <c r="O541" t="s">
        <v>77</v>
      </c>
      <c r="P541" t="s">
        <v>76</v>
      </c>
      <c r="S541" t="s">
        <v>1903</v>
      </c>
    </row>
    <row r="542" spans="1:19" x14ac:dyDescent="0.3">
      <c r="A542" t="s">
        <v>1904</v>
      </c>
      <c r="B542" t="s">
        <v>1905</v>
      </c>
      <c r="C542" t="s">
        <v>43</v>
      </c>
      <c r="D542" t="s">
        <v>63</v>
      </c>
      <c r="E542" t="s">
        <v>74</v>
      </c>
      <c r="F542" t="s">
        <v>45</v>
      </c>
      <c r="G542" t="s">
        <v>43</v>
      </c>
      <c r="H542" t="s">
        <v>26</v>
      </c>
      <c r="I542">
        <v>0.16452017525263229</v>
      </c>
      <c r="J542">
        <v>0.13919228296663649</v>
      </c>
      <c r="K542">
        <v>0.52378085411491593</v>
      </c>
      <c r="L542">
        <v>0.34415226282351108</v>
      </c>
      <c r="M542" t="s">
        <v>76</v>
      </c>
      <c r="N542" t="s">
        <v>76</v>
      </c>
      <c r="O542" t="s">
        <v>77</v>
      </c>
      <c r="P542" t="s">
        <v>76</v>
      </c>
      <c r="S542" t="s">
        <v>1905</v>
      </c>
    </row>
    <row r="543" spans="1:19" x14ac:dyDescent="0.3">
      <c r="A543" t="s">
        <v>1906</v>
      </c>
      <c r="B543" t="s">
        <v>1907</v>
      </c>
      <c r="C543" t="s">
        <v>251</v>
      </c>
      <c r="D543" t="s">
        <v>63</v>
      </c>
      <c r="E543" t="s">
        <v>74</v>
      </c>
      <c r="F543" t="s">
        <v>251</v>
      </c>
      <c r="G543" t="s">
        <v>1906</v>
      </c>
      <c r="H543" t="s">
        <v>213</v>
      </c>
      <c r="I543">
        <v>0.56950235162022311</v>
      </c>
      <c r="J543">
        <v>0.77949728421301145</v>
      </c>
      <c r="K543">
        <v>0</v>
      </c>
      <c r="L543">
        <v>0.34181062245208838</v>
      </c>
      <c r="S543" t="s">
        <v>1907</v>
      </c>
    </row>
    <row r="544" spans="1:19" x14ac:dyDescent="0.3">
      <c r="A544" t="s">
        <v>1908</v>
      </c>
      <c r="B544" t="s">
        <v>1909</v>
      </c>
      <c r="C544" t="s">
        <v>43</v>
      </c>
      <c r="D544" t="s">
        <v>35</v>
      </c>
      <c r="E544" t="s">
        <v>278</v>
      </c>
      <c r="F544" t="s">
        <v>45</v>
      </c>
      <c r="G544" t="s">
        <v>43</v>
      </c>
      <c r="H544" t="s">
        <v>26</v>
      </c>
      <c r="I544">
        <v>0.28646876153236128</v>
      </c>
      <c r="J544">
        <v>0.2391790812243352</v>
      </c>
      <c r="K544">
        <v>0.4137707644866126</v>
      </c>
      <c r="L544">
        <v>0.33724786731659612</v>
      </c>
      <c r="M544" t="s">
        <v>76</v>
      </c>
      <c r="N544" t="s">
        <v>76</v>
      </c>
      <c r="O544" t="s">
        <v>77</v>
      </c>
      <c r="P544" t="s">
        <v>76</v>
      </c>
      <c r="S544" t="s">
        <v>1909</v>
      </c>
    </row>
    <row r="545" spans="1:19" x14ac:dyDescent="0.3">
      <c r="A545" t="s">
        <v>1910</v>
      </c>
      <c r="B545" t="s">
        <v>1911</v>
      </c>
      <c r="C545" t="s">
        <v>251</v>
      </c>
      <c r="D545" t="s">
        <v>63</v>
      </c>
      <c r="E545" t="s">
        <v>323</v>
      </c>
      <c r="F545" t="s">
        <v>251</v>
      </c>
      <c r="G545" t="s">
        <v>1910</v>
      </c>
      <c r="H545" t="s">
        <v>213</v>
      </c>
      <c r="I545">
        <v>9.8147755557125932E-2</v>
      </c>
      <c r="J545">
        <v>0.95681882289657738</v>
      </c>
      <c r="K545">
        <v>0</v>
      </c>
      <c r="L545">
        <v>0.3352333678794161</v>
      </c>
      <c r="S545" t="s">
        <v>1911</v>
      </c>
    </row>
    <row r="546" spans="1:19" x14ac:dyDescent="0.3">
      <c r="A546" t="s">
        <v>1912</v>
      </c>
      <c r="B546" t="s">
        <v>1913</v>
      </c>
      <c r="C546" t="s">
        <v>24</v>
      </c>
      <c r="D546" t="s">
        <v>63</v>
      </c>
      <c r="E546" t="s">
        <v>74</v>
      </c>
      <c r="F546" t="s">
        <v>55</v>
      </c>
      <c r="G546" t="s">
        <v>1914</v>
      </c>
      <c r="H546" t="s">
        <v>213</v>
      </c>
      <c r="I546">
        <v>0.50828268909146579</v>
      </c>
      <c r="J546">
        <v>0.23472041825743559</v>
      </c>
      <c r="K546">
        <v>0.34620628923671271</v>
      </c>
      <c r="L546">
        <v>0.33149707405148399</v>
      </c>
      <c r="M546" t="s">
        <v>63</v>
      </c>
      <c r="N546" t="s">
        <v>28</v>
      </c>
      <c r="O546" t="s">
        <v>86</v>
      </c>
      <c r="P546" t="s">
        <v>30</v>
      </c>
      <c r="Q546" t="s">
        <v>1915</v>
      </c>
      <c r="R546" t="s">
        <v>734</v>
      </c>
      <c r="S546" t="s">
        <v>1913</v>
      </c>
    </row>
    <row r="547" spans="1:19" x14ac:dyDescent="0.3">
      <c r="A547" t="s">
        <v>1916</v>
      </c>
      <c r="B547" t="s">
        <v>1917</v>
      </c>
      <c r="C547" t="s">
        <v>24</v>
      </c>
      <c r="E547" t="s">
        <v>389</v>
      </c>
      <c r="F547" t="s">
        <v>55</v>
      </c>
      <c r="G547" t="s">
        <v>1918</v>
      </c>
      <c r="H547" t="s">
        <v>26</v>
      </c>
      <c r="I547">
        <v>0.77831170156800855</v>
      </c>
      <c r="J547">
        <v>0.32040874562128602</v>
      </c>
      <c r="K547">
        <v>0.21824476238872731</v>
      </c>
      <c r="L547">
        <v>0.33116993311724141</v>
      </c>
      <c r="M547" t="s">
        <v>76</v>
      </c>
      <c r="N547" t="s">
        <v>76</v>
      </c>
      <c r="O547" t="s">
        <v>77</v>
      </c>
      <c r="P547" t="s">
        <v>76</v>
      </c>
      <c r="S547" t="s">
        <v>1917</v>
      </c>
    </row>
    <row r="548" spans="1:19" x14ac:dyDescent="0.3">
      <c r="A548" t="s">
        <v>1919</v>
      </c>
      <c r="B548" t="s">
        <v>1920</v>
      </c>
      <c r="C548" t="s">
        <v>21</v>
      </c>
      <c r="D548" t="s">
        <v>485</v>
      </c>
      <c r="F548" t="s">
        <v>24</v>
      </c>
      <c r="G548" t="s">
        <v>21</v>
      </c>
      <c r="H548" t="s">
        <v>26</v>
      </c>
      <c r="I548">
        <v>0.18562194269741439</v>
      </c>
      <c r="J548">
        <v>0.20725095446136979</v>
      </c>
      <c r="K548">
        <v>0.44927910184422531</v>
      </c>
      <c r="L548">
        <v>0.33096331779035187</v>
      </c>
      <c r="M548" t="s">
        <v>76</v>
      </c>
      <c r="N548" t="s">
        <v>76</v>
      </c>
      <c r="O548" t="s">
        <v>77</v>
      </c>
      <c r="P548" t="s">
        <v>76</v>
      </c>
      <c r="S548" t="s">
        <v>1920</v>
      </c>
    </row>
    <row r="549" spans="1:19" x14ac:dyDescent="0.3">
      <c r="A549" t="s">
        <v>1921</v>
      </c>
      <c r="B549" t="s">
        <v>1922</v>
      </c>
      <c r="C549" t="s">
        <v>24</v>
      </c>
      <c r="D549" t="s">
        <v>35</v>
      </c>
      <c r="E549" t="s">
        <v>80</v>
      </c>
      <c r="F549" t="s">
        <v>24</v>
      </c>
      <c r="G549" t="s">
        <v>1923</v>
      </c>
      <c r="H549" t="s">
        <v>26</v>
      </c>
      <c r="I549">
        <v>0.19114275394750271</v>
      </c>
      <c r="J549">
        <v>0.27474588696028668</v>
      </c>
      <c r="K549">
        <v>0.40038938179721678</v>
      </c>
      <c r="L549">
        <v>0.32881107480191119</v>
      </c>
      <c r="M549" t="s">
        <v>76</v>
      </c>
      <c r="N549" t="s">
        <v>76</v>
      </c>
      <c r="O549" t="s">
        <v>77</v>
      </c>
      <c r="P549" t="s">
        <v>76</v>
      </c>
      <c r="S549" t="s">
        <v>1922</v>
      </c>
    </row>
    <row r="550" spans="1:19" x14ac:dyDescent="0.3">
      <c r="A550" t="s">
        <v>1924</v>
      </c>
      <c r="B550" t="s">
        <v>1925</v>
      </c>
      <c r="C550" t="s">
        <v>21</v>
      </c>
      <c r="D550" t="s">
        <v>35</v>
      </c>
      <c r="E550" t="s">
        <v>36</v>
      </c>
      <c r="F550" t="s">
        <v>24</v>
      </c>
      <c r="G550" t="s">
        <v>21</v>
      </c>
      <c r="H550" t="s">
        <v>26</v>
      </c>
      <c r="I550">
        <v>9.7043593307108253E-2</v>
      </c>
      <c r="J550">
        <v>0.19987109851615731</v>
      </c>
      <c r="K550">
        <v>0.4438542169701431</v>
      </c>
      <c r="L550">
        <v>0.31321161762169708</v>
      </c>
      <c r="M550" t="s">
        <v>76</v>
      </c>
      <c r="N550" t="s">
        <v>76</v>
      </c>
      <c r="O550" t="s">
        <v>77</v>
      </c>
      <c r="P550" t="s">
        <v>76</v>
      </c>
      <c r="S550" t="s">
        <v>1925</v>
      </c>
    </row>
    <row r="551" spans="1:19" x14ac:dyDescent="0.3">
      <c r="A551" t="s">
        <v>1926</v>
      </c>
      <c r="B551" t="s">
        <v>1927</v>
      </c>
      <c r="C551" t="s">
        <v>43</v>
      </c>
      <c r="D551" t="s">
        <v>35</v>
      </c>
      <c r="E551" t="s">
        <v>278</v>
      </c>
      <c r="F551" t="s">
        <v>45</v>
      </c>
      <c r="G551" t="s">
        <v>43</v>
      </c>
      <c r="H551" t="s">
        <v>26</v>
      </c>
      <c r="I551">
        <v>0</v>
      </c>
      <c r="J551">
        <v>0.25798746408470108</v>
      </c>
      <c r="K551">
        <v>0.42527809603768918</v>
      </c>
      <c r="L551">
        <v>0.30938923407422769</v>
      </c>
      <c r="M551" t="s">
        <v>76</v>
      </c>
      <c r="N551" t="s">
        <v>76</v>
      </c>
      <c r="O551" t="s">
        <v>77</v>
      </c>
      <c r="P551" t="s">
        <v>76</v>
      </c>
      <c r="S551" t="s">
        <v>1927</v>
      </c>
    </row>
    <row r="552" spans="1:19" x14ac:dyDescent="0.3">
      <c r="A552" t="s">
        <v>1928</v>
      </c>
      <c r="B552" t="s">
        <v>1929</v>
      </c>
      <c r="C552" t="s">
        <v>314</v>
      </c>
      <c r="D552" t="s">
        <v>63</v>
      </c>
      <c r="E552" t="s">
        <v>1751</v>
      </c>
      <c r="F552" t="s">
        <v>314</v>
      </c>
      <c r="G552" t="s">
        <v>1928</v>
      </c>
      <c r="H552" t="s">
        <v>213</v>
      </c>
      <c r="I552">
        <v>0.85204520293029939</v>
      </c>
      <c r="J552">
        <v>0.36444365876337542</v>
      </c>
      <c r="K552">
        <v>0.12712498325455851</v>
      </c>
      <c r="L552">
        <v>0.30859360645433331</v>
      </c>
      <c r="M552" t="s">
        <v>63</v>
      </c>
      <c r="N552" t="s">
        <v>28</v>
      </c>
      <c r="O552" t="s">
        <v>86</v>
      </c>
      <c r="P552" t="s">
        <v>30</v>
      </c>
      <c r="Q552" t="s">
        <v>1930</v>
      </c>
      <c r="R552" t="s">
        <v>1931</v>
      </c>
      <c r="S552" t="s">
        <v>1929</v>
      </c>
    </row>
    <row r="553" spans="1:19" x14ac:dyDescent="0.3">
      <c r="A553" t="s">
        <v>1932</v>
      </c>
      <c r="B553" t="s">
        <v>1933</v>
      </c>
      <c r="C553" t="s">
        <v>114</v>
      </c>
      <c r="D553" t="s">
        <v>63</v>
      </c>
      <c r="E553" t="s">
        <v>74</v>
      </c>
      <c r="F553" t="s">
        <v>114</v>
      </c>
      <c r="G553" t="s">
        <v>190</v>
      </c>
      <c r="H553" t="s">
        <v>75</v>
      </c>
      <c r="I553">
        <v>0</v>
      </c>
      <c r="J553">
        <v>0.89296256937064589</v>
      </c>
      <c r="K553">
        <v>0</v>
      </c>
      <c r="L553">
        <v>0.30000545464462991</v>
      </c>
      <c r="M553" t="s">
        <v>63</v>
      </c>
      <c r="N553" t="s">
        <v>28</v>
      </c>
      <c r="O553" t="s">
        <v>86</v>
      </c>
      <c r="P553" t="s">
        <v>30</v>
      </c>
      <c r="Q553" t="s">
        <v>1934</v>
      </c>
      <c r="R553" t="s">
        <v>548</v>
      </c>
      <c r="S553" t="s">
        <v>1933</v>
      </c>
    </row>
    <row r="554" spans="1:19" x14ac:dyDescent="0.3">
      <c r="A554" t="s">
        <v>1935</v>
      </c>
      <c r="B554" t="s">
        <v>1936</v>
      </c>
      <c r="C554" t="s">
        <v>243</v>
      </c>
      <c r="D554" t="s">
        <v>63</v>
      </c>
      <c r="E554" t="s">
        <v>1937</v>
      </c>
      <c r="F554" t="s">
        <v>243</v>
      </c>
      <c r="G554" t="s">
        <v>1935</v>
      </c>
      <c r="H554" t="s">
        <v>213</v>
      </c>
      <c r="I554">
        <v>0</v>
      </c>
      <c r="J554">
        <v>0.88097030345967664</v>
      </c>
      <c r="K554">
        <v>0</v>
      </c>
      <c r="L554">
        <v>0.29597645577027032</v>
      </c>
      <c r="Q554" t="s">
        <v>1938</v>
      </c>
      <c r="R554" t="s">
        <v>1939</v>
      </c>
      <c r="S554" t="s">
        <v>1936</v>
      </c>
    </row>
    <row r="555" spans="1:19" x14ac:dyDescent="0.3">
      <c r="A555" t="s">
        <v>1940</v>
      </c>
      <c r="B555" t="s">
        <v>1941</v>
      </c>
      <c r="C555" t="s">
        <v>45</v>
      </c>
      <c r="D555" t="s">
        <v>63</v>
      </c>
      <c r="E555" t="s">
        <v>323</v>
      </c>
      <c r="F555" t="s">
        <v>45</v>
      </c>
      <c r="G555" t="s">
        <v>1940</v>
      </c>
      <c r="H555" t="s">
        <v>213</v>
      </c>
      <c r="I555">
        <v>1.0531254171279609</v>
      </c>
      <c r="J555">
        <v>0.43971641673554518</v>
      </c>
      <c r="K555">
        <v>4.9317135218884811E-4</v>
      </c>
      <c r="L555">
        <v>0.2957870583872873</v>
      </c>
      <c r="M555" t="s">
        <v>76</v>
      </c>
      <c r="N555" t="s">
        <v>76</v>
      </c>
      <c r="O555" t="s">
        <v>77</v>
      </c>
      <c r="P555" t="s">
        <v>76</v>
      </c>
      <c r="S555" t="s">
        <v>1941</v>
      </c>
    </row>
    <row r="556" spans="1:19" x14ac:dyDescent="0.3">
      <c r="A556" t="s">
        <v>1942</v>
      </c>
      <c r="B556" t="s">
        <v>1943</v>
      </c>
      <c r="C556" t="s">
        <v>243</v>
      </c>
      <c r="D556" t="s">
        <v>63</v>
      </c>
      <c r="E556" t="s">
        <v>323</v>
      </c>
      <c r="F556" t="s">
        <v>243</v>
      </c>
      <c r="G556" t="s">
        <v>1944</v>
      </c>
      <c r="H556" t="s">
        <v>213</v>
      </c>
      <c r="I556">
        <v>0.98282708721016965</v>
      </c>
      <c r="J556">
        <v>0.42331673685729609</v>
      </c>
      <c r="K556">
        <v>0</v>
      </c>
      <c r="L556">
        <v>0.28015316531925921</v>
      </c>
      <c r="M556" t="s">
        <v>63</v>
      </c>
      <c r="N556" t="s">
        <v>28</v>
      </c>
      <c r="O556" t="s">
        <v>86</v>
      </c>
      <c r="P556" t="s">
        <v>30</v>
      </c>
      <c r="Q556" t="s">
        <v>1825</v>
      </c>
      <c r="R556" t="s">
        <v>1372</v>
      </c>
      <c r="S556" t="s">
        <v>768</v>
      </c>
    </row>
    <row r="557" spans="1:19" x14ac:dyDescent="0.3">
      <c r="A557" t="s">
        <v>1945</v>
      </c>
      <c r="B557" t="s">
        <v>1946</v>
      </c>
      <c r="C557" t="s">
        <v>243</v>
      </c>
      <c r="D557" t="s">
        <v>63</v>
      </c>
      <c r="E557" t="s">
        <v>331</v>
      </c>
      <c r="F557" t="s">
        <v>243</v>
      </c>
      <c r="G557" t="s">
        <v>1945</v>
      </c>
      <c r="H557" t="s">
        <v>213</v>
      </c>
      <c r="I557">
        <v>0.98258171782127679</v>
      </c>
      <c r="J557">
        <v>0.41947306188583261</v>
      </c>
      <c r="K557">
        <v>0</v>
      </c>
      <c r="L557">
        <v>0.27882738363838039</v>
      </c>
      <c r="M557" t="s">
        <v>63</v>
      </c>
      <c r="N557" t="s">
        <v>28</v>
      </c>
      <c r="O557" t="s">
        <v>86</v>
      </c>
      <c r="P557" t="s">
        <v>30</v>
      </c>
      <c r="Q557" t="s">
        <v>1947</v>
      </c>
      <c r="R557" t="s">
        <v>1948</v>
      </c>
      <c r="S557" t="s">
        <v>768</v>
      </c>
    </row>
    <row r="558" spans="1:19" x14ac:dyDescent="0.3">
      <c r="A558" t="s">
        <v>1949</v>
      </c>
      <c r="B558" t="s">
        <v>1950</v>
      </c>
      <c r="C558" t="s">
        <v>243</v>
      </c>
      <c r="D558" t="s">
        <v>63</v>
      </c>
      <c r="E558" t="s">
        <v>331</v>
      </c>
      <c r="F558" t="s">
        <v>243</v>
      </c>
      <c r="G558" t="s">
        <v>1949</v>
      </c>
      <c r="H558" t="s">
        <v>213</v>
      </c>
      <c r="I558">
        <v>0.98282708721016965</v>
      </c>
      <c r="J558">
        <v>0.41921681688773471</v>
      </c>
      <c r="K558">
        <v>0</v>
      </c>
      <c r="L558">
        <v>0.27877572980665782</v>
      </c>
      <c r="M558" t="s">
        <v>63</v>
      </c>
      <c r="N558" t="s">
        <v>28</v>
      </c>
      <c r="O558" t="s">
        <v>86</v>
      </c>
      <c r="P558" t="s">
        <v>30</v>
      </c>
      <c r="Q558" t="s">
        <v>1825</v>
      </c>
      <c r="R558" t="s">
        <v>1372</v>
      </c>
      <c r="S558" t="s">
        <v>768</v>
      </c>
    </row>
    <row r="559" spans="1:19" x14ac:dyDescent="0.3">
      <c r="A559" t="s">
        <v>1951</v>
      </c>
      <c r="B559" t="s">
        <v>1952</v>
      </c>
      <c r="C559" t="s">
        <v>243</v>
      </c>
      <c r="D559" t="s">
        <v>63</v>
      </c>
      <c r="E559" t="s">
        <v>315</v>
      </c>
      <c r="F559" t="s">
        <v>243</v>
      </c>
      <c r="G559" t="s">
        <v>1951</v>
      </c>
      <c r="H559" t="s">
        <v>213</v>
      </c>
      <c r="I559">
        <v>0.98270440251572322</v>
      </c>
      <c r="J559">
        <v>0.41921681688773471</v>
      </c>
      <c r="K559">
        <v>0</v>
      </c>
      <c r="L559">
        <v>0.27875851186275019</v>
      </c>
      <c r="M559" t="s">
        <v>63</v>
      </c>
      <c r="N559" t="s">
        <v>28</v>
      </c>
      <c r="O559" t="s">
        <v>86</v>
      </c>
      <c r="P559" t="s">
        <v>30</v>
      </c>
      <c r="Q559" t="s">
        <v>1825</v>
      </c>
      <c r="R559" t="s">
        <v>1372</v>
      </c>
      <c r="S559" t="s">
        <v>768</v>
      </c>
    </row>
    <row r="560" spans="1:19" x14ac:dyDescent="0.3">
      <c r="A560" t="s">
        <v>1953</v>
      </c>
      <c r="B560" t="s">
        <v>1954</v>
      </c>
      <c r="C560" t="s">
        <v>243</v>
      </c>
      <c r="D560" t="s">
        <v>63</v>
      </c>
      <c r="E560" t="s">
        <v>331</v>
      </c>
      <c r="F560" t="s">
        <v>243</v>
      </c>
      <c r="G560" t="s">
        <v>1955</v>
      </c>
      <c r="H560" t="s">
        <v>213</v>
      </c>
      <c r="I560">
        <v>0.98282708721016965</v>
      </c>
      <c r="J560">
        <v>0.41819183689534323</v>
      </c>
      <c r="K560">
        <v>0</v>
      </c>
      <c r="L560">
        <v>0.27843137092850712</v>
      </c>
      <c r="M560" t="s">
        <v>63</v>
      </c>
      <c r="N560" t="s">
        <v>28</v>
      </c>
      <c r="O560" t="s">
        <v>86</v>
      </c>
      <c r="P560" t="s">
        <v>30</v>
      </c>
      <c r="Q560" t="s">
        <v>1825</v>
      </c>
      <c r="R560" t="s">
        <v>1372</v>
      </c>
      <c r="S560" t="s">
        <v>768</v>
      </c>
    </row>
    <row r="561" spans="1:19" x14ac:dyDescent="0.3">
      <c r="A561" t="s">
        <v>1956</v>
      </c>
      <c r="B561" t="s">
        <v>1957</v>
      </c>
      <c r="C561" t="s">
        <v>243</v>
      </c>
      <c r="D561" t="s">
        <v>63</v>
      </c>
      <c r="E561" t="s">
        <v>331</v>
      </c>
      <c r="F561" t="s">
        <v>243</v>
      </c>
      <c r="G561" t="s">
        <v>1956</v>
      </c>
      <c r="H561" t="s">
        <v>213</v>
      </c>
      <c r="I561">
        <v>0.98270440251572322</v>
      </c>
      <c r="J561">
        <v>0.41793559189724588</v>
      </c>
      <c r="K561">
        <v>0</v>
      </c>
      <c r="L561">
        <v>0.27832806326506199</v>
      </c>
      <c r="M561" t="s">
        <v>63</v>
      </c>
      <c r="N561" t="s">
        <v>28</v>
      </c>
      <c r="O561" t="s">
        <v>86</v>
      </c>
      <c r="P561" t="s">
        <v>30</v>
      </c>
      <c r="Q561" t="s">
        <v>1958</v>
      </c>
      <c r="R561" t="s">
        <v>1959</v>
      </c>
      <c r="S561" t="s">
        <v>768</v>
      </c>
    </row>
    <row r="562" spans="1:19" x14ac:dyDescent="0.3">
      <c r="A562" t="s">
        <v>1960</v>
      </c>
      <c r="B562" t="s">
        <v>1961</v>
      </c>
      <c r="C562" t="s">
        <v>243</v>
      </c>
      <c r="D562" t="s">
        <v>63</v>
      </c>
      <c r="E562" t="s">
        <v>323</v>
      </c>
      <c r="F562" t="s">
        <v>243</v>
      </c>
      <c r="G562" t="s">
        <v>1960</v>
      </c>
      <c r="H562" t="s">
        <v>213</v>
      </c>
      <c r="I562">
        <v>0.98294977190461608</v>
      </c>
      <c r="J562">
        <v>0.41767934689914848</v>
      </c>
      <c r="K562">
        <v>0</v>
      </c>
      <c r="L562">
        <v>0.27827640943333948</v>
      </c>
      <c r="M562" t="s">
        <v>63</v>
      </c>
      <c r="N562" t="s">
        <v>28</v>
      </c>
      <c r="O562" t="s">
        <v>86</v>
      </c>
      <c r="P562" t="s">
        <v>30</v>
      </c>
      <c r="Q562" t="s">
        <v>1825</v>
      </c>
      <c r="R562" t="s">
        <v>1372</v>
      </c>
      <c r="S562" t="s">
        <v>768</v>
      </c>
    </row>
    <row r="563" spans="1:19" x14ac:dyDescent="0.3">
      <c r="A563" t="s">
        <v>1962</v>
      </c>
      <c r="B563" t="s">
        <v>1963</v>
      </c>
      <c r="C563" t="s">
        <v>228</v>
      </c>
      <c r="D563" t="s">
        <v>63</v>
      </c>
      <c r="E563" t="s">
        <v>1751</v>
      </c>
      <c r="F563" t="s">
        <v>228</v>
      </c>
      <c r="G563" t="s">
        <v>1964</v>
      </c>
      <c r="H563" t="s">
        <v>213</v>
      </c>
      <c r="I563">
        <v>0.63059932945453401</v>
      </c>
      <c r="J563">
        <v>0.28750688786554912</v>
      </c>
      <c r="K563">
        <v>0.17744305251761999</v>
      </c>
      <c r="L563">
        <v>0.27801814027472682</v>
      </c>
      <c r="M563" t="s">
        <v>76</v>
      </c>
      <c r="N563" t="s">
        <v>76</v>
      </c>
      <c r="O563" t="s">
        <v>77</v>
      </c>
      <c r="P563" t="s">
        <v>76</v>
      </c>
      <c r="Q563" t="s">
        <v>1965</v>
      </c>
      <c r="S563" t="s">
        <v>1963</v>
      </c>
    </row>
    <row r="564" spans="1:19" x14ac:dyDescent="0.3">
      <c r="A564" t="s">
        <v>1966</v>
      </c>
      <c r="B564" t="s">
        <v>1967</v>
      </c>
      <c r="C564" t="s">
        <v>243</v>
      </c>
      <c r="D564" t="s">
        <v>63</v>
      </c>
      <c r="E564" t="s">
        <v>74</v>
      </c>
      <c r="F564" t="s">
        <v>243</v>
      </c>
      <c r="G564" t="s">
        <v>244</v>
      </c>
      <c r="H564" t="s">
        <v>75</v>
      </c>
      <c r="I564">
        <v>0.24904992972620699</v>
      </c>
      <c r="J564">
        <v>0.43331029178310448</v>
      </c>
      <c r="K564">
        <v>0.18477486662016379</v>
      </c>
      <c r="L564">
        <v>0.27729498663061092</v>
      </c>
      <c r="M564" t="s">
        <v>76</v>
      </c>
      <c r="N564" t="s">
        <v>76</v>
      </c>
      <c r="O564" t="s">
        <v>77</v>
      </c>
      <c r="P564" t="s">
        <v>76</v>
      </c>
      <c r="S564" t="s">
        <v>1967</v>
      </c>
    </row>
    <row r="565" spans="1:19" x14ac:dyDescent="0.3">
      <c r="A565" t="s">
        <v>1968</v>
      </c>
      <c r="B565" t="s">
        <v>1969</v>
      </c>
      <c r="C565" t="s">
        <v>24</v>
      </c>
      <c r="D565" t="s">
        <v>63</v>
      </c>
      <c r="E565" t="s">
        <v>323</v>
      </c>
      <c r="F565" t="s">
        <v>55</v>
      </c>
      <c r="G565" t="s">
        <v>1970</v>
      </c>
      <c r="H565" t="s">
        <v>213</v>
      </c>
      <c r="I565">
        <v>0.81830691195753735</v>
      </c>
      <c r="J565">
        <v>0.35541181236142239</v>
      </c>
      <c r="K565">
        <v>8.172689488462738E-2</v>
      </c>
      <c r="L565">
        <v>0.27704972640099529</v>
      </c>
      <c r="M565" t="s">
        <v>63</v>
      </c>
      <c r="N565" t="s">
        <v>28</v>
      </c>
      <c r="O565" t="s">
        <v>86</v>
      </c>
      <c r="P565" t="s">
        <v>30</v>
      </c>
      <c r="Q565" t="s">
        <v>1971</v>
      </c>
      <c r="R565" t="s">
        <v>734</v>
      </c>
      <c r="S565" t="s">
        <v>1969</v>
      </c>
    </row>
    <row r="566" spans="1:19" x14ac:dyDescent="0.3">
      <c r="A566" t="s">
        <v>1972</v>
      </c>
      <c r="B566" t="s">
        <v>1973</v>
      </c>
      <c r="C566" t="s">
        <v>24</v>
      </c>
      <c r="D566" t="s">
        <v>63</v>
      </c>
      <c r="E566" t="s">
        <v>315</v>
      </c>
      <c r="F566" t="s">
        <v>55</v>
      </c>
      <c r="G566" t="s">
        <v>1972</v>
      </c>
      <c r="H566" t="s">
        <v>213</v>
      </c>
      <c r="I566">
        <v>0.90038297254218391</v>
      </c>
      <c r="J566">
        <v>0.44842874667086502</v>
      </c>
      <c r="K566">
        <v>0</v>
      </c>
      <c r="L566">
        <v>0.27701949952809057</v>
      </c>
      <c r="M566" t="s">
        <v>76</v>
      </c>
      <c r="N566" t="s">
        <v>76</v>
      </c>
      <c r="O566" t="s">
        <v>77</v>
      </c>
      <c r="P566" t="s">
        <v>76</v>
      </c>
      <c r="Q566" t="s">
        <v>1974</v>
      </c>
      <c r="R566" t="s">
        <v>1975</v>
      </c>
      <c r="S566" t="s">
        <v>1973</v>
      </c>
    </row>
    <row r="567" spans="1:19" x14ac:dyDescent="0.3">
      <c r="A567" t="s">
        <v>1976</v>
      </c>
      <c r="B567" t="s">
        <v>1977</v>
      </c>
      <c r="C567" t="s">
        <v>24</v>
      </c>
      <c r="D567" t="s">
        <v>63</v>
      </c>
      <c r="E567" t="s">
        <v>323</v>
      </c>
      <c r="F567" t="s">
        <v>144</v>
      </c>
      <c r="G567" t="s">
        <v>1978</v>
      </c>
      <c r="H567" t="s">
        <v>213</v>
      </c>
      <c r="I567">
        <v>0.38976927425623631</v>
      </c>
      <c r="J567">
        <v>0.1924399935713253</v>
      </c>
      <c r="K567">
        <v>0.28820933821928019</v>
      </c>
      <c r="L567">
        <v>0.27028728346024999</v>
      </c>
      <c r="M567" t="s">
        <v>76</v>
      </c>
      <c r="N567" t="s">
        <v>76</v>
      </c>
      <c r="O567" t="s">
        <v>77</v>
      </c>
      <c r="P567" t="s">
        <v>76</v>
      </c>
      <c r="S567" t="s">
        <v>1977</v>
      </c>
    </row>
    <row r="568" spans="1:19" x14ac:dyDescent="0.3">
      <c r="A568" t="s">
        <v>1979</v>
      </c>
      <c r="B568" t="s">
        <v>1980</v>
      </c>
      <c r="C568" t="s">
        <v>1053</v>
      </c>
      <c r="D568" t="s">
        <v>63</v>
      </c>
      <c r="E568" t="s">
        <v>74</v>
      </c>
      <c r="F568" t="s">
        <v>314</v>
      </c>
      <c r="G568" t="s">
        <v>1053</v>
      </c>
      <c r="H568" t="s">
        <v>75</v>
      </c>
      <c r="I568">
        <v>0.36437354250582987</v>
      </c>
      <c r="J568">
        <v>0.45632109261227222</v>
      </c>
      <c r="K568">
        <v>9.7154756381242754E-2</v>
      </c>
      <c r="L568">
        <v>0.2553248902046153</v>
      </c>
      <c r="M568" t="s">
        <v>239</v>
      </c>
      <c r="N568" t="s">
        <v>239</v>
      </c>
      <c r="O568" t="s">
        <v>240</v>
      </c>
      <c r="P568" t="s">
        <v>239</v>
      </c>
      <c r="S568" t="s">
        <v>1980</v>
      </c>
    </row>
    <row r="569" spans="1:19" x14ac:dyDescent="0.3">
      <c r="A569" t="s">
        <v>1981</v>
      </c>
      <c r="B569" t="s">
        <v>1982</v>
      </c>
      <c r="C569" t="s">
        <v>24</v>
      </c>
      <c r="D569" t="s">
        <v>63</v>
      </c>
      <c r="E569" t="s">
        <v>323</v>
      </c>
      <c r="F569" t="s">
        <v>55</v>
      </c>
      <c r="G569" t="s">
        <v>1981</v>
      </c>
      <c r="H569" t="s">
        <v>213</v>
      </c>
      <c r="I569">
        <v>0.40657707739539412</v>
      </c>
      <c r="J569">
        <v>0.19423370855800909</v>
      </c>
      <c r="K569">
        <v>0.24444860023503881</v>
      </c>
      <c r="L569">
        <v>0.2503316864714345</v>
      </c>
      <c r="M569" t="s">
        <v>76</v>
      </c>
      <c r="N569" t="s">
        <v>76</v>
      </c>
      <c r="O569" t="s">
        <v>77</v>
      </c>
      <c r="P569" t="s">
        <v>76</v>
      </c>
      <c r="S569" t="s">
        <v>1982</v>
      </c>
    </row>
    <row r="570" spans="1:19" x14ac:dyDescent="0.3">
      <c r="A570" t="s">
        <v>1983</v>
      </c>
      <c r="B570" t="s">
        <v>1984</v>
      </c>
      <c r="C570" t="s">
        <v>43</v>
      </c>
      <c r="D570" t="s">
        <v>35</v>
      </c>
      <c r="E570" t="s">
        <v>80</v>
      </c>
      <c r="F570" t="s">
        <v>45</v>
      </c>
      <c r="G570" t="s">
        <v>43</v>
      </c>
      <c r="H570" t="s">
        <v>26</v>
      </c>
      <c r="I570">
        <v>0.12918698325206701</v>
      </c>
      <c r="J570">
        <v>0.10700791120557231</v>
      </c>
      <c r="K570">
        <v>0.37142378437864598</v>
      </c>
      <c r="L570">
        <v>0.24859267413677449</v>
      </c>
      <c r="M570" t="s">
        <v>76</v>
      </c>
      <c r="N570" t="s">
        <v>76</v>
      </c>
      <c r="O570" t="s">
        <v>77</v>
      </c>
      <c r="P570" t="s">
        <v>76</v>
      </c>
      <c r="S570" t="s">
        <v>1984</v>
      </c>
    </row>
    <row r="571" spans="1:19" x14ac:dyDescent="0.3">
      <c r="A571" t="s">
        <v>1985</v>
      </c>
      <c r="B571" t="s">
        <v>1986</v>
      </c>
      <c r="C571" t="s">
        <v>43</v>
      </c>
      <c r="D571" t="s">
        <v>35</v>
      </c>
      <c r="E571" t="s">
        <v>80</v>
      </c>
      <c r="F571" t="s">
        <v>45</v>
      </c>
      <c r="G571" t="s">
        <v>43</v>
      </c>
      <c r="H571" t="s">
        <v>26</v>
      </c>
      <c r="I571">
        <v>0.12894161386317421</v>
      </c>
      <c r="J571">
        <v>0.1076228992010077</v>
      </c>
      <c r="K571">
        <v>0.36905656188813851</v>
      </c>
      <c r="L571">
        <v>0.2475251616145086</v>
      </c>
      <c r="M571" t="s">
        <v>76</v>
      </c>
      <c r="N571" t="s">
        <v>76</v>
      </c>
      <c r="O571" t="s">
        <v>77</v>
      </c>
      <c r="P571" t="s">
        <v>76</v>
      </c>
      <c r="S571" t="s">
        <v>1986</v>
      </c>
    </row>
    <row r="572" spans="1:19" x14ac:dyDescent="0.3">
      <c r="A572" t="s">
        <v>1987</v>
      </c>
      <c r="B572" t="s">
        <v>1988</v>
      </c>
      <c r="C572" t="s">
        <v>307</v>
      </c>
      <c r="D572" t="s">
        <v>63</v>
      </c>
      <c r="E572" t="s">
        <v>74</v>
      </c>
      <c r="F572" t="s">
        <v>251</v>
      </c>
      <c r="G572" t="s">
        <v>307</v>
      </c>
      <c r="H572" t="s">
        <v>75</v>
      </c>
      <c r="I572">
        <v>0.497486435980182</v>
      </c>
      <c r="J572">
        <v>0.41972930688392968</v>
      </c>
      <c r="K572">
        <v>6.3783494883117062E-2</v>
      </c>
      <c r="L572">
        <v>0.24423653432817241</v>
      </c>
      <c r="M572" t="s">
        <v>76</v>
      </c>
      <c r="N572" t="s">
        <v>76</v>
      </c>
      <c r="O572" t="s">
        <v>77</v>
      </c>
      <c r="P572" t="s">
        <v>76</v>
      </c>
      <c r="S572" t="s">
        <v>1988</v>
      </c>
    </row>
    <row r="573" spans="1:19" x14ac:dyDescent="0.3">
      <c r="A573" t="s">
        <v>1989</v>
      </c>
      <c r="B573" t="s">
        <v>1990</v>
      </c>
      <c r="C573" t="s">
        <v>24</v>
      </c>
      <c r="D573" t="s">
        <v>63</v>
      </c>
      <c r="E573" t="s">
        <v>74</v>
      </c>
      <c r="F573" t="s">
        <v>24</v>
      </c>
      <c r="G573" t="s">
        <v>1989</v>
      </c>
      <c r="H573" t="s">
        <v>26</v>
      </c>
      <c r="I573">
        <v>0.11262454950180199</v>
      </c>
      <c r="J573">
        <v>0.38539247713884611</v>
      </c>
      <c r="K573">
        <v>0.17754168678805821</v>
      </c>
      <c r="L573">
        <v>0.238261907792263</v>
      </c>
      <c r="M573" t="s">
        <v>239</v>
      </c>
      <c r="N573" t="s">
        <v>239</v>
      </c>
      <c r="O573" t="s">
        <v>240</v>
      </c>
      <c r="P573" t="s">
        <v>239</v>
      </c>
      <c r="S573" t="s">
        <v>1990</v>
      </c>
    </row>
    <row r="574" spans="1:19" x14ac:dyDescent="0.3">
      <c r="A574" t="s">
        <v>1991</v>
      </c>
      <c r="B574" t="s">
        <v>1992</v>
      </c>
      <c r="C574" t="s">
        <v>307</v>
      </c>
      <c r="D574" t="s">
        <v>63</v>
      </c>
      <c r="E574" t="s">
        <v>74</v>
      </c>
      <c r="F574" t="s">
        <v>251</v>
      </c>
      <c r="G574" t="s">
        <v>307</v>
      </c>
      <c r="H574" t="s">
        <v>75</v>
      </c>
      <c r="I574">
        <v>0.32143389944958739</v>
      </c>
      <c r="J574">
        <v>0.40466210099578848</v>
      </c>
      <c r="K574">
        <v>0.1070181834250238</v>
      </c>
      <c r="L574">
        <v>0.23710830555045909</v>
      </c>
      <c r="M574" t="s">
        <v>76</v>
      </c>
      <c r="N574" t="s">
        <v>76</v>
      </c>
      <c r="O574" t="s">
        <v>77</v>
      </c>
      <c r="P574" t="s">
        <v>76</v>
      </c>
      <c r="S574" t="s">
        <v>1992</v>
      </c>
    </row>
    <row r="575" spans="1:19" x14ac:dyDescent="0.3">
      <c r="A575" t="s">
        <v>1993</v>
      </c>
      <c r="B575" t="s">
        <v>1994</v>
      </c>
      <c r="C575" t="s">
        <v>1053</v>
      </c>
      <c r="D575" t="s">
        <v>63</v>
      </c>
      <c r="E575" t="s">
        <v>74</v>
      </c>
      <c r="F575" t="s">
        <v>314</v>
      </c>
      <c r="G575" t="s">
        <v>1053</v>
      </c>
      <c r="H575" t="s">
        <v>75</v>
      </c>
      <c r="I575">
        <v>0.35210507306118921</v>
      </c>
      <c r="J575">
        <v>0.44509756169559578</v>
      </c>
      <c r="K575">
        <v>6.8386427503548189E-2</v>
      </c>
      <c r="L575">
        <v>0.2347666651790363</v>
      </c>
      <c r="M575" t="s">
        <v>76</v>
      </c>
      <c r="N575" t="s">
        <v>76</v>
      </c>
      <c r="O575" t="s">
        <v>77</v>
      </c>
      <c r="P575" t="s">
        <v>76</v>
      </c>
      <c r="S575" t="s">
        <v>1994</v>
      </c>
    </row>
    <row r="576" spans="1:19" x14ac:dyDescent="0.3">
      <c r="A576" t="s">
        <v>1995</v>
      </c>
      <c r="B576" t="s">
        <v>1996</v>
      </c>
      <c r="C576" t="s">
        <v>307</v>
      </c>
      <c r="D576" t="s">
        <v>63</v>
      </c>
      <c r="E576" t="s">
        <v>74</v>
      </c>
      <c r="F576" t="s">
        <v>251</v>
      </c>
      <c r="G576" t="s">
        <v>307</v>
      </c>
      <c r="H576" t="s">
        <v>75</v>
      </c>
      <c r="I576">
        <v>0.28524191458789722</v>
      </c>
      <c r="J576">
        <v>0.3620741823119612</v>
      </c>
      <c r="K576">
        <v>0.13775919771147449</v>
      </c>
      <c r="L576">
        <v>0.2338196782641227</v>
      </c>
      <c r="M576" t="s">
        <v>76</v>
      </c>
      <c r="N576" t="s">
        <v>76</v>
      </c>
      <c r="O576" t="s">
        <v>77</v>
      </c>
      <c r="P576" t="s">
        <v>76</v>
      </c>
      <c r="S576" t="s">
        <v>1996</v>
      </c>
    </row>
    <row r="577" spans="1:19" x14ac:dyDescent="0.3">
      <c r="A577" t="s">
        <v>1997</v>
      </c>
      <c r="B577" t="s">
        <v>1998</v>
      </c>
      <c r="C577" t="s">
        <v>45</v>
      </c>
      <c r="D577" t="s">
        <v>63</v>
      </c>
      <c r="E577" t="s">
        <v>1999</v>
      </c>
      <c r="F577" t="s">
        <v>45</v>
      </c>
      <c r="G577" t="s">
        <v>2000</v>
      </c>
      <c r="H577" t="s">
        <v>213</v>
      </c>
      <c r="I577">
        <v>0.67427508067745501</v>
      </c>
      <c r="J577">
        <v>0.3820612921635772</v>
      </c>
      <c r="K577">
        <v>0</v>
      </c>
      <c r="L577">
        <v>0.22298959154629269</v>
      </c>
      <c r="M577" t="s">
        <v>76</v>
      </c>
      <c r="N577" t="s">
        <v>76</v>
      </c>
      <c r="O577" t="s">
        <v>77</v>
      </c>
      <c r="P577" t="s">
        <v>76</v>
      </c>
      <c r="S577" t="s">
        <v>1998</v>
      </c>
    </row>
    <row r="578" spans="1:19" x14ac:dyDescent="0.3">
      <c r="A578" t="s">
        <v>2001</v>
      </c>
      <c r="B578" t="s">
        <v>2002</v>
      </c>
      <c r="C578" t="s">
        <v>243</v>
      </c>
      <c r="D578" t="s">
        <v>63</v>
      </c>
      <c r="E578" t="s">
        <v>74</v>
      </c>
      <c r="F578" t="s">
        <v>243</v>
      </c>
      <c r="G578" t="s">
        <v>2003</v>
      </c>
      <c r="H578" t="s">
        <v>213</v>
      </c>
      <c r="I578">
        <v>0.87388307854175995</v>
      </c>
      <c r="J578">
        <v>0.27341341297017913</v>
      </c>
      <c r="K578">
        <v>0</v>
      </c>
      <c r="L578">
        <v>0.21450114519988531</v>
      </c>
      <c r="S578" t="s">
        <v>2002</v>
      </c>
    </row>
    <row r="579" spans="1:19" x14ac:dyDescent="0.3">
      <c r="A579" t="s">
        <v>2004</v>
      </c>
      <c r="B579" t="s">
        <v>2005</v>
      </c>
      <c r="C579" t="s">
        <v>1053</v>
      </c>
      <c r="D579" t="s">
        <v>63</v>
      </c>
      <c r="E579" t="s">
        <v>74</v>
      </c>
      <c r="F579" t="s">
        <v>314</v>
      </c>
      <c r="G579" t="s">
        <v>1053</v>
      </c>
      <c r="H579" t="s">
        <v>75</v>
      </c>
      <c r="I579">
        <v>0.31652651167173113</v>
      </c>
      <c r="J579">
        <v>0.40092092402356311</v>
      </c>
      <c r="K579">
        <v>5.8194219558307843E-2</v>
      </c>
      <c r="L579">
        <v>0.20959403118624201</v>
      </c>
      <c r="M579" t="s">
        <v>76</v>
      </c>
      <c r="N579" t="s">
        <v>76</v>
      </c>
      <c r="O579" t="s">
        <v>77</v>
      </c>
      <c r="P579" t="s">
        <v>76</v>
      </c>
      <c r="Q579" t="s">
        <v>707</v>
      </c>
      <c r="S579" t="s">
        <v>2005</v>
      </c>
    </row>
    <row r="580" spans="1:19" x14ac:dyDescent="0.3">
      <c r="A580" t="s">
        <v>2006</v>
      </c>
      <c r="B580" t="s">
        <v>2007</v>
      </c>
      <c r="C580" t="s">
        <v>196</v>
      </c>
      <c r="D580" t="s">
        <v>63</v>
      </c>
      <c r="E580" t="s">
        <v>74</v>
      </c>
      <c r="F580" t="s">
        <v>228</v>
      </c>
      <c r="G580" t="s">
        <v>196</v>
      </c>
      <c r="H580" t="s">
        <v>75</v>
      </c>
      <c r="I580">
        <v>0.22758010819808569</v>
      </c>
      <c r="J580">
        <v>0.29519423780847798</v>
      </c>
      <c r="K580">
        <v>0.13447138869688091</v>
      </c>
      <c r="L580">
        <v>0.2015360334375226</v>
      </c>
      <c r="M580" t="s">
        <v>76</v>
      </c>
      <c r="N580" t="s">
        <v>76</v>
      </c>
      <c r="O580" t="s">
        <v>77</v>
      </c>
      <c r="P580" t="s">
        <v>76</v>
      </c>
      <c r="S580" t="s">
        <v>2007</v>
      </c>
    </row>
    <row r="581" spans="1:19" x14ac:dyDescent="0.3">
      <c r="A581" t="s">
        <v>2008</v>
      </c>
      <c r="B581" t="s">
        <v>2009</v>
      </c>
      <c r="C581" t="s">
        <v>24</v>
      </c>
      <c r="D581" t="s">
        <v>63</v>
      </c>
      <c r="E581" t="s">
        <v>331</v>
      </c>
      <c r="F581" t="s">
        <v>55</v>
      </c>
      <c r="G581" t="s">
        <v>2010</v>
      </c>
      <c r="H581" t="s">
        <v>213</v>
      </c>
      <c r="I581">
        <v>0.57379631592584746</v>
      </c>
      <c r="J581">
        <v>0.35336185237664158</v>
      </c>
      <c r="K581">
        <v>0</v>
      </c>
      <c r="L581">
        <v>0.19924604689782241</v>
      </c>
      <c r="M581" t="s">
        <v>76</v>
      </c>
      <c r="N581" t="s">
        <v>76</v>
      </c>
      <c r="O581" t="s">
        <v>77</v>
      </c>
      <c r="P581" t="s">
        <v>76</v>
      </c>
      <c r="S581" t="s">
        <v>2009</v>
      </c>
    </row>
    <row r="582" spans="1:19" x14ac:dyDescent="0.3">
      <c r="A582" t="s">
        <v>2011</v>
      </c>
      <c r="B582" t="s">
        <v>2012</v>
      </c>
      <c r="C582" t="s">
        <v>228</v>
      </c>
      <c r="D582" t="s">
        <v>63</v>
      </c>
      <c r="E582" t="s">
        <v>315</v>
      </c>
      <c r="F582" t="s">
        <v>228</v>
      </c>
      <c r="G582" t="s">
        <v>2011</v>
      </c>
      <c r="H582" t="s">
        <v>213</v>
      </c>
      <c r="I582">
        <v>1.3697746134941391</v>
      </c>
      <c r="J582">
        <v>1.9474619855420192E-2</v>
      </c>
      <c r="K582">
        <v>0</v>
      </c>
      <c r="L582">
        <v>0.1987811624123193</v>
      </c>
      <c r="M582" t="s">
        <v>76</v>
      </c>
      <c r="N582" t="s">
        <v>76</v>
      </c>
      <c r="O582" t="s">
        <v>77</v>
      </c>
      <c r="P582" t="s">
        <v>76</v>
      </c>
      <c r="S582" t="s">
        <v>2012</v>
      </c>
    </row>
    <row r="583" spans="1:19" x14ac:dyDescent="0.3">
      <c r="A583" t="s">
        <v>2013</v>
      </c>
      <c r="B583" t="s">
        <v>2014</v>
      </c>
      <c r="C583" t="s">
        <v>228</v>
      </c>
      <c r="D583" t="s">
        <v>63</v>
      </c>
      <c r="E583" t="s">
        <v>74</v>
      </c>
      <c r="F583" t="s">
        <v>228</v>
      </c>
      <c r="G583" t="s">
        <v>2013</v>
      </c>
      <c r="H583" t="s">
        <v>317</v>
      </c>
      <c r="I583">
        <v>0.40547291514537648</v>
      </c>
      <c r="J583">
        <v>0.31390012266960537</v>
      </c>
      <c r="K583">
        <v>6.5920570742602949E-2</v>
      </c>
      <c r="L583">
        <v>0.1968871885824921</v>
      </c>
      <c r="M583" t="s">
        <v>76</v>
      </c>
      <c r="N583" t="s">
        <v>76</v>
      </c>
      <c r="O583" t="s">
        <v>77</v>
      </c>
      <c r="P583" t="s">
        <v>76</v>
      </c>
      <c r="S583" t="s">
        <v>2014</v>
      </c>
    </row>
    <row r="584" spans="1:19" x14ac:dyDescent="0.3">
      <c r="A584" t="s">
        <v>2015</v>
      </c>
      <c r="B584" t="s">
        <v>2016</v>
      </c>
      <c r="C584" t="s">
        <v>114</v>
      </c>
      <c r="D584" t="s">
        <v>63</v>
      </c>
      <c r="E584" t="s">
        <v>74</v>
      </c>
      <c r="F584" t="s">
        <v>114</v>
      </c>
      <c r="G584" t="s">
        <v>2017</v>
      </c>
      <c r="H584" t="s">
        <v>317</v>
      </c>
      <c r="I584">
        <v>0.53306499736964019</v>
      </c>
      <c r="J584">
        <v>0.22908302829928759</v>
      </c>
      <c r="K584">
        <v>8.4167910773597809E-2</v>
      </c>
      <c r="L584">
        <v>0.19585411194804089</v>
      </c>
      <c r="S584" t="s">
        <v>2016</v>
      </c>
    </row>
    <row r="585" spans="1:19" x14ac:dyDescent="0.3">
      <c r="A585" t="s">
        <v>2018</v>
      </c>
      <c r="B585" t="s">
        <v>2019</v>
      </c>
      <c r="C585" t="s">
        <v>243</v>
      </c>
      <c r="D585" t="s">
        <v>63</v>
      </c>
      <c r="E585" t="s">
        <v>74</v>
      </c>
      <c r="F585" t="s">
        <v>243</v>
      </c>
      <c r="G585" t="s">
        <v>244</v>
      </c>
      <c r="H585" t="s">
        <v>75</v>
      </c>
      <c r="I585">
        <v>0.12636523527979959</v>
      </c>
      <c r="J585">
        <v>0.16835296375014761</v>
      </c>
      <c r="K585">
        <v>0.22011881352704579</v>
      </c>
      <c r="L585">
        <v>0.1895695624217961</v>
      </c>
      <c r="M585" t="s">
        <v>76</v>
      </c>
      <c r="N585" t="s">
        <v>76</v>
      </c>
      <c r="O585" t="s">
        <v>77</v>
      </c>
      <c r="P585" t="s">
        <v>76</v>
      </c>
      <c r="S585" t="s">
        <v>2019</v>
      </c>
    </row>
    <row r="586" spans="1:19" x14ac:dyDescent="0.3">
      <c r="A586" t="s">
        <v>2020</v>
      </c>
      <c r="B586" t="s">
        <v>2021</v>
      </c>
      <c r="C586" t="s">
        <v>24</v>
      </c>
      <c r="D586" t="s">
        <v>35</v>
      </c>
      <c r="E586" t="s">
        <v>2022</v>
      </c>
      <c r="F586" t="s">
        <v>144</v>
      </c>
      <c r="G586" t="s">
        <v>2023</v>
      </c>
      <c r="H586" t="s">
        <v>26</v>
      </c>
      <c r="I586">
        <v>0.41197520395103598</v>
      </c>
      <c r="J586">
        <v>0.20740470146022799</v>
      </c>
      <c r="K586">
        <v>0.1141527289866921</v>
      </c>
      <c r="L586">
        <v>0.18727957588209609</v>
      </c>
      <c r="M586" t="s">
        <v>76</v>
      </c>
      <c r="N586" t="s">
        <v>76</v>
      </c>
      <c r="O586" t="s">
        <v>77</v>
      </c>
      <c r="P586" t="s">
        <v>76</v>
      </c>
      <c r="Q586" t="s">
        <v>2024</v>
      </c>
      <c r="R586" t="s">
        <v>2025</v>
      </c>
      <c r="S586" t="s">
        <v>2021</v>
      </c>
    </row>
    <row r="587" spans="1:19" x14ac:dyDescent="0.3">
      <c r="A587" t="s">
        <v>2026</v>
      </c>
      <c r="B587" t="s">
        <v>2027</v>
      </c>
      <c r="C587" t="s">
        <v>243</v>
      </c>
      <c r="D587" t="s">
        <v>63</v>
      </c>
      <c r="E587" t="s">
        <v>74</v>
      </c>
      <c r="F587" t="s">
        <v>243</v>
      </c>
      <c r="G587" t="s">
        <v>2028</v>
      </c>
      <c r="H587" t="s">
        <v>213</v>
      </c>
      <c r="I587">
        <v>0.65513626834381555</v>
      </c>
      <c r="J587">
        <v>0.27853831293213149</v>
      </c>
      <c r="K587">
        <v>0</v>
      </c>
      <c r="L587">
        <v>0.1855233456035289</v>
      </c>
      <c r="M587" t="s">
        <v>63</v>
      </c>
      <c r="N587" t="s">
        <v>28</v>
      </c>
      <c r="O587" t="s">
        <v>86</v>
      </c>
      <c r="P587" t="s">
        <v>30</v>
      </c>
      <c r="Q587" t="s">
        <v>2029</v>
      </c>
      <c r="R587" t="s">
        <v>2030</v>
      </c>
      <c r="S587" t="s">
        <v>768</v>
      </c>
    </row>
    <row r="588" spans="1:19" x14ac:dyDescent="0.3">
      <c r="A588" t="s">
        <v>2031</v>
      </c>
      <c r="B588" t="s">
        <v>2032</v>
      </c>
      <c r="C588" t="s">
        <v>24</v>
      </c>
      <c r="D588" t="s">
        <v>63</v>
      </c>
      <c r="E588" t="s">
        <v>2033</v>
      </c>
      <c r="F588" t="s">
        <v>144</v>
      </c>
      <c r="G588" t="s">
        <v>2034</v>
      </c>
      <c r="H588" t="s">
        <v>26</v>
      </c>
      <c r="I588">
        <v>0.45798196436843891</v>
      </c>
      <c r="J588">
        <v>0.18910880859605581</v>
      </c>
      <c r="K588">
        <v>0.1093854059155316</v>
      </c>
      <c r="L588">
        <v>0.18509289700584089</v>
      </c>
      <c r="M588" t="s">
        <v>76</v>
      </c>
      <c r="N588" t="s">
        <v>76</v>
      </c>
      <c r="O588" t="s">
        <v>77</v>
      </c>
      <c r="P588" t="s">
        <v>76</v>
      </c>
      <c r="Q588" t="s">
        <v>2024</v>
      </c>
      <c r="R588" t="s">
        <v>2025</v>
      </c>
      <c r="S588" t="s">
        <v>2032</v>
      </c>
    </row>
    <row r="589" spans="1:19" x14ac:dyDescent="0.3">
      <c r="A589" t="s">
        <v>2035</v>
      </c>
      <c r="B589" t="s">
        <v>2036</v>
      </c>
      <c r="C589" t="s">
        <v>24</v>
      </c>
      <c r="D589" t="s">
        <v>63</v>
      </c>
      <c r="E589" t="s">
        <v>2033</v>
      </c>
      <c r="F589" t="s">
        <v>144</v>
      </c>
      <c r="G589" t="s">
        <v>2037</v>
      </c>
      <c r="H589" t="s">
        <v>26</v>
      </c>
      <c r="I589">
        <v>0.41958165500671329</v>
      </c>
      <c r="J589">
        <v>0.18465014562915771</v>
      </c>
      <c r="K589">
        <v>0.11635556102646979</v>
      </c>
      <c r="L589">
        <v>0.18185592355122721</v>
      </c>
      <c r="M589" t="s">
        <v>76</v>
      </c>
      <c r="N589" t="s">
        <v>76</v>
      </c>
      <c r="O589" t="s">
        <v>77</v>
      </c>
      <c r="P589" t="s">
        <v>76</v>
      </c>
      <c r="Q589" t="s">
        <v>2038</v>
      </c>
      <c r="R589" t="s">
        <v>2039</v>
      </c>
      <c r="S589" t="s">
        <v>2036</v>
      </c>
    </row>
    <row r="590" spans="1:19" x14ac:dyDescent="0.3">
      <c r="A590" t="s">
        <v>2040</v>
      </c>
      <c r="B590" t="s">
        <v>2041</v>
      </c>
      <c r="C590" t="s">
        <v>24</v>
      </c>
      <c r="D590" t="s">
        <v>63</v>
      </c>
      <c r="E590" t="s">
        <v>2033</v>
      </c>
      <c r="F590" t="s">
        <v>144</v>
      </c>
      <c r="G590" t="s">
        <v>2040</v>
      </c>
      <c r="H590" t="s">
        <v>26</v>
      </c>
      <c r="I590">
        <v>0.41038030292323269</v>
      </c>
      <c r="J590">
        <v>0.19495119455268231</v>
      </c>
      <c r="K590">
        <v>0.1095826744564069</v>
      </c>
      <c r="L590">
        <v>0.1804784880386256</v>
      </c>
      <c r="M590" t="s">
        <v>76</v>
      </c>
      <c r="N590" t="s">
        <v>76</v>
      </c>
      <c r="O590" t="s">
        <v>77</v>
      </c>
      <c r="P590" t="s">
        <v>76</v>
      </c>
      <c r="Q590" t="s">
        <v>2024</v>
      </c>
      <c r="R590" t="s">
        <v>2025</v>
      </c>
      <c r="S590" t="s">
        <v>2041</v>
      </c>
    </row>
    <row r="591" spans="1:19" x14ac:dyDescent="0.3">
      <c r="A591" t="s">
        <v>2042</v>
      </c>
      <c r="B591" t="s">
        <v>2043</v>
      </c>
      <c r="C591" t="s">
        <v>24</v>
      </c>
      <c r="D591" t="s">
        <v>63</v>
      </c>
      <c r="E591" t="s">
        <v>74</v>
      </c>
      <c r="F591" t="s">
        <v>24</v>
      </c>
      <c r="G591" t="s">
        <v>2042</v>
      </c>
      <c r="H591" t="s">
        <v>26</v>
      </c>
      <c r="I591">
        <v>0.60250453442630669</v>
      </c>
      <c r="J591">
        <v>0.28212574290549891</v>
      </c>
      <c r="K591">
        <v>0</v>
      </c>
      <c r="L591">
        <v>0.17934210374072929</v>
      </c>
      <c r="M591" t="s">
        <v>76</v>
      </c>
      <c r="N591" t="s">
        <v>76</v>
      </c>
      <c r="O591" t="s">
        <v>77</v>
      </c>
      <c r="P591" t="s">
        <v>76</v>
      </c>
      <c r="S591" t="s">
        <v>2043</v>
      </c>
    </row>
    <row r="592" spans="1:19" x14ac:dyDescent="0.3">
      <c r="A592" t="s">
        <v>2044</v>
      </c>
      <c r="B592" t="s">
        <v>2045</v>
      </c>
      <c r="C592" t="s">
        <v>24</v>
      </c>
      <c r="D592" t="s">
        <v>63</v>
      </c>
      <c r="E592" t="s">
        <v>345</v>
      </c>
      <c r="F592" t="s">
        <v>144</v>
      </c>
      <c r="G592" t="s">
        <v>2046</v>
      </c>
      <c r="H592" t="s">
        <v>26</v>
      </c>
      <c r="I592">
        <v>0.42473441217346242</v>
      </c>
      <c r="J592">
        <v>0.18131896065388869</v>
      </c>
      <c r="K592">
        <v>0.1103717486199095</v>
      </c>
      <c r="L592">
        <v>0.17832624505018579</v>
      </c>
      <c r="M592" t="s">
        <v>76</v>
      </c>
      <c r="N592" t="s">
        <v>76</v>
      </c>
      <c r="O592" t="s">
        <v>77</v>
      </c>
      <c r="P592" t="s">
        <v>76</v>
      </c>
      <c r="Q592" t="s">
        <v>2024</v>
      </c>
      <c r="R592" t="s">
        <v>2025</v>
      </c>
      <c r="S592" t="s">
        <v>2045</v>
      </c>
    </row>
    <row r="593" spans="1:19" x14ac:dyDescent="0.3">
      <c r="A593" t="s">
        <v>2047</v>
      </c>
      <c r="B593" t="s">
        <v>2048</v>
      </c>
      <c r="E593" t="s">
        <v>54</v>
      </c>
      <c r="F593" t="s">
        <v>959</v>
      </c>
      <c r="G593" t="s">
        <v>1053</v>
      </c>
      <c r="H593" t="s">
        <v>75</v>
      </c>
      <c r="I593">
        <v>0.17114514875273831</v>
      </c>
      <c r="J593">
        <v>0.22359938533999821</v>
      </c>
      <c r="K593">
        <v>0.15091043376984919</v>
      </c>
      <c r="L593">
        <v>0.1781712835550178</v>
      </c>
      <c r="M593" t="s">
        <v>76</v>
      </c>
      <c r="N593" t="s">
        <v>76</v>
      </c>
      <c r="O593" t="s">
        <v>77</v>
      </c>
      <c r="P593" t="s">
        <v>76</v>
      </c>
      <c r="S593" t="s">
        <v>2048</v>
      </c>
    </row>
    <row r="594" spans="1:19" x14ac:dyDescent="0.3">
      <c r="A594" t="s">
        <v>2049</v>
      </c>
      <c r="B594" t="s">
        <v>2050</v>
      </c>
      <c r="C594" t="s">
        <v>314</v>
      </c>
      <c r="D594" t="s">
        <v>63</v>
      </c>
      <c r="E594" t="s">
        <v>315</v>
      </c>
      <c r="F594" t="s">
        <v>314</v>
      </c>
      <c r="G594" t="s">
        <v>2051</v>
      </c>
      <c r="H594" t="s">
        <v>213</v>
      </c>
      <c r="I594">
        <v>0.34572546894997602</v>
      </c>
      <c r="J594">
        <v>0.1460850108967118</v>
      </c>
      <c r="K594">
        <v>0.15321190008006491</v>
      </c>
      <c r="L594">
        <v>0.17783544545133129</v>
      </c>
      <c r="M594" t="s">
        <v>76</v>
      </c>
      <c r="N594" t="s">
        <v>76</v>
      </c>
      <c r="O594" t="s">
        <v>77</v>
      </c>
      <c r="P594" t="s">
        <v>76</v>
      </c>
      <c r="S594" t="s">
        <v>2050</v>
      </c>
    </row>
    <row r="595" spans="1:19" x14ac:dyDescent="0.3">
      <c r="A595" t="s">
        <v>2052</v>
      </c>
      <c r="B595" t="s">
        <v>2053</v>
      </c>
      <c r="C595" t="s">
        <v>114</v>
      </c>
      <c r="D595" t="s">
        <v>63</v>
      </c>
      <c r="E595" t="s">
        <v>74</v>
      </c>
      <c r="F595" t="s">
        <v>114</v>
      </c>
      <c r="G595" t="s">
        <v>1891</v>
      </c>
      <c r="H595" t="s">
        <v>75</v>
      </c>
      <c r="I595">
        <v>0.23248749597594201</v>
      </c>
      <c r="J595">
        <v>0.20140856850474281</v>
      </c>
      <c r="K595">
        <v>0.14630750114941801</v>
      </c>
      <c r="L595">
        <v>0.17691437364976881</v>
      </c>
      <c r="S595" t="s">
        <v>2053</v>
      </c>
    </row>
    <row r="596" spans="1:19" x14ac:dyDescent="0.3">
      <c r="A596" t="s">
        <v>2054</v>
      </c>
      <c r="B596" t="s">
        <v>2055</v>
      </c>
      <c r="C596" t="s">
        <v>24</v>
      </c>
      <c r="D596" t="s">
        <v>63</v>
      </c>
      <c r="E596" t="s">
        <v>74</v>
      </c>
      <c r="F596" t="s">
        <v>144</v>
      </c>
      <c r="G596" t="s">
        <v>2046</v>
      </c>
      <c r="H596" t="s">
        <v>213</v>
      </c>
      <c r="I596">
        <v>0.27702204005998787</v>
      </c>
      <c r="J596">
        <v>0.14119099395179829</v>
      </c>
      <c r="K596">
        <v>0.1595226470611513</v>
      </c>
      <c r="L596">
        <v>0.16985404974378621</v>
      </c>
      <c r="M596" t="s">
        <v>76</v>
      </c>
      <c r="N596" t="s">
        <v>76</v>
      </c>
      <c r="O596" t="s">
        <v>77</v>
      </c>
      <c r="P596" t="s">
        <v>76</v>
      </c>
      <c r="S596" t="s">
        <v>2055</v>
      </c>
    </row>
    <row r="597" spans="1:19" x14ac:dyDescent="0.3">
      <c r="A597" t="s">
        <v>2056</v>
      </c>
      <c r="B597" t="s">
        <v>2057</v>
      </c>
      <c r="C597" t="s">
        <v>24</v>
      </c>
      <c r="D597" t="s">
        <v>63</v>
      </c>
      <c r="E597" t="s">
        <v>315</v>
      </c>
      <c r="F597" t="s">
        <v>55</v>
      </c>
      <c r="G597" t="s">
        <v>2056</v>
      </c>
      <c r="H597" t="s">
        <v>213</v>
      </c>
      <c r="I597">
        <v>0.44779913472938693</v>
      </c>
      <c r="J597">
        <v>0.31005644769814089</v>
      </c>
      <c r="K597">
        <v>0</v>
      </c>
      <c r="L597">
        <v>0.1670140559029448</v>
      </c>
      <c r="M597" t="s">
        <v>76</v>
      </c>
      <c r="N597" t="s">
        <v>76</v>
      </c>
      <c r="O597" t="s">
        <v>77</v>
      </c>
      <c r="P597" t="s">
        <v>76</v>
      </c>
      <c r="S597" t="s">
        <v>2057</v>
      </c>
    </row>
    <row r="598" spans="1:19" x14ac:dyDescent="0.3">
      <c r="A598" t="s">
        <v>2058</v>
      </c>
      <c r="B598" t="s">
        <v>2059</v>
      </c>
      <c r="C598" t="s">
        <v>24</v>
      </c>
      <c r="D598" t="s">
        <v>53</v>
      </c>
      <c r="E598" t="s">
        <v>389</v>
      </c>
      <c r="F598" t="s">
        <v>144</v>
      </c>
      <c r="G598" t="s">
        <v>2058</v>
      </c>
      <c r="H598" t="s">
        <v>213</v>
      </c>
      <c r="I598">
        <v>0.26769800328206089</v>
      </c>
      <c r="J598">
        <v>0.12965996903740429</v>
      </c>
      <c r="K598">
        <v>0.1563681967340747</v>
      </c>
      <c r="L598">
        <v>0.16301949291640011</v>
      </c>
      <c r="M598" t="s">
        <v>76</v>
      </c>
      <c r="N598" t="s">
        <v>76</v>
      </c>
      <c r="O598" t="s">
        <v>77</v>
      </c>
      <c r="P598" t="s">
        <v>76</v>
      </c>
      <c r="S598" t="s">
        <v>2059</v>
      </c>
    </row>
    <row r="599" spans="1:19" x14ac:dyDescent="0.3">
      <c r="A599" t="s">
        <v>2060</v>
      </c>
      <c r="B599" t="s">
        <v>2061</v>
      </c>
      <c r="C599" t="s">
        <v>243</v>
      </c>
      <c r="D599" t="s">
        <v>63</v>
      </c>
      <c r="E599" t="s">
        <v>74</v>
      </c>
      <c r="F599" t="s">
        <v>243</v>
      </c>
      <c r="G599" t="s">
        <v>2060</v>
      </c>
      <c r="H599" t="s">
        <v>213</v>
      </c>
      <c r="I599">
        <v>0</v>
      </c>
      <c r="J599">
        <v>0.47815316645019079</v>
      </c>
      <c r="K599">
        <v>0</v>
      </c>
      <c r="L599">
        <v>0.16064341665716231</v>
      </c>
      <c r="Q599" t="s">
        <v>2062</v>
      </c>
      <c r="R599" t="s">
        <v>2063</v>
      </c>
      <c r="S599" t="s">
        <v>2061</v>
      </c>
    </row>
    <row r="600" spans="1:19" x14ac:dyDescent="0.3">
      <c r="A600" t="s">
        <v>2064</v>
      </c>
      <c r="B600" t="s">
        <v>2065</v>
      </c>
      <c r="C600" t="s">
        <v>114</v>
      </c>
      <c r="D600" t="s">
        <v>189</v>
      </c>
      <c r="F600" t="s">
        <v>114</v>
      </c>
      <c r="G600" t="s">
        <v>1891</v>
      </c>
      <c r="H600" t="s">
        <v>75</v>
      </c>
      <c r="I600">
        <v>0.27420029208772051</v>
      </c>
      <c r="J600">
        <v>0.2392303302239541</v>
      </c>
      <c r="K600">
        <v>7.9236197251707288E-2</v>
      </c>
      <c r="L600">
        <v>0.1603507116107345</v>
      </c>
      <c r="S600" t="s">
        <v>2065</v>
      </c>
    </row>
    <row r="601" spans="1:19" x14ac:dyDescent="0.3">
      <c r="A601" t="s">
        <v>2066</v>
      </c>
      <c r="B601" t="s">
        <v>2067</v>
      </c>
      <c r="C601" t="s">
        <v>1053</v>
      </c>
      <c r="D601" t="s">
        <v>63</v>
      </c>
      <c r="E601" t="s">
        <v>74</v>
      </c>
      <c r="F601" t="s">
        <v>314</v>
      </c>
      <c r="G601" t="s">
        <v>1053</v>
      </c>
      <c r="H601" t="s">
        <v>75</v>
      </c>
      <c r="I601">
        <v>0.1466082098634568</v>
      </c>
      <c r="J601">
        <v>0.18598261961926499</v>
      </c>
      <c r="K601">
        <v>0.1418689589797166</v>
      </c>
      <c r="L601">
        <v>0.15735478937082609</v>
      </c>
      <c r="M601" t="s">
        <v>76</v>
      </c>
      <c r="N601" t="s">
        <v>76</v>
      </c>
      <c r="O601" t="s">
        <v>77</v>
      </c>
      <c r="P601" t="s">
        <v>76</v>
      </c>
      <c r="S601" t="s">
        <v>2067</v>
      </c>
    </row>
    <row r="602" spans="1:19" x14ac:dyDescent="0.3">
      <c r="A602" t="s">
        <v>2068</v>
      </c>
      <c r="B602" t="s">
        <v>2069</v>
      </c>
      <c r="C602" t="s">
        <v>45</v>
      </c>
      <c r="D602" t="s">
        <v>63</v>
      </c>
      <c r="E602" t="s">
        <v>331</v>
      </c>
      <c r="F602" t="s">
        <v>45</v>
      </c>
      <c r="G602" t="s">
        <v>2070</v>
      </c>
      <c r="H602" t="s">
        <v>213</v>
      </c>
      <c r="I602">
        <v>0.51134980645262607</v>
      </c>
      <c r="J602">
        <v>0.25113463138981601</v>
      </c>
      <c r="K602">
        <v>0</v>
      </c>
      <c r="L602">
        <v>0.15613719803903059</v>
      </c>
      <c r="M602" t="s">
        <v>76</v>
      </c>
      <c r="N602" t="s">
        <v>76</v>
      </c>
      <c r="O602" t="s">
        <v>77</v>
      </c>
      <c r="P602" t="s">
        <v>76</v>
      </c>
      <c r="S602" t="s">
        <v>2069</v>
      </c>
    </row>
    <row r="603" spans="1:19" x14ac:dyDescent="0.3">
      <c r="A603" t="s">
        <v>2071</v>
      </c>
      <c r="B603" t="s">
        <v>2072</v>
      </c>
      <c r="C603" t="s">
        <v>24</v>
      </c>
      <c r="D603" t="s">
        <v>35</v>
      </c>
      <c r="E603" t="s">
        <v>80</v>
      </c>
      <c r="F603" t="s">
        <v>24</v>
      </c>
      <c r="G603" t="s">
        <v>2073</v>
      </c>
      <c r="H603" t="s">
        <v>26</v>
      </c>
      <c r="I603">
        <v>0.19224691619752041</v>
      </c>
      <c r="J603">
        <v>0.1098778551842664</v>
      </c>
      <c r="K603">
        <v>0.14144154380781979</v>
      </c>
      <c r="L603">
        <v>0.13796738453095839</v>
      </c>
      <c r="M603" t="s">
        <v>76</v>
      </c>
      <c r="N603" t="s">
        <v>76</v>
      </c>
      <c r="O603" t="s">
        <v>77</v>
      </c>
      <c r="P603" t="s">
        <v>76</v>
      </c>
      <c r="S603" t="s">
        <v>2072</v>
      </c>
    </row>
    <row r="604" spans="1:19" x14ac:dyDescent="0.3">
      <c r="A604" t="s">
        <v>2074</v>
      </c>
      <c r="B604" t="s">
        <v>2075</v>
      </c>
      <c r="C604" t="s">
        <v>21</v>
      </c>
      <c r="D604" t="s">
        <v>63</v>
      </c>
      <c r="E604" t="s">
        <v>74</v>
      </c>
      <c r="F604" t="s">
        <v>24</v>
      </c>
      <c r="G604" t="s">
        <v>21</v>
      </c>
      <c r="H604" t="s">
        <v>26</v>
      </c>
      <c r="I604">
        <v>0.93878328190390947</v>
      </c>
      <c r="J604">
        <v>0</v>
      </c>
      <c r="K604">
        <v>0</v>
      </c>
      <c r="L604">
        <v>0.1317517067803437</v>
      </c>
      <c r="M604" t="s">
        <v>76</v>
      </c>
      <c r="N604" t="s">
        <v>76</v>
      </c>
      <c r="O604" t="s">
        <v>77</v>
      </c>
      <c r="P604" t="s">
        <v>76</v>
      </c>
      <c r="S604" t="s">
        <v>2075</v>
      </c>
    </row>
    <row r="605" spans="1:19" x14ac:dyDescent="0.3">
      <c r="A605" t="s">
        <v>2076</v>
      </c>
      <c r="B605" t="s">
        <v>2077</v>
      </c>
      <c r="C605" t="s">
        <v>21</v>
      </c>
      <c r="D605" t="s">
        <v>35</v>
      </c>
      <c r="E605" t="s">
        <v>150</v>
      </c>
      <c r="F605" t="s">
        <v>24</v>
      </c>
      <c r="G605" t="s">
        <v>21</v>
      </c>
      <c r="H605" t="s">
        <v>26</v>
      </c>
      <c r="I605">
        <v>8.7228817751395668E-2</v>
      </c>
      <c r="J605">
        <v>7.6617254431193507E-2</v>
      </c>
      <c r="K605">
        <v>0.17704851543586911</v>
      </c>
      <c r="L605">
        <v>0.13070141220198511</v>
      </c>
      <c r="M605" t="s">
        <v>239</v>
      </c>
      <c r="N605" t="s">
        <v>239</v>
      </c>
      <c r="O605" t="s">
        <v>240</v>
      </c>
      <c r="P605" t="s">
        <v>239</v>
      </c>
      <c r="Q605" t="s">
        <v>1477</v>
      </c>
      <c r="R605" t="s">
        <v>1478</v>
      </c>
      <c r="S605" t="s">
        <v>2077</v>
      </c>
    </row>
    <row r="606" spans="1:19" x14ac:dyDescent="0.3">
      <c r="A606" t="s">
        <v>2078</v>
      </c>
      <c r="B606" t="s">
        <v>2079</v>
      </c>
      <c r="C606" t="s">
        <v>24</v>
      </c>
      <c r="D606" t="s">
        <v>35</v>
      </c>
      <c r="E606" t="s">
        <v>80</v>
      </c>
      <c r="F606" t="s">
        <v>24</v>
      </c>
      <c r="G606" t="s">
        <v>2080</v>
      </c>
      <c r="H606" t="s">
        <v>26</v>
      </c>
      <c r="I606">
        <v>8.5143177945806739E-2</v>
      </c>
      <c r="J606">
        <v>0.115310249143937</v>
      </c>
      <c r="K606">
        <v>0.14939804162313619</v>
      </c>
      <c r="L606">
        <v>0.12892796397951059</v>
      </c>
      <c r="M606" t="s">
        <v>239</v>
      </c>
      <c r="N606" t="s">
        <v>239</v>
      </c>
      <c r="O606" t="s">
        <v>240</v>
      </c>
      <c r="P606" t="s">
        <v>239</v>
      </c>
      <c r="Q606" t="s">
        <v>1477</v>
      </c>
      <c r="R606" t="s">
        <v>1478</v>
      </c>
      <c r="S606" t="s">
        <v>2079</v>
      </c>
    </row>
    <row r="607" spans="1:19" x14ac:dyDescent="0.3">
      <c r="A607" t="s">
        <v>2081</v>
      </c>
      <c r="B607" t="s">
        <v>2082</v>
      </c>
      <c r="C607" t="s">
        <v>45</v>
      </c>
      <c r="D607" t="s">
        <v>63</v>
      </c>
      <c r="E607" t="s">
        <v>74</v>
      </c>
      <c r="F607" t="s">
        <v>45</v>
      </c>
      <c r="G607" t="s">
        <v>2081</v>
      </c>
      <c r="H607" t="s">
        <v>213</v>
      </c>
      <c r="I607">
        <v>0.43454918772917511</v>
      </c>
      <c r="J607">
        <v>0.19091357182185009</v>
      </c>
      <c r="K607">
        <v>0</v>
      </c>
      <c r="L607">
        <v>0.1251265102135003</v>
      </c>
      <c r="M607" t="s">
        <v>76</v>
      </c>
      <c r="N607" t="s">
        <v>76</v>
      </c>
      <c r="O607" t="s">
        <v>77</v>
      </c>
      <c r="P607" t="s">
        <v>76</v>
      </c>
      <c r="S607" t="s">
        <v>2082</v>
      </c>
    </row>
    <row r="608" spans="1:19" x14ac:dyDescent="0.3">
      <c r="A608" t="s">
        <v>2083</v>
      </c>
      <c r="B608" t="s">
        <v>2084</v>
      </c>
      <c r="C608" t="s">
        <v>24</v>
      </c>
      <c r="D608" t="s">
        <v>63</v>
      </c>
      <c r="E608" t="s">
        <v>323</v>
      </c>
      <c r="F608" t="s">
        <v>144</v>
      </c>
      <c r="G608" t="s">
        <v>2085</v>
      </c>
      <c r="H608" t="s">
        <v>26</v>
      </c>
      <c r="I608">
        <v>0.29787843811587722</v>
      </c>
      <c r="J608">
        <v>0.1323249170176195</v>
      </c>
      <c r="K608">
        <v>7.331814102543871E-2</v>
      </c>
      <c r="L608">
        <v>0.1246579138904453</v>
      </c>
      <c r="M608" t="s">
        <v>76</v>
      </c>
      <c r="N608" t="s">
        <v>76</v>
      </c>
      <c r="O608" t="s">
        <v>77</v>
      </c>
      <c r="P608" t="s">
        <v>76</v>
      </c>
      <c r="S608" t="s">
        <v>2084</v>
      </c>
    </row>
    <row r="609" spans="1:19" x14ac:dyDescent="0.3">
      <c r="A609" t="s">
        <v>2086</v>
      </c>
      <c r="B609" t="s">
        <v>2087</v>
      </c>
      <c r="C609" t="s">
        <v>43</v>
      </c>
      <c r="D609" t="s">
        <v>35</v>
      </c>
      <c r="E609" t="s">
        <v>80</v>
      </c>
      <c r="F609" t="s">
        <v>45</v>
      </c>
      <c r="G609" t="s">
        <v>43</v>
      </c>
      <c r="H609" t="s">
        <v>26</v>
      </c>
      <c r="I609">
        <v>3.7418831806154247E-2</v>
      </c>
      <c r="J609">
        <v>0.16297181879009709</v>
      </c>
      <c r="K609">
        <v>0.12247088579361359</v>
      </c>
      <c r="L609">
        <v>0.1241413755732196</v>
      </c>
      <c r="M609" t="s">
        <v>76</v>
      </c>
      <c r="N609" t="s">
        <v>76</v>
      </c>
      <c r="O609" t="s">
        <v>77</v>
      </c>
      <c r="P609" t="s">
        <v>76</v>
      </c>
      <c r="S609" t="s">
        <v>2087</v>
      </c>
    </row>
    <row r="610" spans="1:19" x14ac:dyDescent="0.3">
      <c r="A610" t="s">
        <v>2088</v>
      </c>
      <c r="B610" t="s">
        <v>2089</v>
      </c>
      <c r="C610" t="s">
        <v>228</v>
      </c>
      <c r="D610" t="s">
        <v>35</v>
      </c>
      <c r="E610" t="s">
        <v>389</v>
      </c>
      <c r="F610" t="s">
        <v>228</v>
      </c>
      <c r="G610" t="s">
        <v>2088</v>
      </c>
      <c r="H610" t="s">
        <v>213</v>
      </c>
      <c r="I610">
        <v>0.86823958259722511</v>
      </c>
      <c r="J610">
        <v>0</v>
      </c>
      <c r="K610">
        <v>0</v>
      </c>
      <c r="L610">
        <v>0.12185138903351959</v>
      </c>
      <c r="M610" t="s">
        <v>76</v>
      </c>
      <c r="N610" t="s">
        <v>76</v>
      </c>
      <c r="O610" t="s">
        <v>77</v>
      </c>
      <c r="P610" t="s">
        <v>76</v>
      </c>
      <c r="S610" t="s">
        <v>2089</v>
      </c>
    </row>
    <row r="611" spans="1:19" x14ac:dyDescent="0.3">
      <c r="A611" t="s">
        <v>2090</v>
      </c>
      <c r="B611" t="s">
        <v>2091</v>
      </c>
      <c r="C611" t="s">
        <v>73</v>
      </c>
      <c r="D611" t="s">
        <v>35</v>
      </c>
      <c r="E611" t="s">
        <v>150</v>
      </c>
      <c r="F611" t="s">
        <v>73</v>
      </c>
      <c r="G611" t="s">
        <v>71</v>
      </c>
      <c r="H611" t="s">
        <v>75</v>
      </c>
      <c r="I611">
        <v>0.16746460791934609</v>
      </c>
      <c r="J611">
        <v>0.20853217945185709</v>
      </c>
      <c r="K611">
        <v>5.1782991979850188E-2</v>
      </c>
      <c r="L611">
        <v>0.1206805688478082</v>
      </c>
      <c r="M611" t="s">
        <v>76</v>
      </c>
      <c r="N611" t="s">
        <v>76</v>
      </c>
      <c r="O611" t="s">
        <v>77</v>
      </c>
      <c r="P611" t="s">
        <v>76</v>
      </c>
      <c r="S611" t="s">
        <v>2091</v>
      </c>
    </row>
    <row r="612" spans="1:19" x14ac:dyDescent="0.3">
      <c r="A612" t="s">
        <v>2092</v>
      </c>
      <c r="B612" t="s">
        <v>2093</v>
      </c>
      <c r="C612" t="s">
        <v>24</v>
      </c>
      <c r="D612" t="s">
        <v>53</v>
      </c>
      <c r="E612" t="s">
        <v>389</v>
      </c>
      <c r="F612" t="s">
        <v>144</v>
      </c>
      <c r="G612" t="s">
        <v>2092</v>
      </c>
      <c r="H612" t="s">
        <v>213</v>
      </c>
      <c r="I612">
        <v>0</v>
      </c>
      <c r="J612">
        <v>0</v>
      </c>
      <c r="K612">
        <v>0.22843432641815281</v>
      </c>
      <c r="L612">
        <v>0.119628889675819</v>
      </c>
      <c r="M612" t="s">
        <v>76</v>
      </c>
      <c r="N612" t="s">
        <v>76</v>
      </c>
      <c r="O612" t="s">
        <v>77</v>
      </c>
      <c r="P612" t="s">
        <v>76</v>
      </c>
      <c r="S612" t="s">
        <v>2093</v>
      </c>
    </row>
    <row r="613" spans="1:19" x14ac:dyDescent="0.3">
      <c r="A613" t="s">
        <v>2094</v>
      </c>
      <c r="B613" t="s">
        <v>2095</v>
      </c>
      <c r="C613" t="s">
        <v>243</v>
      </c>
      <c r="D613" t="s">
        <v>63</v>
      </c>
      <c r="E613" t="s">
        <v>2096</v>
      </c>
      <c r="F613" t="s">
        <v>243</v>
      </c>
      <c r="G613" t="s">
        <v>2094</v>
      </c>
      <c r="H613" t="s">
        <v>213</v>
      </c>
      <c r="I613">
        <v>0.36155179453356262</v>
      </c>
      <c r="J613">
        <v>0.1932087285656188</v>
      </c>
      <c r="K613">
        <v>0</v>
      </c>
      <c r="L613">
        <v>0.1156529292268125</v>
      </c>
      <c r="S613" t="s">
        <v>2095</v>
      </c>
    </row>
    <row r="614" spans="1:19" x14ac:dyDescent="0.3">
      <c r="A614" t="s">
        <v>2097</v>
      </c>
      <c r="B614" t="s">
        <v>2098</v>
      </c>
      <c r="C614" t="s">
        <v>24</v>
      </c>
      <c r="D614" t="s">
        <v>63</v>
      </c>
      <c r="E614" t="s">
        <v>2033</v>
      </c>
      <c r="F614" t="s">
        <v>144</v>
      </c>
      <c r="G614" t="s">
        <v>2046</v>
      </c>
      <c r="H614" t="s">
        <v>26</v>
      </c>
      <c r="I614">
        <v>0.27076512064322111</v>
      </c>
      <c r="J614">
        <v>0.109057871190354</v>
      </c>
      <c r="K614">
        <v>7.2430432591498589E-2</v>
      </c>
      <c r="L614">
        <v>0.1125709172673663</v>
      </c>
      <c r="M614" t="s">
        <v>76</v>
      </c>
      <c r="N614" t="s">
        <v>76</v>
      </c>
      <c r="O614" t="s">
        <v>77</v>
      </c>
      <c r="P614" t="s">
        <v>76</v>
      </c>
      <c r="Q614" t="s">
        <v>1525</v>
      </c>
      <c r="R614" t="s">
        <v>1526</v>
      </c>
      <c r="S614" t="s">
        <v>2098</v>
      </c>
    </row>
    <row r="615" spans="1:19" x14ac:dyDescent="0.3">
      <c r="A615" t="s">
        <v>2099</v>
      </c>
      <c r="B615" t="s">
        <v>2100</v>
      </c>
      <c r="C615" t="s">
        <v>43</v>
      </c>
      <c r="D615" t="s">
        <v>35</v>
      </c>
      <c r="E615" t="s">
        <v>36</v>
      </c>
      <c r="F615" t="s">
        <v>45</v>
      </c>
      <c r="G615" t="s">
        <v>43</v>
      </c>
      <c r="H615" t="s">
        <v>26</v>
      </c>
      <c r="I615">
        <v>2.9444326667137779E-2</v>
      </c>
      <c r="J615">
        <v>6.7956173495493169E-2</v>
      </c>
      <c r="K615">
        <v>0.16113551980523591</v>
      </c>
      <c r="L615">
        <v>0.1113484432499325</v>
      </c>
      <c r="M615" t="s">
        <v>76</v>
      </c>
      <c r="N615" t="s">
        <v>76</v>
      </c>
      <c r="O615" t="s">
        <v>77</v>
      </c>
      <c r="P615" t="s">
        <v>76</v>
      </c>
      <c r="S615" t="s">
        <v>2100</v>
      </c>
    </row>
    <row r="616" spans="1:19" x14ac:dyDescent="0.3">
      <c r="A616" t="s">
        <v>2101</v>
      </c>
      <c r="B616" t="s">
        <v>2102</v>
      </c>
      <c r="C616" t="s">
        <v>21</v>
      </c>
      <c r="D616" t="s">
        <v>35</v>
      </c>
      <c r="E616" t="s">
        <v>36</v>
      </c>
      <c r="F616" t="s">
        <v>24</v>
      </c>
      <c r="G616" t="s">
        <v>21</v>
      </c>
      <c r="H616" t="s">
        <v>26</v>
      </c>
      <c r="I616">
        <v>4.8092400222991702E-2</v>
      </c>
      <c r="J616">
        <v>4.0281713700949941E-2</v>
      </c>
      <c r="K616">
        <v>0.15498731694794551</v>
      </c>
      <c r="L616">
        <v>0.1014481255031089</v>
      </c>
      <c r="M616" t="s">
        <v>76</v>
      </c>
      <c r="N616" t="s">
        <v>76</v>
      </c>
      <c r="O616" t="s">
        <v>77</v>
      </c>
      <c r="P616" t="s">
        <v>76</v>
      </c>
      <c r="S616" t="s">
        <v>2102</v>
      </c>
    </row>
    <row r="617" spans="1:19" x14ac:dyDescent="0.3">
      <c r="A617" t="s">
        <v>2103</v>
      </c>
      <c r="B617" t="s">
        <v>2104</v>
      </c>
      <c r="C617" t="s">
        <v>21</v>
      </c>
      <c r="D617" t="s">
        <v>63</v>
      </c>
      <c r="E617" t="s">
        <v>74</v>
      </c>
      <c r="F617" t="s">
        <v>24</v>
      </c>
      <c r="G617" t="s">
        <v>21</v>
      </c>
      <c r="H617" t="s">
        <v>26</v>
      </c>
      <c r="I617">
        <v>9.0786673890341479E-2</v>
      </c>
      <c r="J617">
        <v>0.11684771913252109</v>
      </c>
      <c r="K617">
        <v>9.03489917210335E-2</v>
      </c>
      <c r="L617">
        <v>9.9313100458575165E-2</v>
      </c>
      <c r="M617" t="s">
        <v>76</v>
      </c>
      <c r="N617" t="s">
        <v>76</v>
      </c>
      <c r="O617" t="s">
        <v>77</v>
      </c>
      <c r="P617" t="s">
        <v>76</v>
      </c>
      <c r="S617" t="s">
        <v>2104</v>
      </c>
    </row>
    <row r="618" spans="1:19" x14ac:dyDescent="0.3">
      <c r="A618" t="s">
        <v>2105</v>
      </c>
      <c r="B618" t="s">
        <v>2106</v>
      </c>
      <c r="C618" t="s">
        <v>24</v>
      </c>
      <c r="D618" t="s">
        <v>63</v>
      </c>
      <c r="E618" t="s">
        <v>74</v>
      </c>
      <c r="F618" t="s">
        <v>24</v>
      </c>
      <c r="G618" t="s">
        <v>2105</v>
      </c>
      <c r="H618" t="s">
        <v>26</v>
      </c>
      <c r="I618">
        <v>4.7233607361866853E-2</v>
      </c>
      <c r="J618">
        <v>0.27459213996142862</v>
      </c>
      <c r="K618">
        <v>0</v>
      </c>
      <c r="L618">
        <v>9.8882651860888057E-2</v>
      </c>
      <c r="M618" t="s">
        <v>239</v>
      </c>
      <c r="N618" t="s">
        <v>239</v>
      </c>
      <c r="O618" t="s">
        <v>240</v>
      </c>
      <c r="P618" t="s">
        <v>239</v>
      </c>
      <c r="Q618" t="s">
        <v>2107</v>
      </c>
      <c r="R618" t="s">
        <v>2108</v>
      </c>
      <c r="S618" t="s">
        <v>2106</v>
      </c>
    </row>
    <row r="619" spans="1:19" x14ac:dyDescent="0.3">
      <c r="A619" t="s">
        <v>2109</v>
      </c>
      <c r="B619" t="s">
        <v>2110</v>
      </c>
      <c r="C619" t="s">
        <v>314</v>
      </c>
      <c r="D619" t="s">
        <v>63</v>
      </c>
      <c r="E619" t="s">
        <v>74</v>
      </c>
      <c r="F619" t="s">
        <v>314</v>
      </c>
      <c r="G619" t="s">
        <v>2111</v>
      </c>
      <c r="H619" t="s">
        <v>213</v>
      </c>
      <c r="I619">
        <v>0.28929050950462859</v>
      </c>
      <c r="J619">
        <v>0.1332705362566492</v>
      </c>
      <c r="K619">
        <v>2.3711859554038199E-2</v>
      </c>
      <c r="L619">
        <v>9.7792015134669785E-2</v>
      </c>
      <c r="M619" t="s">
        <v>76</v>
      </c>
      <c r="N619" t="s">
        <v>76</v>
      </c>
      <c r="O619" t="s">
        <v>77</v>
      </c>
      <c r="P619" t="s">
        <v>76</v>
      </c>
      <c r="S619" t="s">
        <v>2110</v>
      </c>
    </row>
    <row r="620" spans="1:19" x14ac:dyDescent="0.3">
      <c r="A620" t="s">
        <v>2112</v>
      </c>
      <c r="B620" t="s">
        <v>2113</v>
      </c>
      <c r="C620" t="s">
        <v>21</v>
      </c>
      <c r="D620" t="s">
        <v>63</v>
      </c>
      <c r="E620" t="s">
        <v>74</v>
      </c>
      <c r="F620" t="s">
        <v>24</v>
      </c>
      <c r="G620" t="s">
        <v>21</v>
      </c>
      <c r="H620" t="s">
        <v>26</v>
      </c>
      <c r="I620">
        <v>8.6983448362502852E-2</v>
      </c>
      <c r="J620">
        <v>0.1078278951994852</v>
      </c>
      <c r="K620">
        <v>9.0940797343660451E-2</v>
      </c>
      <c r="L620">
        <v>9.6058909060054209E-2</v>
      </c>
      <c r="M620" t="s">
        <v>121</v>
      </c>
      <c r="N620" t="s">
        <v>122</v>
      </c>
      <c r="O620" t="s">
        <v>123</v>
      </c>
      <c r="P620" t="s">
        <v>124</v>
      </c>
      <c r="Q620" t="s">
        <v>2114</v>
      </c>
      <c r="R620" t="s">
        <v>2115</v>
      </c>
      <c r="S620" t="s">
        <v>2113</v>
      </c>
    </row>
    <row r="621" spans="1:19" x14ac:dyDescent="0.3">
      <c r="A621" t="s">
        <v>2116</v>
      </c>
      <c r="B621" t="s">
        <v>2117</v>
      </c>
      <c r="C621" t="s">
        <v>24</v>
      </c>
      <c r="D621" t="s">
        <v>35</v>
      </c>
      <c r="E621" t="s">
        <v>389</v>
      </c>
      <c r="F621" t="s">
        <v>144</v>
      </c>
      <c r="G621" t="s">
        <v>2118</v>
      </c>
      <c r="H621" t="s">
        <v>213</v>
      </c>
      <c r="I621">
        <v>0.64544417748254934</v>
      </c>
      <c r="J621">
        <v>0</v>
      </c>
      <c r="K621">
        <v>0</v>
      </c>
      <c r="L621">
        <v>9.0583602897463145E-2</v>
      </c>
      <c r="M621" t="s">
        <v>76</v>
      </c>
      <c r="N621" t="s">
        <v>76</v>
      </c>
      <c r="O621" t="s">
        <v>77</v>
      </c>
      <c r="P621" t="s">
        <v>76</v>
      </c>
      <c r="S621" t="s">
        <v>2117</v>
      </c>
    </row>
    <row r="622" spans="1:19" x14ac:dyDescent="0.3">
      <c r="A622" t="s">
        <v>2119</v>
      </c>
      <c r="B622" t="s">
        <v>2120</v>
      </c>
      <c r="C622" t="s">
        <v>24</v>
      </c>
      <c r="D622" t="s">
        <v>63</v>
      </c>
      <c r="E622" t="s">
        <v>2121</v>
      </c>
      <c r="F622" t="s">
        <v>55</v>
      </c>
      <c r="G622" t="s">
        <v>2119</v>
      </c>
      <c r="H622" t="s">
        <v>26</v>
      </c>
      <c r="I622">
        <v>0.19420987130866291</v>
      </c>
      <c r="J622">
        <v>7.7334740425866189E-2</v>
      </c>
      <c r="K622">
        <v>6.8748086495153529E-2</v>
      </c>
      <c r="L622">
        <v>8.9240603272676355E-2</v>
      </c>
      <c r="M622" t="s">
        <v>76</v>
      </c>
      <c r="N622" t="s">
        <v>76</v>
      </c>
      <c r="O622" t="s">
        <v>77</v>
      </c>
      <c r="P622" t="s">
        <v>76</v>
      </c>
      <c r="S622" t="s">
        <v>2120</v>
      </c>
    </row>
    <row r="623" spans="1:19" x14ac:dyDescent="0.3">
      <c r="A623" t="s">
        <v>2122</v>
      </c>
      <c r="B623" t="s">
        <v>2123</v>
      </c>
      <c r="C623" t="s">
        <v>73</v>
      </c>
      <c r="D623" t="s">
        <v>63</v>
      </c>
      <c r="E623" t="s">
        <v>74</v>
      </c>
      <c r="F623" t="s">
        <v>73</v>
      </c>
      <c r="G623" t="s">
        <v>542</v>
      </c>
      <c r="H623" t="s">
        <v>75</v>
      </c>
      <c r="I623">
        <v>0</v>
      </c>
      <c r="J623">
        <v>0.25696248409231048</v>
      </c>
      <c r="K623">
        <v>0</v>
      </c>
      <c r="L623">
        <v>8.6330770752305691E-2</v>
      </c>
      <c r="M623" t="s">
        <v>76</v>
      </c>
      <c r="N623" t="s">
        <v>76</v>
      </c>
      <c r="O623" t="s">
        <v>77</v>
      </c>
      <c r="P623" t="s">
        <v>76</v>
      </c>
      <c r="Q623" t="s">
        <v>2124</v>
      </c>
      <c r="S623" t="s">
        <v>2123</v>
      </c>
    </row>
    <row r="624" spans="1:19" x14ac:dyDescent="0.3">
      <c r="A624" t="s">
        <v>2125</v>
      </c>
      <c r="B624" t="s">
        <v>2126</v>
      </c>
      <c r="C624" t="s">
        <v>228</v>
      </c>
      <c r="D624" t="s">
        <v>63</v>
      </c>
      <c r="E624" t="s">
        <v>315</v>
      </c>
      <c r="F624" t="s">
        <v>228</v>
      </c>
      <c r="G624" t="s">
        <v>2127</v>
      </c>
      <c r="H624" t="s">
        <v>213</v>
      </c>
      <c r="I624">
        <v>0.27395492269882771</v>
      </c>
      <c r="J624">
        <v>0.13504111399745461</v>
      </c>
      <c r="K624">
        <v>0</v>
      </c>
      <c r="L624">
        <v>8.3816950941807675E-2</v>
      </c>
      <c r="M624" t="s">
        <v>116</v>
      </c>
      <c r="N624" t="s">
        <v>116</v>
      </c>
      <c r="O624" t="s">
        <v>302</v>
      </c>
      <c r="P624" t="s">
        <v>116</v>
      </c>
      <c r="Q624" t="s">
        <v>2128</v>
      </c>
      <c r="R624" t="s">
        <v>2129</v>
      </c>
      <c r="S624" t="s">
        <v>2126</v>
      </c>
    </row>
    <row r="625" spans="1:19" x14ac:dyDescent="0.3">
      <c r="A625" t="s">
        <v>2130</v>
      </c>
      <c r="B625" t="s">
        <v>2131</v>
      </c>
      <c r="C625" t="s">
        <v>24</v>
      </c>
      <c r="D625" t="s">
        <v>35</v>
      </c>
      <c r="E625" t="s">
        <v>389</v>
      </c>
      <c r="F625" t="s">
        <v>55</v>
      </c>
      <c r="G625" t="s">
        <v>2130</v>
      </c>
      <c r="H625" t="s">
        <v>26</v>
      </c>
      <c r="I625">
        <v>0.18832100597523541</v>
      </c>
      <c r="J625">
        <v>8.2254644389342088E-2</v>
      </c>
      <c r="K625">
        <v>5.2867968954666181E-2</v>
      </c>
      <c r="L625">
        <v>8.1750797672905579E-2</v>
      </c>
      <c r="M625" t="s">
        <v>76</v>
      </c>
      <c r="N625" t="s">
        <v>76</v>
      </c>
      <c r="O625" t="s">
        <v>77</v>
      </c>
      <c r="P625" t="s">
        <v>76</v>
      </c>
      <c r="S625" t="s">
        <v>2131</v>
      </c>
    </row>
    <row r="626" spans="1:19" x14ac:dyDescent="0.3">
      <c r="A626" t="s">
        <v>2132</v>
      </c>
      <c r="B626" t="s">
        <v>2133</v>
      </c>
      <c r="C626" t="s">
        <v>21</v>
      </c>
      <c r="D626" t="s">
        <v>63</v>
      </c>
      <c r="E626" t="s">
        <v>64</v>
      </c>
      <c r="F626" t="s">
        <v>24</v>
      </c>
      <c r="G626" t="s">
        <v>21</v>
      </c>
      <c r="H626" t="s">
        <v>26</v>
      </c>
      <c r="I626">
        <v>5.8275229862043518E-2</v>
      </c>
      <c r="J626">
        <v>4.8584051639311718E-2</v>
      </c>
      <c r="K626">
        <v>0.10800452612940201</v>
      </c>
      <c r="L626">
        <v>8.1062079916604551E-2</v>
      </c>
      <c r="M626" t="s">
        <v>121</v>
      </c>
      <c r="N626" t="s">
        <v>122</v>
      </c>
      <c r="O626" t="s">
        <v>123</v>
      </c>
      <c r="P626" t="s">
        <v>124</v>
      </c>
      <c r="Q626" t="s">
        <v>2114</v>
      </c>
      <c r="R626" t="s">
        <v>2115</v>
      </c>
      <c r="S626" t="s">
        <v>2133</v>
      </c>
    </row>
    <row r="627" spans="1:19" x14ac:dyDescent="0.3">
      <c r="A627" t="s">
        <v>2134</v>
      </c>
      <c r="B627" t="s">
        <v>2135</v>
      </c>
      <c r="C627" t="s">
        <v>73</v>
      </c>
      <c r="D627" t="s">
        <v>63</v>
      </c>
      <c r="E627" t="s">
        <v>323</v>
      </c>
      <c r="F627" t="s">
        <v>73</v>
      </c>
      <c r="G627" t="s">
        <v>2136</v>
      </c>
      <c r="H627" t="s">
        <v>213</v>
      </c>
      <c r="I627">
        <v>0.25432537158740248</v>
      </c>
      <c r="J627">
        <v>0.12889123404311131</v>
      </c>
      <c r="K627">
        <v>0</v>
      </c>
      <c r="L627">
        <v>7.8995926647702081E-2</v>
      </c>
      <c r="M627" t="s">
        <v>76</v>
      </c>
      <c r="N627" t="s">
        <v>76</v>
      </c>
      <c r="O627" t="s">
        <v>77</v>
      </c>
      <c r="P627" t="s">
        <v>76</v>
      </c>
      <c r="S627" t="s">
        <v>2135</v>
      </c>
    </row>
    <row r="628" spans="1:19" x14ac:dyDescent="0.3">
      <c r="A628" t="s">
        <v>2137</v>
      </c>
      <c r="B628" t="s">
        <v>2138</v>
      </c>
      <c r="C628" t="s">
        <v>24</v>
      </c>
      <c r="D628" t="s">
        <v>63</v>
      </c>
      <c r="E628" t="s">
        <v>323</v>
      </c>
      <c r="F628" t="s">
        <v>24</v>
      </c>
      <c r="G628" t="s">
        <v>2137</v>
      </c>
      <c r="H628" t="s">
        <v>213</v>
      </c>
      <c r="I628">
        <v>8.1339952417968098E-2</v>
      </c>
      <c r="J628">
        <v>5.919259456055409E-2</v>
      </c>
      <c r="K628">
        <v>8.9757186098406536E-2</v>
      </c>
      <c r="L628">
        <v>7.8307208891401053E-2</v>
      </c>
      <c r="M628" t="s">
        <v>76</v>
      </c>
      <c r="N628" t="s">
        <v>76</v>
      </c>
      <c r="O628" t="s">
        <v>77</v>
      </c>
      <c r="P628" t="s">
        <v>76</v>
      </c>
      <c r="S628" t="s">
        <v>2138</v>
      </c>
    </row>
    <row r="629" spans="1:19" x14ac:dyDescent="0.3">
      <c r="A629" t="s">
        <v>2139</v>
      </c>
      <c r="B629" t="s">
        <v>2140</v>
      </c>
      <c r="C629" t="s">
        <v>73</v>
      </c>
      <c r="D629" t="s">
        <v>63</v>
      </c>
      <c r="E629" t="s">
        <v>323</v>
      </c>
      <c r="F629" t="s">
        <v>73</v>
      </c>
      <c r="G629" t="s">
        <v>2136</v>
      </c>
      <c r="H629" t="s">
        <v>213</v>
      </c>
      <c r="I629">
        <v>0.25383463280961688</v>
      </c>
      <c r="J629">
        <v>0.12479131407354931</v>
      </c>
      <c r="K629">
        <v>0</v>
      </c>
      <c r="L629">
        <v>7.7549619359470454E-2</v>
      </c>
      <c r="M629" t="s">
        <v>76</v>
      </c>
      <c r="N629" t="s">
        <v>76</v>
      </c>
      <c r="O629" t="s">
        <v>77</v>
      </c>
      <c r="P629" t="s">
        <v>76</v>
      </c>
      <c r="S629" t="s">
        <v>2140</v>
      </c>
    </row>
    <row r="630" spans="1:19" x14ac:dyDescent="0.3">
      <c r="A630" t="s">
        <v>2141</v>
      </c>
      <c r="B630" t="s">
        <v>2142</v>
      </c>
      <c r="C630" t="s">
        <v>228</v>
      </c>
      <c r="D630" t="s">
        <v>35</v>
      </c>
      <c r="E630" t="s">
        <v>389</v>
      </c>
      <c r="F630" t="s">
        <v>228</v>
      </c>
      <c r="G630" t="s">
        <v>2141</v>
      </c>
      <c r="H630" t="s">
        <v>213</v>
      </c>
      <c r="I630">
        <v>0.271623913504346</v>
      </c>
      <c r="J630">
        <v>0.1135165341572536</v>
      </c>
      <c r="K630">
        <v>0</v>
      </c>
      <c r="L630">
        <v>7.6258273566406576E-2</v>
      </c>
      <c r="M630" t="s">
        <v>57</v>
      </c>
      <c r="N630" t="s">
        <v>28</v>
      </c>
      <c r="O630" t="s">
        <v>58</v>
      </c>
      <c r="P630" t="s">
        <v>30</v>
      </c>
      <c r="Q630" t="s">
        <v>2143</v>
      </c>
      <c r="R630" t="s">
        <v>857</v>
      </c>
      <c r="S630" t="s">
        <v>2142</v>
      </c>
    </row>
    <row r="631" spans="1:19" x14ac:dyDescent="0.3">
      <c r="A631" t="s">
        <v>2144</v>
      </c>
      <c r="B631" t="s">
        <v>2145</v>
      </c>
      <c r="C631" t="s">
        <v>45</v>
      </c>
      <c r="D631" t="s">
        <v>63</v>
      </c>
      <c r="E631" t="s">
        <v>74</v>
      </c>
      <c r="F631" t="s">
        <v>45</v>
      </c>
      <c r="G631" t="s">
        <v>2144</v>
      </c>
      <c r="H631" t="s">
        <v>213</v>
      </c>
      <c r="I631">
        <v>7.1402492167809112E-2</v>
      </c>
      <c r="J631">
        <v>3.3826297289239998E-2</v>
      </c>
      <c r="K631">
        <v>9.6474094079630604E-2</v>
      </c>
      <c r="L631">
        <v>7.1907911857552603E-2</v>
      </c>
      <c r="M631" t="s">
        <v>63</v>
      </c>
      <c r="N631" t="s">
        <v>28</v>
      </c>
      <c r="O631" t="s">
        <v>86</v>
      </c>
      <c r="P631" t="s">
        <v>30</v>
      </c>
      <c r="Q631" t="s">
        <v>2146</v>
      </c>
      <c r="R631" t="s">
        <v>2147</v>
      </c>
      <c r="S631" t="s">
        <v>2145</v>
      </c>
    </row>
    <row r="632" spans="1:19" x14ac:dyDescent="0.3">
      <c r="A632" t="s">
        <v>2148</v>
      </c>
      <c r="B632" t="s">
        <v>2149</v>
      </c>
      <c r="C632" t="s">
        <v>21</v>
      </c>
      <c r="D632" t="s">
        <v>35</v>
      </c>
      <c r="E632" t="s">
        <v>36</v>
      </c>
      <c r="F632" t="s">
        <v>24</v>
      </c>
      <c r="G632" t="s">
        <v>21</v>
      </c>
      <c r="H632" t="s">
        <v>26</v>
      </c>
      <c r="I632">
        <v>5.9256707417614768E-2</v>
      </c>
      <c r="J632">
        <v>4.889154563702796E-2</v>
      </c>
      <c r="K632">
        <v>8.75543540586292E-2</v>
      </c>
      <c r="L632">
        <v>7.05935700208319E-2</v>
      </c>
      <c r="M632" t="s">
        <v>121</v>
      </c>
      <c r="N632" t="s">
        <v>122</v>
      </c>
      <c r="O632" t="s">
        <v>123</v>
      </c>
      <c r="P632" t="s">
        <v>124</v>
      </c>
      <c r="Q632" t="s">
        <v>2114</v>
      </c>
      <c r="R632" t="s">
        <v>2115</v>
      </c>
      <c r="S632" t="s">
        <v>2149</v>
      </c>
    </row>
    <row r="633" spans="1:19" x14ac:dyDescent="0.3">
      <c r="A633" t="s">
        <v>2150</v>
      </c>
      <c r="B633" t="s">
        <v>2151</v>
      </c>
      <c r="C633" t="s">
        <v>228</v>
      </c>
      <c r="D633" t="s">
        <v>63</v>
      </c>
      <c r="E633" t="s">
        <v>74</v>
      </c>
      <c r="F633" t="s">
        <v>228</v>
      </c>
      <c r="G633" t="s">
        <v>2152</v>
      </c>
      <c r="H633" t="s">
        <v>213</v>
      </c>
      <c r="I633">
        <v>0.29419789728248502</v>
      </c>
      <c r="J633">
        <v>8.6610809357001453E-2</v>
      </c>
      <c r="K633">
        <v>0</v>
      </c>
      <c r="L633">
        <v>7.0386954693942128E-2</v>
      </c>
      <c r="M633" t="s">
        <v>76</v>
      </c>
      <c r="N633" t="s">
        <v>76</v>
      </c>
      <c r="O633" t="s">
        <v>77</v>
      </c>
      <c r="P633" t="s">
        <v>76</v>
      </c>
      <c r="S633" t="s">
        <v>2151</v>
      </c>
    </row>
    <row r="634" spans="1:19" x14ac:dyDescent="0.3">
      <c r="A634" t="s">
        <v>2153</v>
      </c>
      <c r="B634" t="s">
        <v>2154</v>
      </c>
      <c r="C634" t="s">
        <v>21</v>
      </c>
      <c r="D634" t="s">
        <v>63</v>
      </c>
      <c r="E634" t="s">
        <v>74</v>
      </c>
      <c r="F634" t="s">
        <v>24</v>
      </c>
      <c r="G634" t="s">
        <v>21</v>
      </c>
      <c r="H634" t="s">
        <v>26</v>
      </c>
      <c r="I634">
        <v>5.9011338028721959E-2</v>
      </c>
      <c r="J634">
        <v>4.889154563702796E-2</v>
      </c>
      <c r="K634">
        <v>8.6995426526148389E-2</v>
      </c>
      <c r="L634">
        <v>7.0266429086589074E-2</v>
      </c>
      <c r="M634" t="s">
        <v>76</v>
      </c>
      <c r="N634" t="s">
        <v>76</v>
      </c>
      <c r="O634" t="s">
        <v>77</v>
      </c>
      <c r="P634" t="s">
        <v>76</v>
      </c>
      <c r="S634" t="s">
        <v>2154</v>
      </c>
    </row>
    <row r="635" spans="1:19" x14ac:dyDescent="0.3">
      <c r="A635" t="s">
        <v>2155</v>
      </c>
      <c r="B635" t="s">
        <v>2156</v>
      </c>
      <c r="C635" t="s">
        <v>21</v>
      </c>
      <c r="D635" t="s">
        <v>63</v>
      </c>
      <c r="E635" t="s">
        <v>74</v>
      </c>
      <c r="F635" t="s">
        <v>24</v>
      </c>
      <c r="G635" t="s">
        <v>21</v>
      </c>
      <c r="H635" t="s">
        <v>26</v>
      </c>
      <c r="I635">
        <v>5.8397914556489919E-2</v>
      </c>
      <c r="J635">
        <v>4.8584051639311718E-2</v>
      </c>
      <c r="K635">
        <v>8.7324207427607395E-2</v>
      </c>
      <c r="L635">
        <v>7.0249211142681664E-2</v>
      </c>
      <c r="M635" t="s">
        <v>121</v>
      </c>
      <c r="N635" t="s">
        <v>122</v>
      </c>
      <c r="O635" t="s">
        <v>123</v>
      </c>
      <c r="P635" t="s">
        <v>124</v>
      </c>
      <c r="Q635" t="s">
        <v>2114</v>
      </c>
      <c r="R635" t="s">
        <v>2115</v>
      </c>
      <c r="S635" t="s">
        <v>2156</v>
      </c>
    </row>
    <row r="636" spans="1:19" x14ac:dyDescent="0.3">
      <c r="A636" t="s">
        <v>2157</v>
      </c>
      <c r="B636" t="s">
        <v>2158</v>
      </c>
      <c r="C636" t="s">
        <v>43</v>
      </c>
      <c r="D636" t="s">
        <v>35</v>
      </c>
      <c r="E636" t="s">
        <v>36</v>
      </c>
      <c r="F636" t="s">
        <v>45</v>
      </c>
      <c r="G636" t="s">
        <v>43</v>
      </c>
      <c r="H636" t="s">
        <v>26</v>
      </c>
      <c r="I636">
        <v>0</v>
      </c>
      <c r="J636">
        <v>0.14144723894989619</v>
      </c>
      <c r="K636">
        <v>4.2544248648841931E-2</v>
      </c>
      <c r="L636">
        <v>6.9801544601086521E-2</v>
      </c>
      <c r="M636" t="s">
        <v>76</v>
      </c>
      <c r="N636" t="s">
        <v>76</v>
      </c>
      <c r="O636" t="s">
        <v>77</v>
      </c>
      <c r="P636" t="s">
        <v>76</v>
      </c>
      <c r="S636" t="s">
        <v>2158</v>
      </c>
    </row>
    <row r="637" spans="1:19" x14ac:dyDescent="0.3">
      <c r="A637" t="s">
        <v>2159</v>
      </c>
      <c r="B637" t="s">
        <v>2160</v>
      </c>
      <c r="C637" t="s">
        <v>314</v>
      </c>
      <c r="D637" t="s">
        <v>63</v>
      </c>
      <c r="E637" t="s">
        <v>323</v>
      </c>
      <c r="F637" t="s">
        <v>314</v>
      </c>
      <c r="G637" t="s">
        <v>2161</v>
      </c>
      <c r="H637" t="s">
        <v>213</v>
      </c>
      <c r="I637">
        <v>0.11826804544633671</v>
      </c>
      <c r="J637">
        <v>6.2278346750703213E-2</v>
      </c>
      <c r="K637">
        <v>5.799695101743247E-2</v>
      </c>
      <c r="L637">
        <v>6.7893985368044169E-2</v>
      </c>
      <c r="M637" t="s">
        <v>76</v>
      </c>
      <c r="N637" t="s">
        <v>76</v>
      </c>
      <c r="O637" t="s">
        <v>77</v>
      </c>
      <c r="P637" t="s">
        <v>76</v>
      </c>
      <c r="S637" t="s">
        <v>2160</v>
      </c>
    </row>
    <row r="638" spans="1:19" x14ac:dyDescent="0.3">
      <c r="A638" t="s">
        <v>2162</v>
      </c>
      <c r="B638" t="s">
        <v>2163</v>
      </c>
      <c r="C638" t="s">
        <v>114</v>
      </c>
      <c r="D638" t="s">
        <v>63</v>
      </c>
      <c r="E638" t="s">
        <v>74</v>
      </c>
      <c r="F638" t="s">
        <v>114</v>
      </c>
      <c r="G638" t="s">
        <v>1638</v>
      </c>
      <c r="H638" t="s">
        <v>213</v>
      </c>
      <c r="I638">
        <v>0.47319486647979342</v>
      </c>
      <c r="J638">
        <v>0</v>
      </c>
      <c r="K638">
        <v>0</v>
      </c>
      <c r="L638">
        <v>6.6409609651304963E-2</v>
      </c>
      <c r="S638" t="s">
        <v>2163</v>
      </c>
    </row>
    <row r="639" spans="1:19" x14ac:dyDescent="0.3">
      <c r="A639" t="s">
        <v>2164</v>
      </c>
      <c r="B639" t="s">
        <v>2165</v>
      </c>
      <c r="C639" t="s">
        <v>251</v>
      </c>
      <c r="D639" t="s">
        <v>63</v>
      </c>
      <c r="E639" t="s">
        <v>1751</v>
      </c>
      <c r="F639" t="s">
        <v>251</v>
      </c>
      <c r="G639" t="s">
        <v>2164</v>
      </c>
      <c r="H639" t="s">
        <v>213</v>
      </c>
      <c r="I639">
        <v>0.12575181180756759</v>
      </c>
      <c r="J639">
        <v>0.1381160539746267</v>
      </c>
      <c r="K639">
        <v>0</v>
      </c>
      <c r="L639">
        <v>6.4050751335974807E-2</v>
      </c>
      <c r="Q639" t="s">
        <v>2166</v>
      </c>
      <c r="R639" t="s">
        <v>2167</v>
      </c>
      <c r="S639" t="s">
        <v>2165</v>
      </c>
    </row>
    <row r="640" spans="1:19" x14ac:dyDescent="0.3">
      <c r="A640" t="s">
        <v>2168</v>
      </c>
      <c r="B640" t="s">
        <v>2169</v>
      </c>
      <c r="E640" t="s">
        <v>54</v>
      </c>
      <c r="F640" t="s">
        <v>959</v>
      </c>
      <c r="G640" t="s">
        <v>1053</v>
      </c>
      <c r="H640" t="s">
        <v>75</v>
      </c>
      <c r="I640">
        <v>0</v>
      </c>
      <c r="J640">
        <v>0.13683482898413821</v>
      </c>
      <c r="K640">
        <v>2.9261500229883601E-2</v>
      </c>
      <c r="L640">
        <v>6.1295880310771489E-2</v>
      </c>
      <c r="M640" t="s">
        <v>76</v>
      </c>
      <c r="N640" t="s">
        <v>76</v>
      </c>
      <c r="O640" t="s">
        <v>77</v>
      </c>
      <c r="P640" t="s">
        <v>76</v>
      </c>
      <c r="S640" t="s">
        <v>2169</v>
      </c>
    </row>
    <row r="641" spans="1:19" x14ac:dyDescent="0.3">
      <c r="A641" t="s">
        <v>2170</v>
      </c>
      <c r="B641" t="s">
        <v>2171</v>
      </c>
      <c r="C641" t="s">
        <v>45</v>
      </c>
      <c r="D641" t="s">
        <v>35</v>
      </c>
      <c r="E641" t="s">
        <v>36</v>
      </c>
      <c r="F641" t="s">
        <v>144</v>
      </c>
      <c r="G641" t="s">
        <v>301</v>
      </c>
      <c r="H641" t="s">
        <v>26</v>
      </c>
      <c r="I641">
        <v>0.1074717923350529</v>
      </c>
      <c r="J641">
        <v>6.6726197504625315E-2</v>
      </c>
      <c r="K641">
        <v>4.4911471139349728E-2</v>
      </c>
      <c r="L641">
        <v>6.1020393208251533E-2</v>
      </c>
      <c r="M641" t="s">
        <v>76</v>
      </c>
      <c r="N641" t="s">
        <v>76</v>
      </c>
      <c r="O641" t="s">
        <v>77</v>
      </c>
      <c r="P641" t="s">
        <v>76</v>
      </c>
      <c r="S641" t="s">
        <v>2171</v>
      </c>
    </row>
    <row r="642" spans="1:19" x14ac:dyDescent="0.3">
      <c r="A642" t="s">
        <v>2172</v>
      </c>
      <c r="B642" t="s">
        <v>2173</v>
      </c>
      <c r="C642" t="s">
        <v>21</v>
      </c>
      <c r="D642" t="s">
        <v>63</v>
      </c>
      <c r="E642" t="s">
        <v>1132</v>
      </c>
      <c r="F642" t="s">
        <v>24</v>
      </c>
      <c r="G642" t="s">
        <v>21</v>
      </c>
      <c r="H642" t="s">
        <v>26</v>
      </c>
      <c r="I642">
        <v>6.0728923750971657E-2</v>
      </c>
      <c r="J642">
        <v>0.10085803125123199</v>
      </c>
      <c r="K642">
        <v>3.5048044095568151E-2</v>
      </c>
      <c r="L642">
        <v>6.0762124049638877E-2</v>
      </c>
      <c r="M642" t="s">
        <v>76</v>
      </c>
      <c r="N642" t="s">
        <v>76</v>
      </c>
      <c r="O642" t="s">
        <v>77</v>
      </c>
      <c r="P642" t="s">
        <v>76</v>
      </c>
      <c r="S642" t="s">
        <v>2173</v>
      </c>
    </row>
    <row r="643" spans="1:19" x14ac:dyDescent="0.3">
      <c r="A643" t="s">
        <v>2174</v>
      </c>
      <c r="B643" t="s">
        <v>2175</v>
      </c>
      <c r="C643" t="s">
        <v>43</v>
      </c>
      <c r="D643" t="s">
        <v>35</v>
      </c>
      <c r="E643" t="s">
        <v>80</v>
      </c>
      <c r="F643" t="s">
        <v>45</v>
      </c>
      <c r="G643" t="s">
        <v>43</v>
      </c>
      <c r="H643" t="s">
        <v>26</v>
      </c>
      <c r="I643">
        <v>2.9321641972691371E-2</v>
      </c>
      <c r="J643">
        <v>2.459951981737209E-2</v>
      </c>
      <c r="K643">
        <v>9.1960018138184871E-2</v>
      </c>
      <c r="L643">
        <v>6.0538290778840292E-2</v>
      </c>
      <c r="M643" t="s">
        <v>76</v>
      </c>
      <c r="N643" t="s">
        <v>76</v>
      </c>
      <c r="O643" t="s">
        <v>77</v>
      </c>
      <c r="P643" t="s">
        <v>76</v>
      </c>
      <c r="S643" t="s">
        <v>2175</v>
      </c>
    </row>
    <row r="644" spans="1:19" x14ac:dyDescent="0.3">
      <c r="A644" t="s">
        <v>2176</v>
      </c>
      <c r="B644" t="s">
        <v>2177</v>
      </c>
      <c r="C644" t="s">
        <v>45</v>
      </c>
      <c r="D644" t="s">
        <v>63</v>
      </c>
      <c r="E644" t="s">
        <v>74</v>
      </c>
      <c r="F644" t="s">
        <v>45</v>
      </c>
      <c r="G644" t="s">
        <v>2178</v>
      </c>
      <c r="H644" t="s">
        <v>26</v>
      </c>
      <c r="I644">
        <v>0.1393698128911188</v>
      </c>
      <c r="J644">
        <v>5.7808871570826627E-2</v>
      </c>
      <c r="K644">
        <v>3.9453708175123822E-2</v>
      </c>
      <c r="L644">
        <v>5.9642957695649382E-2</v>
      </c>
      <c r="M644" t="s">
        <v>76</v>
      </c>
      <c r="N644" t="s">
        <v>76</v>
      </c>
      <c r="O644" t="s">
        <v>77</v>
      </c>
      <c r="P644" t="s">
        <v>76</v>
      </c>
      <c r="S644" t="s">
        <v>2177</v>
      </c>
    </row>
    <row r="645" spans="1:19" x14ac:dyDescent="0.3">
      <c r="A645" t="s">
        <v>2179</v>
      </c>
      <c r="B645" t="s">
        <v>2180</v>
      </c>
      <c r="C645" t="s">
        <v>45</v>
      </c>
      <c r="D645" t="s">
        <v>63</v>
      </c>
      <c r="E645" t="s">
        <v>74</v>
      </c>
      <c r="F645" t="s">
        <v>45</v>
      </c>
      <c r="G645" t="s">
        <v>2179</v>
      </c>
      <c r="H645" t="s">
        <v>26</v>
      </c>
      <c r="I645">
        <v>0.1396151822800116</v>
      </c>
      <c r="J645">
        <v>5.7962618569686222E-2</v>
      </c>
      <c r="K645">
        <v>3.7875559848118932E-2</v>
      </c>
      <c r="L645">
        <v>5.8902586107626401E-2</v>
      </c>
      <c r="M645" t="s">
        <v>76</v>
      </c>
      <c r="N645" t="s">
        <v>76</v>
      </c>
      <c r="O645" t="s">
        <v>77</v>
      </c>
      <c r="P645" t="s">
        <v>76</v>
      </c>
      <c r="S645" t="s">
        <v>2180</v>
      </c>
    </row>
    <row r="646" spans="1:19" x14ac:dyDescent="0.3">
      <c r="A646" t="s">
        <v>2181</v>
      </c>
      <c r="B646" t="s">
        <v>2182</v>
      </c>
      <c r="C646" t="s">
        <v>1053</v>
      </c>
      <c r="D646" t="s">
        <v>63</v>
      </c>
      <c r="E646" t="s">
        <v>74</v>
      </c>
      <c r="F646" t="s">
        <v>314</v>
      </c>
      <c r="G646" t="s">
        <v>1053</v>
      </c>
      <c r="H646" t="s">
        <v>75</v>
      </c>
      <c r="I646">
        <v>7.0543699306684249E-2</v>
      </c>
      <c r="J646">
        <v>8.9480753335694885E-2</v>
      </c>
      <c r="K646">
        <v>3.304248059666632E-2</v>
      </c>
      <c r="L646">
        <v>5.7266881436411787E-2</v>
      </c>
      <c r="M646" t="s">
        <v>76</v>
      </c>
      <c r="N646" t="s">
        <v>76</v>
      </c>
      <c r="O646" t="s">
        <v>77</v>
      </c>
      <c r="P646" t="s">
        <v>76</v>
      </c>
      <c r="S646" t="s">
        <v>2182</v>
      </c>
    </row>
    <row r="647" spans="1:19" x14ac:dyDescent="0.3">
      <c r="A647" t="s">
        <v>2183</v>
      </c>
      <c r="B647" t="s">
        <v>2184</v>
      </c>
      <c r="C647" t="s">
        <v>314</v>
      </c>
      <c r="D647" t="s">
        <v>35</v>
      </c>
      <c r="E647" t="s">
        <v>389</v>
      </c>
      <c r="F647" t="s">
        <v>314</v>
      </c>
      <c r="G647" t="s">
        <v>2185</v>
      </c>
      <c r="H647" t="s">
        <v>213</v>
      </c>
      <c r="I647">
        <v>0.17077709466939911</v>
      </c>
      <c r="J647">
        <v>9.7902586250076973E-2</v>
      </c>
      <c r="K647">
        <v>0</v>
      </c>
      <c r="L647">
        <v>5.6859361196394717E-2</v>
      </c>
      <c r="M647" t="s">
        <v>308</v>
      </c>
      <c r="N647" t="s">
        <v>160</v>
      </c>
      <c r="O647" t="s">
        <v>339</v>
      </c>
      <c r="P647" t="s">
        <v>124</v>
      </c>
      <c r="Q647" t="s">
        <v>2186</v>
      </c>
      <c r="R647" t="s">
        <v>2187</v>
      </c>
      <c r="S647" t="s">
        <v>2184</v>
      </c>
    </row>
    <row r="648" spans="1:19" x14ac:dyDescent="0.3">
      <c r="A648" t="s">
        <v>2188</v>
      </c>
      <c r="B648" t="s">
        <v>2189</v>
      </c>
      <c r="C648" t="s">
        <v>338</v>
      </c>
      <c r="D648" t="s">
        <v>35</v>
      </c>
      <c r="E648" t="s">
        <v>389</v>
      </c>
      <c r="F648" t="s">
        <v>314</v>
      </c>
      <c r="G648" t="s">
        <v>2188</v>
      </c>
      <c r="H648" t="s">
        <v>213</v>
      </c>
      <c r="I648">
        <v>0.40265116717310911</v>
      </c>
      <c r="J648">
        <v>0</v>
      </c>
      <c r="K648">
        <v>0</v>
      </c>
      <c r="L648">
        <v>5.650929190448091E-2</v>
      </c>
      <c r="M648" t="s">
        <v>76</v>
      </c>
      <c r="N648" t="s">
        <v>76</v>
      </c>
      <c r="O648" t="s">
        <v>77</v>
      </c>
      <c r="P648" t="s">
        <v>76</v>
      </c>
      <c r="S648" t="s">
        <v>2189</v>
      </c>
    </row>
    <row r="649" spans="1:19" x14ac:dyDescent="0.3">
      <c r="A649" t="s">
        <v>2190</v>
      </c>
      <c r="B649" t="s">
        <v>2191</v>
      </c>
      <c r="C649" t="s">
        <v>114</v>
      </c>
      <c r="D649" t="s">
        <v>35</v>
      </c>
      <c r="E649" t="s">
        <v>150</v>
      </c>
      <c r="F649" t="s">
        <v>114</v>
      </c>
      <c r="G649" t="s">
        <v>362</v>
      </c>
      <c r="H649" t="s">
        <v>75</v>
      </c>
      <c r="I649">
        <v>0</v>
      </c>
      <c r="J649">
        <v>0.16722548575851801</v>
      </c>
      <c r="K649">
        <v>0</v>
      </c>
      <c r="L649">
        <v>5.6182150970238022E-2</v>
      </c>
      <c r="M649" t="s">
        <v>57</v>
      </c>
      <c r="N649" t="s">
        <v>28</v>
      </c>
      <c r="O649" t="s">
        <v>58</v>
      </c>
      <c r="P649" t="s">
        <v>30</v>
      </c>
      <c r="Q649" t="s">
        <v>2192</v>
      </c>
      <c r="R649" t="s">
        <v>2193</v>
      </c>
      <c r="S649" t="s">
        <v>2191</v>
      </c>
    </row>
    <row r="650" spans="1:19" x14ac:dyDescent="0.3">
      <c r="A650" t="s">
        <v>2194</v>
      </c>
      <c r="B650" t="s">
        <v>2195</v>
      </c>
      <c r="C650" t="s">
        <v>251</v>
      </c>
      <c r="D650" t="s">
        <v>63</v>
      </c>
      <c r="E650" t="s">
        <v>323</v>
      </c>
      <c r="F650" t="s">
        <v>251</v>
      </c>
      <c r="G650" t="s">
        <v>2196</v>
      </c>
      <c r="H650" t="s">
        <v>213</v>
      </c>
      <c r="I650">
        <v>0.17629790591948741</v>
      </c>
      <c r="J650">
        <v>8.0717174400755043E-2</v>
      </c>
      <c r="K650">
        <v>0</v>
      </c>
      <c r="L650">
        <v>5.1860447049450267E-2</v>
      </c>
      <c r="S650" t="s">
        <v>2195</v>
      </c>
    </row>
    <row r="651" spans="1:19" x14ac:dyDescent="0.3">
      <c r="A651" t="s">
        <v>2197</v>
      </c>
      <c r="B651" t="s">
        <v>2198</v>
      </c>
      <c r="C651" t="s">
        <v>21</v>
      </c>
      <c r="D651" t="s">
        <v>35</v>
      </c>
      <c r="E651" t="s">
        <v>150</v>
      </c>
      <c r="F651" t="s">
        <v>24</v>
      </c>
      <c r="G651" t="s">
        <v>21</v>
      </c>
      <c r="H651" t="s">
        <v>26</v>
      </c>
      <c r="I651">
        <v>4.1835480806224921E-2</v>
      </c>
      <c r="J651">
        <v>3.5054315739756342E-2</v>
      </c>
      <c r="K651">
        <v>6.4736959497349159E-2</v>
      </c>
      <c r="L651">
        <v>5.1550524059114942E-2</v>
      </c>
      <c r="M651" t="s">
        <v>76</v>
      </c>
      <c r="N651" t="s">
        <v>76</v>
      </c>
      <c r="O651" t="s">
        <v>77</v>
      </c>
      <c r="P651" t="s">
        <v>76</v>
      </c>
      <c r="S651" t="s">
        <v>2198</v>
      </c>
    </row>
    <row r="652" spans="1:19" x14ac:dyDescent="0.3">
      <c r="A652" t="s">
        <v>2199</v>
      </c>
      <c r="B652" t="s">
        <v>2200</v>
      </c>
      <c r="C652" t="s">
        <v>228</v>
      </c>
      <c r="D652" t="s">
        <v>63</v>
      </c>
      <c r="E652" t="s">
        <v>575</v>
      </c>
      <c r="F652" t="s">
        <v>228</v>
      </c>
      <c r="G652" t="s">
        <v>2201</v>
      </c>
      <c r="H652" t="s">
        <v>213</v>
      </c>
      <c r="I652">
        <v>0.14697626394679611</v>
      </c>
      <c r="J652">
        <v>8.2510889387439432E-2</v>
      </c>
      <c r="K652">
        <v>0</v>
      </c>
      <c r="L652">
        <v>4.8347986492316482E-2</v>
      </c>
      <c r="M652" t="s">
        <v>76</v>
      </c>
      <c r="N652" t="s">
        <v>76</v>
      </c>
      <c r="O652" t="s">
        <v>77</v>
      </c>
      <c r="P652" t="s">
        <v>76</v>
      </c>
      <c r="S652" t="s">
        <v>2200</v>
      </c>
    </row>
    <row r="653" spans="1:19" x14ac:dyDescent="0.3">
      <c r="A653" t="s">
        <v>2202</v>
      </c>
      <c r="B653" t="s">
        <v>2203</v>
      </c>
      <c r="C653" t="s">
        <v>24</v>
      </c>
      <c r="D653" t="s">
        <v>63</v>
      </c>
      <c r="E653" t="s">
        <v>74</v>
      </c>
      <c r="F653" t="s">
        <v>24</v>
      </c>
      <c r="G653" t="s">
        <v>2204</v>
      </c>
      <c r="H653" t="s">
        <v>26</v>
      </c>
      <c r="I653">
        <v>0</v>
      </c>
      <c r="J653">
        <v>0</v>
      </c>
      <c r="K653">
        <v>8.8770843394028603E-2</v>
      </c>
      <c r="L653">
        <v>4.6488448550304061E-2</v>
      </c>
      <c r="M653" t="s">
        <v>76</v>
      </c>
      <c r="N653" t="s">
        <v>76</v>
      </c>
      <c r="O653" t="s">
        <v>77</v>
      </c>
      <c r="P653" t="s">
        <v>76</v>
      </c>
      <c r="S653" t="s">
        <v>2203</v>
      </c>
    </row>
    <row r="654" spans="1:19" x14ac:dyDescent="0.3">
      <c r="A654" t="s">
        <v>2205</v>
      </c>
      <c r="B654" t="s">
        <v>2206</v>
      </c>
      <c r="C654" t="s">
        <v>243</v>
      </c>
      <c r="D654" t="s">
        <v>63</v>
      </c>
      <c r="E654" t="s">
        <v>74</v>
      </c>
      <c r="F654" t="s">
        <v>243</v>
      </c>
      <c r="G654" t="s">
        <v>2207</v>
      </c>
      <c r="H654" t="s">
        <v>213</v>
      </c>
      <c r="I654">
        <v>0.29677427586585953</v>
      </c>
      <c r="J654">
        <v>1.20435149105887E-2</v>
      </c>
      <c r="K654">
        <v>0</v>
      </c>
      <c r="L654">
        <v>4.5696423130558217E-2</v>
      </c>
      <c r="S654" t="s">
        <v>2206</v>
      </c>
    </row>
    <row r="655" spans="1:19" x14ac:dyDescent="0.3">
      <c r="A655" t="s">
        <v>2208</v>
      </c>
      <c r="B655" t="s">
        <v>2209</v>
      </c>
      <c r="C655" t="s">
        <v>45</v>
      </c>
      <c r="D655" t="s">
        <v>63</v>
      </c>
      <c r="E655" t="s">
        <v>74</v>
      </c>
      <c r="F655" t="s">
        <v>45</v>
      </c>
      <c r="G655" t="s">
        <v>1872</v>
      </c>
      <c r="H655" t="s">
        <v>26</v>
      </c>
      <c r="I655">
        <v>0</v>
      </c>
      <c r="J655">
        <v>0.13468237100011851</v>
      </c>
      <c r="K655">
        <v>0</v>
      </c>
      <c r="L655">
        <v>4.5248756588962907E-2</v>
      </c>
      <c r="M655" t="s">
        <v>76</v>
      </c>
      <c r="N655" t="s">
        <v>76</v>
      </c>
      <c r="O655" t="s">
        <v>77</v>
      </c>
      <c r="P655" t="s">
        <v>76</v>
      </c>
      <c r="S655" t="s">
        <v>2209</v>
      </c>
    </row>
    <row r="656" spans="1:19" x14ac:dyDescent="0.3">
      <c r="A656" t="s">
        <v>2210</v>
      </c>
      <c r="B656" t="s">
        <v>2211</v>
      </c>
      <c r="C656" t="s">
        <v>21</v>
      </c>
      <c r="D656" t="s">
        <v>35</v>
      </c>
      <c r="E656" t="s">
        <v>36</v>
      </c>
      <c r="F656" t="s">
        <v>24</v>
      </c>
      <c r="G656" t="s">
        <v>21</v>
      </c>
      <c r="H656" t="s">
        <v>26</v>
      </c>
      <c r="I656">
        <v>0</v>
      </c>
      <c r="J656">
        <v>0.1340673830046831</v>
      </c>
      <c r="K656">
        <v>0</v>
      </c>
      <c r="L656">
        <v>4.5042141262072302E-2</v>
      </c>
      <c r="M656" t="s">
        <v>76</v>
      </c>
      <c r="N656" t="s">
        <v>76</v>
      </c>
      <c r="O656" t="s">
        <v>77</v>
      </c>
      <c r="P656" t="s">
        <v>76</v>
      </c>
      <c r="S656" t="s">
        <v>2211</v>
      </c>
    </row>
    <row r="657" spans="1:19" x14ac:dyDescent="0.3">
      <c r="A657" t="s">
        <v>2212</v>
      </c>
      <c r="B657" t="s">
        <v>2213</v>
      </c>
      <c r="E657" t="s">
        <v>74</v>
      </c>
      <c r="F657" t="s">
        <v>1605</v>
      </c>
      <c r="G657" t="s">
        <v>43</v>
      </c>
      <c r="H657" t="s">
        <v>26</v>
      </c>
      <c r="I657">
        <v>3.1284597083833882E-2</v>
      </c>
      <c r="J657">
        <v>2.7981953792262419E-2</v>
      </c>
      <c r="K657">
        <v>5.8687390910497267E-2</v>
      </c>
      <c r="L657">
        <v>4.4525602944847267E-2</v>
      </c>
      <c r="M657" t="s">
        <v>76</v>
      </c>
      <c r="N657" t="s">
        <v>76</v>
      </c>
      <c r="O657" t="s">
        <v>77</v>
      </c>
      <c r="P657" t="s">
        <v>76</v>
      </c>
      <c r="S657" t="s">
        <v>2213</v>
      </c>
    </row>
    <row r="658" spans="1:19" x14ac:dyDescent="0.3">
      <c r="A658" t="s">
        <v>2214</v>
      </c>
      <c r="B658" t="s">
        <v>2215</v>
      </c>
      <c r="C658" t="s">
        <v>24</v>
      </c>
      <c r="D658" t="s">
        <v>35</v>
      </c>
      <c r="E658" t="s">
        <v>128</v>
      </c>
      <c r="F658" t="s">
        <v>144</v>
      </c>
      <c r="G658" t="s">
        <v>2214</v>
      </c>
      <c r="H658" t="s">
        <v>26</v>
      </c>
      <c r="I658">
        <v>3.0303119528262621E-2</v>
      </c>
      <c r="J658">
        <v>0.1186926831188244</v>
      </c>
      <c r="K658">
        <v>0</v>
      </c>
      <c r="L658">
        <v>4.4129590234973599E-2</v>
      </c>
      <c r="M658" t="s">
        <v>239</v>
      </c>
      <c r="N658" t="s">
        <v>239</v>
      </c>
      <c r="O658" t="s">
        <v>240</v>
      </c>
      <c r="P658" t="s">
        <v>239</v>
      </c>
      <c r="Q658" t="s">
        <v>1525</v>
      </c>
      <c r="R658" t="s">
        <v>1526</v>
      </c>
      <c r="S658" t="s">
        <v>2215</v>
      </c>
    </row>
    <row r="659" spans="1:19" x14ac:dyDescent="0.3">
      <c r="A659" t="s">
        <v>2216</v>
      </c>
      <c r="B659" t="s">
        <v>2217</v>
      </c>
      <c r="C659" t="s">
        <v>43</v>
      </c>
      <c r="D659" t="s">
        <v>63</v>
      </c>
      <c r="E659" t="s">
        <v>74</v>
      </c>
      <c r="F659" t="s">
        <v>45</v>
      </c>
      <c r="G659" t="s">
        <v>43</v>
      </c>
      <c r="H659" t="s">
        <v>26</v>
      </c>
      <c r="I659">
        <v>6.379604111213185E-3</v>
      </c>
      <c r="J659">
        <v>5.5348919589098284E-3</v>
      </c>
      <c r="K659">
        <v>7.8512879268496663E-2</v>
      </c>
      <c r="L659">
        <v>4.387132107636145E-2</v>
      </c>
      <c r="M659" t="s">
        <v>76</v>
      </c>
      <c r="N659" t="s">
        <v>76</v>
      </c>
      <c r="O659" t="s">
        <v>77</v>
      </c>
      <c r="P659" t="s">
        <v>76</v>
      </c>
      <c r="S659" t="s">
        <v>2217</v>
      </c>
    </row>
    <row r="660" spans="1:19" x14ac:dyDescent="0.3">
      <c r="A660" t="s">
        <v>2218</v>
      </c>
      <c r="B660" t="s">
        <v>2219</v>
      </c>
      <c r="C660" t="s">
        <v>45</v>
      </c>
      <c r="D660" t="s">
        <v>63</v>
      </c>
      <c r="E660" t="s">
        <v>74</v>
      </c>
      <c r="F660" t="s">
        <v>45</v>
      </c>
      <c r="G660" t="s">
        <v>2218</v>
      </c>
      <c r="H660" t="s">
        <v>213</v>
      </c>
      <c r="I660">
        <v>0.13335826286324479</v>
      </c>
      <c r="J660">
        <v>6.6115035610788922E-2</v>
      </c>
      <c r="K660">
        <v>0</v>
      </c>
      <c r="L660">
        <v>4.0928338109904767E-2</v>
      </c>
      <c r="M660" t="s">
        <v>121</v>
      </c>
      <c r="N660" t="s">
        <v>122</v>
      </c>
      <c r="O660" t="s">
        <v>123</v>
      </c>
      <c r="P660" t="s">
        <v>124</v>
      </c>
      <c r="Q660" t="s">
        <v>2220</v>
      </c>
      <c r="R660" t="s">
        <v>2221</v>
      </c>
      <c r="S660" t="s">
        <v>2219</v>
      </c>
    </row>
    <row r="661" spans="1:19" x14ac:dyDescent="0.3">
      <c r="A661" t="s">
        <v>2222</v>
      </c>
      <c r="B661" t="s">
        <v>2223</v>
      </c>
      <c r="C661" t="s">
        <v>45</v>
      </c>
      <c r="D661" t="s">
        <v>63</v>
      </c>
      <c r="E661" t="s">
        <v>323</v>
      </c>
      <c r="F661" t="s">
        <v>45</v>
      </c>
      <c r="G661" t="s">
        <v>2222</v>
      </c>
      <c r="H661" t="s">
        <v>26</v>
      </c>
      <c r="I661">
        <v>0.14942995783572419</v>
      </c>
      <c r="J661">
        <v>5.7962618569686222E-2</v>
      </c>
      <c r="K661">
        <v>0</v>
      </c>
      <c r="L661">
        <v>4.0444950238764911E-2</v>
      </c>
      <c r="M661" t="s">
        <v>76</v>
      </c>
      <c r="N661" t="s">
        <v>76</v>
      </c>
      <c r="O661" t="s">
        <v>77</v>
      </c>
      <c r="P661" t="s">
        <v>76</v>
      </c>
      <c r="S661" t="s">
        <v>2223</v>
      </c>
    </row>
    <row r="662" spans="1:19" x14ac:dyDescent="0.3">
      <c r="A662" t="s">
        <v>2224</v>
      </c>
      <c r="B662" t="s">
        <v>2225</v>
      </c>
      <c r="C662" t="s">
        <v>45</v>
      </c>
      <c r="D662" t="s">
        <v>95</v>
      </c>
      <c r="E662" t="s">
        <v>74</v>
      </c>
      <c r="F662" t="s">
        <v>45</v>
      </c>
      <c r="G662" t="s">
        <v>2226</v>
      </c>
      <c r="H662" t="s">
        <v>26</v>
      </c>
      <c r="I662">
        <v>0.13838833533554751</v>
      </c>
      <c r="J662">
        <v>6.2113787538867107E-2</v>
      </c>
      <c r="K662">
        <v>0</v>
      </c>
      <c r="L662">
        <v>4.0289988743596947E-2</v>
      </c>
      <c r="M662" t="s">
        <v>76</v>
      </c>
      <c r="N662" t="s">
        <v>76</v>
      </c>
      <c r="O662" t="s">
        <v>77</v>
      </c>
      <c r="P662" t="s">
        <v>76</v>
      </c>
      <c r="S662" t="s">
        <v>2225</v>
      </c>
    </row>
    <row r="663" spans="1:19" x14ac:dyDescent="0.3">
      <c r="A663" t="s">
        <v>2227</v>
      </c>
      <c r="B663" t="s">
        <v>2228</v>
      </c>
      <c r="C663" t="s">
        <v>45</v>
      </c>
      <c r="D663" t="s">
        <v>35</v>
      </c>
      <c r="E663" t="s">
        <v>389</v>
      </c>
      <c r="F663" t="s">
        <v>45</v>
      </c>
      <c r="G663" t="s">
        <v>2229</v>
      </c>
      <c r="H663" t="s">
        <v>26</v>
      </c>
      <c r="I663">
        <v>0.15666835480806221</v>
      </c>
      <c r="J663">
        <v>5.0275268626756887E-2</v>
      </c>
      <c r="K663">
        <v>0</v>
      </c>
      <c r="L663">
        <v>3.8878117343180509E-2</v>
      </c>
      <c r="M663" t="s">
        <v>76</v>
      </c>
      <c r="N663" t="s">
        <v>76</v>
      </c>
      <c r="O663" t="s">
        <v>77</v>
      </c>
      <c r="P663" t="s">
        <v>76</v>
      </c>
      <c r="S663" t="s">
        <v>2228</v>
      </c>
    </row>
    <row r="664" spans="1:19" x14ac:dyDescent="0.3">
      <c r="A664" t="s">
        <v>2230</v>
      </c>
      <c r="B664" t="s">
        <v>2231</v>
      </c>
      <c r="C664" t="s">
        <v>45</v>
      </c>
      <c r="D664" t="s">
        <v>63</v>
      </c>
      <c r="F664" t="s">
        <v>45</v>
      </c>
      <c r="G664" t="s">
        <v>2232</v>
      </c>
      <c r="H664" t="s">
        <v>26</v>
      </c>
      <c r="I664">
        <v>0.13851102002999391</v>
      </c>
      <c r="J664">
        <v>5.734763057425081E-2</v>
      </c>
      <c r="K664">
        <v>0</v>
      </c>
      <c r="L664">
        <v>3.8705937904105023E-2</v>
      </c>
      <c r="M664" t="s">
        <v>76</v>
      </c>
      <c r="N664" t="s">
        <v>76</v>
      </c>
      <c r="O664" t="s">
        <v>77</v>
      </c>
      <c r="P664" t="s">
        <v>76</v>
      </c>
      <c r="S664" t="s">
        <v>2231</v>
      </c>
    </row>
    <row r="665" spans="1:19" x14ac:dyDescent="0.3">
      <c r="A665" t="s">
        <v>2233</v>
      </c>
      <c r="B665" t="s">
        <v>2234</v>
      </c>
      <c r="C665" t="s">
        <v>314</v>
      </c>
      <c r="D665" t="s">
        <v>63</v>
      </c>
      <c r="E665" t="s">
        <v>323</v>
      </c>
      <c r="F665" t="s">
        <v>314</v>
      </c>
      <c r="G665" t="s">
        <v>2235</v>
      </c>
      <c r="H665" t="s">
        <v>213</v>
      </c>
      <c r="I665">
        <v>0.1161824056407478</v>
      </c>
      <c r="J665">
        <v>6.6635268128324585E-2</v>
      </c>
      <c r="K665">
        <v>0</v>
      </c>
      <c r="L665">
        <v>3.8692606629251239E-2</v>
      </c>
      <c r="M665" t="s">
        <v>76</v>
      </c>
      <c r="N665" t="s">
        <v>76</v>
      </c>
      <c r="O665" t="s">
        <v>77</v>
      </c>
      <c r="P665" t="s">
        <v>76</v>
      </c>
      <c r="S665" t="s">
        <v>2234</v>
      </c>
    </row>
    <row r="666" spans="1:19" x14ac:dyDescent="0.3">
      <c r="A666" t="s">
        <v>2236</v>
      </c>
      <c r="B666" t="s">
        <v>2237</v>
      </c>
      <c r="C666" t="s">
        <v>24</v>
      </c>
      <c r="D666" t="s">
        <v>63</v>
      </c>
      <c r="E666" t="s">
        <v>315</v>
      </c>
      <c r="F666" t="s">
        <v>24</v>
      </c>
      <c r="G666" t="s">
        <v>2238</v>
      </c>
      <c r="H666" t="s">
        <v>213</v>
      </c>
      <c r="I666">
        <v>0.11471018930739089</v>
      </c>
      <c r="J666">
        <v>6.6378978635523528E-2</v>
      </c>
      <c r="K666">
        <v>0</v>
      </c>
      <c r="L666">
        <v>3.8399886634096332E-2</v>
      </c>
      <c r="M666" t="s">
        <v>116</v>
      </c>
      <c r="N666" t="s">
        <v>116</v>
      </c>
      <c r="O666" t="s">
        <v>302</v>
      </c>
      <c r="P666" t="s">
        <v>116</v>
      </c>
      <c r="Q666" t="s">
        <v>2239</v>
      </c>
      <c r="R666" t="s">
        <v>2240</v>
      </c>
      <c r="S666" t="s">
        <v>2237</v>
      </c>
    </row>
    <row r="667" spans="1:19" x14ac:dyDescent="0.3">
      <c r="A667" t="s">
        <v>2241</v>
      </c>
      <c r="B667" t="s">
        <v>2242</v>
      </c>
      <c r="C667" t="s">
        <v>314</v>
      </c>
      <c r="D667" t="s">
        <v>63</v>
      </c>
      <c r="E667" t="s">
        <v>323</v>
      </c>
      <c r="F667" t="s">
        <v>314</v>
      </c>
      <c r="G667" t="s">
        <v>2243</v>
      </c>
      <c r="H667" t="s">
        <v>213</v>
      </c>
      <c r="I667">
        <v>0.1148328740018373</v>
      </c>
      <c r="J667">
        <v>6.4841241678715716E-2</v>
      </c>
      <c r="K667">
        <v>0</v>
      </c>
      <c r="L667">
        <v>3.7900476568415373E-2</v>
      </c>
      <c r="M667" t="s">
        <v>76</v>
      </c>
      <c r="N667" t="s">
        <v>76</v>
      </c>
      <c r="O667" t="s">
        <v>77</v>
      </c>
      <c r="P667" t="s">
        <v>76</v>
      </c>
      <c r="S667" t="s">
        <v>2242</v>
      </c>
    </row>
    <row r="668" spans="1:19" x14ac:dyDescent="0.3">
      <c r="A668" t="s">
        <v>2244</v>
      </c>
      <c r="B668" t="s">
        <v>2245</v>
      </c>
      <c r="C668" t="s">
        <v>21</v>
      </c>
      <c r="D668" t="s">
        <v>35</v>
      </c>
      <c r="E668" t="s">
        <v>80</v>
      </c>
      <c r="F668" t="s">
        <v>24</v>
      </c>
      <c r="G668" t="s">
        <v>21</v>
      </c>
      <c r="H668" t="s">
        <v>26</v>
      </c>
      <c r="I668">
        <v>3.0425804222709029E-2</v>
      </c>
      <c r="J668">
        <v>2.3369543826504229E-2</v>
      </c>
      <c r="K668">
        <v>4.5273130130954568E-2</v>
      </c>
      <c r="L668">
        <v>3.5830541271549103E-2</v>
      </c>
      <c r="M668" t="s">
        <v>76</v>
      </c>
      <c r="N668" t="s">
        <v>76</v>
      </c>
      <c r="O668" t="s">
        <v>77</v>
      </c>
      <c r="P668" t="s">
        <v>76</v>
      </c>
      <c r="S668" t="s">
        <v>2245</v>
      </c>
    </row>
    <row r="669" spans="1:19" x14ac:dyDescent="0.3">
      <c r="A669" t="s">
        <v>2246</v>
      </c>
      <c r="B669" t="s">
        <v>2247</v>
      </c>
      <c r="C669" t="s">
        <v>228</v>
      </c>
      <c r="D669" t="s">
        <v>63</v>
      </c>
      <c r="E669" t="s">
        <v>315</v>
      </c>
      <c r="F669" t="s">
        <v>228</v>
      </c>
      <c r="G669" t="s">
        <v>2246</v>
      </c>
      <c r="H669" t="s">
        <v>213</v>
      </c>
      <c r="I669">
        <v>0.24659623583727891</v>
      </c>
      <c r="J669">
        <v>0</v>
      </c>
      <c r="K669">
        <v>0</v>
      </c>
      <c r="L669">
        <v>3.4608067254115367E-2</v>
      </c>
      <c r="M669" t="s">
        <v>76</v>
      </c>
      <c r="N669" t="s">
        <v>76</v>
      </c>
      <c r="O669" t="s">
        <v>77</v>
      </c>
      <c r="P669" t="s">
        <v>76</v>
      </c>
      <c r="S669" t="s">
        <v>2247</v>
      </c>
    </row>
    <row r="670" spans="1:19" x14ac:dyDescent="0.3">
      <c r="A670" t="s">
        <v>2248</v>
      </c>
      <c r="B670" t="s">
        <v>2249</v>
      </c>
      <c r="C670" t="s">
        <v>251</v>
      </c>
      <c r="D670" t="s">
        <v>63</v>
      </c>
      <c r="E670" t="s">
        <v>323</v>
      </c>
      <c r="F670" t="s">
        <v>251</v>
      </c>
      <c r="G670" t="s">
        <v>2250</v>
      </c>
      <c r="H670" t="s">
        <v>317</v>
      </c>
      <c r="I670">
        <v>3.1284597083833882E-2</v>
      </c>
      <c r="J670">
        <v>8.102466839847286E-2</v>
      </c>
      <c r="K670">
        <v>1.9726854087561978E-3</v>
      </c>
      <c r="L670">
        <v>3.2645221648658067E-2</v>
      </c>
      <c r="S670" t="s">
        <v>2249</v>
      </c>
    </row>
    <row r="671" spans="1:19" x14ac:dyDescent="0.3">
      <c r="A671" t="s">
        <v>2251</v>
      </c>
      <c r="B671" t="s">
        <v>2252</v>
      </c>
      <c r="C671" t="s">
        <v>251</v>
      </c>
      <c r="D671" t="s">
        <v>63</v>
      </c>
      <c r="E671" t="s">
        <v>315</v>
      </c>
      <c r="F671" t="s">
        <v>251</v>
      </c>
      <c r="G671" t="s">
        <v>2251</v>
      </c>
      <c r="H671" t="s">
        <v>213</v>
      </c>
      <c r="I671">
        <v>9.5694061668197772E-2</v>
      </c>
      <c r="J671">
        <v>4.9711529630941352E-2</v>
      </c>
      <c r="K671">
        <v>0</v>
      </c>
      <c r="L671">
        <v>3.0131401838160061E-2</v>
      </c>
      <c r="S671" t="s">
        <v>2252</v>
      </c>
    </row>
    <row r="672" spans="1:19" x14ac:dyDescent="0.3">
      <c r="A672" t="s">
        <v>2253</v>
      </c>
      <c r="B672" t="s">
        <v>2254</v>
      </c>
      <c r="C672" t="s">
        <v>45</v>
      </c>
      <c r="D672" t="s">
        <v>63</v>
      </c>
      <c r="E672" t="s">
        <v>323</v>
      </c>
      <c r="F672" t="s">
        <v>45</v>
      </c>
      <c r="G672" t="s">
        <v>2255</v>
      </c>
      <c r="H672" t="s">
        <v>213</v>
      </c>
      <c r="I672">
        <v>8.9927881029216616E-2</v>
      </c>
      <c r="J672">
        <v>4.6895548514628627E-2</v>
      </c>
      <c r="K672">
        <v>0</v>
      </c>
      <c r="L672">
        <v>2.837608332640101E-2</v>
      </c>
      <c r="M672" t="s">
        <v>76</v>
      </c>
      <c r="N672" t="s">
        <v>76</v>
      </c>
      <c r="O672" t="s">
        <v>77</v>
      </c>
      <c r="P672" t="s">
        <v>76</v>
      </c>
      <c r="S672" t="s">
        <v>2254</v>
      </c>
    </row>
    <row r="673" spans="1:19" x14ac:dyDescent="0.3">
      <c r="A673" t="s">
        <v>2256</v>
      </c>
      <c r="B673" t="s">
        <v>2257</v>
      </c>
      <c r="C673" t="s">
        <v>596</v>
      </c>
      <c r="D673" t="s">
        <v>35</v>
      </c>
      <c r="E673" t="s">
        <v>80</v>
      </c>
      <c r="F673" t="s">
        <v>73</v>
      </c>
      <c r="G673" t="s">
        <v>596</v>
      </c>
      <c r="H673" t="s">
        <v>75</v>
      </c>
      <c r="I673">
        <v>6.6249735001059989E-2</v>
      </c>
      <c r="J673">
        <v>5.5297670589470098E-2</v>
      </c>
      <c r="K673">
        <v>0</v>
      </c>
      <c r="L673">
        <v>2.7875851186275009E-2</v>
      </c>
      <c r="M673" t="s">
        <v>76</v>
      </c>
      <c r="N673" t="s">
        <v>76</v>
      </c>
      <c r="O673" t="s">
        <v>77</v>
      </c>
      <c r="P673" t="s">
        <v>76</v>
      </c>
      <c r="S673" t="s">
        <v>2257</v>
      </c>
    </row>
    <row r="674" spans="1:19" x14ac:dyDescent="0.3">
      <c r="A674" t="s">
        <v>2258</v>
      </c>
      <c r="B674" t="s">
        <v>2259</v>
      </c>
      <c r="C674" t="s">
        <v>243</v>
      </c>
      <c r="D674" t="s">
        <v>63</v>
      </c>
      <c r="E674" t="s">
        <v>331</v>
      </c>
      <c r="F674" t="s">
        <v>243</v>
      </c>
      <c r="G674" t="s">
        <v>2258</v>
      </c>
      <c r="H674" t="s">
        <v>213</v>
      </c>
      <c r="I674">
        <v>0</v>
      </c>
      <c r="J674">
        <v>8.0460929402657685E-2</v>
      </c>
      <c r="K674">
        <v>0</v>
      </c>
      <c r="L674">
        <v>2.70321719348064E-2</v>
      </c>
      <c r="S674" t="s">
        <v>2259</v>
      </c>
    </row>
    <row r="675" spans="1:19" x14ac:dyDescent="0.3">
      <c r="A675" t="s">
        <v>2260</v>
      </c>
      <c r="B675" t="s">
        <v>2261</v>
      </c>
      <c r="C675" t="s">
        <v>45</v>
      </c>
      <c r="D675" t="s">
        <v>63</v>
      </c>
      <c r="E675" t="s">
        <v>323</v>
      </c>
      <c r="F675" t="s">
        <v>45</v>
      </c>
      <c r="G675" t="s">
        <v>2260</v>
      </c>
      <c r="H675" t="s">
        <v>26</v>
      </c>
      <c r="I675">
        <v>3.9381786917296782E-2</v>
      </c>
      <c r="J675">
        <v>3.2286869760301429E-2</v>
      </c>
      <c r="K675">
        <v>1.906929228464329E-2</v>
      </c>
      <c r="L675">
        <v>2.6360672122412981E-2</v>
      </c>
      <c r="M675" t="s">
        <v>76</v>
      </c>
      <c r="N675" t="s">
        <v>76</v>
      </c>
      <c r="O675" t="s">
        <v>77</v>
      </c>
      <c r="P675" t="s">
        <v>76</v>
      </c>
      <c r="S675" t="s">
        <v>2261</v>
      </c>
    </row>
    <row r="676" spans="1:19" x14ac:dyDescent="0.3">
      <c r="A676" t="s">
        <v>2262</v>
      </c>
      <c r="B676" t="s">
        <v>2263</v>
      </c>
      <c r="C676" t="s">
        <v>314</v>
      </c>
      <c r="D676" t="s">
        <v>63</v>
      </c>
      <c r="E676" t="s">
        <v>323</v>
      </c>
      <c r="F676" t="s">
        <v>314</v>
      </c>
      <c r="G676" t="s">
        <v>2264</v>
      </c>
      <c r="H676" t="s">
        <v>213</v>
      </c>
      <c r="I676">
        <v>0</v>
      </c>
      <c r="J676">
        <v>0</v>
      </c>
      <c r="K676">
        <v>4.9317135218904837E-2</v>
      </c>
      <c r="L676">
        <v>2.582691586128006E-2</v>
      </c>
      <c r="M676" t="s">
        <v>76</v>
      </c>
      <c r="N676" t="s">
        <v>76</v>
      </c>
      <c r="O676" t="s">
        <v>77</v>
      </c>
      <c r="P676" t="s">
        <v>76</v>
      </c>
      <c r="S676" t="s">
        <v>2263</v>
      </c>
    </row>
    <row r="677" spans="1:19" x14ac:dyDescent="0.3">
      <c r="A677" t="s">
        <v>2265</v>
      </c>
      <c r="B677" t="s">
        <v>2266</v>
      </c>
      <c r="C677" t="s">
        <v>251</v>
      </c>
      <c r="D677" t="s">
        <v>63</v>
      </c>
      <c r="E677" t="s">
        <v>331</v>
      </c>
      <c r="F677" t="s">
        <v>228</v>
      </c>
      <c r="G677" t="s">
        <v>2267</v>
      </c>
      <c r="H677" t="s">
        <v>213</v>
      </c>
      <c r="I677">
        <v>4.3062327750689001E-2</v>
      </c>
      <c r="J677">
        <v>0</v>
      </c>
      <c r="K677">
        <v>3.6001508709800893E-2</v>
      </c>
      <c r="L677">
        <v>2.4897146890274179E-2</v>
      </c>
      <c r="M677" t="s">
        <v>76</v>
      </c>
      <c r="N677" t="s">
        <v>76</v>
      </c>
      <c r="O677" t="s">
        <v>77</v>
      </c>
      <c r="P677" t="s">
        <v>76</v>
      </c>
      <c r="S677" t="s">
        <v>2266</v>
      </c>
    </row>
    <row r="678" spans="1:19" x14ac:dyDescent="0.3">
      <c r="A678" t="s">
        <v>2268</v>
      </c>
      <c r="B678" t="s">
        <v>2269</v>
      </c>
      <c r="C678" t="s">
        <v>251</v>
      </c>
      <c r="D678" t="s">
        <v>63</v>
      </c>
      <c r="E678" t="s">
        <v>315</v>
      </c>
      <c r="F678" t="s">
        <v>251</v>
      </c>
      <c r="G678" t="s">
        <v>2270</v>
      </c>
      <c r="H678" t="s">
        <v>213</v>
      </c>
      <c r="I678">
        <v>0</v>
      </c>
      <c r="J678">
        <v>7.2004844465436313E-2</v>
      </c>
      <c r="K678">
        <v>0</v>
      </c>
      <c r="L678">
        <v>2.4191211190065811E-2</v>
      </c>
      <c r="Q678" t="s">
        <v>2271</v>
      </c>
      <c r="R678" t="s">
        <v>2272</v>
      </c>
      <c r="S678" t="s">
        <v>2269</v>
      </c>
    </row>
    <row r="679" spans="1:19" x14ac:dyDescent="0.3">
      <c r="A679" t="s">
        <v>2273</v>
      </c>
      <c r="B679" t="s">
        <v>2274</v>
      </c>
      <c r="C679" t="s">
        <v>45</v>
      </c>
      <c r="D679" t="s">
        <v>63</v>
      </c>
      <c r="E679" t="s">
        <v>315</v>
      </c>
      <c r="F679" t="s">
        <v>45</v>
      </c>
      <c r="G679" t="s">
        <v>2275</v>
      </c>
      <c r="H679" t="s">
        <v>213</v>
      </c>
      <c r="I679">
        <v>0.16636044566932839</v>
      </c>
      <c r="J679">
        <v>0</v>
      </c>
      <c r="K679">
        <v>0</v>
      </c>
      <c r="L679">
        <v>2.3347531938597229E-2</v>
      </c>
      <c r="M679" t="s">
        <v>76</v>
      </c>
      <c r="N679" t="s">
        <v>76</v>
      </c>
      <c r="O679" t="s">
        <v>77</v>
      </c>
      <c r="P679" t="s">
        <v>76</v>
      </c>
      <c r="S679" t="s">
        <v>2274</v>
      </c>
    </row>
    <row r="680" spans="1:19" x14ac:dyDescent="0.3">
      <c r="A680" t="s">
        <v>2276</v>
      </c>
      <c r="B680" t="s">
        <v>2277</v>
      </c>
      <c r="C680" t="s">
        <v>251</v>
      </c>
      <c r="D680" t="s">
        <v>63</v>
      </c>
      <c r="E680" t="s">
        <v>315</v>
      </c>
      <c r="F680" t="s">
        <v>251</v>
      </c>
      <c r="G680" t="s">
        <v>2276</v>
      </c>
      <c r="H680" t="s">
        <v>75</v>
      </c>
      <c r="I680">
        <v>2.024297458365722E-2</v>
      </c>
      <c r="J680">
        <v>6.0935060547618117E-2</v>
      </c>
      <c r="K680">
        <v>0</v>
      </c>
      <c r="L680">
        <v>2.3313096050782189E-2</v>
      </c>
      <c r="S680" t="s">
        <v>2277</v>
      </c>
    </row>
    <row r="681" spans="1:19" x14ac:dyDescent="0.3">
      <c r="A681" t="s">
        <v>2278</v>
      </c>
      <c r="B681" t="s">
        <v>2279</v>
      </c>
      <c r="C681" t="s">
        <v>251</v>
      </c>
      <c r="D681" t="s">
        <v>63</v>
      </c>
      <c r="E681" t="s">
        <v>323</v>
      </c>
      <c r="F681" t="s">
        <v>251</v>
      </c>
      <c r="G681" t="s">
        <v>2280</v>
      </c>
      <c r="H681" t="s">
        <v>213</v>
      </c>
      <c r="I681">
        <v>3.8645678750618327E-2</v>
      </c>
      <c r="J681">
        <v>4.535536466328198E-2</v>
      </c>
      <c r="K681">
        <v>0</v>
      </c>
      <c r="L681">
        <v>2.0661532689024171E-2</v>
      </c>
      <c r="S681" t="s">
        <v>2279</v>
      </c>
    </row>
    <row r="682" spans="1:19" x14ac:dyDescent="0.3">
      <c r="A682" t="s">
        <v>2281</v>
      </c>
      <c r="B682" t="s">
        <v>2282</v>
      </c>
      <c r="C682" t="s">
        <v>228</v>
      </c>
      <c r="D682" t="s">
        <v>63</v>
      </c>
      <c r="E682" t="s">
        <v>315</v>
      </c>
      <c r="F682" t="s">
        <v>228</v>
      </c>
      <c r="G682" t="s">
        <v>2281</v>
      </c>
      <c r="H682" t="s">
        <v>213</v>
      </c>
      <c r="I682">
        <v>0.14685357925234971</v>
      </c>
      <c r="J682">
        <v>0</v>
      </c>
      <c r="K682">
        <v>0</v>
      </c>
      <c r="L682">
        <v>2.060987885730154E-2</v>
      </c>
      <c r="M682" t="s">
        <v>76</v>
      </c>
      <c r="N682" t="s">
        <v>76</v>
      </c>
      <c r="O682" t="s">
        <v>77</v>
      </c>
      <c r="P682" t="s">
        <v>76</v>
      </c>
      <c r="S682" t="s">
        <v>2282</v>
      </c>
    </row>
    <row r="683" spans="1:19" x14ac:dyDescent="0.3">
      <c r="A683" t="s">
        <v>2283</v>
      </c>
      <c r="B683" t="s">
        <v>2284</v>
      </c>
      <c r="C683" t="s">
        <v>24</v>
      </c>
      <c r="D683" t="s">
        <v>63</v>
      </c>
      <c r="E683" t="s">
        <v>1132</v>
      </c>
      <c r="F683" t="s">
        <v>144</v>
      </c>
      <c r="G683" t="s">
        <v>2214</v>
      </c>
      <c r="H683" t="s">
        <v>26</v>
      </c>
      <c r="I683">
        <v>2.453693888928148E-2</v>
      </c>
      <c r="J683">
        <v>4.9404035633223153E-2</v>
      </c>
      <c r="K683">
        <v>0</v>
      </c>
      <c r="L683">
        <v>2.0041686708352938E-2</v>
      </c>
      <c r="M683" t="s">
        <v>76</v>
      </c>
      <c r="N683" t="s">
        <v>76</v>
      </c>
      <c r="O683" t="s">
        <v>77</v>
      </c>
      <c r="P683" t="s">
        <v>76</v>
      </c>
      <c r="Q683" t="s">
        <v>1525</v>
      </c>
      <c r="R683" t="s">
        <v>1526</v>
      </c>
      <c r="S683" t="s">
        <v>2284</v>
      </c>
    </row>
    <row r="684" spans="1:19" x14ac:dyDescent="0.3">
      <c r="A684" t="s">
        <v>2285</v>
      </c>
      <c r="B684" t="s">
        <v>2286</v>
      </c>
      <c r="C684" t="s">
        <v>45</v>
      </c>
      <c r="D684" t="s">
        <v>63</v>
      </c>
      <c r="E684" t="s">
        <v>74</v>
      </c>
      <c r="F684" t="s">
        <v>45</v>
      </c>
      <c r="G684" t="s">
        <v>2285</v>
      </c>
      <c r="H684" t="s">
        <v>26</v>
      </c>
      <c r="I684">
        <v>4.5761391028509957E-2</v>
      </c>
      <c r="J684">
        <v>1.9372121856181451E-2</v>
      </c>
      <c r="K684">
        <v>1.2723820886477581E-2</v>
      </c>
      <c r="L684">
        <v>1.9594020166757931E-2</v>
      </c>
      <c r="M684" t="s">
        <v>76</v>
      </c>
      <c r="N684" t="s">
        <v>76</v>
      </c>
      <c r="O684" t="s">
        <v>77</v>
      </c>
      <c r="P684" t="s">
        <v>76</v>
      </c>
      <c r="S684" t="s">
        <v>2286</v>
      </c>
    </row>
    <row r="685" spans="1:19" x14ac:dyDescent="0.3">
      <c r="A685" t="s">
        <v>2287</v>
      </c>
      <c r="B685" t="s">
        <v>2288</v>
      </c>
      <c r="C685" t="s">
        <v>24</v>
      </c>
      <c r="D685" t="s">
        <v>35</v>
      </c>
      <c r="E685" t="s">
        <v>2289</v>
      </c>
      <c r="F685" t="s">
        <v>55</v>
      </c>
      <c r="G685" t="s">
        <v>2287</v>
      </c>
      <c r="H685" t="s">
        <v>26</v>
      </c>
      <c r="I685">
        <v>2.0979082750335661E-2</v>
      </c>
      <c r="J685">
        <v>3.1979375762582238E-2</v>
      </c>
      <c r="K685">
        <v>9.7319146831972934E-3</v>
      </c>
      <c r="L685">
        <v>1.8784776803103469E-2</v>
      </c>
      <c r="M685" t="s">
        <v>239</v>
      </c>
      <c r="N685" t="s">
        <v>239</v>
      </c>
      <c r="O685" t="s">
        <v>240</v>
      </c>
      <c r="P685" t="s">
        <v>239</v>
      </c>
      <c r="S685" t="s">
        <v>2288</v>
      </c>
    </row>
    <row r="686" spans="1:19" x14ac:dyDescent="0.3">
      <c r="A686" t="s">
        <v>2290</v>
      </c>
      <c r="B686" t="s">
        <v>2291</v>
      </c>
      <c r="C686" t="s">
        <v>196</v>
      </c>
      <c r="F686" t="s">
        <v>228</v>
      </c>
      <c r="G686" t="s">
        <v>196</v>
      </c>
      <c r="H686" t="s">
        <v>75</v>
      </c>
      <c r="I686">
        <v>0</v>
      </c>
      <c r="J686">
        <v>4.9199039634746318E-2</v>
      </c>
      <c r="K686">
        <v>4.2741517189717627E-3</v>
      </c>
      <c r="L686">
        <v>1.8767558859196891E-2</v>
      </c>
      <c r="M686" t="s">
        <v>287</v>
      </c>
      <c r="N686" t="s">
        <v>287</v>
      </c>
      <c r="O686" t="s">
        <v>288</v>
      </c>
      <c r="P686" t="s">
        <v>30</v>
      </c>
      <c r="Q686" t="s">
        <v>2292</v>
      </c>
      <c r="R686" t="s">
        <v>2293</v>
      </c>
      <c r="S686" t="s">
        <v>2291</v>
      </c>
    </row>
    <row r="687" spans="1:19" x14ac:dyDescent="0.3">
      <c r="A687" t="s">
        <v>2294</v>
      </c>
      <c r="B687" t="s">
        <v>2295</v>
      </c>
      <c r="C687" t="s">
        <v>24</v>
      </c>
      <c r="D687" t="s">
        <v>53</v>
      </c>
      <c r="E687" t="s">
        <v>400</v>
      </c>
      <c r="F687" t="s">
        <v>24</v>
      </c>
      <c r="G687" t="s">
        <v>2294</v>
      </c>
      <c r="H687" t="s">
        <v>26</v>
      </c>
      <c r="I687">
        <v>0</v>
      </c>
      <c r="J687">
        <v>4.0896701696382397E-2</v>
      </c>
      <c r="K687">
        <v>9.3702556915918299E-3</v>
      </c>
      <c r="L687">
        <v>1.8647033251844029E-2</v>
      </c>
      <c r="M687" t="s">
        <v>76</v>
      </c>
      <c r="N687" t="s">
        <v>76</v>
      </c>
      <c r="O687" t="s">
        <v>77</v>
      </c>
      <c r="P687" t="s">
        <v>76</v>
      </c>
      <c r="Q687" t="s">
        <v>2296</v>
      </c>
      <c r="R687" t="s">
        <v>2297</v>
      </c>
      <c r="S687" t="s">
        <v>2295</v>
      </c>
    </row>
    <row r="688" spans="1:19" x14ac:dyDescent="0.3">
      <c r="A688" t="s">
        <v>2298</v>
      </c>
      <c r="B688" t="s">
        <v>2299</v>
      </c>
      <c r="C688" t="s">
        <v>314</v>
      </c>
      <c r="D688" t="s">
        <v>63</v>
      </c>
      <c r="E688" t="s">
        <v>315</v>
      </c>
      <c r="F688" t="s">
        <v>314</v>
      </c>
      <c r="G688" t="s">
        <v>2300</v>
      </c>
      <c r="H688" t="s">
        <v>213</v>
      </c>
      <c r="I688">
        <v>3.0548488917155441E-2</v>
      </c>
      <c r="J688">
        <v>2.204089638090749E-2</v>
      </c>
      <c r="K688">
        <v>1.09155259284512E-2</v>
      </c>
      <c r="L688">
        <v>1.7408626881036081E-2</v>
      </c>
      <c r="M688" t="s">
        <v>76</v>
      </c>
      <c r="N688" t="s">
        <v>76</v>
      </c>
      <c r="O688" t="s">
        <v>77</v>
      </c>
      <c r="P688" t="s">
        <v>76</v>
      </c>
      <c r="S688" t="s">
        <v>2299</v>
      </c>
    </row>
    <row r="689" spans="1:19" x14ac:dyDescent="0.3">
      <c r="A689" t="s">
        <v>2301</v>
      </c>
      <c r="B689" t="s">
        <v>2302</v>
      </c>
      <c r="C689" t="s">
        <v>24</v>
      </c>
      <c r="D689" t="s">
        <v>63</v>
      </c>
      <c r="E689" t="s">
        <v>2033</v>
      </c>
      <c r="F689" t="s">
        <v>144</v>
      </c>
      <c r="G689" t="s">
        <v>261</v>
      </c>
      <c r="H689" t="s">
        <v>26</v>
      </c>
      <c r="I689">
        <v>2.711331747265603E-2</v>
      </c>
      <c r="J689">
        <v>3.9974219703230757E-2</v>
      </c>
      <c r="K689">
        <v>0</v>
      </c>
      <c r="L689">
        <v>1.7235161851427389E-2</v>
      </c>
      <c r="M689" t="s">
        <v>76</v>
      </c>
      <c r="N689" t="s">
        <v>76</v>
      </c>
      <c r="O689" t="s">
        <v>77</v>
      </c>
      <c r="P689" t="s">
        <v>76</v>
      </c>
      <c r="Q689" t="s">
        <v>1525</v>
      </c>
      <c r="R689" t="s">
        <v>1526</v>
      </c>
      <c r="S689" t="s">
        <v>2302</v>
      </c>
    </row>
    <row r="690" spans="1:19" x14ac:dyDescent="0.3">
      <c r="A690" t="s">
        <v>2303</v>
      </c>
      <c r="B690" t="s">
        <v>2304</v>
      </c>
      <c r="C690" t="s">
        <v>24</v>
      </c>
      <c r="D690" t="s">
        <v>35</v>
      </c>
      <c r="E690" t="s">
        <v>150</v>
      </c>
      <c r="F690" t="s">
        <v>144</v>
      </c>
      <c r="G690" t="s">
        <v>2305</v>
      </c>
      <c r="H690" t="s">
        <v>26</v>
      </c>
      <c r="I690">
        <v>1.803465008362189E-2</v>
      </c>
      <c r="J690">
        <v>4.3049159680403383E-2</v>
      </c>
      <c r="K690">
        <v>0</v>
      </c>
      <c r="L690">
        <v>1.6994110636722431E-2</v>
      </c>
      <c r="M690" t="s">
        <v>76</v>
      </c>
      <c r="N690" t="s">
        <v>76</v>
      </c>
      <c r="O690" t="s">
        <v>77</v>
      </c>
      <c r="P690" t="s">
        <v>76</v>
      </c>
      <c r="S690" t="s">
        <v>2304</v>
      </c>
    </row>
    <row r="691" spans="1:19" x14ac:dyDescent="0.3">
      <c r="A691" t="s">
        <v>2306</v>
      </c>
      <c r="B691" t="s">
        <v>2307</v>
      </c>
      <c r="C691" t="s">
        <v>251</v>
      </c>
      <c r="D691" t="s">
        <v>63</v>
      </c>
      <c r="E691" t="s">
        <v>74</v>
      </c>
      <c r="F691" t="s">
        <v>251</v>
      </c>
      <c r="G691" t="s">
        <v>2308</v>
      </c>
      <c r="H691" t="s">
        <v>213</v>
      </c>
      <c r="I691">
        <v>5.1159517584151888E-2</v>
      </c>
      <c r="J691">
        <v>2.8443194788838239E-2</v>
      </c>
      <c r="K691">
        <v>0</v>
      </c>
      <c r="L691">
        <v>1.6735841478109689E-2</v>
      </c>
      <c r="S691" t="s">
        <v>2307</v>
      </c>
    </row>
    <row r="692" spans="1:19" x14ac:dyDescent="0.3">
      <c r="A692" t="s">
        <v>2309</v>
      </c>
      <c r="B692" t="s">
        <v>2310</v>
      </c>
      <c r="C692" t="s">
        <v>73</v>
      </c>
      <c r="D692" t="s">
        <v>63</v>
      </c>
      <c r="E692" t="s">
        <v>74</v>
      </c>
      <c r="F692" t="s">
        <v>73</v>
      </c>
      <c r="G692" t="s">
        <v>542</v>
      </c>
      <c r="H692" t="s">
        <v>75</v>
      </c>
      <c r="I692">
        <v>0</v>
      </c>
      <c r="J692">
        <v>4.9199039634746318E-2</v>
      </c>
      <c r="K692">
        <v>0</v>
      </c>
      <c r="L692">
        <v>1.6529226151219281E-2</v>
      </c>
      <c r="M692" t="s">
        <v>76</v>
      </c>
      <c r="N692" t="s">
        <v>76</v>
      </c>
      <c r="O692" t="s">
        <v>77</v>
      </c>
      <c r="P692" t="s">
        <v>76</v>
      </c>
      <c r="S692" t="s">
        <v>2310</v>
      </c>
    </row>
    <row r="693" spans="1:19" x14ac:dyDescent="0.3">
      <c r="A693" t="s">
        <v>2311</v>
      </c>
      <c r="B693" t="s">
        <v>2312</v>
      </c>
      <c r="C693" t="s">
        <v>251</v>
      </c>
      <c r="D693" t="s">
        <v>63</v>
      </c>
      <c r="E693" t="s">
        <v>74</v>
      </c>
      <c r="F693" t="s">
        <v>228</v>
      </c>
      <c r="G693" t="s">
        <v>2313</v>
      </c>
      <c r="H693" t="s">
        <v>213</v>
      </c>
      <c r="I693">
        <v>4.1222057333992881E-2</v>
      </c>
      <c r="J693">
        <v>3.023690977552116E-2</v>
      </c>
      <c r="K693">
        <v>0</v>
      </c>
      <c r="L693">
        <v>1.5943816058363591E-2</v>
      </c>
      <c r="M693" t="s">
        <v>116</v>
      </c>
      <c r="N693" t="s">
        <v>116</v>
      </c>
      <c r="O693" t="s">
        <v>302</v>
      </c>
      <c r="P693" t="s">
        <v>116</v>
      </c>
      <c r="Q693" t="s">
        <v>2314</v>
      </c>
      <c r="R693" t="s">
        <v>2315</v>
      </c>
      <c r="S693" t="s">
        <v>2312</v>
      </c>
    </row>
    <row r="694" spans="1:19" x14ac:dyDescent="0.3">
      <c r="A694" t="s">
        <v>2316</v>
      </c>
      <c r="B694" t="s">
        <v>2317</v>
      </c>
      <c r="C694" t="s">
        <v>251</v>
      </c>
      <c r="D694" t="s">
        <v>35</v>
      </c>
      <c r="E694" t="s">
        <v>389</v>
      </c>
      <c r="F694" t="s">
        <v>251</v>
      </c>
      <c r="G694" t="s">
        <v>2318</v>
      </c>
      <c r="H694" t="s">
        <v>213</v>
      </c>
      <c r="I694">
        <v>4.2694273667349777E-2</v>
      </c>
      <c r="J694">
        <v>2.741821479644687E-2</v>
      </c>
      <c r="K694">
        <v>0</v>
      </c>
      <c r="L694">
        <v>1.520344447034013E-2</v>
      </c>
      <c r="Q694" t="s">
        <v>707</v>
      </c>
      <c r="S694" t="s">
        <v>2317</v>
      </c>
    </row>
    <row r="695" spans="1:19" x14ac:dyDescent="0.3">
      <c r="A695" t="s">
        <v>2319</v>
      </c>
      <c r="B695" t="s">
        <v>2320</v>
      </c>
      <c r="C695" t="s">
        <v>24</v>
      </c>
      <c r="D695" t="s">
        <v>35</v>
      </c>
      <c r="E695" t="s">
        <v>389</v>
      </c>
      <c r="F695" t="s">
        <v>144</v>
      </c>
      <c r="G695" t="s">
        <v>261</v>
      </c>
      <c r="H695" t="s">
        <v>26</v>
      </c>
      <c r="I695">
        <v>3.6682723639475813E-2</v>
      </c>
      <c r="J695">
        <v>2.880193778617433E-2</v>
      </c>
      <c r="K695">
        <v>0</v>
      </c>
      <c r="L695">
        <v>1.482464970437476E-2</v>
      </c>
      <c r="M695" t="s">
        <v>76</v>
      </c>
      <c r="N695" t="s">
        <v>76</v>
      </c>
      <c r="O695" t="s">
        <v>77</v>
      </c>
      <c r="P695" t="s">
        <v>76</v>
      </c>
      <c r="S695" t="s">
        <v>2320</v>
      </c>
    </row>
    <row r="696" spans="1:19" x14ac:dyDescent="0.3">
      <c r="A696" t="s">
        <v>2321</v>
      </c>
      <c r="B696" t="s">
        <v>2322</v>
      </c>
      <c r="C696" t="s">
        <v>251</v>
      </c>
      <c r="D696" t="s">
        <v>63</v>
      </c>
      <c r="E696" t="s">
        <v>74</v>
      </c>
      <c r="F696" t="s">
        <v>251</v>
      </c>
      <c r="G696" t="s">
        <v>2323</v>
      </c>
      <c r="H696" t="s">
        <v>213</v>
      </c>
      <c r="I696">
        <v>2.453693888928148E-3</v>
      </c>
      <c r="J696">
        <v>4.2024179688013003E-2</v>
      </c>
      <c r="K696">
        <v>0</v>
      </c>
      <c r="L696">
        <v>1.4463072882317039E-2</v>
      </c>
      <c r="S696" t="s">
        <v>2322</v>
      </c>
    </row>
    <row r="697" spans="1:19" x14ac:dyDescent="0.3">
      <c r="A697" t="s">
        <v>2324</v>
      </c>
      <c r="B697" t="s">
        <v>2325</v>
      </c>
      <c r="C697" t="s">
        <v>251</v>
      </c>
      <c r="D697" t="s">
        <v>63</v>
      </c>
      <c r="E697" t="s">
        <v>74</v>
      </c>
      <c r="F697" t="s">
        <v>251</v>
      </c>
      <c r="G697" t="s">
        <v>2326</v>
      </c>
      <c r="H697" t="s">
        <v>213</v>
      </c>
      <c r="I697">
        <v>4.1958165500671329E-2</v>
      </c>
      <c r="J697">
        <v>2.3830784823080049E-2</v>
      </c>
      <c r="K697">
        <v>0</v>
      </c>
      <c r="L697">
        <v>1.389488073336863E-2</v>
      </c>
      <c r="Q697" t="s">
        <v>2327</v>
      </c>
      <c r="R697" t="s">
        <v>734</v>
      </c>
      <c r="S697" t="s">
        <v>2325</v>
      </c>
    </row>
    <row r="698" spans="1:19" x14ac:dyDescent="0.3">
      <c r="A698" t="s">
        <v>2328</v>
      </c>
      <c r="B698" t="s">
        <v>2329</v>
      </c>
      <c r="C698" t="s">
        <v>24</v>
      </c>
      <c r="D698" t="s">
        <v>63</v>
      </c>
      <c r="E698" t="s">
        <v>74</v>
      </c>
      <c r="F698" t="s">
        <v>24</v>
      </c>
      <c r="G698" t="s">
        <v>2328</v>
      </c>
      <c r="H698" t="s">
        <v>26</v>
      </c>
      <c r="I698">
        <v>2.4168884805942259E-2</v>
      </c>
      <c r="J698">
        <v>1.014730192466654E-2</v>
      </c>
      <c r="K698">
        <v>1.331562650910453E-2</v>
      </c>
      <c r="L698">
        <v>1.3774355126016199E-2</v>
      </c>
      <c r="M698" t="s">
        <v>76</v>
      </c>
      <c r="N698" t="s">
        <v>76</v>
      </c>
      <c r="O698" t="s">
        <v>77</v>
      </c>
      <c r="P698" t="s">
        <v>76</v>
      </c>
      <c r="S698" t="s">
        <v>2329</v>
      </c>
    </row>
    <row r="699" spans="1:19" x14ac:dyDescent="0.3">
      <c r="A699" t="s">
        <v>2330</v>
      </c>
      <c r="B699" t="s">
        <v>2331</v>
      </c>
      <c r="C699" t="s">
        <v>21</v>
      </c>
      <c r="D699" t="s">
        <v>63</v>
      </c>
      <c r="E699" t="s">
        <v>74</v>
      </c>
      <c r="F699" t="s">
        <v>24</v>
      </c>
      <c r="G699" t="s">
        <v>21</v>
      </c>
      <c r="H699" t="s">
        <v>26</v>
      </c>
      <c r="I699">
        <v>0</v>
      </c>
      <c r="J699">
        <v>0</v>
      </c>
      <c r="K699">
        <v>2.5842178854706129E-2</v>
      </c>
      <c r="L699">
        <v>1.3533303911310751E-2</v>
      </c>
      <c r="M699" t="s">
        <v>121</v>
      </c>
      <c r="N699" t="s">
        <v>122</v>
      </c>
      <c r="O699" t="s">
        <v>123</v>
      </c>
      <c r="P699" t="s">
        <v>124</v>
      </c>
      <c r="Q699" t="s">
        <v>2114</v>
      </c>
      <c r="R699" t="s">
        <v>2115</v>
      </c>
      <c r="S699" t="s">
        <v>2331</v>
      </c>
    </row>
    <row r="700" spans="1:19" x14ac:dyDescent="0.3">
      <c r="A700" t="s">
        <v>2332</v>
      </c>
      <c r="B700" t="s">
        <v>2333</v>
      </c>
      <c r="C700" t="s">
        <v>24</v>
      </c>
      <c r="D700" t="s">
        <v>63</v>
      </c>
      <c r="E700" t="s">
        <v>2033</v>
      </c>
      <c r="F700" t="s">
        <v>144</v>
      </c>
      <c r="G700" t="s">
        <v>2214</v>
      </c>
      <c r="H700" t="s">
        <v>26</v>
      </c>
      <c r="I700">
        <v>4.2816958361796179E-2</v>
      </c>
      <c r="J700">
        <v>1.1941016911349951E-2</v>
      </c>
      <c r="K700">
        <v>4.6686888007229964E-3</v>
      </c>
      <c r="L700">
        <v>1.2465791389044561E-2</v>
      </c>
      <c r="M700" t="s">
        <v>239</v>
      </c>
      <c r="N700" t="s">
        <v>239</v>
      </c>
      <c r="O700" t="s">
        <v>240</v>
      </c>
      <c r="P700" t="s">
        <v>239</v>
      </c>
      <c r="S700" t="s">
        <v>2333</v>
      </c>
    </row>
    <row r="701" spans="1:19" x14ac:dyDescent="0.3">
      <c r="A701" t="s">
        <v>2334</v>
      </c>
      <c r="B701" t="s">
        <v>2335</v>
      </c>
      <c r="C701" t="s">
        <v>24</v>
      </c>
      <c r="D701" t="s">
        <v>63</v>
      </c>
      <c r="E701" t="s">
        <v>331</v>
      </c>
      <c r="F701" t="s">
        <v>144</v>
      </c>
      <c r="G701" t="s">
        <v>2336</v>
      </c>
      <c r="H701" t="s">
        <v>26</v>
      </c>
      <c r="I701">
        <v>3.2266074639405153E-2</v>
      </c>
      <c r="J701">
        <v>2.1832073837918659E-2</v>
      </c>
      <c r="K701">
        <v>0</v>
      </c>
      <c r="L701">
        <v>1.186316335228133E-2</v>
      </c>
      <c r="M701" t="s">
        <v>76</v>
      </c>
      <c r="N701" t="s">
        <v>76</v>
      </c>
      <c r="O701" t="s">
        <v>77</v>
      </c>
      <c r="P701" t="s">
        <v>76</v>
      </c>
      <c r="S701" t="s">
        <v>2335</v>
      </c>
    </row>
    <row r="702" spans="1:19" x14ac:dyDescent="0.3">
      <c r="A702" t="s">
        <v>2337</v>
      </c>
      <c r="B702" t="s">
        <v>2338</v>
      </c>
      <c r="C702" t="s">
        <v>43</v>
      </c>
      <c r="D702" t="s">
        <v>63</v>
      </c>
      <c r="E702" t="s">
        <v>74</v>
      </c>
      <c r="F702" t="s">
        <v>45</v>
      </c>
      <c r="G702" t="s">
        <v>43</v>
      </c>
      <c r="H702" t="s">
        <v>26</v>
      </c>
      <c r="I702">
        <v>1.6562433750265001E-2</v>
      </c>
      <c r="J702">
        <v>1.5374699885858659E-2</v>
      </c>
      <c r="K702">
        <v>7.1016674715234174E-3</v>
      </c>
      <c r="L702">
        <v>1.12088814837963E-2</v>
      </c>
      <c r="M702" t="s">
        <v>76</v>
      </c>
      <c r="N702" t="s">
        <v>76</v>
      </c>
      <c r="O702" t="s">
        <v>77</v>
      </c>
      <c r="P702" t="s">
        <v>76</v>
      </c>
      <c r="S702" t="s">
        <v>2338</v>
      </c>
    </row>
    <row r="703" spans="1:19" x14ac:dyDescent="0.3">
      <c r="A703" t="s">
        <v>2339</v>
      </c>
      <c r="B703" t="s">
        <v>2340</v>
      </c>
      <c r="C703" t="s">
        <v>43</v>
      </c>
      <c r="D703" t="s">
        <v>63</v>
      </c>
      <c r="E703" t="s">
        <v>74</v>
      </c>
      <c r="F703" t="s">
        <v>45</v>
      </c>
      <c r="G703" t="s">
        <v>43</v>
      </c>
      <c r="H703" t="s">
        <v>26</v>
      </c>
      <c r="I703">
        <v>1.6562433750265001E-2</v>
      </c>
      <c r="J703">
        <v>1.5989687881291119E-2</v>
      </c>
      <c r="K703">
        <v>5.9180562262733062E-3</v>
      </c>
      <c r="L703">
        <v>1.0795650830017069E-2</v>
      </c>
      <c r="M703" t="s">
        <v>76</v>
      </c>
      <c r="N703" t="s">
        <v>76</v>
      </c>
      <c r="O703" t="s">
        <v>77</v>
      </c>
      <c r="P703" t="s">
        <v>76</v>
      </c>
      <c r="S703" t="s">
        <v>2340</v>
      </c>
    </row>
    <row r="704" spans="1:19" x14ac:dyDescent="0.3">
      <c r="A704" t="s">
        <v>2341</v>
      </c>
      <c r="B704" t="s">
        <v>2342</v>
      </c>
      <c r="C704" t="s">
        <v>24</v>
      </c>
      <c r="D704" t="s">
        <v>63</v>
      </c>
      <c r="E704" t="s">
        <v>74</v>
      </c>
      <c r="F704" t="s">
        <v>144</v>
      </c>
      <c r="G704" t="s">
        <v>2341</v>
      </c>
      <c r="H704" t="s">
        <v>26</v>
      </c>
      <c r="I704">
        <v>1.447679394467607E-2</v>
      </c>
      <c r="J704">
        <v>2.5419503811285479E-2</v>
      </c>
      <c r="K704">
        <v>0</v>
      </c>
      <c r="L704">
        <v>1.057181755921729E-2</v>
      </c>
      <c r="M704" t="s">
        <v>76</v>
      </c>
      <c r="N704" t="s">
        <v>76</v>
      </c>
      <c r="O704" t="s">
        <v>77</v>
      </c>
      <c r="P704" t="s">
        <v>76</v>
      </c>
      <c r="Q704" t="s">
        <v>1525</v>
      </c>
      <c r="R704" t="s">
        <v>1526</v>
      </c>
      <c r="S704" t="s">
        <v>2342</v>
      </c>
    </row>
    <row r="705" spans="1:19" x14ac:dyDescent="0.3">
      <c r="A705" t="s">
        <v>2343</v>
      </c>
      <c r="B705" t="s">
        <v>2344</v>
      </c>
      <c r="C705" t="s">
        <v>73</v>
      </c>
      <c r="D705" t="s">
        <v>35</v>
      </c>
      <c r="E705" t="s">
        <v>54</v>
      </c>
      <c r="F705" t="s">
        <v>73</v>
      </c>
      <c r="G705" t="s">
        <v>2345</v>
      </c>
      <c r="H705" t="s">
        <v>213</v>
      </c>
      <c r="I705">
        <v>0</v>
      </c>
      <c r="J705">
        <v>1.076228992010048E-2</v>
      </c>
      <c r="K705">
        <v>1.269094279633118E-2</v>
      </c>
      <c r="L705">
        <v>1.026189456888168E-2</v>
      </c>
      <c r="M705" t="s">
        <v>76</v>
      </c>
      <c r="N705" t="s">
        <v>76</v>
      </c>
      <c r="O705" t="s">
        <v>77</v>
      </c>
      <c r="P705" t="s">
        <v>76</v>
      </c>
      <c r="S705" t="s">
        <v>2344</v>
      </c>
    </row>
    <row r="706" spans="1:19" x14ac:dyDescent="0.3">
      <c r="A706" t="s">
        <v>2346</v>
      </c>
      <c r="B706" t="s">
        <v>2347</v>
      </c>
      <c r="C706" t="s">
        <v>114</v>
      </c>
      <c r="D706" t="s">
        <v>63</v>
      </c>
      <c r="E706" t="s">
        <v>74</v>
      </c>
      <c r="F706" t="s">
        <v>114</v>
      </c>
      <c r="G706" t="s">
        <v>2346</v>
      </c>
      <c r="H706" t="s">
        <v>213</v>
      </c>
      <c r="I706">
        <v>2.7113317472656041E-2</v>
      </c>
      <c r="J706">
        <v>1.8705884861127651E-2</v>
      </c>
      <c r="K706">
        <v>0</v>
      </c>
      <c r="L706">
        <v>1.008971512980681E-2</v>
      </c>
      <c r="S706" t="s">
        <v>2347</v>
      </c>
    </row>
    <row r="707" spans="1:19" x14ac:dyDescent="0.3">
      <c r="A707" t="s">
        <v>2348</v>
      </c>
      <c r="B707" t="s">
        <v>2349</v>
      </c>
      <c r="C707" t="s">
        <v>24</v>
      </c>
      <c r="D707" t="s">
        <v>63</v>
      </c>
      <c r="E707" t="s">
        <v>74</v>
      </c>
      <c r="F707" t="s">
        <v>144</v>
      </c>
      <c r="G707" t="s">
        <v>2350</v>
      </c>
      <c r="H707" t="s">
        <v>26</v>
      </c>
      <c r="I707">
        <v>3.4597083833886891E-2</v>
      </c>
      <c r="J707">
        <v>1.552844688471678E-2</v>
      </c>
      <c r="K707">
        <v>0</v>
      </c>
      <c r="L707">
        <v>1.007249718589924E-2</v>
      </c>
      <c r="M707" t="s">
        <v>76</v>
      </c>
      <c r="N707" t="s">
        <v>76</v>
      </c>
      <c r="O707" t="s">
        <v>77</v>
      </c>
      <c r="P707" t="s">
        <v>76</v>
      </c>
      <c r="Q707" t="s">
        <v>1525</v>
      </c>
      <c r="R707" t="s">
        <v>1526</v>
      </c>
      <c r="S707" t="s">
        <v>2349</v>
      </c>
    </row>
    <row r="708" spans="1:19" x14ac:dyDescent="0.3">
      <c r="A708" t="s">
        <v>2351</v>
      </c>
      <c r="B708" t="s">
        <v>2352</v>
      </c>
      <c r="C708" t="s">
        <v>228</v>
      </c>
      <c r="D708" t="s">
        <v>63</v>
      </c>
      <c r="E708" t="s">
        <v>323</v>
      </c>
      <c r="F708" t="s">
        <v>228</v>
      </c>
      <c r="G708" t="s">
        <v>2353</v>
      </c>
      <c r="H708" t="s">
        <v>213</v>
      </c>
      <c r="I708">
        <v>6.9930275834452216E-2</v>
      </c>
      <c r="J708">
        <v>0</v>
      </c>
      <c r="K708">
        <v>0</v>
      </c>
      <c r="L708">
        <v>9.8142280272864452E-3</v>
      </c>
      <c r="M708" t="s">
        <v>76</v>
      </c>
      <c r="N708" t="s">
        <v>76</v>
      </c>
      <c r="O708" t="s">
        <v>77</v>
      </c>
      <c r="P708" t="s">
        <v>76</v>
      </c>
      <c r="S708" t="s">
        <v>2352</v>
      </c>
    </row>
    <row r="709" spans="1:19" x14ac:dyDescent="0.3">
      <c r="A709" t="s">
        <v>2354</v>
      </c>
      <c r="B709" t="s">
        <v>2355</v>
      </c>
      <c r="C709" t="s">
        <v>24</v>
      </c>
      <c r="D709" t="s">
        <v>63</v>
      </c>
      <c r="E709" t="s">
        <v>74</v>
      </c>
      <c r="F709" t="s">
        <v>144</v>
      </c>
      <c r="G709" t="s">
        <v>2214</v>
      </c>
      <c r="H709" t="s">
        <v>26</v>
      </c>
      <c r="I709">
        <v>3.2511444028297962E-2</v>
      </c>
      <c r="J709">
        <v>1.552844688471678E-2</v>
      </c>
      <c r="K709">
        <v>0</v>
      </c>
      <c r="L709">
        <v>9.7797921394713952E-3</v>
      </c>
      <c r="M709" t="s">
        <v>76</v>
      </c>
      <c r="N709" t="s">
        <v>76</v>
      </c>
      <c r="O709" t="s">
        <v>77</v>
      </c>
      <c r="P709" t="s">
        <v>76</v>
      </c>
      <c r="Q709" t="s">
        <v>1525</v>
      </c>
      <c r="R709" t="s">
        <v>1526</v>
      </c>
      <c r="S709" t="s">
        <v>2355</v>
      </c>
    </row>
    <row r="710" spans="1:19" x14ac:dyDescent="0.3">
      <c r="A710" t="s">
        <v>2356</v>
      </c>
      <c r="B710" t="s">
        <v>2357</v>
      </c>
      <c r="C710" t="s">
        <v>251</v>
      </c>
      <c r="D710" t="s">
        <v>63</v>
      </c>
      <c r="E710" t="s">
        <v>2121</v>
      </c>
      <c r="F710" t="s">
        <v>251</v>
      </c>
      <c r="G710" t="s">
        <v>706</v>
      </c>
      <c r="H710" t="s">
        <v>75</v>
      </c>
      <c r="I710">
        <v>3.6805408333922219E-3</v>
      </c>
      <c r="J710">
        <v>2.7315716797208119E-2</v>
      </c>
      <c r="K710">
        <v>0</v>
      </c>
      <c r="L710">
        <v>9.6937024199338032E-3</v>
      </c>
      <c r="S710" t="s">
        <v>2357</v>
      </c>
    </row>
    <row r="711" spans="1:19" x14ac:dyDescent="0.3">
      <c r="A711" t="s">
        <v>706</v>
      </c>
      <c r="B711" t="s">
        <v>2358</v>
      </c>
      <c r="C711" t="s">
        <v>251</v>
      </c>
      <c r="D711" t="s">
        <v>63</v>
      </c>
      <c r="E711" t="s">
        <v>74</v>
      </c>
      <c r="F711" t="s">
        <v>251</v>
      </c>
      <c r="G711" t="s">
        <v>706</v>
      </c>
      <c r="H711" t="s">
        <v>75</v>
      </c>
      <c r="I711">
        <v>0</v>
      </c>
      <c r="J711">
        <v>2.8699439786935361E-2</v>
      </c>
      <c r="K711">
        <v>0</v>
      </c>
      <c r="L711">
        <v>9.6420485882112456E-3</v>
      </c>
      <c r="S711" t="s">
        <v>2358</v>
      </c>
    </row>
    <row r="712" spans="1:19" x14ac:dyDescent="0.3">
      <c r="A712" t="s">
        <v>2359</v>
      </c>
      <c r="B712" t="s">
        <v>2360</v>
      </c>
      <c r="C712" t="s">
        <v>251</v>
      </c>
      <c r="D712" t="s">
        <v>63</v>
      </c>
      <c r="E712" t="s">
        <v>74</v>
      </c>
      <c r="F712" t="s">
        <v>251</v>
      </c>
      <c r="G712" t="s">
        <v>706</v>
      </c>
      <c r="H712" t="s">
        <v>75</v>
      </c>
      <c r="I712">
        <v>0</v>
      </c>
      <c r="J712">
        <v>2.8545692788076778E-2</v>
      </c>
      <c r="K712">
        <v>0</v>
      </c>
      <c r="L712">
        <v>9.590394756488688E-3</v>
      </c>
      <c r="S712" t="s">
        <v>2360</v>
      </c>
    </row>
    <row r="713" spans="1:19" x14ac:dyDescent="0.3">
      <c r="A713" t="s">
        <v>2361</v>
      </c>
      <c r="B713" t="s">
        <v>2362</v>
      </c>
      <c r="C713" t="s">
        <v>314</v>
      </c>
      <c r="D713" t="s">
        <v>35</v>
      </c>
      <c r="E713" t="s">
        <v>389</v>
      </c>
      <c r="F713" t="s">
        <v>314</v>
      </c>
      <c r="G713" t="s">
        <v>2361</v>
      </c>
      <c r="H713" t="s">
        <v>213</v>
      </c>
      <c r="I713">
        <v>5.7416437000918669E-2</v>
      </c>
      <c r="J713">
        <v>3.844342392018783E-3</v>
      </c>
      <c r="K713">
        <v>0</v>
      </c>
      <c r="L713">
        <v>9.3495677726903644E-3</v>
      </c>
      <c r="M713" t="s">
        <v>76</v>
      </c>
      <c r="N713" t="s">
        <v>76</v>
      </c>
      <c r="O713" t="s">
        <v>77</v>
      </c>
      <c r="P713" t="s">
        <v>76</v>
      </c>
      <c r="S713" t="s">
        <v>2362</v>
      </c>
    </row>
    <row r="714" spans="1:19" x14ac:dyDescent="0.3">
      <c r="A714" t="s">
        <v>2363</v>
      </c>
      <c r="B714" t="s">
        <v>2364</v>
      </c>
      <c r="C714" t="s">
        <v>251</v>
      </c>
      <c r="D714" t="s">
        <v>63</v>
      </c>
      <c r="E714" t="s">
        <v>2121</v>
      </c>
      <c r="F714" t="s">
        <v>251</v>
      </c>
      <c r="G714" t="s">
        <v>706</v>
      </c>
      <c r="H714" t="s">
        <v>75</v>
      </c>
      <c r="I714">
        <v>0</v>
      </c>
      <c r="J714">
        <v>2.6341985804437099E-2</v>
      </c>
      <c r="K714">
        <v>0</v>
      </c>
      <c r="L714">
        <v>8.8500231684653218E-3</v>
      </c>
      <c r="S714" t="s">
        <v>2364</v>
      </c>
    </row>
    <row r="715" spans="1:19" x14ac:dyDescent="0.3">
      <c r="A715" t="s">
        <v>2365</v>
      </c>
      <c r="B715" t="s">
        <v>2366</v>
      </c>
      <c r="C715" t="s">
        <v>251</v>
      </c>
      <c r="D715" t="s">
        <v>63</v>
      </c>
      <c r="E715" t="s">
        <v>74</v>
      </c>
      <c r="F715" t="s">
        <v>251</v>
      </c>
      <c r="G715" t="s">
        <v>706</v>
      </c>
      <c r="H715" t="s">
        <v>75</v>
      </c>
      <c r="I715">
        <v>6.1342347223203699E-4</v>
      </c>
      <c r="J715">
        <v>2.500951181432938E-2</v>
      </c>
      <c r="K715">
        <v>0</v>
      </c>
      <c r="L715">
        <v>8.4884463464073977E-3</v>
      </c>
      <c r="S715" t="s">
        <v>2366</v>
      </c>
    </row>
    <row r="716" spans="1:19" x14ac:dyDescent="0.3">
      <c r="A716" t="s">
        <v>2367</v>
      </c>
      <c r="B716" t="s">
        <v>2368</v>
      </c>
      <c r="C716" t="s">
        <v>251</v>
      </c>
      <c r="D716" t="s">
        <v>63</v>
      </c>
      <c r="E716" t="s">
        <v>74</v>
      </c>
      <c r="F716" t="s">
        <v>251</v>
      </c>
      <c r="G716" t="s">
        <v>706</v>
      </c>
      <c r="H716" t="s">
        <v>75</v>
      </c>
      <c r="I716">
        <v>6.1342347223203699E-4</v>
      </c>
      <c r="J716">
        <v>2.4804515815851282E-2</v>
      </c>
      <c r="K716">
        <v>0</v>
      </c>
      <c r="L716">
        <v>8.4195745707773204E-3</v>
      </c>
      <c r="S716" t="s">
        <v>2368</v>
      </c>
    </row>
    <row r="717" spans="1:19" x14ac:dyDescent="0.3">
      <c r="A717" t="s">
        <v>2369</v>
      </c>
      <c r="B717" t="s">
        <v>2370</v>
      </c>
      <c r="C717" t="s">
        <v>251</v>
      </c>
      <c r="D717" t="s">
        <v>63</v>
      </c>
      <c r="E717" t="s">
        <v>184</v>
      </c>
      <c r="F717" t="s">
        <v>251</v>
      </c>
      <c r="G717" t="s">
        <v>706</v>
      </c>
      <c r="H717" t="s">
        <v>75</v>
      </c>
      <c r="I717">
        <v>0</v>
      </c>
      <c r="J717">
        <v>2.4804515815851282E-2</v>
      </c>
      <c r="K717">
        <v>0</v>
      </c>
      <c r="L717">
        <v>8.3334848512397197E-3</v>
      </c>
      <c r="S717" t="s">
        <v>2370</v>
      </c>
    </row>
    <row r="718" spans="1:19" x14ac:dyDescent="0.3">
      <c r="A718" t="s">
        <v>2371</v>
      </c>
      <c r="B718" t="s">
        <v>2372</v>
      </c>
      <c r="C718" t="s">
        <v>24</v>
      </c>
      <c r="D718" t="s">
        <v>63</v>
      </c>
      <c r="E718" t="s">
        <v>184</v>
      </c>
      <c r="F718" t="s">
        <v>144</v>
      </c>
      <c r="G718" t="s">
        <v>2373</v>
      </c>
      <c r="H718" t="s">
        <v>26</v>
      </c>
      <c r="I718">
        <v>2.735868686154885E-2</v>
      </c>
      <c r="J718">
        <v>1.306849490297957E-2</v>
      </c>
      <c r="K718">
        <v>0</v>
      </c>
      <c r="L718">
        <v>8.2301771877946253E-3</v>
      </c>
      <c r="M718" t="s">
        <v>76</v>
      </c>
      <c r="N718" t="s">
        <v>76</v>
      </c>
      <c r="O718" t="s">
        <v>77</v>
      </c>
      <c r="P718" t="s">
        <v>76</v>
      </c>
      <c r="Q718" t="s">
        <v>1525</v>
      </c>
      <c r="R718" t="s">
        <v>1526</v>
      </c>
      <c r="S718" t="s">
        <v>2372</v>
      </c>
    </row>
    <row r="719" spans="1:19" x14ac:dyDescent="0.3">
      <c r="A719" t="s">
        <v>2374</v>
      </c>
      <c r="B719" t="s">
        <v>2375</v>
      </c>
      <c r="C719" t="s">
        <v>24</v>
      </c>
      <c r="D719" t="s">
        <v>63</v>
      </c>
      <c r="E719" t="s">
        <v>74</v>
      </c>
      <c r="F719" t="s">
        <v>144</v>
      </c>
      <c r="G719" t="s">
        <v>2374</v>
      </c>
      <c r="H719" t="s">
        <v>26</v>
      </c>
      <c r="I719">
        <v>2.085639805588926E-2</v>
      </c>
      <c r="J719">
        <v>1.5682193883574891E-2</v>
      </c>
      <c r="K719">
        <v>0</v>
      </c>
      <c r="L719">
        <v>8.1957412999793915E-3</v>
      </c>
      <c r="M719" t="s">
        <v>76</v>
      </c>
      <c r="N719" t="s">
        <v>76</v>
      </c>
      <c r="O719" t="s">
        <v>77</v>
      </c>
      <c r="P719" t="s">
        <v>76</v>
      </c>
      <c r="Q719" t="s">
        <v>1525</v>
      </c>
      <c r="R719" t="s">
        <v>1526</v>
      </c>
      <c r="S719" t="s">
        <v>2375</v>
      </c>
    </row>
    <row r="720" spans="1:19" x14ac:dyDescent="0.3">
      <c r="A720" t="s">
        <v>2376</v>
      </c>
      <c r="B720" t="s">
        <v>2377</v>
      </c>
      <c r="C720" t="s">
        <v>114</v>
      </c>
      <c r="D720" t="s">
        <v>63</v>
      </c>
      <c r="E720" t="s">
        <v>74</v>
      </c>
      <c r="F720" t="s">
        <v>114</v>
      </c>
      <c r="G720" t="s">
        <v>190</v>
      </c>
      <c r="H720" t="s">
        <v>75</v>
      </c>
      <c r="I720">
        <v>0</v>
      </c>
      <c r="J720">
        <v>1.844963986302987E-2</v>
      </c>
      <c r="K720">
        <v>3.7809803667827129E-3</v>
      </c>
      <c r="L720">
        <v>8.1785233560720382E-3</v>
      </c>
      <c r="M720" t="s">
        <v>76</v>
      </c>
      <c r="N720" t="s">
        <v>76</v>
      </c>
      <c r="O720" t="s">
        <v>77</v>
      </c>
      <c r="P720" t="s">
        <v>76</v>
      </c>
      <c r="S720" t="s">
        <v>2377</v>
      </c>
    </row>
    <row r="721" spans="1:19" x14ac:dyDescent="0.3">
      <c r="A721" t="s">
        <v>2378</v>
      </c>
      <c r="B721" t="s">
        <v>2379</v>
      </c>
      <c r="C721" t="s">
        <v>24</v>
      </c>
      <c r="D721" t="s">
        <v>63</v>
      </c>
      <c r="E721" t="s">
        <v>575</v>
      </c>
      <c r="F721" t="s">
        <v>24</v>
      </c>
      <c r="G721" t="s">
        <v>2378</v>
      </c>
      <c r="H721" t="s">
        <v>26</v>
      </c>
      <c r="I721">
        <v>7.6064510556772599E-3</v>
      </c>
      <c r="J721">
        <v>3.382433974888847E-3</v>
      </c>
      <c r="K721">
        <v>1.127718492005635E-2</v>
      </c>
      <c r="L721">
        <v>8.1096515804420129E-3</v>
      </c>
      <c r="M721" t="s">
        <v>239</v>
      </c>
      <c r="N721" t="s">
        <v>239</v>
      </c>
      <c r="O721" t="s">
        <v>240</v>
      </c>
      <c r="P721" t="s">
        <v>239</v>
      </c>
      <c r="S721" t="s">
        <v>2379</v>
      </c>
    </row>
    <row r="722" spans="1:19" x14ac:dyDescent="0.3">
      <c r="A722" t="s">
        <v>2380</v>
      </c>
      <c r="B722" t="s">
        <v>2381</v>
      </c>
      <c r="C722" t="s">
        <v>24</v>
      </c>
      <c r="D722" t="s">
        <v>63</v>
      </c>
      <c r="E722" t="s">
        <v>2033</v>
      </c>
      <c r="F722" t="s">
        <v>144</v>
      </c>
      <c r="G722" t="s">
        <v>2382</v>
      </c>
      <c r="H722" t="s">
        <v>26</v>
      </c>
      <c r="I722">
        <v>2.551841644485274E-2</v>
      </c>
      <c r="J722">
        <v>1.322224190183769E-2</v>
      </c>
      <c r="K722">
        <v>0</v>
      </c>
      <c r="L722">
        <v>8.0235618609042283E-3</v>
      </c>
      <c r="M722" t="s">
        <v>76</v>
      </c>
      <c r="N722" t="s">
        <v>76</v>
      </c>
      <c r="O722" t="s">
        <v>77</v>
      </c>
      <c r="P722" t="s">
        <v>76</v>
      </c>
      <c r="Q722" t="s">
        <v>1525</v>
      </c>
      <c r="R722" t="s">
        <v>1526</v>
      </c>
      <c r="S722" t="s">
        <v>2381</v>
      </c>
    </row>
    <row r="723" spans="1:19" x14ac:dyDescent="0.3">
      <c r="A723" t="s">
        <v>2383</v>
      </c>
      <c r="B723" t="s">
        <v>2384</v>
      </c>
      <c r="C723" t="s">
        <v>251</v>
      </c>
      <c r="F723" t="s">
        <v>251</v>
      </c>
      <c r="G723" t="s">
        <v>2385</v>
      </c>
      <c r="H723" t="s">
        <v>213</v>
      </c>
      <c r="I723">
        <v>6.256919416766777E-3</v>
      </c>
      <c r="J723">
        <v>1.7680904868736781E-2</v>
      </c>
      <c r="K723">
        <v>1.7754168678808561E-3</v>
      </c>
      <c r="L723">
        <v>7.74807475838412E-3</v>
      </c>
      <c r="S723" t="s">
        <v>2384</v>
      </c>
    </row>
    <row r="724" spans="1:19" x14ac:dyDescent="0.3">
      <c r="A724" t="s">
        <v>2386</v>
      </c>
      <c r="B724" t="s">
        <v>2387</v>
      </c>
      <c r="C724" t="s">
        <v>243</v>
      </c>
      <c r="D724" t="s">
        <v>63</v>
      </c>
      <c r="E724" t="s">
        <v>74</v>
      </c>
      <c r="F724" t="s">
        <v>243</v>
      </c>
      <c r="G724" t="s">
        <v>244</v>
      </c>
      <c r="H724" t="s">
        <v>75</v>
      </c>
      <c r="I724">
        <v>0</v>
      </c>
      <c r="J724">
        <v>1.691216987444405E-2</v>
      </c>
      <c r="K724">
        <v>3.7809803667827129E-3</v>
      </c>
      <c r="L724">
        <v>7.6619850388464361E-3</v>
      </c>
      <c r="M724" t="s">
        <v>76</v>
      </c>
      <c r="N724" t="s">
        <v>76</v>
      </c>
      <c r="O724" t="s">
        <v>77</v>
      </c>
      <c r="P724" t="s">
        <v>76</v>
      </c>
      <c r="S724" t="s">
        <v>2387</v>
      </c>
    </row>
    <row r="725" spans="1:19" x14ac:dyDescent="0.3">
      <c r="A725" t="s">
        <v>2388</v>
      </c>
      <c r="B725" t="s">
        <v>2389</v>
      </c>
      <c r="C725" t="s">
        <v>307</v>
      </c>
      <c r="D725" t="s">
        <v>63</v>
      </c>
      <c r="E725" t="s">
        <v>74</v>
      </c>
      <c r="F725" t="s">
        <v>251</v>
      </c>
      <c r="G725" t="s">
        <v>307</v>
      </c>
      <c r="H725" t="s">
        <v>75</v>
      </c>
      <c r="I725">
        <v>0</v>
      </c>
      <c r="J725">
        <v>1.4554715891945791E-2</v>
      </c>
      <c r="K725">
        <v>3.287809014593664E-3</v>
      </c>
      <c r="L725">
        <v>6.6116904604877113E-3</v>
      </c>
      <c r="M725" t="s">
        <v>76</v>
      </c>
      <c r="N725" t="s">
        <v>76</v>
      </c>
      <c r="O725" t="s">
        <v>77</v>
      </c>
      <c r="P725" t="s">
        <v>76</v>
      </c>
      <c r="S725" t="s">
        <v>2389</v>
      </c>
    </row>
    <row r="726" spans="1:19" x14ac:dyDescent="0.3">
      <c r="A726" t="s">
        <v>2390</v>
      </c>
      <c r="B726" t="s">
        <v>2391</v>
      </c>
      <c r="C726" t="s">
        <v>24</v>
      </c>
      <c r="D726" t="s">
        <v>63</v>
      </c>
      <c r="E726" t="s">
        <v>315</v>
      </c>
      <c r="F726" t="s">
        <v>55</v>
      </c>
      <c r="G726" t="s">
        <v>2392</v>
      </c>
      <c r="H726" t="s">
        <v>213</v>
      </c>
      <c r="I726">
        <v>9.2013520834805552E-3</v>
      </c>
      <c r="J726">
        <v>5.1248999619528876E-3</v>
      </c>
      <c r="K726">
        <v>6.7728865700628499E-3</v>
      </c>
      <c r="L726">
        <v>6.5600366287651493E-3</v>
      </c>
      <c r="M726" t="s">
        <v>76</v>
      </c>
      <c r="N726" t="s">
        <v>76</v>
      </c>
      <c r="O726" t="s">
        <v>77</v>
      </c>
      <c r="P726" t="s">
        <v>76</v>
      </c>
      <c r="S726" t="s">
        <v>2391</v>
      </c>
    </row>
    <row r="727" spans="1:19" x14ac:dyDescent="0.3">
      <c r="A727" t="s">
        <v>2393</v>
      </c>
      <c r="B727" t="s">
        <v>2394</v>
      </c>
      <c r="C727" t="s">
        <v>251</v>
      </c>
      <c r="D727" t="s">
        <v>35</v>
      </c>
      <c r="E727" t="s">
        <v>44</v>
      </c>
      <c r="F727" t="s">
        <v>251</v>
      </c>
      <c r="G727" t="s">
        <v>706</v>
      </c>
      <c r="H727" t="s">
        <v>75</v>
      </c>
      <c r="I727">
        <v>0</v>
      </c>
      <c r="J727">
        <v>1.8962129859225151E-2</v>
      </c>
      <c r="K727">
        <v>0</v>
      </c>
      <c r="L727">
        <v>6.3706392457824317E-3</v>
      </c>
      <c r="S727" t="s">
        <v>2394</v>
      </c>
    </row>
    <row r="728" spans="1:19" x14ac:dyDescent="0.3">
      <c r="A728" t="s">
        <v>2395</v>
      </c>
      <c r="B728" t="s">
        <v>2396</v>
      </c>
      <c r="C728" t="s">
        <v>251</v>
      </c>
      <c r="D728" t="s">
        <v>63</v>
      </c>
      <c r="E728" t="s">
        <v>1751</v>
      </c>
      <c r="F728" t="s">
        <v>251</v>
      </c>
      <c r="G728" t="s">
        <v>2395</v>
      </c>
      <c r="H728" t="s">
        <v>213</v>
      </c>
      <c r="I728">
        <v>0</v>
      </c>
      <c r="J728">
        <v>1.8193394864932461E-2</v>
      </c>
      <c r="K728">
        <v>0</v>
      </c>
      <c r="L728">
        <v>6.1123700871697044E-3</v>
      </c>
      <c r="S728" t="s">
        <v>2396</v>
      </c>
    </row>
    <row r="729" spans="1:19" x14ac:dyDescent="0.3">
      <c r="A729" t="s">
        <v>2397</v>
      </c>
      <c r="B729" t="s">
        <v>2398</v>
      </c>
      <c r="C729" t="s">
        <v>251</v>
      </c>
      <c r="D729" t="s">
        <v>63</v>
      </c>
      <c r="E729" t="s">
        <v>74</v>
      </c>
      <c r="F729" t="s">
        <v>251</v>
      </c>
      <c r="G729" t="s">
        <v>706</v>
      </c>
      <c r="H729" t="s">
        <v>75</v>
      </c>
      <c r="I729">
        <v>6.1342347223203699E-4</v>
      </c>
      <c r="J729">
        <v>1.79371498668346E-2</v>
      </c>
      <c r="K729">
        <v>0</v>
      </c>
      <c r="L729">
        <v>6.1123700871696289E-3</v>
      </c>
      <c r="S729" t="s">
        <v>2398</v>
      </c>
    </row>
    <row r="730" spans="1:19" x14ac:dyDescent="0.3">
      <c r="A730" t="s">
        <v>2399</v>
      </c>
      <c r="B730" t="s">
        <v>2400</v>
      </c>
      <c r="C730" t="s">
        <v>251</v>
      </c>
      <c r="D730" t="s">
        <v>63</v>
      </c>
      <c r="E730" t="s">
        <v>315</v>
      </c>
      <c r="F730" t="s">
        <v>251</v>
      </c>
      <c r="G730" t="s">
        <v>2399</v>
      </c>
      <c r="H730" t="s">
        <v>213</v>
      </c>
      <c r="I730">
        <v>0</v>
      </c>
      <c r="J730">
        <v>1.7424659870639431E-2</v>
      </c>
      <c r="K730">
        <v>0</v>
      </c>
      <c r="L730">
        <v>5.8541009285568617E-3</v>
      </c>
      <c r="S730" t="s">
        <v>2400</v>
      </c>
    </row>
    <row r="731" spans="1:19" x14ac:dyDescent="0.3">
      <c r="A731" t="s">
        <v>2401</v>
      </c>
      <c r="B731" t="s">
        <v>2402</v>
      </c>
      <c r="C731" t="s">
        <v>251</v>
      </c>
      <c r="D731" t="s">
        <v>35</v>
      </c>
      <c r="E731" t="s">
        <v>400</v>
      </c>
      <c r="F731" t="s">
        <v>251</v>
      </c>
      <c r="G731" t="s">
        <v>1399</v>
      </c>
      <c r="H731" t="s">
        <v>75</v>
      </c>
      <c r="I731">
        <v>0</v>
      </c>
      <c r="J731">
        <v>1.7168414872541692E-2</v>
      </c>
      <c r="K731">
        <v>0</v>
      </c>
      <c r="L731">
        <v>5.768011209019229E-3</v>
      </c>
      <c r="S731" t="s">
        <v>2402</v>
      </c>
    </row>
    <row r="732" spans="1:19" x14ac:dyDescent="0.3">
      <c r="A732" t="s">
        <v>2403</v>
      </c>
      <c r="B732" t="s">
        <v>2404</v>
      </c>
      <c r="C732" t="s">
        <v>251</v>
      </c>
      <c r="D732" t="s">
        <v>63</v>
      </c>
      <c r="E732" t="s">
        <v>74</v>
      </c>
      <c r="F732" t="s">
        <v>251</v>
      </c>
      <c r="G732" t="s">
        <v>706</v>
      </c>
      <c r="H732" t="s">
        <v>75</v>
      </c>
      <c r="I732">
        <v>6.1342347223203699E-4</v>
      </c>
      <c r="J732">
        <v>1.691216987444405E-2</v>
      </c>
      <c r="K732">
        <v>0</v>
      </c>
      <c r="L732">
        <v>5.7680112090192264E-3</v>
      </c>
      <c r="S732" t="s">
        <v>2404</v>
      </c>
    </row>
    <row r="733" spans="1:19" x14ac:dyDescent="0.3">
      <c r="A733" t="s">
        <v>2405</v>
      </c>
      <c r="B733" t="s">
        <v>2406</v>
      </c>
      <c r="C733" t="s">
        <v>24</v>
      </c>
      <c r="D733" t="s">
        <v>63</v>
      </c>
      <c r="E733" t="s">
        <v>74</v>
      </c>
      <c r="F733" t="s">
        <v>24</v>
      </c>
      <c r="G733" t="s">
        <v>2405</v>
      </c>
      <c r="H733" t="s">
        <v>26</v>
      </c>
      <c r="I733">
        <v>0</v>
      </c>
      <c r="J733">
        <v>0</v>
      </c>
      <c r="K733">
        <v>1.032372030582393E-2</v>
      </c>
      <c r="L733">
        <v>5.4064343869612147E-3</v>
      </c>
      <c r="M733" t="s">
        <v>76</v>
      </c>
      <c r="N733" t="s">
        <v>76</v>
      </c>
      <c r="O733" t="s">
        <v>77</v>
      </c>
      <c r="P733" t="s">
        <v>76</v>
      </c>
      <c r="S733" t="s">
        <v>2406</v>
      </c>
    </row>
    <row r="734" spans="1:19" x14ac:dyDescent="0.3">
      <c r="A734" t="s">
        <v>2407</v>
      </c>
      <c r="B734" t="s">
        <v>2408</v>
      </c>
      <c r="C734" t="s">
        <v>251</v>
      </c>
      <c r="D734" t="s">
        <v>63</v>
      </c>
      <c r="E734" t="s">
        <v>74</v>
      </c>
      <c r="F734" t="s">
        <v>251</v>
      </c>
      <c r="G734" t="s">
        <v>2409</v>
      </c>
      <c r="H734" t="s">
        <v>213</v>
      </c>
      <c r="I734">
        <v>0</v>
      </c>
      <c r="J734">
        <v>1.281224990488025E-2</v>
      </c>
      <c r="K734">
        <v>0</v>
      </c>
      <c r="L734">
        <v>4.3044859768794821E-3</v>
      </c>
      <c r="S734" t="s">
        <v>2408</v>
      </c>
    </row>
    <row r="735" spans="1:19" x14ac:dyDescent="0.3">
      <c r="A735" t="s">
        <v>2410</v>
      </c>
      <c r="B735" t="s">
        <v>2411</v>
      </c>
      <c r="C735" t="s">
        <v>243</v>
      </c>
      <c r="D735" t="s">
        <v>63</v>
      </c>
      <c r="E735" t="s">
        <v>2412</v>
      </c>
      <c r="F735" t="s">
        <v>243</v>
      </c>
      <c r="G735" t="s">
        <v>2413</v>
      </c>
      <c r="H735" t="s">
        <v>213</v>
      </c>
      <c r="I735">
        <v>0</v>
      </c>
      <c r="J735">
        <v>1.229975990868654E-2</v>
      </c>
      <c r="K735">
        <v>0</v>
      </c>
      <c r="L735">
        <v>4.1323065378048064E-3</v>
      </c>
      <c r="S735" t="s">
        <v>2411</v>
      </c>
    </row>
    <row r="736" spans="1:19" x14ac:dyDescent="0.3">
      <c r="A736" t="s">
        <v>2414</v>
      </c>
      <c r="B736" t="s">
        <v>2415</v>
      </c>
      <c r="C736" t="s">
        <v>24</v>
      </c>
      <c r="D736" t="s">
        <v>63</v>
      </c>
      <c r="E736" t="s">
        <v>2033</v>
      </c>
      <c r="F736" t="s">
        <v>144</v>
      </c>
      <c r="G736" t="s">
        <v>2416</v>
      </c>
      <c r="H736" t="s">
        <v>26</v>
      </c>
      <c r="I736">
        <v>2.9444326667137769E-3</v>
      </c>
      <c r="J736">
        <v>0</v>
      </c>
      <c r="K736">
        <v>6.0495685868522352E-3</v>
      </c>
      <c r="L736">
        <v>3.581332332764121E-3</v>
      </c>
      <c r="M736" t="s">
        <v>76</v>
      </c>
      <c r="N736" t="s">
        <v>76</v>
      </c>
      <c r="O736" t="s">
        <v>77</v>
      </c>
      <c r="P736" t="s">
        <v>76</v>
      </c>
      <c r="S736" t="s">
        <v>2415</v>
      </c>
    </row>
    <row r="737" spans="1:19" x14ac:dyDescent="0.3">
      <c r="A737" t="s">
        <v>2417</v>
      </c>
      <c r="B737" t="s">
        <v>2418</v>
      </c>
      <c r="C737" t="s">
        <v>314</v>
      </c>
      <c r="D737" t="s">
        <v>63</v>
      </c>
      <c r="E737" t="s">
        <v>74</v>
      </c>
      <c r="F737" t="s">
        <v>314</v>
      </c>
      <c r="G737" t="s">
        <v>2419</v>
      </c>
      <c r="H737" t="s">
        <v>213</v>
      </c>
      <c r="I737">
        <v>2.2942037861478189E-2</v>
      </c>
      <c r="J737">
        <v>0</v>
      </c>
      <c r="K737">
        <v>0</v>
      </c>
      <c r="L737">
        <v>3.2197555107062559E-3</v>
      </c>
      <c r="M737" t="s">
        <v>76</v>
      </c>
      <c r="N737" t="s">
        <v>76</v>
      </c>
      <c r="O737" t="s">
        <v>77</v>
      </c>
      <c r="P737" t="s">
        <v>76</v>
      </c>
      <c r="S737" t="s">
        <v>2418</v>
      </c>
    </row>
    <row r="738" spans="1:19" x14ac:dyDescent="0.3">
      <c r="A738" t="s">
        <v>2420</v>
      </c>
      <c r="B738" t="s">
        <v>2421</v>
      </c>
      <c r="C738" t="s">
        <v>251</v>
      </c>
      <c r="D738" t="s">
        <v>63</v>
      </c>
      <c r="E738" t="s">
        <v>2422</v>
      </c>
      <c r="F738" t="s">
        <v>251</v>
      </c>
      <c r="G738" t="s">
        <v>2423</v>
      </c>
      <c r="H738" t="s">
        <v>213</v>
      </c>
      <c r="I738">
        <v>0</v>
      </c>
      <c r="J738">
        <v>9.4810649296127453E-3</v>
      </c>
      <c r="K738">
        <v>0</v>
      </c>
      <c r="L738">
        <v>3.1853196228912731E-3</v>
      </c>
      <c r="S738" t="s">
        <v>2421</v>
      </c>
    </row>
    <row r="739" spans="1:19" x14ac:dyDescent="0.3">
      <c r="A739" t="s">
        <v>2424</v>
      </c>
      <c r="B739" t="s">
        <v>2425</v>
      </c>
      <c r="C739" t="s">
        <v>243</v>
      </c>
      <c r="D739" t="s">
        <v>63</v>
      </c>
      <c r="E739" t="s">
        <v>323</v>
      </c>
      <c r="F739" t="s">
        <v>243</v>
      </c>
      <c r="G739" t="s">
        <v>2426</v>
      </c>
      <c r="H739" t="s">
        <v>213</v>
      </c>
      <c r="I739">
        <v>0</v>
      </c>
      <c r="J739">
        <v>8.9685749334170624E-3</v>
      </c>
      <c r="K739">
        <v>0</v>
      </c>
      <c r="L739">
        <v>3.0131401838159339E-3</v>
      </c>
      <c r="S739" t="s">
        <v>2425</v>
      </c>
    </row>
    <row r="740" spans="1:19" x14ac:dyDescent="0.3">
      <c r="A740" t="s">
        <v>2427</v>
      </c>
      <c r="B740" t="s">
        <v>2428</v>
      </c>
      <c r="C740" t="s">
        <v>1053</v>
      </c>
      <c r="D740" t="s">
        <v>63</v>
      </c>
      <c r="E740" t="s">
        <v>74</v>
      </c>
      <c r="F740" t="s">
        <v>314</v>
      </c>
      <c r="G740" t="s">
        <v>1053</v>
      </c>
      <c r="H740" t="s">
        <v>75</v>
      </c>
      <c r="I740">
        <v>0</v>
      </c>
      <c r="J740">
        <v>0</v>
      </c>
      <c r="K740">
        <v>5.4248848740795436E-3</v>
      </c>
      <c r="L740">
        <v>2.8409607447408129E-3</v>
      </c>
      <c r="M740" t="s">
        <v>76</v>
      </c>
      <c r="N740" t="s">
        <v>76</v>
      </c>
      <c r="O740" t="s">
        <v>77</v>
      </c>
      <c r="P740" t="s">
        <v>76</v>
      </c>
      <c r="S740" t="s">
        <v>2428</v>
      </c>
    </row>
    <row r="741" spans="1:19" x14ac:dyDescent="0.3">
      <c r="A741" t="s">
        <v>2429</v>
      </c>
      <c r="B741" t="s">
        <v>2430</v>
      </c>
      <c r="C741" t="s">
        <v>251</v>
      </c>
      <c r="D741" t="s">
        <v>35</v>
      </c>
      <c r="E741" t="s">
        <v>389</v>
      </c>
      <c r="F741" t="s">
        <v>251</v>
      </c>
      <c r="G741" t="s">
        <v>2429</v>
      </c>
      <c r="H741" t="s">
        <v>213</v>
      </c>
      <c r="I741">
        <v>0</v>
      </c>
      <c r="J741">
        <v>8.1998399391245234E-3</v>
      </c>
      <c r="K741">
        <v>0</v>
      </c>
      <c r="L741">
        <v>2.7548710252032582E-3</v>
      </c>
      <c r="S741" t="s">
        <v>2430</v>
      </c>
    </row>
    <row r="742" spans="1:19" x14ac:dyDescent="0.3">
      <c r="A742" t="s">
        <v>2431</v>
      </c>
      <c r="B742" t="s">
        <v>2432</v>
      </c>
      <c r="C742" t="s">
        <v>24</v>
      </c>
      <c r="D742" t="s">
        <v>63</v>
      </c>
      <c r="E742" t="s">
        <v>1937</v>
      </c>
      <c r="F742" t="s">
        <v>55</v>
      </c>
      <c r="G742" t="s">
        <v>2433</v>
      </c>
      <c r="H742" t="s">
        <v>213</v>
      </c>
      <c r="I742">
        <v>0</v>
      </c>
      <c r="J742">
        <v>6.9186149486358097E-3</v>
      </c>
      <c r="K742">
        <v>3.9453708175193208E-4</v>
      </c>
      <c r="L742">
        <v>2.5310377544056832E-3</v>
      </c>
      <c r="M742" t="s">
        <v>76</v>
      </c>
      <c r="N742" t="s">
        <v>76</v>
      </c>
      <c r="O742" t="s">
        <v>77</v>
      </c>
      <c r="P742" t="s">
        <v>76</v>
      </c>
      <c r="S742" t="s">
        <v>2432</v>
      </c>
    </row>
    <row r="743" spans="1:19" x14ac:dyDescent="0.3">
      <c r="A743" t="s">
        <v>2434</v>
      </c>
      <c r="B743" t="s">
        <v>2435</v>
      </c>
      <c r="C743" t="s">
        <v>251</v>
      </c>
      <c r="D743" t="s">
        <v>63</v>
      </c>
      <c r="E743" t="s">
        <v>74</v>
      </c>
      <c r="F743" t="s">
        <v>251</v>
      </c>
      <c r="G743" t="s">
        <v>2436</v>
      </c>
      <c r="H743" t="s">
        <v>213</v>
      </c>
      <c r="I743">
        <v>0</v>
      </c>
      <c r="J743">
        <v>6.9186149486358097E-3</v>
      </c>
      <c r="K743">
        <v>0</v>
      </c>
      <c r="L743">
        <v>2.3244224275150789E-3</v>
      </c>
      <c r="S743" t="s">
        <v>2435</v>
      </c>
    </row>
    <row r="744" spans="1:19" x14ac:dyDescent="0.3">
      <c r="A744" t="s">
        <v>2437</v>
      </c>
      <c r="B744" t="s">
        <v>2438</v>
      </c>
      <c r="C744" t="s">
        <v>243</v>
      </c>
      <c r="D744" t="s">
        <v>63</v>
      </c>
      <c r="E744" t="s">
        <v>74</v>
      </c>
      <c r="F744" t="s">
        <v>243</v>
      </c>
      <c r="G744" t="s">
        <v>2437</v>
      </c>
      <c r="H744" t="s">
        <v>213</v>
      </c>
      <c r="I744">
        <v>1.6439749055818589E-2</v>
      </c>
      <c r="J744">
        <v>0</v>
      </c>
      <c r="K744">
        <v>0</v>
      </c>
      <c r="L744">
        <v>2.307204483607691E-3</v>
      </c>
      <c r="S744" t="s">
        <v>2438</v>
      </c>
    </row>
    <row r="745" spans="1:19" x14ac:dyDescent="0.3">
      <c r="A745" t="s">
        <v>2439</v>
      </c>
      <c r="B745" t="s">
        <v>2440</v>
      </c>
      <c r="C745" t="s">
        <v>43</v>
      </c>
      <c r="D745" t="s">
        <v>63</v>
      </c>
      <c r="E745" t="s">
        <v>74</v>
      </c>
      <c r="F745" t="s">
        <v>45</v>
      </c>
      <c r="G745" t="s">
        <v>43</v>
      </c>
      <c r="H745" t="s">
        <v>26</v>
      </c>
      <c r="I745">
        <v>0</v>
      </c>
      <c r="J745">
        <v>0</v>
      </c>
      <c r="K745">
        <v>4.274151718971695E-3</v>
      </c>
      <c r="L745">
        <v>2.238332707977575E-3</v>
      </c>
      <c r="M745" t="s">
        <v>76</v>
      </c>
      <c r="N745" t="s">
        <v>76</v>
      </c>
      <c r="O745" t="s">
        <v>77</v>
      </c>
      <c r="P745" t="s">
        <v>76</v>
      </c>
      <c r="S745" t="s">
        <v>2440</v>
      </c>
    </row>
    <row r="746" spans="1:19" x14ac:dyDescent="0.3">
      <c r="A746" t="s">
        <v>2441</v>
      </c>
      <c r="B746" t="s">
        <v>2442</v>
      </c>
      <c r="C746" t="s">
        <v>43</v>
      </c>
      <c r="D746" t="s">
        <v>63</v>
      </c>
      <c r="E746" t="s">
        <v>74</v>
      </c>
      <c r="F746" t="s">
        <v>45</v>
      </c>
      <c r="G746" t="s">
        <v>43</v>
      </c>
      <c r="H746" t="s">
        <v>26</v>
      </c>
      <c r="I746">
        <v>0</v>
      </c>
      <c r="J746">
        <v>0</v>
      </c>
      <c r="K746">
        <v>4.241273628825858E-3</v>
      </c>
      <c r="L746">
        <v>2.2211147640701068E-3</v>
      </c>
      <c r="M746" t="s">
        <v>76</v>
      </c>
      <c r="N746" t="s">
        <v>76</v>
      </c>
      <c r="O746" t="s">
        <v>77</v>
      </c>
      <c r="P746" t="s">
        <v>76</v>
      </c>
      <c r="S746" t="s">
        <v>2442</v>
      </c>
    </row>
    <row r="747" spans="1:19" x14ac:dyDescent="0.3">
      <c r="A747" t="s">
        <v>2443</v>
      </c>
      <c r="B747" t="s">
        <v>2444</v>
      </c>
      <c r="C747" t="s">
        <v>24</v>
      </c>
      <c r="D747" t="s">
        <v>63</v>
      </c>
      <c r="E747" t="s">
        <v>323</v>
      </c>
      <c r="F747" t="s">
        <v>55</v>
      </c>
      <c r="G747" t="s">
        <v>2445</v>
      </c>
      <c r="H747" t="s">
        <v>26</v>
      </c>
      <c r="I747">
        <v>0</v>
      </c>
      <c r="J747">
        <v>0</v>
      </c>
      <c r="K747">
        <v>4.2083955386800209E-3</v>
      </c>
      <c r="L747">
        <v>2.20389682016264E-3</v>
      </c>
      <c r="M747" t="s">
        <v>76</v>
      </c>
      <c r="N747" t="s">
        <v>76</v>
      </c>
      <c r="O747" t="s">
        <v>77</v>
      </c>
      <c r="P747" t="s">
        <v>76</v>
      </c>
      <c r="S747" t="s">
        <v>2444</v>
      </c>
    </row>
    <row r="748" spans="1:19" x14ac:dyDescent="0.3">
      <c r="A748" t="s">
        <v>2446</v>
      </c>
      <c r="B748" t="s">
        <v>2447</v>
      </c>
      <c r="C748" t="s">
        <v>43</v>
      </c>
      <c r="D748" t="s">
        <v>63</v>
      </c>
      <c r="E748" t="s">
        <v>74</v>
      </c>
      <c r="F748" t="s">
        <v>45</v>
      </c>
      <c r="G748" t="s">
        <v>43</v>
      </c>
      <c r="H748" t="s">
        <v>26</v>
      </c>
      <c r="I748">
        <v>0</v>
      </c>
      <c r="J748">
        <v>0</v>
      </c>
      <c r="K748">
        <v>4.0768831780960439E-3</v>
      </c>
      <c r="L748">
        <v>2.135025044532439E-3</v>
      </c>
      <c r="M748" t="s">
        <v>76</v>
      </c>
      <c r="N748" t="s">
        <v>76</v>
      </c>
      <c r="O748" t="s">
        <v>77</v>
      </c>
      <c r="P748" t="s">
        <v>76</v>
      </c>
      <c r="S748" t="s">
        <v>2447</v>
      </c>
    </row>
    <row r="749" spans="1:19" x14ac:dyDescent="0.3">
      <c r="A749" t="s">
        <v>2448</v>
      </c>
      <c r="B749" t="s">
        <v>2449</v>
      </c>
      <c r="C749" t="s">
        <v>43</v>
      </c>
      <c r="D749" t="s">
        <v>2450</v>
      </c>
      <c r="F749" t="s">
        <v>45</v>
      </c>
      <c r="G749" t="s">
        <v>43</v>
      </c>
      <c r="H749" t="s">
        <v>26</v>
      </c>
      <c r="I749">
        <v>0</v>
      </c>
      <c r="J749">
        <v>1.0249799923903811E-3</v>
      </c>
      <c r="K749">
        <v>3.3864432850315819E-3</v>
      </c>
      <c r="L749">
        <v>2.1178071006249708E-3</v>
      </c>
      <c r="M749" t="s">
        <v>76</v>
      </c>
      <c r="N749" t="s">
        <v>76</v>
      </c>
      <c r="O749" t="s">
        <v>77</v>
      </c>
      <c r="P749" t="s">
        <v>76</v>
      </c>
      <c r="S749" t="s">
        <v>2449</v>
      </c>
    </row>
    <row r="750" spans="1:19" x14ac:dyDescent="0.3">
      <c r="A750" t="s">
        <v>2451</v>
      </c>
      <c r="B750" t="s">
        <v>2452</v>
      </c>
      <c r="C750" t="s">
        <v>251</v>
      </c>
      <c r="D750" t="s">
        <v>35</v>
      </c>
      <c r="E750" t="s">
        <v>389</v>
      </c>
      <c r="F750" t="s">
        <v>251</v>
      </c>
      <c r="G750" t="s">
        <v>2451</v>
      </c>
      <c r="H750" t="s">
        <v>75</v>
      </c>
      <c r="I750">
        <v>1.4722163333568889E-2</v>
      </c>
      <c r="J750">
        <v>0</v>
      </c>
      <c r="K750">
        <v>0</v>
      </c>
      <c r="L750">
        <v>2.0661532689024101E-3</v>
      </c>
      <c r="S750" t="s">
        <v>2452</v>
      </c>
    </row>
    <row r="751" spans="1:19" x14ac:dyDescent="0.3">
      <c r="A751" t="s">
        <v>2453</v>
      </c>
      <c r="B751" t="s">
        <v>2454</v>
      </c>
      <c r="C751" t="s">
        <v>43</v>
      </c>
      <c r="D751" t="s">
        <v>63</v>
      </c>
      <c r="E751" t="s">
        <v>74</v>
      </c>
      <c r="F751" t="s">
        <v>45</v>
      </c>
      <c r="G751" t="s">
        <v>43</v>
      </c>
      <c r="H751" t="s">
        <v>26</v>
      </c>
      <c r="I751">
        <v>0</v>
      </c>
      <c r="J751">
        <v>0</v>
      </c>
      <c r="K751">
        <v>3.7481022766367319E-3</v>
      </c>
      <c r="L751">
        <v>1.9628456054572659E-3</v>
      </c>
      <c r="M751" t="s">
        <v>76</v>
      </c>
      <c r="N751" t="s">
        <v>76</v>
      </c>
      <c r="O751" t="s">
        <v>77</v>
      </c>
      <c r="P751" t="s">
        <v>76</v>
      </c>
      <c r="S751" t="s">
        <v>2454</v>
      </c>
    </row>
    <row r="752" spans="1:19" x14ac:dyDescent="0.3">
      <c r="A752" t="s">
        <v>2455</v>
      </c>
      <c r="B752" t="s">
        <v>2456</v>
      </c>
      <c r="C752" t="s">
        <v>24</v>
      </c>
      <c r="D752" t="s">
        <v>63</v>
      </c>
      <c r="E752" t="s">
        <v>524</v>
      </c>
      <c r="F752" t="s">
        <v>55</v>
      </c>
      <c r="G752" t="s">
        <v>2455</v>
      </c>
      <c r="H752" t="s">
        <v>213</v>
      </c>
      <c r="I752">
        <v>0</v>
      </c>
      <c r="J752">
        <v>4.8686549638555388E-3</v>
      </c>
      <c r="K752">
        <v>4.2741517189692768E-4</v>
      </c>
      <c r="L752">
        <v>1.8595379420121841E-3</v>
      </c>
      <c r="M752" t="s">
        <v>76</v>
      </c>
      <c r="N752" t="s">
        <v>76</v>
      </c>
      <c r="O752" t="s">
        <v>77</v>
      </c>
      <c r="P752" t="s">
        <v>76</v>
      </c>
      <c r="S752" t="s">
        <v>2456</v>
      </c>
    </row>
    <row r="753" spans="1:19" x14ac:dyDescent="0.3">
      <c r="A753" t="s">
        <v>2457</v>
      </c>
      <c r="B753" t="s">
        <v>2458</v>
      </c>
      <c r="C753" t="s">
        <v>43</v>
      </c>
      <c r="D753" t="s">
        <v>63</v>
      </c>
      <c r="E753" t="s">
        <v>74</v>
      </c>
      <c r="F753" t="s">
        <v>45</v>
      </c>
      <c r="G753" t="s">
        <v>43</v>
      </c>
      <c r="H753" t="s">
        <v>26</v>
      </c>
      <c r="I753">
        <v>0</v>
      </c>
      <c r="J753">
        <v>0</v>
      </c>
      <c r="K753">
        <v>3.4850775554690931E-3</v>
      </c>
      <c r="L753">
        <v>1.8251020541970289E-3</v>
      </c>
      <c r="M753" t="s">
        <v>76</v>
      </c>
      <c r="N753" t="s">
        <v>76</v>
      </c>
      <c r="O753" t="s">
        <v>77</v>
      </c>
      <c r="P753" t="s">
        <v>76</v>
      </c>
      <c r="S753" t="s">
        <v>2458</v>
      </c>
    </row>
    <row r="754" spans="1:19" x14ac:dyDescent="0.3">
      <c r="A754" t="s">
        <v>2459</v>
      </c>
      <c r="B754" t="s">
        <v>2460</v>
      </c>
      <c r="C754" t="s">
        <v>43</v>
      </c>
      <c r="D754" t="s">
        <v>63</v>
      </c>
      <c r="E754" t="s">
        <v>74</v>
      </c>
      <c r="F754" t="s">
        <v>45</v>
      </c>
      <c r="G754" t="s">
        <v>43</v>
      </c>
      <c r="H754" t="s">
        <v>26</v>
      </c>
      <c r="I754">
        <v>0</v>
      </c>
      <c r="J754">
        <v>0</v>
      </c>
      <c r="K754">
        <v>3.4521994653235709E-3</v>
      </c>
      <c r="L754">
        <v>1.807884110289726E-3</v>
      </c>
      <c r="M754" t="s">
        <v>76</v>
      </c>
      <c r="N754" t="s">
        <v>76</v>
      </c>
      <c r="O754" t="s">
        <v>77</v>
      </c>
      <c r="P754" t="s">
        <v>76</v>
      </c>
      <c r="S754" t="s">
        <v>2460</v>
      </c>
    </row>
    <row r="755" spans="1:19" x14ac:dyDescent="0.3">
      <c r="A755" t="s">
        <v>2461</v>
      </c>
      <c r="B755" t="s">
        <v>2462</v>
      </c>
      <c r="C755" t="s">
        <v>243</v>
      </c>
      <c r="D755" t="s">
        <v>63</v>
      </c>
      <c r="E755" t="s">
        <v>74</v>
      </c>
      <c r="F755" t="s">
        <v>243</v>
      </c>
      <c r="G755" t="s">
        <v>2463</v>
      </c>
      <c r="H755" t="s">
        <v>213</v>
      </c>
      <c r="I755">
        <v>0</v>
      </c>
      <c r="J755">
        <v>5.3811449600502381E-3</v>
      </c>
      <c r="K755">
        <v>0</v>
      </c>
      <c r="L755">
        <v>1.807884110289561E-3</v>
      </c>
      <c r="S755" t="s">
        <v>2462</v>
      </c>
    </row>
    <row r="756" spans="1:19" x14ac:dyDescent="0.3">
      <c r="A756" t="s">
        <v>2464</v>
      </c>
      <c r="B756" t="s">
        <v>2465</v>
      </c>
      <c r="C756" t="s">
        <v>243</v>
      </c>
      <c r="D756" t="s">
        <v>63</v>
      </c>
      <c r="E756" t="s">
        <v>323</v>
      </c>
      <c r="F756" t="s">
        <v>243</v>
      </c>
      <c r="G756" t="s">
        <v>2466</v>
      </c>
      <c r="H756" t="s">
        <v>213</v>
      </c>
      <c r="I756">
        <v>0</v>
      </c>
      <c r="J756">
        <v>5.3811449600502381E-3</v>
      </c>
      <c r="K756">
        <v>0</v>
      </c>
      <c r="L756">
        <v>1.807884110289561E-3</v>
      </c>
      <c r="S756" t="s">
        <v>2465</v>
      </c>
    </row>
    <row r="757" spans="1:19" x14ac:dyDescent="0.3">
      <c r="A757" t="s">
        <v>2467</v>
      </c>
      <c r="B757" t="s">
        <v>2468</v>
      </c>
      <c r="C757" t="s">
        <v>43</v>
      </c>
      <c r="D757" t="s">
        <v>63</v>
      </c>
      <c r="E757" t="s">
        <v>74</v>
      </c>
      <c r="F757" t="s">
        <v>45</v>
      </c>
      <c r="G757" t="s">
        <v>43</v>
      </c>
      <c r="H757" t="s">
        <v>26</v>
      </c>
      <c r="I757">
        <v>0</v>
      </c>
      <c r="J757">
        <v>0</v>
      </c>
      <c r="K757">
        <v>3.4521994653229399E-3</v>
      </c>
      <c r="L757">
        <v>1.8078841102893959E-3</v>
      </c>
      <c r="M757" t="s">
        <v>76</v>
      </c>
      <c r="N757" t="s">
        <v>76</v>
      </c>
      <c r="O757" t="s">
        <v>77</v>
      </c>
      <c r="P757" t="s">
        <v>76</v>
      </c>
      <c r="S757" t="s">
        <v>2468</v>
      </c>
    </row>
    <row r="758" spans="1:19" x14ac:dyDescent="0.3">
      <c r="A758" t="s">
        <v>2469</v>
      </c>
      <c r="B758" t="s">
        <v>2470</v>
      </c>
      <c r="C758" t="s">
        <v>314</v>
      </c>
      <c r="D758" t="s">
        <v>63</v>
      </c>
      <c r="E758" t="s">
        <v>323</v>
      </c>
      <c r="F758" t="s">
        <v>314</v>
      </c>
      <c r="G758" t="s">
        <v>2471</v>
      </c>
      <c r="H758" t="s">
        <v>213</v>
      </c>
      <c r="I758">
        <v>0</v>
      </c>
      <c r="J758">
        <v>4.8695003632239888E-3</v>
      </c>
      <c r="K758">
        <v>1.315123605833466E-4</v>
      </c>
      <c r="L758">
        <v>1.704860472659825E-3</v>
      </c>
      <c r="M758" t="s">
        <v>76</v>
      </c>
      <c r="N758" t="s">
        <v>76</v>
      </c>
      <c r="O758" t="s">
        <v>77</v>
      </c>
      <c r="P758" t="s">
        <v>76</v>
      </c>
      <c r="S758" t="s">
        <v>2470</v>
      </c>
    </row>
    <row r="759" spans="1:19" x14ac:dyDescent="0.3">
      <c r="A759" t="s">
        <v>2472</v>
      </c>
      <c r="B759" t="s">
        <v>2473</v>
      </c>
      <c r="C759" t="s">
        <v>43</v>
      </c>
      <c r="D759" t="s">
        <v>63</v>
      </c>
      <c r="E759" t="s">
        <v>74</v>
      </c>
      <c r="F759" t="s">
        <v>45</v>
      </c>
      <c r="G759" t="s">
        <v>43</v>
      </c>
      <c r="H759" t="s">
        <v>26</v>
      </c>
      <c r="I759">
        <v>0</v>
      </c>
      <c r="J759">
        <v>0</v>
      </c>
      <c r="K759">
        <v>3.1891747441556159E-3</v>
      </c>
      <c r="L759">
        <v>1.670140559029324E-3</v>
      </c>
      <c r="M759" t="s">
        <v>76</v>
      </c>
      <c r="N759" t="s">
        <v>76</v>
      </c>
      <c r="O759" t="s">
        <v>77</v>
      </c>
      <c r="P759" t="s">
        <v>76</v>
      </c>
      <c r="S759" t="s">
        <v>2473</v>
      </c>
    </row>
    <row r="760" spans="1:19" x14ac:dyDescent="0.3">
      <c r="A760" t="s">
        <v>2474</v>
      </c>
      <c r="B760" t="s">
        <v>2475</v>
      </c>
      <c r="C760" t="s">
        <v>243</v>
      </c>
      <c r="D760" t="s">
        <v>63</v>
      </c>
      <c r="E760" t="s">
        <v>74</v>
      </c>
      <c r="F760" t="s">
        <v>243</v>
      </c>
      <c r="G760" t="s">
        <v>2474</v>
      </c>
      <c r="H760" t="s">
        <v>213</v>
      </c>
      <c r="I760">
        <v>0</v>
      </c>
      <c r="J760">
        <v>4.8686549638555388E-3</v>
      </c>
      <c r="K760">
        <v>0</v>
      </c>
      <c r="L760">
        <v>1.6357046712145531E-3</v>
      </c>
      <c r="S760" t="s">
        <v>2475</v>
      </c>
    </row>
    <row r="761" spans="1:19" x14ac:dyDescent="0.3">
      <c r="A761" t="s">
        <v>2476</v>
      </c>
      <c r="B761" t="s">
        <v>2477</v>
      </c>
      <c r="C761" t="s">
        <v>228</v>
      </c>
      <c r="D761" t="s">
        <v>63</v>
      </c>
      <c r="E761" t="s">
        <v>315</v>
      </c>
      <c r="F761" t="s">
        <v>228</v>
      </c>
      <c r="G761" t="s">
        <v>2478</v>
      </c>
      <c r="H761" t="s">
        <v>213</v>
      </c>
      <c r="I761">
        <v>0</v>
      </c>
      <c r="J761">
        <v>4.8686549638555388E-3</v>
      </c>
      <c r="K761">
        <v>0</v>
      </c>
      <c r="L761">
        <v>1.6357046712145531E-3</v>
      </c>
      <c r="M761" t="s">
        <v>76</v>
      </c>
      <c r="N761" t="s">
        <v>76</v>
      </c>
      <c r="O761" t="s">
        <v>77</v>
      </c>
      <c r="P761" t="s">
        <v>76</v>
      </c>
      <c r="S761" t="s">
        <v>2477</v>
      </c>
    </row>
    <row r="762" spans="1:19" x14ac:dyDescent="0.3">
      <c r="A762" t="s">
        <v>2479</v>
      </c>
      <c r="B762" t="s">
        <v>2480</v>
      </c>
      <c r="C762" t="s">
        <v>243</v>
      </c>
      <c r="D762" t="s">
        <v>63</v>
      </c>
      <c r="E762" t="s">
        <v>331</v>
      </c>
      <c r="F762" t="s">
        <v>243</v>
      </c>
      <c r="G762" t="s">
        <v>2479</v>
      </c>
      <c r="H762" t="s">
        <v>213</v>
      </c>
      <c r="I762">
        <v>0</v>
      </c>
      <c r="J762">
        <v>3.843674971464667E-3</v>
      </c>
      <c r="K762">
        <v>5.9180562262680205E-4</v>
      </c>
      <c r="L762">
        <v>1.6012687833993739E-3</v>
      </c>
      <c r="S762" t="s">
        <v>2480</v>
      </c>
    </row>
    <row r="763" spans="1:19" x14ac:dyDescent="0.3">
      <c r="A763" t="s">
        <v>2481</v>
      </c>
      <c r="B763" t="s">
        <v>2482</v>
      </c>
      <c r="C763" t="s">
        <v>24</v>
      </c>
      <c r="D763" t="s">
        <v>63</v>
      </c>
      <c r="E763" t="s">
        <v>315</v>
      </c>
      <c r="F763" t="s">
        <v>55</v>
      </c>
      <c r="G763" t="s">
        <v>2483</v>
      </c>
      <c r="H763" t="s">
        <v>213</v>
      </c>
      <c r="I763">
        <v>0</v>
      </c>
      <c r="J763">
        <v>4.6124099657581883E-3</v>
      </c>
      <c r="K763">
        <v>0</v>
      </c>
      <c r="L763">
        <v>1.549614951677049E-3</v>
      </c>
      <c r="M763" t="s">
        <v>116</v>
      </c>
      <c r="N763" t="s">
        <v>116</v>
      </c>
      <c r="O763" t="s">
        <v>116</v>
      </c>
      <c r="P763" t="s">
        <v>116</v>
      </c>
      <c r="Q763" t="s">
        <v>2484</v>
      </c>
      <c r="R763" t="s">
        <v>2485</v>
      </c>
      <c r="S763" t="s">
        <v>2482</v>
      </c>
    </row>
    <row r="764" spans="1:19" x14ac:dyDescent="0.3">
      <c r="A764" t="s">
        <v>2486</v>
      </c>
      <c r="B764" t="s">
        <v>2487</v>
      </c>
      <c r="C764" t="s">
        <v>243</v>
      </c>
      <c r="D764" t="s">
        <v>63</v>
      </c>
      <c r="E764" t="s">
        <v>74</v>
      </c>
      <c r="F764" t="s">
        <v>243</v>
      </c>
      <c r="G764" t="s">
        <v>2486</v>
      </c>
      <c r="H764" t="s">
        <v>317</v>
      </c>
      <c r="I764">
        <v>0</v>
      </c>
      <c r="J764">
        <v>4.6124099657574684E-3</v>
      </c>
      <c r="K764">
        <v>0</v>
      </c>
      <c r="L764">
        <v>1.549614951676807E-3</v>
      </c>
      <c r="S764" t="s">
        <v>2487</v>
      </c>
    </row>
    <row r="765" spans="1:19" x14ac:dyDescent="0.3">
      <c r="A765" t="s">
        <v>2488</v>
      </c>
      <c r="B765" t="s">
        <v>2489</v>
      </c>
      <c r="C765" t="s">
        <v>228</v>
      </c>
      <c r="D765" t="s">
        <v>63</v>
      </c>
      <c r="E765" t="s">
        <v>315</v>
      </c>
      <c r="F765" t="s">
        <v>228</v>
      </c>
      <c r="G765" t="s">
        <v>2490</v>
      </c>
      <c r="H765" t="s">
        <v>213</v>
      </c>
      <c r="I765">
        <v>0</v>
      </c>
      <c r="J765">
        <v>4.3561649676603486E-3</v>
      </c>
      <c r="K765">
        <v>0</v>
      </c>
      <c r="L765">
        <v>1.4635252321393811E-3</v>
      </c>
      <c r="M765" t="s">
        <v>76</v>
      </c>
      <c r="N765" t="s">
        <v>76</v>
      </c>
      <c r="O765" t="s">
        <v>77</v>
      </c>
      <c r="P765" t="s">
        <v>76</v>
      </c>
      <c r="S765" t="s">
        <v>2489</v>
      </c>
    </row>
    <row r="766" spans="1:19" x14ac:dyDescent="0.3">
      <c r="A766" t="s">
        <v>2491</v>
      </c>
      <c r="B766" t="s">
        <v>2492</v>
      </c>
      <c r="C766" t="s">
        <v>243</v>
      </c>
      <c r="D766" t="s">
        <v>63</v>
      </c>
      <c r="E766" t="s">
        <v>74</v>
      </c>
      <c r="F766" t="s">
        <v>243</v>
      </c>
      <c r="G766" t="s">
        <v>2493</v>
      </c>
      <c r="H766" t="s">
        <v>213</v>
      </c>
      <c r="I766">
        <v>0</v>
      </c>
      <c r="J766">
        <v>4.3561649676603486E-3</v>
      </c>
      <c r="K766">
        <v>0</v>
      </c>
      <c r="L766">
        <v>1.4635252321393811E-3</v>
      </c>
      <c r="S766" t="s">
        <v>2492</v>
      </c>
    </row>
    <row r="767" spans="1:19" x14ac:dyDescent="0.3">
      <c r="A767" t="s">
        <v>2494</v>
      </c>
      <c r="B767" t="s">
        <v>2495</v>
      </c>
      <c r="C767" t="s">
        <v>43</v>
      </c>
      <c r="D767" t="s">
        <v>63</v>
      </c>
      <c r="E767" t="s">
        <v>74</v>
      </c>
      <c r="F767" t="s">
        <v>45</v>
      </c>
      <c r="G767" t="s">
        <v>43</v>
      </c>
      <c r="H767" t="s">
        <v>26</v>
      </c>
      <c r="I767">
        <v>0</v>
      </c>
      <c r="J767">
        <v>0</v>
      </c>
      <c r="K767">
        <v>2.728881482112326E-3</v>
      </c>
      <c r="L767">
        <v>1.4290893443239499E-3</v>
      </c>
      <c r="M767" t="s">
        <v>76</v>
      </c>
      <c r="N767" t="s">
        <v>76</v>
      </c>
      <c r="O767" t="s">
        <v>77</v>
      </c>
      <c r="P767" t="s">
        <v>76</v>
      </c>
      <c r="S767" t="s">
        <v>2495</v>
      </c>
    </row>
    <row r="768" spans="1:19" x14ac:dyDescent="0.3">
      <c r="A768" t="s">
        <v>2496</v>
      </c>
      <c r="B768" t="s">
        <v>2497</v>
      </c>
      <c r="C768" t="s">
        <v>314</v>
      </c>
      <c r="D768" t="s">
        <v>63</v>
      </c>
      <c r="E768" t="s">
        <v>323</v>
      </c>
      <c r="F768" t="s">
        <v>314</v>
      </c>
      <c r="G768" t="s">
        <v>2498</v>
      </c>
      <c r="H768" t="s">
        <v>213</v>
      </c>
      <c r="I768">
        <v>0</v>
      </c>
      <c r="J768">
        <v>4.1006318848198393E-3</v>
      </c>
      <c r="K768">
        <v>0</v>
      </c>
      <c r="L768">
        <v>1.377674692235629E-3</v>
      </c>
      <c r="M768" t="s">
        <v>76</v>
      </c>
      <c r="N768" t="s">
        <v>76</v>
      </c>
      <c r="O768" t="s">
        <v>77</v>
      </c>
      <c r="P768" t="s">
        <v>76</v>
      </c>
      <c r="S768" t="s">
        <v>2497</v>
      </c>
    </row>
    <row r="769" spans="1:19" x14ac:dyDescent="0.3">
      <c r="A769" t="s">
        <v>2499</v>
      </c>
      <c r="B769" t="s">
        <v>2500</v>
      </c>
      <c r="C769" t="s">
        <v>251</v>
      </c>
      <c r="D769" t="s">
        <v>63</v>
      </c>
      <c r="E769" t="s">
        <v>74</v>
      </c>
      <c r="F769" t="s">
        <v>251</v>
      </c>
      <c r="G769" t="s">
        <v>2501</v>
      </c>
      <c r="H769" t="s">
        <v>213</v>
      </c>
      <c r="I769">
        <v>0</v>
      </c>
      <c r="J769">
        <v>4.0999199695625071E-3</v>
      </c>
      <c r="K769">
        <v>0</v>
      </c>
      <c r="L769">
        <v>1.3774355126017119E-3</v>
      </c>
      <c r="S769" t="s">
        <v>2500</v>
      </c>
    </row>
    <row r="770" spans="1:19" x14ac:dyDescent="0.3">
      <c r="A770" t="s">
        <v>2502</v>
      </c>
      <c r="B770" t="s">
        <v>2503</v>
      </c>
      <c r="C770" t="s">
        <v>243</v>
      </c>
      <c r="D770" t="s">
        <v>63</v>
      </c>
      <c r="E770" t="s">
        <v>331</v>
      </c>
      <c r="F770" t="s">
        <v>73</v>
      </c>
      <c r="G770" t="s">
        <v>2502</v>
      </c>
      <c r="H770" t="s">
        <v>213</v>
      </c>
      <c r="I770">
        <v>0</v>
      </c>
      <c r="J770">
        <v>4.0999199695625071E-3</v>
      </c>
      <c r="K770">
        <v>0</v>
      </c>
      <c r="L770">
        <v>1.3774355126017119E-3</v>
      </c>
      <c r="M770" t="s">
        <v>76</v>
      </c>
      <c r="N770" t="s">
        <v>76</v>
      </c>
      <c r="O770" t="s">
        <v>77</v>
      </c>
      <c r="P770" t="s">
        <v>76</v>
      </c>
      <c r="S770" t="s">
        <v>2503</v>
      </c>
    </row>
    <row r="771" spans="1:19" x14ac:dyDescent="0.3">
      <c r="A771" t="s">
        <v>2504</v>
      </c>
      <c r="B771" t="s">
        <v>2505</v>
      </c>
      <c r="C771" t="s">
        <v>43</v>
      </c>
      <c r="D771" t="s">
        <v>63</v>
      </c>
      <c r="E771" t="s">
        <v>74</v>
      </c>
      <c r="F771" t="s">
        <v>45</v>
      </c>
      <c r="G771" t="s">
        <v>43</v>
      </c>
      <c r="H771" t="s">
        <v>26</v>
      </c>
      <c r="I771">
        <v>0</v>
      </c>
      <c r="J771">
        <v>0</v>
      </c>
      <c r="K771">
        <v>2.564491031383143E-3</v>
      </c>
      <c r="L771">
        <v>1.342999624786611E-3</v>
      </c>
      <c r="M771" t="s">
        <v>76</v>
      </c>
      <c r="N771" t="s">
        <v>76</v>
      </c>
      <c r="O771" t="s">
        <v>77</v>
      </c>
      <c r="P771" t="s">
        <v>76</v>
      </c>
      <c r="S771" t="s">
        <v>2505</v>
      </c>
    </row>
    <row r="772" spans="1:19" x14ac:dyDescent="0.3">
      <c r="A772" t="s">
        <v>2506</v>
      </c>
      <c r="B772" t="s">
        <v>2507</v>
      </c>
      <c r="C772" t="s">
        <v>43</v>
      </c>
      <c r="D772" t="s">
        <v>63</v>
      </c>
      <c r="E772" t="s">
        <v>74</v>
      </c>
      <c r="F772" t="s">
        <v>45</v>
      </c>
      <c r="G772" t="s">
        <v>43</v>
      </c>
      <c r="H772" t="s">
        <v>26</v>
      </c>
      <c r="I772">
        <v>0</v>
      </c>
      <c r="J772">
        <v>0</v>
      </c>
      <c r="K772">
        <v>2.4987348510908391E-3</v>
      </c>
      <c r="L772">
        <v>1.3085637369713451E-3</v>
      </c>
      <c r="M772" t="s">
        <v>76</v>
      </c>
      <c r="N772" t="s">
        <v>76</v>
      </c>
      <c r="O772" t="s">
        <v>77</v>
      </c>
      <c r="P772" t="s">
        <v>76</v>
      </c>
      <c r="S772" t="s">
        <v>2507</v>
      </c>
    </row>
    <row r="773" spans="1:19" x14ac:dyDescent="0.3">
      <c r="A773" t="s">
        <v>2508</v>
      </c>
      <c r="B773" t="s">
        <v>2509</v>
      </c>
      <c r="C773" t="s">
        <v>24</v>
      </c>
      <c r="D773" t="s">
        <v>63</v>
      </c>
      <c r="E773" t="s">
        <v>323</v>
      </c>
      <c r="F773" t="s">
        <v>55</v>
      </c>
      <c r="G773" t="s">
        <v>2510</v>
      </c>
      <c r="H773" t="s">
        <v>213</v>
      </c>
      <c r="I773">
        <v>0</v>
      </c>
      <c r="J773">
        <v>3.5874299733668251E-3</v>
      </c>
      <c r="K773">
        <v>0</v>
      </c>
      <c r="L773">
        <v>1.205256073526374E-3</v>
      </c>
      <c r="M773" t="s">
        <v>76</v>
      </c>
      <c r="N773" t="s">
        <v>76</v>
      </c>
      <c r="O773" t="s">
        <v>77</v>
      </c>
      <c r="P773" t="s">
        <v>76</v>
      </c>
      <c r="S773" t="s">
        <v>2509</v>
      </c>
    </row>
    <row r="774" spans="1:19" x14ac:dyDescent="0.3">
      <c r="A774" t="s">
        <v>2511</v>
      </c>
      <c r="B774" t="s">
        <v>2512</v>
      </c>
      <c r="C774" t="s">
        <v>243</v>
      </c>
      <c r="D774" t="s">
        <v>63</v>
      </c>
      <c r="E774" t="s">
        <v>323</v>
      </c>
      <c r="F774" t="s">
        <v>243</v>
      </c>
      <c r="G774" t="s">
        <v>2511</v>
      </c>
      <c r="H774" t="s">
        <v>213</v>
      </c>
      <c r="I774">
        <v>0</v>
      </c>
      <c r="J774">
        <v>3.5874299733668251E-3</v>
      </c>
      <c r="K774">
        <v>0</v>
      </c>
      <c r="L774">
        <v>1.205256073526374E-3</v>
      </c>
      <c r="S774" t="s">
        <v>2512</v>
      </c>
    </row>
    <row r="775" spans="1:19" x14ac:dyDescent="0.3">
      <c r="A775" t="s">
        <v>115</v>
      </c>
      <c r="B775" t="s">
        <v>2513</v>
      </c>
      <c r="C775" t="s">
        <v>114</v>
      </c>
      <c r="D775" t="s">
        <v>63</v>
      </c>
      <c r="E775" t="s">
        <v>74</v>
      </c>
      <c r="F775" t="s">
        <v>114</v>
      </c>
      <c r="G775" t="s">
        <v>115</v>
      </c>
      <c r="H775" t="s">
        <v>75</v>
      </c>
      <c r="I775">
        <v>0</v>
      </c>
      <c r="J775">
        <v>3.3311849752692829E-3</v>
      </c>
      <c r="K775">
        <v>0</v>
      </c>
      <c r="L775">
        <v>1.1191663539888051E-3</v>
      </c>
      <c r="M775" t="s">
        <v>76</v>
      </c>
      <c r="N775" t="s">
        <v>76</v>
      </c>
      <c r="O775" t="s">
        <v>77</v>
      </c>
      <c r="P775" t="s">
        <v>76</v>
      </c>
      <c r="S775" t="s">
        <v>2513</v>
      </c>
    </row>
    <row r="776" spans="1:19" x14ac:dyDescent="0.3">
      <c r="A776" t="s">
        <v>2514</v>
      </c>
      <c r="B776" t="s">
        <v>2515</v>
      </c>
      <c r="C776" t="s">
        <v>243</v>
      </c>
      <c r="F776" t="s">
        <v>243</v>
      </c>
      <c r="G776" t="s">
        <v>2514</v>
      </c>
      <c r="H776" t="s">
        <v>317</v>
      </c>
      <c r="I776">
        <v>0</v>
      </c>
      <c r="J776">
        <v>3.0749399771716462E-3</v>
      </c>
      <c r="K776">
        <v>0</v>
      </c>
      <c r="L776">
        <v>1.0330766344512051E-3</v>
      </c>
      <c r="S776" t="s">
        <v>2515</v>
      </c>
    </row>
    <row r="777" spans="1:19" x14ac:dyDescent="0.3">
      <c r="A777" t="s">
        <v>2516</v>
      </c>
      <c r="B777" t="s">
        <v>2517</v>
      </c>
      <c r="C777" t="s">
        <v>114</v>
      </c>
      <c r="D777" t="s">
        <v>63</v>
      </c>
      <c r="E777" t="s">
        <v>74</v>
      </c>
      <c r="F777" t="s">
        <v>114</v>
      </c>
      <c r="G777" t="s">
        <v>115</v>
      </c>
      <c r="H777" t="s">
        <v>75</v>
      </c>
      <c r="I777">
        <v>0</v>
      </c>
      <c r="J777">
        <v>3.0749399771716462E-3</v>
      </c>
      <c r="K777">
        <v>0</v>
      </c>
      <c r="L777">
        <v>1.0330766344512051E-3</v>
      </c>
      <c r="M777" t="s">
        <v>76</v>
      </c>
      <c r="N777" t="s">
        <v>76</v>
      </c>
      <c r="O777" t="s">
        <v>77</v>
      </c>
      <c r="P777" t="s">
        <v>76</v>
      </c>
      <c r="S777" t="s">
        <v>2517</v>
      </c>
    </row>
    <row r="778" spans="1:19" x14ac:dyDescent="0.3">
      <c r="A778" t="s">
        <v>2518</v>
      </c>
      <c r="B778" t="s">
        <v>2519</v>
      </c>
      <c r="C778" t="s">
        <v>251</v>
      </c>
      <c r="D778" t="s">
        <v>63</v>
      </c>
      <c r="E778" t="s">
        <v>74</v>
      </c>
      <c r="F778" t="s">
        <v>251</v>
      </c>
      <c r="G778" t="s">
        <v>2520</v>
      </c>
      <c r="H778" t="s">
        <v>213</v>
      </c>
      <c r="I778">
        <v>0</v>
      </c>
      <c r="J778">
        <v>3.0749399771711431E-3</v>
      </c>
      <c r="K778">
        <v>0</v>
      </c>
      <c r="L778">
        <v>1.0330766344510359E-3</v>
      </c>
      <c r="S778" t="s">
        <v>2519</v>
      </c>
    </row>
    <row r="779" spans="1:19" x14ac:dyDescent="0.3">
      <c r="A779" t="s">
        <v>2521</v>
      </c>
      <c r="B779" t="s">
        <v>2522</v>
      </c>
      <c r="C779" t="s">
        <v>243</v>
      </c>
      <c r="D779" t="s">
        <v>63</v>
      </c>
      <c r="E779" t="s">
        <v>74</v>
      </c>
      <c r="F779" t="s">
        <v>243</v>
      </c>
      <c r="G779" t="s">
        <v>2523</v>
      </c>
      <c r="H779" t="s">
        <v>213</v>
      </c>
      <c r="I779">
        <v>0</v>
      </c>
      <c r="J779">
        <v>2.5624499809764438E-3</v>
      </c>
      <c r="K779">
        <v>0</v>
      </c>
      <c r="L779">
        <v>8.6089719537602851E-4</v>
      </c>
      <c r="S779" t="s">
        <v>2522</v>
      </c>
    </row>
    <row r="780" spans="1:19" x14ac:dyDescent="0.3">
      <c r="A780" t="s">
        <v>2524</v>
      </c>
      <c r="B780" t="s">
        <v>2525</v>
      </c>
      <c r="C780" t="s">
        <v>114</v>
      </c>
      <c r="D780" t="s">
        <v>63</v>
      </c>
      <c r="E780" t="s">
        <v>74</v>
      </c>
      <c r="F780" t="s">
        <v>114</v>
      </c>
      <c r="G780" t="s">
        <v>115</v>
      </c>
      <c r="H780" t="s">
        <v>75</v>
      </c>
      <c r="I780">
        <v>0</v>
      </c>
      <c r="J780">
        <v>2.3062049828787342E-3</v>
      </c>
      <c r="K780">
        <v>0</v>
      </c>
      <c r="L780">
        <v>7.748074758384037E-4</v>
      </c>
      <c r="M780" t="s">
        <v>76</v>
      </c>
      <c r="N780" t="s">
        <v>76</v>
      </c>
      <c r="O780" t="s">
        <v>77</v>
      </c>
      <c r="P780" t="s">
        <v>76</v>
      </c>
      <c r="S780" t="s">
        <v>2525</v>
      </c>
    </row>
    <row r="781" spans="1:19" x14ac:dyDescent="0.3">
      <c r="A781" t="s">
        <v>2526</v>
      </c>
      <c r="B781" t="s">
        <v>2527</v>
      </c>
      <c r="C781" t="s">
        <v>251</v>
      </c>
      <c r="D781" t="s">
        <v>63</v>
      </c>
      <c r="E781" t="s">
        <v>331</v>
      </c>
      <c r="F781" t="s">
        <v>251</v>
      </c>
      <c r="G781" t="s">
        <v>2528</v>
      </c>
      <c r="H781" t="s">
        <v>317</v>
      </c>
      <c r="I781">
        <v>0</v>
      </c>
      <c r="J781">
        <v>2.3062049828787342E-3</v>
      </c>
      <c r="K781">
        <v>0</v>
      </c>
      <c r="L781">
        <v>7.748074758384037E-4</v>
      </c>
      <c r="S781" t="s">
        <v>2527</v>
      </c>
    </row>
    <row r="782" spans="1:19" x14ac:dyDescent="0.3">
      <c r="A782" t="s">
        <v>2529</v>
      </c>
      <c r="B782" t="s">
        <v>2530</v>
      </c>
      <c r="C782" t="s">
        <v>73</v>
      </c>
      <c r="D782" t="s">
        <v>63</v>
      </c>
      <c r="E782" t="s">
        <v>74</v>
      </c>
      <c r="F782" t="s">
        <v>73</v>
      </c>
      <c r="G782" t="s">
        <v>2529</v>
      </c>
      <c r="H782" t="s">
        <v>317</v>
      </c>
      <c r="I782">
        <v>0</v>
      </c>
      <c r="J782">
        <v>2.3062049828787342E-3</v>
      </c>
      <c r="K782">
        <v>0</v>
      </c>
      <c r="L782">
        <v>7.748074758384037E-4</v>
      </c>
      <c r="M782" t="s">
        <v>76</v>
      </c>
      <c r="N782" t="s">
        <v>76</v>
      </c>
      <c r="O782" t="s">
        <v>77</v>
      </c>
      <c r="P782" t="s">
        <v>76</v>
      </c>
      <c r="S782" t="s">
        <v>2530</v>
      </c>
    </row>
    <row r="783" spans="1:19" x14ac:dyDescent="0.3">
      <c r="A783" t="s">
        <v>2531</v>
      </c>
      <c r="B783" t="s">
        <v>2532</v>
      </c>
      <c r="C783" t="s">
        <v>43</v>
      </c>
      <c r="D783" t="s">
        <v>63</v>
      </c>
      <c r="E783" t="s">
        <v>74</v>
      </c>
      <c r="F783" t="s">
        <v>45</v>
      </c>
      <c r="G783" t="s">
        <v>43</v>
      </c>
      <c r="H783" t="s">
        <v>26</v>
      </c>
      <c r="I783">
        <v>4.7847030834098888E-3</v>
      </c>
      <c r="J783">
        <v>0</v>
      </c>
      <c r="K783">
        <v>0</v>
      </c>
      <c r="L783">
        <v>6.7149981239328328E-4</v>
      </c>
      <c r="M783" t="s">
        <v>76</v>
      </c>
      <c r="N783" t="s">
        <v>76</v>
      </c>
      <c r="O783" t="s">
        <v>77</v>
      </c>
      <c r="P783" t="s">
        <v>76</v>
      </c>
      <c r="S783" t="s">
        <v>2532</v>
      </c>
    </row>
    <row r="784" spans="1:19" x14ac:dyDescent="0.3">
      <c r="A784" t="s">
        <v>2533</v>
      </c>
      <c r="B784" t="s">
        <v>2534</v>
      </c>
      <c r="C784" t="s">
        <v>24</v>
      </c>
      <c r="D784" t="s">
        <v>53</v>
      </c>
      <c r="E784" t="s">
        <v>389</v>
      </c>
      <c r="F784" t="s">
        <v>55</v>
      </c>
      <c r="G784" t="s">
        <v>2533</v>
      </c>
      <c r="H784" t="s">
        <v>26</v>
      </c>
      <c r="I784">
        <v>4.6620183889634816E-3</v>
      </c>
      <c r="J784">
        <v>0</v>
      </c>
      <c r="K784">
        <v>0</v>
      </c>
      <c r="L784">
        <v>6.5428186848576317E-4</v>
      </c>
      <c r="M784" t="s">
        <v>76</v>
      </c>
      <c r="N784" t="s">
        <v>76</v>
      </c>
      <c r="O784" t="s">
        <v>77</v>
      </c>
      <c r="P784" t="s">
        <v>76</v>
      </c>
      <c r="S784" t="s">
        <v>2534</v>
      </c>
    </row>
    <row r="785" spans="1:19" x14ac:dyDescent="0.3">
      <c r="A785" t="s">
        <v>2535</v>
      </c>
      <c r="B785" t="s">
        <v>2536</v>
      </c>
      <c r="C785" t="s">
        <v>114</v>
      </c>
      <c r="D785" t="s">
        <v>63</v>
      </c>
      <c r="E785" t="s">
        <v>323</v>
      </c>
      <c r="F785" t="s">
        <v>114</v>
      </c>
      <c r="G785" t="s">
        <v>115</v>
      </c>
      <c r="H785" t="s">
        <v>75</v>
      </c>
      <c r="I785">
        <v>0</v>
      </c>
      <c r="J785">
        <v>1.5374699885858231E-3</v>
      </c>
      <c r="K785">
        <v>0</v>
      </c>
      <c r="L785">
        <v>5.1653831722560243E-4</v>
      </c>
      <c r="M785" t="s">
        <v>76</v>
      </c>
      <c r="N785" t="s">
        <v>76</v>
      </c>
      <c r="O785" t="s">
        <v>77</v>
      </c>
      <c r="P785" t="s">
        <v>76</v>
      </c>
      <c r="S785" t="s">
        <v>2536</v>
      </c>
    </row>
    <row r="786" spans="1:19" x14ac:dyDescent="0.3">
      <c r="A786" t="s">
        <v>2537</v>
      </c>
      <c r="B786" t="s">
        <v>2538</v>
      </c>
      <c r="C786" t="s">
        <v>21</v>
      </c>
      <c r="D786" t="s">
        <v>63</v>
      </c>
      <c r="E786" t="s">
        <v>74</v>
      </c>
      <c r="F786" t="s">
        <v>24</v>
      </c>
      <c r="G786" t="s">
        <v>21</v>
      </c>
      <c r="H786" t="s">
        <v>26</v>
      </c>
      <c r="I786">
        <v>2.9444326667137769E-3</v>
      </c>
      <c r="J786">
        <v>0</v>
      </c>
      <c r="K786">
        <v>0</v>
      </c>
      <c r="L786">
        <v>4.132306537804819E-4</v>
      </c>
      <c r="M786" t="s">
        <v>76</v>
      </c>
      <c r="N786" t="s">
        <v>76</v>
      </c>
      <c r="O786" t="s">
        <v>77</v>
      </c>
      <c r="P786" t="s">
        <v>76</v>
      </c>
      <c r="S786" t="s">
        <v>2538</v>
      </c>
    </row>
    <row r="787" spans="1:19" x14ac:dyDescent="0.3">
      <c r="A787" t="s">
        <v>2539</v>
      </c>
      <c r="B787" t="s">
        <v>2540</v>
      </c>
      <c r="C787" t="s">
        <v>43</v>
      </c>
      <c r="D787" t="s">
        <v>63</v>
      </c>
      <c r="E787" t="s">
        <v>74</v>
      </c>
      <c r="F787" t="s">
        <v>45</v>
      </c>
      <c r="G787" t="s">
        <v>43</v>
      </c>
      <c r="H787" t="s">
        <v>26</v>
      </c>
      <c r="I787">
        <v>2.5763785833745551E-3</v>
      </c>
      <c r="J787">
        <v>0</v>
      </c>
      <c r="K787">
        <v>0</v>
      </c>
      <c r="L787">
        <v>3.6157682205792169E-4</v>
      </c>
      <c r="M787" t="s">
        <v>76</v>
      </c>
      <c r="N787" t="s">
        <v>76</v>
      </c>
      <c r="O787" t="s">
        <v>77</v>
      </c>
      <c r="P787" t="s">
        <v>76</v>
      </c>
      <c r="S787" t="s">
        <v>2540</v>
      </c>
    </row>
    <row r="788" spans="1:19" x14ac:dyDescent="0.3">
      <c r="A788" t="s">
        <v>2541</v>
      </c>
      <c r="B788" t="s">
        <v>2542</v>
      </c>
      <c r="C788" t="s">
        <v>73</v>
      </c>
      <c r="D788" t="s">
        <v>63</v>
      </c>
      <c r="E788" t="s">
        <v>74</v>
      </c>
      <c r="F788" t="s">
        <v>73</v>
      </c>
      <c r="G788" t="s">
        <v>2543</v>
      </c>
      <c r="H788" t="s">
        <v>213</v>
      </c>
      <c r="I788">
        <v>0</v>
      </c>
      <c r="J788">
        <v>0</v>
      </c>
      <c r="K788">
        <v>5.5892753248110161E-4</v>
      </c>
      <c r="L788">
        <v>2.9270504642793499E-4</v>
      </c>
      <c r="M788" t="s">
        <v>76</v>
      </c>
      <c r="N788" t="s">
        <v>76</v>
      </c>
      <c r="O788" t="s">
        <v>77</v>
      </c>
      <c r="P788" t="s">
        <v>76</v>
      </c>
      <c r="S788" t="s">
        <v>2542</v>
      </c>
    </row>
    <row r="789" spans="1:19" x14ac:dyDescent="0.3">
      <c r="A789" t="s">
        <v>2544</v>
      </c>
      <c r="B789" t="s">
        <v>2545</v>
      </c>
      <c r="C789" t="s">
        <v>73</v>
      </c>
      <c r="D789" t="s">
        <v>63</v>
      </c>
      <c r="E789" t="s">
        <v>74</v>
      </c>
      <c r="F789" t="s">
        <v>73</v>
      </c>
      <c r="G789" t="s">
        <v>2546</v>
      </c>
      <c r="H789" t="s">
        <v>213</v>
      </c>
      <c r="I789">
        <v>0</v>
      </c>
      <c r="J789">
        <v>0</v>
      </c>
      <c r="K789">
        <v>5.2604944233514139E-4</v>
      </c>
      <c r="L789">
        <v>2.7548710252040258E-4</v>
      </c>
      <c r="M789" t="s">
        <v>76</v>
      </c>
      <c r="N789" t="s">
        <v>76</v>
      </c>
      <c r="O789" t="s">
        <v>77</v>
      </c>
      <c r="P789" t="s">
        <v>76</v>
      </c>
      <c r="S789" t="s">
        <v>2545</v>
      </c>
    </row>
    <row r="790" spans="1:19" x14ac:dyDescent="0.3">
      <c r="A790" t="s">
        <v>2547</v>
      </c>
      <c r="B790" t="s">
        <v>2548</v>
      </c>
      <c r="C790" t="s">
        <v>24</v>
      </c>
      <c r="D790" t="s">
        <v>63</v>
      </c>
      <c r="E790" t="s">
        <v>74</v>
      </c>
      <c r="F790" t="s">
        <v>24</v>
      </c>
      <c r="G790" t="s">
        <v>2549</v>
      </c>
      <c r="H790" t="s">
        <v>213</v>
      </c>
      <c r="I790">
        <v>0</v>
      </c>
      <c r="J790">
        <v>0</v>
      </c>
      <c r="K790">
        <v>5.2604944233514139E-4</v>
      </c>
      <c r="L790">
        <v>2.7548710252040258E-4</v>
      </c>
      <c r="M790" t="s">
        <v>76</v>
      </c>
      <c r="N790" t="s">
        <v>76</v>
      </c>
      <c r="O790" t="s">
        <v>77</v>
      </c>
      <c r="P790" t="s">
        <v>76</v>
      </c>
      <c r="S790" t="s">
        <v>2548</v>
      </c>
    </row>
    <row r="791" spans="1:19" x14ac:dyDescent="0.3">
      <c r="A791" t="s">
        <v>2550</v>
      </c>
      <c r="B791" t="s">
        <v>2551</v>
      </c>
      <c r="C791" t="s">
        <v>314</v>
      </c>
      <c r="D791" t="s">
        <v>63</v>
      </c>
      <c r="E791" t="s">
        <v>315</v>
      </c>
      <c r="F791" t="s">
        <v>314</v>
      </c>
      <c r="G791" t="s">
        <v>2550</v>
      </c>
      <c r="H791" t="s">
        <v>213</v>
      </c>
      <c r="I791">
        <v>0</v>
      </c>
      <c r="J791">
        <v>0</v>
      </c>
      <c r="K791">
        <v>5.2604944233503037E-4</v>
      </c>
      <c r="L791">
        <v>2.7548710252034452E-4</v>
      </c>
      <c r="M791" t="s">
        <v>76</v>
      </c>
      <c r="N791" t="s">
        <v>76</v>
      </c>
      <c r="O791" t="s">
        <v>77</v>
      </c>
      <c r="P791" t="s">
        <v>76</v>
      </c>
      <c r="S791" t="s">
        <v>2551</v>
      </c>
    </row>
    <row r="792" spans="1:19" x14ac:dyDescent="0.3">
      <c r="A792" t="s">
        <v>2552</v>
      </c>
      <c r="B792" t="s">
        <v>2553</v>
      </c>
      <c r="C792" t="s">
        <v>24</v>
      </c>
      <c r="F792" t="s">
        <v>24</v>
      </c>
      <c r="G792" t="s">
        <v>2554</v>
      </c>
      <c r="H792" t="s">
        <v>213</v>
      </c>
      <c r="I792">
        <v>0</v>
      </c>
      <c r="J792">
        <v>0</v>
      </c>
      <c r="K792">
        <v>5.2604944233491935E-4</v>
      </c>
      <c r="L792">
        <v>2.754871025202863E-4</v>
      </c>
      <c r="M792" t="s">
        <v>76</v>
      </c>
      <c r="N792" t="s">
        <v>76</v>
      </c>
      <c r="O792" t="s">
        <v>77</v>
      </c>
      <c r="P792" t="s">
        <v>76</v>
      </c>
      <c r="S792" t="s">
        <v>2553</v>
      </c>
    </row>
    <row r="793" spans="1:19" x14ac:dyDescent="0.3">
      <c r="A793" t="s">
        <v>2555</v>
      </c>
      <c r="B793" t="s">
        <v>2556</v>
      </c>
      <c r="C793" t="s">
        <v>73</v>
      </c>
      <c r="D793" t="s">
        <v>63</v>
      </c>
      <c r="E793" t="s">
        <v>74</v>
      </c>
      <c r="F793" t="s">
        <v>73</v>
      </c>
      <c r="G793" t="s">
        <v>2555</v>
      </c>
      <c r="H793" t="s">
        <v>213</v>
      </c>
      <c r="I793">
        <v>0</v>
      </c>
      <c r="J793">
        <v>0</v>
      </c>
      <c r="K793">
        <v>4.9317135218918118E-4</v>
      </c>
      <c r="L793">
        <v>2.5826915861287012E-4</v>
      </c>
      <c r="M793" t="s">
        <v>76</v>
      </c>
      <c r="N793" t="s">
        <v>76</v>
      </c>
      <c r="O793" t="s">
        <v>77</v>
      </c>
      <c r="P793" t="s">
        <v>76</v>
      </c>
      <c r="S793" t="s">
        <v>2556</v>
      </c>
    </row>
    <row r="794" spans="1:19" x14ac:dyDescent="0.3">
      <c r="A794" t="s">
        <v>2557</v>
      </c>
      <c r="B794" t="s">
        <v>2558</v>
      </c>
      <c r="C794" t="s">
        <v>73</v>
      </c>
      <c r="D794" t="s">
        <v>63</v>
      </c>
      <c r="E794" t="s">
        <v>331</v>
      </c>
      <c r="F794" t="s">
        <v>73</v>
      </c>
      <c r="G794" t="s">
        <v>2559</v>
      </c>
      <c r="H794" t="s">
        <v>213</v>
      </c>
      <c r="I794">
        <v>0</v>
      </c>
      <c r="J794">
        <v>0</v>
      </c>
      <c r="K794">
        <v>4.9317135218907016E-4</v>
      </c>
      <c r="L794">
        <v>2.58269158612812E-4</v>
      </c>
      <c r="M794" t="s">
        <v>76</v>
      </c>
      <c r="N794" t="s">
        <v>76</v>
      </c>
      <c r="O794" t="s">
        <v>77</v>
      </c>
      <c r="P794" t="s">
        <v>76</v>
      </c>
      <c r="S794" t="s">
        <v>2558</v>
      </c>
    </row>
    <row r="795" spans="1:19" x14ac:dyDescent="0.3">
      <c r="A795" t="s">
        <v>2560</v>
      </c>
      <c r="B795" t="s">
        <v>2561</v>
      </c>
      <c r="C795" t="s">
        <v>314</v>
      </c>
      <c r="D795" t="s">
        <v>63</v>
      </c>
      <c r="E795" t="s">
        <v>74</v>
      </c>
      <c r="F795" t="s">
        <v>314</v>
      </c>
      <c r="G795" t="s">
        <v>2560</v>
      </c>
      <c r="H795" t="s">
        <v>213</v>
      </c>
      <c r="I795">
        <v>0</v>
      </c>
      <c r="J795">
        <v>0</v>
      </c>
      <c r="K795">
        <v>4.9317135218907016E-4</v>
      </c>
      <c r="L795">
        <v>2.58269158612812E-4</v>
      </c>
      <c r="M795" t="s">
        <v>76</v>
      </c>
      <c r="N795" t="s">
        <v>76</v>
      </c>
      <c r="O795" t="s">
        <v>77</v>
      </c>
      <c r="P795" t="s">
        <v>76</v>
      </c>
      <c r="S795" t="s">
        <v>2561</v>
      </c>
    </row>
    <row r="796" spans="1:19" x14ac:dyDescent="0.3">
      <c r="A796" t="s">
        <v>2562</v>
      </c>
      <c r="B796" t="s">
        <v>2563</v>
      </c>
      <c r="C796" t="s">
        <v>114</v>
      </c>
      <c r="D796" t="s">
        <v>63</v>
      </c>
      <c r="E796" t="s">
        <v>74</v>
      </c>
      <c r="F796" t="s">
        <v>114</v>
      </c>
      <c r="G796" t="s">
        <v>115</v>
      </c>
      <c r="H796" t="s">
        <v>75</v>
      </c>
      <c r="I796">
        <v>0</v>
      </c>
      <c r="J796">
        <v>7.6873499429291144E-4</v>
      </c>
      <c r="K796">
        <v>0</v>
      </c>
      <c r="L796">
        <v>2.5826915861280121E-4</v>
      </c>
      <c r="M796" t="s">
        <v>76</v>
      </c>
      <c r="N796" t="s">
        <v>76</v>
      </c>
      <c r="O796" t="s">
        <v>77</v>
      </c>
      <c r="P796" t="s">
        <v>76</v>
      </c>
      <c r="S796" t="s">
        <v>2563</v>
      </c>
    </row>
    <row r="797" spans="1:19" x14ac:dyDescent="0.3">
      <c r="A797" t="s">
        <v>2564</v>
      </c>
      <c r="B797" t="s">
        <v>2565</v>
      </c>
      <c r="C797" t="s">
        <v>114</v>
      </c>
      <c r="D797" t="s">
        <v>63</v>
      </c>
      <c r="E797" t="s">
        <v>323</v>
      </c>
      <c r="F797" t="s">
        <v>114</v>
      </c>
      <c r="G797" t="s">
        <v>115</v>
      </c>
      <c r="H797" t="s">
        <v>75</v>
      </c>
      <c r="I797">
        <v>0</v>
      </c>
      <c r="J797">
        <v>7.6873499429291144E-4</v>
      </c>
      <c r="K797">
        <v>0</v>
      </c>
      <c r="L797">
        <v>2.5826915861280121E-4</v>
      </c>
      <c r="M797" t="s">
        <v>76</v>
      </c>
      <c r="N797" t="s">
        <v>76</v>
      </c>
      <c r="O797" t="s">
        <v>77</v>
      </c>
      <c r="P797" t="s">
        <v>76</v>
      </c>
      <c r="S797" t="s">
        <v>2565</v>
      </c>
    </row>
    <row r="798" spans="1:19" x14ac:dyDescent="0.3">
      <c r="A798" t="s">
        <v>2566</v>
      </c>
      <c r="B798" t="s">
        <v>2567</v>
      </c>
      <c r="C798" t="s">
        <v>24</v>
      </c>
      <c r="D798" t="s">
        <v>35</v>
      </c>
      <c r="E798" t="s">
        <v>178</v>
      </c>
      <c r="F798" t="s">
        <v>144</v>
      </c>
      <c r="G798" t="s">
        <v>2566</v>
      </c>
      <c r="H798" t="s">
        <v>213</v>
      </c>
      <c r="I798">
        <v>0</v>
      </c>
      <c r="J798">
        <v>0</v>
      </c>
      <c r="K798">
        <v>4.7842737375380923E-4</v>
      </c>
      <c r="L798">
        <v>2.5054787697676828E-4</v>
      </c>
      <c r="M798" t="s">
        <v>76</v>
      </c>
      <c r="N798" t="s">
        <v>76</v>
      </c>
      <c r="O798" t="s">
        <v>77</v>
      </c>
      <c r="P798" t="s">
        <v>76</v>
      </c>
      <c r="S798" t="s">
        <v>2567</v>
      </c>
    </row>
    <row r="799" spans="1:19" x14ac:dyDescent="0.3">
      <c r="A799" t="s">
        <v>2568</v>
      </c>
      <c r="B799" t="s">
        <v>2569</v>
      </c>
      <c r="C799" t="s">
        <v>114</v>
      </c>
      <c r="D799" t="s">
        <v>63</v>
      </c>
      <c r="E799" t="s">
        <v>323</v>
      </c>
      <c r="F799" t="s">
        <v>114</v>
      </c>
      <c r="G799" t="s">
        <v>362</v>
      </c>
      <c r="H799" t="s">
        <v>213</v>
      </c>
      <c r="I799">
        <v>0</v>
      </c>
      <c r="J799">
        <v>0</v>
      </c>
      <c r="K799">
        <v>4.6029326204299892E-4</v>
      </c>
      <c r="L799">
        <v>2.410512147052214E-4</v>
      </c>
      <c r="M799" t="s">
        <v>76</v>
      </c>
      <c r="N799" t="s">
        <v>76</v>
      </c>
      <c r="O799" t="s">
        <v>77</v>
      </c>
      <c r="P799" t="s">
        <v>76</v>
      </c>
      <c r="S799" t="s">
        <v>2569</v>
      </c>
    </row>
    <row r="800" spans="1:19" x14ac:dyDescent="0.3">
      <c r="A800" t="s">
        <v>2570</v>
      </c>
      <c r="B800" t="s">
        <v>2571</v>
      </c>
      <c r="C800" t="s">
        <v>24</v>
      </c>
      <c r="D800" t="s">
        <v>63</v>
      </c>
      <c r="E800" t="s">
        <v>331</v>
      </c>
      <c r="F800" t="s">
        <v>144</v>
      </c>
      <c r="G800" t="s">
        <v>2572</v>
      </c>
      <c r="H800" t="s">
        <v>213</v>
      </c>
      <c r="I800">
        <v>0</v>
      </c>
      <c r="J800">
        <v>0</v>
      </c>
      <c r="K800">
        <v>3.616589916052293E-4</v>
      </c>
      <c r="L800">
        <v>1.893973829826823E-4</v>
      </c>
      <c r="M800" t="s">
        <v>76</v>
      </c>
      <c r="N800" t="s">
        <v>76</v>
      </c>
      <c r="O800" t="s">
        <v>77</v>
      </c>
      <c r="P800" t="s">
        <v>76</v>
      </c>
      <c r="S800" t="s">
        <v>2571</v>
      </c>
    </row>
    <row r="801" spans="1:19" x14ac:dyDescent="0.3">
      <c r="A801" t="s">
        <v>2573</v>
      </c>
      <c r="B801" t="s">
        <v>2574</v>
      </c>
      <c r="C801" t="s">
        <v>24</v>
      </c>
      <c r="D801" t="s">
        <v>63</v>
      </c>
      <c r="E801" t="s">
        <v>524</v>
      </c>
      <c r="F801" t="s">
        <v>55</v>
      </c>
      <c r="G801" t="s">
        <v>2575</v>
      </c>
      <c r="H801" t="s">
        <v>213</v>
      </c>
      <c r="I801">
        <v>0</v>
      </c>
      <c r="J801">
        <v>0</v>
      </c>
      <c r="K801">
        <v>3.2878090145926908E-4</v>
      </c>
      <c r="L801">
        <v>1.7217943907514989E-4</v>
      </c>
      <c r="M801" t="s">
        <v>76</v>
      </c>
      <c r="N801" t="s">
        <v>76</v>
      </c>
      <c r="O801" t="s">
        <v>77</v>
      </c>
      <c r="P801" t="s">
        <v>76</v>
      </c>
      <c r="S801" t="s">
        <v>2574</v>
      </c>
    </row>
    <row r="802" spans="1:19" x14ac:dyDescent="0.3">
      <c r="A802" t="s">
        <v>2576</v>
      </c>
      <c r="B802" t="s">
        <v>2577</v>
      </c>
      <c r="C802" t="s">
        <v>73</v>
      </c>
      <c r="D802" t="s">
        <v>63</v>
      </c>
      <c r="E802" t="s">
        <v>74</v>
      </c>
      <c r="F802" t="s">
        <v>73</v>
      </c>
      <c r="G802" t="s">
        <v>2578</v>
      </c>
      <c r="H802" t="s">
        <v>213</v>
      </c>
      <c r="I802">
        <v>0</v>
      </c>
      <c r="J802">
        <v>0</v>
      </c>
      <c r="K802">
        <v>3.2878090145882499E-4</v>
      </c>
      <c r="L802">
        <v>1.721794390749173E-4</v>
      </c>
      <c r="M802" t="s">
        <v>76</v>
      </c>
      <c r="N802" t="s">
        <v>76</v>
      </c>
      <c r="O802" t="s">
        <v>77</v>
      </c>
      <c r="P802" t="s">
        <v>76</v>
      </c>
      <c r="S802" t="s">
        <v>2577</v>
      </c>
    </row>
    <row r="803" spans="1:19" x14ac:dyDescent="0.3">
      <c r="A803" t="s">
        <v>2579</v>
      </c>
      <c r="B803" t="s">
        <v>2580</v>
      </c>
      <c r="C803" t="s">
        <v>24</v>
      </c>
      <c r="D803" t="s">
        <v>35</v>
      </c>
      <c r="E803" t="s">
        <v>44</v>
      </c>
      <c r="F803" t="s">
        <v>24</v>
      </c>
      <c r="G803" t="s">
        <v>2581</v>
      </c>
      <c r="H803" t="s">
        <v>213</v>
      </c>
      <c r="I803">
        <v>0</v>
      </c>
      <c r="J803">
        <v>0</v>
      </c>
      <c r="K803">
        <v>2.6302472116701558E-4</v>
      </c>
      <c r="L803">
        <v>1.3774355125991059E-4</v>
      </c>
      <c r="M803" t="s">
        <v>76</v>
      </c>
      <c r="N803" t="s">
        <v>76</v>
      </c>
      <c r="O803" t="s">
        <v>77</v>
      </c>
      <c r="P803" t="s">
        <v>76</v>
      </c>
      <c r="S803" t="s">
        <v>2580</v>
      </c>
    </row>
    <row r="804" spans="1:19" x14ac:dyDescent="0.3">
      <c r="A804" t="s">
        <v>2582</v>
      </c>
      <c r="B804" t="s">
        <v>2583</v>
      </c>
      <c r="C804" t="s">
        <v>24</v>
      </c>
      <c r="D804" t="s">
        <v>35</v>
      </c>
      <c r="E804" t="s">
        <v>128</v>
      </c>
      <c r="F804" t="s">
        <v>55</v>
      </c>
      <c r="G804" t="s">
        <v>2582</v>
      </c>
      <c r="H804" t="s">
        <v>213</v>
      </c>
      <c r="I804">
        <v>0</v>
      </c>
      <c r="J804">
        <v>0</v>
      </c>
      <c r="K804">
        <v>2.3014663102138841E-4</v>
      </c>
      <c r="L804">
        <v>1.205256073525526E-4</v>
      </c>
      <c r="M804" t="s">
        <v>76</v>
      </c>
      <c r="N804" t="s">
        <v>76</v>
      </c>
      <c r="O804" t="s">
        <v>77</v>
      </c>
      <c r="P804" t="s">
        <v>76</v>
      </c>
      <c r="S804" t="s">
        <v>2583</v>
      </c>
    </row>
    <row r="805" spans="1:19" x14ac:dyDescent="0.3">
      <c r="A805" t="s">
        <v>2584</v>
      </c>
      <c r="B805" t="s">
        <v>2585</v>
      </c>
      <c r="C805" t="s">
        <v>24</v>
      </c>
      <c r="D805" t="s">
        <v>63</v>
      </c>
      <c r="E805" t="s">
        <v>74</v>
      </c>
      <c r="F805" t="s">
        <v>55</v>
      </c>
      <c r="G805" t="s">
        <v>2584</v>
      </c>
      <c r="H805" t="s">
        <v>213</v>
      </c>
      <c r="I805">
        <v>0</v>
      </c>
      <c r="J805">
        <v>0</v>
      </c>
      <c r="K805">
        <v>1.9726854087587231E-4</v>
      </c>
      <c r="L805">
        <v>1.0330766344525269E-4</v>
      </c>
      <c r="M805" t="s">
        <v>76</v>
      </c>
      <c r="N805" t="s">
        <v>76</v>
      </c>
      <c r="O805" t="s">
        <v>77</v>
      </c>
      <c r="P805" t="s">
        <v>76</v>
      </c>
      <c r="S805" t="s">
        <v>2585</v>
      </c>
    </row>
    <row r="806" spans="1:19" x14ac:dyDescent="0.3">
      <c r="A806" t="s">
        <v>2586</v>
      </c>
      <c r="B806" t="s">
        <v>2587</v>
      </c>
      <c r="C806" t="s">
        <v>228</v>
      </c>
      <c r="D806" t="s">
        <v>63</v>
      </c>
      <c r="E806" t="s">
        <v>74</v>
      </c>
      <c r="F806" t="s">
        <v>228</v>
      </c>
      <c r="G806" t="s">
        <v>2588</v>
      </c>
      <c r="H806" t="s">
        <v>75</v>
      </c>
      <c r="I806">
        <v>0</v>
      </c>
      <c r="J806">
        <v>2.5624499809763713E-4</v>
      </c>
      <c r="K806">
        <v>0</v>
      </c>
      <c r="L806">
        <v>8.6089719537600409E-5</v>
      </c>
      <c r="M806" t="s">
        <v>76</v>
      </c>
      <c r="N806" t="s">
        <v>76</v>
      </c>
      <c r="O806" t="s">
        <v>77</v>
      </c>
      <c r="P806" t="s">
        <v>76</v>
      </c>
      <c r="S806" t="s">
        <v>2587</v>
      </c>
    </row>
    <row r="807" spans="1:19" x14ac:dyDescent="0.3">
      <c r="A807" t="s">
        <v>2589</v>
      </c>
      <c r="B807" t="s">
        <v>2590</v>
      </c>
      <c r="C807" t="s">
        <v>24</v>
      </c>
      <c r="D807" t="s">
        <v>63</v>
      </c>
      <c r="E807" t="s">
        <v>74</v>
      </c>
      <c r="F807" t="s">
        <v>24</v>
      </c>
      <c r="H807" t="s">
        <v>213</v>
      </c>
      <c r="I807">
        <v>0</v>
      </c>
      <c r="J807">
        <v>0</v>
      </c>
      <c r="K807">
        <v>9.8634270437769622E-5</v>
      </c>
      <c r="L807">
        <v>5.1653831722539143E-5</v>
      </c>
      <c r="M807" t="s">
        <v>76</v>
      </c>
      <c r="N807" t="s">
        <v>76</v>
      </c>
      <c r="O807" t="s">
        <v>77</v>
      </c>
      <c r="P807" t="s">
        <v>76</v>
      </c>
      <c r="S807" t="s">
        <v>2590</v>
      </c>
    </row>
    <row r="808" spans="1:19" x14ac:dyDescent="0.3">
      <c r="A808" t="s">
        <v>2591</v>
      </c>
      <c r="B808" t="s">
        <v>2592</v>
      </c>
      <c r="C808" t="s">
        <v>73</v>
      </c>
      <c r="D808" t="s">
        <v>63</v>
      </c>
      <c r="E808" t="s">
        <v>74</v>
      </c>
      <c r="F808" t="s">
        <v>73</v>
      </c>
      <c r="G808" t="s">
        <v>2593</v>
      </c>
      <c r="H808" t="s">
        <v>213</v>
      </c>
      <c r="I808">
        <v>0</v>
      </c>
      <c r="J808">
        <v>0</v>
      </c>
      <c r="K808">
        <v>6.5756180291809407E-5</v>
      </c>
      <c r="L808">
        <v>3.4435887815006717E-5</v>
      </c>
      <c r="M808" t="s">
        <v>76</v>
      </c>
      <c r="N808" t="s">
        <v>76</v>
      </c>
      <c r="O808" t="s">
        <v>77</v>
      </c>
      <c r="P808" t="s">
        <v>76</v>
      </c>
      <c r="S808" t="s">
        <v>2592</v>
      </c>
    </row>
    <row r="809" spans="1:19" x14ac:dyDescent="0.3">
      <c r="A809" t="s">
        <v>2594</v>
      </c>
      <c r="B809" t="s">
        <v>2595</v>
      </c>
      <c r="C809" t="s">
        <v>73</v>
      </c>
      <c r="D809" t="s">
        <v>63</v>
      </c>
      <c r="E809" t="s">
        <v>74</v>
      </c>
      <c r="F809" t="s">
        <v>73</v>
      </c>
      <c r="G809" t="s">
        <v>2594</v>
      </c>
      <c r="H809" t="s">
        <v>213</v>
      </c>
      <c r="I809">
        <v>0</v>
      </c>
      <c r="J809">
        <v>0</v>
      </c>
      <c r="K809">
        <v>3.2878090146071237E-5</v>
      </c>
      <c r="L809">
        <v>1.7217943907590569E-5</v>
      </c>
      <c r="M809" t="s">
        <v>76</v>
      </c>
      <c r="N809" t="s">
        <v>76</v>
      </c>
      <c r="O809" t="s">
        <v>77</v>
      </c>
      <c r="P809" t="s">
        <v>76</v>
      </c>
      <c r="S809" t="s">
        <v>2595</v>
      </c>
    </row>
    <row r="810" spans="1:19" x14ac:dyDescent="0.3">
      <c r="A810" t="s">
        <v>2596</v>
      </c>
      <c r="B810" t="s">
        <v>2597</v>
      </c>
      <c r="C810" t="s">
        <v>24</v>
      </c>
      <c r="D810" t="s">
        <v>35</v>
      </c>
      <c r="E810" t="s">
        <v>560</v>
      </c>
      <c r="F810" t="s">
        <v>144</v>
      </c>
      <c r="G810" t="s">
        <v>2598</v>
      </c>
      <c r="H810" t="s">
        <v>26</v>
      </c>
      <c r="I810">
        <v>0</v>
      </c>
      <c r="J810">
        <v>0</v>
      </c>
      <c r="K810">
        <v>1.110223024625157E-16</v>
      </c>
      <c r="L810">
        <v>5.8141326573361581E-17</v>
      </c>
      <c r="M810" t="s">
        <v>76</v>
      </c>
      <c r="N810" t="s">
        <v>76</v>
      </c>
      <c r="O810" t="s">
        <v>77</v>
      </c>
      <c r="P810" t="s">
        <v>76</v>
      </c>
      <c r="S810" t="s">
        <v>2597</v>
      </c>
    </row>
    <row r="811" spans="1:19" x14ac:dyDescent="0.3">
      <c r="A811" t="s">
        <v>2599</v>
      </c>
      <c r="B811" t="s">
        <v>2600</v>
      </c>
      <c r="E811" t="s">
        <v>54</v>
      </c>
      <c r="F811" t="s">
        <v>1605</v>
      </c>
      <c r="G811" t="s">
        <v>43</v>
      </c>
      <c r="H811" t="s">
        <v>26</v>
      </c>
      <c r="I811">
        <v>0</v>
      </c>
      <c r="J811">
        <v>0</v>
      </c>
      <c r="K811">
        <v>1.110223024625157E-16</v>
      </c>
      <c r="L811">
        <v>5.8141326573361581E-17</v>
      </c>
      <c r="M811" t="s">
        <v>76</v>
      </c>
      <c r="N811" t="s">
        <v>76</v>
      </c>
      <c r="O811" t="s">
        <v>77</v>
      </c>
      <c r="P811" t="s">
        <v>76</v>
      </c>
      <c r="S811" t="s">
        <v>2600</v>
      </c>
    </row>
    <row r="812" spans="1:19" x14ac:dyDescent="0.3">
      <c r="A812" t="s">
        <v>2601</v>
      </c>
      <c r="B812" t="s">
        <v>2602</v>
      </c>
      <c r="C812" t="s">
        <v>43</v>
      </c>
      <c r="D812" t="s">
        <v>63</v>
      </c>
      <c r="E812" t="s">
        <v>74</v>
      </c>
      <c r="F812" t="s">
        <v>45</v>
      </c>
      <c r="G812" t="s">
        <v>43</v>
      </c>
      <c r="H812" t="s">
        <v>26</v>
      </c>
      <c r="I812">
        <v>0</v>
      </c>
      <c r="J812">
        <v>0</v>
      </c>
      <c r="K812">
        <v>0</v>
      </c>
      <c r="L812">
        <v>0</v>
      </c>
      <c r="M812" t="s">
        <v>76</v>
      </c>
      <c r="N812" t="s">
        <v>76</v>
      </c>
      <c r="O812" t="s">
        <v>77</v>
      </c>
      <c r="P812" t="s">
        <v>76</v>
      </c>
      <c r="S812" t="s">
        <v>2602</v>
      </c>
    </row>
    <row r="813" spans="1:19" x14ac:dyDescent="0.3">
      <c r="A813" t="s">
        <v>2603</v>
      </c>
      <c r="B813" t="s">
        <v>2604</v>
      </c>
      <c r="C813" t="s">
        <v>43</v>
      </c>
      <c r="D813" t="s">
        <v>63</v>
      </c>
      <c r="E813" t="s">
        <v>74</v>
      </c>
      <c r="F813" t="s">
        <v>45</v>
      </c>
      <c r="G813" t="s">
        <v>43</v>
      </c>
      <c r="H813" t="s">
        <v>26</v>
      </c>
      <c r="I813">
        <v>0</v>
      </c>
      <c r="J813">
        <v>0</v>
      </c>
      <c r="K813">
        <v>0</v>
      </c>
      <c r="L813">
        <v>0</v>
      </c>
      <c r="M813" t="s">
        <v>76</v>
      </c>
      <c r="N813" t="s">
        <v>76</v>
      </c>
      <c r="O813" t="s">
        <v>77</v>
      </c>
      <c r="P813" t="s">
        <v>76</v>
      </c>
      <c r="S813" t="s">
        <v>2604</v>
      </c>
    </row>
    <row r="814" spans="1:19" x14ac:dyDescent="0.3">
      <c r="A814" t="s">
        <v>2605</v>
      </c>
      <c r="B814" t="s">
        <v>2606</v>
      </c>
      <c r="C814" t="s">
        <v>43</v>
      </c>
      <c r="D814" t="s">
        <v>63</v>
      </c>
      <c r="E814" t="s">
        <v>74</v>
      </c>
      <c r="F814" t="s">
        <v>45</v>
      </c>
      <c r="G814" t="s">
        <v>43</v>
      </c>
      <c r="H814" t="s">
        <v>26</v>
      </c>
      <c r="I814">
        <v>0</v>
      </c>
      <c r="J814">
        <v>0</v>
      </c>
      <c r="K814">
        <v>0</v>
      </c>
      <c r="L814">
        <v>0</v>
      </c>
      <c r="M814" t="s">
        <v>76</v>
      </c>
      <c r="N814" t="s">
        <v>76</v>
      </c>
      <c r="O814" t="s">
        <v>77</v>
      </c>
      <c r="P814" t="s">
        <v>76</v>
      </c>
      <c r="S814" t="s">
        <v>2606</v>
      </c>
    </row>
    <row r="815" spans="1:19" x14ac:dyDescent="0.3">
      <c r="A815" t="s">
        <v>2607</v>
      </c>
      <c r="B815" t="s">
        <v>2608</v>
      </c>
      <c r="C815" t="s">
        <v>114</v>
      </c>
      <c r="D815" t="s">
        <v>63</v>
      </c>
      <c r="E815" t="s">
        <v>74</v>
      </c>
      <c r="F815" t="s">
        <v>114</v>
      </c>
      <c r="G815" t="s">
        <v>115</v>
      </c>
      <c r="H815" t="s">
        <v>75</v>
      </c>
      <c r="I815">
        <v>0</v>
      </c>
      <c r="J815">
        <v>0</v>
      </c>
      <c r="K815">
        <v>0</v>
      </c>
      <c r="L815">
        <v>0</v>
      </c>
      <c r="M815" t="s">
        <v>76</v>
      </c>
      <c r="N815" t="s">
        <v>76</v>
      </c>
      <c r="O815" t="s">
        <v>77</v>
      </c>
      <c r="P815" t="s">
        <v>76</v>
      </c>
      <c r="S815" t="s">
        <v>2608</v>
      </c>
    </row>
    <row r="816" spans="1:19" x14ac:dyDescent="0.3">
      <c r="A816" t="s">
        <v>2609</v>
      </c>
      <c r="B816" t="s">
        <v>2610</v>
      </c>
      <c r="C816" t="s">
        <v>24</v>
      </c>
      <c r="D816" t="s">
        <v>63</v>
      </c>
      <c r="E816" t="s">
        <v>74</v>
      </c>
      <c r="F816" t="s">
        <v>55</v>
      </c>
      <c r="G816" t="s">
        <v>904</v>
      </c>
      <c r="H816" t="s">
        <v>26</v>
      </c>
      <c r="I816">
        <v>0</v>
      </c>
      <c r="J816">
        <v>0</v>
      </c>
      <c r="K816">
        <v>0</v>
      </c>
      <c r="L816">
        <v>0</v>
      </c>
      <c r="M816" t="s">
        <v>76</v>
      </c>
      <c r="N816" t="s">
        <v>76</v>
      </c>
      <c r="O816" t="s">
        <v>77</v>
      </c>
      <c r="P816" t="s">
        <v>76</v>
      </c>
      <c r="S816" t="s">
        <v>2610</v>
      </c>
    </row>
    <row r="817" spans="1:19" x14ac:dyDescent="0.3">
      <c r="A817" t="s">
        <v>2611</v>
      </c>
      <c r="B817" t="s">
        <v>2612</v>
      </c>
      <c r="C817" t="s">
        <v>21</v>
      </c>
      <c r="D817" t="s">
        <v>35</v>
      </c>
      <c r="E817" t="s">
        <v>150</v>
      </c>
      <c r="F817" t="s">
        <v>24</v>
      </c>
      <c r="G817" t="s">
        <v>21</v>
      </c>
      <c r="H817" t="s">
        <v>26</v>
      </c>
      <c r="I817">
        <v>0</v>
      </c>
      <c r="J817">
        <v>0</v>
      </c>
      <c r="K817">
        <v>0</v>
      </c>
      <c r="L817">
        <v>0</v>
      </c>
      <c r="M817" t="s">
        <v>76</v>
      </c>
      <c r="N817" t="s">
        <v>76</v>
      </c>
      <c r="O817" t="s">
        <v>77</v>
      </c>
      <c r="P817" t="s">
        <v>76</v>
      </c>
      <c r="S817" t="s">
        <v>2612</v>
      </c>
    </row>
    <row r="818" spans="1:19" x14ac:dyDescent="0.3">
      <c r="A818" t="s">
        <v>2613</v>
      </c>
      <c r="B818" t="s">
        <v>2614</v>
      </c>
      <c r="C818" t="s">
        <v>21</v>
      </c>
      <c r="D818" t="s">
        <v>35</v>
      </c>
      <c r="E818" t="s">
        <v>36</v>
      </c>
      <c r="F818" t="s">
        <v>24</v>
      </c>
      <c r="G818" t="s">
        <v>21</v>
      </c>
      <c r="H818" t="s">
        <v>26</v>
      </c>
      <c r="I818">
        <v>0</v>
      </c>
      <c r="J818">
        <v>0</v>
      </c>
      <c r="K818">
        <v>0</v>
      </c>
      <c r="L818">
        <v>0</v>
      </c>
      <c r="M818" t="s">
        <v>121</v>
      </c>
      <c r="N818" t="s">
        <v>122</v>
      </c>
      <c r="O818" t="s">
        <v>123</v>
      </c>
      <c r="P818" t="s">
        <v>124</v>
      </c>
      <c r="Q818" t="s">
        <v>2114</v>
      </c>
      <c r="R818" t="s">
        <v>2115</v>
      </c>
      <c r="S818" t="s">
        <v>2614</v>
      </c>
    </row>
    <row r="819" spans="1:19" x14ac:dyDescent="0.3">
      <c r="A819" t="s">
        <v>2615</v>
      </c>
      <c r="B819" t="s">
        <v>2616</v>
      </c>
      <c r="C819" t="s">
        <v>43</v>
      </c>
      <c r="D819" t="s">
        <v>63</v>
      </c>
      <c r="E819" t="s">
        <v>74</v>
      </c>
      <c r="F819" t="s">
        <v>45</v>
      </c>
      <c r="G819" t="s">
        <v>43</v>
      </c>
      <c r="H819" t="s">
        <v>26</v>
      </c>
      <c r="I819">
        <v>0</v>
      </c>
      <c r="J819">
        <v>0</v>
      </c>
      <c r="K819">
        <v>0</v>
      </c>
      <c r="L819">
        <v>0</v>
      </c>
      <c r="M819" t="s">
        <v>76</v>
      </c>
      <c r="N819" t="s">
        <v>76</v>
      </c>
      <c r="O819" t="s">
        <v>77</v>
      </c>
      <c r="P819" t="s">
        <v>76</v>
      </c>
      <c r="S819" t="s">
        <v>2616</v>
      </c>
    </row>
    <row r="820" spans="1:19" x14ac:dyDescent="0.3">
      <c r="A820" t="s">
        <v>2617</v>
      </c>
      <c r="B820" t="s">
        <v>2618</v>
      </c>
      <c r="C820" t="s">
        <v>43</v>
      </c>
      <c r="D820" t="s">
        <v>63</v>
      </c>
      <c r="E820" t="s">
        <v>64</v>
      </c>
      <c r="F820" t="s">
        <v>45</v>
      </c>
      <c r="G820" t="s">
        <v>43</v>
      </c>
      <c r="H820" t="s">
        <v>26</v>
      </c>
      <c r="I820">
        <v>0</v>
      </c>
      <c r="J820">
        <v>0</v>
      </c>
      <c r="K820">
        <v>0</v>
      </c>
      <c r="L820">
        <v>0</v>
      </c>
      <c r="M820" t="s">
        <v>76</v>
      </c>
      <c r="N820" t="s">
        <v>76</v>
      </c>
      <c r="O820" t="s">
        <v>77</v>
      </c>
      <c r="P820" t="s">
        <v>76</v>
      </c>
      <c r="S820" t="s">
        <v>2618</v>
      </c>
    </row>
    <row r="821" spans="1:19" x14ac:dyDescent="0.3">
      <c r="A821" t="s">
        <v>2619</v>
      </c>
      <c r="B821" t="s">
        <v>2620</v>
      </c>
      <c r="C821" t="s">
        <v>43</v>
      </c>
      <c r="D821" t="s">
        <v>63</v>
      </c>
      <c r="E821" t="s">
        <v>74</v>
      </c>
      <c r="F821" t="s">
        <v>45</v>
      </c>
      <c r="G821" t="s">
        <v>43</v>
      </c>
      <c r="H821" t="s">
        <v>26</v>
      </c>
      <c r="I821">
        <v>0</v>
      </c>
      <c r="J821">
        <v>0</v>
      </c>
      <c r="K821">
        <v>0</v>
      </c>
      <c r="L821">
        <v>0</v>
      </c>
      <c r="M821" t="s">
        <v>76</v>
      </c>
      <c r="N821" t="s">
        <v>76</v>
      </c>
      <c r="O821" t="s">
        <v>77</v>
      </c>
      <c r="P821" t="s">
        <v>76</v>
      </c>
      <c r="S821" t="s">
        <v>2620</v>
      </c>
    </row>
    <row r="822" spans="1:19" x14ac:dyDescent="0.3">
      <c r="A822" t="s">
        <v>2621</v>
      </c>
      <c r="B822" t="s">
        <v>2622</v>
      </c>
      <c r="C822" t="s">
        <v>21</v>
      </c>
      <c r="D822" t="s">
        <v>63</v>
      </c>
      <c r="E822" t="s">
        <v>74</v>
      </c>
      <c r="F822" t="s">
        <v>24</v>
      </c>
      <c r="G822" t="s">
        <v>21</v>
      </c>
      <c r="H822" t="s">
        <v>26</v>
      </c>
      <c r="I822">
        <v>0</v>
      </c>
      <c r="J822">
        <v>0</v>
      </c>
      <c r="K822">
        <v>0</v>
      </c>
      <c r="L822">
        <v>0</v>
      </c>
      <c r="M822" t="s">
        <v>76</v>
      </c>
      <c r="N822" t="s">
        <v>76</v>
      </c>
      <c r="O822" t="s">
        <v>77</v>
      </c>
      <c r="P822" t="s">
        <v>76</v>
      </c>
      <c r="S822" t="s">
        <v>2622</v>
      </c>
    </row>
    <row r="823" spans="1:19" x14ac:dyDescent="0.3">
      <c r="A823" t="s">
        <v>561</v>
      </c>
      <c r="B823" t="s">
        <v>2623</v>
      </c>
      <c r="C823" t="s">
        <v>45</v>
      </c>
      <c r="D823" t="s">
        <v>35</v>
      </c>
      <c r="E823" t="s">
        <v>80</v>
      </c>
      <c r="F823" t="s">
        <v>45</v>
      </c>
      <c r="G823" t="s">
        <v>561</v>
      </c>
      <c r="H823" t="s">
        <v>26</v>
      </c>
      <c r="I823">
        <v>0</v>
      </c>
      <c r="J823">
        <v>0</v>
      </c>
      <c r="K823">
        <v>0</v>
      </c>
      <c r="L823">
        <v>0</v>
      </c>
      <c r="M823" t="s">
        <v>76</v>
      </c>
      <c r="N823" t="s">
        <v>76</v>
      </c>
      <c r="O823" t="s">
        <v>77</v>
      </c>
      <c r="P823" t="s">
        <v>76</v>
      </c>
      <c r="S823" t="s">
        <v>2623</v>
      </c>
    </row>
    <row r="824" spans="1:19" x14ac:dyDescent="0.3">
      <c r="A824" t="s">
        <v>2624</v>
      </c>
      <c r="B824" t="s">
        <v>2625</v>
      </c>
      <c r="C824" t="s">
        <v>21</v>
      </c>
      <c r="D824" t="s">
        <v>63</v>
      </c>
      <c r="E824" t="s">
        <v>74</v>
      </c>
      <c r="F824" t="s">
        <v>24</v>
      </c>
      <c r="G824" t="s">
        <v>21</v>
      </c>
      <c r="H824" t="s">
        <v>26</v>
      </c>
      <c r="I824">
        <v>0</v>
      </c>
      <c r="J824">
        <v>0</v>
      </c>
      <c r="K824">
        <v>0</v>
      </c>
      <c r="L824">
        <v>0</v>
      </c>
      <c r="M824" t="s">
        <v>76</v>
      </c>
      <c r="N824" t="s">
        <v>76</v>
      </c>
      <c r="O824" t="s">
        <v>77</v>
      </c>
      <c r="P824" t="s">
        <v>76</v>
      </c>
      <c r="S824" t="s">
        <v>2625</v>
      </c>
    </row>
    <row r="825" spans="1:19" x14ac:dyDescent="0.3">
      <c r="A825" t="s">
        <v>2626</v>
      </c>
      <c r="B825" t="s">
        <v>2627</v>
      </c>
      <c r="C825" t="s">
        <v>21</v>
      </c>
      <c r="D825" t="s">
        <v>63</v>
      </c>
      <c r="E825" t="s">
        <v>74</v>
      </c>
      <c r="F825" t="s">
        <v>24</v>
      </c>
      <c r="G825" t="s">
        <v>21</v>
      </c>
      <c r="H825" t="s">
        <v>26</v>
      </c>
      <c r="I825">
        <v>0</v>
      </c>
      <c r="J825">
        <v>0</v>
      </c>
      <c r="K825">
        <v>0</v>
      </c>
      <c r="L825">
        <v>0</v>
      </c>
      <c r="M825" t="s">
        <v>76</v>
      </c>
      <c r="N825" t="s">
        <v>76</v>
      </c>
      <c r="O825" t="s">
        <v>77</v>
      </c>
      <c r="P825" t="s">
        <v>76</v>
      </c>
      <c r="S825" t="s">
        <v>2627</v>
      </c>
    </row>
    <row r="826" spans="1:19" x14ac:dyDescent="0.3">
      <c r="A826" t="s">
        <v>2628</v>
      </c>
      <c r="B826" t="s">
        <v>2629</v>
      </c>
      <c r="C826" t="s">
        <v>43</v>
      </c>
      <c r="D826" t="s">
        <v>63</v>
      </c>
      <c r="E826" t="s">
        <v>2630</v>
      </c>
      <c r="F826" t="s">
        <v>45</v>
      </c>
      <c r="G826" t="s">
        <v>43</v>
      </c>
      <c r="H826" t="s">
        <v>26</v>
      </c>
      <c r="I826">
        <v>0</v>
      </c>
      <c r="J826">
        <v>0</v>
      </c>
      <c r="K826">
        <v>0</v>
      </c>
      <c r="L826">
        <v>0</v>
      </c>
      <c r="M826" t="s">
        <v>76</v>
      </c>
      <c r="N826" t="s">
        <v>76</v>
      </c>
      <c r="O826" t="s">
        <v>77</v>
      </c>
      <c r="P826" t="s">
        <v>76</v>
      </c>
      <c r="S826" t="s">
        <v>2629</v>
      </c>
    </row>
    <row r="827" spans="1:19" x14ac:dyDescent="0.3">
      <c r="A827" t="s">
        <v>2631</v>
      </c>
      <c r="B827" t="s">
        <v>2632</v>
      </c>
      <c r="C827" t="s">
        <v>21</v>
      </c>
      <c r="D827" t="s">
        <v>63</v>
      </c>
      <c r="E827" t="s">
        <v>74</v>
      </c>
      <c r="F827" t="s">
        <v>24</v>
      </c>
      <c r="G827" t="s">
        <v>21</v>
      </c>
      <c r="H827" t="s">
        <v>26</v>
      </c>
      <c r="I827">
        <v>0</v>
      </c>
      <c r="J827">
        <v>0</v>
      </c>
      <c r="K827">
        <v>0</v>
      </c>
      <c r="L827">
        <v>0</v>
      </c>
      <c r="M827" t="s">
        <v>76</v>
      </c>
      <c r="N827" t="s">
        <v>76</v>
      </c>
      <c r="O827" t="s">
        <v>77</v>
      </c>
      <c r="P827" t="s">
        <v>76</v>
      </c>
      <c r="S827" t="s">
        <v>2632</v>
      </c>
    </row>
    <row r="828" spans="1:19" x14ac:dyDescent="0.3">
      <c r="A828" t="s">
        <v>2633</v>
      </c>
      <c r="B828" t="s">
        <v>2634</v>
      </c>
      <c r="C828" t="s">
        <v>24</v>
      </c>
      <c r="D828" t="s">
        <v>35</v>
      </c>
      <c r="E828" t="s">
        <v>80</v>
      </c>
      <c r="F828" t="s">
        <v>24</v>
      </c>
      <c r="G828" t="s">
        <v>2635</v>
      </c>
      <c r="H828" t="s">
        <v>26</v>
      </c>
      <c r="I828">
        <v>0</v>
      </c>
      <c r="J828">
        <v>0</v>
      </c>
      <c r="K828">
        <v>0</v>
      </c>
      <c r="L828">
        <v>0</v>
      </c>
      <c r="M828" t="s">
        <v>76</v>
      </c>
      <c r="N828" t="s">
        <v>76</v>
      </c>
      <c r="O828" t="s">
        <v>77</v>
      </c>
      <c r="P828" t="s">
        <v>76</v>
      </c>
      <c r="S828" t="s">
        <v>2634</v>
      </c>
    </row>
    <row r="829" spans="1:19" x14ac:dyDescent="0.3">
      <c r="A829" t="s">
        <v>2636</v>
      </c>
      <c r="B829" t="s">
        <v>2637</v>
      </c>
      <c r="C829" t="s">
        <v>43</v>
      </c>
      <c r="D829" t="s">
        <v>63</v>
      </c>
      <c r="E829" t="s">
        <v>64</v>
      </c>
      <c r="F829" t="s">
        <v>45</v>
      </c>
      <c r="G829" t="s">
        <v>43</v>
      </c>
      <c r="H829" t="s">
        <v>26</v>
      </c>
      <c r="I829">
        <v>0</v>
      </c>
      <c r="J829">
        <v>0</v>
      </c>
      <c r="K829">
        <v>0</v>
      </c>
      <c r="L829">
        <v>0</v>
      </c>
      <c r="M829" t="s">
        <v>76</v>
      </c>
      <c r="N829" t="s">
        <v>76</v>
      </c>
      <c r="O829" t="s">
        <v>77</v>
      </c>
      <c r="P829" t="s">
        <v>76</v>
      </c>
      <c r="S829" t="s">
        <v>2637</v>
      </c>
    </row>
    <row r="830" spans="1:19" x14ac:dyDescent="0.3">
      <c r="A830" t="s">
        <v>2638</v>
      </c>
      <c r="B830" t="s">
        <v>2639</v>
      </c>
      <c r="C830" t="s">
        <v>43</v>
      </c>
      <c r="D830" t="s">
        <v>35</v>
      </c>
      <c r="E830" t="s">
        <v>36</v>
      </c>
      <c r="F830" t="s">
        <v>45</v>
      </c>
      <c r="G830" t="s">
        <v>43</v>
      </c>
      <c r="H830" t="s">
        <v>26</v>
      </c>
      <c r="I830">
        <v>0</v>
      </c>
      <c r="J830">
        <v>0</v>
      </c>
      <c r="K830">
        <v>0</v>
      </c>
      <c r="L830">
        <v>0</v>
      </c>
      <c r="M830" t="s">
        <v>76</v>
      </c>
      <c r="N830" t="s">
        <v>76</v>
      </c>
      <c r="O830" t="s">
        <v>77</v>
      </c>
      <c r="P830" t="s">
        <v>76</v>
      </c>
      <c r="S830" t="s">
        <v>2639</v>
      </c>
    </row>
    <row r="831" spans="1:19" x14ac:dyDescent="0.3">
      <c r="A831" t="s">
        <v>2640</v>
      </c>
      <c r="B831" t="s">
        <v>2641</v>
      </c>
      <c r="C831" t="s">
        <v>21</v>
      </c>
      <c r="D831" t="s">
        <v>35</v>
      </c>
      <c r="E831" t="s">
        <v>80</v>
      </c>
      <c r="F831" t="s">
        <v>24</v>
      </c>
      <c r="G831" t="s">
        <v>21</v>
      </c>
      <c r="H831" t="s">
        <v>26</v>
      </c>
      <c r="I831">
        <v>0</v>
      </c>
      <c r="J831">
        <v>0</v>
      </c>
      <c r="K831">
        <v>0</v>
      </c>
      <c r="L831">
        <v>0</v>
      </c>
      <c r="M831" t="s">
        <v>76</v>
      </c>
      <c r="N831" t="s">
        <v>76</v>
      </c>
      <c r="O831" t="s">
        <v>77</v>
      </c>
      <c r="P831" t="s">
        <v>76</v>
      </c>
      <c r="S831" t="s">
        <v>2641</v>
      </c>
    </row>
    <row r="832" spans="1:19" x14ac:dyDescent="0.3">
      <c r="A832" t="s">
        <v>2642</v>
      </c>
      <c r="B832" t="s">
        <v>2643</v>
      </c>
      <c r="F832" t="s">
        <v>144</v>
      </c>
      <c r="G832" t="s">
        <v>145</v>
      </c>
      <c r="H832" t="s">
        <v>26</v>
      </c>
      <c r="I832">
        <v>0</v>
      </c>
      <c r="J832">
        <v>0</v>
      </c>
      <c r="K832">
        <v>0</v>
      </c>
      <c r="L832">
        <v>0</v>
      </c>
      <c r="M832" t="s">
        <v>76</v>
      </c>
      <c r="N832" t="s">
        <v>76</v>
      </c>
      <c r="O832" t="s">
        <v>77</v>
      </c>
      <c r="P832" t="s">
        <v>76</v>
      </c>
      <c r="S832" t="s">
        <v>2643</v>
      </c>
    </row>
    <row r="833" spans="1:19" x14ac:dyDescent="0.3">
      <c r="A833" t="s">
        <v>2644</v>
      </c>
      <c r="B833" t="s">
        <v>2645</v>
      </c>
      <c r="F833" t="s">
        <v>1605</v>
      </c>
      <c r="G833" t="s">
        <v>43</v>
      </c>
      <c r="H833" t="s">
        <v>26</v>
      </c>
      <c r="I833">
        <v>0</v>
      </c>
      <c r="J833">
        <v>0</v>
      </c>
      <c r="K833">
        <v>0</v>
      </c>
      <c r="L833">
        <v>0</v>
      </c>
      <c r="M833" t="s">
        <v>76</v>
      </c>
      <c r="N833" t="s">
        <v>76</v>
      </c>
      <c r="O833" t="s">
        <v>77</v>
      </c>
      <c r="P833" t="s">
        <v>76</v>
      </c>
      <c r="S833" t="s">
        <v>2645</v>
      </c>
    </row>
    <row r="834" spans="1:19" x14ac:dyDescent="0.3">
      <c r="A834" t="s">
        <v>2646</v>
      </c>
      <c r="B834" t="s">
        <v>2647</v>
      </c>
      <c r="C834" t="s">
        <v>45</v>
      </c>
      <c r="D834" t="s">
        <v>35</v>
      </c>
      <c r="E834" t="s">
        <v>80</v>
      </c>
      <c r="F834" t="s">
        <v>45</v>
      </c>
      <c r="G834" t="s">
        <v>2646</v>
      </c>
      <c r="H834" t="s">
        <v>26</v>
      </c>
      <c r="I834">
        <v>0</v>
      </c>
      <c r="J834">
        <v>0</v>
      </c>
      <c r="K834">
        <v>0</v>
      </c>
      <c r="L834">
        <v>0</v>
      </c>
      <c r="M834" t="s">
        <v>76</v>
      </c>
      <c r="N834" t="s">
        <v>76</v>
      </c>
      <c r="O834" t="s">
        <v>77</v>
      </c>
      <c r="P834" t="s">
        <v>76</v>
      </c>
      <c r="S834" t="s">
        <v>2647</v>
      </c>
    </row>
    <row r="835" spans="1:19" x14ac:dyDescent="0.3">
      <c r="A835" t="s">
        <v>2648</v>
      </c>
      <c r="B835" t="s">
        <v>2649</v>
      </c>
      <c r="C835" t="s">
        <v>21</v>
      </c>
      <c r="D835" t="s">
        <v>35</v>
      </c>
      <c r="E835" t="s">
        <v>36</v>
      </c>
      <c r="F835" t="s">
        <v>24</v>
      </c>
      <c r="G835" t="s">
        <v>21</v>
      </c>
      <c r="H835" t="s">
        <v>26</v>
      </c>
      <c r="I835">
        <v>0</v>
      </c>
      <c r="J835">
        <v>0</v>
      </c>
      <c r="K835">
        <v>0</v>
      </c>
      <c r="L835">
        <v>0</v>
      </c>
      <c r="M835" t="s">
        <v>121</v>
      </c>
      <c r="N835" t="s">
        <v>122</v>
      </c>
      <c r="O835" t="s">
        <v>123</v>
      </c>
      <c r="P835" t="s">
        <v>124</v>
      </c>
      <c r="Q835" t="s">
        <v>2114</v>
      </c>
      <c r="R835" t="s">
        <v>2115</v>
      </c>
      <c r="S835" t="s">
        <v>2649</v>
      </c>
    </row>
    <row r="836" spans="1:19" x14ac:dyDescent="0.3">
      <c r="A836" t="s">
        <v>2650</v>
      </c>
      <c r="B836" t="s">
        <v>2651</v>
      </c>
      <c r="C836" t="s">
        <v>43</v>
      </c>
      <c r="D836" t="s">
        <v>63</v>
      </c>
      <c r="E836" t="s">
        <v>64</v>
      </c>
      <c r="F836" t="s">
        <v>45</v>
      </c>
      <c r="G836" t="s">
        <v>43</v>
      </c>
      <c r="H836" t="s">
        <v>26</v>
      </c>
      <c r="I836">
        <v>0</v>
      </c>
      <c r="J836">
        <v>0</v>
      </c>
      <c r="K836">
        <v>0</v>
      </c>
      <c r="L836">
        <v>0</v>
      </c>
      <c r="M836" t="s">
        <v>76</v>
      </c>
      <c r="N836" t="s">
        <v>76</v>
      </c>
      <c r="O836" t="s">
        <v>77</v>
      </c>
      <c r="P836" t="s">
        <v>76</v>
      </c>
      <c r="S836" t="s">
        <v>2651</v>
      </c>
    </row>
    <row r="837" spans="1:19" x14ac:dyDescent="0.3">
      <c r="A837" t="s">
        <v>2652</v>
      </c>
      <c r="B837" t="s">
        <v>2653</v>
      </c>
      <c r="C837" t="s">
        <v>596</v>
      </c>
      <c r="D837" t="s">
        <v>63</v>
      </c>
      <c r="E837" t="s">
        <v>74</v>
      </c>
      <c r="F837" t="s">
        <v>73</v>
      </c>
      <c r="G837" t="s">
        <v>596</v>
      </c>
      <c r="H837" t="s">
        <v>75</v>
      </c>
      <c r="I837">
        <v>0</v>
      </c>
      <c r="J837">
        <v>0</v>
      </c>
      <c r="K837">
        <v>0</v>
      </c>
      <c r="L837">
        <v>0</v>
      </c>
      <c r="M837" t="s">
        <v>76</v>
      </c>
      <c r="N837" t="s">
        <v>76</v>
      </c>
      <c r="O837" t="s">
        <v>77</v>
      </c>
      <c r="P837" t="s">
        <v>76</v>
      </c>
      <c r="S837" t="s">
        <v>2653</v>
      </c>
    </row>
    <row r="838" spans="1:19" x14ac:dyDescent="0.3">
      <c r="A838" t="s">
        <v>2654</v>
      </c>
      <c r="B838" t="s">
        <v>2655</v>
      </c>
      <c r="C838" t="s">
        <v>43</v>
      </c>
      <c r="D838" t="s">
        <v>35</v>
      </c>
      <c r="E838" t="s">
        <v>36</v>
      </c>
      <c r="F838" t="s">
        <v>45</v>
      </c>
      <c r="G838" t="s">
        <v>43</v>
      </c>
      <c r="H838" t="s">
        <v>26</v>
      </c>
      <c r="I838">
        <v>0</v>
      </c>
      <c r="J838">
        <v>0</v>
      </c>
      <c r="K838">
        <v>0</v>
      </c>
      <c r="L838">
        <v>0</v>
      </c>
      <c r="M838" t="s">
        <v>76</v>
      </c>
      <c r="N838" t="s">
        <v>76</v>
      </c>
      <c r="O838" t="s">
        <v>77</v>
      </c>
      <c r="P838" t="s">
        <v>76</v>
      </c>
      <c r="S838" t="s">
        <v>2655</v>
      </c>
    </row>
    <row r="839" spans="1:19" x14ac:dyDescent="0.3">
      <c r="A839" t="s">
        <v>2656</v>
      </c>
      <c r="B839" t="s">
        <v>2657</v>
      </c>
      <c r="C839" t="s">
        <v>45</v>
      </c>
      <c r="D839" t="s">
        <v>63</v>
      </c>
      <c r="E839" t="s">
        <v>74</v>
      </c>
      <c r="F839" t="s">
        <v>114</v>
      </c>
      <c r="G839" t="s">
        <v>1557</v>
      </c>
      <c r="H839" t="s">
        <v>26</v>
      </c>
      <c r="I839">
        <v>0</v>
      </c>
      <c r="J839">
        <v>0</v>
      </c>
      <c r="K839">
        <v>0</v>
      </c>
      <c r="L839">
        <v>0</v>
      </c>
      <c r="M839" t="s">
        <v>76</v>
      </c>
      <c r="N839" t="s">
        <v>76</v>
      </c>
      <c r="O839" t="s">
        <v>77</v>
      </c>
      <c r="P839" t="s">
        <v>76</v>
      </c>
      <c r="S839" t="s">
        <v>2657</v>
      </c>
    </row>
    <row r="840" spans="1:19" x14ac:dyDescent="0.3">
      <c r="A840" t="s">
        <v>2658</v>
      </c>
      <c r="B840" t="s">
        <v>2659</v>
      </c>
      <c r="C840" t="s">
        <v>21</v>
      </c>
      <c r="D840" t="s">
        <v>63</v>
      </c>
      <c r="E840" t="s">
        <v>64</v>
      </c>
      <c r="F840" t="s">
        <v>24</v>
      </c>
      <c r="G840" t="s">
        <v>21</v>
      </c>
      <c r="H840" t="s">
        <v>26</v>
      </c>
      <c r="I840">
        <v>0</v>
      </c>
      <c r="J840">
        <v>0</v>
      </c>
      <c r="K840">
        <v>0</v>
      </c>
      <c r="L840">
        <v>0</v>
      </c>
      <c r="M840" t="s">
        <v>121</v>
      </c>
      <c r="N840" t="s">
        <v>122</v>
      </c>
      <c r="O840" t="s">
        <v>123</v>
      </c>
      <c r="P840" t="s">
        <v>124</v>
      </c>
      <c r="Q840" t="s">
        <v>2114</v>
      </c>
      <c r="R840" t="s">
        <v>2115</v>
      </c>
      <c r="S840" t="s">
        <v>2659</v>
      </c>
    </row>
    <row r="841" spans="1:19" x14ac:dyDescent="0.3">
      <c r="A841" t="s">
        <v>2660</v>
      </c>
      <c r="B841" t="s">
        <v>2661</v>
      </c>
      <c r="C841" t="s">
        <v>24</v>
      </c>
      <c r="D841" t="s">
        <v>63</v>
      </c>
      <c r="E841" t="s">
        <v>315</v>
      </c>
      <c r="F841" t="s">
        <v>55</v>
      </c>
      <c r="G841" t="s">
        <v>2660</v>
      </c>
      <c r="H841" t="s">
        <v>26</v>
      </c>
      <c r="I841">
        <v>0</v>
      </c>
      <c r="J841">
        <v>0</v>
      </c>
      <c r="K841">
        <v>0</v>
      </c>
      <c r="L841">
        <v>0</v>
      </c>
      <c r="M841" t="s">
        <v>76</v>
      </c>
      <c r="N841" t="s">
        <v>76</v>
      </c>
      <c r="O841" t="s">
        <v>77</v>
      </c>
      <c r="P841" t="s">
        <v>76</v>
      </c>
      <c r="S841" t="s">
        <v>2661</v>
      </c>
    </row>
    <row r="842" spans="1:19" x14ac:dyDescent="0.3">
      <c r="A842" t="s">
        <v>2662</v>
      </c>
      <c r="B842" t="s">
        <v>2663</v>
      </c>
      <c r="C842" t="s">
        <v>43</v>
      </c>
      <c r="D842" t="s">
        <v>63</v>
      </c>
      <c r="E842" t="s">
        <v>74</v>
      </c>
      <c r="F842" t="s">
        <v>45</v>
      </c>
      <c r="G842" t="s">
        <v>43</v>
      </c>
      <c r="H842" t="s">
        <v>26</v>
      </c>
      <c r="I842">
        <v>0</v>
      </c>
      <c r="J842">
        <v>0</v>
      </c>
      <c r="K842">
        <v>0</v>
      </c>
      <c r="L842">
        <v>0</v>
      </c>
      <c r="M842" t="s">
        <v>76</v>
      </c>
      <c r="N842" t="s">
        <v>76</v>
      </c>
      <c r="O842" t="s">
        <v>77</v>
      </c>
      <c r="P842" t="s">
        <v>76</v>
      </c>
      <c r="S842" t="s">
        <v>2663</v>
      </c>
    </row>
    <row r="843" spans="1:19" x14ac:dyDescent="0.3">
      <c r="A843" t="s">
        <v>2664</v>
      </c>
      <c r="B843" t="s">
        <v>2665</v>
      </c>
      <c r="C843" t="s">
        <v>24</v>
      </c>
      <c r="D843" t="s">
        <v>63</v>
      </c>
      <c r="E843" t="s">
        <v>345</v>
      </c>
      <c r="F843" t="s">
        <v>55</v>
      </c>
      <c r="G843" t="s">
        <v>2666</v>
      </c>
      <c r="H843" t="s">
        <v>26</v>
      </c>
      <c r="I843">
        <v>0</v>
      </c>
      <c r="J843">
        <v>0</v>
      </c>
      <c r="K843">
        <v>0</v>
      </c>
      <c r="L843">
        <v>0</v>
      </c>
      <c r="M843" t="s">
        <v>76</v>
      </c>
      <c r="N843" t="s">
        <v>76</v>
      </c>
      <c r="O843" t="s">
        <v>77</v>
      </c>
      <c r="P843" t="s">
        <v>76</v>
      </c>
      <c r="S843" t="s">
        <v>2665</v>
      </c>
    </row>
    <row r="844" spans="1:19" x14ac:dyDescent="0.3">
      <c r="A844" t="s">
        <v>2667</v>
      </c>
      <c r="B844" t="s">
        <v>2668</v>
      </c>
      <c r="C844" t="s">
        <v>45</v>
      </c>
      <c r="D844" t="s">
        <v>63</v>
      </c>
      <c r="E844" t="s">
        <v>323</v>
      </c>
      <c r="F844" t="s">
        <v>45</v>
      </c>
      <c r="G844" t="s">
        <v>2260</v>
      </c>
      <c r="H844" t="s">
        <v>26</v>
      </c>
      <c r="I844">
        <v>0</v>
      </c>
      <c r="J844">
        <v>0</v>
      </c>
      <c r="K844">
        <v>0</v>
      </c>
      <c r="L844">
        <v>0</v>
      </c>
      <c r="M844" t="s">
        <v>76</v>
      </c>
      <c r="N844" t="s">
        <v>76</v>
      </c>
      <c r="O844" t="s">
        <v>77</v>
      </c>
      <c r="P844" t="s">
        <v>76</v>
      </c>
      <c r="S844" t="s">
        <v>2668</v>
      </c>
    </row>
    <row r="845" spans="1:19" x14ac:dyDescent="0.3">
      <c r="A845" t="s">
        <v>2669</v>
      </c>
      <c r="B845" t="s">
        <v>2670</v>
      </c>
      <c r="C845" t="s">
        <v>21</v>
      </c>
      <c r="D845" t="s">
        <v>35</v>
      </c>
      <c r="E845" t="s">
        <v>36</v>
      </c>
      <c r="F845" t="s">
        <v>24</v>
      </c>
      <c r="G845" t="s">
        <v>1036</v>
      </c>
      <c r="H845" t="s">
        <v>26</v>
      </c>
      <c r="I845">
        <v>0</v>
      </c>
      <c r="J845">
        <v>0</v>
      </c>
      <c r="K845">
        <v>0</v>
      </c>
      <c r="L845">
        <v>0</v>
      </c>
      <c r="M845" t="s">
        <v>76</v>
      </c>
      <c r="N845" t="s">
        <v>76</v>
      </c>
      <c r="O845" t="s">
        <v>77</v>
      </c>
      <c r="P845" t="s">
        <v>76</v>
      </c>
      <c r="S845" t="s">
        <v>2670</v>
      </c>
    </row>
    <row r="846" spans="1:19" x14ac:dyDescent="0.3">
      <c r="A846" t="s">
        <v>2671</v>
      </c>
      <c r="B846" t="s">
        <v>2672</v>
      </c>
      <c r="C846" t="s">
        <v>73</v>
      </c>
      <c r="D846" t="s">
        <v>35</v>
      </c>
      <c r="E846" t="s">
        <v>150</v>
      </c>
      <c r="F846" t="s">
        <v>73</v>
      </c>
      <c r="G846" t="s">
        <v>2673</v>
      </c>
      <c r="H846" t="s">
        <v>75</v>
      </c>
      <c r="I846">
        <v>0</v>
      </c>
      <c r="J846">
        <v>0</v>
      </c>
      <c r="K846">
        <v>0</v>
      </c>
      <c r="L846">
        <v>0</v>
      </c>
      <c r="M846" t="s">
        <v>76</v>
      </c>
      <c r="N846" t="s">
        <v>76</v>
      </c>
      <c r="O846" t="s">
        <v>77</v>
      </c>
      <c r="P846" t="s">
        <v>76</v>
      </c>
      <c r="S846" t="s">
        <v>2672</v>
      </c>
    </row>
    <row r="847" spans="1:19" x14ac:dyDescent="0.3">
      <c r="A847" t="s">
        <v>2674</v>
      </c>
      <c r="B847" t="s">
        <v>2675</v>
      </c>
      <c r="C847" t="s">
        <v>596</v>
      </c>
      <c r="D847" t="s">
        <v>95</v>
      </c>
      <c r="E847" t="s">
        <v>74</v>
      </c>
      <c r="F847" t="s">
        <v>73</v>
      </c>
      <c r="G847" t="s">
        <v>596</v>
      </c>
      <c r="H847" t="s">
        <v>75</v>
      </c>
      <c r="I847">
        <v>0</v>
      </c>
      <c r="J847">
        <v>0</v>
      </c>
      <c r="K847">
        <v>0</v>
      </c>
      <c r="L847">
        <v>0</v>
      </c>
      <c r="M847" t="s">
        <v>76</v>
      </c>
      <c r="N847" t="s">
        <v>76</v>
      </c>
      <c r="O847" t="s">
        <v>77</v>
      </c>
      <c r="P847" t="s">
        <v>76</v>
      </c>
      <c r="S847" t="s">
        <v>2675</v>
      </c>
    </row>
    <row r="848" spans="1:19" x14ac:dyDescent="0.3">
      <c r="A848" t="s">
        <v>2676</v>
      </c>
      <c r="B848" t="s">
        <v>2677</v>
      </c>
      <c r="C848" t="s">
        <v>21</v>
      </c>
      <c r="D848" t="s">
        <v>35</v>
      </c>
      <c r="E848" t="s">
        <v>36</v>
      </c>
      <c r="F848" t="s">
        <v>24</v>
      </c>
      <c r="G848" t="s">
        <v>21</v>
      </c>
      <c r="H848" t="s">
        <v>26</v>
      </c>
      <c r="I848">
        <v>0</v>
      </c>
      <c r="J848">
        <v>0</v>
      </c>
      <c r="K848">
        <v>0</v>
      </c>
      <c r="L848">
        <v>0</v>
      </c>
      <c r="M848" t="s">
        <v>76</v>
      </c>
      <c r="N848" t="s">
        <v>76</v>
      </c>
      <c r="O848" t="s">
        <v>77</v>
      </c>
      <c r="P848" t="s">
        <v>76</v>
      </c>
      <c r="S848" t="s">
        <v>2677</v>
      </c>
    </row>
    <row r="849" spans="1:19" x14ac:dyDescent="0.3">
      <c r="A849" t="s">
        <v>2678</v>
      </c>
      <c r="B849" t="s">
        <v>2679</v>
      </c>
      <c r="C849" t="s">
        <v>21</v>
      </c>
      <c r="D849" t="s">
        <v>63</v>
      </c>
      <c r="E849" t="s">
        <v>74</v>
      </c>
      <c r="F849" t="s">
        <v>24</v>
      </c>
      <c r="G849" t="s">
        <v>21</v>
      </c>
      <c r="H849" t="s">
        <v>26</v>
      </c>
      <c r="I849">
        <v>0</v>
      </c>
      <c r="J849">
        <v>0</v>
      </c>
      <c r="K849">
        <v>0</v>
      </c>
      <c r="L849">
        <v>0</v>
      </c>
      <c r="M849" t="s">
        <v>239</v>
      </c>
      <c r="N849" t="s">
        <v>239</v>
      </c>
      <c r="O849" t="s">
        <v>240</v>
      </c>
      <c r="P849" t="s">
        <v>239</v>
      </c>
      <c r="S849" t="s">
        <v>2679</v>
      </c>
    </row>
    <row r="850" spans="1:19" x14ac:dyDescent="0.3">
      <c r="A850" t="s">
        <v>2680</v>
      </c>
      <c r="B850" t="s">
        <v>2681</v>
      </c>
      <c r="E850" t="s">
        <v>80</v>
      </c>
      <c r="F850" t="s">
        <v>109</v>
      </c>
      <c r="G850" t="s">
        <v>21</v>
      </c>
      <c r="H850" t="s">
        <v>26</v>
      </c>
      <c r="I850">
        <v>0</v>
      </c>
      <c r="J850">
        <v>0</v>
      </c>
      <c r="K850">
        <v>0</v>
      </c>
      <c r="L850">
        <v>0</v>
      </c>
      <c r="M850" t="s">
        <v>76</v>
      </c>
      <c r="N850" t="s">
        <v>76</v>
      </c>
      <c r="O850" t="s">
        <v>77</v>
      </c>
      <c r="P850" t="s">
        <v>76</v>
      </c>
      <c r="S850" t="s">
        <v>2681</v>
      </c>
    </row>
    <row r="851" spans="1:19" x14ac:dyDescent="0.3">
      <c r="A851" t="s">
        <v>2682</v>
      </c>
      <c r="B851" t="s">
        <v>2683</v>
      </c>
      <c r="C851" t="s">
        <v>21</v>
      </c>
      <c r="D851" t="s">
        <v>35</v>
      </c>
      <c r="E851" t="s">
        <v>36</v>
      </c>
      <c r="F851" t="s">
        <v>24</v>
      </c>
      <c r="G851" t="s">
        <v>21</v>
      </c>
      <c r="H851" t="s">
        <v>26</v>
      </c>
      <c r="I851">
        <v>0</v>
      </c>
      <c r="J851">
        <v>0</v>
      </c>
      <c r="K851">
        <v>0</v>
      </c>
      <c r="L851">
        <v>0</v>
      </c>
      <c r="M851" t="s">
        <v>76</v>
      </c>
      <c r="N851" t="s">
        <v>76</v>
      </c>
      <c r="O851" t="s">
        <v>77</v>
      </c>
      <c r="P851" t="s">
        <v>76</v>
      </c>
      <c r="S851" t="s">
        <v>2683</v>
      </c>
    </row>
    <row r="852" spans="1:19" x14ac:dyDescent="0.3">
      <c r="A852" t="s">
        <v>2684</v>
      </c>
      <c r="B852" t="s">
        <v>2685</v>
      </c>
      <c r="C852" t="s">
        <v>21</v>
      </c>
      <c r="D852" t="s">
        <v>35</v>
      </c>
      <c r="E852" t="s">
        <v>36</v>
      </c>
      <c r="F852" t="s">
        <v>24</v>
      </c>
      <c r="G852" t="s">
        <v>21</v>
      </c>
      <c r="H852" t="s">
        <v>26</v>
      </c>
      <c r="I852">
        <v>0</v>
      </c>
      <c r="J852">
        <v>0</v>
      </c>
      <c r="K852">
        <v>0</v>
      </c>
      <c r="L852">
        <v>0</v>
      </c>
      <c r="M852" t="s">
        <v>76</v>
      </c>
      <c r="N852" t="s">
        <v>76</v>
      </c>
      <c r="O852" t="s">
        <v>77</v>
      </c>
      <c r="P852" t="s">
        <v>76</v>
      </c>
      <c r="S852" t="s">
        <v>2685</v>
      </c>
    </row>
    <row r="853" spans="1:19" x14ac:dyDescent="0.3">
      <c r="A853" t="s">
        <v>2686</v>
      </c>
      <c r="B853" t="s">
        <v>2687</v>
      </c>
      <c r="C853" t="s">
        <v>307</v>
      </c>
      <c r="D853" t="s">
        <v>63</v>
      </c>
      <c r="E853" t="s">
        <v>85</v>
      </c>
      <c r="F853" t="s">
        <v>251</v>
      </c>
      <c r="G853" t="s">
        <v>307</v>
      </c>
      <c r="H853" t="s">
        <v>75</v>
      </c>
      <c r="I853">
        <v>0</v>
      </c>
      <c r="J853">
        <v>0</v>
      </c>
      <c r="K853">
        <v>0</v>
      </c>
      <c r="L853">
        <v>0</v>
      </c>
      <c r="M853" t="s">
        <v>76</v>
      </c>
      <c r="N853" t="s">
        <v>76</v>
      </c>
      <c r="O853" t="s">
        <v>77</v>
      </c>
      <c r="P853" t="s">
        <v>76</v>
      </c>
      <c r="S853" t="s">
        <v>2687</v>
      </c>
    </row>
    <row r="854" spans="1:19" x14ac:dyDescent="0.3">
      <c r="A854" t="s">
        <v>2688</v>
      </c>
      <c r="B854" t="s">
        <v>2689</v>
      </c>
      <c r="C854" t="s">
        <v>43</v>
      </c>
      <c r="D854" t="s">
        <v>35</v>
      </c>
      <c r="E854" t="s">
        <v>36</v>
      </c>
      <c r="F854" t="s">
        <v>45</v>
      </c>
      <c r="G854" t="s">
        <v>43</v>
      </c>
      <c r="H854" t="s">
        <v>26</v>
      </c>
      <c r="I854">
        <v>0</v>
      </c>
      <c r="J854">
        <v>0</v>
      </c>
      <c r="K854">
        <v>0</v>
      </c>
      <c r="L854">
        <v>0</v>
      </c>
      <c r="M854" t="s">
        <v>76</v>
      </c>
      <c r="N854" t="s">
        <v>76</v>
      </c>
      <c r="O854" t="s">
        <v>77</v>
      </c>
      <c r="P854" t="s">
        <v>76</v>
      </c>
      <c r="S854" t="s">
        <v>2689</v>
      </c>
    </row>
    <row r="855" spans="1:19" x14ac:dyDescent="0.3">
      <c r="A855" t="s">
        <v>2690</v>
      </c>
      <c r="B855" t="s">
        <v>2691</v>
      </c>
      <c r="C855" t="s">
        <v>43</v>
      </c>
      <c r="D855" t="s">
        <v>53</v>
      </c>
      <c r="E855" t="s">
        <v>36</v>
      </c>
      <c r="F855" t="s">
        <v>1605</v>
      </c>
      <c r="G855" t="s">
        <v>43</v>
      </c>
      <c r="H855" t="s">
        <v>26</v>
      </c>
      <c r="I855">
        <v>0</v>
      </c>
      <c r="J855">
        <v>0</v>
      </c>
      <c r="K855">
        <v>0</v>
      </c>
      <c r="L855">
        <v>0</v>
      </c>
      <c r="M855" t="s">
        <v>76</v>
      </c>
      <c r="N855" t="s">
        <v>76</v>
      </c>
      <c r="O855" t="s">
        <v>77</v>
      </c>
      <c r="P855" t="s">
        <v>76</v>
      </c>
      <c r="S855" t="s">
        <v>2691</v>
      </c>
    </row>
    <row r="856" spans="1:19" x14ac:dyDescent="0.3">
      <c r="A856" t="s">
        <v>2692</v>
      </c>
      <c r="B856" t="s">
        <v>2693</v>
      </c>
      <c r="C856" t="s">
        <v>596</v>
      </c>
      <c r="D856" t="s">
        <v>63</v>
      </c>
      <c r="E856" t="s">
        <v>74</v>
      </c>
      <c r="F856" t="s">
        <v>73</v>
      </c>
      <c r="G856" t="s">
        <v>596</v>
      </c>
      <c r="H856" t="s">
        <v>75</v>
      </c>
      <c r="I856">
        <v>0</v>
      </c>
      <c r="J856">
        <v>0</v>
      </c>
      <c r="K856">
        <v>0</v>
      </c>
      <c r="L856">
        <v>0</v>
      </c>
      <c r="M856" t="s">
        <v>76</v>
      </c>
      <c r="N856" t="s">
        <v>76</v>
      </c>
      <c r="O856" t="s">
        <v>77</v>
      </c>
      <c r="P856" t="s">
        <v>76</v>
      </c>
      <c r="S856" t="s">
        <v>2693</v>
      </c>
    </row>
    <row r="857" spans="1:19" x14ac:dyDescent="0.3">
      <c r="A857" t="s">
        <v>2694</v>
      </c>
      <c r="B857" t="s">
        <v>2695</v>
      </c>
      <c r="C857" t="s">
        <v>43</v>
      </c>
      <c r="D857" t="s">
        <v>35</v>
      </c>
      <c r="E857" t="s">
        <v>36</v>
      </c>
      <c r="F857" t="s">
        <v>45</v>
      </c>
      <c r="G857" t="s">
        <v>43</v>
      </c>
      <c r="H857" t="s">
        <v>26</v>
      </c>
      <c r="I857">
        <v>0</v>
      </c>
      <c r="J857">
        <v>0</v>
      </c>
      <c r="K857">
        <v>0</v>
      </c>
      <c r="L857">
        <v>0</v>
      </c>
      <c r="M857" t="s">
        <v>76</v>
      </c>
      <c r="N857" t="s">
        <v>76</v>
      </c>
      <c r="O857" t="s">
        <v>77</v>
      </c>
      <c r="P857" t="s">
        <v>76</v>
      </c>
      <c r="S857" t="s">
        <v>2695</v>
      </c>
    </row>
    <row r="858" spans="1:19" x14ac:dyDescent="0.3">
      <c r="A858" t="s">
        <v>2696</v>
      </c>
      <c r="B858" t="s">
        <v>2697</v>
      </c>
      <c r="C858" t="s">
        <v>21</v>
      </c>
      <c r="D858" t="s">
        <v>35</v>
      </c>
      <c r="E858" t="s">
        <v>278</v>
      </c>
      <c r="F858" t="s">
        <v>24</v>
      </c>
      <c r="G858" t="s">
        <v>21</v>
      </c>
      <c r="H858" t="s">
        <v>26</v>
      </c>
      <c r="I858">
        <v>0</v>
      </c>
      <c r="J858">
        <v>0</v>
      </c>
      <c r="K858">
        <v>0</v>
      </c>
      <c r="L858">
        <v>0</v>
      </c>
      <c r="M858" t="s">
        <v>76</v>
      </c>
      <c r="N858" t="s">
        <v>76</v>
      </c>
      <c r="O858" t="s">
        <v>77</v>
      </c>
      <c r="P858" t="s">
        <v>76</v>
      </c>
      <c r="S858" t="s">
        <v>2697</v>
      </c>
    </row>
    <row r="859" spans="1:19" x14ac:dyDescent="0.3">
      <c r="A859" t="s">
        <v>2698</v>
      </c>
      <c r="B859" t="s">
        <v>2699</v>
      </c>
      <c r="C859" t="s">
        <v>21</v>
      </c>
      <c r="D859" t="s">
        <v>63</v>
      </c>
      <c r="E859" t="s">
        <v>64</v>
      </c>
      <c r="F859" t="s">
        <v>24</v>
      </c>
      <c r="G859" t="s">
        <v>21</v>
      </c>
      <c r="H859" t="s">
        <v>26</v>
      </c>
      <c r="I859">
        <v>0</v>
      </c>
      <c r="J859">
        <v>0</v>
      </c>
      <c r="K859">
        <v>0</v>
      </c>
      <c r="L859">
        <v>0</v>
      </c>
      <c r="M859" t="s">
        <v>121</v>
      </c>
      <c r="N859" t="s">
        <v>122</v>
      </c>
      <c r="O859" t="s">
        <v>123</v>
      </c>
      <c r="P859" t="s">
        <v>124</v>
      </c>
      <c r="Q859" t="s">
        <v>2114</v>
      </c>
      <c r="R859" t="s">
        <v>2115</v>
      </c>
      <c r="S859" t="s">
        <v>2699</v>
      </c>
    </row>
    <row r="860" spans="1:19" x14ac:dyDescent="0.3">
      <c r="A860" t="s">
        <v>2700</v>
      </c>
      <c r="B860" t="s">
        <v>2701</v>
      </c>
      <c r="C860" t="s">
        <v>43</v>
      </c>
      <c r="D860" t="s">
        <v>35</v>
      </c>
      <c r="E860" t="s">
        <v>36</v>
      </c>
      <c r="F860" t="s">
        <v>45</v>
      </c>
      <c r="G860" t="s">
        <v>43</v>
      </c>
      <c r="H860" t="s">
        <v>26</v>
      </c>
      <c r="I860">
        <v>0</v>
      </c>
      <c r="J860">
        <v>0</v>
      </c>
      <c r="K860">
        <v>0</v>
      </c>
      <c r="L860">
        <v>0</v>
      </c>
      <c r="M860" t="s">
        <v>76</v>
      </c>
      <c r="N860" t="s">
        <v>76</v>
      </c>
      <c r="O860" t="s">
        <v>77</v>
      </c>
      <c r="P860" t="s">
        <v>76</v>
      </c>
      <c r="S860" t="s">
        <v>2701</v>
      </c>
    </row>
    <row r="861" spans="1:19" x14ac:dyDescent="0.3">
      <c r="A861" t="s">
        <v>2702</v>
      </c>
      <c r="B861" t="s">
        <v>2703</v>
      </c>
      <c r="C861" t="s">
        <v>21</v>
      </c>
      <c r="D861" t="s">
        <v>35</v>
      </c>
      <c r="E861" t="s">
        <v>80</v>
      </c>
      <c r="F861" t="s">
        <v>24</v>
      </c>
      <c r="G861" t="s">
        <v>21</v>
      </c>
      <c r="H861" t="s">
        <v>26</v>
      </c>
      <c r="I861">
        <v>0</v>
      </c>
      <c r="J861">
        <v>0</v>
      </c>
      <c r="K861">
        <v>0</v>
      </c>
      <c r="L861">
        <v>0</v>
      </c>
      <c r="M861" t="s">
        <v>76</v>
      </c>
      <c r="N861" t="s">
        <v>76</v>
      </c>
      <c r="O861" t="s">
        <v>77</v>
      </c>
      <c r="P861" t="s">
        <v>76</v>
      </c>
      <c r="S861" t="s">
        <v>2703</v>
      </c>
    </row>
    <row r="862" spans="1:19" x14ac:dyDescent="0.3">
      <c r="A862" t="s">
        <v>2704</v>
      </c>
      <c r="B862" t="s">
        <v>2705</v>
      </c>
      <c r="C862" t="s">
        <v>45</v>
      </c>
      <c r="D862" t="s">
        <v>63</v>
      </c>
      <c r="E862" t="s">
        <v>74</v>
      </c>
      <c r="F862" t="s">
        <v>45</v>
      </c>
      <c r="G862" t="s">
        <v>2706</v>
      </c>
      <c r="H862" t="s">
        <v>26</v>
      </c>
      <c r="I862">
        <v>0</v>
      </c>
      <c r="J862">
        <v>0</v>
      </c>
      <c r="K862">
        <v>0</v>
      </c>
      <c r="L862">
        <v>0</v>
      </c>
      <c r="M862" t="s">
        <v>76</v>
      </c>
      <c r="N862" t="s">
        <v>76</v>
      </c>
      <c r="O862" t="s">
        <v>77</v>
      </c>
      <c r="P862" t="s">
        <v>76</v>
      </c>
      <c r="S862" t="s">
        <v>2705</v>
      </c>
    </row>
    <row r="863" spans="1:19" x14ac:dyDescent="0.3">
      <c r="A863" t="s">
        <v>2707</v>
      </c>
      <c r="B863" t="s">
        <v>2708</v>
      </c>
      <c r="C863" t="s">
        <v>43</v>
      </c>
      <c r="D863" t="s">
        <v>35</v>
      </c>
      <c r="E863" t="s">
        <v>36</v>
      </c>
      <c r="F863" t="s">
        <v>45</v>
      </c>
      <c r="G863" t="s">
        <v>43</v>
      </c>
      <c r="H863" t="s">
        <v>26</v>
      </c>
      <c r="I863">
        <v>0</v>
      </c>
      <c r="J863">
        <v>0</v>
      </c>
      <c r="K863">
        <v>0</v>
      </c>
      <c r="L863">
        <v>0</v>
      </c>
      <c r="M863" t="s">
        <v>76</v>
      </c>
      <c r="N863" t="s">
        <v>76</v>
      </c>
      <c r="O863" t="s">
        <v>77</v>
      </c>
      <c r="P863" t="s">
        <v>76</v>
      </c>
      <c r="S863" t="s">
        <v>2708</v>
      </c>
    </row>
    <row r="864" spans="1:19" x14ac:dyDescent="0.3">
      <c r="A864" t="s">
        <v>2709</v>
      </c>
      <c r="B864" t="s">
        <v>2710</v>
      </c>
      <c r="C864" t="s">
        <v>24</v>
      </c>
      <c r="D864" t="s">
        <v>63</v>
      </c>
      <c r="E864" t="s">
        <v>315</v>
      </c>
      <c r="F864" t="s">
        <v>55</v>
      </c>
      <c r="G864" t="s">
        <v>2711</v>
      </c>
      <c r="H864" t="s">
        <v>213</v>
      </c>
      <c r="I864">
        <v>0</v>
      </c>
      <c r="J864">
        <v>0</v>
      </c>
      <c r="K864">
        <v>0</v>
      </c>
      <c r="L864">
        <v>0</v>
      </c>
      <c r="M864" t="s">
        <v>76</v>
      </c>
      <c r="N864" t="s">
        <v>76</v>
      </c>
      <c r="O864" t="s">
        <v>77</v>
      </c>
      <c r="P864" t="s">
        <v>76</v>
      </c>
      <c r="S864" t="s">
        <v>2710</v>
      </c>
    </row>
    <row r="865" spans="1:19" x14ac:dyDescent="0.3">
      <c r="A865" t="s">
        <v>2712</v>
      </c>
      <c r="B865" t="s">
        <v>2713</v>
      </c>
      <c r="C865" t="s">
        <v>43</v>
      </c>
      <c r="D865" t="s">
        <v>63</v>
      </c>
      <c r="E865" t="s">
        <v>74</v>
      </c>
      <c r="F865" t="s">
        <v>45</v>
      </c>
      <c r="G865" t="s">
        <v>43</v>
      </c>
      <c r="H865" t="s">
        <v>26</v>
      </c>
      <c r="I865">
        <v>0</v>
      </c>
      <c r="J865">
        <v>0</v>
      </c>
      <c r="K865">
        <v>0</v>
      </c>
      <c r="L865">
        <v>0</v>
      </c>
      <c r="M865" t="s">
        <v>76</v>
      </c>
      <c r="N865" t="s">
        <v>76</v>
      </c>
      <c r="O865" t="s">
        <v>77</v>
      </c>
      <c r="P865" t="s">
        <v>76</v>
      </c>
      <c r="S865" t="s">
        <v>2713</v>
      </c>
    </row>
    <row r="866" spans="1:19" x14ac:dyDescent="0.3">
      <c r="A866" t="s">
        <v>2714</v>
      </c>
      <c r="B866" t="s">
        <v>2715</v>
      </c>
      <c r="C866" t="s">
        <v>21</v>
      </c>
      <c r="D866" t="s">
        <v>2716</v>
      </c>
      <c r="E866" t="s">
        <v>2717</v>
      </c>
      <c r="F866" t="s">
        <v>24</v>
      </c>
      <c r="G866" t="s">
        <v>21</v>
      </c>
      <c r="H866" t="s">
        <v>26</v>
      </c>
      <c r="I866">
        <v>0</v>
      </c>
      <c r="J866">
        <v>0</v>
      </c>
      <c r="K866">
        <v>0</v>
      </c>
      <c r="L866">
        <v>0</v>
      </c>
      <c r="M866" t="s">
        <v>76</v>
      </c>
      <c r="N866" t="s">
        <v>76</v>
      </c>
      <c r="O866" t="s">
        <v>77</v>
      </c>
      <c r="P866" t="s">
        <v>76</v>
      </c>
      <c r="S866" t="s">
        <v>2715</v>
      </c>
    </row>
    <row r="867" spans="1:19" x14ac:dyDescent="0.3">
      <c r="A867" t="s">
        <v>2718</v>
      </c>
      <c r="B867" t="s">
        <v>2719</v>
      </c>
      <c r="C867" t="s">
        <v>43</v>
      </c>
      <c r="D867" t="s">
        <v>35</v>
      </c>
      <c r="E867" t="s">
        <v>36</v>
      </c>
      <c r="F867" t="s">
        <v>45</v>
      </c>
      <c r="G867" t="s">
        <v>43</v>
      </c>
      <c r="H867" t="s">
        <v>26</v>
      </c>
      <c r="I867">
        <v>0</v>
      </c>
      <c r="J867">
        <v>0</v>
      </c>
      <c r="K867">
        <v>0</v>
      </c>
      <c r="L867">
        <v>0</v>
      </c>
      <c r="M867" t="s">
        <v>76</v>
      </c>
      <c r="N867" t="s">
        <v>76</v>
      </c>
      <c r="O867" t="s">
        <v>77</v>
      </c>
      <c r="P867" t="s">
        <v>76</v>
      </c>
      <c r="S867" t="s">
        <v>2719</v>
      </c>
    </row>
    <row r="868" spans="1:19" x14ac:dyDescent="0.3">
      <c r="A868" t="s">
        <v>2720</v>
      </c>
      <c r="B868" t="s">
        <v>2721</v>
      </c>
      <c r="C868" t="s">
        <v>24</v>
      </c>
      <c r="D868" t="s">
        <v>63</v>
      </c>
      <c r="E868" t="s">
        <v>74</v>
      </c>
      <c r="F868" t="s">
        <v>73</v>
      </c>
      <c r="G868" t="s">
        <v>2722</v>
      </c>
      <c r="H868" t="s">
        <v>26</v>
      </c>
      <c r="I868">
        <v>0</v>
      </c>
      <c r="J868">
        <v>0</v>
      </c>
      <c r="K868">
        <v>0</v>
      </c>
      <c r="L868">
        <v>0</v>
      </c>
      <c r="M868" t="s">
        <v>76</v>
      </c>
      <c r="N868" t="s">
        <v>76</v>
      </c>
      <c r="O868" t="s">
        <v>77</v>
      </c>
      <c r="P868" t="s">
        <v>76</v>
      </c>
      <c r="S868" t="s">
        <v>2721</v>
      </c>
    </row>
    <row r="869" spans="1:19" x14ac:dyDescent="0.3">
      <c r="A869" t="s">
        <v>2723</v>
      </c>
      <c r="B869" t="s">
        <v>2724</v>
      </c>
      <c r="C869" t="s">
        <v>21</v>
      </c>
      <c r="D869" t="s">
        <v>63</v>
      </c>
      <c r="E869" t="s">
        <v>74</v>
      </c>
      <c r="F869" t="s">
        <v>24</v>
      </c>
      <c r="G869" t="s">
        <v>21</v>
      </c>
      <c r="H869" t="s">
        <v>26</v>
      </c>
      <c r="I869">
        <v>0</v>
      </c>
      <c r="J869">
        <v>0</v>
      </c>
      <c r="K869">
        <v>0</v>
      </c>
      <c r="L869">
        <v>0</v>
      </c>
      <c r="M869" t="s">
        <v>76</v>
      </c>
      <c r="N869" t="s">
        <v>76</v>
      </c>
      <c r="O869" t="s">
        <v>77</v>
      </c>
      <c r="P869" t="s">
        <v>76</v>
      </c>
      <c r="S869" t="s">
        <v>2724</v>
      </c>
    </row>
    <row r="870" spans="1:19" x14ac:dyDescent="0.3">
      <c r="A870" t="s">
        <v>2725</v>
      </c>
      <c r="B870" t="s">
        <v>2726</v>
      </c>
      <c r="C870" t="s">
        <v>43</v>
      </c>
      <c r="D870" t="s">
        <v>63</v>
      </c>
      <c r="E870" t="s">
        <v>64</v>
      </c>
      <c r="F870" t="s">
        <v>45</v>
      </c>
      <c r="G870" t="s">
        <v>43</v>
      </c>
      <c r="H870" t="s">
        <v>26</v>
      </c>
      <c r="I870">
        <v>0</v>
      </c>
      <c r="J870">
        <v>0</v>
      </c>
      <c r="K870">
        <v>0</v>
      </c>
      <c r="L870">
        <v>0</v>
      </c>
      <c r="M870" t="s">
        <v>76</v>
      </c>
      <c r="N870" t="s">
        <v>76</v>
      </c>
      <c r="O870" t="s">
        <v>77</v>
      </c>
      <c r="P870" t="s">
        <v>76</v>
      </c>
      <c r="S870" t="s">
        <v>2726</v>
      </c>
    </row>
    <row r="871" spans="1:19" x14ac:dyDescent="0.3">
      <c r="A871" t="s">
        <v>2727</v>
      </c>
      <c r="B871" t="s">
        <v>2728</v>
      </c>
      <c r="C871" t="s">
        <v>24</v>
      </c>
      <c r="D871" t="s">
        <v>63</v>
      </c>
      <c r="E871" t="s">
        <v>74</v>
      </c>
      <c r="F871" t="s">
        <v>144</v>
      </c>
      <c r="G871" t="s">
        <v>1073</v>
      </c>
      <c r="H871" t="s">
        <v>26</v>
      </c>
      <c r="I871">
        <v>0</v>
      </c>
      <c r="J871">
        <v>0</v>
      </c>
      <c r="K871">
        <v>0</v>
      </c>
      <c r="L871">
        <v>0</v>
      </c>
      <c r="M871" t="s">
        <v>76</v>
      </c>
      <c r="N871" t="s">
        <v>76</v>
      </c>
      <c r="O871" t="s">
        <v>77</v>
      </c>
      <c r="P871" t="s">
        <v>76</v>
      </c>
      <c r="S871" t="s">
        <v>2728</v>
      </c>
    </row>
    <row r="872" spans="1:19" x14ac:dyDescent="0.3">
      <c r="A872" t="s">
        <v>2729</v>
      </c>
      <c r="B872" t="s">
        <v>2730</v>
      </c>
      <c r="C872" t="s">
        <v>21</v>
      </c>
      <c r="D872" t="s">
        <v>35</v>
      </c>
      <c r="E872" t="s">
        <v>80</v>
      </c>
      <c r="F872" t="s">
        <v>24</v>
      </c>
      <c r="G872" t="s">
        <v>21</v>
      </c>
      <c r="H872" t="s">
        <v>26</v>
      </c>
      <c r="I872">
        <v>0</v>
      </c>
      <c r="J872">
        <v>0</v>
      </c>
      <c r="K872">
        <v>0</v>
      </c>
      <c r="L872">
        <v>0</v>
      </c>
      <c r="M872" t="s">
        <v>76</v>
      </c>
      <c r="N872" t="s">
        <v>76</v>
      </c>
      <c r="O872" t="s">
        <v>77</v>
      </c>
      <c r="P872" t="s">
        <v>76</v>
      </c>
      <c r="S872" t="s">
        <v>2730</v>
      </c>
    </row>
    <row r="873" spans="1:19" x14ac:dyDescent="0.3">
      <c r="A873" t="s">
        <v>2731</v>
      </c>
      <c r="B873" t="s">
        <v>2732</v>
      </c>
      <c r="C873" t="s">
        <v>43</v>
      </c>
      <c r="D873" t="s">
        <v>35</v>
      </c>
      <c r="E873" t="s">
        <v>36</v>
      </c>
      <c r="F873" t="s">
        <v>45</v>
      </c>
      <c r="G873" t="s">
        <v>43</v>
      </c>
      <c r="H873" t="s">
        <v>26</v>
      </c>
      <c r="I873">
        <v>0</v>
      </c>
      <c r="J873">
        <v>0</v>
      </c>
      <c r="K873">
        <v>0</v>
      </c>
      <c r="L873">
        <v>0</v>
      </c>
      <c r="M873" t="s">
        <v>76</v>
      </c>
      <c r="N873" t="s">
        <v>76</v>
      </c>
      <c r="O873" t="s">
        <v>77</v>
      </c>
      <c r="P873" t="s">
        <v>76</v>
      </c>
      <c r="S873" t="s">
        <v>2732</v>
      </c>
    </row>
    <row r="874" spans="1:19" x14ac:dyDescent="0.3">
      <c r="A874" t="s">
        <v>2733</v>
      </c>
      <c r="B874" t="s">
        <v>2734</v>
      </c>
      <c r="C874" t="s">
        <v>43</v>
      </c>
      <c r="D874" t="s">
        <v>35</v>
      </c>
      <c r="E874" t="s">
        <v>36</v>
      </c>
      <c r="F874" t="s">
        <v>45</v>
      </c>
      <c r="G874" t="s">
        <v>43</v>
      </c>
      <c r="H874" t="s">
        <v>26</v>
      </c>
      <c r="I874">
        <v>0</v>
      </c>
      <c r="J874">
        <v>0</v>
      </c>
      <c r="K874">
        <v>0</v>
      </c>
      <c r="L874">
        <v>0</v>
      </c>
      <c r="M874" t="s">
        <v>76</v>
      </c>
      <c r="N874" t="s">
        <v>76</v>
      </c>
      <c r="O874" t="s">
        <v>77</v>
      </c>
      <c r="P874" t="s">
        <v>76</v>
      </c>
      <c r="S874" t="s">
        <v>2734</v>
      </c>
    </row>
    <row r="875" spans="1:19" x14ac:dyDescent="0.3">
      <c r="A875" t="s">
        <v>2735</v>
      </c>
      <c r="B875" t="s">
        <v>2736</v>
      </c>
      <c r="C875" t="s">
        <v>21</v>
      </c>
      <c r="D875" t="s">
        <v>63</v>
      </c>
      <c r="E875" t="s">
        <v>74</v>
      </c>
      <c r="F875" t="s">
        <v>24</v>
      </c>
      <c r="G875" t="s">
        <v>21</v>
      </c>
      <c r="H875" t="s">
        <v>26</v>
      </c>
      <c r="I875">
        <v>0</v>
      </c>
      <c r="J875">
        <v>0</v>
      </c>
      <c r="K875">
        <v>0</v>
      </c>
      <c r="L875">
        <v>0</v>
      </c>
      <c r="M875" t="s">
        <v>76</v>
      </c>
      <c r="N875" t="s">
        <v>76</v>
      </c>
      <c r="O875" t="s">
        <v>77</v>
      </c>
      <c r="P875" t="s">
        <v>76</v>
      </c>
      <c r="S875" t="s">
        <v>2736</v>
      </c>
    </row>
    <row r="876" spans="1:19" x14ac:dyDescent="0.3">
      <c r="A876" t="s">
        <v>2737</v>
      </c>
      <c r="B876" t="s">
        <v>2738</v>
      </c>
      <c r="C876" t="s">
        <v>45</v>
      </c>
      <c r="D876" t="s">
        <v>63</v>
      </c>
      <c r="E876" t="s">
        <v>2033</v>
      </c>
      <c r="F876" t="s">
        <v>45</v>
      </c>
      <c r="G876" t="s">
        <v>2739</v>
      </c>
      <c r="H876" t="s">
        <v>26</v>
      </c>
      <c r="I876">
        <v>0</v>
      </c>
      <c r="J876">
        <v>0</v>
      </c>
      <c r="K876">
        <v>0</v>
      </c>
      <c r="L876">
        <v>0</v>
      </c>
      <c r="M876" t="s">
        <v>76</v>
      </c>
      <c r="N876" t="s">
        <v>76</v>
      </c>
      <c r="O876" t="s">
        <v>77</v>
      </c>
      <c r="P876" t="s">
        <v>76</v>
      </c>
      <c r="S876" t="s">
        <v>2738</v>
      </c>
    </row>
    <row r="877" spans="1:19" x14ac:dyDescent="0.3">
      <c r="A877" t="s">
        <v>2740</v>
      </c>
      <c r="B877" t="s">
        <v>2741</v>
      </c>
      <c r="E877" t="s">
        <v>54</v>
      </c>
      <c r="F877" t="s">
        <v>2742</v>
      </c>
      <c r="G877" t="s">
        <v>244</v>
      </c>
      <c r="H877" t="s">
        <v>75</v>
      </c>
      <c r="I877">
        <v>0</v>
      </c>
      <c r="J877">
        <v>0</v>
      </c>
      <c r="K877">
        <v>0</v>
      </c>
      <c r="L877">
        <v>0</v>
      </c>
      <c r="M877" t="s">
        <v>76</v>
      </c>
      <c r="N877" t="s">
        <v>76</v>
      </c>
      <c r="O877" t="s">
        <v>77</v>
      </c>
      <c r="P877" t="s">
        <v>76</v>
      </c>
      <c r="S877" t="s">
        <v>2741</v>
      </c>
    </row>
    <row r="878" spans="1:19" x14ac:dyDescent="0.3">
      <c r="A878" t="s">
        <v>2743</v>
      </c>
      <c r="B878" t="s">
        <v>2744</v>
      </c>
      <c r="C878" t="s">
        <v>43</v>
      </c>
      <c r="D878" t="s">
        <v>35</v>
      </c>
      <c r="E878" t="s">
        <v>36</v>
      </c>
      <c r="F878" t="s">
        <v>45</v>
      </c>
      <c r="G878" t="s">
        <v>43</v>
      </c>
      <c r="H878" t="s">
        <v>26</v>
      </c>
      <c r="I878">
        <v>0</v>
      </c>
      <c r="J878">
        <v>0</v>
      </c>
      <c r="K878">
        <v>0</v>
      </c>
      <c r="L878">
        <v>0</v>
      </c>
      <c r="M878" t="s">
        <v>76</v>
      </c>
      <c r="N878" t="s">
        <v>76</v>
      </c>
      <c r="O878" t="s">
        <v>77</v>
      </c>
      <c r="P878" t="s">
        <v>76</v>
      </c>
      <c r="S878" t="s">
        <v>2744</v>
      </c>
    </row>
    <row r="879" spans="1:19" x14ac:dyDescent="0.3">
      <c r="A879" t="s">
        <v>2745</v>
      </c>
      <c r="B879" t="s">
        <v>2746</v>
      </c>
      <c r="C879" t="s">
        <v>243</v>
      </c>
      <c r="D879" t="s">
        <v>63</v>
      </c>
      <c r="E879" t="s">
        <v>74</v>
      </c>
      <c r="F879" t="s">
        <v>243</v>
      </c>
      <c r="G879" t="s">
        <v>244</v>
      </c>
      <c r="H879" t="s">
        <v>75</v>
      </c>
      <c r="I879">
        <v>0</v>
      </c>
      <c r="J879">
        <v>0</v>
      </c>
      <c r="K879">
        <v>0</v>
      </c>
      <c r="L879">
        <v>0</v>
      </c>
      <c r="M879" t="s">
        <v>76</v>
      </c>
      <c r="N879" t="s">
        <v>76</v>
      </c>
      <c r="O879" t="s">
        <v>77</v>
      </c>
      <c r="P879" t="s">
        <v>76</v>
      </c>
      <c r="S879" t="s">
        <v>2746</v>
      </c>
    </row>
    <row r="880" spans="1:19" x14ac:dyDescent="0.3">
      <c r="A880" t="s">
        <v>2747</v>
      </c>
      <c r="B880" t="s">
        <v>2748</v>
      </c>
      <c r="C880" t="s">
        <v>243</v>
      </c>
      <c r="D880" t="s">
        <v>63</v>
      </c>
      <c r="E880" t="s">
        <v>74</v>
      </c>
      <c r="F880" t="s">
        <v>243</v>
      </c>
      <c r="G880" t="s">
        <v>244</v>
      </c>
      <c r="H880" t="s">
        <v>75</v>
      </c>
      <c r="I880">
        <v>0</v>
      </c>
      <c r="J880">
        <v>0</v>
      </c>
      <c r="K880">
        <v>0</v>
      </c>
      <c r="L880">
        <v>0</v>
      </c>
      <c r="M880" t="s">
        <v>76</v>
      </c>
      <c r="N880" t="s">
        <v>76</v>
      </c>
      <c r="O880" t="s">
        <v>77</v>
      </c>
      <c r="P880" t="s">
        <v>76</v>
      </c>
      <c r="S880" t="s">
        <v>2748</v>
      </c>
    </row>
    <row r="881" spans="1:19" x14ac:dyDescent="0.3">
      <c r="A881" t="s">
        <v>2749</v>
      </c>
      <c r="B881" t="s">
        <v>2750</v>
      </c>
      <c r="C881" t="s">
        <v>43</v>
      </c>
      <c r="D881" t="s">
        <v>35</v>
      </c>
      <c r="E881" t="s">
        <v>36</v>
      </c>
      <c r="F881" t="s">
        <v>45</v>
      </c>
      <c r="G881" t="s">
        <v>43</v>
      </c>
      <c r="H881" t="s">
        <v>26</v>
      </c>
      <c r="I881">
        <v>0</v>
      </c>
      <c r="J881">
        <v>0</v>
      </c>
      <c r="K881">
        <v>0</v>
      </c>
      <c r="L881">
        <v>0</v>
      </c>
      <c r="M881" t="s">
        <v>76</v>
      </c>
      <c r="N881" t="s">
        <v>76</v>
      </c>
      <c r="O881" t="s">
        <v>77</v>
      </c>
      <c r="P881" t="s">
        <v>76</v>
      </c>
      <c r="S881" t="s">
        <v>2750</v>
      </c>
    </row>
    <row r="882" spans="1:19" x14ac:dyDescent="0.3">
      <c r="A882" t="s">
        <v>2751</v>
      </c>
      <c r="B882" t="s">
        <v>2752</v>
      </c>
      <c r="C882" t="s">
        <v>45</v>
      </c>
      <c r="D882" t="s">
        <v>35</v>
      </c>
      <c r="E882" t="s">
        <v>74</v>
      </c>
      <c r="F882" t="s">
        <v>45</v>
      </c>
      <c r="G882" t="s">
        <v>2706</v>
      </c>
      <c r="H882" t="s">
        <v>26</v>
      </c>
      <c r="I882">
        <v>0</v>
      </c>
      <c r="J882">
        <v>0</v>
      </c>
      <c r="K882">
        <v>0</v>
      </c>
      <c r="L882">
        <v>0</v>
      </c>
      <c r="M882" t="s">
        <v>76</v>
      </c>
      <c r="N882" t="s">
        <v>76</v>
      </c>
      <c r="O882" t="s">
        <v>77</v>
      </c>
      <c r="P882" t="s">
        <v>76</v>
      </c>
      <c r="S882" t="s">
        <v>2752</v>
      </c>
    </row>
    <row r="883" spans="1:19" x14ac:dyDescent="0.3">
      <c r="A883" t="s">
        <v>2753</v>
      </c>
      <c r="B883" t="s">
        <v>2754</v>
      </c>
      <c r="C883" t="s">
        <v>43</v>
      </c>
      <c r="D883" t="s">
        <v>35</v>
      </c>
      <c r="E883" t="s">
        <v>64</v>
      </c>
      <c r="F883" t="s">
        <v>45</v>
      </c>
      <c r="G883" t="s">
        <v>43</v>
      </c>
      <c r="H883" t="s">
        <v>26</v>
      </c>
      <c r="I883">
        <v>0</v>
      </c>
      <c r="J883">
        <v>0</v>
      </c>
      <c r="K883">
        <v>0</v>
      </c>
      <c r="L883">
        <v>0</v>
      </c>
      <c r="M883" t="s">
        <v>76</v>
      </c>
      <c r="N883" t="s">
        <v>76</v>
      </c>
      <c r="O883" t="s">
        <v>77</v>
      </c>
      <c r="P883" t="s">
        <v>76</v>
      </c>
      <c r="S883" t="s">
        <v>2754</v>
      </c>
    </row>
    <row r="884" spans="1:19" x14ac:dyDescent="0.3">
      <c r="A884" t="s">
        <v>2755</v>
      </c>
      <c r="B884" t="s">
        <v>2756</v>
      </c>
      <c r="C884" t="s">
        <v>43</v>
      </c>
      <c r="D884" t="s">
        <v>63</v>
      </c>
      <c r="E884" t="s">
        <v>74</v>
      </c>
      <c r="F884" t="s">
        <v>45</v>
      </c>
      <c r="G884" t="s">
        <v>43</v>
      </c>
      <c r="H884" t="s">
        <v>26</v>
      </c>
      <c r="I884">
        <v>0</v>
      </c>
      <c r="J884">
        <v>0</v>
      </c>
      <c r="K884">
        <v>0</v>
      </c>
      <c r="L884">
        <v>0</v>
      </c>
      <c r="M884" t="s">
        <v>76</v>
      </c>
      <c r="N884" t="s">
        <v>76</v>
      </c>
      <c r="O884" t="s">
        <v>77</v>
      </c>
      <c r="P884" t="s">
        <v>76</v>
      </c>
      <c r="S884" t="s">
        <v>2756</v>
      </c>
    </row>
    <row r="885" spans="1:19" x14ac:dyDescent="0.3">
      <c r="A885" t="s">
        <v>2757</v>
      </c>
      <c r="B885" t="s">
        <v>2758</v>
      </c>
      <c r="E885" t="s">
        <v>80</v>
      </c>
      <c r="F885" t="s">
        <v>109</v>
      </c>
      <c r="G885" t="s">
        <v>25</v>
      </c>
      <c r="H885" t="s">
        <v>26</v>
      </c>
      <c r="I885">
        <v>0</v>
      </c>
      <c r="J885">
        <v>0</v>
      </c>
      <c r="K885">
        <v>0</v>
      </c>
      <c r="L885">
        <v>0</v>
      </c>
      <c r="M885" t="s">
        <v>76</v>
      </c>
      <c r="N885" t="s">
        <v>76</v>
      </c>
      <c r="O885" t="s">
        <v>77</v>
      </c>
      <c r="P885" t="s">
        <v>76</v>
      </c>
      <c r="S885" t="s">
        <v>2758</v>
      </c>
    </row>
    <row r="886" spans="1:19" x14ac:dyDescent="0.3">
      <c r="A886" t="s">
        <v>2759</v>
      </c>
      <c r="B886" t="s">
        <v>2760</v>
      </c>
      <c r="C886" t="s">
        <v>243</v>
      </c>
      <c r="D886" t="s">
        <v>63</v>
      </c>
      <c r="E886" t="s">
        <v>74</v>
      </c>
      <c r="F886" t="s">
        <v>243</v>
      </c>
      <c r="G886" t="s">
        <v>244</v>
      </c>
      <c r="H886" t="s">
        <v>75</v>
      </c>
      <c r="I886">
        <v>0</v>
      </c>
      <c r="J886">
        <v>0</v>
      </c>
      <c r="K886">
        <v>0</v>
      </c>
      <c r="L886">
        <v>0</v>
      </c>
      <c r="M886" t="s">
        <v>76</v>
      </c>
      <c r="N886" t="s">
        <v>76</v>
      </c>
      <c r="O886" t="s">
        <v>77</v>
      </c>
      <c r="P886" t="s">
        <v>76</v>
      </c>
      <c r="S886" t="s">
        <v>2760</v>
      </c>
    </row>
    <row r="887" spans="1:19" x14ac:dyDescent="0.3">
      <c r="A887" t="s">
        <v>2761</v>
      </c>
      <c r="B887" t="s">
        <v>2762</v>
      </c>
      <c r="C887" t="s">
        <v>21</v>
      </c>
      <c r="D887" t="s">
        <v>63</v>
      </c>
      <c r="E887" t="s">
        <v>74</v>
      </c>
      <c r="F887" t="s">
        <v>24</v>
      </c>
      <c r="G887" t="s">
        <v>21</v>
      </c>
      <c r="H887" t="s">
        <v>26</v>
      </c>
      <c r="I887">
        <v>0</v>
      </c>
      <c r="J887">
        <v>0</v>
      </c>
      <c r="K887">
        <v>0</v>
      </c>
      <c r="L887">
        <v>0</v>
      </c>
      <c r="M887" t="s">
        <v>121</v>
      </c>
      <c r="N887" t="s">
        <v>122</v>
      </c>
      <c r="O887" t="s">
        <v>123</v>
      </c>
      <c r="P887" t="s">
        <v>124</v>
      </c>
      <c r="Q887" t="s">
        <v>2114</v>
      </c>
      <c r="R887" t="s">
        <v>2115</v>
      </c>
      <c r="S887" t="s">
        <v>2762</v>
      </c>
    </row>
    <row r="888" spans="1:19" x14ac:dyDescent="0.3">
      <c r="A888" t="s">
        <v>2763</v>
      </c>
      <c r="B888" t="s">
        <v>2764</v>
      </c>
      <c r="E888" t="s">
        <v>80</v>
      </c>
      <c r="F888" t="s">
        <v>109</v>
      </c>
      <c r="G888" t="s">
        <v>21</v>
      </c>
      <c r="H888" t="s">
        <v>26</v>
      </c>
      <c r="I888">
        <v>0</v>
      </c>
      <c r="J888">
        <v>0</v>
      </c>
      <c r="K888">
        <v>0</v>
      </c>
      <c r="L888">
        <v>0</v>
      </c>
      <c r="M888" t="s">
        <v>76</v>
      </c>
      <c r="N888" t="s">
        <v>76</v>
      </c>
      <c r="O888" t="s">
        <v>77</v>
      </c>
      <c r="P888" t="s">
        <v>76</v>
      </c>
      <c r="S888" t="s">
        <v>2764</v>
      </c>
    </row>
    <row r="889" spans="1:19" x14ac:dyDescent="0.3">
      <c r="A889" t="s">
        <v>2765</v>
      </c>
      <c r="B889" t="s">
        <v>2766</v>
      </c>
      <c r="C889" t="s">
        <v>21</v>
      </c>
      <c r="D889" t="s">
        <v>63</v>
      </c>
      <c r="E889" t="s">
        <v>74</v>
      </c>
      <c r="F889" t="s">
        <v>24</v>
      </c>
      <c r="G889" t="s">
        <v>21</v>
      </c>
      <c r="H889" t="s">
        <v>26</v>
      </c>
      <c r="I889">
        <v>0</v>
      </c>
      <c r="J889">
        <v>0</v>
      </c>
      <c r="K889">
        <v>0</v>
      </c>
      <c r="L889">
        <v>0</v>
      </c>
      <c r="M889" t="s">
        <v>76</v>
      </c>
      <c r="N889" t="s">
        <v>76</v>
      </c>
      <c r="O889" t="s">
        <v>77</v>
      </c>
      <c r="P889" t="s">
        <v>76</v>
      </c>
      <c r="S889" t="s">
        <v>2766</v>
      </c>
    </row>
    <row r="890" spans="1:19" x14ac:dyDescent="0.3">
      <c r="A890" t="s">
        <v>2767</v>
      </c>
      <c r="B890" t="s">
        <v>2768</v>
      </c>
      <c r="C890" t="s">
        <v>43</v>
      </c>
      <c r="D890" t="s">
        <v>63</v>
      </c>
      <c r="E890" t="s">
        <v>85</v>
      </c>
      <c r="F890" t="s">
        <v>45</v>
      </c>
      <c r="G890" t="s">
        <v>43</v>
      </c>
      <c r="H890" t="s">
        <v>26</v>
      </c>
      <c r="I890">
        <v>0</v>
      </c>
      <c r="J890">
        <v>0</v>
      </c>
      <c r="K890">
        <v>0</v>
      </c>
      <c r="L890">
        <v>0</v>
      </c>
      <c r="M890" t="s">
        <v>76</v>
      </c>
      <c r="N890" t="s">
        <v>76</v>
      </c>
      <c r="O890" t="s">
        <v>77</v>
      </c>
      <c r="P890" t="s">
        <v>76</v>
      </c>
      <c r="S890" t="s">
        <v>2768</v>
      </c>
    </row>
    <row r="891" spans="1:19" x14ac:dyDescent="0.3">
      <c r="A891" t="s">
        <v>2769</v>
      </c>
      <c r="B891" t="s">
        <v>2770</v>
      </c>
      <c r="C891" t="s">
        <v>21</v>
      </c>
      <c r="D891" t="s">
        <v>63</v>
      </c>
      <c r="E891" t="s">
        <v>74</v>
      </c>
      <c r="F891" t="s">
        <v>24</v>
      </c>
      <c r="G891" t="s">
        <v>21</v>
      </c>
      <c r="H891" t="s">
        <v>26</v>
      </c>
      <c r="I891">
        <v>0</v>
      </c>
      <c r="J891">
        <v>0</v>
      </c>
      <c r="K891">
        <v>0</v>
      </c>
      <c r="L891">
        <v>0</v>
      </c>
      <c r="M891" t="s">
        <v>76</v>
      </c>
      <c r="N891" t="s">
        <v>76</v>
      </c>
      <c r="O891" t="s">
        <v>77</v>
      </c>
      <c r="P891" t="s">
        <v>76</v>
      </c>
      <c r="S891" t="s">
        <v>2770</v>
      </c>
    </row>
    <row r="892" spans="1:19" x14ac:dyDescent="0.3">
      <c r="A892" t="s">
        <v>2771</v>
      </c>
      <c r="B892" t="s">
        <v>2772</v>
      </c>
      <c r="C892" t="s">
        <v>21</v>
      </c>
      <c r="D892" t="s">
        <v>53</v>
      </c>
      <c r="E892" t="s">
        <v>80</v>
      </c>
      <c r="F892" t="s">
        <v>109</v>
      </c>
      <c r="G892" t="s">
        <v>25</v>
      </c>
      <c r="H892" t="s">
        <v>26</v>
      </c>
      <c r="I892">
        <v>0</v>
      </c>
      <c r="J892">
        <v>0</v>
      </c>
      <c r="K892">
        <v>0</v>
      </c>
      <c r="L892">
        <v>0</v>
      </c>
      <c r="M892" t="s">
        <v>239</v>
      </c>
      <c r="N892" t="s">
        <v>239</v>
      </c>
      <c r="O892" t="s">
        <v>240</v>
      </c>
      <c r="P892" t="s">
        <v>239</v>
      </c>
      <c r="S892" t="s">
        <v>2772</v>
      </c>
    </row>
    <row r="893" spans="1:19" x14ac:dyDescent="0.3">
      <c r="A893" t="s">
        <v>2773</v>
      </c>
      <c r="B893" t="s">
        <v>2774</v>
      </c>
      <c r="C893" t="s">
        <v>21</v>
      </c>
      <c r="D893" t="s">
        <v>53</v>
      </c>
      <c r="E893" t="s">
        <v>178</v>
      </c>
      <c r="F893" t="s">
        <v>109</v>
      </c>
      <c r="G893" t="s">
        <v>25</v>
      </c>
      <c r="H893" t="s">
        <v>26</v>
      </c>
      <c r="I893">
        <v>0</v>
      </c>
      <c r="J893">
        <v>0</v>
      </c>
      <c r="K893">
        <v>0</v>
      </c>
      <c r="L893">
        <v>0</v>
      </c>
      <c r="M893" t="s">
        <v>76</v>
      </c>
      <c r="N893" t="s">
        <v>76</v>
      </c>
      <c r="O893" t="s">
        <v>77</v>
      </c>
      <c r="P893" t="s">
        <v>76</v>
      </c>
      <c r="S893" t="s">
        <v>2774</v>
      </c>
    </row>
    <row r="894" spans="1:19" x14ac:dyDescent="0.3">
      <c r="A894" t="s">
        <v>2775</v>
      </c>
      <c r="B894" t="s">
        <v>2776</v>
      </c>
      <c r="C894" t="s">
        <v>21</v>
      </c>
      <c r="D894" t="s">
        <v>35</v>
      </c>
      <c r="E894" t="s">
        <v>560</v>
      </c>
      <c r="F894" t="s">
        <v>24</v>
      </c>
      <c r="G894" t="s">
        <v>21</v>
      </c>
      <c r="H894" t="s">
        <v>26</v>
      </c>
      <c r="I894">
        <v>0</v>
      </c>
      <c r="J894">
        <v>0</v>
      </c>
      <c r="K894">
        <v>0</v>
      </c>
      <c r="L894">
        <v>0</v>
      </c>
      <c r="M894" t="s">
        <v>76</v>
      </c>
      <c r="N894" t="s">
        <v>76</v>
      </c>
      <c r="O894" t="s">
        <v>77</v>
      </c>
      <c r="P894" t="s">
        <v>76</v>
      </c>
      <c r="S894" t="s">
        <v>2776</v>
      </c>
    </row>
    <row r="895" spans="1:19" x14ac:dyDescent="0.3">
      <c r="A895" t="s">
        <v>2777</v>
      </c>
      <c r="B895" t="s">
        <v>2778</v>
      </c>
      <c r="C895" t="s">
        <v>43</v>
      </c>
      <c r="D895" t="s">
        <v>63</v>
      </c>
      <c r="E895" t="s">
        <v>74</v>
      </c>
      <c r="F895" t="s">
        <v>45</v>
      </c>
      <c r="G895" t="s">
        <v>43</v>
      </c>
      <c r="H895" t="s">
        <v>26</v>
      </c>
      <c r="I895">
        <v>0</v>
      </c>
      <c r="J895">
        <v>0</v>
      </c>
      <c r="K895">
        <v>0</v>
      </c>
      <c r="L895">
        <v>0</v>
      </c>
      <c r="M895" t="s">
        <v>76</v>
      </c>
      <c r="N895" t="s">
        <v>76</v>
      </c>
      <c r="O895" t="s">
        <v>77</v>
      </c>
      <c r="P895" t="s">
        <v>76</v>
      </c>
      <c r="S895" t="s">
        <v>2778</v>
      </c>
    </row>
    <row r="896" spans="1:19" x14ac:dyDescent="0.3">
      <c r="A896" t="s">
        <v>2779</v>
      </c>
      <c r="B896" t="s">
        <v>2780</v>
      </c>
      <c r="E896" t="s">
        <v>54</v>
      </c>
      <c r="F896" t="s">
        <v>195</v>
      </c>
      <c r="G896" t="s">
        <v>1065</v>
      </c>
      <c r="H896" t="s">
        <v>75</v>
      </c>
      <c r="I896">
        <v>0</v>
      </c>
      <c r="J896">
        <v>0</v>
      </c>
      <c r="K896">
        <v>0</v>
      </c>
      <c r="L896">
        <v>0</v>
      </c>
      <c r="M896" t="s">
        <v>76</v>
      </c>
      <c r="N896" t="s">
        <v>76</v>
      </c>
      <c r="O896" t="s">
        <v>77</v>
      </c>
      <c r="P896" t="s">
        <v>76</v>
      </c>
      <c r="S896" t="s">
        <v>2780</v>
      </c>
    </row>
    <row r="897" spans="1:19" x14ac:dyDescent="0.3">
      <c r="A897" t="s">
        <v>2781</v>
      </c>
      <c r="B897" t="s">
        <v>2782</v>
      </c>
      <c r="C897" t="s">
        <v>43</v>
      </c>
      <c r="D897" t="s">
        <v>35</v>
      </c>
      <c r="E897" t="s">
        <v>389</v>
      </c>
      <c r="F897" t="s">
        <v>45</v>
      </c>
      <c r="G897" t="s">
        <v>43</v>
      </c>
      <c r="H897" t="s">
        <v>26</v>
      </c>
      <c r="I897">
        <v>0</v>
      </c>
      <c r="J897">
        <v>0</v>
      </c>
      <c r="K897">
        <v>0</v>
      </c>
      <c r="L897">
        <v>0</v>
      </c>
      <c r="M897" t="s">
        <v>76</v>
      </c>
      <c r="N897" t="s">
        <v>76</v>
      </c>
      <c r="O897" t="s">
        <v>77</v>
      </c>
      <c r="P897" t="s">
        <v>76</v>
      </c>
      <c r="S897" t="s">
        <v>2782</v>
      </c>
    </row>
    <row r="898" spans="1:19" x14ac:dyDescent="0.3">
      <c r="A898" t="s">
        <v>2783</v>
      </c>
      <c r="B898" t="s">
        <v>2784</v>
      </c>
      <c r="C898" t="s">
        <v>243</v>
      </c>
      <c r="D898" t="s">
        <v>35</v>
      </c>
      <c r="E898" t="s">
        <v>560</v>
      </c>
      <c r="F898" t="s">
        <v>243</v>
      </c>
      <c r="G898" t="s">
        <v>2785</v>
      </c>
      <c r="H898" t="s">
        <v>213</v>
      </c>
      <c r="I898">
        <v>0</v>
      </c>
      <c r="J898">
        <v>0</v>
      </c>
      <c r="K898">
        <v>0</v>
      </c>
      <c r="L898">
        <v>0</v>
      </c>
      <c r="S898" t="s">
        <v>2784</v>
      </c>
    </row>
    <row r="899" spans="1:19" x14ac:dyDescent="0.3">
      <c r="A899" t="s">
        <v>2786</v>
      </c>
      <c r="B899" t="s">
        <v>2787</v>
      </c>
      <c r="C899" t="s">
        <v>1053</v>
      </c>
      <c r="D899" t="s">
        <v>63</v>
      </c>
      <c r="E899" t="s">
        <v>74</v>
      </c>
      <c r="F899" t="s">
        <v>314</v>
      </c>
      <c r="G899" t="s">
        <v>1053</v>
      </c>
      <c r="H899" t="s">
        <v>75</v>
      </c>
      <c r="I899">
        <v>0</v>
      </c>
      <c r="J899">
        <v>0</v>
      </c>
      <c r="K899">
        <v>0</v>
      </c>
      <c r="L899">
        <v>0</v>
      </c>
      <c r="M899" t="s">
        <v>76</v>
      </c>
      <c r="N899" t="s">
        <v>76</v>
      </c>
      <c r="O899" t="s">
        <v>77</v>
      </c>
      <c r="P899" t="s">
        <v>76</v>
      </c>
      <c r="S899" t="s">
        <v>2787</v>
      </c>
    </row>
    <row r="900" spans="1:19" x14ac:dyDescent="0.3">
      <c r="A900" t="s">
        <v>2788</v>
      </c>
      <c r="B900" t="s">
        <v>2789</v>
      </c>
      <c r="C900" t="s">
        <v>21</v>
      </c>
      <c r="D900" t="s">
        <v>35</v>
      </c>
      <c r="E900" t="s">
        <v>54</v>
      </c>
      <c r="F900" t="s">
        <v>24</v>
      </c>
      <c r="G900" t="s">
        <v>21</v>
      </c>
      <c r="H900" t="s">
        <v>26</v>
      </c>
      <c r="I900">
        <v>0</v>
      </c>
      <c r="J900">
        <v>0</v>
      </c>
      <c r="K900">
        <v>0</v>
      </c>
      <c r="L900">
        <v>0</v>
      </c>
      <c r="M900" t="s">
        <v>76</v>
      </c>
      <c r="N900" t="s">
        <v>76</v>
      </c>
      <c r="O900" t="s">
        <v>77</v>
      </c>
      <c r="P900" t="s">
        <v>76</v>
      </c>
      <c r="S900" t="s">
        <v>2789</v>
      </c>
    </row>
    <row r="901" spans="1:19" x14ac:dyDescent="0.3">
      <c r="A901" t="s">
        <v>2790</v>
      </c>
      <c r="B901" t="s">
        <v>2791</v>
      </c>
      <c r="C901" t="s">
        <v>21</v>
      </c>
      <c r="D901" t="s">
        <v>35</v>
      </c>
      <c r="E901" t="s">
        <v>80</v>
      </c>
      <c r="F901" t="s">
        <v>24</v>
      </c>
      <c r="G901" t="s">
        <v>21</v>
      </c>
      <c r="H901" t="s">
        <v>26</v>
      </c>
      <c r="I901">
        <v>0</v>
      </c>
      <c r="J901">
        <v>0</v>
      </c>
      <c r="K901">
        <v>0</v>
      </c>
      <c r="L901">
        <v>0</v>
      </c>
      <c r="M901" t="s">
        <v>76</v>
      </c>
      <c r="N901" t="s">
        <v>76</v>
      </c>
      <c r="O901" t="s">
        <v>77</v>
      </c>
      <c r="P901" t="s">
        <v>76</v>
      </c>
      <c r="S901" t="s">
        <v>2791</v>
      </c>
    </row>
    <row r="902" spans="1:19" x14ac:dyDescent="0.3">
      <c r="A902" t="s">
        <v>2792</v>
      </c>
      <c r="B902" t="s">
        <v>2793</v>
      </c>
      <c r="C902" t="s">
        <v>73</v>
      </c>
      <c r="D902" t="s">
        <v>63</v>
      </c>
      <c r="E902" t="s">
        <v>74</v>
      </c>
      <c r="F902" t="s">
        <v>73</v>
      </c>
      <c r="G902" t="s">
        <v>608</v>
      </c>
      <c r="H902" t="s">
        <v>213</v>
      </c>
      <c r="I902">
        <v>0</v>
      </c>
      <c r="J902">
        <v>0</v>
      </c>
      <c r="K902">
        <v>0</v>
      </c>
      <c r="L902">
        <v>0</v>
      </c>
      <c r="M902" t="s">
        <v>239</v>
      </c>
      <c r="N902" t="s">
        <v>239</v>
      </c>
      <c r="O902" t="s">
        <v>240</v>
      </c>
      <c r="P902" t="s">
        <v>239</v>
      </c>
      <c r="S902" t="s">
        <v>2793</v>
      </c>
    </row>
    <row r="903" spans="1:19" x14ac:dyDescent="0.3">
      <c r="A903" t="s">
        <v>2794</v>
      </c>
      <c r="B903" t="s">
        <v>2795</v>
      </c>
      <c r="C903" t="s">
        <v>1053</v>
      </c>
      <c r="D903" t="s">
        <v>2796</v>
      </c>
      <c r="F903" t="s">
        <v>314</v>
      </c>
      <c r="G903" t="s">
        <v>1053</v>
      </c>
      <c r="H903" t="s">
        <v>75</v>
      </c>
      <c r="I903">
        <v>0</v>
      </c>
      <c r="J903">
        <v>0</v>
      </c>
      <c r="K903">
        <v>0</v>
      </c>
      <c r="L903">
        <v>0</v>
      </c>
      <c r="M903" t="s">
        <v>116</v>
      </c>
      <c r="N903" t="s">
        <v>116</v>
      </c>
      <c r="O903" t="s">
        <v>302</v>
      </c>
      <c r="P903" t="s">
        <v>116</v>
      </c>
      <c r="Q903" t="s">
        <v>2797</v>
      </c>
      <c r="R903" t="s">
        <v>2798</v>
      </c>
      <c r="S903" t="s">
        <v>2795</v>
      </c>
    </row>
    <row r="904" spans="1:19" x14ac:dyDescent="0.3">
      <c r="A904" t="s">
        <v>2799</v>
      </c>
      <c r="B904" t="s">
        <v>2800</v>
      </c>
      <c r="C904" t="s">
        <v>21</v>
      </c>
      <c r="D904" t="s">
        <v>63</v>
      </c>
      <c r="E904" t="s">
        <v>74</v>
      </c>
      <c r="F904" t="s">
        <v>24</v>
      </c>
      <c r="G904" t="s">
        <v>21</v>
      </c>
      <c r="H904" t="s">
        <v>26</v>
      </c>
      <c r="I904">
        <v>0</v>
      </c>
      <c r="J904">
        <v>0</v>
      </c>
      <c r="K904">
        <v>0</v>
      </c>
      <c r="L904">
        <v>0</v>
      </c>
      <c r="M904" t="s">
        <v>76</v>
      </c>
      <c r="N904" t="s">
        <v>76</v>
      </c>
      <c r="O904" t="s">
        <v>77</v>
      </c>
      <c r="P904" t="s">
        <v>76</v>
      </c>
      <c r="S904" t="s">
        <v>2800</v>
      </c>
    </row>
    <row r="905" spans="1:19" x14ac:dyDescent="0.3">
      <c r="A905" t="s">
        <v>2801</v>
      </c>
      <c r="B905" t="s">
        <v>2802</v>
      </c>
      <c r="C905" t="s">
        <v>43</v>
      </c>
      <c r="D905" t="s">
        <v>63</v>
      </c>
      <c r="E905" t="s">
        <v>74</v>
      </c>
      <c r="F905" t="s">
        <v>45</v>
      </c>
      <c r="G905" t="s">
        <v>43</v>
      </c>
      <c r="H905" t="s">
        <v>26</v>
      </c>
      <c r="I905">
        <v>0</v>
      </c>
      <c r="J905">
        <v>0</v>
      </c>
      <c r="K905">
        <v>0</v>
      </c>
      <c r="L905">
        <v>0</v>
      </c>
      <c r="M905" t="s">
        <v>76</v>
      </c>
      <c r="N905" t="s">
        <v>76</v>
      </c>
      <c r="O905" t="s">
        <v>77</v>
      </c>
      <c r="P905" t="s">
        <v>76</v>
      </c>
      <c r="S905" t="s">
        <v>2802</v>
      </c>
    </row>
    <row r="906" spans="1:19" x14ac:dyDescent="0.3">
      <c r="A906" t="s">
        <v>2803</v>
      </c>
      <c r="B906" t="s">
        <v>2804</v>
      </c>
      <c r="C906" t="s">
        <v>43</v>
      </c>
      <c r="D906" t="s">
        <v>63</v>
      </c>
      <c r="E906" t="s">
        <v>74</v>
      </c>
      <c r="F906" t="s">
        <v>45</v>
      </c>
      <c r="G906" t="s">
        <v>43</v>
      </c>
      <c r="H906" t="s">
        <v>26</v>
      </c>
      <c r="I906">
        <v>0</v>
      </c>
      <c r="J906">
        <v>0</v>
      </c>
      <c r="K906">
        <v>0</v>
      </c>
      <c r="L906">
        <v>0</v>
      </c>
      <c r="M906" t="s">
        <v>76</v>
      </c>
      <c r="N906" t="s">
        <v>76</v>
      </c>
      <c r="O906" t="s">
        <v>77</v>
      </c>
      <c r="P906" t="s">
        <v>76</v>
      </c>
      <c r="S906" t="s">
        <v>2804</v>
      </c>
    </row>
    <row r="907" spans="1:19" x14ac:dyDescent="0.3">
      <c r="A907" t="s">
        <v>2805</v>
      </c>
      <c r="B907" t="s">
        <v>2806</v>
      </c>
      <c r="C907" t="s">
        <v>21</v>
      </c>
      <c r="D907" t="s">
        <v>63</v>
      </c>
      <c r="E907" t="s">
        <v>74</v>
      </c>
      <c r="F907" t="s">
        <v>24</v>
      </c>
      <c r="G907" t="s">
        <v>21</v>
      </c>
      <c r="H907" t="s">
        <v>26</v>
      </c>
      <c r="I907">
        <v>0</v>
      </c>
      <c r="J907">
        <v>0</v>
      </c>
      <c r="K907">
        <v>0</v>
      </c>
      <c r="L907">
        <v>0</v>
      </c>
      <c r="M907" t="s">
        <v>76</v>
      </c>
      <c r="N907" t="s">
        <v>76</v>
      </c>
      <c r="O907" t="s">
        <v>77</v>
      </c>
      <c r="P907" t="s">
        <v>76</v>
      </c>
      <c r="S907" t="s">
        <v>2806</v>
      </c>
    </row>
    <row r="908" spans="1:19" x14ac:dyDescent="0.3">
      <c r="A908" t="s">
        <v>2807</v>
      </c>
      <c r="B908" t="s">
        <v>2808</v>
      </c>
      <c r="C908" t="s">
        <v>24</v>
      </c>
      <c r="D908" t="s">
        <v>35</v>
      </c>
      <c r="E908" t="s">
        <v>560</v>
      </c>
      <c r="F908" t="s">
        <v>55</v>
      </c>
      <c r="G908" t="s">
        <v>2807</v>
      </c>
      <c r="H908" t="s">
        <v>26</v>
      </c>
      <c r="I908">
        <v>0</v>
      </c>
      <c r="J908">
        <v>0</v>
      </c>
      <c r="K908">
        <v>0</v>
      </c>
      <c r="L908">
        <v>0</v>
      </c>
      <c r="M908" t="s">
        <v>76</v>
      </c>
      <c r="N908" t="s">
        <v>76</v>
      </c>
      <c r="O908" t="s">
        <v>77</v>
      </c>
      <c r="P908" t="s">
        <v>76</v>
      </c>
      <c r="S908" t="s">
        <v>2808</v>
      </c>
    </row>
    <row r="909" spans="1:19" x14ac:dyDescent="0.3">
      <c r="A909" t="s">
        <v>2809</v>
      </c>
      <c r="B909" t="s">
        <v>2810</v>
      </c>
      <c r="C909" t="s">
        <v>43</v>
      </c>
      <c r="D909" t="s">
        <v>35</v>
      </c>
      <c r="E909" t="s">
        <v>80</v>
      </c>
      <c r="F909" t="s">
        <v>45</v>
      </c>
      <c r="G909" t="s">
        <v>43</v>
      </c>
      <c r="H909" t="s">
        <v>26</v>
      </c>
      <c r="I909">
        <v>0</v>
      </c>
      <c r="J909">
        <v>0</v>
      </c>
      <c r="K909">
        <v>0</v>
      </c>
      <c r="L909">
        <v>0</v>
      </c>
      <c r="M909" t="s">
        <v>76</v>
      </c>
      <c r="N909" t="s">
        <v>76</v>
      </c>
      <c r="O909" t="s">
        <v>77</v>
      </c>
      <c r="P909" t="s">
        <v>76</v>
      </c>
      <c r="S909" t="s">
        <v>2810</v>
      </c>
    </row>
    <row r="910" spans="1:19" x14ac:dyDescent="0.3">
      <c r="A910" t="s">
        <v>2811</v>
      </c>
      <c r="B910" t="s">
        <v>2812</v>
      </c>
      <c r="C910" t="s">
        <v>43</v>
      </c>
      <c r="D910" t="s">
        <v>63</v>
      </c>
      <c r="E910" t="s">
        <v>74</v>
      </c>
      <c r="F910" t="s">
        <v>45</v>
      </c>
      <c r="G910" t="s">
        <v>43</v>
      </c>
      <c r="H910" t="s">
        <v>26</v>
      </c>
      <c r="I910">
        <v>0</v>
      </c>
      <c r="J910">
        <v>0</v>
      </c>
      <c r="K910">
        <v>0</v>
      </c>
      <c r="L910">
        <v>0</v>
      </c>
      <c r="M910" t="s">
        <v>76</v>
      </c>
      <c r="N910" t="s">
        <v>76</v>
      </c>
      <c r="O910" t="s">
        <v>77</v>
      </c>
      <c r="P910" t="s">
        <v>76</v>
      </c>
      <c r="S910" t="s">
        <v>2812</v>
      </c>
    </row>
    <row r="911" spans="1:19" x14ac:dyDescent="0.3">
      <c r="A911" t="s">
        <v>2813</v>
      </c>
      <c r="B911" t="s">
        <v>2814</v>
      </c>
      <c r="C911" t="s">
        <v>43</v>
      </c>
      <c r="D911" t="s">
        <v>35</v>
      </c>
      <c r="E911" t="s">
        <v>80</v>
      </c>
      <c r="F911" t="s">
        <v>45</v>
      </c>
      <c r="G911" t="s">
        <v>43</v>
      </c>
      <c r="H911" t="s">
        <v>26</v>
      </c>
      <c r="I911">
        <v>0</v>
      </c>
      <c r="J911">
        <v>0</v>
      </c>
      <c r="K911">
        <v>0</v>
      </c>
      <c r="L911">
        <v>0</v>
      </c>
      <c r="M911" t="s">
        <v>76</v>
      </c>
      <c r="N911" t="s">
        <v>76</v>
      </c>
      <c r="O911" t="s">
        <v>77</v>
      </c>
      <c r="P911" t="s">
        <v>76</v>
      </c>
      <c r="S911" t="s">
        <v>2814</v>
      </c>
    </row>
    <row r="912" spans="1:19" x14ac:dyDescent="0.3">
      <c r="A912" t="s">
        <v>2815</v>
      </c>
      <c r="B912" t="s">
        <v>2816</v>
      </c>
      <c r="C912" t="s">
        <v>43</v>
      </c>
      <c r="D912" t="s">
        <v>35</v>
      </c>
      <c r="E912" t="s">
        <v>80</v>
      </c>
      <c r="F912" t="s">
        <v>45</v>
      </c>
      <c r="G912" t="s">
        <v>43</v>
      </c>
      <c r="H912" t="s">
        <v>26</v>
      </c>
      <c r="I912">
        <v>0</v>
      </c>
      <c r="J912">
        <v>0</v>
      </c>
      <c r="K912">
        <v>0</v>
      </c>
      <c r="L912">
        <v>0</v>
      </c>
      <c r="M912" t="s">
        <v>76</v>
      </c>
      <c r="N912" t="s">
        <v>76</v>
      </c>
      <c r="O912" t="s">
        <v>77</v>
      </c>
      <c r="P912" t="s">
        <v>76</v>
      </c>
      <c r="S912" t="s">
        <v>2816</v>
      </c>
    </row>
    <row r="913" spans="1:19" x14ac:dyDescent="0.3">
      <c r="A913" t="s">
        <v>2817</v>
      </c>
      <c r="B913" t="s">
        <v>2818</v>
      </c>
      <c r="C913" t="s">
        <v>43</v>
      </c>
      <c r="D913" t="s">
        <v>63</v>
      </c>
      <c r="E913" t="s">
        <v>74</v>
      </c>
      <c r="F913" t="s">
        <v>45</v>
      </c>
      <c r="G913" t="s">
        <v>43</v>
      </c>
      <c r="H913" t="s">
        <v>26</v>
      </c>
      <c r="I913">
        <v>0</v>
      </c>
      <c r="J913">
        <v>0</v>
      </c>
      <c r="K913">
        <v>0</v>
      </c>
      <c r="L913">
        <v>0</v>
      </c>
      <c r="M913" t="s">
        <v>76</v>
      </c>
      <c r="N913" t="s">
        <v>76</v>
      </c>
      <c r="O913" t="s">
        <v>77</v>
      </c>
      <c r="P913" t="s">
        <v>76</v>
      </c>
      <c r="S913" t="s">
        <v>2818</v>
      </c>
    </row>
    <row r="914" spans="1:19" x14ac:dyDescent="0.3">
      <c r="A914" t="s">
        <v>2819</v>
      </c>
      <c r="B914" t="s">
        <v>2820</v>
      </c>
      <c r="C914" t="s">
        <v>43</v>
      </c>
      <c r="D914" t="s">
        <v>63</v>
      </c>
      <c r="E914" t="s">
        <v>74</v>
      </c>
      <c r="F914" t="s">
        <v>45</v>
      </c>
      <c r="G914" t="s">
        <v>43</v>
      </c>
      <c r="H914" t="s">
        <v>26</v>
      </c>
      <c r="I914">
        <v>0</v>
      </c>
      <c r="J914">
        <v>0</v>
      </c>
      <c r="K914">
        <v>0</v>
      </c>
      <c r="L914">
        <v>0</v>
      </c>
      <c r="M914" t="s">
        <v>76</v>
      </c>
      <c r="N914" t="s">
        <v>76</v>
      </c>
      <c r="O914" t="s">
        <v>77</v>
      </c>
      <c r="P914" t="s">
        <v>76</v>
      </c>
      <c r="S914" t="s">
        <v>2820</v>
      </c>
    </row>
    <row r="915" spans="1:19" x14ac:dyDescent="0.3">
      <c r="A915" t="s">
        <v>2821</v>
      </c>
      <c r="B915" t="s">
        <v>2822</v>
      </c>
      <c r="C915" t="s">
        <v>43</v>
      </c>
      <c r="D915" t="s">
        <v>35</v>
      </c>
      <c r="E915" t="s">
        <v>560</v>
      </c>
      <c r="F915" t="s">
        <v>45</v>
      </c>
      <c r="G915" t="s">
        <v>43</v>
      </c>
      <c r="H915" t="s">
        <v>26</v>
      </c>
      <c r="I915">
        <v>0</v>
      </c>
      <c r="J915">
        <v>0</v>
      </c>
      <c r="K915">
        <v>0</v>
      </c>
      <c r="L915">
        <v>0</v>
      </c>
      <c r="M915" t="s">
        <v>76</v>
      </c>
      <c r="N915" t="s">
        <v>76</v>
      </c>
      <c r="O915" t="s">
        <v>77</v>
      </c>
      <c r="P915" t="s">
        <v>76</v>
      </c>
      <c r="S915" t="s">
        <v>2822</v>
      </c>
    </row>
    <row r="916" spans="1:19" x14ac:dyDescent="0.3">
      <c r="A916" t="s">
        <v>2823</v>
      </c>
      <c r="B916" t="s">
        <v>2824</v>
      </c>
      <c r="C916" t="s">
        <v>24</v>
      </c>
      <c r="D916" t="s">
        <v>63</v>
      </c>
      <c r="E916" t="s">
        <v>2825</v>
      </c>
      <c r="F916" t="s">
        <v>144</v>
      </c>
      <c r="G916" t="s">
        <v>1429</v>
      </c>
      <c r="H916" t="s">
        <v>26</v>
      </c>
      <c r="I916">
        <v>0</v>
      </c>
      <c r="J916">
        <v>0</v>
      </c>
      <c r="K916">
        <v>0</v>
      </c>
      <c r="L916">
        <v>0</v>
      </c>
      <c r="M916" t="s">
        <v>76</v>
      </c>
      <c r="N916" t="s">
        <v>76</v>
      </c>
      <c r="O916" t="s">
        <v>77</v>
      </c>
      <c r="P916" t="s">
        <v>76</v>
      </c>
      <c r="S916" t="s">
        <v>2824</v>
      </c>
    </row>
    <row r="917" spans="1:19" x14ac:dyDescent="0.3">
      <c r="A917" t="s">
        <v>2826</v>
      </c>
      <c r="B917" t="s">
        <v>2827</v>
      </c>
      <c r="C917" t="s">
        <v>21</v>
      </c>
      <c r="D917" t="s">
        <v>63</v>
      </c>
      <c r="E917" t="s">
        <v>74</v>
      </c>
      <c r="F917" t="s">
        <v>24</v>
      </c>
      <c r="G917" t="s">
        <v>21</v>
      </c>
      <c r="H917" t="s">
        <v>26</v>
      </c>
      <c r="I917">
        <v>0</v>
      </c>
      <c r="J917">
        <v>0</v>
      </c>
      <c r="K917">
        <v>0</v>
      </c>
      <c r="L917">
        <v>0</v>
      </c>
      <c r="M917" t="s">
        <v>76</v>
      </c>
      <c r="N917" t="s">
        <v>76</v>
      </c>
      <c r="O917" t="s">
        <v>77</v>
      </c>
      <c r="P917" t="s">
        <v>76</v>
      </c>
      <c r="S917" t="s">
        <v>2827</v>
      </c>
    </row>
    <row r="918" spans="1:19" x14ac:dyDescent="0.3">
      <c r="A918" t="s">
        <v>2828</v>
      </c>
      <c r="B918" t="s">
        <v>2829</v>
      </c>
      <c r="D918" t="s">
        <v>53</v>
      </c>
      <c r="E918" t="s">
        <v>54</v>
      </c>
      <c r="F918" t="s">
        <v>237</v>
      </c>
      <c r="G918" t="s">
        <v>596</v>
      </c>
      <c r="H918" t="s">
        <v>75</v>
      </c>
      <c r="I918">
        <v>0</v>
      </c>
      <c r="J918">
        <v>0</v>
      </c>
      <c r="K918">
        <v>0</v>
      </c>
      <c r="L918">
        <v>0</v>
      </c>
      <c r="M918" t="s">
        <v>76</v>
      </c>
      <c r="N918" t="s">
        <v>76</v>
      </c>
      <c r="O918" t="s">
        <v>77</v>
      </c>
      <c r="P918" t="s">
        <v>76</v>
      </c>
      <c r="S918" t="s">
        <v>2829</v>
      </c>
    </row>
    <row r="919" spans="1:19" x14ac:dyDescent="0.3">
      <c r="A919" t="s">
        <v>2830</v>
      </c>
      <c r="B919" t="s">
        <v>2831</v>
      </c>
      <c r="C919" t="s">
        <v>314</v>
      </c>
      <c r="D919" t="s">
        <v>63</v>
      </c>
      <c r="E919" t="s">
        <v>74</v>
      </c>
      <c r="F919" t="s">
        <v>314</v>
      </c>
      <c r="G919" t="s">
        <v>2832</v>
      </c>
      <c r="H919" t="s">
        <v>75</v>
      </c>
      <c r="I919">
        <v>0</v>
      </c>
      <c r="J919">
        <v>0</v>
      </c>
      <c r="K919">
        <v>0</v>
      </c>
      <c r="L919">
        <v>0</v>
      </c>
      <c r="M919" t="s">
        <v>76</v>
      </c>
      <c r="N919" t="s">
        <v>76</v>
      </c>
      <c r="O919" t="s">
        <v>77</v>
      </c>
      <c r="P919" t="s">
        <v>76</v>
      </c>
      <c r="S919" t="s">
        <v>2831</v>
      </c>
    </row>
    <row r="920" spans="1:19" x14ac:dyDescent="0.3">
      <c r="A920" t="s">
        <v>2833</v>
      </c>
      <c r="B920" t="s">
        <v>2834</v>
      </c>
      <c r="C920" t="s">
        <v>43</v>
      </c>
      <c r="D920" t="s">
        <v>35</v>
      </c>
      <c r="E920" t="s">
        <v>36</v>
      </c>
      <c r="F920" t="s">
        <v>45</v>
      </c>
      <c r="G920" t="s">
        <v>43</v>
      </c>
      <c r="H920" t="s">
        <v>26</v>
      </c>
      <c r="I920">
        <v>0</v>
      </c>
      <c r="J920">
        <v>0</v>
      </c>
      <c r="K920">
        <v>0</v>
      </c>
      <c r="L920">
        <v>0</v>
      </c>
      <c r="M920" t="s">
        <v>76</v>
      </c>
      <c r="N920" t="s">
        <v>76</v>
      </c>
      <c r="O920" t="s">
        <v>77</v>
      </c>
      <c r="P920" t="s">
        <v>76</v>
      </c>
      <c r="S920" t="s">
        <v>2834</v>
      </c>
    </row>
    <row r="921" spans="1:19" x14ac:dyDescent="0.3">
      <c r="A921" t="s">
        <v>2835</v>
      </c>
      <c r="B921" t="s">
        <v>2836</v>
      </c>
      <c r="C921" t="s">
        <v>43</v>
      </c>
      <c r="D921" t="s">
        <v>63</v>
      </c>
      <c r="E921" t="s">
        <v>74</v>
      </c>
      <c r="F921" t="s">
        <v>45</v>
      </c>
      <c r="G921" t="s">
        <v>43</v>
      </c>
      <c r="H921" t="s">
        <v>26</v>
      </c>
      <c r="I921">
        <v>0</v>
      </c>
      <c r="J921">
        <v>0</v>
      </c>
      <c r="K921">
        <v>0</v>
      </c>
      <c r="L921">
        <v>0</v>
      </c>
      <c r="M921" t="s">
        <v>76</v>
      </c>
      <c r="N921" t="s">
        <v>76</v>
      </c>
      <c r="O921" t="s">
        <v>77</v>
      </c>
      <c r="P921" t="s">
        <v>76</v>
      </c>
      <c r="S921" t="s">
        <v>2836</v>
      </c>
    </row>
    <row r="922" spans="1:19" x14ac:dyDescent="0.3">
      <c r="A922" t="s">
        <v>2837</v>
      </c>
      <c r="B922" t="s">
        <v>2838</v>
      </c>
      <c r="C922" t="s">
        <v>43</v>
      </c>
      <c r="D922" t="s">
        <v>63</v>
      </c>
      <c r="E922" t="s">
        <v>74</v>
      </c>
      <c r="F922" t="s">
        <v>45</v>
      </c>
      <c r="G922" t="s">
        <v>43</v>
      </c>
      <c r="H922" t="s">
        <v>26</v>
      </c>
      <c r="I922">
        <v>0</v>
      </c>
      <c r="J922">
        <v>0</v>
      </c>
      <c r="K922">
        <v>0</v>
      </c>
      <c r="L922">
        <v>0</v>
      </c>
      <c r="M922" t="s">
        <v>76</v>
      </c>
      <c r="N922" t="s">
        <v>76</v>
      </c>
      <c r="O922" t="s">
        <v>77</v>
      </c>
      <c r="P922" t="s">
        <v>76</v>
      </c>
      <c r="S922" t="s">
        <v>2838</v>
      </c>
    </row>
    <row r="923" spans="1:19" x14ac:dyDescent="0.3">
      <c r="A923" t="s">
        <v>2839</v>
      </c>
      <c r="B923" t="s">
        <v>2840</v>
      </c>
      <c r="C923" t="s">
        <v>43</v>
      </c>
      <c r="D923" t="s">
        <v>63</v>
      </c>
      <c r="E923" t="s">
        <v>74</v>
      </c>
      <c r="F923" t="s">
        <v>45</v>
      </c>
      <c r="G923" t="s">
        <v>43</v>
      </c>
      <c r="H923" t="s">
        <v>26</v>
      </c>
      <c r="I923">
        <v>0</v>
      </c>
      <c r="J923">
        <v>0</v>
      </c>
      <c r="K923">
        <v>0</v>
      </c>
      <c r="L923">
        <v>0</v>
      </c>
      <c r="M923" t="s">
        <v>76</v>
      </c>
      <c r="N923" t="s">
        <v>76</v>
      </c>
      <c r="O923" t="s">
        <v>77</v>
      </c>
      <c r="P923" t="s">
        <v>76</v>
      </c>
      <c r="S923" t="s">
        <v>2840</v>
      </c>
    </row>
    <row r="924" spans="1:19" x14ac:dyDescent="0.3">
      <c r="A924" t="s">
        <v>2841</v>
      </c>
      <c r="B924" t="s">
        <v>2842</v>
      </c>
      <c r="C924" t="s">
        <v>43</v>
      </c>
      <c r="D924" t="s">
        <v>63</v>
      </c>
      <c r="E924" t="s">
        <v>85</v>
      </c>
      <c r="F924" t="s">
        <v>45</v>
      </c>
      <c r="G924" t="s">
        <v>43</v>
      </c>
      <c r="H924" t="s">
        <v>26</v>
      </c>
      <c r="I924">
        <v>0</v>
      </c>
      <c r="J924">
        <v>0</v>
      </c>
      <c r="K924">
        <v>0</v>
      </c>
      <c r="L924">
        <v>0</v>
      </c>
      <c r="M924" t="s">
        <v>76</v>
      </c>
      <c r="N924" t="s">
        <v>76</v>
      </c>
      <c r="O924" t="s">
        <v>77</v>
      </c>
      <c r="P924" t="s">
        <v>76</v>
      </c>
      <c r="S924" t="s">
        <v>2842</v>
      </c>
    </row>
    <row r="925" spans="1:19" x14ac:dyDescent="0.3">
      <c r="A925" t="s">
        <v>2843</v>
      </c>
      <c r="B925" t="s">
        <v>2844</v>
      </c>
      <c r="C925" t="s">
        <v>196</v>
      </c>
      <c r="D925" t="s">
        <v>35</v>
      </c>
      <c r="E925" t="s">
        <v>150</v>
      </c>
      <c r="F925" t="s">
        <v>228</v>
      </c>
      <c r="G925" t="s">
        <v>196</v>
      </c>
      <c r="H925" t="s">
        <v>75</v>
      </c>
      <c r="I925">
        <v>0</v>
      </c>
      <c r="J925">
        <v>0</v>
      </c>
      <c r="K925">
        <v>0</v>
      </c>
      <c r="L925">
        <v>0</v>
      </c>
      <c r="M925" t="s">
        <v>76</v>
      </c>
      <c r="N925" t="s">
        <v>76</v>
      </c>
      <c r="O925" t="s">
        <v>77</v>
      </c>
      <c r="P925" t="s">
        <v>76</v>
      </c>
      <c r="S925" t="s">
        <v>2844</v>
      </c>
    </row>
    <row r="926" spans="1:19" x14ac:dyDescent="0.3">
      <c r="A926" t="s">
        <v>2845</v>
      </c>
      <c r="B926" t="s">
        <v>2846</v>
      </c>
      <c r="C926" t="s">
        <v>21</v>
      </c>
      <c r="D926" t="s">
        <v>35</v>
      </c>
      <c r="E926" t="s">
        <v>80</v>
      </c>
      <c r="F926" t="s">
        <v>24</v>
      </c>
      <c r="G926" t="s">
        <v>21</v>
      </c>
      <c r="H926" t="s">
        <v>26</v>
      </c>
      <c r="I926">
        <v>0</v>
      </c>
      <c r="J926">
        <v>0</v>
      </c>
      <c r="K926">
        <v>0</v>
      </c>
      <c r="L926">
        <v>0</v>
      </c>
      <c r="M926" t="s">
        <v>76</v>
      </c>
      <c r="N926" t="s">
        <v>76</v>
      </c>
      <c r="O926" t="s">
        <v>77</v>
      </c>
      <c r="P926" t="s">
        <v>76</v>
      </c>
      <c r="S926" t="s">
        <v>2846</v>
      </c>
    </row>
    <row r="927" spans="1:19" x14ac:dyDescent="0.3">
      <c r="A927" t="s">
        <v>2847</v>
      </c>
      <c r="B927" t="s">
        <v>2848</v>
      </c>
      <c r="C927" t="s">
        <v>114</v>
      </c>
      <c r="D927" t="s">
        <v>63</v>
      </c>
      <c r="E927" t="s">
        <v>74</v>
      </c>
      <c r="F927" t="s">
        <v>114</v>
      </c>
      <c r="G927" t="s">
        <v>115</v>
      </c>
      <c r="H927" t="s">
        <v>75</v>
      </c>
      <c r="I927">
        <v>0</v>
      </c>
      <c r="J927">
        <v>0</v>
      </c>
      <c r="K927">
        <v>0</v>
      </c>
      <c r="L927">
        <v>0</v>
      </c>
      <c r="M927" t="s">
        <v>76</v>
      </c>
      <c r="N927" t="s">
        <v>76</v>
      </c>
      <c r="O927" t="s">
        <v>77</v>
      </c>
      <c r="P927" t="s">
        <v>76</v>
      </c>
      <c r="S927" t="s">
        <v>2848</v>
      </c>
    </row>
    <row r="928" spans="1:19" x14ac:dyDescent="0.3">
      <c r="A928" t="s">
        <v>2849</v>
      </c>
      <c r="B928" t="s">
        <v>2850</v>
      </c>
      <c r="C928" t="s">
        <v>43</v>
      </c>
      <c r="D928" t="s">
        <v>63</v>
      </c>
      <c r="E928" t="s">
        <v>74</v>
      </c>
      <c r="F928" t="s">
        <v>45</v>
      </c>
      <c r="G928" t="s">
        <v>43</v>
      </c>
      <c r="H928" t="s">
        <v>26</v>
      </c>
      <c r="I928">
        <v>0</v>
      </c>
      <c r="J928">
        <v>0</v>
      </c>
      <c r="K928">
        <v>0</v>
      </c>
      <c r="L928">
        <v>0</v>
      </c>
      <c r="M928" t="s">
        <v>76</v>
      </c>
      <c r="N928" t="s">
        <v>76</v>
      </c>
      <c r="O928" t="s">
        <v>77</v>
      </c>
      <c r="P928" t="s">
        <v>76</v>
      </c>
      <c r="S928" t="s">
        <v>2850</v>
      </c>
    </row>
    <row r="929" spans="1:19" x14ac:dyDescent="0.3">
      <c r="A929" t="s">
        <v>2851</v>
      </c>
      <c r="B929" t="s">
        <v>2852</v>
      </c>
      <c r="C929" t="s">
        <v>43</v>
      </c>
      <c r="D929" t="s">
        <v>63</v>
      </c>
      <c r="E929" t="s">
        <v>74</v>
      </c>
      <c r="F929" t="s">
        <v>45</v>
      </c>
      <c r="G929" t="s">
        <v>43</v>
      </c>
      <c r="H929" t="s">
        <v>26</v>
      </c>
      <c r="I929">
        <v>0</v>
      </c>
      <c r="J929">
        <v>0</v>
      </c>
      <c r="K929">
        <v>0</v>
      </c>
      <c r="L929">
        <v>0</v>
      </c>
      <c r="M929" t="s">
        <v>76</v>
      </c>
      <c r="N929" t="s">
        <v>76</v>
      </c>
      <c r="O929" t="s">
        <v>77</v>
      </c>
      <c r="P929" t="s">
        <v>76</v>
      </c>
      <c r="S929" t="s">
        <v>2852</v>
      </c>
    </row>
    <row r="930" spans="1:19" x14ac:dyDescent="0.3">
      <c r="A930" t="s">
        <v>2853</v>
      </c>
      <c r="B930" t="s">
        <v>2854</v>
      </c>
      <c r="C930" t="s">
        <v>24</v>
      </c>
      <c r="D930" t="s">
        <v>63</v>
      </c>
      <c r="E930" t="s">
        <v>74</v>
      </c>
      <c r="F930" t="s">
        <v>55</v>
      </c>
      <c r="G930" t="s">
        <v>2855</v>
      </c>
      <c r="H930" t="s">
        <v>213</v>
      </c>
      <c r="I930">
        <v>0</v>
      </c>
      <c r="J930">
        <v>0</v>
      </c>
      <c r="K930">
        <v>0</v>
      </c>
      <c r="L930">
        <v>0</v>
      </c>
      <c r="M930" t="s">
        <v>76</v>
      </c>
      <c r="N930" t="s">
        <v>76</v>
      </c>
      <c r="O930" t="s">
        <v>77</v>
      </c>
      <c r="P930" t="s">
        <v>76</v>
      </c>
      <c r="S930" t="s">
        <v>2854</v>
      </c>
    </row>
    <row r="931" spans="1:19" x14ac:dyDescent="0.3">
      <c r="A931" t="s">
        <v>2856</v>
      </c>
      <c r="B931" t="s">
        <v>2857</v>
      </c>
      <c r="C931" t="s">
        <v>24</v>
      </c>
      <c r="D931" t="s">
        <v>63</v>
      </c>
      <c r="E931" t="s">
        <v>315</v>
      </c>
      <c r="F931" t="s">
        <v>55</v>
      </c>
      <c r="G931" t="s">
        <v>2856</v>
      </c>
      <c r="H931" t="s">
        <v>26</v>
      </c>
      <c r="I931">
        <v>0</v>
      </c>
      <c r="J931">
        <v>0</v>
      </c>
      <c r="K931">
        <v>0</v>
      </c>
      <c r="L931">
        <v>0</v>
      </c>
      <c r="M931" t="s">
        <v>239</v>
      </c>
      <c r="N931" t="s">
        <v>239</v>
      </c>
      <c r="O931" t="s">
        <v>240</v>
      </c>
      <c r="P931" t="s">
        <v>239</v>
      </c>
      <c r="S931" t="s">
        <v>2857</v>
      </c>
    </row>
    <row r="932" spans="1:19" x14ac:dyDescent="0.3">
      <c r="A932" t="s">
        <v>2858</v>
      </c>
      <c r="B932" t="s">
        <v>2859</v>
      </c>
      <c r="C932" t="s">
        <v>43</v>
      </c>
      <c r="D932" t="s">
        <v>53</v>
      </c>
      <c r="E932" t="s">
        <v>150</v>
      </c>
      <c r="F932" t="s">
        <v>1605</v>
      </c>
      <c r="G932" t="s">
        <v>43</v>
      </c>
      <c r="H932" t="s">
        <v>26</v>
      </c>
      <c r="I932">
        <v>0</v>
      </c>
      <c r="J932">
        <v>0</v>
      </c>
      <c r="K932">
        <v>0</v>
      </c>
      <c r="L932">
        <v>0</v>
      </c>
      <c r="M932" t="s">
        <v>76</v>
      </c>
      <c r="N932" t="s">
        <v>76</v>
      </c>
      <c r="O932" t="s">
        <v>77</v>
      </c>
      <c r="P932" t="s">
        <v>76</v>
      </c>
      <c r="S932" t="s">
        <v>2859</v>
      </c>
    </row>
    <row r="933" spans="1:19" x14ac:dyDescent="0.3">
      <c r="A933" t="s">
        <v>2860</v>
      </c>
      <c r="B933" t="s">
        <v>2861</v>
      </c>
      <c r="C933" t="s">
        <v>114</v>
      </c>
      <c r="D933" t="s">
        <v>63</v>
      </c>
      <c r="E933" t="s">
        <v>74</v>
      </c>
      <c r="F933" t="s">
        <v>114</v>
      </c>
      <c r="G933" t="s">
        <v>2862</v>
      </c>
      <c r="H933" t="s">
        <v>213</v>
      </c>
      <c r="I933">
        <v>0</v>
      </c>
      <c r="J933">
        <v>0</v>
      </c>
      <c r="K933">
        <v>0</v>
      </c>
      <c r="L933">
        <v>0</v>
      </c>
      <c r="S933" t="s">
        <v>2861</v>
      </c>
    </row>
    <row r="934" spans="1:19" x14ac:dyDescent="0.3">
      <c r="A934" t="s">
        <v>2863</v>
      </c>
      <c r="B934" t="s">
        <v>2864</v>
      </c>
      <c r="C934" t="s">
        <v>21</v>
      </c>
      <c r="D934" t="s">
        <v>63</v>
      </c>
      <c r="E934" t="s">
        <v>74</v>
      </c>
      <c r="F934" t="s">
        <v>24</v>
      </c>
      <c r="G934" t="s">
        <v>21</v>
      </c>
      <c r="H934" t="s">
        <v>26</v>
      </c>
      <c r="I934">
        <v>0</v>
      </c>
      <c r="J934">
        <v>0</v>
      </c>
      <c r="K934">
        <v>0</v>
      </c>
      <c r="L934">
        <v>0</v>
      </c>
      <c r="M934" t="s">
        <v>76</v>
      </c>
      <c r="N934" t="s">
        <v>76</v>
      </c>
      <c r="O934" t="s">
        <v>77</v>
      </c>
      <c r="P934" t="s">
        <v>76</v>
      </c>
      <c r="S934" t="s">
        <v>2864</v>
      </c>
    </row>
    <row r="935" spans="1:19" x14ac:dyDescent="0.3">
      <c r="A935" t="s">
        <v>2865</v>
      </c>
      <c r="B935" t="s">
        <v>2866</v>
      </c>
      <c r="C935" t="s">
        <v>21</v>
      </c>
      <c r="D935" t="s">
        <v>35</v>
      </c>
      <c r="E935" t="s">
        <v>80</v>
      </c>
      <c r="F935" t="s">
        <v>24</v>
      </c>
      <c r="G935" t="s">
        <v>21</v>
      </c>
      <c r="H935" t="s">
        <v>26</v>
      </c>
      <c r="I935">
        <v>0</v>
      </c>
      <c r="J935">
        <v>0</v>
      </c>
      <c r="K935">
        <v>0</v>
      </c>
      <c r="L935">
        <v>0</v>
      </c>
      <c r="M935" t="s">
        <v>76</v>
      </c>
      <c r="N935" t="s">
        <v>76</v>
      </c>
      <c r="O935" t="s">
        <v>77</v>
      </c>
      <c r="P935" t="s">
        <v>76</v>
      </c>
      <c r="S935" t="s">
        <v>2866</v>
      </c>
    </row>
    <row r="936" spans="1:19" x14ac:dyDescent="0.3">
      <c r="A936" t="s">
        <v>2867</v>
      </c>
      <c r="B936" t="s">
        <v>2868</v>
      </c>
      <c r="C936" t="s">
        <v>243</v>
      </c>
      <c r="D936" t="s">
        <v>63</v>
      </c>
      <c r="E936" t="s">
        <v>184</v>
      </c>
      <c r="F936" t="s">
        <v>243</v>
      </c>
      <c r="G936" t="s">
        <v>244</v>
      </c>
      <c r="H936" t="s">
        <v>75</v>
      </c>
      <c r="I936">
        <v>0</v>
      </c>
      <c r="J936">
        <v>0</v>
      </c>
      <c r="K936">
        <v>0</v>
      </c>
      <c r="L936">
        <v>0</v>
      </c>
      <c r="M936" t="s">
        <v>76</v>
      </c>
      <c r="N936" t="s">
        <v>76</v>
      </c>
      <c r="O936" t="s">
        <v>77</v>
      </c>
      <c r="P936" t="s">
        <v>76</v>
      </c>
      <c r="S936" t="s">
        <v>2868</v>
      </c>
    </row>
    <row r="937" spans="1:19" x14ac:dyDescent="0.3">
      <c r="A937" t="s">
        <v>2869</v>
      </c>
      <c r="B937" t="s">
        <v>2870</v>
      </c>
      <c r="C937" t="s">
        <v>21</v>
      </c>
      <c r="D937" t="s">
        <v>63</v>
      </c>
      <c r="E937" t="s">
        <v>74</v>
      </c>
      <c r="F937" t="s">
        <v>24</v>
      </c>
      <c r="G937" t="s">
        <v>21</v>
      </c>
      <c r="H937" t="s">
        <v>26</v>
      </c>
      <c r="I937">
        <v>0</v>
      </c>
      <c r="J937">
        <v>0</v>
      </c>
      <c r="K937">
        <v>0</v>
      </c>
      <c r="L937">
        <v>0</v>
      </c>
      <c r="M937" t="s">
        <v>76</v>
      </c>
      <c r="N937" t="s">
        <v>76</v>
      </c>
      <c r="O937" t="s">
        <v>77</v>
      </c>
      <c r="P937" t="s">
        <v>76</v>
      </c>
      <c r="S937" t="s">
        <v>2870</v>
      </c>
    </row>
    <row r="938" spans="1:19" x14ac:dyDescent="0.3">
      <c r="A938" t="s">
        <v>2871</v>
      </c>
      <c r="B938" t="s">
        <v>2872</v>
      </c>
      <c r="C938" t="s">
        <v>21</v>
      </c>
      <c r="D938" t="s">
        <v>35</v>
      </c>
      <c r="E938" t="s">
        <v>80</v>
      </c>
      <c r="F938" t="s">
        <v>24</v>
      </c>
      <c r="G938" t="s">
        <v>21</v>
      </c>
      <c r="H938" t="s">
        <v>26</v>
      </c>
      <c r="I938">
        <v>0</v>
      </c>
      <c r="J938">
        <v>0</v>
      </c>
      <c r="K938">
        <v>0</v>
      </c>
      <c r="L938">
        <v>0</v>
      </c>
      <c r="M938" t="s">
        <v>76</v>
      </c>
      <c r="N938" t="s">
        <v>76</v>
      </c>
      <c r="O938" t="s">
        <v>77</v>
      </c>
      <c r="P938" t="s">
        <v>76</v>
      </c>
      <c r="S938" t="s">
        <v>2872</v>
      </c>
    </row>
    <row r="939" spans="1:19" x14ac:dyDescent="0.3">
      <c r="A939" t="s">
        <v>2873</v>
      </c>
      <c r="B939" t="s">
        <v>2874</v>
      </c>
      <c r="C939" t="s">
        <v>114</v>
      </c>
      <c r="D939" t="s">
        <v>189</v>
      </c>
      <c r="F939" t="s">
        <v>114</v>
      </c>
      <c r="G939" t="s">
        <v>362</v>
      </c>
      <c r="H939" t="s">
        <v>75</v>
      </c>
      <c r="I939">
        <v>0</v>
      </c>
      <c r="J939">
        <v>0</v>
      </c>
      <c r="K939">
        <v>0</v>
      </c>
      <c r="L939">
        <v>0</v>
      </c>
      <c r="M939" t="s">
        <v>76</v>
      </c>
      <c r="N939" t="s">
        <v>76</v>
      </c>
      <c r="O939" t="s">
        <v>77</v>
      </c>
      <c r="P939" t="s">
        <v>76</v>
      </c>
      <c r="S939" t="s">
        <v>2874</v>
      </c>
    </row>
    <row r="940" spans="1:19" x14ac:dyDescent="0.3">
      <c r="A940" t="s">
        <v>2875</v>
      </c>
      <c r="B940" t="s">
        <v>2876</v>
      </c>
      <c r="C940" t="s">
        <v>596</v>
      </c>
      <c r="D940" t="s">
        <v>63</v>
      </c>
      <c r="E940" t="s">
        <v>74</v>
      </c>
      <c r="F940" t="s">
        <v>73</v>
      </c>
      <c r="G940" t="s">
        <v>596</v>
      </c>
      <c r="H940" t="s">
        <v>75</v>
      </c>
      <c r="I940">
        <v>0</v>
      </c>
      <c r="J940">
        <v>0</v>
      </c>
      <c r="K940">
        <v>0</v>
      </c>
      <c r="L940">
        <v>0</v>
      </c>
      <c r="M940" t="s">
        <v>76</v>
      </c>
      <c r="N940" t="s">
        <v>76</v>
      </c>
      <c r="O940" t="s">
        <v>77</v>
      </c>
      <c r="P940" t="s">
        <v>76</v>
      </c>
      <c r="S940" t="s">
        <v>2876</v>
      </c>
    </row>
    <row r="941" spans="1:19" x14ac:dyDescent="0.3">
      <c r="A941" t="s">
        <v>2877</v>
      </c>
      <c r="B941" t="s">
        <v>2878</v>
      </c>
      <c r="C941" t="s">
        <v>43</v>
      </c>
      <c r="D941" t="s">
        <v>63</v>
      </c>
      <c r="E941" t="s">
        <v>74</v>
      </c>
      <c r="F941" t="s">
        <v>45</v>
      </c>
      <c r="G941" t="s">
        <v>43</v>
      </c>
      <c r="H941" t="s">
        <v>26</v>
      </c>
      <c r="I941">
        <v>0</v>
      </c>
      <c r="J941">
        <v>0</v>
      </c>
      <c r="K941">
        <v>0</v>
      </c>
      <c r="L941">
        <v>0</v>
      </c>
      <c r="M941" t="s">
        <v>76</v>
      </c>
      <c r="N941" t="s">
        <v>76</v>
      </c>
      <c r="O941" t="s">
        <v>77</v>
      </c>
      <c r="P941" t="s">
        <v>76</v>
      </c>
      <c r="S941" t="s">
        <v>2878</v>
      </c>
    </row>
    <row r="942" spans="1:19" x14ac:dyDescent="0.3">
      <c r="A942" t="s">
        <v>2879</v>
      </c>
      <c r="B942" t="s">
        <v>2880</v>
      </c>
      <c r="C942" t="s">
        <v>43</v>
      </c>
      <c r="D942" t="s">
        <v>485</v>
      </c>
      <c r="E942" t="s">
        <v>485</v>
      </c>
      <c r="F942" t="s">
        <v>45</v>
      </c>
      <c r="G942" t="s">
        <v>43</v>
      </c>
      <c r="H942" t="s">
        <v>26</v>
      </c>
      <c r="I942">
        <v>0</v>
      </c>
      <c r="J942">
        <v>0</v>
      </c>
      <c r="K942">
        <v>0</v>
      </c>
      <c r="L942">
        <v>0</v>
      </c>
      <c r="M942" t="s">
        <v>76</v>
      </c>
      <c r="N942" t="s">
        <v>76</v>
      </c>
      <c r="O942" t="s">
        <v>77</v>
      </c>
      <c r="P942" t="s">
        <v>76</v>
      </c>
      <c r="S942" t="s">
        <v>2880</v>
      </c>
    </row>
    <row r="943" spans="1:19" x14ac:dyDescent="0.3">
      <c r="A943" t="s">
        <v>2881</v>
      </c>
      <c r="B943" t="s">
        <v>2882</v>
      </c>
      <c r="C943" t="s">
        <v>21</v>
      </c>
      <c r="D943" t="s">
        <v>63</v>
      </c>
      <c r="E943" t="s">
        <v>64</v>
      </c>
      <c r="F943" t="s">
        <v>24</v>
      </c>
      <c r="G943" t="s">
        <v>21</v>
      </c>
      <c r="H943" t="s">
        <v>26</v>
      </c>
      <c r="I943">
        <v>0</v>
      </c>
      <c r="J943">
        <v>0</v>
      </c>
      <c r="K943">
        <v>0</v>
      </c>
      <c r="L943">
        <v>0</v>
      </c>
      <c r="M943" t="s">
        <v>76</v>
      </c>
      <c r="N943" t="s">
        <v>76</v>
      </c>
      <c r="O943" t="s">
        <v>77</v>
      </c>
      <c r="P943" t="s">
        <v>76</v>
      </c>
      <c r="S943" t="s">
        <v>2882</v>
      </c>
    </row>
    <row r="944" spans="1:19" x14ac:dyDescent="0.3">
      <c r="A944" t="s">
        <v>2883</v>
      </c>
      <c r="B944" t="s">
        <v>2884</v>
      </c>
      <c r="C944" t="s">
        <v>307</v>
      </c>
      <c r="D944" t="s">
        <v>35</v>
      </c>
      <c r="E944" t="s">
        <v>150</v>
      </c>
      <c r="F944" t="s">
        <v>251</v>
      </c>
      <c r="G944" t="s">
        <v>307</v>
      </c>
      <c r="H944" t="s">
        <v>75</v>
      </c>
      <c r="I944">
        <v>0</v>
      </c>
      <c r="J944">
        <v>0</v>
      </c>
      <c r="K944">
        <v>0</v>
      </c>
      <c r="L944">
        <v>0</v>
      </c>
      <c r="M944" t="s">
        <v>76</v>
      </c>
      <c r="N944" t="s">
        <v>76</v>
      </c>
      <c r="O944" t="s">
        <v>77</v>
      </c>
      <c r="P944" t="s">
        <v>76</v>
      </c>
      <c r="S944" t="s">
        <v>2884</v>
      </c>
    </row>
    <row r="945" spans="1:19" x14ac:dyDescent="0.3">
      <c r="A945" t="s">
        <v>2885</v>
      </c>
      <c r="B945" t="s">
        <v>2886</v>
      </c>
      <c r="C945" t="s">
        <v>114</v>
      </c>
      <c r="D945" t="s">
        <v>35</v>
      </c>
      <c r="E945" t="s">
        <v>150</v>
      </c>
      <c r="F945" t="s">
        <v>114</v>
      </c>
      <c r="G945" t="s">
        <v>362</v>
      </c>
      <c r="H945" t="s">
        <v>75</v>
      </c>
      <c r="I945">
        <v>0</v>
      </c>
      <c r="J945">
        <v>0</v>
      </c>
      <c r="K945">
        <v>0</v>
      </c>
      <c r="L945">
        <v>0</v>
      </c>
      <c r="M945" t="s">
        <v>76</v>
      </c>
      <c r="N945" t="s">
        <v>76</v>
      </c>
      <c r="O945" t="s">
        <v>77</v>
      </c>
      <c r="P945" t="s">
        <v>76</v>
      </c>
      <c r="S945" t="s">
        <v>2886</v>
      </c>
    </row>
    <row r="946" spans="1:19" x14ac:dyDescent="0.3">
      <c r="A946" t="s">
        <v>2887</v>
      </c>
      <c r="B946" t="s">
        <v>2888</v>
      </c>
      <c r="C946" t="s">
        <v>24</v>
      </c>
      <c r="D946" t="s">
        <v>63</v>
      </c>
      <c r="E946" t="s">
        <v>74</v>
      </c>
      <c r="F946" t="s">
        <v>24</v>
      </c>
      <c r="G946" t="s">
        <v>2080</v>
      </c>
      <c r="H946" t="s">
        <v>26</v>
      </c>
      <c r="I946">
        <v>0</v>
      </c>
      <c r="J946">
        <v>0</v>
      </c>
      <c r="K946">
        <v>0</v>
      </c>
      <c r="L946">
        <v>0</v>
      </c>
      <c r="M946" t="s">
        <v>76</v>
      </c>
      <c r="N946" t="s">
        <v>76</v>
      </c>
      <c r="O946" t="s">
        <v>77</v>
      </c>
      <c r="P946" t="s">
        <v>76</v>
      </c>
      <c r="S946" t="s">
        <v>2888</v>
      </c>
    </row>
    <row r="947" spans="1:19" x14ac:dyDescent="0.3">
      <c r="A947" t="s">
        <v>2889</v>
      </c>
      <c r="B947" t="s">
        <v>2890</v>
      </c>
      <c r="C947" t="s">
        <v>596</v>
      </c>
      <c r="D947" t="s">
        <v>35</v>
      </c>
      <c r="E947" t="s">
        <v>80</v>
      </c>
      <c r="F947" t="s">
        <v>73</v>
      </c>
      <c r="G947" t="s">
        <v>596</v>
      </c>
      <c r="H947" t="s">
        <v>317</v>
      </c>
      <c r="I947">
        <v>0</v>
      </c>
      <c r="J947">
        <v>0</v>
      </c>
      <c r="K947">
        <v>0</v>
      </c>
      <c r="L947">
        <v>0</v>
      </c>
      <c r="M947" t="s">
        <v>76</v>
      </c>
      <c r="N947" t="s">
        <v>76</v>
      </c>
      <c r="O947" t="s">
        <v>77</v>
      </c>
      <c r="P947" t="s">
        <v>76</v>
      </c>
      <c r="S947" t="s">
        <v>2890</v>
      </c>
    </row>
    <row r="948" spans="1:19" x14ac:dyDescent="0.3">
      <c r="A948" t="s">
        <v>2891</v>
      </c>
      <c r="B948" t="s">
        <v>2892</v>
      </c>
      <c r="C948" t="s">
        <v>307</v>
      </c>
      <c r="D948" t="s">
        <v>63</v>
      </c>
      <c r="E948" t="s">
        <v>74</v>
      </c>
      <c r="F948" t="s">
        <v>251</v>
      </c>
      <c r="G948" t="s">
        <v>307</v>
      </c>
      <c r="H948" t="s">
        <v>75</v>
      </c>
      <c r="I948">
        <v>0</v>
      </c>
      <c r="J948">
        <v>0</v>
      </c>
      <c r="K948">
        <v>0</v>
      </c>
      <c r="L948">
        <v>0</v>
      </c>
      <c r="M948" t="s">
        <v>76</v>
      </c>
      <c r="N948" t="s">
        <v>76</v>
      </c>
      <c r="O948" t="s">
        <v>77</v>
      </c>
      <c r="P948" t="s">
        <v>76</v>
      </c>
      <c r="S948" t="s">
        <v>2892</v>
      </c>
    </row>
    <row r="949" spans="1:19" x14ac:dyDescent="0.3">
      <c r="A949" t="s">
        <v>2893</v>
      </c>
      <c r="B949" t="s">
        <v>2894</v>
      </c>
      <c r="C949" t="s">
        <v>43</v>
      </c>
      <c r="D949" t="s">
        <v>35</v>
      </c>
      <c r="E949" t="s">
        <v>36</v>
      </c>
      <c r="F949" t="s">
        <v>45</v>
      </c>
      <c r="G949" t="s">
        <v>43</v>
      </c>
      <c r="H949" t="s">
        <v>26</v>
      </c>
      <c r="I949">
        <v>0</v>
      </c>
      <c r="J949">
        <v>0</v>
      </c>
      <c r="K949">
        <v>0</v>
      </c>
      <c r="L949">
        <v>0</v>
      </c>
      <c r="M949" t="s">
        <v>76</v>
      </c>
      <c r="N949" t="s">
        <v>76</v>
      </c>
      <c r="O949" t="s">
        <v>77</v>
      </c>
      <c r="P949" t="s">
        <v>76</v>
      </c>
      <c r="S949" t="s">
        <v>2894</v>
      </c>
    </row>
    <row r="950" spans="1:19" x14ac:dyDescent="0.3">
      <c r="A950" t="s">
        <v>2895</v>
      </c>
      <c r="B950" t="s">
        <v>2896</v>
      </c>
      <c r="C950" t="s">
        <v>24</v>
      </c>
      <c r="D950" t="s">
        <v>63</v>
      </c>
      <c r="E950" t="s">
        <v>2897</v>
      </c>
      <c r="F950" t="s">
        <v>24</v>
      </c>
      <c r="G950" t="s">
        <v>2898</v>
      </c>
      <c r="H950" t="s">
        <v>26</v>
      </c>
      <c r="I950">
        <v>0</v>
      </c>
      <c r="J950">
        <v>0</v>
      </c>
      <c r="K950">
        <v>0</v>
      </c>
      <c r="L950">
        <v>0</v>
      </c>
      <c r="M950" t="s">
        <v>76</v>
      </c>
      <c r="N950" t="s">
        <v>76</v>
      </c>
      <c r="O950" t="s">
        <v>77</v>
      </c>
      <c r="P950" t="s">
        <v>76</v>
      </c>
      <c r="S950" t="s">
        <v>2896</v>
      </c>
    </row>
    <row r="951" spans="1:19" x14ac:dyDescent="0.3">
      <c r="A951" t="s">
        <v>2899</v>
      </c>
      <c r="B951" t="s">
        <v>2900</v>
      </c>
      <c r="C951" t="s">
        <v>24</v>
      </c>
      <c r="D951" t="s">
        <v>35</v>
      </c>
      <c r="E951" t="s">
        <v>389</v>
      </c>
      <c r="F951" t="s">
        <v>24</v>
      </c>
      <c r="G951" t="s">
        <v>2901</v>
      </c>
      <c r="H951" t="s">
        <v>26</v>
      </c>
      <c r="I951">
        <v>0</v>
      </c>
      <c r="J951">
        <v>0</v>
      </c>
      <c r="K951">
        <v>0</v>
      </c>
      <c r="L951">
        <v>0</v>
      </c>
      <c r="M951" t="s">
        <v>239</v>
      </c>
      <c r="N951" t="s">
        <v>239</v>
      </c>
      <c r="O951" t="s">
        <v>240</v>
      </c>
      <c r="P951" t="s">
        <v>239</v>
      </c>
      <c r="S951" t="s">
        <v>2900</v>
      </c>
    </row>
    <row r="952" spans="1:19" x14ac:dyDescent="0.3">
      <c r="A952" t="s">
        <v>2902</v>
      </c>
      <c r="B952" t="s">
        <v>2903</v>
      </c>
      <c r="C952" t="s">
        <v>24</v>
      </c>
      <c r="D952" t="s">
        <v>63</v>
      </c>
      <c r="E952" t="s">
        <v>315</v>
      </c>
      <c r="F952" t="s">
        <v>24</v>
      </c>
      <c r="G952" t="s">
        <v>2904</v>
      </c>
      <c r="H952" t="s">
        <v>26</v>
      </c>
      <c r="I952">
        <v>0</v>
      </c>
      <c r="J952">
        <v>0</v>
      </c>
      <c r="K952">
        <v>0</v>
      </c>
      <c r="L952">
        <v>0</v>
      </c>
      <c r="M952" t="s">
        <v>76</v>
      </c>
      <c r="N952" t="s">
        <v>76</v>
      </c>
      <c r="O952" t="s">
        <v>77</v>
      </c>
      <c r="P952" t="s">
        <v>76</v>
      </c>
      <c r="S952" t="s">
        <v>2903</v>
      </c>
    </row>
    <row r="953" spans="1:19" x14ac:dyDescent="0.3">
      <c r="A953" t="s">
        <v>2905</v>
      </c>
      <c r="B953" t="s">
        <v>2906</v>
      </c>
      <c r="C953" t="s">
        <v>43</v>
      </c>
      <c r="D953" t="s">
        <v>35</v>
      </c>
      <c r="E953" t="s">
        <v>80</v>
      </c>
      <c r="F953" t="s">
        <v>45</v>
      </c>
      <c r="G953" t="s">
        <v>43</v>
      </c>
      <c r="H953" t="s">
        <v>26</v>
      </c>
      <c r="I953">
        <v>0</v>
      </c>
      <c r="J953">
        <v>0</v>
      </c>
      <c r="K953">
        <v>0</v>
      </c>
      <c r="L953">
        <v>0</v>
      </c>
      <c r="M953" t="s">
        <v>76</v>
      </c>
      <c r="N953" t="s">
        <v>76</v>
      </c>
      <c r="O953" t="s">
        <v>77</v>
      </c>
      <c r="P953" t="s">
        <v>76</v>
      </c>
      <c r="S953" t="s">
        <v>2906</v>
      </c>
    </row>
    <row r="954" spans="1:19" x14ac:dyDescent="0.3">
      <c r="A954" t="s">
        <v>2907</v>
      </c>
      <c r="B954" t="s">
        <v>2908</v>
      </c>
      <c r="C954" t="s">
        <v>24</v>
      </c>
      <c r="D954" t="s">
        <v>63</v>
      </c>
      <c r="E954" t="s">
        <v>575</v>
      </c>
      <c r="F954" t="s">
        <v>24</v>
      </c>
      <c r="G954" t="s">
        <v>2907</v>
      </c>
      <c r="H954" t="s">
        <v>26</v>
      </c>
      <c r="I954">
        <v>0</v>
      </c>
      <c r="J954">
        <v>0</v>
      </c>
      <c r="K954">
        <v>0</v>
      </c>
      <c r="L954">
        <v>0</v>
      </c>
      <c r="M954" t="s">
        <v>76</v>
      </c>
      <c r="N954" t="s">
        <v>76</v>
      </c>
      <c r="O954" t="s">
        <v>77</v>
      </c>
      <c r="P954" t="s">
        <v>76</v>
      </c>
      <c r="S954" t="s">
        <v>2908</v>
      </c>
    </row>
    <row r="955" spans="1:19" x14ac:dyDescent="0.3">
      <c r="A955" t="s">
        <v>2909</v>
      </c>
      <c r="B955" t="s">
        <v>2910</v>
      </c>
      <c r="C955" t="s">
        <v>24</v>
      </c>
      <c r="D955" t="s">
        <v>63</v>
      </c>
      <c r="E955" t="s">
        <v>184</v>
      </c>
      <c r="F955" t="s">
        <v>55</v>
      </c>
      <c r="G955" t="s">
        <v>2911</v>
      </c>
      <c r="H955" t="s">
        <v>26</v>
      </c>
      <c r="I955">
        <v>0</v>
      </c>
      <c r="J955">
        <v>0</v>
      </c>
      <c r="K955">
        <v>0</v>
      </c>
      <c r="L955">
        <v>0</v>
      </c>
      <c r="M955" t="s">
        <v>239</v>
      </c>
      <c r="N955" t="s">
        <v>239</v>
      </c>
      <c r="O955" t="s">
        <v>240</v>
      </c>
      <c r="P955" t="s">
        <v>239</v>
      </c>
      <c r="S955" t="s">
        <v>2910</v>
      </c>
    </row>
    <row r="956" spans="1:19" x14ac:dyDescent="0.3">
      <c r="A956" t="s">
        <v>2912</v>
      </c>
      <c r="B956" t="s">
        <v>2913</v>
      </c>
      <c r="C956" t="s">
        <v>43</v>
      </c>
      <c r="D956" t="s">
        <v>485</v>
      </c>
      <c r="F956" t="s">
        <v>45</v>
      </c>
      <c r="G956" t="s">
        <v>43</v>
      </c>
      <c r="H956" t="s">
        <v>26</v>
      </c>
      <c r="I956">
        <v>0</v>
      </c>
      <c r="J956">
        <v>0</v>
      </c>
      <c r="K956">
        <v>0</v>
      </c>
      <c r="L956">
        <v>0</v>
      </c>
      <c r="M956" t="s">
        <v>76</v>
      </c>
      <c r="N956" t="s">
        <v>76</v>
      </c>
      <c r="O956" t="s">
        <v>77</v>
      </c>
      <c r="P956" t="s">
        <v>76</v>
      </c>
      <c r="S956" t="s">
        <v>2913</v>
      </c>
    </row>
    <row r="957" spans="1:19" x14ac:dyDescent="0.3">
      <c r="A957" t="s">
        <v>2914</v>
      </c>
      <c r="B957" t="s">
        <v>2915</v>
      </c>
      <c r="C957" t="s">
        <v>24</v>
      </c>
      <c r="D957" t="s">
        <v>63</v>
      </c>
      <c r="E957" t="s">
        <v>74</v>
      </c>
      <c r="F957" t="s">
        <v>55</v>
      </c>
      <c r="G957" t="s">
        <v>2916</v>
      </c>
      <c r="H957" t="s">
        <v>26</v>
      </c>
      <c r="I957">
        <v>0</v>
      </c>
      <c r="J957">
        <v>0</v>
      </c>
      <c r="K957">
        <v>0</v>
      </c>
      <c r="L957">
        <v>0</v>
      </c>
      <c r="M957" t="s">
        <v>239</v>
      </c>
      <c r="N957" t="s">
        <v>239</v>
      </c>
      <c r="O957" t="s">
        <v>240</v>
      </c>
      <c r="P957" t="s">
        <v>239</v>
      </c>
      <c r="S957" t="s">
        <v>2915</v>
      </c>
    </row>
    <row r="958" spans="1:19" x14ac:dyDescent="0.3">
      <c r="A958" t="s">
        <v>2917</v>
      </c>
      <c r="B958" t="s">
        <v>2918</v>
      </c>
      <c r="C958" t="s">
        <v>43</v>
      </c>
      <c r="D958" t="s">
        <v>35</v>
      </c>
      <c r="E958" t="s">
        <v>36</v>
      </c>
      <c r="F958" t="s">
        <v>45</v>
      </c>
      <c r="G958" t="s">
        <v>43</v>
      </c>
      <c r="H958" t="s">
        <v>26</v>
      </c>
      <c r="I958">
        <v>0</v>
      </c>
      <c r="J958">
        <v>0</v>
      </c>
      <c r="K958">
        <v>0</v>
      </c>
      <c r="L958">
        <v>0</v>
      </c>
      <c r="M958" t="s">
        <v>76</v>
      </c>
      <c r="N958" t="s">
        <v>76</v>
      </c>
      <c r="O958" t="s">
        <v>77</v>
      </c>
      <c r="P958" t="s">
        <v>76</v>
      </c>
      <c r="S958" t="s">
        <v>2918</v>
      </c>
    </row>
    <row r="959" spans="1:19" x14ac:dyDescent="0.3">
      <c r="A959" t="s">
        <v>2919</v>
      </c>
      <c r="B959" t="s">
        <v>2920</v>
      </c>
      <c r="C959" t="s">
        <v>43</v>
      </c>
      <c r="D959" t="s">
        <v>35</v>
      </c>
      <c r="E959" t="s">
        <v>36</v>
      </c>
      <c r="F959" t="s">
        <v>45</v>
      </c>
      <c r="G959" t="s">
        <v>43</v>
      </c>
      <c r="H959" t="s">
        <v>26</v>
      </c>
      <c r="I959">
        <v>0</v>
      </c>
      <c r="J959">
        <v>0</v>
      </c>
      <c r="K959">
        <v>0</v>
      </c>
      <c r="L959">
        <v>0</v>
      </c>
      <c r="M959" t="s">
        <v>76</v>
      </c>
      <c r="N959" t="s">
        <v>76</v>
      </c>
      <c r="O959" t="s">
        <v>77</v>
      </c>
      <c r="P959" t="s">
        <v>76</v>
      </c>
      <c r="S959" t="s">
        <v>2920</v>
      </c>
    </row>
    <row r="960" spans="1:19" x14ac:dyDescent="0.3">
      <c r="A960" t="s">
        <v>2921</v>
      </c>
      <c r="B960" t="s">
        <v>2922</v>
      </c>
      <c r="C960" t="s">
        <v>43</v>
      </c>
      <c r="D960" t="s">
        <v>63</v>
      </c>
      <c r="E960" t="s">
        <v>85</v>
      </c>
      <c r="F960" t="s">
        <v>45</v>
      </c>
      <c r="G960" t="s">
        <v>43</v>
      </c>
      <c r="H960" t="s">
        <v>26</v>
      </c>
      <c r="I960">
        <v>0</v>
      </c>
      <c r="J960">
        <v>0</v>
      </c>
      <c r="K960">
        <v>0</v>
      </c>
      <c r="L960">
        <v>0</v>
      </c>
      <c r="M960" t="s">
        <v>76</v>
      </c>
      <c r="N960" t="s">
        <v>76</v>
      </c>
      <c r="O960" t="s">
        <v>77</v>
      </c>
      <c r="P960" t="s">
        <v>76</v>
      </c>
      <c r="S960" t="s">
        <v>2922</v>
      </c>
    </row>
    <row r="961" spans="1:19" x14ac:dyDescent="0.3">
      <c r="A961" t="s">
        <v>2923</v>
      </c>
      <c r="B961" t="s">
        <v>2924</v>
      </c>
      <c r="C961" t="s">
        <v>43</v>
      </c>
      <c r="D961" t="s">
        <v>63</v>
      </c>
      <c r="E961" t="s">
        <v>64</v>
      </c>
      <c r="F961" t="s">
        <v>45</v>
      </c>
      <c r="G961" t="s">
        <v>43</v>
      </c>
      <c r="H961" t="s">
        <v>26</v>
      </c>
      <c r="I961">
        <v>0</v>
      </c>
      <c r="J961">
        <v>0</v>
      </c>
      <c r="K961">
        <v>0</v>
      </c>
      <c r="L961">
        <v>0</v>
      </c>
      <c r="M961" t="s">
        <v>76</v>
      </c>
      <c r="N961" t="s">
        <v>76</v>
      </c>
      <c r="O961" t="s">
        <v>77</v>
      </c>
      <c r="P961" t="s">
        <v>76</v>
      </c>
      <c r="S961" t="s">
        <v>2924</v>
      </c>
    </row>
    <row r="962" spans="1:19" x14ac:dyDescent="0.3">
      <c r="A962" t="s">
        <v>2925</v>
      </c>
      <c r="B962" t="s">
        <v>2926</v>
      </c>
      <c r="C962" t="s">
        <v>43</v>
      </c>
      <c r="D962" t="s">
        <v>63</v>
      </c>
      <c r="E962" t="s">
        <v>74</v>
      </c>
      <c r="F962" t="s">
        <v>45</v>
      </c>
      <c r="G962" t="s">
        <v>43</v>
      </c>
      <c r="H962" t="s">
        <v>26</v>
      </c>
      <c r="I962">
        <v>0</v>
      </c>
      <c r="J962">
        <v>0</v>
      </c>
      <c r="K962">
        <v>0</v>
      </c>
      <c r="L962">
        <v>0</v>
      </c>
      <c r="M962" t="s">
        <v>76</v>
      </c>
      <c r="N962" t="s">
        <v>76</v>
      </c>
      <c r="O962" t="s">
        <v>77</v>
      </c>
      <c r="P962" t="s">
        <v>76</v>
      </c>
      <c r="S962" t="s">
        <v>2926</v>
      </c>
    </row>
    <row r="963" spans="1:19" x14ac:dyDescent="0.3">
      <c r="A963" t="s">
        <v>2927</v>
      </c>
      <c r="B963" t="s">
        <v>2928</v>
      </c>
      <c r="E963" t="s">
        <v>150</v>
      </c>
      <c r="F963" t="s">
        <v>1605</v>
      </c>
      <c r="G963" t="s">
        <v>43</v>
      </c>
      <c r="H963" t="s">
        <v>26</v>
      </c>
      <c r="I963">
        <v>0</v>
      </c>
      <c r="J963">
        <v>0</v>
      </c>
      <c r="K963">
        <v>0</v>
      </c>
      <c r="L963">
        <v>0</v>
      </c>
      <c r="M963" t="s">
        <v>76</v>
      </c>
      <c r="N963" t="s">
        <v>76</v>
      </c>
      <c r="O963" t="s">
        <v>77</v>
      </c>
      <c r="P963" t="s">
        <v>76</v>
      </c>
      <c r="S963" t="s">
        <v>2928</v>
      </c>
    </row>
    <row r="964" spans="1:19" x14ac:dyDescent="0.3">
      <c r="A964" t="s">
        <v>2929</v>
      </c>
      <c r="B964" t="s">
        <v>2930</v>
      </c>
      <c r="C964" t="s">
        <v>21</v>
      </c>
      <c r="D964" t="s">
        <v>63</v>
      </c>
      <c r="E964" t="s">
        <v>74</v>
      </c>
      <c r="F964" t="s">
        <v>24</v>
      </c>
      <c r="G964" t="s">
        <v>21</v>
      </c>
      <c r="H964" t="s">
        <v>26</v>
      </c>
      <c r="I964">
        <v>0</v>
      </c>
      <c r="J964">
        <v>0</v>
      </c>
      <c r="K964">
        <v>0</v>
      </c>
      <c r="L964">
        <v>0</v>
      </c>
      <c r="M964" t="s">
        <v>76</v>
      </c>
      <c r="N964" t="s">
        <v>76</v>
      </c>
      <c r="O964" t="s">
        <v>77</v>
      </c>
      <c r="P964" t="s">
        <v>76</v>
      </c>
      <c r="S964" t="s">
        <v>2930</v>
      </c>
    </row>
    <row r="965" spans="1:19" x14ac:dyDescent="0.3">
      <c r="A965" t="s">
        <v>2931</v>
      </c>
      <c r="B965" t="s">
        <v>2932</v>
      </c>
      <c r="C965" t="s">
        <v>43</v>
      </c>
      <c r="D965" t="s">
        <v>35</v>
      </c>
      <c r="E965" t="s">
        <v>36</v>
      </c>
      <c r="F965" t="s">
        <v>45</v>
      </c>
      <c r="G965" t="s">
        <v>43</v>
      </c>
      <c r="H965" t="s">
        <v>26</v>
      </c>
      <c r="I965">
        <v>0</v>
      </c>
      <c r="J965">
        <v>0</v>
      </c>
      <c r="K965">
        <v>0</v>
      </c>
      <c r="L965">
        <v>0</v>
      </c>
      <c r="M965" t="s">
        <v>76</v>
      </c>
      <c r="N965" t="s">
        <v>76</v>
      </c>
      <c r="O965" t="s">
        <v>77</v>
      </c>
      <c r="P965" t="s">
        <v>76</v>
      </c>
      <c r="S965" t="s">
        <v>2932</v>
      </c>
    </row>
    <row r="966" spans="1:19" x14ac:dyDescent="0.3">
      <c r="A966" t="s">
        <v>2933</v>
      </c>
      <c r="B966" t="s">
        <v>2934</v>
      </c>
      <c r="C966" t="s">
        <v>43</v>
      </c>
      <c r="D966" t="s">
        <v>35</v>
      </c>
      <c r="E966" t="s">
        <v>80</v>
      </c>
      <c r="F966" t="s">
        <v>45</v>
      </c>
      <c r="G966" t="s">
        <v>43</v>
      </c>
      <c r="H966" t="s">
        <v>26</v>
      </c>
      <c r="I966">
        <v>0</v>
      </c>
      <c r="J966">
        <v>0</v>
      </c>
      <c r="K966">
        <v>0</v>
      </c>
      <c r="L966">
        <v>0</v>
      </c>
      <c r="M966" t="s">
        <v>76</v>
      </c>
      <c r="N966" t="s">
        <v>76</v>
      </c>
      <c r="O966" t="s">
        <v>77</v>
      </c>
      <c r="P966" t="s">
        <v>76</v>
      </c>
      <c r="S966" t="s">
        <v>2934</v>
      </c>
    </row>
    <row r="967" spans="1:19" x14ac:dyDescent="0.3">
      <c r="A967" t="s">
        <v>2935</v>
      </c>
      <c r="B967" t="s">
        <v>2936</v>
      </c>
      <c r="D967" t="s">
        <v>53</v>
      </c>
      <c r="E967" t="s">
        <v>54</v>
      </c>
      <c r="F967" t="s">
        <v>959</v>
      </c>
      <c r="G967" t="s">
        <v>1053</v>
      </c>
      <c r="H967" t="s">
        <v>75</v>
      </c>
      <c r="I967">
        <v>0</v>
      </c>
      <c r="J967">
        <v>0</v>
      </c>
      <c r="K967">
        <v>0</v>
      </c>
      <c r="L967">
        <v>0</v>
      </c>
      <c r="M967" t="s">
        <v>239</v>
      </c>
      <c r="N967" t="s">
        <v>239</v>
      </c>
      <c r="O967" t="s">
        <v>240</v>
      </c>
      <c r="P967" t="s">
        <v>239</v>
      </c>
      <c r="S967" t="s">
        <v>2936</v>
      </c>
    </row>
    <row r="968" spans="1:19" x14ac:dyDescent="0.3">
      <c r="A968" t="s">
        <v>2937</v>
      </c>
      <c r="B968" t="s">
        <v>2938</v>
      </c>
      <c r="C968" t="s">
        <v>43</v>
      </c>
      <c r="D968" t="s">
        <v>63</v>
      </c>
      <c r="E968" t="s">
        <v>74</v>
      </c>
      <c r="F968" t="s">
        <v>45</v>
      </c>
      <c r="G968" t="s">
        <v>43</v>
      </c>
      <c r="H968" t="s">
        <v>26</v>
      </c>
      <c r="I968">
        <v>0</v>
      </c>
      <c r="J968">
        <v>0</v>
      </c>
      <c r="K968">
        <v>0</v>
      </c>
      <c r="L968">
        <v>0</v>
      </c>
      <c r="M968" t="s">
        <v>76</v>
      </c>
      <c r="N968" t="s">
        <v>76</v>
      </c>
      <c r="O968" t="s">
        <v>77</v>
      </c>
      <c r="P968" t="s">
        <v>76</v>
      </c>
      <c r="S968" t="s">
        <v>2938</v>
      </c>
    </row>
    <row r="969" spans="1:19" x14ac:dyDescent="0.3">
      <c r="A969" t="s">
        <v>2939</v>
      </c>
      <c r="B969" t="s">
        <v>2940</v>
      </c>
      <c r="C969" t="s">
        <v>24</v>
      </c>
      <c r="D969" t="s">
        <v>35</v>
      </c>
      <c r="E969" t="s">
        <v>389</v>
      </c>
      <c r="F969" t="s">
        <v>24</v>
      </c>
      <c r="G969" t="s">
        <v>2941</v>
      </c>
      <c r="H969" t="s">
        <v>213</v>
      </c>
      <c r="I969">
        <v>0</v>
      </c>
      <c r="J969">
        <v>0</v>
      </c>
      <c r="K969">
        <v>0</v>
      </c>
      <c r="L969">
        <v>0</v>
      </c>
      <c r="M969" t="s">
        <v>76</v>
      </c>
      <c r="N969" t="s">
        <v>76</v>
      </c>
      <c r="O969" t="s">
        <v>77</v>
      </c>
      <c r="P969" t="s">
        <v>76</v>
      </c>
      <c r="S969" t="s">
        <v>2940</v>
      </c>
    </row>
    <row r="970" spans="1:19" x14ac:dyDescent="0.3">
      <c r="A970" t="s">
        <v>2942</v>
      </c>
      <c r="B970" t="s">
        <v>2943</v>
      </c>
      <c r="C970" t="s">
        <v>196</v>
      </c>
      <c r="D970" t="s">
        <v>35</v>
      </c>
      <c r="E970" t="s">
        <v>44</v>
      </c>
      <c r="F970" t="s">
        <v>228</v>
      </c>
      <c r="G970" t="s">
        <v>196</v>
      </c>
      <c r="H970" t="s">
        <v>75</v>
      </c>
      <c r="I970">
        <v>0</v>
      </c>
      <c r="J970">
        <v>0</v>
      </c>
      <c r="K970">
        <v>0</v>
      </c>
      <c r="L970">
        <v>0</v>
      </c>
      <c r="M970" t="s">
        <v>76</v>
      </c>
      <c r="N970" t="s">
        <v>76</v>
      </c>
      <c r="O970" t="s">
        <v>77</v>
      </c>
      <c r="P970" t="s">
        <v>76</v>
      </c>
      <c r="S970" t="s">
        <v>2943</v>
      </c>
    </row>
    <row r="971" spans="1:19" x14ac:dyDescent="0.3">
      <c r="A971" t="s">
        <v>2944</v>
      </c>
      <c r="B971" t="s">
        <v>2945</v>
      </c>
      <c r="C971" t="s">
        <v>24</v>
      </c>
      <c r="D971" t="s">
        <v>63</v>
      </c>
      <c r="E971" t="s">
        <v>575</v>
      </c>
      <c r="F971" t="s">
        <v>24</v>
      </c>
      <c r="G971" t="s">
        <v>2944</v>
      </c>
      <c r="H971" t="s">
        <v>26</v>
      </c>
      <c r="I971">
        <v>0</v>
      </c>
      <c r="J971">
        <v>0</v>
      </c>
      <c r="K971">
        <v>0</v>
      </c>
      <c r="L971">
        <v>0</v>
      </c>
      <c r="M971" t="s">
        <v>76</v>
      </c>
      <c r="N971" t="s">
        <v>76</v>
      </c>
      <c r="O971" t="s">
        <v>77</v>
      </c>
      <c r="P971" t="s">
        <v>76</v>
      </c>
      <c r="S971" t="s">
        <v>2945</v>
      </c>
    </row>
    <row r="972" spans="1:19" x14ac:dyDescent="0.3">
      <c r="A972" t="s">
        <v>2946</v>
      </c>
      <c r="B972" t="s">
        <v>2947</v>
      </c>
      <c r="C972" t="s">
        <v>24</v>
      </c>
      <c r="D972" t="s">
        <v>63</v>
      </c>
      <c r="E972" t="s">
        <v>74</v>
      </c>
      <c r="F972" t="s">
        <v>24</v>
      </c>
      <c r="G972" t="s">
        <v>2948</v>
      </c>
      <c r="H972" t="s">
        <v>26</v>
      </c>
      <c r="I972">
        <v>0</v>
      </c>
      <c r="J972">
        <v>0</v>
      </c>
      <c r="K972">
        <v>0</v>
      </c>
      <c r="L972">
        <v>0</v>
      </c>
      <c r="M972" t="s">
        <v>76</v>
      </c>
      <c r="N972" t="s">
        <v>76</v>
      </c>
      <c r="O972" t="s">
        <v>77</v>
      </c>
      <c r="P972" t="s">
        <v>76</v>
      </c>
      <c r="S972" t="s">
        <v>2947</v>
      </c>
    </row>
    <row r="973" spans="1:19" x14ac:dyDescent="0.3">
      <c r="A973" t="s">
        <v>2949</v>
      </c>
      <c r="B973" t="s">
        <v>2950</v>
      </c>
      <c r="C973" t="s">
        <v>21</v>
      </c>
      <c r="D973" t="s">
        <v>35</v>
      </c>
      <c r="E973" t="s">
        <v>36</v>
      </c>
      <c r="F973" t="s">
        <v>24</v>
      </c>
      <c r="G973" t="s">
        <v>21</v>
      </c>
      <c r="H973" t="s">
        <v>26</v>
      </c>
      <c r="I973">
        <v>0</v>
      </c>
      <c r="J973">
        <v>0</v>
      </c>
      <c r="K973">
        <v>0</v>
      </c>
      <c r="L973">
        <v>0</v>
      </c>
      <c r="M973" t="s">
        <v>76</v>
      </c>
      <c r="N973" t="s">
        <v>76</v>
      </c>
      <c r="O973" t="s">
        <v>77</v>
      </c>
      <c r="P973" t="s">
        <v>76</v>
      </c>
      <c r="S973" t="s">
        <v>2950</v>
      </c>
    </row>
    <row r="974" spans="1:19" x14ac:dyDescent="0.3">
      <c r="A974" t="s">
        <v>2951</v>
      </c>
      <c r="B974" t="s">
        <v>2952</v>
      </c>
      <c r="C974" t="s">
        <v>21</v>
      </c>
      <c r="D974" t="s">
        <v>63</v>
      </c>
      <c r="E974" t="s">
        <v>74</v>
      </c>
      <c r="F974" t="s">
        <v>24</v>
      </c>
      <c r="G974" t="s">
        <v>21</v>
      </c>
      <c r="H974" t="s">
        <v>26</v>
      </c>
      <c r="I974">
        <v>0</v>
      </c>
      <c r="J974">
        <v>0</v>
      </c>
      <c r="K974">
        <v>0</v>
      </c>
      <c r="L974">
        <v>0</v>
      </c>
      <c r="M974" t="s">
        <v>76</v>
      </c>
      <c r="N974" t="s">
        <v>76</v>
      </c>
      <c r="O974" t="s">
        <v>77</v>
      </c>
      <c r="P974" t="s">
        <v>76</v>
      </c>
      <c r="S974" t="s">
        <v>2952</v>
      </c>
    </row>
    <row r="975" spans="1:19" x14ac:dyDescent="0.3">
      <c r="A975" t="s">
        <v>2953</v>
      </c>
      <c r="B975" t="s">
        <v>2954</v>
      </c>
      <c r="C975" t="s">
        <v>43</v>
      </c>
      <c r="D975" t="s">
        <v>63</v>
      </c>
      <c r="E975" t="s">
        <v>85</v>
      </c>
      <c r="F975" t="s">
        <v>45</v>
      </c>
      <c r="G975" t="s">
        <v>43</v>
      </c>
      <c r="H975" t="s">
        <v>26</v>
      </c>
      <c r="I975">
        <v>0</v>
      </c>
      <c r="J975">
        <v>0</v>
      </c>
      <c r="K975">
        <v>0</v>
      </c>
      <c r="L975">
        <v>0</v>
      </c>
      <c r="M975" t="s">
        <v>76</v>
      </c>
      <c r="N975" t="s">
        <v>76</v>
      </c>
      <c r="O975" t="s">
        <v>77</v>
      </c>
      <c r="P975" t="s">
        <v>76</v>
      </c>
      <c r="S975" t="s">
        <v>2954</v>
      </c>
    </row>
    <row r="976" spans="1:19" x14ac:dyDescent="0.3">
      <c r="A976" t="s">
        <v>2955</v>
      </c>
      <c r="B976" t="s">
        <v>2956</v>
      </c>
      <c r="C976" t="s">
        <v>43</v>
      </c>
      <c r="D976" t="s">
        <v>63</v>
      </c>
      <c r="E976" t="s">
        <v>74</v>
      </c>
      <c r="F976" t="s">
        <v>45</v>
      </c>
      <c r="G976" t="s">
        <v>43</v>
      </c>
      <c r="H976" t="s">
        <v>26</v>
      </c>
      <c r="I976">
        <v>0</v>
      </c>
      <c r="J976">
        <v>0</v>
      </c>
      <c r="K976">
        <v>0</v>
      </c>
      <c r="L976">
        <v>0</v>
      </c>
      <c r="M976" t="s">
        <v>76</v>
      </c>
      <c r="N976" t="s">
        <v>76</v>
      </c>
      <c r="O976" t="s">
        <v>77</v>
      </c>
      <c r="P976" t="s">
        <v>76</v>
      </c>
      <c r="S976" t="s">
        <v>2956</v>
      </c>
    </row>
    <row r="977" spans="1:19" x14ac:dyDescent="0.3">
      <c r="A977" t="s">
        <v>2957</v>
      </c>
      <c r="B977" t="s">
        <v>2958</v>
      </c>
      <c r="C977" t="s">
        <v>43</v>
      </c>
      <c r="D977" t="s">
        <v>63</v>
      </c>
      <c r="E977" t="s">
        <v>74</v>
      </c>
      <c r="F977" t="s">
        <v>45</v>
      </c>
      <c r="G977" t="s">
        <v>43</v>
      </c>
      <c r="H977" t="s">
        <v>26</v>
      </c>
      <c r="I977">
        <v>0</v>
      </c>
      <c r="J977">
        <v>0</v>
      </c>
      <c r="K977">
        <v>0</v>
      </c>
      <c r="L977">
        <v>0</v>
      </c>
      <c r="M977" t="s">
        <v>76</v>
      </c>
      <c r="N977" t="s">
        <v>76</v>
      </c>
      <c r="O977" t="s">
        <v>77</v>
      </c>
      <c r="P977" t="s">
        <v>76</v>
      </c>
      <c r="S977" t="s">
        <v>2958</v>
      </c>
    </row>
    <row r="978" spans="1:19" x14ac:dyDescent="0.3">
      <c r="A978" t="s">
        <v>2959</v>
      </c>
      <c r="B978" t="s">
        <v>2960</v>
      </c>
      <c r="C978" t="s">
        <v>43</v>
      </c>
      <c r="D978" t="s">
        <v>63</v>
      </c>
      <c r="E978" t="s">
        <v>74</v>
      </c>
      <c r="F978" t="s">
        <v>45</v>
      </c>
      <c r="G978" t="s">
        <v>43</v>
      </c>
      <c r="H978" t="s">
        <v>26</v>
      </c>
      <c r="I978">
        <v>0</v>
      </c>
      <c r="J978">
        <v>0</v>
      </c>
      <c r="K978">
        <v>0</v>
      </c>
      <c r="L978">
        <v>0</v>
      </c>
      <c r="M978" t="s">
        <v>76</v>
      </c>
      <c r="N978" t="s">
        <v>76</v>
      </c>
      <c r="O978" t="s">
        <v>77</v>
      </c>
      <c r="P978" t="s">
        <v>76</v>
      </c>
      <c r="S978" t="s">
        <v>2960</v>
      </c>
    </row>
    <row r="979" spans="1:19" x14ac:dyDescent="0.3">
      <c r="A979" t="s">
        <v>2961</v>
      </c>
      <c r="B979" t="s">
        <v>2962</v>
      </c>
      <c r="C979" t="s">
        <v>21</v>
      </c>
      <c r="D979" t="s">
        <v>63</v>
      </c>
      <c r="E979" t="s">
        <v>74</v>
      </c>
      <c r="F979" t="s">
        <v>24</v>
      </c>
      <c r="G979" t="s">
        <v>21</v>
      </c>
      <c r="H979" t="s">
        <v>26</v>
      </c>
      <c r="I979">
        <v>0</v>
      </c>
      <c r="J979">
        <v>0</v>
      </c>
      <c r="K979">
        <v>0</v>
      </c>
      <c r="L979">
        <v>0</v>
      </c>
      <c r="M979" t="s">
        <v>76</v>
      </c>
      <c r="N979" t="s">
        <v>76</v>
      </c>
      <c r="O979" t="s">
        <v>77</v>
      </c>
      <c r="P979" t="s">
        <v>76</v>
      </c>
      <c r="S979" t="s">
        <v>2962</v>
      </c>
    </row>
    <row r="980" spans="1:19" x14ac:dyDescent="0.3">
      <c r="A980" t="s">
        <v>2963</v>
      </c>
      <c r="B980" t="s">
        <v>2964</v>
      </c>
      <c r="C980" t="s">
        <v>43</v>
      </c>
      <c r="D980" t="s">
        <v>63</v>
      </c>
      <c r="E980" t="s">
        <v>64</v>
      </c>
      <c r="F980" t="s">
        <v>45</v>
      </c>
      <c r="G980" t="s">
        <v>43</v>
      </c>
      <c r="H980" t="s">
        <v>26</v>
      </c>
      <c r="I980">
        <v>0</v>
      </c>
      <c r="J980">
        <v>0</v>
      </c>
      <c r="K980">
        <v>0</v>
      </c>
      <c r="L980">
        <v>0</v>
      </c>
      <c r="M980" t="s">
        <v>76</v>
      </c>
      <c r="N980" t="s">
        <v>76</v>
      </c>
      <c r="O980" t="s">
        <v>77</v>
      </c>
      <c r="P980" t="s">
        <v>76</v>
      </c>
      <c r="S980" t="s">
        <v>2964</v>
      </c>
    </row>
    <row r="981" spans="1:19" x14ac:dyDescent="0.3">
      <c r="A981" t="s">
        <v>2965</v>
      </c>
      <c r="B981" t="s">
        <v>2966</v>
      </c>
      <c r="C981" t="s">
        <v>43</v>
      </c>
      <c r="D981" t="s">
        <v>63</v>
      </c>
      <c r="E981" t="s">
        <v>74</v>
      </c>
      <c r="F981" t="s">
        <v>45</v>
      </c>
      <c r="G981" t="s">
        <v>43</v>
      </c>
      <c r="H981" t="s">
        <v>26</v>
      </c>
      <c r="I981">
        <v>0</v>
      </c>
      <c r="J981">
        <v>0</v>
      </c>
      <c r="K981">
        <v>0</v>
      </c>
      <c r="L981">
        <v>0</v>
      </c>
      <c r="M981" t="s">
        <v>76</v>
      </c>
      <c r="N981" t="s">
        <v>76</v>
      </c>
      <c r="O981" t="s">
        <v>77</v>
      </c>
      <c r="P981" t="s">
        <v>76</v>
      </c>
      <c r="S981" t="s">
        <v>2966</v>
      </c>
    </row>
    <row r="982" spans="1:19" x14ac:dyDescent="0.3">
      <c r="A982" t="s">
        <v>2967</v>
      </c>
      <c r="B982" t="s">
        <v>2968</v>
      </c>
      <c r="C982" t="s">
        <v>43</v>
      </c>
      <c r="D982" t="s">
        <v>35</v>
      </c>
      <c r="E982" t="s">
        <v>150</v>
      </c>
      <c r="F982" t="s">
        <v>45</v>
      </c>
      <c r="G982" t="s">
        <v>43</v>
      </c>
      <c r="H982" t="s">
        <v>26</v>
      </c>
      <c r="I982">
        <v>0</v>
      </c>
      <c r="J982">
        <v>0</v>
      </c>
      <c r="K982">
        <v>0</v>
      </c>
      <c r="L982">
        <v>0</v>
      </c>
      <c r="M982" t="s">
        <v>76</v>
      </c>
      <c r="N982" t="s">
        <v>76</v>
      </c>
      <c r="O982" t="s">
        <v>77</v>
      </c>
      <c r="P982" t="s">
        <v>76</v>
      </c>
      <c r="S982" t="s">
        <v>2968</v>
      </c>
    </row>
    <row r="983" spans="1:19" x14ac:dyDescent="0.3">
      <c r="A983" t="s">
        <v>2969</v>
      </c>
      <c r="B983" t="s">
        <v>2970</v>
      </c>
      <c r="C983" t="s">
        <v>43</v>
      </c>
      <c r="D983" t="s">
        <v>53</v>
      </c>
      <c r="E983" t="s">
        <v>178</v>
      </c>
      <c r="F983" t="s">
        <v>1605</v>
      </c>
      <c r="G983" t="s">
        <v>43</v>
      </c>
      <c r="H983" t="s">
        <v>26</v>
      </c>
      <c r="I983">
        <v>0</v>
      </c>
      <c r="J983">
        <v>0</v>
      </c>
      <c r="K983">
        <v>0</v>
      </c>
      <c r="L983">
        <v>0</v>
      </c>
      <c r="M983" t="s">
        <v>76</v>
      </c>
      <c r="N983" t="s">
        <v>76</v>
      </c>
      <c r="O983" t="s">
        <v>77</v>
      </c>
      <c r="P983" t="s">
        <v>76</v>
      </c>
      <c r="S983" t="s">
        <v>2970</v>
      </c>
    </row>
    <row r="984" spans="1:19" x14ac:dyDescent="0.3">
      <c r="A984" t="s">
        <v>2971</v>
      </c>
      <c r="B984" t="s">
        <v>2972</v>
      </c>
      <c r="C984" t="s">
        <v>307</v>
      </c>
      <c r="D984" t="s">
        <v>63</v>
      </c>
      <c r="E984" t="s">
        <v>74</v>
      </c>
      <c r="F984" t="s">
        <v>251</v>
      </c>
      <c r="G984" t="s">
        <v>307</v>
      </c>
      <c r="H984" t="s">
        <v>75</v>
      </c>
      <c r="I984">
        <v>0</v>
      </c>
      <c r="J984">
        <v>0</v>
      </c>
      <c r="K984">
        <v>0</v>
      </c>
      <c r="L984">
        <v>0</v>
      </c>
      <c r="M984" t="s">
        <v>76</v>
      </c>
      <c r="N984" t="s">
        <v>76</v>
      </c>
      <c r="O984" t="s">
        <v>77</v>
      </c>
      <c r="P984" t="s">
        <v>76</v>
      </c>
      <c r="S984" t="s">
        <v>2972</v>
      </c>
    </row>
    <row r="985" spans="1:19" x14ac:dyDescent="0.3">
      <c r="A985" t="s">
        <v>2973</v>
      </c>
      <c r="B985" t="s">
        <v>2974</v>
      </c>
      <c r="C985" t="s">
        <v>43</v>
      </c>
      <c r="D985" t="s">
        <v>63</v>
      </c>
      <c r="E985" t="s">
        <v>74</v>
      </c>
      <c r="F985" t="s">
        <v>45</v>
      </c>
      <c r="G985" t="s">
        <v>43</v>
      </c>
      <c r="H985" t="s">
        <v>26</v>
      </c>
      <c r="I985">
        <v>0</v>
      </c>
      <c r="J985">
        <v>0</v>
      </c>
      <c r="K985">
        <v>0</v>
      </c>
      <c r="L985">
        <v>0</v>
      </c>
      <c r="M985" t="s">
        <v>76</v>
      </c>
      <c r="N985" t="s">
        <v>76</v>
      </c>
      <c r="O985" t="s">
        <v>77</v>
      </c>
      <c r="P985" t="s">
        <v>76</v>
      </c>
      <c r="S985" t="s">
        <v>2974</v>
      </c>
    </row>
    <row r="986" spans="1:19" x14ac:dyDescent="0.3">
      <c r="A986" t="s">
        <v>2975</v>
      </c>
      <c r="B986" t="s">
        <v>2976</v>
      </c>
      <c r="C986" t="s">
        <v>21</v>
      </c>
      <c r="D986" t="s">
        <v>63</v>
      </c>
      <c r="E986" t="s">
        <v>74</v>
      </c>
      <c r="F986" t="s">
        <v>24</v>
      </c>
      <c r="G986" t="s">
        <v>21</v>
      </c>
      <c r="H986" t="s">
        <v>26</v>
      </c>
      <c r="I986">
        <v>0</v>
      </c>
      <c r="J986">
        <v>0</v>
      </c>
      <c r="K986">
        <v>0</v>
      </c>
      <c r="L986">
        <v>0</v>
      </c>
      <c r="M986" t="s">
        <v>76</v>
      </c>
      <c r="N986" t="s">
        <v>76</v>
      </c>
      <c r="O986" t="s">
        <v>77</v>
      </c>
      <c r="P986" t="s">
        <v>76</v>
      </c>
      <c r="S986" t="s">
        <v>2976</v>
      </c>
    </row>
    <row r="987" spans="1:19" x14ac:dyDescent="0.3">
      <c r="A987" t="s">
        <v>2977</v>
      </c>
      <c r="B987" t="s">
        <v>2978</v>
      </c>
      <c r="C987" t="s">
        <v>228</v>
      </c>
      <c r="D987" t="s">
        <v>53</v>
      </c>
      <c r="E987" t="s">
        <v>389</v>
      </c>
      <c r="F987" t="s">
        <v>195</v>
      </c>
      <c r="G987" t="s">
        <v>1065</v>
      </c>
      <c r="H987" t="s">
        <v>75</v>
      </c>
      <c r="I987">
        <v>0</v>
      </c>
      <c r="J987">
        <v>0</v>
      </c>
      <c r="K987">
        <v>0</v>
      </c>
      <c r="L987">
        <v>0</v>
      </c>
      <c r="M987" t="s">
        <v>76</v>
      </c>
      <c r="N987" t="s">
        <v>76</v>
      </c>
      <c r="O987" t="s">
        <v>77</v>
      </c>
      <c r="P987" t="s">
        <v>76</v>
      </c>
      <c r="S987" t="s">
        <v>2978</v>
      </c>
    </row>
    <row r="988" spans="1:19" x14ac:dyDescent="0.3">
      <c r="A988" t="s">
        <v>2979</v>
      </c>
      <c r="B988" t="s">
        <v>2980</v>
      </c>
      <c r="C988" t="s">
        <v>43</v>
      </c>
      <c r="D988" t="s">
        <v>35</v>
      </c>
      <c r="E988" t="s">
        <v>36</v>
      </c>
      <c r="F988" t="s">
        <v>45</v>
      </c>
      <c r="G988" t="s">
        <v>43</v>
      </c>
      <c r="H988" t="s">
        <v>26</v>
      </c>
      <c r="I988">
        <v>0</v>
      </c>
      <c r="J988">
        <v>0</v>
      </c>
      <c r="K988">
        <v>0</v>
      </c>
      <c r="L988">
        <v>0</v>
      </c>
      <c r="M988" t="s">
        <v>76</v>
      </c>
      <c r="N988" t="s">
        <v>76</v>
      </c>
      <c r="O988" t="s">
        <v>77</v>
      </c>
      <c r="P988" t="s">
        <v>76</v>
      </c>
      <c r="S988" t="s">
        <v>2980</v>
      </c>
    </row>
    <row r="989" spans="1:19" x14ac:dyDescent="0.3">
      <c r="A989" t="s">
        <v>2981</v>
      </c>
      <c r="B989" t="s">
        <v>2982</v>
      </c>
      <c r="C989" t="s">
        <v>43</v>
      </c>
      <c r="D989" t="s">
        <v>35</v>
      </c>
      <c r="E989" t="s">
        <v>36</v>
      </c>
      <c r="F989" t="s">
        <v>45</v>
      </c>
      <c r="G989" t="s">
        <v>43</v>
      </c>
      <c r="H989" t="s">
        <v>26</v>
      </c>
      <c r="I989">
        <v>0</v>
      </c>
      <c r="J989">
        <v>0</v>
      </c>
      <c r="K989">
        <v>0</v>
      </c>
      <c r="L989">
        <v>0</v>
      </c>
      <c r="M989" t="s">
        <v>76</v>
      </c>
      <c r="N989" t="s">
        <v>76</v>
      </c>
      <c r="O989" t="s">
        <v>77</v>
      </c>
      <c r="P989" t="s">
        <v>76</v>
      </c>
      <c r="S989" t="s">
        <v>2982</v>
      </c>
    </row>
    <row r="990" spans="1:19" x14ac:dyDescent="0.3">
      <c r="A990" t="s">
        <v>2983</v>
      </c>
      <c r="B990" t="s">
        <v>2984</v>
      </c>
      <c r="C990" t="s">
        <v>114</v>
      </c>
      <c r="D990" t="s">
        <v>35</v>
      </c>
      <c r="E990" t="s">
        <v>2985</v>
      </c>
      <c r="F990" t="s">
        <v>114</v>
      </c>
      <c r="G990" t="s">
        <v>362</v>
      </c>
      <c r="H990" t="s">
        <v>317</v>
      </c>
      <c r="I990">
        <v>0</v>
      </c>
      <c r="J990">
        <v>0</v>
      </c>
      <c r="K990">
        <v>0</v>
      </c>
      <c r="L990">
        <v>0</v>
      </c>
      <c r="M990" t="s">
        <v>116</v>
      </c>
      <c r="N990" t="s">
        <v>116</v>
      </c>
      <c r="O990" t="s">
        <v>116</v>
      </c>
      <c r="P990" t="s">
        <v>116</v>
      </c>
      <c r="Q990" t="s">
        <v>2986</v>
      </c>
      <c r="R990" t="s">
        <v>2987</v>
      </c>
      <c r="S990" t="s">
        <v>2984</v>
      </c>
    </row>
    <row r="991" spans="1:19" x14ac:dyDescent="0.3">
      <c r="A991" t="s">
        <v>2988</v>
      </c>
      <c r="B991" t="s">
        <v>2989</v>
      </c>
      <c r="C991" t="s">
        <v>24</v>
      </c>
      <c r="D991" t="s">
        <v>35</v>
      </c>
      <c r="E991" t="s">
        <v>2289</v>
      </c>
      <c r="F991" t="s">
        <v>55</v>
      </c>
      <c r="G991" t="s">
        <v>2988</v>
      </c>
      <c r="H991" t="s">
        <v>26</v>
      </c>
      <c r="I991">
        <v>0</v>
      </c>
      <c r="J991">
        <v>0</v>
      </c>
      <c r="K991">
        <v>0</v>
      </c>
      <c r="L991">
        <v>0</v>
      </c>
      <c r="M991" t="s">
        <v>239</v>
      </c>
      <c r="N991" t="s">
        <v>239</v>
      </c>
      <c r="O991" t="s">
        <v>240</v>
      </c>
      <c r="P991" t="s">
        <v>239</v>
      </c>
      <c r="S991" t="s">
        <v>2989</v>
      </c>
    </row>
    <row r="992" spans="1:19" x14ac:dyDescent="0.3">
      <c r="A992" t="s">
        <v>2990</v>
      </c>
      <c r="B992" t="s">
        <v>2991</v>
      </c>
      <c r="C992" t="s">
        <v>43</v>
      </c>
      <c r="D992" t="s">
        <v>63</v>
      </c>
      <c r="E992" t="s">
        <v>74</v>
      </c>
      <c r="F992" t="s">
        <v>45</v>
      </c>
      <c r="G992" t="s">
        <v>43</v>
      </c>
      <c r="H992" t="s">
        <v>26</v>
      </c>
      <c r="I992">
        <v>0</v>
      </c>
      <c r="J992">
        <v>0</v>
      </c>
      <c r="K992">
        <v>0</v>
      </c>
      <c r="L992">
        <v>0</v>
      </c>
      <c r="M992" t="s">
        <v>76</v>
      </c>
      <c r="N992" t="s">
        <v>76</v>
      </c>
      <c r="O992" t="s">
        <v>77</v>
      </c>
      <c r="P992" t="s">
        <v>76</v>
      </c>
      <c r="S992" t="s">
        <v>2991</v>
      </c>
    </row>
    <row r="993" spans="1:19" x14ac:dyDescent="0.3">
      <c r="A993" t="s">
        <v>2992</v>
      </c>
      <c r="B993" t="s">
        <v>2993</v>
      </c>
      <c r="C993" t="s">
        <v>43</v>
      </c>
      <c r="D993" t="s">
        <v>63</v>
      </c>
      <c r="E993" t="s">
        <v>74</v>
      </c>
      <c r="F993" t="s">
        <v>45</v>
      </c>
      <c r="G993" t="s">
        <v>43</v>
      </c>
      <c r="H993" t="s">
        <v>26</v>
      </c>
      <c r="I993">
        <v>0</v>
      </c>
      <c r="J993">
        <v>0</v>
      </c>
      <c r="K993">
        <v>0</v>
      </c>
      <c r="L993">
        <v>0</v>
      </c>
      <c r="M993" t="s">
        <v>76</v>
      </c>
      <c r="N993" t="s">
        <v>76</v>
      </c>
      <c r="O993" t="s">
        <v>77</v>
      </c>
      <c r="P993" t="s">
        <v>76</v>
      </c>
      <c r="S993" t="s">
        <v>2993</v>
      </c>
    </row>
    <row r="994" spans="1:19" x14ac:dyDescent="0.3">
      <c r="A994" t="s">
        <v>2994</v>
      </c>
      <c r="B994" t="s">
        <v>2995</v>
      </c>
      <c r="C994" t="s">
        <v>21</v>
      </c>
      <c r="D994" t="s">
        <v>63</v>
      </c>
      <c r="E994" t="s">
        <v>74</v>
      </c>
      <c r="F994" t="s">
        <v>24</v>
      </c>
      <c r="G994" t="s">
        <v>21</v>
      </c>
      <c r="H994" t="s">
        <v>26</v>
      </c>
      <c r="I994">
        <v>0</v>
      </c>
      <c r="J994">
        <v>0</v>
      </c>
      <c r="K994">
        <v>0</v>
      </c>
      <c r="L994">
        <v>0</v>
      </c>
      <c r="M994" t="s">
        <v>76</v>
      </c>
      <c r="N994" t="s">
        <v>76</v>
      </c>
      <c r="O994" t="s">
        <v>77</v>
      </c>
      <c r="P994" t="s">
        <v>76</v>
      </c>
      <c r="S994" t="s">
        <v>2995</v>
      </c>
    </row>
    <row r="995" spans="1:19" x14ac:dyDescent="0.3">
      <c r="A995" t="s">
        <v>2996</v>
      </c>
      <c r="B995" t="s">
        <v>2997</v>
      </c>
      <c r="C995" t="s">
        <v>73</v>
      </c>
      <c r="D995" t="s">
        <v>35</v>
      </c>
      <c r="E995" t="s">
        <v>54</v>
      </c>
      <c r="F995" t="s">
        <v>73</v>
      </c>
      <c r="G995" t="s">
        <v>71</v>
      </c>
      <c r="H995" t="s">
        <v>75</v>
      </c>
      <c r="I995">
        <v>0</v>
      </c>
      <c r="J995">
        <v>0</v>
      </c>
      <c r="K995">
        <v>0</v>
      </c>
      <c r="L995">
        <v>0</v>
      </c>
      <c r="M995" t="s">
        <v>76</v>
      </c>
      <c r="N995" t="s">
        <v>76</v>
      </c>
      <c r="O995" t="s">
        <v>77</v>
      </c>
      <c r="P995" t="s">
        <v>76</v>
      </c>
      <c r="S995" t="s">
        <v>2997</v>
      </c>
    </row>
    <row r="996" spans="1:19" x14ac:dyDescent="0.3">
      <c r="A996" t="s">
        <v>2998</v>
      </c>
      <c r="B996" t="s">
        <v>2999</v>
      </c>
      <c r="C996" t="s">
        <v>24</v>
      </c>
      <c r="D996" t="s">
        <v>63</v>
      </c>
      <c r="E996" t="s">
        <v>74</v>
      </c>
      <c r="F996" t="s">
        <v>55</v>
      </c>
      <c r="G996" t="s">
        <v>56</v>
      </c>
      <c r="H996" t="s">
        <v>26</v>
      </c>
      <c r="I996">
        <v>0</v>
      </c>
      <c r="J996">
        <v>0</v>
      </c>
      <c r="K996">
        <v>0</v>
      </c>
      <c r="L996">
        <v>0</v>
      </c>
      <c r="M996" t="s">
        <v>76</v>
      </c>
      <c r="N996" t="s">
        <v>76</v>
      </c>
      <c r="O996" t="s">
        <v>77</v>
      </c>
      <c r="P996" t="s">
        <v>76</v>
      </c>
      <c r="S996" t="s">
        <v>2999</v>
      </c>
    </row>
    <row r="997" spans="1:19" x14ac:dyDescent="0.3">
      <c r="A997" t="s">
        <v>3000</v>
      </c>
      <c r="B997" t="s">
        <v>3001</v>
      </c>
      <c r="C997" t="s">
        <v>307</v>
      </c>
      <c r="D997" t="s">
        <v>63</v>
      </c>
      <c r="E997" t="s">
        <v>74</v>
      </c>
      <c r="F997" t="s">
        <v>251</v>
      </c>
      <c r="G997" t="s">
        <v>307</v>
      </c>
      <c r="H997" t="s">
        <v>75</v>
      </c>
      <c r="I997">
        <v>0</v>
      </c>
      <c r="J997">
        <v>0</v>
      </c>
      <c r="K997">
        <v>0</v>
      </c>
      <c r="L997">
        <v>0</v>
      </c>
      <c r="M997" t="s">
        <v>76</v>
      </c>
      <c r="N997" t="s">
        <v>76</v>
      </c>
      <c r="O997" t="s">
        <v>77</v>
      </c>
      <c r="P997" t="s">
        <v>76</v>
      </c>
      <c r="S997" t="s">
        <v>3001</v>
      </c>
    </row>
    <row r="998" spans="1:19" x14ac:dyDescent="0.3">
      <c r="A998" t="s">
        <v>3002</v>
      </c>
      <c r="B998" t="s">
        <v>3003</v>
      </c>
      <c r="C998" t="s">
        <v>114</v>
      </c>
      <c r="D998" t="s">
        <v>63</v>
      </c>
      <c r="E998" t="s">
        <v>74</v>
      </c>
      <c r="F998" t="s">
        <v>114</v>
      </c>
      <c r="G998" t="s">
        <v>362</v>
      </c>
      <c r="H998" t="s">
        <v>75</v>
      </c>
      <c r="I998">
        <v>0</v>
      </c>
      <c r="J998">
        <v>0</v>
      </c>
      <c r="K998">
        <v>0</v>
      </c>
      <c r="L998">
        <v>0</v>
      </c>
      <c r="M998" t="s">
        <v>76</v>
      </c>
      <c r="N998" t="s">
        <v>76</v>
      </c>
      <c r="O998" t="s">
        <v>77</v>
      </c>
      <c r="P998" t="s">
        <v>76</v>
      </c>
      <c r="S998" t="s">
        <v>3003</v>
      </c>
    </row>
    <row r="999" spans="1:19" x14ac:dyDescent="0.3">
      <c r="A999" t="s">
        <v>3004</v>
      </c>
      <c r="B999" t="s">
        <v>3005</v>
      </c>
      <c r="C999" t="s">
        <v>114</v>
      </c>
      <c r="D999" t="s">
        <v>63</v>
      </c>
      <c r="E999" t="s">
        <v>74</v>
      </c>
      <c r="F999" t="s">
        <v>114</v>
      </c>
      <c r="G999" t="s">
        <v>362</v>
      </c>
      <c r="H999" t="s">
        <v>75</v>
      </c>
      <c r="I999">
        <v>0</v>
      </c>
      <c r="J999">
        <v>0</v>
      </c>
      <c r="K999">
        <v>0</v>
      </c>
      <c r="L999">
        <v>0</v>
      </c>
      <c r="M999" t="s">
        <v>76</v>
      </c>
      <c r="N999" t="s">
        <v>76</v>
      </c>
      <c r="O999" t="s">
        <v>77</v>
      </c>
      <c r="P999" t="s">
        <v>76</v>
      </c>
      <c r="S999" t="s">
        <v>3005</v>
      </c>
    </row>
    <row r="1000" spans="1:19" x14ac:dyDescent="0.3">
      <c r="A1000" t="s">
        <v>3006</v>
      </c>
      <c r="B1000" t="s">
        <v>3007</v>
      </c>
      <c r="E1000" t="s">
        <v>54</v>
      </c>
      <c r="F1000" t="s">
        <v>959</v>
      </c>
      <c r="G1000" t="s">
        <v>1053</v>
      </c>
      <c r="H1000" t="s">
        <v>75</v>
      </c>
      <c r="I1000">
        <v>0</v>
      </c>
      <c r="J1000">
        <v>0</v>
      </c>
      <c r="K1000">
        <v>0</v>
      </c>
      <c r="L1000">
        <v>0</v>
      </c>
      <c r="M1000" t="s">
        <v>76</v>
      </c>
      <c r="N1000" t="s">
        <v>76</v>
      </c>
      <c r="O1000" t="s">
        <v>77</v>
      </c>
      <c r="P1000" t="s">
        <v>76</v>
      </c>
      <c r="S1000" t="s">
        <v>3007</v>
      </c>
    </row>
    <row r="1001" spans="1:19" x14ac:dyDescent="0.3">
      <c r="A1001" t="s">
        <v>3008</v>
      </c>
      <c r="B1001" t="s">
        <v>3009</v>
      </c>
      <c r="C1001" t="s">
        <v>24</v>
      </c>
      <c r="D1001" t="s">
        <v>63</v>
      </c>
      <c r="E1001" t="s">
        <v>74</v>
      </c>
      <c r="F1001" t="s">
        <v>24</v>
      </c>
      <c r="G1001" t="s">
        <v>3010</v>
      </c>
      <c r="H1001" t="s">
        <v>26</v>
      </c>
      <c r="I1001">
        <v>0</v>
      </c>
      <c r="J1001">
        <v>0</v>
      </c>
      <c r="K1001">
        <v>0</v>
      </c>
      <c r="L1001">
        <v>0</v>
      </c>
      <c r="M1001" t="s">
        <v>239</v>
      </c>
      <c r="N1001" t="s">
        <v>239</v>
      </c>
      <c r="O1001" t="s">
        <v>240</v>
      </c>
      <c r="P1001" t="s">
        <v>239</v>
      </c>
      <c r="S1001" t="s">
        <v>3009</v>
      </c>
    </row>
    <row r="1002" spans="1:19" x14ac:dyDescent="0.3">
      <c r="A1002" t="s">
        <v>3011</v>
      </c>
      <c r="B1002" t="s">
        <v>3012</v>
      </c>
      <c r="C1002" t="s">
        <v>21</v>
      </c>
      <c r="D1002" t="s">
        <v>63</v>
      </c>
      <c r="E1002" t="s">
        <v>74</v>
      </c>
      <c r="F1002" t="s">
        <v>24</v>
      </c>
      <c r="G1002" t="s">
        <v>21</v>
      </c>
      <c r="H1002" t="s">
        <v>26</v>
      </c>
      <c r="I1002">
        <v>0</v>
      </c>
      <c r="J1002">
        <v>0</v>
      </c>
      <c r="K1002">
        <v>0</v>
      </c>
      <c r="L1002">
        <v>0</v>
      </c>
      <c r="M1002" t="s">
        <v>76</v>
      </c>
      <c r="N1002" t="s">
        <v>76</v>
      </c>
      <c r="O1002" t="s">
        <v>77</v>
      </c>
      <c r="P1002" t="s">
        <v>76</v>
      </c>
      <c r="S1002" t="s">
        <v>3012</v>
      </c>
    </row>
    <row r="1003" spans="1:19" x14ac:dyDescent="0.3">
      <c r="A1003" t="s">
        <v>3013</v>
      </c>
      <c r="B1003" t="s">
        <v>3014</v>
      </c>
      <c r="C1003" t="s">
        <v>24</v>
      </c>
      <c r="D1003" t="s">
        <v>63</v>
      </c>
      <c r="E1003" t="s">
        <v>74</v>
      </c>
      <c r="F1003" t="s">
        <v>144</v>
      </c>
      <c r="G1003" t="s">
        <v>1073</v>
      </c>
      <c r="H1003" t="s">
        <v>26</v>
      </c>
      <c r="I1003">
        <v>0</v>
      </c>
      <c r="J1003">
        <v>0</v>
      </c>
      <c r="K1003">
        <v>0</v>
      </c>
      <c r="L1003">
        <v>0</v>
      </c>
      <c r="M1003" t="s">
        <v>76</v>
      </c>
      <c r="N1003" t="s">
        <v>76</v>
      </c>
      <c r="O1003" t="s">
        <v>77</v>
      </c>
      <c r="P1003" t="s">
        <v>76</v>
      </c>
      <c r="S1003" t="s">
        <v>3014</v>
      </c>
    </row>
    <row r="1004" spans="1:19" x14ac:dyDescent="0.3">
      <c r="A1004" t="s">
        <v>3015</v>
      </c>
      <c r="B1004" t="s">
        <v>3016</v>
      </c>
      <c r="C1004" t="s">
        <v>21</v>
      </c>
      <c r="D1004" t="s">
        <v>35</v>
      </c>
      <c r="E1004" t="s">
        <v>80</v>
      </c>
      <c r="F1004" t="s">
        <v>24</v>
      </c>
      <c r="G1004" t="s">
        <v>21</v>
      </c>
      <c r="H1004" t="s">
        <v>26</v>
      </c>
      <c r="I1004">
        <v>0</v>
      </c>
      <c r="J1004">
        <v>0</v>
      </c>
      <c r="K1004">
        <v>0</v>
      </c>
      <c r="L1004">
        <v>0</v>
      </c>
      <c r="M1004" t="s">
        <v>76</v>
      </c>
      <c r="N1004" t="s">
        <v>76</v>
      </c>
      <c r="O1004" t="s">
        <v>77</v>
      </c>
      <c r="P1004" t="s">
        <v>76</v>
      </c>
      <c r="S1004" t="s">
        <v>3016</v>
      </c>
    </row>
    <row r="1005" spans="1:19" x14ac:dyDescent="0.3">
      <c r="A1005" t="s">
        <v>3017</v>
      </c>
      <c r="B1005" t="s">
        <v>3018</v>
      </c>
      <c r="C1005" t="s">
        <v>21</v>
      </c>
      <c r="D1005" t="s">
        <v>35</v>
      </c>
      <c r="E1005" t="s">
        <v>560</v>
      </c>
      <c r="F1005" t="s">
        <v>24</v>
      </c>
      <c r="G1005" t="s">
        <v>21</v>
      </c>
      <c r="H1005" t="s">
        <v>26</v>
      </c>
      <c r="I1005">
        <v>0</v>
      </c>
      <c r="J1005">
        <v>0</v>
      </c>
      <c r="K1005">
        <v>0</v>
      </c>
      <c r="L1005">
        <v>0</v>
      </c>
      <c r="M1005" t="s">
        <v>76</v>
      </c>
      <c r="N1005" t="s">
        <v>76</v>
      </c>
      <c r="O1005" t="s">
        <v>77</v>
      </c>
      <c r="P1005" t="s">
        <v>76</v>
      </c>
      <c r="S1005" t="s">
        <v>3018</v>
      </c>
    </row>
    <row r="1006" spans="1:19" x14ac:dyDescent="0.3">
      <c r="A1006" t="s">
        <v>3019</v>
      </c>
      <c r="B1006" t="s">
        <v>3020</v>
      </c>
      <c r="C1006" t="s">
        <v>21</v>
      </c>
      <c r="D1006" t="s">
        <v>63</v>
      </c>
      <c r="E1006" t="s">
        <v>74</v>
      </c>
      <c r="F1006" t="s">
        <v>24</v>
      </c>
      <c r="G1006" t="s">
        <v>21</v>
      </c>
      <c r="H1006" t="s">
        <v>26</v>
      </c>
      <c r="I1006">
        <v>0</v>
      </c>
      <c r="J1006">
        <v>0</v>
      </c>
      <c r="K1006">
        <v>0</v>
      </c>
      <c r="L1006">
        <v>0</v>
      </c>
      <c r="M1006" t="s">
        <v>76</v>
      </c>
      <c r="N1006" t="s">
        <v>76</v>
      </c>
      <c r="O1006" t="s">
        <v>77</v>
      </c>
      <c r="P1006" t="s">
        <v>76</v>
      </c>
      <c r="S1006" t="s">
        <v>3020</v>
      </c>
    </row>
    <row r="1007" spans="1:19" x14ac:dyDescent="0.3">
      <c r="A1007" t="s">
        <v>3021</v>
      </c>
      <c r="B1007" t="s">
        <v>3022</v>
      </c>
      <c r="C1007" t="s">
        <v>45</v>
      </c>
      <c r="D1007" t="s">
        <v>63</v>
      </c>
      <c r="E1007" t="s">
        <v>74</v>
      </c>
      <c r="F1007" t="s">
        <v>45</v>
      </c>
      <c r="G1007" t="s">
        <v>1748</v>
      </c>
      <c r="H1007" t="s">
        <v>26</v>
      </c>
      <c r="I1007">
        <v>0</v>
      </c>
      <c r="J1007">
        <v>0</v>
      </c>
      <c r="K1007">
        <v>0</v>
      </c>
      <c r="L1007">
        <v>0</v>
      </c>
      <c r="M1007" t="s">
        <v>76</v>
      </c>
      <c r="N1007" t="s">
        <v>76</v>
      </c>
      <c r="O1007" t="s">
        <v>77</v>
      </c>
      <c r="P1007" t="s">
        <v>76</v>
      </c>
      <c r="S1007" t="s">
        <v>3022</v>
      </c>
    </row>
    <row r="1008" spans="1:19" x14ac:dyDescent="0.3">
      <c r="A1008" t="s">
        <v>3023</v>
      </c>
      <c r="B1008" t="s">
        <v>3024</v>
      </c>
      <c r="C1008" t="s">
        <v>114</v>
      </c>
      <c r="D1008" t="s">
        <v>63</v>
      </c>
      <c r="E1008" t="s">
        <v>74</v>
      </c>
      <c r="F1008" t="s">
        <v>114</v>
      </c>
      <c r="G1008" t="s">
        <v>190</v>
      </c>
      <c r="H1008" t="s">
        <v>75</v>
      </c>
      <c r="I1008">
        <v>0</v>
      </c>
      <c r="J1008">
        <v>0</v>
      </c>
      <c r="K1008">
        <v>0</v>
      </c>
      <c r="L1008">
        <v>0</v>
      </c>
      <c r="M1008" t="s">
        <v>76</v>
      </c>
      <c r="N1008" t="s">
        <v>76</v>
      </c>
      <c r="O1008" t="s">
        <v>77</v>
      </c>
      <c r="P1008" t="s">
        <v>76</v>
      </c>
      <c r="S1008" t="s">
        <v>3024</v>
      </c>
    </row>
    <row r="1009" spans="1:19" x14ac:dyDescent="0.3">
      <c r="A1009" t="s">
        <v>3025</v>
      </c>
      <c r="B1009" t="s">
        <v>3026</v>
      </c>
      <c r="C1009" t="s">
        <v>114</v>
      </c>
      <c r="D1009" t="s">
        <v>63</v>
      </c>
      <c r="E1009" t="s">
        <v>74</v>
      </c>
      <c r="F1009" t="s">
        <v>114</v>
      </c>
      <c r="G1009" t="s">
        <v>362</v>
      </c>
      <c r="H1009" t="s">
        <v>75</v>
      </c>
      <c r="I1009">
        <v>0</v>
      </c>
      <c r="J1009">
        <v>0</v>
      </c>
      <c r="K1009">
        <v>0</v>
      </c>
      <c r="L1009">
        <v>0</v>
      </c>
      <c r="M1009" t="s">
        <v>76</v>
      </c>
      <c r="N1009" t="s">
        <v>76</v>
      </c>
      <c r="O1009" t="s">
        <v>77</v>
      </c>
      <c r="P1009" t="s">
        <v>76</v>
      </c>
      <c r="S1009" t="s">
        <v>3026</v>
      </c>
    </row>
    <row r="1010" spans="1:19" x14ac:dyDescent="0.3">
      <c r="A1010" t="s">
        <v>3027</v>
      </c>
      <c r="B1010" t="s">
        <v>3028</v>
      </c>
      <c r="C1010" t="s">
        <v>114</v>
      </c>
      <c r="D1010" t="s">
        <v>63</v>
      </c>
      <c r="E1010" t="s">
        <v>74</v>
      </c>
      <c r="F1010" t="s">
        <v>114</v>
      </c>
      <c r="G1010" t="s">
        <v>362</v>
      </c>
      <c r="H1010" t="s">
        <v>75</v>
      </c>
      <c r="I1010">
        <v>0</v>
      </c>
      <c r="J1010">
        <v>0</v>
      </c>
      <c r="K1010">
        <v>0</v>
      </c>
      <c r="L1010">
        <v>0</v>
      </c>
      <c r="M1010" t="s">
        <v>76</v>
      </c>
      <c r="N1010" t="s">
        <v>76</v>
      </c>
      <c r="O1010" t="s">
        <v>77</v>
      </c>
      <c r="P1010" t="s">
        <v>76</v>
      </c>
      <c r="S1010" t="s">
        <v>3028</v>
      </c>
    </row>
    <row r="1011" spans="1:19" x14ac:dyDescent="0.3">
      <c r="A1011" t="s">
        <v>3029</v>
      </c>
      <c r="B1011" t="s">
        <v>3030</v>
      </c>
      <c r="C1011" t="s">
        <v>24</v>
      </c>
      <c r="D1011" t="s">
        <v>53</v>
      </c>
      <c r="E1011" t="s">
        <v>3031</v>
      </c>
      <c r="F1011" t="s">
        <v>24</v>
      </c>
      <c r="G1011" t="s">
        <v>3032</v>
      </c>
      <c r="H1011" t="s">
        <v>26</v>
      </c>
      <c r="I1011">
        <v>0</v>
      </c>
      <c r="J1011">
        <v>0</v>
      </c>
      <c r="K1011">
        <v>0</v>
      </c>
      <c r="L1011">
        <v>0</v>
      </c>
      <c r="M1011" t="s">
        <v>76</v>
      </c>
      <c r="N1011" t="s">
        <v>76</v>
      </c>
      <c r="O1011" t="s">
        <v>77</v>
      </c>
      <c r="P1011" t="s">
        <v>76</v>
      </c>
      <c r="S1011" t="s">
        <v>3030</v>
      </c>
    </row>
    <row r="1012" spans="1:19" x14ac:dyDescent="0.3">
      <c r="A1012" t="s">
        <v>3033</v>
      </c>
      <c r="B1012" t="s">
        <v>3034</v>
      </c>
      <c r="C1012" t="s">
        <v>21</v>
      </c>
      <c r="D1012" t="s">
        <v>35</v>
      </c>
      <c r="E1012" t="s">
        <v>80</v>
      </c>
      <c r="F1012" t="s">
        <v>24</v>
      </c>
      <c r="G1012" t="s">
        <v>21</v>
      </c>
      <c r="H1012" t="s">
        <v>26</v>
      </c>
      <c r="I1012">
        <v>0</v>
      </c>
      <c r="J1012">
        <v>0</v>
      </c>
      <c r="K1012">
        <v>0</v>
      </c>
      <c r="L1012">
        <v>0</v>
      </c>
      <c r="M1012" t="s">
        <v>76</v>
      </c>
      <c r="N1012" t="s">
        <v>76</v>
      </c>
      <c r="O1012" t="s">
        <v>77</v>
      </c>
      <c r="P1012" t="s">
        <v>76</v>
      </c>
      <c r="S1012" t="s">
        <v>3034</v>
      </c>
    </row>
    <row r="1013" spans="1:19" x14ac:dyDescent="0.3">
      <c r="A1013" t="s">
        <v>3035</v>
      </c>
      <c r="B1013" t="s">
        <v>3036</v>
      </c>
      <c r="C1013" t="s">
        <v>314</v>
      </c>
      <c r="D1013" t="s">
        <v>63</v>
      </c>
      <c r="E1013" t="s">
        <v>323</v>
      </c>
      <c r="F1013" t="s">
        <v>314</v>
      </c>
      <c r="G1013" t="s">
        <v>3037</v>
      </c>
      <c r="H1013" t="s">
        <v>213</v>
      </c>
      <c r="I1013">
        <v>0</v>
      </c>
      <c r="J1013">
        <v>0</v>
      </c>
      <c r="K1013">
        <v>0</v>
      </c>
      <c r="L1013">
        <v>0</v>
      </c>
      <c r="M1013" t="s">
        <v>76</v>
      </c>
      <c r="N1013" t="s">
        <v>76</v>
      </c>
      <c r="O1013" t="s">
        <v>77</v>
      </c>
      <c r="P1013" t="s">
        <v>76</v>
      </c>
      <c r="S1013" t="s">
        <v>3036</v>
      </c>
    </row>
    <row r="1014" spans="1:19" x14ac:dyDescent="0.3">
      <c r="A1014" t="s">
        <v>3038</v>
      </c>
      <c r="B1014" t="s">
        <v>3039</v>
      </c>
      <c r="E1014" t="s">
        <v>178</v>
      </c>
      <c r="F1014" t="s">
        <v>959</v>
      </c>
      <c r="G1014" t="s">
        <v>1053</v>
      </c>
      <c r="H1014" t="s">
        <v>75</v>
      </c>
      <c r="I1014">
        <v>0</v>
      </c>
      <c r="J1014">
        <v>0</v>
      </c>
      <c r="K1014">
        <v>0</v>
      </c>
      <c r="L1014">
        <v>0</v>
      </c>
      <c r="M1014" t="s">
        <v>76</v>
      </c>
      <c r="N1014" t="s">
        <v>76</v>
      </c>
      <c r="O1014" t="s">
        <v>77</v>
      </c>
      <c r="P1014" t="s">
        <v>76</v>
      </c>
      <c r="S1014" t="s">
        <v>3039</v>
      </c>
    </row>
    <row r="1015" spans="1:19" x14ac:dyDescent="0.3">
      <c r="A1015" t="s">
        <v>3040</v>
      </c>
      <c r="B1015" t="s">
        <v>3041</v>
      </c>
      <c r="C1015" t="s">
        <v>43</v>
      </c>
      <c r="D1015" t="s">
        <v>63</v>
      </c>
      <c r="E1015" t="s">
        <v>74</v>
      </c>
      <c r="F1015" t="s">
        <v>45</v>
      </c>
      <c r="G1015" t="s">
        <v>43</v>
      </c>
      <c r="H1015" t="s">
        <v>26</v>
      </c>
      <c r="I1015">
        <v>0</v>
      </c>
      <c r="J1015">
        <v>0</v>
      </c>
      <c r="K1015">
        <v>0</v>
      </c>
      <c r="L1015">
        <v>0</v>
      </c>
      <c r="M1015" t="s">
        <v>76</v>
      </c>
      <c r="N1015" t="s">
        <v>76</v>
      </c>
      <c r="O1015" t="s">
        <v>77</v>
      </c>
      <c r="P1015" t="s">
        <v>76</v>
      </c>
      <c r="S1015" t="s">
        <v>3041</v>
      </c>
    </row>
    <row r="1016" spans="1:19" x14ac:dyDescent="0.3">
      <c r="A1016" t="s">
        <v>3042</v>
      </c>
      <c r="B1016" t="s">
        <v>3043</v>
      </c>
      <c r="C1016" t="s">
        <v>21</v>
      </c>
      <c r="D1016" t="s">
        <v>485</v>
      </c>
      <c r="F1016" t="s">
        <v>24</v>
      </c>
      <c r="G1016" t="s">
        <v>21</v>
      </c>
      <c r="H1016" t="s">
        <v>26</v>
      </c>
      <c r="I1016">
        <v>0</v>
      </c>
      <c r="J1016">
        <v>0</v>
      </c>
      <c r="K1016">
        <v>0</v>
      </c>
      <c r="L1016">
        <v>0</v>
      </c>
      <c r="M1016" t="s">
        <v>76</v>
      </c>
      <c r="N1016" t="s">
        <v>76</v>
      </c>
      <c r="O1016" t="s">
        <v>77</v>
      </c>
      <c r="P1016" t="s">
        <v>76</v>
      </c>
      <c r="S1016" t="s">
        <v>3043</v>
      </c>
    </row>
    <row r="1017" spans="1:19" x14ac:dyDescent="0.3">
      <c r="A1017" t="s">
        <v>3044</v>
      </c>
      <c r="B1017" t="s">
        <v>3045</v>
      </c>
      <c r="C1017" t="s">
        <v>43</v>
      </c>
      <c r="D1017" t="s">
        <v>63</v>
      </c>
      <c r="E1017" t="s">
        <v>64</v>
      </c>
      <c r="F1017" t="s">
        <v>45</v>
      </c>
      <c r="G1017" t="s">
        <v>43</v>
      </c>
      <c r="H1017" t="s">
        <v>26</v>
      </c>
      <c r="I1017">
        <v>0</v>
      </c>
      <c r="J1017">
        <v>0</v>
      </c>
      <c r="K1017">
        <v>0</v>
      </c>
      <c r="L1017">
        <v>0</v>
      </c>
      <c r="M1017" t="s">
        <v>76</v>
      </c>
      <c r="N1017" t="s">
        <v>76</v>
      </c>
      <c r="O1017" t="s">
        <v>77</v>
      </c>
      <c r="P1017" t="s">
        <v>76</v>
      </c>
      <c r="S1017" t="s">
        <v>3045</v>
      </c>
    </row>
    <row r="1018" spans="1:19" x14ac:dyDescent="0.3">
      <c r="A1018" t="s">
        <v>3046</v>
      </c>
      <c r="B1018" t="s">
        <v>3047</v>
      </c>
      <c r="C1018" t="s">
        <v>21</v>
      </c>
      <c r="D1018" t="s">
        <v>63</v>
      </c>
      <c r="E1018" t="s">
        <v>74</v>
      </c>
      <c r="F1018" t="s">
        <v>24</v>
      </c>
      <c r="G1018" t="s">
        <v>21</v>
      </c>
      <c r="H1018" t="s">
        <v>26</v>
      </c>
      <c r="I1018">
        <v>0</v>
      </c>
      <c r="J1018">
        <v>0</v>
      </c>
      <c r="K1018">
        <v>0</v>
      </c>
      <c r="L1018">
        <v>0</v>
      </c>
      <c r="M1018" t="s">
        <v>76</v>
      </c>
      <c r="N1018" t="s">
        <v>76</v>
      </c>
      <c r="O1018" t="s">
        <v>77</v>
      </c>
      <c r="P1018" t="s">
        <v>76</v>
      </c>
      <c r="S1018" t="s">
        <v>3047</v>
      </c>
    </row>
    <row r="1019" spans="1:19" x14ac:dyDescent="0.3">
      <c r="A1019" t="s">
        <v>3048</v>
      </c>
      <c r="B1019" t="s">
        <v>3049</v>
      </c>
      <c r="C1019" t="s">
        <v>24</v>
      </c>
      <c r="E1019" t="s">
        <v>44</v>
      </c>
      <c r="F1019" t="s">
        <v>144</v>
      </c>
      <c r="G1019" t="s">
        <v>3048</v>
      </c>
      <c r="H1019" t="s">
        <v>26</v>
      </c>
      <c r="I1019">
        <v>0</v>
      </c>
      <c r="J1019">
        <v>0</v>
      </c>
      <c r="K1019">
        <v>0</v>
      </c>
      <c r="L1019">
        <v>0</v>
      </c>
      <c r="M1019" t="s">
        <v>76</v>
      </c>
      <c r="N1019" t="s">
        <v>76</v>
      </c>
      <c r="O1019" t="s">
        <v>77</v>
      </c>
      <c r="P1019" t="s">
        <v>76</v>
      </c>
      <c r="S1019" t="s">
        <v>3049</v>
      </c>
    </row>
    <row r="1020" spans="1:19" x14ac:dyDescent="0.3">
      <c r="A1020" t="s">
        <v>3050</v>
      </c>
      <c r="B1020" t="s">
        <v>3051</v>
      </c>
      <c r="C1020" t="s">
        <v>114</v>
      </c>
      <c r="D1020" t="s">
        <v>63</v>
      </c>
      <c r="E1020" t="s">
        <v>74</v>
      </c>
      <c r="F1020" t="s">
        <v>114</v>
      </c>
      <c r="G1020" t="s">
        <v>115</v>
      </c>
      <c r="H1020" t="s">
        <v>75</v>
      </c>
      <c r="I1020">
        <v>0</v>
      </c>
      <c r="J1020">
        <v>0</v>
      </c>
      <c r="K1020">
        <v>0</v>
      </c>
      <c r="L1020">
        <v>0</v>
      </c>
      <c r="M1020" t="s">
        <v>76</v>
      </c>
      <c r="N1020" t="s">
        <v>76</v>
      </c>
      <c r="O1020" t="s">
        <v>77</v>
      </c>
      <c r="P1020" t="s">
        <v>76</v>
      </c>
      <c r="S1020" t="s">
        <v>3051</v>
      </c>
    </row>
    <row r="1021" spans="1:19" x14ac:dyDescent="0.3">
      <c r="A1021" t="s">
        <v>3052</v>
      </c>
      <c r="B1021" t="s">
        <v>3053</v>
      </c>
      <c r="C1021" t="s">
        <v>43</v>
      </c>
      <c r="D1021" t="s">
        <v>63</v>
      </c>
      <c r="E1021" t="s">
        <v>64</v>
      </c>
      <c r="F1021" t="s">
        <v>45</v>
      </c>
      <c r="G1021" t="s">
        <v>43</v>
      </c>
      <c r="H1021" t="s">
        <v>26</v>
      </c>
      <c r="I1021">
        <v>0</v>
      </c>
      <c r="J1021">
        <v>0</v>
      </c>
      <c r="K1021">
        <v>0</v>
      </c>
      <c r="L1021">
        <v>0</v>
      </c>
      <c r="M1021" t="s">
        <v>76</v>
      </c>
      <c r="N1021" t="s">
        <v>76</v>
      </c>
      <c r="O1021" t="s">
        <v>77</v>
      </c>
      <c r="P1021" t="s">
        <v>76</v>
      </c>
      <c r="S1021" t="s">
        <v>3053</v>
      </c>
    </row>
    <row r="1022" spans="1:19" x14ac:dyDescent="0.3">
      <c r="A1022" t="s">
        <v>3054</v>
      </c>
      <c r="B1022" t="s">
        <v>3055</v>
      </c>
      <c r="C1022" t="s">
        <v>43</v>
      </c>
      <c r="D1022" t="s">
        <v>35</v>
      </c>
      <c r="E1022" t="s">
        <v>36</v>
      </c>
      <c r="F1022" t="s">
        <v>45</v>
      </c>
      <c r="G1022" t="s">
        <v>43</v>
      </c>
      <c r="H1022" t="s">
        <v>26</v>
      </c>
      <c r="I1022">
        <v>0</v>
      </c>
      <c r="J1022">
        <v>0</v>
      </c>
      <c r="K1022">
        <v>0</v>
      </c>
      <c r="L1022">
        <v>0</v>
      </c>
      <c r="M1022" t="s">
        <v>76</v>
      </c>
      <c r="N1022" t="s">
        <v>76</v>
      </c>
      <c r="O1022" t="s">
        <v>77</v>
      </c>
      <c r="P1022" t="s">
        <v>76</v>
      </c>
      <c r="S1022" t="s">
        <v>3055</v>
      </c>
    </row>
    <row r="1023" spans="1:19" x14ac:dyDescent="0.3">
      <c r="A1023" t="s">
        <v>3056</v>
      </c>
      <c r="B1023" t="s">
        <v>3057</v>
      </c>
      <c r="C1023" t="s">
        <v>251</v>
      </c>
      <c r="D1023" t="s">
        <v>63</v>
      </c>
      <c r="E1023" t="s">
        <v>323</v>
      </c>
      <c r="F1023" t="s">
        <v>251</v>
      </c>
      <c r="G1023" t="s">
        <v>3058</v>
      </c>
      <c r="H1023" t="s">
        <v>213</v>
      </c>
      <c r="I1023">
        <v>0</v>
      </c>
      <c r="J1023">
        <v>0</v>
      </c>
      <c r="K1023">
        <v>0</v>
      </c>
      <c r="L1023">
        <v>0</v>
      </c>
      <c r="S1023" t="s">
        <v>3057</v>
      </c>
    </row>
    <row r="1024" spans="1:19" x14ac:dyDescent="0.3">
      <c r="A1024" t="s">
        <v>3059</v>
      </c>
      <c r="B1024" t="s">
        <v>3060</v>
      </c>
      <c r="C1024" t="s">
        <v>307</v>
      </c>
      <c r="D1024" t="s">
        <v>35</v>
      </c>
      <c r="E1024" t="s">
        <v>80</v>
      </c>
      <c r="F1024" t="s">
        <v>251</v>
      </c>
      <c r="G1024" t="s">
        <v>307</v>
      </c>
      <c r="H1024" t="s">
        <v>75</v>
      </c>
      <c r="I1024">
        <v>0</v>
      </c>
      <c r="J1024">
        <v>0</v>
      </c>
      <c r="K1024">
        <v>0</v>
      </c>
      <c r="L1024">
        <v>0</v>
      </c>
      <c r="M1024" t="s">
        <v>76</v>
      </c>
      <c r="N1024" t="s">
        <v>76</v>
      </c>
      <c r="O1024" t="s">
        <v>77</v>
      </c>
      <c r="P1024" t="s">
        <v>76</v>
      </c>
      <c r="S1024" t="s">
        <v>3060</v>
      </c>
    </row>
    <row r="1025" spans="1:19" x14ac:dyDescent="0.3">
      <c r="A1025" t="s">
        <v>3061</v>
      </c>
      <c r="B1025" t="s">
        <v>3062</v>
      </c>
      <c r="C1025" t="s">
        <v>21</v>
      </c>
      <c r="D1025" t="s">
        <v>35</v>
      </c>
      <c r="E1025" t="s">
        <v>80</v>
      </c>
      <c r="F1025" t="s">
        <v>24</v>
      </c>
      <c r="G1025" t="s">
        <v>21</v>
      </c>
      <c r="H1025" t="s">
        <v>26</v>
      </c>
      <c r="I1025">
        <v>0</v>
      </c>
      <c r="J1025">
        <v>0</v>
      </c>
      <c r="K1025">
        <v>0</v>
      </c>
      <c r="L1025">
        <v>0</v>
      </c>
      <c r="M1025" t="s">
        <v>76</v>
      </c>
      <c r="N1025" t="s">
        <v>76</v>
      </c>
      <c r="O1025" t="s">
        <v>77</v>
      </c>
      <c r="P1025" t="s">
        <v>76</v>
      </c>
      <c r="S1025" t="s">
        <v>3062</v>
      </c>
    </row>
    <row r="1026" spans="1:19" x14ac:dyDescent="0.3">
      <c r="A1026" t="s">
        <v>3063</v>
      </c>
      <c r="B1026" t="s">
        <v>3064</v>
      </c>
      <c r="C1026" t="s">
        <v>21</v>
      </c>
      <c r="D1026" t="s">
        <v>189</v>
      </c>
      <c r="F1026" t="s">
        <v>24</v>
      </c>
      <c r="G1026" t="s">
        <v>21</v>
      </c>
      <c r="H1026" t="s">
        <v>26</v>
      </c>
      <c r="I1026">
        <v>0</v>
      </c>
      <c r="J1026">
        <v>0</v>
      </c>
      <c r="K1026">
        <v>0</v>
      </c>
      <c r="L1026">
        <v>0</v>
      </c>
      <c r="M1026" t="s">
        <v>76</v>
      </c>
      <c r="N1026" t="s">
        <v>76</v>
      </c>
      <c r="O1026" t="s">
        <v>77</v>
      </c>
      <c r="P1026" t="s">
        <v>76</v>
      </c>
      <c r="S1026" t="s">
        <v>3064</v>
      </c>
    </row>
    <row r="1027" spans="1:19" x14ac:dyDescent="0.3">
      <c r="A1027" t="s">
        <v>3065</v>
      </c>
      <c r="B1027" t="s">
        <v>3066</v>
      </c>
      <c r="C1027" t="s">
        <v>24</v>
      </c>
      <c r="D1027" t="s">
        <v>35</v>
      </c>
      <c r="E1027" t="s">
        <v>80</v>
      </c>
      <c r="F1027" t="s">
        <v>24</v>
      </c>
      <c r="G1027" t="s">
        <v>3067</v>
      </c>
      <c r="H1027" t="s">
        <v>26</v>
      </c>
      <c r="I1027">
        <v>0</v>
      </c>
      <c r="J1027">
        <v>0</v>
      </c>
      <c r="K1027">
        <v>0</v>
      </c>
      <c r="L1027">
        <v>0</v>
      </c>
      <c r="M1027" t="s">
        <v>76</v>
      </c>
      <c r="N1027" t="s">
        <v>76</v>
      </c>
      <c r="O1027" t="s">
        <v>77</v>
      </c>
      <c r="P1027" t="s">
        <v>76</v>
      </c>
      <c r="S1027" t="s">
        <v>3066</v>
      </c>
    </row>
    <row r="1028" spans="1:19" x14ac:dyDescent="0.3">
      <c r="A1028" t="s">
        <v>3068</v>
      </c>
      <c r="B1028" t="s">
        <v>3069</v>
      </c>
      <c r="C1028" t="s">
        <v>196</v>
      </c>
      <c r="D1028" t="s">
        <v>63</v>
      </c>
      <c r="E1028" t="s">
        <v>74</v>
      </c>
      <c r="F1028" t="s">
        <v>228</v>
      </c>
      <c r="G1028" t="s">
        <v>196</v>
      </c>
      <c r="H1028" t="s">
        <v>75</v>
      </c>
      <c r="I1028">
        <v>0</v>
      </c>
      <c r="J1028">
        <v>0</v>
      </c>
      <c r="K1028">
        <v>0</v>
      </c>
      <c r="L1028">
        <v>0</v>
      </c>
      <c r="M1028" t="s">
        <v>76</v>
      </c>
      <c r="N1028" t="s">
        <v>76</v>
      </c>
      <c r="O1028" t="s">
        <v>77</v>
      </c>
      <c r="P1028" t="s">
        <v>76</v>
      </c>
      <c r="S1028" t="s">
        <v>3069</v>
      </c>
    </row>
    <row r="1029" spans="1:19" x14ac:dyDescent="0.3">
      <c r="A1029" t="s">
        <v>3070</v>
      </c>
      <c r="B1029" t="s">
        <v>3071</v>
      </c>
      <c r="C1029" t="s">
        <v>21</v>
      </c>
      <c r="D1029" t="s">
        <v>35</v>
      </c>
      <c r="E1029" t="s">
        <v>80</v>
      </c>
      <c r="F1029" t="s">
        <v>24</v>
      </c>
      <c r="G1029" t="s">
        <v>21</v>
      </c>
      <c r="H1029" t="s">
        <v>26</v>
      </c>
      <c r="I1029">
        <v>0</v>
      </c>
      <c r="J1029">
        <v>0</v>
      </c>
      <c r="K1029">
        <v>0</v>
      </c>
      <c r="L1029">
        <v>0</v>
      </c>
      <c r="M1029" t="s">
        <v>76</v>
      </c>
      <c r="N1029" t="s">
        <v>76</v>
      </c>
      <c r="O1029" t="s">
        <v>77</v>
      </c>
      <c r="P1029" t="s">
        <v>76</v>
      </c>
      <c r="S1029" t="s">
        <v>3071</v>
      </c>
    </row>
    <row r="1030" spans="1:19" x14ac:dyDescent="0.3">
      <c r="A1030" t="s">
        <v>3072</v>
      </c>
      <c r="B1030" t="s">
        <v>3073</v>
      </c>
      <c r="C1030" t="s">
        <v>114</v>
      </c>
      <c r="D1030" t="s">
        <v>63</v>
      </c>
      <c r="E1030" t="s">
        <v>74</v>
      </c>
      <c r="F1030" t="s">
        <v>114</v>
      </c>
      <c r="G1030" t="s">
        <v>362</v>
      </c>
      <c r="H1030" t="s">
        <v>75</v>
      </c>
      <c r="I1030">
        <v>0</v>
      </c>
      <c r="J1030">
        <v>0</v>
      </c>
      <c r="K1030">
        <v>0</v>
      </c>
      <c r="L1030">
        <v>0</v>
      </c>
      <c r="M1030" t="s">
        <v>76</v>
      </c>
      <c r="N1030" t="s">
        <v>76</v>
      </c>
      <c r="O1030" t="s">
        <v>77</v>
      </c>
      <c r="P1030" t="s">
        <v>76</v>
      </c>
      <c r="S1030" t="s">
        <v>3073</v>
      </c>
    </row>
    <row r="1031" spans="1:19" x14ac:dyDescent="0.3">
      <c r="A1031" t="s">
        <v>3074</v>
      </c>
      <c r="B1031" t="s">
        <v>3075</v>
      </c>
      <c r="C1031" t="s">
        <v>24</v>
      </c>
      <c r="D1031" t="s">
        <v>63</v>
      </c>
      <c r="E1031" t="s">
        <v>74</v>
      </c>
      <c r="F1031" t="s">
        <v>24</v>
      </c>
      <c r="G1031" t="s">
        <v>3074</v>
      </c>
      <c r="H1031" t="s">
        <v>26</v>
      </c>
      <c r="I1031">
        <v>0</v>
      </c>
      <c r="J1031">
        <v>0</v>
      </c>
      <c r="K1031">
        <v>0</v>
      </c>
      <c r="L1031">
        <v>0</v>
      </c>
      <c r="M1031" t="s">
        <v>76</v>
      </c>
      <c r="N1031" t="s">
        <v>76</v>
      </c>
      <c r="O1031" t="s">
        <v>77</v>
      </c>
      <c r="P1031" t="s">
        <v>76</v>
      </c>
      <c r="S1031" t="s">
        <v>3075</v>
      </c>
    </row>
    <row r="1032" spans="1:19" x14ac:dyDescent="0.3">
      <c r="A1032" t="s">
        <v>3076</v>
      </c>
      <c r="B1032" t="s">
        <v>3077</v>
      </c>
      <c r="C1032" t="s">
        <v>196</v>
      </c>
      <c r="D1032" t="s">
        <v>63</v>
      </c>
      <c r="E1032" t="s">
        <v>74</v>
      </c>
      <c r="F1032" t="s">
        <v>228</v>
      </c>
      <c r="G1032" t="s">
        <v>196</v>
      </c>
      <c r="H1032" t="s">
        <v>75</v>
      </c>
      <c r="I1032">
        <v>0</v>
      </c>
      <c r="J1032">
        <v>0</v>
      </c>
      <c r="K1032">
        <v>0</v>
      </c>
      <c r="L1032">
        <v>0</v>
      </c>
      <c r="M1032" t="s">
        <v>76</v>
      </c>
      <c r="N1032" t="s">
        <v>76</v>
      </c>
      <c r="O1032" t="s">
        <v>77</v>
      </c>
      <c r="P1032" t="s">
        <v>76</v>
      </c>
      <c r="S1032" t="s">
        <v>3077</v>
      </c>
    </row>
    <row r="1033" spans="1:19" x14ac:dyDescent="0.3">
      <c r="A1033" t="s">
        <v>3078</v>
      </c>
      <c r="B1033" t="s">
        <v>3079</v>
      </c>
      <c r="C1033" t="s">
        <v>24</v>
      </c>
      <c r="D1033" t="s">
        <v>35</v>
      </c>
      <c r="E1033" t="s">
        <v>560</v>
      </c>
      <c r="F1033" t="s">
        <v>24</v>
      </c>
      <c r="G1033" t="s">
        <v>3019</v>
      </c>
      <c r="H1033" t="s">
        <v>26</v>
      </c>
      <c r="I1033">
        <v>0</v>
      </c>
      <c r="J1033">
        <v>0</v>
      </c>
      <c r="K1033">
        <v>0</v>
      </c>
      <c r="L1033">
        <v>0</v>
      </c>
      <c r="M1033" t="s">
        <v>76</v>
      </c>
      <c r="N1033" t="s">
        <v>76</v>
      </c>
      <c r="O1033" t="s">
        <v>77</v>
      </c>
      <c r="P1033" t="s">
        <v>76</v>
      </c>
      <c r="S1033" t="s">
        <v>3079</v>
      </c>
    </row>
    <row r="1034" spans="1:19" x14ac:dyDescent="0.3">
      <c r="A1034" t="s">
        <v>3080</v>
      </c>
      <c r="B1034" t="s">
        <v>3081</v>
      </c>
      <c r="C1034" t="s">
        <v>24</v>
      </c>
      <c r="D1034" t="s">
        <v>35</v>
      </c>
      <c r="E1034" t="s">
        <v>389</v>
      </c>
      <c r="F1034" t="s">
        <v>24</v>
      </c>
      <c r="G1034" t="s">
        <v>3082</v>
      </c>
      <c r="H1034" t="s">
        <v>26</v>
      </c>
      <c r="I1034">
        <v>0</v>
      </c>
      <c r="J1034">
        <v>0</v>
      </c>
      <c r="K1034">
        <v>0</v>
      </c>
      <c r="L1034">
        <v>0</v>
      </c>
      <c r="M1034" t="s">
        <v>76</v>
      </c>
      <c r="N1034" t="s">
        <v>76</v>
      </c>
      <c r="O1034" t="s">
        <v>77</v>
      </c>
      <c r="P1034" t="s">
        <v>76</v>
      </c>
      <c r="S1034" t="s">
        <v>3081</v>
      </c>
    </row>
    <row r="1035" spans="1:19" x14ac:dyDescent="0.3">
      <c r="A1035" t="s">
        <v>3083</v>
      </c>
      <c r="B1035" t="s">
        <v>3084</v>
      </c>
      <c r="C1035" t="s">
        <v>45</v>
      </c>
      <c r="D1035" t="s">
        <v>35</v>
      </c>
      <c r="E1035" t="s">
        <v>80</v>
      </c>
      <c r="F1035" t="s">
        <v>45</v>
      </c>
      <c r="G1035" t="s">
        <v>1748</v>
      </c>
      <c r="H1035" t="s">
        <v>26</v>
      </c>
      <c r="I1035">
        <v>0</v>
      </c>
      <c r="J1035">
        <v>0</v>
      </c>
      <c r="K1035">
        <v>0</v>
      </c>
      <c r="L1035">
        <v>0</v>
      </c>
      <c r="M1035" t="s">
        <v>76</v>
      </c>
      <c r="N1035" t="s">
        <v>76</v>
      </c>
      <c r="O1035" t="s">
        <v>77</v>
      </c>
      <c r="P1035" t="s">
        <v>76</v>
      </c>
      <c r="S1035" t="s">
        <v>3084</v>
      </c>
    </row>
    <row r="1036" spans="1:19" x14ac:dyDescent="0.3">
      <c r="A1036" t="s">
        <v>3085</v>
      </c>
      <c r="B1036" t="s">
        <v>3086</v>
      </c>
      <c r="C1036" t="s">
        <v>228</v>
      </c>
      <c r="D1036" t="s">
        <v>63</v>
      </c>
      <c r="E1036" t="s">
        <v>323</v>
      </c>
      <c r="F1036" t="s">
        <v>228</v>
      </c>
      <c r="G1036" t="s">
        <v>3087</v>
      </c>
      <c r="H1036" t="s">
        <v>317</v>
      </c>
      <c r="I1036">
        <v>0</v>
      </c>
      <c r="J1036">
        <v>0</v>
      </c>
      <c r="K1036">
        <v>0</v>
      </c>
      <c r="L1036">
        <v>0</v>
      </c>
      <c r="M1036" t="s">
        <v>76</v>
      </c>
      <c r="N1036" t="s">
        <v>76</v>
      </c>
      <c r="O1036" t="s">
        <v>77</v>
      </c>
      <c r="P1036" t="s">
        <v>76</v>
      </c>
      <c r="S1036" t="s">
        <v>3086</v>
      </c>
    </row>
    <row r="1037" spans="1:19" x14ac:dyDescent="0.3">
      <c r="A1037" t="s">
        <v>3088</v>
      </c>
      <c r="B1037" t="s">
        <v>3089</v>
      </c>
      <c r="C1037" t="s">
        <v>43</v>
      </c>
      <c r="D1037" t="s">
        <v>63</v>
      </c>
      <c r="E1037" t="s">
        <v>74</v>
      </c>
      <c r="F1037" t="s">
        <v>45</v>
      </c>
      <c r="G1037" t="s">
        <v>43</v>
      </c>
      <c r="H1037" t="s">
        <v>26</v>
      </c>
      <c r="I1037">
        <v>0</v>
      </c>
      <c r="J1037">
        <v>0</v>
      </c>
      <c r="K1037">
        <v>0</v>
      </c>
      <c r="L1037">
        <v>0</v>
      </c>
      <c r="M1037" t="s">
        <v>76</v>
      </c>
      <c r="N1037" t="s">
        <v>76</v>
      </c>
      <c r="O1037" t="s">
        <v>77</v>
      </c>
      <c r="P1037" t="s">
        <v>76</v>
      </c>
      <c r="S1037" t="s">
        <v>3089</v>
      </c>
    </row>
    <row r="1038" spans="1:19" x14ac:dyDescent="0.3">
      <c r="A1038" t="s">
        <v>3090</v>
      </c>
      <c r="B1038" t="s">
        <v>3091</v>
      </c>
      <c r="C1038" t="s">
        <v>114</v>
      </c>
      <c r="D1038" t="s">
        <v>53</v>
      </c>
      <c r="E1038" t="s">
        <v>80</v>
      </c>
      <c r="F1038" t="s">
        <v>114</v>
      </c>
      <c r="G1038" t="s">
        <v>362</v>
      </c>
      <c r="H1038" t="s">
        <v>75</v>
      </c>
      <c r="I1038">
        <v>0</v>
      </c>
      <c r="J1038">
        <v>0</v>
      </c>
      <c r="K1038">
        <v>0</v>
      </c>
      <c r="L1038">
        <v>0</v>
      </c>
      <c r="M1038" t="s">
        <v>121</v>
      </c>
      <c r="N1038" t="s">
        <v>122</v>
      </c>
      <c r="O1038" t="s">
        <v>123</v>
      </c>
      <c r="P1038" t="s">
        <v>124</v>
      </c>
      <c r="Q1038" t="s">
        <v>3092</v>
      </c>
      <c r="R1038" t="s">
        <v>3093</v>
      </c>
      <c r="S1038" t="s">
        <v>3091</v>
      </c>
    </row>
    <row r="1039" spans="1:19" x14ac:dyDescent="0.3">
      <c r="A1039" t="s">
        <v>3094</v>
      </c>
      <c r="B1039" t="s">
        <v>3095</v>
      </c>
      <c r="C1039" t="s">
        <v>45</v>
      </c>
      <c r="D1039" t="s">
        <v>63</v>
      </c>
      <c r="E1039" t="s">
        <v>74</v>
      </c>
      <c r="F1039" t="s">
        <v>45</v>
      </c>
      <c r="G1039" t="s">
        <v>1872</v>
      </c>
      <c r="H1039" t="s">
        <v>26</v>
      </c>
      <c r="I1039">
        <v>0</v>
      </c>
      <c r="J1039">
        <v>0</v>
      </c>
      <c r="K1039">
        <v>0</v>
      </c>
      <c r="L1039">
        <v>0</v>
      </c>
      <c r="M1039" t="s">
        <v>76</v>
      </c>
      <c r="N1039" t="s">
        <v>76</v>
      </c>
      <c r="O1039" t="s">
        <v>77</v>
      </c>
      <c r="P1039" t="s">
        <v>76</v>
      </c>
      <c r="S1039" t="s">
        <v>3095</v>
      </c>
    </row>
    <row r="1040" spans="1:19" x14ac:dyDescent="0.3">
      <c r="A1040" t="s">
        <v>3096</v>
      </c>
      <c r="B1040" t="s">
        <v>3097</v>
      </c>
      <c r="C1040" t="s">
        <v>73</v>
      </c>
      <c r="D1040" t="s">
        <v>35</v>
      </c>
      <c r="E1040" t="s">
        <v>150</v>
      </c>
      <c r="F1040" t="s">
        <v>73</v>
      </c>
      <c r="G1040" t="s">
        <v>741</v>
      </c>
      <c r="H1040" t="s">
        <v>75</v>
      </c>
      <c r="I1040">
        <v>0</v>
      </c>
      <c r="J1040">
        <v>0</v>
      </c>
      <c r="K1040">
        <v>0</v>
      </c>
      <c r="L1040">
        <v>0</v>
      </c>
      <c r="M1040" t="s">
        <v>76</v>
      </c>
      <c r="N1040" t="s">
        <v>76</v>
      </c>
      <c r="O1040" t="s">
        <v>77</v>
      </c>
      <c r="P1040" t="s">
        <v>76</v>
      </c>
      <c r="S1040" t="s">
        <v>3097</v>
      </c>
    </row>
    <row r="1041" spans="1:19" x14ac:dyDescent="0.3">
      <c r="A1041" t="s">
        <v>3098</v>
      </c>
      <c r="B1041" t="s">
        <v>3099</v>
      </c>
      <c r="C1041" t="s">
        <v>21</v>
      </c>
      <c r="D1041" t="s">
        <v>35</v>
      </c>
      <c r="E1041" t="s">
        <v>80</v>
      </c>
      <c r="F1041" t="s">
        <v>24</v>
      </c>
      <c r="G1041" t="s">
        <v>21</v>
      </c>
      <c r="H1041" t="s">
        <v>26</v>
      </c>
      <c r="I1041">
        <v>0</v>
      </c>
      <c r="J1041">
        <v>0</v>
      </c>
      <c r="K1041">
        <v>0</v>
      </c>
      <c r="L1041">
        <v>0</v>
      </c>
      <c r="M1041" t="s">
        <v>76</v>
      </c>
      <c r="N1041" t="s">
        <v>76</v>
      </c>
      <c r="O1041" t="s">
        <v>77</v>
      </c>
      <c r="P1041" t="s">
        <v>76</v>
      </c>
      <c r="S1041" t="s">
        <v>3099</v>
      </c>
    </row>
    <row r="1042" spans="1:19" x14ac:dyDescent="0.3">
      <c r="A1042" t="s">
        <v>3100</v>
      </c>
      <c r="B1042" t="s">
        <v>3101</v>
      </c>
      <c r="C1042" t="s">
        <v>24</v>
      </c>
      <c r="D1042" t="s">
        <v>35</v>
      </c>
      <c r="E1042" t="s">
        <v>3031</v>
      </c>
      <c r="F1042" t="s">
        <v>24</v>
      </c>
      <c r="G1042" t="s">
        <v>3074</v>
      </c>
      <c r="H1042" t="s">
        <v>26</v>
      </c>
      <c r="I1042">
        <v>0</v>
      </c>
      <c r="J1042">
        <v>0</v>
      </c>
      <c r="K1042">
        <v>0</v>
      </c>
      <c r="L1042">
        <v>0</v>
      </c>
      <c r="M1042" t="s">
        <v>76</v>
      </c>
      <c r="N1042" t="s">
        <v>76</v>
      </c>
      <c r="O1042" t="s">
        <v>77</v>
      </c>
      <c r="P1042" t="s">
        <v>76</v>
      </c>
      <c r="S1042" t="s">
        <v>3101</v>
      </c>
    </row>
    <row r="1043" spans="1:19" x14ac:dyDescent="0.3">
      <c r="A1043" t="s">
        <v>2229</v>
      </c>
      <c r="B1043" t="s">
        <v>3102</v>
      </c>
      <c r="C1043" t="s">
        <v>45</v>
      </c>
      <c r="D1043" t="s">
        <v>63</v>
      </c>
      <c r="E1043" t="s">
        <v>2033</v>
      </c>
      <c r="F1043" t="s">
        <v>45</v>
      </c>
      <c r="G1043" t="s">
        <v>2229</v>
      </c>
      <c r="H1043" t="s">
        <v>26</v>
      </c>
      <c r="I1043">
        <v>0</v>
      </c>
      <c r="J1043">
        <v>0</v>
      </c>
      <c r="K1043">
        <v>0</v>
      </c>
      <c r="L1043">
        <v>0</v>
      </c>
      <c r="M1043" t="s">
        <v>76</v>
      </c>
      <c r="N1043" t="s">
        <v>76</v>
      </c>
      <c r="O1043" t="s">
        <v>77</v>
      </c>
      <c r="P1043" t="s">
        <v>76</v>
      </c>
      <c r="S1043" t="s">
        <v>3102</v>
      </c>
    </row>
    <row r="1044" spans="1:19" x14ac:dyDescent="0.3">
      <c r="A1044" t="s">
        <v>3103</v>
      </c>
      <c r="B1044" t="s">
        <v>3104</v>
      </c>
      <c r="C1044" t="s">
        <v>43</v>
      </c>
      <c r="D1044" t="s">
        <v>63</v>
      </c>
      <c r="E1044" t="s">
        <v>64</v>
      </c>
      <c r="F1044" t="s">
        <v>45</v>
      </c>
      <c r="G1044" t="s">
        <v>43</v>
      </c>
      <c r="H1044" t="s">
        <v>26</v>
      </c>
      <c r="I1044">
        <v>0</v>
      </c>
      <c r="J1044">
        <v>0</v>
      </c>
      <c r="K1044">
        <v>0</v>
      </c>
      <c r="L1044">
        <v>0</v>
      </c>
      <c r="M1044" t="s">
        <v>76</v>
      </c>
      <c r="N1044" t="s">
        <v>76</v>
      </c>
      <c r="O1044" t="s">
        <v>77</v>
      </c>
      <c r="P1044" t="s">
        <v>76</v>
      </c>
      <c r="S1044" t="s">
        <v>3104</v>
      </c>
    </row>
    <row r="1045" spans="1:19" x14ac:dyDescent="0.3">
      <c r="A1045" t="s">
        <v>3105</v>
      </c>
      <c r="B1045" t="s">
        <v>3106</v>
      </c>
      <c r="C1045" t="s">
        <v>251</v>
      </c>
      <c r="D1045" t="s">
        <v>35</v>
      </c>
      <c r="E1045" t="s">
        <v>400</v>
      </c>
      <c r="F1045" t="s">
        <v>251</v>
      </c>
      <c r="G1045" t="s">
        <v>3107</v>
      </c>
      <c r="H1045" t="s">
        <v>213</v>
      </c>
      <c r="I1045">
        <v>0</v>
      </c>
      <c r="J1045">
        <v>0</v>
      </c>
      <c r="K1045">
        <v>0</v>
      </c>
      <c r="L1045">
        <v>0</v>
      </c>
      <c r="S1045" t="s">
        <v>3106</v>
      </c>
    </row>
    <row r="1046" spans="1:19" x14ac:dyDescent="0.3">
      <c r="A1046" t="s">
        <v>3108</v>
      </c>
      <c r="B1046" t="s">
        <v>3109</v>
      </c>
      <c r="C1046" t="s">
        <v>43</v>
      </c>
      <c r="D1046" t="s">
        <v>63</v>
      </c>
      <c r="E1046" t="s">
        <v>74</v>
      </c>
      <c r="F1046" t="s">
        <v>45</v>
      </c>
      <c r="G1046" t="s">
        <v>43</v>
      </c>
      <c r="H1046" t="s">
        <v>26</v>
      </c>
      <c r="I1046">
        <v>0</v>
      </c>
      <c r="J1046">
        <v>0</v>
      </c>
      <c r="K1046">
        <v>0</v>
      </c>
      <c r="L1046">
        <v>0</v>
      </c>
      <c r="M1046" t="s">
        <v>76</v>
      </c>
      <c r="N1046" t="s">
        <v>76</v>
      </c>
      <c r="O1046" t="s">
        <v>77</v>
      </c>
      <c r="P1046" t="s">
        <v>76</v>
      </c>
      <c r="S1046" t="s">
        <v>3109</v>
      </c>
    </row>
    <row r="1047" spans="1:19" x14ac:dyDescent="0.3">
      <c r="A1047" t="s">
        <v>3110</v>
      </c>
      <c r="B1047" t="s">
        <v>3111</v>
      </c>
      <c r="C1047" t="s">
        <v>21</v>
      </c>
      <c r="D1047" t="s">
        <v>485</v>
      </c>
      <c r="F1047" t="s">
        <v>24</v>
      </c>
      <c r="G1047" t="s">
        <v>21</v>
      </c>
      <c r="H1047" t="s">
        <v>26</v>
      </c>
      <c r="I1047">
        <v>0</v>
      </c>
      <c r="J1047">
        <v>0</v>
      </c>
      <c r="K1047">
        <v>0</v>
      </c>
      <c r="L1047">
        <v>0</v>
      </c>
      <c r="M1047" t="s">
        <v>76</v>
      </c>
      <c r="N1047" t="s">
        <v>76</v>
      </c>
      <c r="O1047" t="s">
        <v>77</v>
      </c>
      <c r="P1047" t="s">
        <v>76</v>
      </c>
      <c r="S1047" t="s">
        <v>3111</v>
      </c>
    </row>
    <row r="1048" spans="1:19" x14ac:dyDescent="0.3">
      <c r="A1048" t="s">
        <v>3112</v>
      </c>
      <c r="B1048" t="s">
        <v>3113</v>
      </c>
      <c r="C1048" t="s">
        <v>1053</v>
      </c>
      <c r="D1048" t="s">
        <v>189</v>
      </c>
      <c r="F1048" t="s">
        <v>314</v>
      </c>
      <c r="G1048" t="s">
        <v>1053</v>
      </c>
      <c r="H1048" t="s">
        <v>75</v>
      </c>
      <c r="I1048">
        <v>0</v>
      </c>
      <c r="J1048">
        <v>0</v>
      </c>
      <c r="K1048">
        <v>0</v>
      </c>
      <c r="L1048">
        <v>0</v>
      </c>
      <c r="M1048" t="s">
        <v>76</v>
      </c>
      <c r="N1048" t="s">
        <v>76</v>
      </c>
      <c r="O1048" t="s">
        <v>77</v>
      </c>
      <c r="P1048" t="s">
        <v>76</v>
      </c>
      <c r="S1048" t="s">
        <v>3113</v>
      </c>
    </row>
    <row r="1049" spans="1:19" x14ac:dyDescent="0.3">
      <c r="A1049" t="s">
        <v>3114</v>
      </c>
      <c r="B1049" t="s">
        <v>3115</v>
      </c>
      <c r="C1049" t="s">
        <v>45</v>
      </c>
      <c r="D1049" t="s">
        <v>35</v>
      </c>
      <c r="E1049" t="s">
        <v>178</v>
      </c>
      <c r="F1049" t="s">
        <v>144</v>
      </c>
      <c r="G1049" t="s">
        <v>145</v>
      </c>
      <c r="H1049" t="s">
        <v>26</v>
      </c>
      <c r="I1049">
        <v>0</v>
      </c>
      <c r="J1049">
        <v>0</v>
      </c>
      <c r="K1049">
        <v>0</v>
      </c>
      <c r="L1049">
        <v>0</v>
      </c>
      <c r="M1049" t="s">
        <v>76</v>
      </c>
      <c r="N1049" t="s">
        <v>76</v>
      </c>
      <c r="O1049" t="s">
        <v>77</v>
      </c>
      <c r="P1049" t="s">
        <v>76</v>
      </c>
      <c r="S1049" t="s">
        <v>3115</v>
      </c>
    </row>
    <row r="1050" spans="1:19" x14ac:dyDescent="0.3">
      <c r="A1050" t="s">
        <v>3116</v>
      </c>
      <c r="B1050" t="s">
        <v>3117</v>
      </c>
      <c r="C1050" t="s">
        <v>114</v>
      </c>
      <c r="D1050" t="s">
        <v>63</v>
      </c>
      <c r="E1050" t="s">
        <v>74</v>
      </c>
      <c r="F1050" t="s">
        <v>114</v>
      </c>
      <c r="G1050" t="s">
        <v>362</v>
      </c>
      <c r="H1050" t="s">
        <v>75</v>
      </c>
      <c r="I1050">
        <v>0</v>
      </c>
      <c r="J1050">
        <v>0</v>
      </c>
      <c r="K1050">
        <v>0</v>
      </c>
      <c r="L1050">
        <v>0</v>
      </c>
      <c r="M1050" t="s">
        <v>76</v>
      </c>
      <c r="N1050" t="s">
        <v>76</v>
      </c>
      <c r="O1050" t="s">
        <v>77</v>
      </c>
      <c r="P1050" t="s">
        <v>76</v>
      </c>
      <c r="S1050" t="s">
        <v>3117</v>
      </c>
    </row>
    <row r="1051" spans="1:19" x14ac:dyDescent="0.3">
      <c r="A1051" t="s">
        <v>3118</v>
      </c>
      <c r="B1051" t="s">
        <v>3119</v>
      </c>
      <c r="C1051" t="s">
        <v>24</v>
      </c>
      <c r="D1051" t="s">
        <v>63</v>
      </c>
      <c r="E1051" t="s">
        <v>74</v>
      </c>
      <c r="F1051" t="s">
        <v>144</v>
      </c>
      <c r="G1051" t="s">
        <v>3120</v>
      </c>
      <c r="H1051" t="s">
        <v>26</v>
      </c>
      <c r="I1051">
        <v>0</v>
      </c>
      <c r="J1051">
        <v>0</v>
      </c>
      <c r="K1051">
        <v>0</v>
      </c>
      <c r="L1051">
        <v>0</v>
      </c>
      <c r="M1051" t="s">
        <v>76</v>
      </c>
      <c r="N1051" t="s">
        <v>76</v>
      </c>
      <c r="O1051" t="s">
        <v>77</v>
      </c>
      <c r="P1051" t="s">
        <v>76</v>
      </c>
      <c r="S1051" t="s">
        <v>3119</v>
      </c>
    </row>
    <row r="1052" spans="1:19" x14ac:dyDescent="0.3">
      <c r="A1052" t="s">
        <v>3121</v>
      </c>
      <c r="B1052" t="s">
        <v>3122</v>
      </c>
      <c r="E1052" t="s">
        <v>54</v>
      </c>
      <c r="F1052" t="s">
        <v>195</v>
      </c>
      <c r="G1052" t="s">
        <v>2588</v>
      </c>
      <c r="H1052" t="s">
        <v>75</v>
      </c>
      <c r="I1052">
        <v>0</v>
      </c>
      <c r="J1052">
        <v>0</v>
      </c>
      <c r="K1052">
        <v>0</v>
      </c>
      <c r="L1052">
        <v>0</v>
      </c>
      <c r="M1052" t="s">
        <v>76</v>
      </c>
      <c r="N1052" t="s">
        <v>76</v>
      </c>
      <c r="O1052" t="s">
        <v>77</v>
      </c>
      <c r="P1052" t="s">
        <v>76</v>
      </c>
      <c r="S1052" t="s">
        <v>3122</v>
      </c>
    </row>
    <row r="1053" spans="1:19" x14ac:dyDescent="0.3">
      <c r="A1053" t="s">
        <v>3123</v>
      </c>
      <c r="B1053" t="s">
        <v>3124</v>
      </c>
      <c r="C1053" t="s">
        <v>21</v>
      </c>
      <c r="D1053" t="s">
        <v>35</v>
      </c>
      <c r="E1053" t="s">
        <v>36</v>
      </c>
      <c r="F1053" t="s">
        <v>24</v>
      </c>
      <c r="G1053" t="s">
        <v>21</v>
      </c>
      <c r="H1053" t="s">
        <v>26</v>
      </c>
      <c r="I1053">
        <v>0</v>
      </c>
      <c r="J1053">
        <v>0</v>
      </c>
      <c r="K1053">
        <v>0</v>
      </c>
      <c r="L1053">
        <v>0</v>
      </c>
      <c r="M1053" t="s">
        <v>76</v>
      </c>
      <c r="N1053" t="s">
        <v>76</v>
      </c>
      <c r="O1053" t="s">
        <v>77</v>
      </c>
      <c r="P1053" t="s">
        <v>76</v>
      </c>
      <c r="S1053" t="s">
        <v>3124</v>
      </c>
    </row>
    <row r="1054" spans="1:19" x14ac:dyDescent="0.3">
      <c r="A1054" t="s">
        <v>3125</v>
      </c>
      <c r="B1054" t="s">
        <v>3126</v>
      </c>
      <c r="C1054" t="s">
        <v>21</v>
      </c>
      <c r="D1054" t="s">
        <v>53</v>
      </c>
      <c r="E1054" t="s">
        <v>331</v>
      </c>
      <c r="F1054" t="s">
        <v>24</v>
      </c>
      <c r="G1054" t="s">
        <v>25</v>
      </c>
      <c r="H1054" t="s">
        <v>26</v>
      </c>
      <c r="I1054">
        <v>0</v>
      </c>
      <c r="J1054">
        <v>0</v>
      </c>
      <c r="K1054">
        <v>0</v>
      </c>
      <c r="L1054">
        <v>0</v>
      </c>
      <c r="M1054" t="s">
        <v>76</v>
      </c>
      <c r="N1054" t="s">
        <v>76</v>
      </c>
      <c r="O1054" t="s">
        <v>77</v>
      </c>
      <c r="P1054" t="s">
        <v>76</v>
      </c>
      <c r="S1054" t="s">
        <v>3126</v>
      </c>
    </row>
    <row r="1055" spans="1:19" x14ac:dyDescent="0.3">
      <c r="A1055" t="s">
        <v>3127</v>
      </c>
      <c r="B1055" t="s">
        <v>3128</v>
      </c>
      <c r="C1055" t="s">
        <v>21</v>
      </c>
      <c r="D1055" t="s">
        <v>63</v>
      </c>
      <c r="E1055" t="s">
        <v>74</v>
      </c>
      <c r="F1055" t="s">
        <v>24</v>
      </c>
      <c r="G1055" t="s">
        <v>21</v>
      </c>
      <c r="H1055" t="s">
        <v>26</v>
      </c>
      <c r="I1055">
        <v>0</v>
      </c>
      <c r="J1055">
        <v>0</v>
      </c>
      <c r="K1055">
        <v>0</v>
      </c>
      <c r="L1055">
        <v>0</v>
      </c>
      <c r="M1055" t="s">
        <v>76</v>
      </c>
      <c r="N1055" t="s">
        <v>76</v>
      </c>
      <c r="O1055" t="s">
        <v>77</v>
      </c>
      <c r="P1055" t="s">
        <v>76</v>
      </c>
      <c r="S1055" t="s">
        <v>3128</v>
      </c>
    </row>
    <row r="1056" spans="1:19" x14ac:dyDescent="0.3">
      <c r="A1056" t="s">
        <v>3129</v>
      </c>
      <c r="B1056" t="s">
        <v>3130</v>
      </c>
      <c r="C1056" t="s">
        <v>43</v>
      </c>
      <c r="D1056" t="s">
        <v>63</v>
      </c>
      <c r="E1056" t="s">
        <v>64</v>
      </c>
      <c r="F1056" t="s">
        <v>45</v>
      </c>
      <c r="G1056" t="s">
        <v>43</v>
      </c>
      <c r="H1056" t="s">
        <v>26</v>
      </c>
      <c r="I1056">
        <v>0</v>
      </c>
      <c r="J1056">
        <v>0</v>
      </c>
      <c r="K1056">
        <v>0</v>
      </c>
      <c r="L1056">
        <v>0</v>
      </c>
      <c r="M1056" t="s">
        <v>76</v>
      </c>
      <c r="N1056" t="s">
        <v>76</v>
      </c>
      <c r="O1056" t="s">
        <v>77</v>
      </c>
      <c r="P1056" t="s">
        <v>76</v>
      </c>
      <c r="S1056" t="s">
        <v>3130</v>
      </c>
    </row>
    <row r="1057" spans="1:19" x14ac:dyDescent="0.3">
      <c r="A1057" t="s">
        <v>3131</v>
      </c>
      <c r="B1057" t="s">
        <v>3132</v>
      </c>
      <c r="C1057" t="s">
        <v>307</v>
      </c>
      <c r="D1057" t="s">
        <v>63</v>
      </c>
      <c r="E1057" t="s">
        <v>74</v>
      </c>
      <c r="F1057" t="s">
        <v>251</v>
      </c>
      <c r="G1057" t="s">
        <v>307</v>
      </c>
      <c r="H1057" t="s">
        <v>75</v>
      </c>
      <c r="I1057">
        <v>0</v>
      </c>
      <c r="J1057">
        <v>0</v>
      </c>
      <c r="K1057">
        <v>0</v>
      </c>
      <c r="L1057">
        <v>0</v>
      </c>
      <c r="M1057" t="s">
        <v>76</v>
      </c>
      <c r="N1057" t="s">
        <v>76</v>
      </c>
      <c r="O1057" t="s">
        <v>77</v>
      </c>
      <c r="P1057" t="s">
        <v>76</v>
      </c>
      <c r="S1057" t="s">
        <v>3132</v>
      </c>
    </row>
    <row r="1058" spans="1:19" x14ac:dyDescent="0.3">
      <c r="A1058" t="s">
        <v>3133</v>
      </c>
      <c r="B1058" t="s">
        <v>3134</v>
      </c>
      <c r="C1058" t="s">
        <v>228</v>
      </c>
      <c r="D1058" t="s">
        <v>35</v>
      </c>
      <c r="E1058" t="s">
        <v>150</v>
      </c>
      <c r="F1058" t="s">
        <v>228</v>
      </c>
      <c r="G1058" t="s">
        <v>3135</v>
      </c>
      <c r="H1058" t="s">
        <v>75</v>
      </c>
      <c r="I1058">
        <v>0</v>
      </c>
      <c r="J1058">
        <v>0</v>
      </c>
      <c r="K1058">
        <v>0</v>
      </c>
      <c r="L1058">
        <v>0</v>
      </c>
      <c r="M1058" t="s">
        <v>76</v>
      </c>
      <c r="N1058" t="s">
        <v>76</v>
      </c>
      <c r="O1058" t="s">
        <v>77</v>
      </c>
      <c r="P1058" t="s">
        <v>76</v>
      </c>
      <c r="S1058" t="s">
        <v>3134</v>
      </c>
    </row>
    <row r="1059" spans="1:19" x14ac:dyDescent="0.3">
      <c r="A1059" t="s">
        <v>3136</v>
      </c>
      <c r="B1059" t="s">
        <v>3137</v>
      </c>
      <c r="C1059" t="s">
        <v>243</v>
      </c>
      <c r="D1059" t="s">
        <v>63</v>
      </c>
      <c r="E1059" t="s">
        <v>74</v>
      </c>
      <c r="F1059" t="s">
        <v>243</v>
      </c>
      <c r="G1059" t="s">
        <v>244</v>
      </c>
      <c r="H1059" t="s">
        <v>75</v>
      </c>
      <c r="I1059">
        <v>0</v>
      </c>
      <c r="J1059">
        <v>0</v>
      </c>
      <c r="K1059">
        <v>0</v>
      </c>
      <c r="L1059">
        <v>0</v>
      </c>
      <c r="M1059" t="s">
        <v>76</v>
      </c>
      <c r="N1059" t="s">
        <v>76</v>
      </c>
      <c r="O1059" t="s">
        <v>77</v>
      </c>
      <c r="P1059" t="s">
        <v>76</v>
      </c>
      <c r="S1059" t="s">
        <v>3137</v>
      </c>
    </row>
    <row r="1060" spans="1:19" x14ac:dyDescent="0.3">
      <c r="A1060" t="s">
        <v>3138</v>
      </c>
      <c r="B1060" t="s">
        <v>3139</v>
      </c>
      <c r="C1060" t="s">
        <v>307</v>
      </c>
      <c r="D1060" t="s">
        <v>63</v>
      </c>
      <c r="E1060" t="s">
        <v>74</v>
      </c>
      <c r="F1060" t="s">
        <v>251</v>
      </c>
      <c r="G1060" t="s">
        <v>307</v>
      </c>
      <c r="H1060" t="s">
        <v>75</v>
      </c>
      <c r="I1060">
        <v>0</v>
      </c>
      <c r="J1060">
        <v>0</v>
      </c>
      <c r="K1060">
        <v>0</v>
      </c>
      <c r="L1060">
        <v>0</v>
      </c>
      <c r="M1060" t="s">
        <v>76</v>
      </c>
      <c r="N1060" t="s">
        <v>76</v>
      </c>
      <c r="O1060" t="s">
        <v>77</v>
      </c>
      <c r="P1060" t="s">
        <v>76</v>
      </c>
      <c r="S1060" t="s">
        <v>3139</v>
      </c>
    </row>
    <row r="1061" spans="1:19" x14ac:dyDescent="0.3">
      <c r="A1061" t="s">
        <v>3140</v>
      </c>
      <c r="B1061" t="s">
        <v>3141</v>
      </c>
      <c r="C1061" t="s">
        <v>45</v>
      </c>
      <c r="D1061" t="s">
        <v>63</v>
      </c>
      <c r="E1061" t="s">
        <v>74</v>
      </c>
      <c r="F1061" t="s">
        <v>144</v>
      </c>
      <c r="G1061" t="s">
        <v>145</v>
      </c>
      <c r="H1061" t="s">
        <v>26</v>
      </c>
      <c r="I1061">
        <v>0</v>
      </c>
      <c r="J1061">
        <v>0</v>
      </c>
      <c r="K1061">
        <v>0</v>
      </c>
      <c r="L1061">
        <v>0</v>
      </c>
      <c r="M1061" t="s">
        <v>76</v>
      </c>
      <c r="N1061" t="s">
        <v>76</v>
      </c>
      <c r="O1061" t="s">
        <v>77</v>
      </c>
      <c r="P1061" t="s">
        <v>76</v>
      </c>
      <c r="S1061" t="s">
        <v>3141</v>
      </c>
    </row>
    <row r="1062" spans="1:19" x14ac:dyDescent="0.3">
      <c r="A1062" t="s">
        <v>3142</v>
      </c>
      <c r="B1062" t="s">
        <v>3143</v>
      </c>
      <c r="C1062" t="s">
        <v>45</v>
      </c>
      <c r="D1062" t="s">
        <v>63</v>
      </c>
      <c r="E1062" t="s">
        <v>74</v>
      </c>
      <c r="F1062" t="s">
        <v>144</v>
      </c>
      <c r="G1062" t="s">
        <v>3142</v>
      </c>
      <c r="H1062" t="s">
        <v>26</v>
      </c>
      <c r="I1062">
        <v>0</v>
      </c>
      <c r="J1062">
        <v>0</v>
      </c>
      <c r="K1062">
        <v>0</v>
      </c>
      <c r="L1062">
        <v>0</v>
      </c>
      <c r="M1062" t="s">
        <v>76</v>
      </c>
      <c r="N1062" t="s">
        <v>76</v>
      </c>
      <c r="O1062" t="s">
        <v>77</v>
      </c>
      <c r="P1062" t="s">
        <v>76</v>
      </c>
      <c r="S1062" t="s">
        <v>3143</v>
      </c>
    </row>
    <row r="1063" spans="1:19" x14ac:dyDescent="0.3">
      <c r="A1063" t="s">
        <v>3144</v>
      </c>
      <c r="B1063" t="s">
        <v>3145</v>
      </c>
      <c r="C1063" t="s">
        <v>24</v>
      </c>
      <c r="D1063" t="s">
        <v>63</v>
      </c>
      <c r="E1063" t="s">
        <v>1132</v>
      </c>
      <c r="F1063" t="s">
        <v>144</v>
      </c>
      <c r="G1063" t="s">
        <v>3144</v>
      </c>
      <c r="H1063" t="s">
        <v>26</v>
      </c>
      <c r="I1063">
        <v>0</v>
      </c>
      <c r="J1063">
        <v>0</v>
      </c>
      <c r="K1063">
        <v>0</v>
      </c>
      <c r="L1063">
        <v>0</v>
      </c>
      <c r="M1063" t="s">
        <v>76</v>
      </c>
      <c r="N1063" t="s">
        <v>76</v>
      </c>
      <c r="O1063" t="s">
        <v>77</v>
      </c>
      <c r="P1063" t="s">
        <v>76</v>
      </c>
      <c r="S1063" t="s">
        <v>3145</v>
      </c>
    </row>
    <row r="1064" spans="1:19" x14ac:dyDescent="0.3">
      <c r="A1064" t="s">
        <v>3146</v>
      </c>
      <c r="B1064" t="s">
        <v>3147</v>
      </c>
      <c r="C1064" t="s">
        <v>24</v>
      </c>
      <c r="D1064" t="s">
        <v>35</v>
      </c>
      <c r="E1064" t="s">
        <v>128</v>
      </c>
      <c r="F1064" t="s">
        <v>144</v>
      </c>
      <c r="G1064" t="s">
        <v>145</v>
      </c>
      <c r="H1064" t="s">
        <v>26</v>
      </c>
      <c r="I1064">
        <v>0</v>
      </c>
      <c r="J1064">
        <v>0</v>
      </c>
      <c r="K1064">
        <v>0</v>
      </c>
      <c r="L1064">
        <v>0</v>
      </c>
      <c r="M1064" t="s">
        <v>76</v>
      </c>
      <c r="N1064" t="s">
        <v>76</v>
      </c>
      <c r="O1064" t="s">
        <v>77</v>
      </c>
      <c r="P1064" t="s">
        <v>76</v>
      </c>
      <c r="S1064" t="s">
        <v>3147</v>
      </c>
    </row>
    <row r="1065" spans="1:19" x14ac:dyDescent="0.3">
      <c r="A1065" t="s">
        <v>3148</v>
      </c>
      <c r="B1065" t="s">
        <v>3149</v>
      </c>
      <c r="C1065" t="s">
        <v>24</v>
      </c>
      <c r="D1065" t="s">
        <v>63</v>
      </c>
      <c r="E1065" t="s">
        <v>1132</v>
      </c>
      <c r="F1065" t="s">
        <v>144</v>
      </c>
      <c r="G1065" t="s">
        <v>2598</v>
      </c>
      <c r="H1065" t="s">
        <v>26</v>
      </c>
      <c r="I1065">
        <v>0</v>
      </c>
      <c r="J1065">
        <v>0</v>
      </c>
      <c r="K1065">
        <v>0</v>
      </c>
      <c r="L1065">
        <v>0</v>
      </c>
      <c r="M1065" t="s">
        <v>76</v>
      </c>
      <c r="N1065" t="s">
        <v>76</v>
      </c>
      <c r="O1065" t="s">
        <v>77</v>
      </c>
      <c r="P1065" t="s">
        <v>76</v>
      </c>
      <c r="S1065" t="s">
        <v>3149</v>
      </c>
    </row>
    <row r="1066" spans="1:19" x14ac:dyDescent="0.3">
      <c r="A1066" t="s">
        <v>3150</v>
      </c>
      <c r="B1066" t="s">
        <v>3151</v>
      </c>
      <c r="C1066" t="s">
        <v>243</v>
      </c>
      <c r="D1066" t="s">
        <v>63</v>
      </c>
      <c r="E1066" t="s">
        <v>74</v>
      </c>
      <c r="F1066" t="s">
        <v>243</v>
      </c>
      <c r="G1066" t="s">
        <v>244</v>
      </c>
      <c r="H1066" t="s">
        <v>75</v>
      </c>
      <c r="I1066">
        <v>0</v>
      </c>
      <c r="J1066">
        <v>0</v>
      </c>
      <c r="K1066">
        <v>0</v>
      </c>
      <c r="L1066">
        <v>0</v>
      </c>
      <c r="M1066" t="s">
        <v>76</v>
      </c>
      <c r="N1066" t="s">
        <v>76</v>
      </c>
      <c r="O1066" t="s">
        <v>77</v>
      </c>
      <c r="P1066" t="s">
        <v>76</v>
      </c>
      <c r="S1066" t="s">
        <v>3151</v>
      </c>
    </row>
    <row r="1067" spans="1:19" x14ac:dyDescent="0.3">
      <c r="A1067" t="s">
        <v>3152</v>
      </c>
      <c r="B1067" t="s">
        <v>3153</v>
      </c>
      <c r="C1067" t="s">
        <v>307</v>
      </c>
      <c r="D1067" t="s">
        <v>63</v>
      </c>
      <c r="E1067" t="s">
        <v>74</v>
      </c>
      <c r="F1067" t="s">
        <v>251</v>
      </c>
      <c r="G1067" t="s">
        <v>307</v>
      </c>
      <c r="H1067" t="s">
        <v>75</v>
      </c>
      <c r="I1067">
        <v>0</v>
      </c>
      <c r="J1067">
        <v>0</v>
      </c>
      <c r="K1067">
        <v>0</v>
      </c>
      <c r="L1067">
        <v>0</v>
      </c>
      <c r="M1067" t="s">
        <v>76</v>
      </c>
      <c r="N1067" t="s">
        <v>76</v>
      </c>
      <c r="O1067" t="s">
        <v>77</v>
      </c>
      <c r="P1067" t="s">
        <v>76</v>
      </c>
      <c r="S1067" t="s">
        <v>3153</v>
      </c>
    </row>
    <row r="1068" spans="1:19" x14ac:dyDescent="0.3">
      <c r="A1068" t="s">
        <v>3154</v>
      </c>
      <c r="B1068" t="s">
        <v>3155</v>
      </c>
      <c r="C1068" t="s">
        <v>21</v>
      </c>
      <c r="D1068" t="s">
        <v>189</v>
      </c>
      <c r="F1068" t="s">
        <v>24</v>
      </c>
      <c r="G1068" t="s">
        <v>21</v>
      </c>
      <c r="H1068" t="s">
        <v>26</v>
      </c>
      <c r="I1068">
        <v>0</v>
      </c>
      <c r="J1068">
        <v>0</v>
      </c>
      <c r="K1068">
        <v>0</v>
      </c>
      <c r="L1068">
        <v>0</v>
      </c>
      <c r="M1068" t="s">
        <v>76</v>
      </c>
      <c r="N1068" t="s">
        <v>76</v>
      </c>
      <c r="O1068" t="s">
        <v>77</v>
      </c>
      <c r="P1068" t="s">
        <v>76</v>
      </c>
      <c r="S1068" t="s">
        <v>3155</v>
      </c>
    </row>
    <row r="1069" spans="1:19" x14ac:dyDescent="0.3">
      <c r="A1069" t="s">
        <v>3156</v>
      </c>
      <c r="B1069" t="s">
        <v>3157</v>
      </c>
      <c r="C1069" t="s">
        <v>21</v>
      </c>
      <c r="D1069" t="s">
        <v>189</v>
      </c>
      <c r="F1069" t="s">
        <v>24</v>
      </c>
      <c r="G1069" t="s">
        <v>21</v>
      </c>
      <c r="H1069" t="s">
        <v>26</v>
      </c>
      <c r="I1069">
        <v>0</v>
      </c>
      <c r="J1069">
        <v>0</v>
      </c>
      <c r="K1069">
        <v>0</v>
      </c>
      <c r="L1069">
        <v>0</v>
      </c>
      <c r="M1069" t="s">
        <v>76</v>
      </c>
      <c r="N1069" t="s">
        <v>76</v>
      </c>
      <c r="O1069" t="s">
        <v>77</v>
      </c>
      <c r="P1069" t="s">
        <v>76</v>
      </c>
      <c r="S1069" t="s">
        <v>3157</v>
      </c>
    </row>
    <row r="1070" spans="1:19" x14ac:dyDescent="0.3">
      <c r="A1070" t="s">
        <v>3158</v>
      </c>
      <c r="B1070" t="s">
        <v>3159</v>
      </c>
      <c r="C1070" t="s">
        <v>24</v>
      </c>
      <c r="D1070" t="s">
        <v>63</v>
      </c>
      <c r="E1070" t="s">
        <v>575</v>
      </c>
      <c r="F1070" t="s">
        <v>24</v>
      </c>
      <c r="G1070" t="s">
        <v>3158</v>
      </c>
      <c r="H1070" t="s">
        <v>26</v>
      </c>
      <c r="I1070">
        <v>0</v>
      </c>
      <c r="J1070">
        <v>0</v>
      </c>
      <c r="K1070">
        <v>0</v>
      </c>
      <c r="L1070">
        <v>0</v>
      </c>
      <c r="M1070" t="s">
        <v>76</v>
      </c>
      <c r="N1070" t="s">
        <v>76</v>
      </c>
      <c r="O1070" t="s">
        <v>77</v>
      </c>
      <c r="P1070" t="s">
        <v>76</v>
      </c>
      <c r="Q1070" t="s">
        <v>3160</v>
      </c>
      <c r="R1070" t="s">
        <v>3161</v>
      </c>
      <c r="S1070" t="s">
        <v>3159</v>
      </c>
    </row>
    <row r="1071" spans="1:19" x14ac:dyDescent="0.3">
      <c r="A1071" t="s">
        <v>3162</v>
      </c>
      <c r="B1071" t="s">
        <v>3163</v>
      </c>
      <c r="C1071" t="s">
        <v>43</v>
      </c>
      <c r="D1071" t="s">
        <v>63</v>
      </c>
      <c r="E1071" t="s">
        <v>74</v>
      </c>
      <c r="F1071" t="s">
        <v>45</v>
      </c>
      <c r="G1071" t="s">
        <v>43</v>
      </c>
      <c r="H1071" t="s">
        <v>26</v>
      </c>
      <c r="I1071">
        <v>0</v>
      </c>
      <c r="J1071">
        <v>0</v>
      </c>
      <c r="K1071">
        <v>0</v>
      </c>
      <c r="L1071">
        <v>0</v>
      </c>
      <c r="M1071" t="s">
        <v>76</v>
      </c>
      <c r="N1071" t="s">
        <v>76</v>
      </c>
      <c r="O1071" t="s">
        <v>77</v>
      </c>
      <c r="P1071" t="s">
        <v>76</v>
      </c>
      <c r="S1071" t="s">
        <v>3163</v>
      </c>
    </row>
    <row r="1072" spans="1:19" x14ac:dyDescent="0.3">
      <c r="A1072" t="s">
        <v>3164</v>
      </c>
      <c r="B1072" t="s">
        <v>3165</v>
      </c>
      <c r="C1072" t="s">
        <v>24</v>
      </c>
      <c r="D1072" t="s">
        <v>63</v>
      </c>
      <c r="E1072" t="s">
        <v>323</v>
      </c>
      <c r="F1072" t="s">
        <v>24</v>
      </c>
      <c r="G1072" t="s">
        <v>3166</v>
      </c>
      <c r="H1072" t="s">
        <v>213</v>
      </c>
      <c r="I1072">
        <v>0</v>
      </c>
      <c r="J1072">
        <v>0</v>
      </c>
      <c r="K1072">
        <v>0</v>
      </c>
      <c r="L1072">
        <v>0</v>
      </c>
      <c r="M1072" t="s">
        <v>76</v>
      </c>
      <c r="N1072" t="s">
        <v>76</v>
      </c>
      <c r="O1072" t="s">
        <v>77</v>
      </c>
      <c r="P1072" t="s">
        <v>76</v>
      </c>
      <c r="S1072" t="s">
        <v>3165</v>
      </c>
    </row>
    <row r="1073" spans="1:19" x14ac:dyDescent="0.3">
      <c r="A1073" t="s">
        <v>3167</v>
      </c>
      <c r="B1073" t="s">
        <v>3168</v>
      </c>
      <c r="C1073" t="s">
        <v>243</v>
      </c>
      <c r="D1073" t="s">
        <v>63</v>
      </c>
      <c r="E1073" t="s">
        <v>74</v>
      </c>
      <c r="F1073" t="s">
        <v>243</v>
      </c>
      <c r="G1073" t="s">
        <v>244</v>
      </c>
      <c r="H1073" t="s">
        <v>75</v>
      </c>
      <c r="I1073">
        <v>0</v>
      </c>
      <c r="J1073">
        <v>0</v>
      </c>
      <c r="K1073">
        <v>0</v>
      </c>
      <c r="L1073">
        <v>0</v>
      </c>
      <c r="M1073" t="s">
        <v>76</v>
      </c>
      <c r="N1073" t="s">
        <v>76</v>
      </c>
      <c r="O1073" t="s">
        <v>77</v>
      </c>
      <c r="P1073" t="s">
        <v>76</v>
      </c>
      <c r="S1073" t="s">
        <v>3168</v>
      </c>
    </row>
    <row r="1074" spans="1:19" x14ac:dyDescent="0.3">
      <c r="A1074" t="s">
        <v>3169</v>
      </c>
      <c r="B1074" t="s">
        <v>3170</v>
      </c>
      <c r="C1074" t="s">
        <v>21</v>
      </c>
      <c r="D1074" t="s">
        <v>95</v>
      </c>
      <c r="E1074" t="s">
        <v>74</v>
      </c>
      <c r="F1074" t="s">
        <v>24</v>
      </c>
      <c r="G1074" t="s">
        <v>21</v>
      </c>
      <c r="H1074" t="s">
        <v>26</v>
      </c>
      <c r="I1074">
        <v>0</v>
      </c>
      <c r="J1074">
        <v>0</v>
      </c>
      <c r="K1074">
        <v>0</v>
      </c>
      <c r="L1074">
        <v>0</v>
      </c>
      <c r="M1074" t="s">
        <v>76</v>
      </c>
      <c r="N1074" t="s">
        <v>76</v>
      </c>
      <c r="O1074" t="s">
        <v>77</v>
      </c>
      <c r="P1074" t="s">
        <v>76</v>
      </c>
      <c r="S1074" t="s">
        <v>3170</v>
      </c>
    </row>
    <row r="1075" spans="1:19" x14ac:dyDescent="0.3">
      <c r="A1075" t="s">
        <v>3171</v>
      </c>
      <c r="B1075" t="s">
        <v>3172</v>
      </c>
      <c r="C1075" t="s">
        <v>243</v>
      </c>
      <c r="D1075" t="s">
        <v>63</v>
      </c>
      <c r="E1075" t="s">
        <v>74</v>
      </c>
      <c r="F1075" t="s">
        <v>243</v>
      </c>
      <c r="G1075" t="s">
        <v>244</v>
      </c>
      <c r="H1075" t="s">
        <v>75</v>
      </c>
      <c r="I1075">
        <v>0</v>
      </c>
      <c r="J1075">
        <v>0</v>
      </c>
      <c r="K1075">
        <v>0</v>
      </c>
      <c r="L1075">
        <v>0</v>
      </c>
      <c r="M1075" t="s">
        <v>76</v>
      </c>
      <c r="N1075" t="s">
        <v>76</v>
      </c>
      <c r="O1075" t="s">
        <v>77</v>
      </c>
      <c r="P1075" t="s">
        <v>76</v>
      </c>
      <c r="S1075" t="s">
        <v>3172</v>
      </c>
    </row>
    <row r="1076" spans="1:19" x14ac:dyDescent="0.3">
      <c r="A1076" t="s">
        <v>3173</v>
      </c>
      <c r="B1076" t="s">
        <v>3174</v>
      </c>
      <c r="C1076" t="s">
        <v>307</v>
      </c>
      <c r="D1076" t="s">
        <v>63</v>
      </c>
      <c r="E1076" t="s">
        <v>74</v>
      </c>
      <c r="F1076" t="s">
        <v>251</v>
      </c>
      <c r="G1076" t="s">
        <v>307</v>
      </c>
      <c r="H1076" t="s">
        <v>75</v>
      </c>
      <c r="I1076">
        <v>0</v>
      </c>
      <c r="J1076">
        <v>0</v>
      </c>
      <c r="K1076">
        <v>0</v>
      </c>
      <c r="L1076">
        <v>0</v>
      </c>
      <c r="M1076" t="s">
        <v>76</v>
      </c>
      <c r="N1076" t="s">
        <v>76</v>
      </c>
      <c r="O1076" t="s">
        <v>77</v>
      </c>
      <c r="P1076" t="s">
        <v>76</v>
      </c>
      <c r="S1076" t="s">
        <v>3174</v>
      </c>
    </row>
    <row r="1077" spans="1:19" x14ac:dyDescent="0.3">
      <c r="A1077" t="s">
        <v>3175</v>
      </c>
      <c r="B1077" t="s">
        <v>3176</v>
      </c>
      <c r="C1077" t="s">
        <v>45</v>
      </c>
      <c r="F1077" t="s">
        <v>45</v>
      </c>
      <c r="G1077" t="s">
        <v>1748</v>
      </c>
      <c r="H1077" t="s">
        <v>26</v>
      </c>
      <c r="I1077">
        <v>0</v>
      </c>
      <c r="J1077">
        <v>0</v>
      </c>
      <c r="K1077">
        <v>0</v>
      </c>
      <c r="L1077">
        <v>0</v>
      </c>
      <c r="M1077" t="s">
        <v>76</v>
      </c>
      <c r="N1077" t="s">
        <v>76</v>
      </c>
      <c r="O1077" t="s">
        <v>77</v>
      </c>
      <c r="P1077" t="s">
        <v>76</v>
      </c>
      <c r="S1077" t="s">
        <v>3176</v>
      </c>
    </row>
    <row r="1078" spans="1:19" x14ac:dyDescent="0.3">
      <c r="A1078" t="s">
        <v>3177</v>
      </c>
      <c r="B1078" t="s">
        <v>3178</v>
      </c>
      <c r="C1078" t="s">
        <v>21</v>
      </c>
      <c r="D1078" t="s">
        <v>35</v>
      </c>
      <c r="E1078" t="s">
        <v>36</v>
      </c>
      <c r="F1078" t="s">
        <v>24</v>
      </c>
      <c r="G1078" t="s">
        <v>21</v>
      </c>
      <c r="H1078" t="s">
        <v>26</v>
      </c>
      <c r="I1078">
        <v>0</v>
      </c>
      <c r="J1078">
        <v>0</v>
      </c>
      <c r="K1078">
        <v>0</v>
      </c>
      <c r="L1078">
        <v>0</v>
      </c>
      <c r="M1078" t="s">
        <v>76</v>
      </c>
      <c r="N1078" t="s">
        <v>76</v>
      </c>
      <c r="O1078" t="s">
        <v>77</v>
      </c>
      <c r="P1078" t="s">
        <v>76</v>
      </c>
      <c r="S1078" t="s">
        <v>3178</v>
      </c>
    </row>
    <row r="1079" spans="1:19" x14ac:dyDescent="0.3">
      <c r="A1079" t="s">
        <v>3179</v>
      </c>
      <c r="B1079" t="s">
        <v>3180</v>
      </c>
      <c r="C1079" t="s">
        <v>24</v>
      </c>
      <c r="D1079" t="s">
        <v>63</v>
      </c>
      <c r="E1079" t="s">
        <v>74</v>
      </c>
      <c r="F1079" t="s">
        <v>55</v>
      </c>
      <c r="G1079" t="s">
        <v>56</v>
      </c>
      <c r="H1079" t="s">
        <v>26</v>
      </c>
      <c r="I1079">
        <v>0</v>
      </c>
      <c r="J1079">
        <v>0</v>
      </c>
      <c r="K1079">
        <v>0</v>
      </c>
      <c r="L1079">
        <v>0</v>
      </c>
      <c r="M1079" t="s">
        <v>76</v>
      </c>
      <c r="N1079" t="s">
        <v>76</v>
      </c>
      <c r="O1079" t="s">
        <v>77</v>
      </c>
      <c r="P1079" t="s">
        <v>76</v>
      </c>
      <c r="S1079" t="s">
        <v>3180</v>
      </c>
    </row>
    <row r="1080" spans="1:19" x14ac:dyDescent="0.3">
      <c r="A1080" t="s">
        <v>3181</v>
      </c>
      <c r="B1080" t="s">
        <v>3182</v>
      </c>
      <c r="C1080" t="s">
        <v>114</v>
      </c>
      <c r="D1080" t="s">
        <v>63</v>
      </c>
      <c r="E1080" t="s">
        <v>74</v>
      </c>
      <c r="F1080" t="s">
        <v>114</v>
      </c>
      <c r="G1080" t="s">
        <v>190</v>
      </c>
      <c r="H1080" t="s">
        <v>75</v>
      </c>
      <c r="I1080">
        <v>0</v>
      </c>
      <c r="J1080">
        <v>0</v>
      </c>
      <c r="K1080">
        <v>0</v>
      </c>
      <c r="L1080">
        <v>0</v>
      </c>
      <c r="M1080" t="s">
        <v>76</v>
      </c>
      <c r="N1080" t="s">
        <v>76</v>
      </c>
      <c r="O1080" t="s">
        <v>77</v>
      </c>
      <c r="P1080" t="s">
        <v>76</v>
      </c>
      <c r="S1080" t="s">
        <v>3182</v>
      </c>
    </row>
    <row r="1081" spans="1:19" x14ac:dyDescent="0.3">
      <c r="A1081" t="s">
        <v>3183</v>
      </c>
      <c r="B1081" t="s">
        <v>3184</v>
      </c>
      <c r="C1081" t="s">
        <v>1053</v>
      </c>
      <c r="D1081" t="s">
        <v>53</v>
      </c>
      <c r="E1081" t="s">
        <v>3185</v>
      </c>
      <c r="F1081" t="s">
        <v>314</v>
      </c>
      <c r="G1081" t="s">
        <v>1053</v>
      </c>
      <c r="H1081" t="s">
        <v>75</v>
      </c>
      <c r="I1081">
        <v>0</v>
      </c>
      <c r="J1081">
        <v>0</v>
      </c>
      <c r="K1081">
        <v>0</v>
      </c>
      <c r="L1081">
        <v>0</v>
      </c>
      <c r="M1081" t="s">
        <v>76</v>
      </c>
      <c r="N1081" t="s">
        <v>76</v>
      </c>
      <c r="O1081" t="s">
        <v>77</v>
      </c>
      <c r="P1081" t="s">
        <v>76</v>
      </c>
      <c r="S1081" t="s">
        <v>3184</v>
      </c>
    </row>
    <row r="1082" spans="1:19" x14ac:dyDescent="0.3">
      <c r="A1082" t="s">
        <v>3186</v>
      </c>
      <c r="B1082" t="s">
        <v>3187</v>
      </c>
      <c r="C1082" t="s">
        <v>73</v>
      </c>
      <c r="D1082" t="s">
        <v>63</v>
      </c>
      <c r="E1082" t="s">
        <v>315</v>
      </c>
      <c r="F1082" t="s">
        <v>73</v>
      </c>
      <c r="G1082" t="s">
        <v>3188</v>
      </c>
      <c r="H1082" t="s">
        <v>213</v>
      </c>
      <c r="I1082">
        <v>0</v>
      </c>
      <c r="J1082">
        <v>0</v>
      </c>
      <c r="K1082">
        <v>0</v>
      </c>
      <c r="L1082">
        <v>0</v>
      </c>
      <c r="M1082" t="s">
        <v>76</v>
      </c>
      <c r="N1082" t="s">
        <v>76</v>
      </c>
      <c r="O1082" t="s">
        <v>77</v>
      </c>
      <c r="P1082" t="s">
        <v>76</v>
      </c>
      <c r="S1082" t="s">
        <v>3187</v>
      </c>
    </row>
    <row r="1083" spans="1:19" x14ac:dyDescent="0.3">
      <c r="A1083" t="s">
        <v>3189</v>
      </c>
      <c r="B1083" t="s">
        <v>3190</v>
      </c>
      <c r="C1083" t="s">
        <v>73</v>
      </c>
      <c r="D1083" t="s">
        <v>63</v>
      </c>
      <c r="E1083" t="s">
        <v>315</v>
      </c>
      <c r="F1083" t="s">
        <v>73</v>
      </c>
      <c r="G1083" t="s">
        <v>3191</v>
      </c>
      <c r="H1083" t="s">
        <v>213</v>
      </c>
      <c r="I1083">
        <v>0</v>
      </c>
      <c r="J1083">
        <v>0</v>
      </c>
      <c r="K1083">
        <v>0</v>
      </c>
      <c r="L1083">
        <v>0</v>
      </c>
      <c r="M1083" t="s">
        <v>76</v>
      </c>
      <c r="N1083" t="s">
        <v>76</v>
      </c>
      <c r="O1083" t="s">
        <v>77</v>
      </c>
      <c r="P1083" t="s">
        <v>76</v>
      </c>
      <c r="S1083" t="s">
        <v>3190</v>
      </c>
    </row>
    <row r="1084" spans="1:19" x14ac:dyDescent="0.3">
      <c r="A1084" t="s">
        <v>3192</v>
      </c>
      <c r="B1084" t="s">
        <v>3193</v>
      </c>
      <c r="C1084" t="s">
        <v>43</v>
      </c>
      <c r="D1084" t="s">
        <v>63</v>
      </c>
      <c r="E1084" t="s">
        <v>74</v>
      </c>
      <c r="F1084" t="s">
        <v>45</v>
      </c>
      <c r="G1084" t="s">
        <v>43</v>
      </c>
      <c r="H1084" t="s">
        <v>26</v>
      </c>
      <c r="I1084">
        <v>0</v>
      </c>
      <c r="J1084">
        <v>0</v>
      </c>
      <c r="K1084">
        <v>0</v>
      </c>
      <c r="L1084">
        <v>0</v>
      </c>
      <c r="M1084" t="s">
        <v>76</v>
      </c>
      <c r="N1084" t="s">
        <v>76</v>
      </c>
      <c r="O1084" t="s">
        <v>77</v>
      </c>
      <c r="P1084" t="s">
        <v>76</v>
      </c>
      <c r="S1084" t="s">
        <v>3193</v>
      </c>
    </row>
    <row r="1085" spans="1:19" x14ac:dyDescent="0.3">
      <c r="A1085" t="s">
        <v>3194</v>
      </c>
      <c r="B1085" t="s">
        <v>3195</v>
      </c>
      <c r="C1085" t="s">
        <v>24</v>
      </c>
      <c r="D1085" t="s">
        <v>63</v>
      </c>
      <c r="E1085" t="s">
        <v>74</v>
      </c>
      <c r="F1085" t="s">
        <v>24</v>
      </c>
      <c r="G1085" t="s">
        <v>3194</v>
      </c>
      <c r="H1085" t="s">
        <v>213</v>
      </c>
      <c r="I1085">
        <v>0</v>
      </c>
      <c r="J1085">
        <v>0</v>
      </c>
      <c r="K1085">
        <v>0</v>
      </c>
      <c r="L1085">
        <v>0</v>
      </c>
      <c r="M1085" t="s">
        <v>76</v>
      </c>
      <c r="N1085" t="s">
        <v>76</v>
      </c>
      <c r="O1085" t="s">
        <v>77</v>
      </c>
      <c r="P1085" t="s">
        <v>76</v>
      </c>
      <c r="Q1085" t="s">
        <v>3196</v>
      </c>
      <c r="R1085" t="s">
        <v>3197</v>
      </c>
      <c r="S1085" t="s">
        <v>3195</v>
      </c>
    </row>
    <row r="1086" spans="1:19" x14ac:dyDescent="0.3">
      <c r="A1086" t="s">
        <v>3198</v>
      </c>
      <c r="B1086" t="s">
        <v>3199</v>
      </c>
      <c r="C1086" t="s">
        <v>24</v>
      </c>
      <c r="D1086" t="s">
        <v>63</v>
      </c>
      <c r="E1086" t="s">
        <v>74</v>
      </c>
      <c r="F1086" t="s">
        <v>55</v>
      </c>
      <c r="G1086" t="s">
        <v>56</v>
      </c>
      <c r="H1086" t="s">
        <v>26</v>
      </c>
      <c r="I1086">
        <v>0</v>
      </c>
      <c r="J1086">
        <v>0</v>
      </c>
      <c r="K1086">
        <v>0</v>
      </c>
      <c r="L1086">
        <v>0</v>
      </c>
      <c r="M1086" t="s">
        <v>76</v>
      </c>
      <c r="N1086" t="s">
        <v>76</v>
      </c>
      <c r="O1086" t="s">
        <v>77</v>
      </c>
      <c r="P1086" t="s">
        <v>76</v>
      </c>
      <c r="S1086" t="s">
        <v>3199</v>
      </c>
    </row>
    <row r="1087" spans="1:19" x14ac:dyDescent="0.3">
      <c r="A1087" t="s">
        <v>3200</v>
      </c>
      <c r="B1087" t="s">
        <v>3201</v>
      </c>
      <c r="C1087" t="s">
        <v>21</v>
      </c>
      <c r="D1087" t="s">
        <v>63</v>
      </c>
      <c r="E1087" t="s">
        <v>74</v>
      </c>
      <c r="F1087" t="s">
        <v>24</v>
      </c>
      <c r="G1087" t="s">
        <v>21</v>
      </c>
      <c r="H1087" t="s">
        <v>26</v>
      </c>
      <c r="I1087">
        <v>0</v>
      </c>
      <c r="J1087">
        <v>0</v>
      </c>
      <c r="K1087">
        <v>0</v>
      </c>
      <c r="L1087">
        <v>0</v>
      </c>
      <c r="M1087" t="s">
        <v>76</v>
      </c>
      <c r="N1087" t="s">
        <v>76</v>
      </c>
      <c r="O1087" t="s">
        <v>77</v>
      </c>
      <c r="P1087" t="s">
        <v>76</v>
      </c>
      <c r="S1087" t="s">
        <v>3201</v>
      </c>
    </row>
    <row r="1088" spans="1:19" x14ac:dyDescent="0.3">
      <c r="A1088" t="s">
        <v>3202</v>
      </c>
      <c r="B1088" t="s">
        <v>3203</v>
      </c>
      <c r="C1088" t="s">
        <v>24</v>
      </c>
      <c r="D1088" t="s">
        <v>53</v>
      </c>
      <c r="E1088" t="s">
        <v>2422</v>
      </c>
      <c r="F1088" t="s">
        <v>24</v>
      </c>
      <c r="G1088" t="s">
        <v>3202</v>
      </c>
      <c r="H1088" t="s">
        <v>26</v>
      </c>
      <c r="I1088">
        <v>0</v>
      </c>
      <c r="J1088">
        <v>0</v>
      </c>
      <c r="K1088">
        <v>0</v>
      </c>
      <c r="L1088">
        <v>0</v>
      </c>
      <c r="M1088" t="s">
        <v>76</v>
      </c>
      <c r="N1088" t="s">
        <v>76</v>
      </c>
      <c r="O1088" t="s">
        <v>77</v>
      </c>
      <c r="P1088" t="s">
        <v>76</v>
      </c>
      <c r="S1088" t="s">
        <v>3203</v>
      </c>
    </row>
    <row r="1089" spans="1:19" x14ac:dyDescent="0.3">
      <c r="A1089" t="s">
        <v>3204</v>
      </c>
      <c r="B1089" t="s">
        <v>3205</v>
      </c>
      <c r="C1089" t="s">
        <v>24</v>
      </c>
      <c r="D1089" t="s">
        <v>63</v>
      </c>
      <c r="E1089" t="s">
        <v>74</v>
      </c>
      <c r="F1089" t="s">
        <v>24</v>
      </c>
      <c r="G1089" t="s">
        <v>3206</v>
      </c>
      <c r="H1089" t="s">
        <v>26</v>
      </c>
      <c r="I1089">
        <v>0</v>
      </c>
      <c r="J1089">
        <v>0</v>
      </c>
      <c r="K1089">
        <v>0</v>
      </c>
      <c r="L1089">
        <v>0</v>
      </c>
      <c r="M1089" t="s">
        <v>76</v>
      </c>
      <c r="N1089" t="s">
        <v>76</v>
      </c>
      <c r="O1089" t="s">
        <v>77</v>
      </c>
      <c r="P1089" t="s">
        <v>76</v>
      </c>
      <c r="S1089" t="s">
        <v>3205</v>
      </c>
    </row>
    <row r="1090" spans="1:19" x14ac:dyDescent="0.3">
      <c r="A1090" t="s">
        <v>3207</v>
      </c>
      <c r="B1090" t="s">
        <v>3208</v>
      </c>
      <c r="C1090" t="s">
        <v>43</v>
      </c>
      <c r="D1090" t="s">
        <v>63</v>
      </c>
      <c r="E1090" t="s">
        <v>74</v>
      </c>
      <c r="F1090" t="s">
        <v>45</v>
      </c>
      <c r="G1090" t="s">
        <v>43</v>
      </c>
      <c r="H1090" t="s">
        <v>26</v>
      </c>
      <c r="I1090">
        <v>0</v>
      </c>
      <c r="J1090">
        <v>0</v>
      </c>
      <c r="K1090">
        <v>0</v>
      </c>
      <c r="L1090">
        <v>0</v>
      </c>
      <c r="M1090" t="s">
        <v>76</v>
      </c>
      <c r="N1090" t="s">
        <v>76</v>
      </c>
      <c r="O1090" t="s">
        <v>77</v>
      </c>
      <c r="P1090" t="s">
        <v>76</v>
      </c>
      <c r="S1090" t="s">
        <v>3208</v>
      </c>
    </row>
    <row r="1091" spans="1:19" x14ac:dyDescent="0.3">
      <c r="A1091" t="s">
        <v>3209</v>
      </c>
      <c r="B1091" t="s">
        <v>3210</v>
      </c>
      <c r="C1091" t="s">
        <v>24</v>
      </c>
      <c r="D1091" t="s">
        <v>35</v>
      </c>
      <c r="E1091" t="s">
        <v>389</v>
      </c>
      <c r="F1091" t="s">
        <v>144</v>
      </c>
      <c r="G1091" t="s">
        <v>3209</v>
      </c>
      <c r="H1091" t="s">
        <v>26</v>
      </c>
      <c r="I1091">
        <v>0</v>
      </c>
      <c r="J1091">
        <v>0</v>
      </c>
      <c r="K1091">
        <v>0</v>
      </c>
      <c r="L1091">
        <v>0</v>
      </c>
      <c r="M1091" t="s">
        <v>287</v>
      </c>
      <c r="N1091" t="s">
        <v>287</v>
      </c>
      <c r="O1091" t="s">
        <v>288</v>
      </c>
      <c r="P1091" t="s">
        <v>30</v>
      </c>
      <c r="Q1091" t="s">
        <v>3211</v>
      </c>
      <c r="R1091" t="s">
        <v>3212</v>
      </c>
      <c r="S1091" t="s">
        <v>3210</v>
      </c>
    </row>
    <row r="1092" spans="1:19" x14ac:dyDescent="0.3">
      <c r="A1092" t="s">
        <v>3213</v>
      </c>
      <c r="B1092" t="s">
        <v>3214</v>
      </c>
      <c r="C1092" t="s">
        <v>596</v>
      </c>
      <c r="D1092" t="s">
        <v>63</v>
      </c>
      <c r="E1092" t="s">
        <v>74</v>
      </c>
      <c r="F1092" t="s">
        <v>73</v>
      </c>
      <c r="G1092" t="s">
        <v>596</v>
      </c>
      <c r="H1092" t="s">
        <v>75</v>
      </c>
      <c r="I1092">
        <v>0</v>
      </c>
      <c r="J1092">
        <v>0</v>
      </c>
      <c r="K1092">
        <v>0</v>
      </c>
      <c r="L1092">
        <v>0</v>
      </c>
      <c r="M1092" t="s">
        <v>76</v>
      </c>
      <c r="N1092" t="s">
        <v>76</v>
      </c>
      <c r="O1092" t="s">
        <v>77</v>
      </c>
      <c r="P1092" t="s">
        <v>76</v>
      </c>
      <c r="S1092" t="s">
        <v>3214</v>
      </c>
    </row>
    <row r="1093" spans="1:19" x14ac:dyDescent="0.3">
      <c r="A1093" t="s">
        <v>3215</v>
      </c>
      <c r="B1093" t="s">
        <v>3216</v>
      </c>
      <c r="C1093" t="s">
        <v>24</v>
      </c>
      <c r="E1093" t="s">
        <v>389</v>
      </c>
      <c r="F1093" t="s">
        <v>144</v>
      </c>
      <c r="G1093" t="s">
        <v>2294</v>
      </c>
      <c r="H1093" t="s">
        <v>213</v>
      </c>
      <c r="I1093">
        <v>0</v>
      </c>
      <c r="J1093">
        <v>0</v>
      </c>
      <c r="K1093">
        <v>0</v>
      </c>
      <c r="L1093">
        <v>0</v>
      </c>
      <c r="M1093" t="s">
        <v>76</v>
      </c>
      <c r="N1093" t="s">
        <v>76</v>
      </c>
      <c r="O1093" t="s">
        <v>77</v>
      </c>
      <c r="P1093" t="s">
        <v>76</v>
      </c>
      <c r="S1093" t="s">
        <v>3216</v>
      </c>
    </row>
    <row r="1094" spans="1:19" x14ac:dyDescent="0.3">
      <c r="A1094" t="s">
        <v>3217</v>
      </c>
      <c r="B1094" t="s">
        <v>3218</v>
      </c>
      <c r="C1094" t="s">
        <v>228</v>
      </c>
      <c r="D1094" t="s">
        <v>63</v>
      </c>
      <c r="E1094" t="s">
        <v>575</v>
      </c>
      <c r="F1094" t="s">
        <v>228</v>
      </c>
      <c r="G1094" t="s">
        <v>2588</v>
      </c>
      <c r="H1094" t="s">
        <v>213</v>
      </c>
      <c r="I1094">
        <v>0</v>
      </c>
      <c r="J1094">
        <v>0</v>
      </c>
      <c r="K1094">
        <v>0</v>
      </c>
      <c r="L1094">
        <v>0</v>
      </c>
      <c r="M1094" t="s">
        <v>76</v>
      </c>
      <c r="N1094" t="s">
        <v>76</v>
      </c>
      <c r="O1094" t="s">
        <v>77</v>
      </c>
      <c r="P1094" t="s">
        <v>76</v>
      </c>
      <c r="S1094" t="s">
        <v>3218</v>
      </c>
    </row>
    <row r="1095" spans="1:19" x14ac:dyDescent="0.3">
      <c r="A1095" t="s">
        <v>3219</v>
      </c>
      <c r="B1095" t="s">
        <v>3220</v>
      </c>
      <c r="C1095" t="s">
        <v>21</v>
      </c>
      <c r="D1095" t="s">
        <v>63</v>
      </c>
      <c r="E1095" t="s">
        <v>74</v>
      </c>
      <c r="F1095" t="s">
        <v>24</v>
      </c>
      <c r="G1095" t="s">
        <v>21</v>
      </c>
      <c r="H1095" t="s">
        <v>26</v>
      </c>
      <c r="I1095">
        <v>0</v>
      </c>
      <c r="J1095">
        <v>0</v>
      </c>
      <c r="K1095">
        <v>0</v>
      </c>
      <c r="L1095">
        <v>0</v>
      </c>
      <c r="M1095" t="s">
        <v>76</v>
      </c>
      <c r="N1095" t="s">
        <v>76</v>
      </c>
      <c r="O1095" t="s">
        <v>77</v>
      </c>
      <c r="P1095" t="s">
        <v>76</v>
      </c>
      <c r="S1095" t="s">
        <v>3220</v>
      </c>
    </row>
    <row r="1096" spans="1:19" x14ac:dyDescent="0.3">
      <c r="A1096" t="s">
        <v>3221</v>
      </c>
      <c r="B1096" t="s">
        <v>3222</v>
      </c>
      <c r="C1096" t="s">
        <v>43</v>
      </c>
      <c r="D1096" t="s">
        <v>63</v>
      </c>
      <c r="E1096" t="s">
        <v>74</v>
      </c>
      <c r="F1096" t="s">
        <v>45</v>
      </c>
      <c r="G1096" t="s">
        <v>43</v>
      </c>
      <c r="H1096" t="s">
        <v>26</v>
      </c>
      <c r="I1096">
        <v>0</v>
      </c>
      <c r="J1096">
        <v>0</v>
      </c>
      <c r="K1096">
        <v>0</v>
      </c>
      <c r="L1096">
        <v>0</v>
      </c>
      <c r="M1096" t="s">
        <v>76</v>
      </c>
      <c r="N1096" t="s">
        <v>76</v>
      </c>
      <c r="O1096" t="s">
        <v>77</v>
      </c>
      <c r="P1096" t="s">
        <v>76</v>
      </c>
      <c r="S1096" t="s">
        <v>3222</v>
      </c>
    </row>
    <row r="1097" spans="1:19" x14ac:dyDescent="0.3">
      <c r="A1097" t="s">
        <v>3223</v>
      </c>
      <c r="B1097" t="s">
        <v>3224</v>
      </c>
      <c r="E1097" t="s">
        <v>54</v>
      </c>
      <c r="F1097" t="s">
        <v>109</v>
      </c>
      <c r="G1097" t="s">
        <v>25</v>
      </c>
      <c r="H1097" t="s">
        <v>26</v>
      </c>
      <c r="I1097">
        <v>0</v>
      </c>
      <c r="J1097">
        <v>0</v>
      </c>
      <c r="K1097">
        <v>0</v>
      </c>
      <c r="L1097">
        <v>0</v>
      </c>
      <c r="M1097" t="s">
        <v>76</v>
      </c>
      <c r="N1097" t="s">
        <v>76</v>
      </c>
      <c r="O1097" t="s">
        <v>77</v>
      </c>
      <c r="P1097" t="s">
        <v>76</v>
      </c>
      <c r="S1097" t="s">
        <v>3224</v>
      </c>
    </row>
    <row r="1098" spans="1:19" x14ac:dyDescent="0.3">
      <c r="A1098" t="s">
        <v>3225</v>
      </c>
      <c r="B1098" t="s">
        <v>3226</v>
      </c>
      <c r="C1098" t="s">
        <v>24</v>
      </c>
      <c r="D1098" t="s">
        <v>63</v>
      </c>
      <c r="E1098" t="s">
        <v>315</v>
      </c>
      <c r="F1098" t="s">
        <v>144</v>
      </c>
      <c r="G1098" t="s">
        <v>2294</v>
      </c>
      <c r="H1098" t="s">
        <v>26</v>
      </c>
      <c r="I1098">
        <v>0</v>
      </c>
      <c r="J1098">
        <v>0</v>
      </c>
      <c r="K1098">
        <v>0</v>
      </c>
      <c r="L1098">
        <v>0</v>
      </c>
      <c r="M1098" t="s">
        <v>76</v>
      </c>
      <c r="N1098" t="s">
        <v>76</v>
      </c>
      <c r="O1098" t="s">
        <v>77</v>
      </c>
      <c r="P1098" t="s">
        <v>76</v>
      </c>
      <c r="S1098" t="s">
        <v>3226</v>
      </c>
    </row>
    <row r="1099" spans="1:19" x14ac:dyDescent="0.3">
      <c r="A1099" t="s">
        <v>3227</v>
      </c>
      <c r="B1099" t="s">
        <v>3228</v>
      </c>
      <c r="E1099" t="s">
        <v>74</v>
      </c>
      <c r="F1099" t="s">
        <v>109</v>
      </c>
      <c r="G1099" t="s">
        <v>25</v>
      </c>
      <c r="H1099" t="s">
        <v>26</v>
      </c>
      <c r="I1099">
        <v>0</v>
      </c>
      <c r="J1099">
        <v>0</v>
      </c>
      <c r="K1099">
        <v>0</v>
      </c>
      <c r="L1099">
        <v>0</v>
      </c>
      <c r="M1099" t="s">
        <v>76</v>
      </c>
      <c r="N1099" t="s">
        <v>76</v>
      </c>
      <c r="O1099" t="s">
        <v>77</v>
      </c>
      <c r="P1099" t="s">
        <v>76</v>
      </c>
      <c r="S1099" t="s">
        <v>3228</v>
      </c>
    </row>
    <row r="1100" spans="1:19" x14ac:dyDescent="0.3">
      <c r="A1100" t="s">
        <v>3229</v>
      </c>
      <c r="B1100" t="s">
        <v>3230</v>
      </c>
      <c r="E1100" t="s">
        <v>54</v>
      </c>
      <c r="F1100" t="s">
        <v>959</v>
      </c>
      <c r="G1100" t="s">
        <v>1053</v>
      </c>
      <c r="H1100" t="s">
        <v>75</v>
      </c>
      <c r="I1100">
        <v>0</v>
      </c>
      <c r="J1100">
        <v>0</v>
      </c>
      <c r="K1100">
        <v>0</v>
      </c>
      <c r="L1100">
        <v>0</v>
      </c>
      <c r="M1100" t="s">
        <v>76</v>
      </c>
      <c r="N1100" t="s">
        <v>76</v>
      </c>
      <c r="O1100" t="s">
        <v>77</v>
      </c>
      <c r="P1100" t="s">
        <v>76</v>
      </c>
      <c r="S1100" t="s">
        <v>3230</v>
      </c>
    </row>
    <row r="1101" spans="1:19" x14ac:dyDescent="0.3">
      <c r="A1101" t="s">
        <v>3231</v>
      </c>
      <c r="B1101" t="s">
        <v>3232</v>
      </c>
      <c r="C1101" t="s">
        <v>114</v>
      </c>
      <c r="D1101" t="s">
        <v>63</v>
      </c>
      <c r="E1101" t="s">
        <v>74</v>
      </c>
      <c r="F1101" t="s">
        <v>114</v>
      </c>
      <c r="G1101" t="s">
        <v>362</v>
      </c>
      <c r="H1101" t="s">
        <v>75</v>
      </c>
      <c r="I1101">
        <v>0</v>
      </c>
      <c r="J1101">
        <v>0</v>
      </c>
      <c r="K1101">
        <v>0</v>
      </c>
      <c r="L1101">
        <v>0</v>
      </c>
      <c r="M1101" t="s">
        <v>76</v>
      </c>
      <c r="N1101" t="s">
        <v>76</v>
      </c>
      <c r="O1101" t="s">
        <v>77</v>
      </c>
      <c r="P1101" t="s">
        <v>76</v>
      </c>
      <c r="S1101" t="s">
        <v>3232</v>
      </c>
    </row>
    <row r="1102" spans="1:19" x14ac:dyDescent="0.3">
      <c r="A1102" t="s">
        <v>3233</v>
      </c>
      <c r="B1102" t="s">
        <v>3234</v>
      </c>
      <c r="C1102" t="s">
        <v>24</v>
      </c>
      <c r="D1102" t="s">
        <v>63</v>
      </c>
      <c r="E1102" t="s">
        <v>1132</v>
      </c>
      <c r="F1102" t="s">
        <v>55</v>
      </c>
      <c r="G1102" t="s">
        <v>3235</v>
      </c>
      <c r="H1102" t="s">
        <v>26</v>
      </c>
      <c r="I1102">
        <v>0</v>
      </c>
      <c r="J1102">
        <v>0</v>
      </c>
      <c r="K1102">
        <v>0</v>
      </c>
      <c r="L1102">
        <v>0</v>
      </c>
      <c r="M1102" t="s">
        <v>76</v>
      </c>
      <c r="N1102" t="s">
        <v>76</v>
      </c>
      <c r="O1102" t="s">
        <v>77</v>
      </c>
      <c r="P1102" t="s">
        <v>76</v>
      </c>
      <c r="S1102" t="s">
        <v>3234</v>
      </c>
    </row>
    <row r="1103" spans="1:19" x14ac:dyDescent="0.3">
      <c r="A1103" t="s">
        <v>3236</v>
      </c>
      <c r="B1103" t="s">
        <v>3237</v>
      </c>
      <c r="C1103" t="s">
        <v>24</v>
      </c>
      <c r="D1103" t="s">
        <v>63</v>
      </c>
      <c r="E1103" t="s">
        <v>74</v>
      </c>
      <c r="F1103" t="s">
        <v>24</v>
      </c>
      <c r="G1103" t="s">
        <v>650</v>
      </c>
      <c r="H1103" t="s">
        <v>26</v>
      </c>
      <c r="I1103">
        <v>0</v>
      </c>
      <c r="J1103">
        <v>0</v>
      </c>
      <c r="K1103">
        <v>0</v>
      </c>
      <c r="L1103">
        <v>0</v>
      </c>
      <c r="M1103" t="s">
        <v>239</v>
      </c>
      <c r="N1103" t="s">
        <v>239</v>
      </c>
      <c r="O1103" t="s">
        <v>240</v>
      </c>
      <c r="P1103" t="s">
        <v>239</v>
      </c>
      <c r="S1103" t="s">
        <v>3237</v>
      </c>
    </row>
    <row r="1104" spans="1:19" x14ac:dyDescent="0.3">
      <c r="A1104" t="s">
        <v>3238</v>
      </c>
      <c r="B1104" t="s">
        <v>3239</v>
      </c>
      <c r="C1104" t="s">
        <v>43</v>
      </c>
      <c r="D1104" t="s">
        <v>53</v>
      </c>
      <c r="E1104" t="s">
        <v>400</v>
      </c>
      <c r="F1104" t="s">
        <v>1605</v>
      </c>
      <c r="G1104" t="s">
        <v>43</v>
      </c>
      <c r="H1104" t="s">
        <v>26</v>
      </c>
      <c r="I1104">
        <v>0</v>
      </c>
      <c r="J1104">
        <v>0</v>
      </c>
      <c r="K1104">
        <v>0</v>
      </c>
      <c r="L1104">
        <v>0</v>
      </c>
      <c r="M1104" t="s">
        <v>239</v>
      </c>
      <c r="N1104" t="s">
        <v>239</v>
      </c>
      <c r="O1104" t="s">
        <v>240</v>
      </c>
      <c r="P1104" t="s">
        <v>239</v>
      </c>
      <c r="S1104" t="s">
        <v>3239</v>
      </c>
    </row>
    <row r="1105" spans="1:19" x14ac:dyDescent="0.3">
      <c r="A1105" t="s">
        <v>3240</v>
      </c>
      <c r="B1105" t="s">
        <v>3241</v>
      </c>
      <c r="C1105" t="s">
        <v>21</v>
      </c>
      <c r="D1105" t="s">
        <v>63</v>
      </c>
      <c r="E1105" t="s">
        <v>74</v>
      </c>
      <c r="F1105" t="s">
        <v>24</v>
      </c>
      <c r="G1105" t="s">
        <v>21</v>
      </c>
      <c r="H1105" t="s">
        <v>26</v>
      </c>
      <c r="I1105">
        <v>0</v>
      </c>
      <c r="J1105">
        <v>0</v>
      </c>
      <c r="K1105">
        <v>0</v>
      </c>
      <c r="L1105">
        <v>0</v>
      </c>
      <c r="M1105" t="s">
        <v>76</v>
      </c>
      <c r="N1105" t="s">
        <v>76</v>
      </c>
      <c r="O1105" t="s">
        <v>77</v>
      </c>
      <c r="P1105" t="s">
        <v>76</v>
      </c>
      <c r="S1105" t="s">
        <v>3241</v>
      </c>
    </row>
    <row r="1106" spans="1:19" x14ac:dyDescent="0.3">
      <c r="A1106" t="s">
        <v>3242</v>
      </c>
      <c r="B1106" t="s">
        <v>3243</v>
      </c>
      <c r="C1106" t="s">
        <v>43</v>
      </c>
      <c r="D1106" t="s">
        <v>35</v>
      </c>
      <c r="E1106" t="s">
        <v>80</v>
      </c>
      <c r="F1106" t="s">
        <v>45</v>
      </c>
      <c r="G1106" t="s">
        <v>43</v>
      </c>
      <c r="H1106" t="s">
        <v>26</v>
      </c>
      <c r="I1106">
        <v>0</v>
      </c>
      <c r="J1106">
        <v>0</v>
      </c>
      <c r="K1106">
        <v>0</v>
      </c>
      <c r="L1106">
        <v>0</v>
      </c>
      <c r="M1106" t="s">
        <v>76</v>
      </c>
      <c r="N1106" t="s">
        <v>76</v>
      </c>
      <c r="O1106" t="s">
        <v>77</v>
      </c>
      <c r="P1106" t="s">
        <v>76</v>
      </c>
      <c r="S1106" t="s">
        <v>3243</v>
      </c>
    </row>
    <row r="1107" spans="1:19" x14ac:dyDescent="0.3">
      <c r="A1107" t="s">
        <v>3244</v>
      </c>
      <c r="B1107" t="s">
        <v>3245</v>
      </c>
      <c r="C1107" t="s">
        <v>24</v>
      </c>
      <c r="D1107" t="s">
        <v>35</v>
      </c>
      <c r="E1107" t="s">
        <v>1672</v>
      </c>
      <c r="F1107" t="s">
        <v>24</v>
      </c>
      <c r="G1107" t="s">
        <v>3244</v>
      </c>
      <c r="H1107" t="s">
        <v>26</v>
      </c>
      <c r="I1107">
        <v>0</v>
      </c>
      <c r="J1107">
        <v>0</v>
      </c>
      <c r="K1107">
        <v>0</v>
      </c>
      <c r="L1107">
        <v>0</v>
      </c>
      <c r="M1107" t="s">
        <v>76</v>
      </c>
      <c r="N1107" t="s">
        <v>76</v>
      </c>
      <c r="O1107" t="s">
        <v>77</v>
      </c>
      <c r="P1107" t="s">
        <v>76</v>
      </c>
      <c r="S1107" t="s">
        <v>3245</v>
      </c>
    </row>
    <row r="1108" spans="1:19" x14ac:dyDescent="0.3">
      <c r="A1108" t="s">
        <v>3246</v>
      </c>
      <c r="B1108" t="s">
        <v>3247</v>
      </c>
      <c r="C1108" t="s">
        <v>114</v>
      </c>
      <c r="D1108" t="s">
        <v>63</v>
      </c>
      <c r="F1108" t="s">
        <v>114</v>
      </c>
      <c r="G1108" t="s">
        <v>362</v>
      </c>
      <c r="H1108" t="s">
        <v>75</v>
      </c>
      <c r="I1108">
        <v>0</v>
      </c>
      <c r="J1108">
        <v>0</v>
      </c>
      <c r="K1108">
        <v>0</v>
      </c>
      <c r="L1108">
        <v>0</v>
      </c>
      <c r="M1108" t="s">
        <v>76</v>
      </c>
      <c r="N1108" t="s">
        <v>76</v>
      </c>
      <c r="O1108" t="s">
        <v>77</v>
      </c>
      <c r="P1108" t="s">
        <v>76</v>
      </c>
      <c r="S1108" t="s">
        <v>3247</v>
      </c>
    </row>
    <row r="1109" spans="1:19" x14ac:dyDescent="0.3">
      <c r="A1109" t="s">
        <v>3248</v>
      </c>
      <c r="B1109" t="s">
        <v>3249</v>
      </c>
      <c r="C1109" t="s">
        <v>43</v>
      </c>
      <c r="D1109" t="s">
        <v>63</v>
      </c>
      <c r="E1109" t="s">
        <v>74</v>
      </c>
      <c r="F1109" t="s">
        <v>45</v>
      </c>
      <c r="G1109" t="s">
        <v>43</v>
      </c>
      <c r="H1109" t="s">
        <v>26</v>
      </c>
      <c r="I1109">
        <v>0</v>
      </c>
      <c r="J1109">
        <v>0</v>
      </c>
      <c r="K1109">
        <v>0</v>
      </c>
      <c r="L1109">
        <v>0</v>
      </c>
      <c r="M1109" t="s">
        <v>76</v>
      </c>
      <c r="N1109" t="s">
        <v>76</v>
      </c>
      <c r="O1109" t="s">
        <v>77</v>
      </c>
      <c r="P1109" t="s">
        <v>76</v>
      </c>
      <c r="S1109" t="s">
        <v>3249</v>
      </c>
    </row>
    <row r="1110" spans="1:19" x14ac:dyDescent="0.3">
      <c r="A1110" t="s">
        <v>3250</v>
      </c>
      <c r="B1110" t="s">
        <v>3251</v>
      </c>
      <c r="C1110" t="s">
        <v>24</v>
      </c>
      <c r="D1110" t="s">
        <v>63</v>
      </c>
      <c r="E1110" t="s">
        <v>74</v>
      </c>
      <c r="F1110" t="s">
        <v>55</v>
      </c>
      <c r="G1110" t="s">
        <v>3252</v>
      </c>
      <c r="H1110" t="s">
        <v>26</v>
      </c>
      <c r="I1110">
        <v>0</v>
      </c>
      <c r="J1110">
        <v>0</v>
      </c>
      <c r="K1110">
        <v>0</v>
      </c>
      <c r="L1110">
        <v>0</v>
      </c>
      <c r="M1110" t="s">
        <v>76</v>
      </c>
      <c r="N1110" t="s">
        <v>76</v>
      </c>
      <c r="O1110" t="s">
        <v>77</v>
      </c>
      <c r="P1110" t="s">
        <v>76</v>
      </c>
      <c r="S1110" t="s">
        <v>3251</v>
      </c>
    </row>
    <row r="1111" spans="1:19" x14ac:dyDescent="0.3">
      <c r="A1111" t="s">
        <v>3253</v>
      </c>
      <c r="B1111" t="s">
        <v>3254</v>
      </c>
      <c r="C1111" t="s">
        <v>43</v>
      </c>
      <c r="D1111" t="s">
        <v>63</v>
      </c>
      <c r="E1111" t="s">
        <v>74</v>
      </c>
      <c r="F1111" t="s">
        <v>45</v>
      </c>
      <c r="G1111" t="s">
        <v>43</v>
      </c>
      <c r="H1111" t="s">
        <v>26</v>
      </c>
      <c r="I1111">
        <v>0</v>
      </c>
      <c r="J1111">
        <v>0</v>
      </c>
      <c r="K1111">
        <v>0</v>
      </c>
      <c r="L1111">
        <v>0</v>
      </c>
      <c r="M1111" t="s">
        <v>76</v>
      </c>
      <c r="N1111" t="s">
        <v>76</v>
      </c>
      <c r="O1111" t="s">
        <v>77</v>
      </c>
      <c r="P1111" t="s">
        <v>76</v>
      </c>
      <c r="S1111" t="s">
        <v>3254</v>
      </c>
    </row>
    <row r="1112" spans="1:19" x14ac:dyDescent="0.3">
      <c r="A1112" t="s">
        <v>3255</v>
      </c>
      <c r="B1112" t="s">
        <v>3256</v>
      </c>
      <c r="C1112" t="s">
        <v>24</v>
      </c>
      <c r="D1112" t="s">
        <v>63</v>
      </c>
      <c r="F1112" t="s">
        <v>55</v>
      </c>
      <c r="G1112" t="s">
        <v>904</v>
      </c>
      <c r="H1112" t="s">
        <v>26</v>
      </c>
      <c r="I1112">
        <v>0</v>
      </c>
      <c r="J1112">
        <v>0</v>
      </c>
      <c r="K1112">
        <v>0</v>
      </c>
      <c r="L1112">
        <v>0</v>
      </c>
      <c r="M1112" t="s">
        <v>76</v>
      </c>
      <c r="N1112" t="s">
        <v>76</v>
      </c>
      <c r="O1112" t="s">
        <v>77</v>
      </c>
      <c r="P1112" t="s">
        <v>76</v>
      </c>
      <c r="S1112" t="s">
        <v>3256</v>
      </c>
    </row>
    <row r="1113" spans="1:19" x14ac:dyDescent="0.3">
      <c r="A1113" t="s">
        <v>3257</v>
      </c>
      <c r="B1113" t="s">
        <v>3258</v>
      </c>
      <c r="C1113" t="s">
        <v>43</v>
      </c>
      <c r="D1113" t="s">
        <v>63</v>
      </c>
      <c r="E1113" t="s">
        <v>74</v>
      </c>
      <c r="F1113" t="s">
        <v>45</v>
      </c>
      <c r="G1113" t="s">
        <v>43</v>
      </c>
      <c r="H1113" t="s">
        <v>26</v>
      </c>
      <c r="I1113">
        <v>0</v>
      </c>
      <c r="J1113">
        <v>0</v>
      </c>
      <c r="K1113">
        <v>0</v>
      </c>
      <c r="L1113">
        <v>0</v>
      </c>
      <c r="M1113" t="s">
        <v>76</v>
      </c>
      <c r="N1113" t="s">
        <v>76</v>
      </c>
      <c r="O1113" t="s">
        <v>77</v>
      </c>
      <c r="P1113" t="s">
        <v>76</v>
      </c>
      <c r="S1113" t="s">
        <v>3258</v>
      </c>
    </row>
    <row r="1114" spans="1:19" x14ac:dyDescent="0.3">
      <c r="A1114" t="s">
        <v>904</v>
      </c>
      <c r="B1114" t="s">
        <v>3259</v>
      </c>
      <c r="C1114" t="s">
        <v>24</v>
      </c>
      <c r="D1114" t="s">
        <v>35</v>
      </c>
      <c r="E1114" t="s">
        <v>400</v>
      </c>
      <c r="F1114" t="s">
        <v>55</v>
      </c>
      <c r="G1114" t="s">
        <v>904</v>
      </c>
      <c r="H1114" t="s">
        <v>26</v>
      </c>
      <c r="I1114">
        <v>0</v>
      </c>
      <c r="J1114">
        <v>0</v>
      </c>
      <c r="K1114">
        <v>0</v>
      </c>
      <c r="L1114">
        <v>0</v>
      </c>
      <c r="M1114" t="s">
        <v>76</v>
      </c>
      <c r="N1114" t="s">
        <v>76</v>
      </c>
      <c r="O1114" t="s">
        <v>77</v>
      </c>
      <c r="P1114" t="s">
        <v>76</v>
      </c>
      <c r="S1114" t="s">
        <v>3259</v>
      </c>
    </row>
    <row r="1115" spans="1:19" x14ac:dyDescent="0.3">
      <c r="A1115" t="s">
        <v>3260</v>
      </c>
      <c r="B1115" t="s">
        <v>3261</v>
      </c>
      <c r="C1115" t="s">
        <v>243</v>
      </c>
      <c r="D1115" t="s">
        <v>63</v>
      </c>
      <c r="E1115" t="s">
        <v>331</v>
      </c>
      <c r="F1115" t="s">
        <v>243</v>
      </c>
      <c r="G1115" t="s">
        <v>3262</v>
      </c>
      <c r="H1115" t="s">
        <v>213</v>
      </c>
      <c r="I1115">
        <v>0</v>
      </c>
      <c r="J1115">
        <v>0</v>
      </c>
      <c r="K1115">
        <v>0</v>
      </c>
      <c r="L1115">
        <v>0</v>
      </c>
      <c r="S1115" t="s">
        <v>3261</v>
      </c>
    </row>
    <row r="1116" spans="1:19" x14ac:dyDescent="0.3">
      <c r="A1116" t="s">
        <v>3263</v>
      </c>
      <c r="B1116" t="s">
        <v>3264</v>
      </c>
      <c r="C1116" t="s">
        <v>243</v>
      </c>
      <c r="D1116" t="s">
        <v>63</v>
      </c>
      <c r="E1116" t="s">
        <v>323</v>
      </c>
      <c r="F1116" t="s">
        <v>243</v>
      </c>
      <c r="G1116" t="s">
        <v>3265</v>
      </c>
      <c r="H1116" t="s">
        <v>213</v>
      </c>
      <c r="I1116">
        <v>0</v>
      </c>
      <c r="J1116">
        <v>0</v>
      </c>
      <c r="K1116">
        <v>0</v>
      </c>
      <c r="L1116">
        <v>0</v>
      </c>
      <c r="S1116" t="s">
        <v>3264</v>
      </c>
    </row>
    <row r="1117" spans="1:19" x14ac:dyDescent="0.3">
      <c r="A1117" t="s">
        <v>3266</v>
      </c>
      <c r="B1117" t="s">
        <v>3267</v>
      </c>
      <c r="C1117" t="s">
        <v>43</v>
      </c>
      <c r="D1117" t="s">
        <v>35</v>
      </c>
      <c r="E1117" t="s">
        <v>3268</v>
      </c>
      <c r="F1117" t="s">
        <v>45</v>
      </c>
      <c r="G1117" t="s">
        <v>43</v>
      </c>
      <c r="H1117" t="s">
        <v>26</v>
      </c>
      <c r="I1117">
        <v>0</v>
      </c>
      <c r="J1117">
        <v>0</v>
      </c>
      <c r="K1117">
        <v>0</v>
      </c>
      <c r="L1117">
        <v>0</v>
      </c>
      <c r="M1117" t="s">
        <v>76</v>
      </c>
      <c r="N1117" t="s">
        <v>76</v>
      </c>
      <c r="O1117" t="s">
        <v>77</v>
      </c>
      <c r="P1117" t="s">
        <v>76</v>
      </c>
      <c r="S1117" t="s">
        <v>3267</v>
      </c>
    </row>
    <row r="1118" spans="1:19" x14ac:dyDescent="0.3">
      <c r="A1118" t="s">
        <v>3269</v>
      </c>
      <c r="B1118" t="s">
        <v>3270</v>
      </c>
      <c r="C1118" t="s">
        <v>24</v>
      </c>
      <c r="D1118" t="s">
        <v>63</v>
      </c>
      <c r="E1118" t="s">
        <v>345</v>
      </c>
      <c r="F1118" t="s">
        <v>24</v>
      </c>
      <c r="G1118" t="s">
        <v>3271</v>
      </c>
      <c r="H1118" t="s">
        <v>26</v>
      </c>
      <c r="I1118">
        <v>0</v>
      </c>
      <c r="J1118">
        <v>0</v>
      </c>
      <c r="K1118">
        <v>0</v>
      </c>
      <c r="L1118">
        <v>0</v>
      </c>
      <c r="M1118" t="s">
        <v>76</v>
      </c>
      <c r="N1118" t="s">
        <v>76</v>
      </c>
      <c r="O1118" t="s">
        <v>77</v>
      </c>
      <c r="P1118" t="s">
        <v>76</v>
      </c>
      <c r="S1118" t="s">
        <v>3270</v>
      </c>
    </row>
    <row r="1119" spans="1:19" x14ac:dyDescent="0.3">
      <c r="A1119" t="s">
        <v>3272</v>
      </c>
      <c r="B1119" t="s">
        <v>3273</v>
      </c>
      <c r="C1119" t="s">
        <v>24</v>
      </c>
      <c r="D1119" t="s">
        <v>63</v>
      </c>
      <c r="E1119" t="s">
        <v>74</v>
      </c>
      <c r="F1119" t="s">
        <v>24</v>
      </c>
      <c r="G1119" t="s">
        <v>3272</v>
      </c>
      <c r="H1119" t="s">
        <v>26</v>
      </c>
      <c r="I1119">
        <v>0</v>
      </c>
      <c r="J1119">
        <v>0</v>
      </c>
      <c r="K1119">
        <v>0</v>
      </c>
      <c r="L1119">
        <v>0</v>
      </c>
      <c r="M1119" t="s">
        <v>76</v>
      </c>
      <c r="N1119" t="s">
        <v>76</v>
      </c>
      <c r="O1119" t="s">
        <v>77</v>
      </c>
      <c r="P1119" t="s">
        <v>76</v>
      </c>
      <c r="S1119" t="s">
        <v>3273</v>
      </c>
    </row>
    <row r="1120" spans="1:19" x14ac:dyDescent="0.3">
      <c r="A1120" t="s">
        <v>3274</v>
      </c>
      <c r="B1120" t="s">
        <v>3275</v>
      </c>
      <c r="C1120" t="s">
        <v>43</v>
      </c>
      <c r="D1120" t="s">
        <v>35</v>
      </c>
      <c r="E1120" t="s">
        <v>278</v>
      </c>
      <c r="F1120" t="s">
        <v>45</v>
      </c>
      <c r="G1120" t="s">
        <v>43</v>
      </c>
      <c r="H1120" t="s">
        <v>26</v>
      </c>
      <c r="I1120">
        <v>0</v>
      </c>
      <c r="J1120">
        <v>0</v>
      </c>
      <c r="K1120">
        <v>0</v>
      </c>
      <c r="L1120">
        <v>0</v>
      </c>
      <c r="M1120" t="s">
        <v>76</v>
      </c>
      <c r="N1120" t="s">
        <v>76</v>
      </c>
      <c r="O1120" t="s">
        <v>77</v>
      </c>
      <c r="P1120" t="s">
        <v>76</v>
      </c>
      <c r="S1120" t="s">
        <v>3275</v>
      </c>
    </row>
    <row r="1121" spans="1:19" x14ac:dyDescent="0.3">
      <c r="A1121" t="s">
        <v>3276</v>
      </c>
      <c r="B1121" t="s">
        <v>3277</v>
      </c>
      <c r="C1121" t="s">
        <v>73</v>
      </c>
      <c r="D1121" t="s">
        <v>63</v>
      </c>
      <c r="E1121" t="s">
        <v>315</v>
      </c>
      <c r="F1121" t="s">
        <v>73</v>
      </c>
      <c r="G1121" t="s">
        <v>3278</v>
      </c>
      <c r="H1121" t="s">
        <v>213</v>
      </c>
      <c r="I1121">
        <v>0</v>
      </c>
      <c r="J1121">
        <v>0</v>
      </c>
      <c r="K1121">
        <v>0</v>
      </c>
      <c r="L1121">
        <v>0</v>
      </c>
      <c r="M1121" t="s">
        <v>76</v>
      </c>
      <c r="N1121" t="s">
        <v>76</v>
      </c>
      <c r="O1121" t="s">
        <v>77</v>
      </c>
      <c r="P1121" t="s">
        <v>76</v>
      </c>
      <c r="S1121" t="s">
        <v>3277</v>
      </c>
    </row>
    <row r="1122" spans="1:19" x14ac:dyDescent="0.3">
      <c r="A1122" t="s">
        <v>3279</v>
      </c>
      <c r="B1122" t="s">
        <v>3280</v>
      </c>
      <c r="C1122" t="s">
        <v>24</v>
      </c>
      <c r="D1122" t="s">
        <v>63</v>
      </c>
      <c r="E1122" t="s">
        <v>1132</v>
      </c>
      <c r="F1122" t="s">
        <v>24</v>
      </c>
      <c r="G1122" t="s">
        <v>3281</v>
      </c>
      <c r="H1122" t="s">
        <v>26</v>
      </c>
      <c r="I1122">
        <v>0</v>
      </c>
      <c r="J1122">
        <v>0</v>
      </c>
      <c r="K1122">
        <v>0</v>
      </c>
      <c r="L1122">
        <v>0</v>
      </c>
      <c r="M1122" t="s">
        <v>76</v>
      </c>
      <c r="N1122" t="s">
        <v>76</v>
      </c>
      <c r="O1122" t="s">
        <v>77</v>
      </c>
      <c r="P1122" t="s">
        <v>76</v>
      </c>
      <c r="S1122" t="s">
        <v>3280</v>
      </c>
    </row>
    <row r="1123" spans="1:19" x14ac:dyDescent="0.3">
      <c r="A1123" t="s">
        <v>3282</v>
      </c>
      <c r="B1123" t="s">
        <v>3283</v>
      </c>
      <c r="C1123" t="s">
        <v>43</v>
      </c>
      <c r="D1123" t="s">
        <v>63</v>
      </c>
      <c r="E1123" t="s">
        <v>74</v>
      </c>
      <c r="F1123" t="s">
        <v>45</v>
      </c>
      <c r="G1123" t="s">
        <v>43</v>
      </c>
      <c r="H1123" t="s">
        <v>26</v>
      </c>
      <c r="I1123">
        <v>0</v>
      </c>
      <c r="J1123">
        <v>0</v>
      </c>
      <c r="K1123">
        <v>0</v>
      </c>
      <c r="L1123">
        <v>0</v>
      </c>
      <c r="M1123" t="s">
        <v>76</v>
      </c>
      <c r="N1123" t="s">
        <v>76</v>
      </c>
      <c r="O1123" t="s">
        <v>77</v>
      </c>
      <c r="P1123" t="s">
        <v>76</v>
      </c>
      <c r="S1123" t="s">
        <v>3283</v>
      </c>
    </row>
    <row r="1124" spans="1:19" x14ac:dyDescent="0.3">
      <c r="A1124" t="s">
        <v>3284</v>
      </c>
      <c r="B1124" t="s">
        <v>3285</v>
      </c>
      <c r="C1124" t="s">
        <v>43</v>
      </c>
      <c r="D1124" t="s">
        <v>63</v>
      </c>
      <c r="E1124" t="s">
        <v>74</v>
      </c>
      <c r="F1124" t="s">
        <v>45</v>
      </c>
      <c r="G1124" t="s">
        <v>43</v>
      </c>
      <c r="H1124" t="s">
        <v>26</v>
      </c>
      <c r="I1124">
        <v>0</v>
      </c>
      <c r="J1124">
        <v>0</v>
      </c>
      <c r="K1124">
        <v>0</v>
      </c>
      <c r="L1124">
        <v>0</v>
      </c>
      <c r="M1124" t="s">
        <v>76</v>
      </c>
      <c r="N1124" t="s">
        <v>76</v>
      </c>
      <c r="O1124" t="s">
        <v>77</v>
      </c>
      <c r="P1124" t="s">
        <v>76</v>
      </c>
      <c r="S1124" t="s">
        <v>3285</v>
      </c>
    </row>
    <row r="1125" spans="1:19" x14ac:dyDescent="0.3">
      <c r="A1125" t="s">
        <v>3286</v>
      </c>
      <c r="B1125" t="s">
        <v>3287</v>
      </c>
      <c r="C1125" t="s">
        <v>45</v>
      </c>
      <c r="D1125" t="s">
        <v>63</v>
      </c>
      <c r="E1125" t="s">
        <v>74</v>
      </c>
      <c r="F1125" t="s">
        <v>45</v>
      </c>
      <c r="G1125" t="s">
        <v>1748</v>
      </c>
      <c r="H1125" t="s">
        <v>26</v>
      </c>
      <c r="I1125">
        <v>0</v>
      </c>
      <c r="J1125">
        <v>0</v>
      </c>
      <c r="K1125">
        <v>0</v>
      </c>
      <c r="L1125">
        <v>0</v>
      </c>
      <c r="M1125" t="s">
        <v>76</v>
      </c>
      <c r="N1125" t="s">
        <v>76</v>
      </c>
      <c r="O1125" t="s">
        <v>77</v>
      </c>
      <c r="P1125" t="s">
        <v>76</v>
      </c>
      <c r="S1125" t="s">
        <v>3287</v>
      </c>
    </row>
    <row r="1126" spans="1:19" x14ac:dyDescent="0.3">
      <c r="A1126" t="s">
        <v>3288</v>
      </c>
      <c r="B1126" t="s">
        <v>3289</v>
      </c>
      <c r="C1126" t="s">
        <v>114</v>
      </c>
      <c r="D1126" t="s">
        <v>63</v>
      </c>
      <c r="E1126" t="s">
        <v>74</v>
      </c>
      <c r="F1126" t="s">
        <v>114</v>
      </c>
      <c r="G1126" t="s">
        <v>190</v>
      </c>
      <c r="H1126" t="s">
        <v>75</v>
      </c>
      <c r="I1126">
        <v>0</v>
      </c>
      <c r="J1126">
        <v>0</v>
      </c>
      <c r="K1126">
        <v>0</v>
      </c>
      <c r="L1126">
        <v>0</v>
      </c>
      <c r="M1126" t="s">
        <v>76</v>
      </c>
      <c r="N1126" t="s">
        <v>76</v>
      </c>
      <c r="O1126" t="s">
        <v>77</v>
      </c>
      <c r="P1126" t="s">
        <v>76</v>
      </c>
      <c r="S1126" t="s">
        <v>3289</v>
      </c>
    </row>
    <row r="1127" spans="1:19" x14ac:dyDescent="0.3">
      <c r="A1127" t="s">
        <v>3290</v>
      </c>
      <c r="B1127" t="s">
        <v>3291</v>
      </c>
      <c r="C1127" t="s">
        <v>43</v>
      </c>
      <c r="D1127" t="s">
        <v>63</v>
      </c>
      <c r="E1127" t="s">
        <v>74</v>
      </c>
      <c r="F1127" t="s">
        <v>45</v>
      </c>
      <c r="G1127" t="s">
        <v>43</v>
      </c>
      <c r="H1127" t="s">
        <v>26</v>
      </c>
      <c r="I1127">
        <v>0</v>
      </c>
      <c r="J1127">
        <v>0</v>
      </c>
      <c r="K1127">
        <v>0</v>
      </c>
      <c r="L1127">
        <v>0</v>
      </c>
      <c r="M1127" t="s">
        <v>76</v>
      </c>
      <c r="N1127" t="s">
        <v>76</v>
      </c>
      <c r="O1127" t="s">
        <v>77</v>
      </c>
      <c r="P1127" t="s">
        <v>76</v>
      </c>
      <c r="S1127" t="s">
        <v>3291</v>
      </c>
    </row>
    <row r="1128" spans="1:19" x14ac:dyDescent="0.3">
      <c r="A1128" t="s">
        <v>3292</v>
      </c>
      <c r="B1128" t="s">
        <v>3293</v>
      </c>
      <c r="C1128" t="s">
        <v>24</v>
      </c>
      <c r="D1128" t="s">
        <v>63</v>
      </c>
      <c r="E1128" t="s">
        <v>2033</v>
      </c>
      <c r="F1128" t="s">
        <v>24</v>
      </c>
      <c r="G1128" t="s">
        <v>3294</v>
      </c>
      <c r="H1128" t="s">
        <v>26</v>
      </c>
      <c r="I1128">
        <v>0</v>
      </c>
      <c r="J1128">
        <v>0</v>
      </c>
      <c r="K1128">
        <v>0</v>
      </c>
      <c r="L1128">
        <v>0</v>
      </c>
      <c r="M1128" t="s">
        <v>76</v>
      </c>
      <c r="N1128" t="s">
        <v>76</v>
      </c>
      <c r="O1128" t="s">
        <v>77</v>
      </c>
      <c r="P1128" t="s">
        <v>76</v>
      </c>
      <c r="S1128" t="s">
        <v>3293</v>
      </c>
    </row>
    <row r="1129" spans="1:19" x14ac:dyDescent="0.3">
      <c r="A1129" t="s">
        <v>3295</v>
      </c>
      <c r="B1129" t="s">
        <v>3296</v>
      </c>
      <c r="C1129" t="s">
        <v>43</v>
      </c>
      <c r="D1129" t="s">
        <v>63</v>
      </c>
      <c r="E1129" t="s">
        <v>74</v>
      </c>
      <c r="F1129" t="s">
        <v>45</v>
      </c>
      <c r="G1129" t="s">
        <v>43</v>
      </c>
      <c r="H1129" t="s">
        <v>26</v>
      </c>
      <c r="I1129">
        <v>0</v>
      </c>
      <c r="J1129">
        <v>0</v>
      </c>
      <c r="K1129">
        <v>0</v>
      </c>
      <c r="L1129">
        <v>0</v>
      </c>
      <c r="M1129" t="s">
        <v>76</v>
      </c>
      <c r="N1129" t="s">
        <v>76</v>
      </c>
      <c r="O1129" t="s">
        <v>77</v>
      </c>
      <c r="P1129" t="s">
        <v>76</v>
      </c>
      <c r="S1129" t="s">
        <v>3296</v>
      </c>
    </row>
    <row r="1130" spans="1:19" x14ac:dyDescent="0.3">
      <c r="A1130" t="s">
        <v>3297</v>
      </c>
      <c r="B1130" t="s">
        <v>3298</v>
      </c>
      <c r="C1130" t="s">
        <v>24</v>
      </c>
      <c r="D1130" t="s">
        <v>63</v>
      </c>
      <c r="F1130" t="s">
        <v>24</v>
      </c>
      <c r="G1130" t="s">
        <v>3299</v>
      </c>
      <c r="H1130" t="s">
        <v>26</v>
      </c>
      <c r="I1130">
        <v>0</v>
      </c>
      <c r="J1130">
        <v>0</v>
      </c>
      <c r="K1130">
        <v>0</v>
      </c>
      <c r="L1130">
        <v>0</v>
      </c>
      <c r="M1130" t="s">
        <v>76</v>
      </c>
      <c r="N1130" t="s">
        <v>76</v>
      </c>
      <c r="O1130" t="s">
        <v>77</v>
      </c>
      <c r="P1130" t="s">
        <v>76</v>
      </c>
      <c r="S1130" t="s">
        <v>3298</v>
      </c>
    </row>
    <row r="1131" spans="1:19" x14ac:dyDescent="0.3">
      <c r="A1131" t="s">
        <v>3300</v>
      </c>
      <c r="B1131" t="s">
        <v>3301</v>
      </c>
      <c r="C1131" t="s">
        <v>21</v>
      </c>
      <c r="D1131" t="s">
        <v>63</v>
      </c>
      <c r="E1131" t="s">
        <v>74</v>
      </c>
      <c r="F1131" t="s">
        <v>24</v>
      </c>
      <c r="G1131" t="s">
        <v>21</v>
      </c>
      <c r="H1131" t="s">
        <v>26</v>
      </c>
      <c r="I1131">
        <v>0</v>
      </c>
      <c r="J1131">
        <v>0</v>
      </c>
      <c r="K1131">
        <v>0</v>
      </c>
      <c r="L1131">
        <v>0</v>
      </c>
      <c r="M1131" t="s">
        <v>76</v>
      </c>
      <c r="N1131" t="s">
        <v>76</v>
      </c>
      <c r="O1131" t="s">
        <v>77</v>
      </c>
      <c r="P1131" t="s">
        <v>76</v>
      </c>
      <c r="S1131" t="s">
        <v>3301</v>
      </c>
    </row>
    <row r="1132" spans="1:19" x14ac:dyDescent="0.3">
      <c r="A1132" t="s">
        <v>3302</v>
      </c>
      <c r="B1132" t="s">
        <v>3303</v>
      </c>
      <c r="C1132" t="s">
        <v>24</v>
      </c>
      <c r="D1132" t="s">
        <v>63</v>
      </c>
      <c r="E1132" t="s">
        <v>74</v>
      </c>
      <c r="F1132" t="s">
        <v>55</v>
      </c>
      <c r="G1132" t="s">
        <v>196</v>
      </c>
      <c r="H1132" t="s">
        <v>26</v>
      </c>
      <c r="I1132">
        <v>0</v>
      </c>
      <c r="J1132">
        <v>0</v>
      </c>
      <c r="K1132">
        <v>0</v>
      </c>
      <c r="L1132">
        <v>0</v>
      </c>
      <c r="M1132" t="s">
        <v>76</v>
      </c>
      <c r="N1132" t="s">
        <v>76</v>
      </c>
      <c r="O1132" t="s">
        <v>77</v>
      </c>
      <c r="P1132" t="s">
        <v>76</v>
      </c>
      <c r="S1132" t="s">
        <v>3303</v>
      </c>
    </row>
    <row r="1133" spans="1:19" x14ac:dyDescent="0.3">
      <c r="A1133" t="s">
        <v>3304</v>
      </c>
      <c r="B1133" t="s">
        <v>3305</v>
      </c>
      <c r="C1133" t="s">
        <v>314</v>
      </c>
      <c r="D1133" t="s">
        <v>63</v>
      </c>
      <c r="E1133" t="s">
        <v>323</v>
      </c>
      <c r="F1133" t="s">
        <v>314</v>
      </c>
      <c r="G1133" t="s">
        <v>3304</v>
      </c>
      <c r="H1133" t="s">
        <v>213</v>
      </c>
      <c r="I1133">
        <v>0</v>
      </c>
      <c r="J1133">
        <v>0</v>
      </c>
      <c r="K1133">
        <v>0</v>
      </c>
      <c r="L1133">
        <v>0</v>
      </c>
      <c r="M1133" t="s">
        <v>76</v>
      </c>
      <c r="N1133" t="s">
        <v>76</v>
      </c>
      <c r="O1133" t="s">
        <v>77</v>
      </c>
      <c r="P1133" t="s">
        <v>76</v>
      </c>
      <c r="S1133" t="s">
        <v>3305</v>
      </c>
    </row>
    <row r="1134" spans="1:19" x14ac:dyDescent="0.3">
      <c r="A1134" t="s">
        <v>3306</v>
      </c>
      <c r="B1134" t="s">
        <v>3307</v>
      </c>
      <c r="C1134" t="s">
        <v>24</v>
      </c>
      <c r="D1134" t="s">
        <v>63</v>
      </c>
      <c r="E1134" t="s">
        <v>315</v>
      </c>
      <c r="F1134" t="s">
        <v>24</v>
      </c>
      <c r="G1134" t="s">
        <v>3306</v>
      </c>
      <c r="H1134" t="s">
        <v>26</v>
      </c>
      <c r="I1134">
        <v>0</v>
      </c>
      <c r="J1134">
        <v>0</v>
      </c>
      <c r="K1134">
        <v>0</v>
      </c>
      <c r="L1134">
        <v>0</v>
      </c>
      <c r="M1134" t="s">
        <v>76</v>
      </c>
      <c r="N1134" t="s">
        <v>76</v>
      </c>
      <c r="O1134" t="s">
        <v>77</v>
      </c>
      <c r="P1134" t="s">
        <v>76</v>
      </c>
      <c r="S1134" t="s">
        <v>3307</v>
      </c>
    </row>
    <row r="1135" spans="1:19" x14ac:dyDescent="0.3">
      <c r="A1135" t="s">
        <v>3308</v>
      </c>
      <c r="B1135" t="s">
        <v>3309</v>
      </c>
      <c r="C1135" t="s">
        <v>307</v>
      </c>
      <c r="D1135" t="s">
        <v>53</v>
      </c>
      <c r="E1135" t="s">
        <v>389</v>
      </c>
      <c r="F1135" t="s">
        <v>750</v>
      </c>
      <c r="G1135" t="s">
        <v>307</v>
      </c>
      <c r="H1135" t="s">
        <v>75</v>
      </c>
      <c r="I1135">
        <v>0</v>
      </c>
      <c r="J1135">
        <v>0</v>
      </c>
      <c r="K1135">
        <v>0</v>
      </c>
      <c r="L1135">
        <v>0</v>
      </c>
      <c r="M1135" t="s">
        <v>76</v>
      </c>
      <c r="N1135" t="s">
        <v>76</v>
      </c>
      <c r="O1135" t="s">
        <v>77</v>
      </c>
      <c r="P1135" t="s">
        <v>76</v>
      </c>
      <c r="S1135" t="s">
        <v>3309</v>
      </c>
    </row>
    <row r="1136" spans="1:19" x14ac:dyDescent="0.3">
      <c r="A1136" t="s">
        <v>3310</v>
      </c>
      <c r="B1136" t="s">
        <v>3311</v>
      </c>
      <c r="C1136" t="s">
        <v>43</v>
      </c>
      <c r="D1136" t="s">
        <v>63</v>
      </c>
      <c r="E1136" t="s">
        <v>74</v>
      </c>
      <c r="F1136" t="s">
        <v>45</v>
      </c>
      <c r="G1136" t="s">
        <v>43</v>
      </c>
      <c r="H1136" t="s">
        <v>26</v>
      </c>
      <c r="I1136">
        <v>0</v>
      </c>
      <c r="J1136">
        <v>0</v>
      </c>
      <c r="K1136">
        <v>0</v>
      </c>
      <c r="L1136">
        <v>0</v>
      </c>
      <c r="M1136" t="s">
        <v>76</v>
      </c>
      <c r="N1136" t="s">
        <v>76</v>
      </c>
      <c r="O1136" t="s">
        <v>77</v>
      </c>
      <c r="P1136" t="s">
        <v>76</v>
      </c>
      <c r="S1136" t="s">
        <v>3311</v>
      </c>
    </row>
    <row r="1137" spans="1:19" x14ac:dyDescent="0.3">
      <c r="A1137" t="s">
        <v>3312</v>
      </c>
      <c r="B1137" t="s">
        <v>3313</v>
      </c>
      <c r="C1137" t="s">
        <v>243</v>
      </c>
      <c r="D1137" t="s">
        <v>63</v>
      </c>
      <c r="E1137" t="s">
        <v>2897</v>
      </c>
      <c r="F1137" t="s">
        <v>243</v>
      </c>
      <c r="G1137" t="s">
        <v>244</v>
      </c>
      <c r="H1137" t="s">
        <v>75</v>
      </c>
      <c r="I1137">
        <v>0</v>
      </c>
      <c r="J1137">
        <v>0</v>
      </c>
      <c r="K1137">
        <v>0</v>
      </c>
      <c r="L1137">
        <v>0</v>
      </c>
      <c r="M1137" t="s">
        <v>76</v>
      </c>
      <c r="N1137" t="s">
        <v>76</v>
      </c>
      <c r="O1137" t="s">
        <v>77</v>
      </c>
      <c r="P1137" t="s">
        <v>76</v>
      </c>
      <c r="S1137" t="s">
        <v>3313</v>
      </c>
    </row>
    <row r="1138" spans="1:19" x14ac:dyDescent="0.3">
      <c r="A1138" t="s">
        <v>3314</v>
      </c>
      <c r="B1138" t="s">
        <v>3315</v>
      </c>
      <c r="C1138" t="s">
        <v>24</v>
      </c>
      <c r="D1138" t="s">
        <v>35</v>
      </c>
      <c r="E1138" t="s">
        <v>150</v>
      </c>
      <c r="F1138" t="s">
        <v>144</v>
      </c>
      <c r="G1138" t="s">
        <v>3316</v>
      </c>
      <c r="H1138" t="s">
        <v>213</v>
      </c>
      <c r="I1138">
        <v>0</v>
      </c>
      <c r="J1138">
        <v>0</v>
      </c>
      <c r="K1138">
        <v>0</v>
      </c>
      <c r="L1138">
        <v>0</v>
      </c>
      <c r="M1138" t="s">
        <v>76</v>
      </c>
      <c r="N1138" t="s">
        <v>76</v>
      </c>
      <c r="O1138" t="s">
        <v>77</v>
      </c>
      <c r="P1138" t="s">
        <v>76</v>
      </c>
      <c r="S1138" t="s">
        <v>3315</v>
      </c>
    </row>
    <row r="1139" spans="1:19" x14ac:dyDescent="0.3">
      <c r="A1139" t="s">
        <v>3317</v>
      </c>
      <c r="B1139" t="s">
        <v>3318</v>
      </c>
      <c r="C1139" t="s">
        <v>43</v>
      </c>
      <c r="D1139" t="s">
        <v>63</v>
      </c>
      <c r="E1139" t="s">
        <v>74</v>
      </c>
      <c r="F1139" t="s">
        <v>45</v>
      </c>
      <c r="G1139" t="s">
        <v>43</v>
      </c>
      <c r="H1139" t="s">
        <v>26</v>
      </c>
      <c r="I1139">
        <v>0</v>
      </c>
      <c r="J1139">
        <v>0</v>
      </c>
      <c r="K1139">
        <v>0</v>
      </c>
      <c r="L1139">
        <v>0</v>
      </c>
      <c r="M1139" t="s">
        <v>76</v>
      </c>
      <c r="N1139" t="s">
        <v>76</v>
      </c>
      <c r="O1139" t="s">
        <v>77</v>
      </c>
      <c r="P1139" t="s">
        <v>76</v>
      </c>
      <c r="S1139" t="s">
        <v>3318</v>
      </c>
    </row>
    <row r="1140" spans="1:19" x14ac:dyDescent="0.3">
      <c r="A1140" t="s">
        <v>3319</v>
      </c>
      <c r="B1140" t="s">
        <v>3320</v>
      </c>
      <c r="C1140" t="s">
        <v>43</v>
      </c>
      <c r="D1140" t="s">
        <v>63</v>
      </c>
      <c r="E1140" t="s">
        <v>74</v>
      </c>
      <c r="F1140" t="s">
        <v>45</v>
      </c>
      <c r="G1140" t="s">
        <v>43</v>
      </c>
      <c r="H1140" t="s">
        <v>26</v>
      </c>
      <c r="I1140">
        <v>0</v>
      </c>
      <c r="J1140">
        <v>0</v>
      </c>
      <c r="K1140">
        <v>0</v>
      </c>
      <c r="L1140">
        <v>0</v>
      </c>
      <c r="M1140" t="s">
        <v>76</v>
      </c>
      <c r="N1140" t="s">
        <v>76</v>
      </c>
      <c r="O1140" t="s">
        <v>77</v>
      </c>
      <c r="P1140" t="s">
        <v>76</v>
      </c>
      <c r="S1140" t="s">
        <v>3320</v>
      </c>
    </row>
    <row r="1141" spans="1:19" x14ac:dyDescent="0.3">
      <c r="A1141" t="s">
        <v>3321</v>
      </c>
      <c r="B1141" t="s">
        <v>3322</v>
      </c>
      <c r="C1141" t="s">
        <v>43</v>
      </c>
      <c r="D1141" t="s">
        <v>63</v>
      </c>
      <c r="E1141" t="s">
        <v>74</v>
      </c>
      <c r="F1141" t="s">
        <v>45</v>
      </c>
      <c r="G1141" t="s">
        <v>43</v>
      </c>
      <c r="H1141" t="s">
        <v>26</v>
      </c>
      <c r="I1141">
        <v>0</v>
      </c>
      <c r="J1141">
        <v>0</v>
      </c>
      <c r="K1141">
        <v>0</v>
      </c>
      <c r="L1141">
        <v>0</v>
      </c>
      <c r="M1141" t="s">
        <v>76</v>
      </c>
      <c r="N1141" t="s">
        <v>76</v>
      </c>
      <c r="O1141" t="s">
        <v>77</v>
      </c>
      <c r="P1141" t="s">
        <v>76</v>
      </c>
      <c r="S1141" t="s">
        <v>3322</v>
      </c>
    </row>
    <row r="1142" spans="1:19" x14ac:dyDescent="0.3">
      <c r="A1142" t="s">
        <v>3323</v>
      </c>
      <c r="B1142" t="s">
        <v>3324</v>
      </c>
      <c r="C1142" t="s">
        <v>21</v>
      </c>
      <c r="D1142" t="s">
        <v>63</v>
      </c>
      <c r="E1142" t="s">
        <v>74</v>
      </c>
      <c r="F1142" t="s">
        <v>24</v>
      </c>
      <c r="G1142" t="s">
        <v>21</v>
      </c>
      <c r="H1142" t="s">
        <v>26</v>
      </c>
      <c r="I1142">
        <v>0</v>
      </c>
      <c r="J1142">
        <v>0</v>
      </c>
      <c r="K1142">
        <v>0</v>
      </c>
      <c r="L1142">
        <v>0</v>
      </c>
      <c r="M1142" t="s">
        <v>76</v>
      </c>
      <c r="N1142" t="s">
        <v>76</v>
      </c>
      <c r="O1142" t="s">
        <v>77</v>
      </c>
      <c r="P1142" t="s">
        <v>76</v>
      </c>
      <c r="S1142" t="s">
        <v>3324</v>
      </c>
    </row>
    <row r="1143" spans="1:19" x14ac:dyDescent="0.3">
      <c r="A1143" t="s">
        <v>3325</v>
      </c>
      <c r="B1143" t="s">
        <v>3326</v>
      </c>
      <c r="C1143" t="s">
        <v>24</v>
      </c>
      <c r="D1143" t="s">
        <v>35</v>
      </c>
      <c r="E1143" t="s">
        <v>389</v>
      </c>
      <c r="F1143" t="s">
        <v>144</v>
      </c>
      <c r="G1143" t="s">
        <v>3327</v>
      </c>
      <c r="H1143" t="s">
        <v>26</v>
      </c>
      <c r="I1143">
        <v>0</v>
      </c>
      <c r="J1143">
        <v>0</v>
      </c>
      <c r="K1143">
        <v>0</v>
      </c>
      <c r="L1143">
        <v>0</v>
      </c>
      <c r="M1143" t="s">
        <v>76</v>
      </c>
      <c r="N1143" t="s">
        <v>76</v>
      </c>
      <c r="O1143" t="s">
        <v>77</v>
      </c>
      <c r="P1143" t="s">
        <v>76</v>
      </c>
      <c r="S1143" t="s">
        <v>3326</v>
      </c>
    </row>
    <row r="1144" spans="1:19" x14ac:dyDescent="0.3">
      <c r="A1144" t="s">
        <v>3328</v>
      </c>
      <c r="B1144" t="s">
        <v>3329</v>
      </c>
      <c r="E1144" t="s">
        <v>80</v>
      </c>
      <c r="F1144" t="s">
        <v>1605</v>
      </c>
      <c r="G1144" t="s">
        <v>43</v>
      </c>
      <c r="H1144" t="s">
        <v>26</v>
      </c>
      <c r="I1144">
        <v>0</v>
      </c>
      <c r="J1144">
        <v>0</v>
      </c>
      <c r="K1144">
        <v>0</v>
      </c>
      <c r="L1144">
        <v>0</v>
      </c>
      <c r="M1144" t="s">
        <v>76</v>
      </c>
      <c r="N1144" t="s">
        <v>76</v>
      </c>
      <c r="O1144" t="s">
        <v>77</v>
      </c>
      <c r="P1144" t="s">
        <v>76</v>
      </c>
      <c r="S1144" t="s">
        <v>3329</v>
      </c>
    </row>
    <row r="1145" spans="1:19" x14ac:dyDescent="0.3">
      <c r="A1145" t="s">
        <v>3330</v>
      </c>
      <c r="B1145" t="s">
        <v>3331</v>
      </c>
      <c r="C1145" t="s">
        <v>251</v>
      </c>
      <c r="D1145" t="s">
        <v>35</v>
      </c>
      <c r="E1145" t="s">
        <v>150</v>
      </c>
      <c r="F1145" t="s">
        <v>251</v>
      </c>
      <c r="G1145" t="s">
        <v>3330</v>
      </c>
      <c r="H1145" t="s">
        <v>213</v>
      </c>
      <c r="I1145">
        <v>0</v>
      </c>
      <c r="J1145">
        <v>0</v>
      </c>
      <c r="K1145">
        <v>0</v>
      </c>
      <c r="L1145">
        <v>0</v>
      </c>
      <c r="S1145" t="s">
        <v>3331</v>
      </c>
    </row>
    <row r="1146" spans="1:19" x14ac:dyDescent="0.3">
      <c r="A1146" t="s">
        <v>3332</v>
      </c>
      <c r="B1146" t="s">
        <v>3333</v>
      </c>
      <c r="C1146" t="s">
        <v>43</v>
      </c>
      <c r="D1146" t="s">
        <v>35</v>
      </c>
      <c r="E1146" t="s">
        <v>80</v>
      </c>
      <c r="F1146" t="s">
        <v>45</v>
      </c>
      <c r="G1146" t="s">
        <v>43</v>
      </c>
      <c r="H1146" t="s">
        <v>26</v>
      </c>
      <c r="I1146">
        <v>0</v>
      </c>
      <c r="J1146">
        <v>0</v>
      </c>
      <c r="K1146">
        <v>0</v>
      </c>
      <c r="L1146">
        <v>0</v>
      </c>
      <c r="M1146" t="s">
        <v>76</v>
      </c>
      <c r="N1146" t="s">
        <v>76</v>
      </c>
      <c r="O1146" t="s">
        <v>77</v>
      </c>
      <c r="P1146" t="s">
        <v>76</v>
      </c>
      <c r="S1146" t="s">
        <v>3333</v>
      </c>
    </row>
    <row r="1147" spans="1:19" x14ac:dyDescent="0.3">
      <c r="A1147" t="s">
        <v>3334</v>
      </c>
      <c r="B1147" t="s">
        <v>3335</v>
      </c>
      <c r="C1147" t="s">
        <v>21</v>
      </c>
      <c r="D1147" t="s">
        <v>63</v>
      </c>
      <c r="E1147" t="s">
        <v>74</v>
      </c>
      <c r="F1147" t="s">
        <v>24</v>
      </c>
      <c r="G1147" t="s">
        <v>21</v>
      </c>
      <c r="H1147" t="s">
        <v>26</v>
      </c>
      <c r="I1147">
        <v>0</v>
      </c>
      <c r="J1147">
        <v>0</v>
      </c>
      <c r="K1147">
        <v>0</v>
      </c>
      <c r="L1147">
        <v>0</v>
      </c>
      <c r="M1147" t="s">
        <v>76</v>
      </c>
      <c r="N1147" t="s">
        <v>76</v>
      </c>
      <c r="O1147" t="s">
        <v>77</v>
      </c>
      <c r="P1147" t="s">
        <v>76</v>
      </c>
      <c r="S1147" t="s">
        <v>3335</v>
      </c>
    </row>
    <row r="1148" spans="1:19" x14ac:dyDescent="0.3">
      <c r="A1148" t="s">
        <v>3336</v>
      </c>
      <c r="B1148" t="s">
        <v>3337</v>
      </c>
      <c r="C1148" t="s">
        <v>24</v>
      </c>
      <c r="D1148" t="s">
        <v>63</v>
      </c>
      <c r="E1148" t="s">
        <v>1132</v>
      </c>
      <c r="F1148" t="s">
        <v>24</v>
      </c>
      <c r="G1148" t="s">
        <v>3336</v>
      </c>
      <c r="H1148" t="s">
        <v>26</v>
      </c>
      <c r="I1148">
        <v>0</v>
      </c>
      <c r="J1148">
        <v>0</v>
      </c>
      <c r="K1148">
        <v>0</v>
      </c>
      <c r="L1148">
        <v>0</v>
      </c>
      <c r="M1148" t="s">
        <v>76</v>
      </c>
      <c r="N1148" t="s">
        <v>76</v>
      </c>
      <c r="O1148" t="s">
        <v>77</v>
      </c>
      <c r="P1148" t="s">
        <v>76</v>
      </c>
      <c r="S1148" t="s">
        <v>3337</v>
      </c>
    </row>
    <row r="1149" spans="1:19" x14ac:dyDescent="0.3">
      <c r="A1149" t="s">
        <v>3338</v>
      </c>
      <c r="B1149" t="s">
        <v>3339</v>
      </c>
      <c r="C1149" t="s">
        <v>114</v>
      </c>
      <c r="F1149" t="s">
        <v>114</v>
      </c>
      <c r="G1149" t="s">
        <v>190</v>
      </c>
      <c r="H1149" t="s">
        <v>75</v>
      </c>
      <c r="I1149">
        <v>0</v>
      </c>
      <c r="J1149">
        <v>0</v>
      </c>
      <c r="K1149">
        <v>0</v>
      </c>
      <c r="L1149">
        <v>0</v>
      </c>
      <c r="M1149" t="s">
        <v>76</v>
      </c>
      <c r="N1149" t="s">
        <v>76</v>
      </c>
      <c r="O1149" t="s">
        <v>77</v>
      </c>
      <c r="P1149" t="s">
        <v>76</v>
      </c>
      <c r="S1149" t="s">
        <v>3339</v>
      </c>
    </row>
    <row r="1150" spans="1:19" x14ac:dyDescent="0.3">
      <c r="A1150" t="s">
        <v>3340</v>
      </c>
      <c r="B1150" t="s">
        <v>3341</v>
      </c>
      <c r="C1150" t="s">
        <v>21</v>
      </c>
      <c r="D1150" t="s">
        <v>63</v>
      </c>
      <c r="E1150" t="s">
        <v>74</v>
      </c>
      <c r="F1150" t="s">
        <v>24</v>
      </c>
      <c r="G1150" t="s">
        <v>21</v>
      </c>
      <c r="H1150" t="s">
        <v>26</v>
      </c>
      <c r="I1150">
        <v>0</v>
      </c>
      <c r="J1150">
        <v>0</v>
      </c>
      <c r="K1150">
        <v>0</v>
      </c>
      <c r="L1150">
        <v>0</v>
      </c>
      <c r="M1150" t="s">
        <v>76</v>
      </c>
      <c r="N1150" t="s">
        <v>76</v>
      </c>
      <c r="O1150" t="s">
        <v>77</v>
      </c>
      <c r="P1150" t="s">
        <v>76</v>
      </c>
      <c r="S1150" t="s">
        <v>3341</v>
      </c>
    </row>
    <row r="1151" spans="1:19" x14ac:dyDescent="0.3">
      <c r="A1151" t="s">
        <v>3342</v>
      </c>
      <c r="B1151" t="s">
        <v>3343</v>
      </c>
      <c r="C1151" t="s">
        <v>45</v>
      </c>
      <c r="D1151" t="s">
        <v>63</v>
      </c>
      <c r="E1151" t="s">
        <v>74</v>
      </c>
      <c r="F1151" t="s">
        <v>45</v>
      </c>
      <c r="G1151" t="s">
        <v>1091</v>
      </c>
      <c r="H1151" t="s">
        <v>26</v>
      </c>
      <c r="I1151">
        <v>0</v>
      </c>
      <c r="J1151">
        <v>0</v>
      </c>
      <c r="K1151">
        <v>0</v>
      </c>
      <c r="L1151">
        <v>0</v>
      </c>
      <c r="M1151" t="s">
        <v>121</v>
      </c>
      <c r="N1151" t="s">
        <v>122</v>
      </c>
      <c r="O1151" t="s">
        <v>123</v>
      </c>
      <c r="P1151" t="s">
        <v>124</v>
      </c>
      <c r="Q1151" t="s">
        <v>3344</v>
      </c>
      <c r="R1151" t="s">
        <v>3345</v>
      </c>
      <c r="S1151" t="s">
        <v>3343</v>
      </c>
    </row>
    <row r="1152" spans="1:19" x14ac:dyDescent="0.3">
      <c r="A1152" t="s">
        <v>3346</v>
      </c>
      <c r="B1152" t="s">
        <v>3347</v>
      </c>
      <c r="C1152" t="s">
        <v>1053</v>
      </c>
      <c r="D1152" t="s">
        <v>35</v>
      </c>
      <c r="E1152" t="s">
        <v>389</v>
      </c>
      <c r="F1152" t="s">
        <v>314</v>
      </c>
      <c r="G1152" t="s">
        <v>1053</v>
      </c>
      <c r="H1152" t="s">
        <v>75</v>
      </c>
      <c r="I1152">
        <v>0</v>
      </c>
      <c r="J1152">
        <v>0</v>
      </c>
      <c r="K1152">
        <v>0</v>
      </c>
      <c r="L1152">
        <v>0</v>
      </c>
      <c r="M1152" t="s">
        <v>76</v>
      </c>
      <c r="N1152" t="s">
        <v>76</v>
      </c>
      <c r="O1152" t="s">
        <v>77</v>
      </c>
      <c r="P1152" t="s">
        <v>76</v>
      </c>
      <c r="S1152" t="s">
        <v>3347</v>
      </c>
    </row>
    <row r="1153" spans="1:19" x14ac:dyDescent="0.3">
      <c r="A1153" t="s">
        <v>3348</v>
      </c>
      <c r="B1153" t="s">
        <v>3349</v>
      </c>
      <c r="C1153" t="s">
        <v>114</v>
      </c>
      <c r="D1153" t="s">
        <v>63</v>
      </c>
      <c r="E1153" t="s">
        <v>74</v>
      </c>
      <c r="F1153" t="s">
        <v>114</v>
      </c>
      <c r="G1153" t="s">
        <v>190</v>
      </c>
      <c r="H1153" t="s">
        <v>75</v>
      </c>
      <c r="I1153">
        <v>0</v>
      </c>
      <c r="J1153">
        <v>0</v>
      </c>
      <c r="K1153">
        <v>0</v>
      </c>
      <c r="L1153">
        <v>0</v>
      </c>
      <c r="M1153" t="s">
        <v>76</v>
      </c>
      <c r="N1153" t="s">
        <v>76</v>
      </c>
      <c r="O1153" t="s">
        <v>77</v>
      </c>
      <c r="P1153" t="s">
        <v>76</v>
      </c>
      <c r="S1153" t="s">
        <v>3349</v>
      </c>
    </row>
    <row r="1154" spans="1:19" x14ac:dyDescent="0.3">
      <c r="A1154" t="s">
        <v>3350</v>
      </c>
      <c r="B1154" t="s">
        <v>3351</v>
      </c>
      <c r="C1154" t="s">
        <v>21</v>
      </c>
      <c r="D1154" t="s">
        <v>63</v>
      </c>
      <c r="E1154" t="s">
        <v>85</v>
      </c>
      <c r="F1154" t="s">
        <v>24</v>
      </c>
      <c r="G1154" t="s">
        <v>21</v>
      </c>
      <c r="H1154" t="s">
        <v>26</v>
      </c>
      <c r="I1154">
        <v>0</v>
      </c>
      <c r="J1154">
        <v>0</v>
      </c>
      <c r="K1154">
        <v>0</v>
      </c>
      <c r="L1154">
        <v>0</v>
      </c>
      <c r="M1154" t="s">
        <v>76</v>
      </c>
      <c r="N1154" t="s">
        <v>76</v>
      </c>
      <c r="O1154" t="s">
        <v>77</v>
      </c>
      <c r="P1154" t="s">
        <v>76</v>
      </c>
      <c r="S1154" t="s">
        <v>3351</v>
      </c>
    </row>
    <row r="1155" spans="1:19" x14ac:dyDescent="0.3">
      <c r="A1155" t="s">
        <v>3352</v>
      </c>
      <c r="B1155" t="s">
        <v>3353</v>
      </c>
      <c r="C1155" t="s">
        <v>21</v>
      </c>
      <c r="D1155" t="s">
        <v>63</v>
      </c>
      <c r="E1155" t="s">
        <v>85</v>
      </c>
      <c r="F1155" t="s">
        <v>24</v>
      </c>
      <c r="G1155" t="s">
        <v>21</v>
      </c>
      <c r="H1155" t="s">
        <v>26</v>
      </c>
      <c r="I1155">
        <v>0</v>
      </c>
      <c r="J1155">
        <v>0</v>
      </c>
      <c r="K1155">
        <v>0</v>
      </c>
      <c r="L1155">
        <v>0</v>
      </c>
      <c r="M1155" t="s">
        <v>76</v>
      </c>
      <c r="N1155" t="s">
        <v>76</v>
      </c>
      <c r="O1155" t="s">
        <v>77</v>
      </c>
      <c r="P1155" t="s">
        <v>76</v>
      </c>
      <c r="S1155" t="s">
        <v>3353</v>
      </c>
    </row>
    <row r="1156" spans="1:19" x14ac:dyDescent="0.3">
      <c r="A1156" t="s">
        <v>3354</v>
      </c>
      <c r="B1156" t="s">
        <v>3355</v>
      </c>
      <c r="C1156" t="s">
        <v>45</v>
      </c>
      <c r="D1156" t="s">
        <v>63</v>
      </c>
      <c r="E1156" t="s">
        <v>315</v>
      </c>
      <c r="F1156" t="s">
        <v>45</v>
      </c>
      <c r="G1156" t="s">
        <v>1349</v>
      </c>
      <c r="H1156" t="s">
        <v>213</v>
      </c>
      <c r="I1156">
        <v>0</v>
      </c>
      <c r="J1156">
        <v>0</v>
      </c>
      <c r="K1156">
        <v>0</v>
      </c>
      <c r="L1156">
        <v>0</v>
      </c>
      <c r="M1156" t="s">
        <v>76</v>
      </c>
      <c r="N1156" t="s">
        <v>76</v>
      </c>
      <c r="O1156" t="s">
        <v>77</v>
      </c>
      <c r="P1156" t="s">
        <v>76</v>
      </c>
      <c r="S1156" t="s">
        <v>3355</v>
      </c>
    </row>
    <row r="1157" spans="1:19" x14ac:dyDescent="0.3">
      <c r="A1157" t="s">
        <v>3356</v>
      </c>
      <c r="B1157" t="s">
        <v>3357</v>
      </c>
      <c r="C1157" t="s">
        <v>24</v>
      </c>
      <c r="D1157" t="s">
        <v>63</v>
      </c>
      <c r="E1157" t="s">
        <v>3358</v>
      </c>
      <c r="F1157" t="s">
        <v>24</v>
      </c>
      <c r="G1157" t="s">
        <v>3356</v>
      </c>
      <c r="H1157" t="s">
        <v>26</v>
      </c>
      <c r="I1157">
        <v>0</v>
      </c>
      <c r="J1157">
        <v>0</v>
      </c>
      <c r="K1157">
        <v>0</v>
      </c>
      <c r="L1157">
        <v>0</v>
      </c>
      <c r="M1157" t="s">
        <v>76</v>
      </c>
      <c r="N1157" t="s">
        <v>76</v>
      </c>
      <c r="O1157" t="s">
        <v>77</v>
      </c>
      <c r="P1157" t="s">
        <v>76</v>
      </c>
      <c r="S1157" t="s">
        <v>3357</v>
      </c>
    </row>
    <row r="1158" spans="1:19" x14ac:dyDescent="0.3">
      <c r="A1158" t="s">
        <v>3359</v>
      </c>
      <c r="B1158" t="s">
        <v>3360</v>
      </c>
      <c r="C1158" t="s">
        <v>24</v>
      </c>
      <c r="D1158" t="s">
        <v>35</v>
      </c>
      <c r="E1158" t="s">
        <v>80</v>
      </c>
      <c r="F1158" t="s">
        <v>55</v>
      </c>
      <c r="G1158" t="s">
        <v>56</v>
      </c>
      <c r="H1158" t="s">
        <v>26</v>
      </c>
      <c r="I1158">
        <v>0</v>
      </c>
      <c r="J1158">
        <v>0</v>
      </c>
      <c r="K1158">
        <v>0</v>
      </c>
      <c r="L1158">
        <v>0</v>
      </c>
      <c r="M1158" t="s">
        <v>76</v>
      </c>
      <c r="N1158" t="s">
        <v>76</v>
      </c>
      <c r="O1158" t="s">
        <v>77</v>
      </c>
      <c r="P1158" t="s">
        <v>76</v>
      </c>
      <c r="S1158" t="s">
        <v>3360</v>
      </c>
    </row>
    <row r="1159" spans="1:19" x14ac:dyDescent="0.3">
      <c r="A1159" t="s">
        <v>3361</v>
      </c>
      <c r="B1159" t="s">
        <v>3362</v>
      </c>
      <c r="C1159" t="s">
        <v>21</v>
      </c>
      <c r="D1159" t="s">
        <v>63</v>
      </c>
      <c r="E1159" t="s">
        <v>74</v>
      </c>
      <c r="F1159" t="s">
        <v>24</v>
      </c>
      <c r="G1159" t="s">
        <v>21</v>
      </c>
      <c r="H1159" t="s">
        <v>26</v>
      </c>
      <c r="I1159">
        <v>0</v>
      </c>
      <c r="J1159">
        <v>0</v>
      </c>
      <c r="K1159">
        <v>0</v>
      </c>
      <c r="L1159">
        <v>0</v>
      </c>
      <c r="M1159" t="s">
        <v>76</v>
      </c>
      <c r="N1159" t="s">
        <v>76</v>
      </c>
      <c r="O1159" t="s">
        <v>77</v>
      </c>
      <c r="P1159" t="s">
        <v>76</v>
      </c>
      <c r="S1159" t="s">
        <v>3362</v>
      </c>
    </row>
    <row r="1160" spans="1:19" x14ac:dyDescent="0.3">
      <c r="A1160" t="s">
        <v>3363</v>
      </c>
      <c r="B1160" t="s">
        <v>3364</v>
      </c>
      <c r="C1160" t="s">
        <v>21</v>
      </c>
      <c r="D1160" t="s">
        <v>63</v>
      </c>
      <c r="E1160" t="s">
        <v>74</v>
      </c>
      <c r="F1160" t="s">
        <v>24</v>
      </c>
      <c r="G1160" t="s">
        <v>21</v>
      </c>
      <c r="H1160" t="s">
        <v>26</v>
      </c>
      <c r="I1160">
        <v>0</v>
      </c>
      <c r="J1160">
        <v>0</v>
      </c>
      <c r="K1160">
        <v>0</v>
      </c>
      <c r="L1160">
        <v>0</v>
      </c>
      <c r="M1160" t="s">
        <v>76</v>
      </c>
      <c r="N1160" t="s">
        <v>76</v>
      </c>
      <c r="O1160" t="s">
        <v>77</v>
      </c>
      <c r="P1160" t="s">
        <v>76</v>
      </c>
      <c r="S1160" t="s">
        <v>3364</v>
      </c>
    </row>
    <row r="1161" spans="1:19" x14ac:dyDescent="0.3">
      <c r="A1161" t="s">
        <v>3365</v>
      </c>
      <c r="B1161" t="s">
        <v>3366</v>
      </c>
      <c r="C1161" t="s">
        <v>228</v>
      </c>
      <c r="D1161" t="s">
        <v>53</v>
      </c>
      <c r="E1161" t="s">
        <v>389</v>
      </c>
      <c r="F1161" t="s">
        <v>195</v>
      </c>
      <c r="G1161" t="s">
        <v>1065</v>
      </c>
      <c r="H1161" t="s">
        <v>75</v>
      </c>
      <c r="I1161">
        <v>0</v>
      </c>
      <c r="J1161">
        <v>0</v>
      </c>
      <c r="K1161">
        <v>0</v>
      </c>
      <c r="L1161">
        <v>0</v>
      </c>
      <c r="M1161" t="s">
        <v>76</v>
      </c>
      <c r="N1161" t="s">
        <v>76</v>
      </c>
      <c r="O1161" t="s">
        <v>77</v>
      </c>
      <c r="P1161" t="s">
        <v>76</v>
      </c>
      <c r="S1161" t="s">
        <v>3366</v>
      </c>
    </row>
    <row r="1162" spans="1:19" x14ac:dyDescent="0.3">
      <c r="A1162" t="s">
        <v>3367</v>
      </c>
      <c r="B1162" t="s">
        <v>3368</v>
      </c>
      <c r="C1162" t="s">
        <v>228</v>
      </c>
      <c r="D1162" t="s">
        <v>63</v>
      </c>
      <c r="E1162" t="s">
        <v>74</v>
      </c>
      <c r="F1162" t="s">
        <v>228</v>
      </c>
      <c r="G1162" t="s">
        <v>1065</v>
      </c>
      <c r="H1162" t="s">
        <v>75</v>
      </c>
      <c r="I1162">
        <v>0</v>
      </c>
      <c r="J1162">
        <v>0</v>
      </c>
      <c r="K1162">
        <v>0</v>
      </c>
      <c r="L1162">
        <v>0</v>
      </c>
      <c r="M1162" t="s">
        <v>76</v>
      </c>
      <c r="N1162" t="s">
        <v>76</v>
      </c>
      <c r="O1162" t="s">
        <v>77</v>
      </c>
      <c r="P1162" t="s">
        <v>76</v>
      </c>
      <c r="S1162" t="s">
        <v>3368</v>
      </c>
    </row>
    <row r="1163" spans="1:19" x14ac:dyDescent="0.3">
      <c r="A1163" t="s">
        <v>3369</v>
      </c>
      <c r="B1163" t="s">
        <v>3370</v>
      </c>
      <c r="C1163" t="s">
        <v>228</v>
      </c>
      <c r="D1163" t="s">
        <v>35</v>
      </c>
      <c r="E1163" t="s">
        <v>128</v>
      </c>
      <c r="F1163" t="s">
        <v>228</v>
      </c>
      <c r="G1163" t="s">
        <v>1065</v>
      </c>
      <c r="H1163" t="s">
        <v>75</v>
      </c>
      <c r="I1163">
        <v>0</v>
      </c>
      <c r="J1163">
        <v>0</v>
      </c>
      <c r="K1163">
        <v>0</v>
      </c>
      <c r="L1163">
        <v>0</v>
      </c>
      <c r="M1163" t="s">
        <v>76</v>
      </c>
      <c r="N1163" t="s">
        <v>76</v>
      </c>
      <c r="O1163" t="s">
        <v>77</v>
      </c>
      <c r="P1163" t="s">
        <v>76</v>
      </c>
      <c r="S1163" t="s">
        <v>3370</v>
      </c>
    </row>
    <row r="1164" spans="1:19" x14ac:dyDescent="0.3">
      <c r="A1164" t="s">
        <v>1065</v>
      </c>
      <c r="B1164" t="s">
        <v>3371</v>
      </c>
      <c r="C1164" t="s">
        <v>228</v>
      </c>
      <c r="D1164" t="s">
        <v>35</v>
      </c>
      <c r="E1164" t="s">
        <v>178</v>
      </c>
      <c r="F1164" t="s">
        <v>228</v>
      </c>
      <c r="G1164" t="s">
        <v>1065</v>
      </c>
      <c r="H1164" t="s">
        <v>75</v>
      </c>
      <c r="I1164">
        <v>0</v>
      </c>
      <c r="J1164">
        <v>0</v>
      </c>
      <c r="K1164">
        <v>0</v>
      </c>
      <c r="L1164">
        <v>0</v>
      </c>
      <c r="M1164" t="s">
        <v>76</v>
      </c>
      <c r="N1164" t="s">
        <v>76</v>
      </c>
      <c r="O1164" t="s">
        <v>77</v>
      </c>
      <c r="P1164" t="s">
        <v>76</v>
      </c>
      <c r="S1164" t="s">
        <v>3371</v>
      </c>
    </row>
    <row r="1165" spans="1:19" x14ac:dyDescent="0.3">
      <c r="A1165" t="s">
        <v>3372</v>
      </c>
      <c r="B1165" t="s">
        <v>3373</v>
      </c>
      <c r="C1165" t="s">
        <v>251</v>
      </c>
      <c r="D1165" t="s">
        <v>63</v>
      </c>
      <c r="E1165" t="s">
        <v>315</v>
      </c>
      <c r="F1165" t="s">
        <v>750</v>
      </c>
      <c r="G1165" t="s">
        <v>2436</v>
      </c>
      <c r="H1165" t="s">
        <v>75</v>
      </c>
      <c r="I1165">
        <v>0</v>
      </c>
      <c r="J1165">
        <v>0</v>
      </c>
      <c r="K1165">
        <v>0</v>
      </c>
      <c r="L1165">
        <v>0</v>
      </c>
      <c r="S1165" t="s">
        <v>3373</v>
      </c>
    </row>
    <row r="1166" spans="1:19" x14ac:dyDescent="0.3">
      <c r="A1166" t="s">
        <v>3374</v>
      </c>
      <c r="B1166" t="s">
        <v>3375</v>
      </c>
      <c r="C1166" t="s">
        <v>21</v>
      </c>
      <c r="D1166" t="s">
        <v>63</v>
      </c>
      <c r="E1166" t="s">
        <v>74</v>
      </c>
      <c r="F1166" t="s">
        <v>24</v>
      </c>
      <c r="G1166" t="s">
        <v>21</v>
      </c>
      <c r="H1166" t="s">
        <v>26</v>
      </c>
      <c r="I1166">
        <v>0</v>
      </c>
      <c r="J1166">
        <v>0</v>
      </c>
      <c r="K1166">
        <v>0</v>
      </c>
      <c r="L1166">
        <v>0</v>
      </c>
      <c r="M1166" t="s">
        <v>76</v>
      </c>
      <c r="N1166" t="s">
        <v>76</v>
      </c>
      <c r="O1166" t="s">
        <v>77</v>
      </c>
      <c r="P1166" t="s">
        <v>76</v>
      </c>
      <c r="S1166" t="s">
        <v>3375</v>
      </c>
    </row>
    <row r="1167" spans="1:19" x14ac:dyDescent="0.3">
      <c r="A1167" t="s">
        <v>3376</v>
      </c>
      <c r="B1167" t="s">
        <v>3377</v>
      </c>
      <c r="C1167" t="s">
        <v>243</v>
      </c>
      <c r="F1167" t="s">
        <v>144</v>
      </c>
      <c r="G1167" t="s">
        <v>244</v>
      </c>
      <c r="H1167" t="s">
        <v>26</v>
      </c>
      <c r="I1167">
        <v>0</v>
      </c>
      <c r="J1167">
        <v>0</v>
      </c>
      <c r="K1167">
        <v>0</v>
      </c>
      <c r="L1167">
        <v>0</v>
      </c>
      <c r="M1167" t="s">
        <v>76</v>
      </c>
      <c r="N1167" t="s">
        <v>76</v>
      </c>
      <c r="O1167" t="s">
        <v>77</v>
      </c>
      <c r="P1167" t="s">
        <v>76</v>
      </c>
      <c r="S1167" t="s">
        <v>3377</v>
      </c>
    </row>
    <row r="1168" spans="1:19" x14ac:dyDescent="0.3">
      <c r="A1168" t="s">
        <v>3378</v>
      </c>
      <c r="B1168" t="s">
        <v>3379</v>
      </c>
      <c r="C1168" t="s">
        <v>43</v>
      </c>
      <c r="D1168" t="s">
        <v>35</v>
      </c>
      <c r="E1168" t="s">
        <v>36</v>
      </c>
      <c r="F1168" t="s">
        <v>45</v>
      </c>
      <c r="G1168" t="s">
        <v>43</v>
      </c>
      <c r="H1168" t="s">
        <v>26</v>
      </c>
      <c r="I1168">
        <v>0</v>
      </c>
      <c r="J1168">
        <v>0</v>
      </c>
      <c r="K1168">
        <v>0</v>
      </c>
      <c r="L1168">
        <v>0</v>
      </c>
      <c r="M1168" t="s">
        <v>76</v>
      </c>
      <c r="N1168" t="s">
        <v>76</v>
      </c>
      <c r="O1168" t="s">
        <v>77</v>
      </c>
      <c r="P1168" t="s">
        <v>76</v>
      </c>
      <c r="S1168" t="s">
        <v>3379</v>
      </c>
    </row>
    <row r="1169" spans="1:19" x14ac:dyDescent="0.3">
      <c r="A1169" t="s">
        <v>3380</v>
      </c>
      <c r="B1169" t="s">
        <v>3381</v>
      </c>
      <c r="C1169" t="s">
        <v>21</v>
      </c>
      <c r="D1169" t="s">
        <v>35</v>
      </c>
      <c r="E1169" t="s">
        <v>36</v>
      </c>
      <c r="F1169" t="s">
        <v>24</v>
      </c>
      <c r="G1169" t="s">
        <v>21</v>
      </c>
      <c r="H1169" t="s">
        <v>26</v>
      </c>
      <c r="I1169">
        <v>0</v>
      </c>
      <c r="J1169">
        <v>0</v>
      </c>
      <c r="K1169">
        <v>0</v>
      </c>
      <c r="L1169">
        <v>0</v>
      </c>
      <c r="M1169" t="s">
        <v>76</v>
      </c>
      <c r="N1169" t="s">
        <v>76</v>
      </c>
      <c r="O1169" t="s">
        <v>77</v>
      </c>
      <c r="P1169" t="s">
        <v>76</v>
      </c>
      <c r="S1169" t="s">
        <v>3381</v>
      </c>
    </row>
    <row r="1170" spans="1:19" x14ac:dyDescent="0.3">
      <c r="A1170" t="s">
        <v>3382</v>
      </c>
      <c r="B1170" t="s">
        <v>3383</v>
      </c>
      <c r="C1170" t="s">
        <v>24</v>
      </c>
      <c r="D1170" t="s">
        <v>63</v>
      </c>
      <c r="E1170" t="s">
        <v>323</v>
      </c>
      <c r="F1170" t="s">
        <v>24</v>
      </c>
      <c r="G1170" t="s">
        <v>3384</v>
      </c>
      <c r="H1170" t="s">
        <v>26</v>
      </c>
      <c r="I1170">
        <v>0</v>
      </c>
      <c r="J1170">
        <v>0</v>
      </c>
      <c r="K1170">
        <v>0</v>
      </c>
      <c r="L1170">
        <v>0</v>
      </c>
      <c r="M1170" t="s">
        <v>76</v>
      </c>
      <c r="N1170" t="s">
        <v>76</v>
      </c>
      <c r="O1170" t="s">
        <v>77</v>
      </c>
      <c r="P1170" t="s">
        <v>76</v>
      </c>
      <c r="S1170" t="s">
        <v>3383</v>
      </c>
    </row>
    <row r="1171" spans="1:19" x14ac:dyDescent="0.3">
      <c r="A1171" t="s">
        <v>3385</v>
      </c>
      <c r="B1171" t="s">
        <v>3386</v>
      </c>
      <c r="C1171" t="s">
        <v>43</v>
      </c>
      <c r="D1171" t="s">
        <v>189</v>
      </c>
      <c r="E1171" t="s">
        <v>189</v>
      </c>
      <c r="F1171" t="s">
        <v>45</v>
      </c>
      <c r="G1171" t="s">
        <v>43</v>
      </c>
      <c r="H1171" t="s">
        <v>26</v>
      </c>
      <c r="I1171">
        <v>0</v>
      </c>
      <c r="J1171">
        <v>0</v>
      </c>
      <c r="K1171">
        <v>0</v>
      </c>
      <c r="L1171">
        <v>0</v>
      </c>
      <c r="M1171" t="s">
        <v>76</v>
      </c>
      <c r="N1171" t="s">
        <v>76</v>
      </c>
      <c r="O1171" t="s">
        <v>77</v>
      </c>
      <c r="P1171" t="s">
        <v>76</v>
      </c>
      <c r="S1171" t="s">
        <v>3386</v>
      </c>
    </row>
    <row r="1172" spans="1:19" x14ac:dyDescent="0.3">
      <c r="A1172" t="s">
        <v>3387</v>
      </c>
      <c r="B1172" t="s">
        <v>3388</v>
      </c>
      <c r="C1172" t="s">
        <v>21</v>
      </c>
      <c r="D1172" t="s">
        <v>63</v>
      </c>
      <c r="E1172" t="s">
        <v>3389</v>
      </c>
      <c r="F1172" t="s">
        <v>24</v>
      </c>
      <c r="G1172" t="s">
        <v>21</v>
      </c>
      <c r="H1172" t="s">
        <v>26</v>
      </c>
      <c r="I1172">
        <v>0</v>
      </c>
      <c r="J1172">
        <v>0</v>
      </c>
      <c r="K1172">
        <v>0</v>
      </c>
      <c r="L1172">
        <v>0</v>
      </c>
      <c r="M1172" t="s">
        <v>76</v>
      </c>
      <c r="N1172" t="s">
        <v>76</v>
      </c>
      <c r="O1172" t="s">
        <v>77</v>
      </c>
      <c r="P1172" t="s">
        <v>76</v>
      </c>
      <c r="S1172" t="s">
        <v>3388</v>
      </c>
    </row>
    <row r="1173" spans="1:19" x14ac:dyDescent="0.3">
      <c r="A1173" t="s">
        <v>3390</v>
      </c>
      <c r="B1173" t="s">
        <v>3391</v>
      </c>
      <c r="C1173" t="s">
        <v>24</v>
      </c>
      <c r="D1173" t="s">
        <v>63</v>
      </c>
      <c r="E1173" t="s">
        <v>74</v>
      </c>
      <c r="F1173" t="s">
        <v>144</v>
      </c>
      <c r="G1173" t="s">
        <v>3390</v>
      </c>
      <c r="H1173" t="s">
        <v>213</v>
      </c>
      <c r="I1173">
        <v>0</v>
      </c>
      <c r="J1173">
        <v>0</v>
      </c>
      <c r="K1173">
        <v>0</v>
      </c>
      <c r="L1173">
        <v>0</v>
      </c>
      <c r="M1173" t="s">
        <v>76</v>
      </c>
      <c r="N1173" t="s">
        <v>76</v>
      </c>
      <c r="O1173" t="s">
        <v>77</v>
      </c>
      <c r="P1173" t="s">
        <v>76</v>
      </c>
      <c r="S1173" t="s">
        <v>3391</v>
      </c>
    </row>
    <row r="1174" spans="1:19" x14ac:dyDescent="0.3">
      <c r="A1174" t="s">
        <v>3392</v>
      </c>
      <c r="B1174" t="s">
        <v>3393</v>
      </c>
      <c r="C1174" t="s">
        <v>21</v>
      </c>
      <c r="D1174" t="s">
        <v>63</v>
      </c>
      <c r="E1174" t="s">
        <v>74</v>
      </c>
      <c r="F1174" t="s">
        <v>24</v>
      </c>
      <c r="G1174" t="s">
        <v>21</v>
      </c>
      <c r="H1174" t="s">
        <v>26</v>
      </c>
      <c r="I1174">
        <v>0</v>
      </c>
      <c r="J1174">
        <v>0</v>
      </c>
      <c r="K1174">
        <v>0</v>
      </c>
      <c r="L1174">
        <v>0</v>
      </c>
      <c r="M1174" t="s">
        <v>121</v>
      </c>
      <c r="N1174" t="s">
        <v>122</v>
      </c>
      <c r="O1174" t="s">
        <v>123</v>
      </c>
      <c r="P1174" t="s">
        <v>124</v>
      </c>
      <c r="Q1174" t="s">
        <v>2114</v>
      </c>
      <c r="R1174" t="s">
        <v>2115</v>
      </c>
      <c r="S1174" t="s">
        <v>3393</v>
      </c>
    </row>
    <row r="1175" spans="1:19" x14ac:dyDescent="0.3">
      <c r="A1175" t="s">
        <v>3394</v>
      </c>
      <c r="B1175" t="s">
        <v>3395</v>
      </c>
      <c r="C1175" t="s">
        <v>21</v>
      </c>
      <c r="D1175" t="s">
        <v>63</v>
      </c>
      <c r="E1175" t="s">
        <v>74</v>
      </c>
      <c r="F1175" t="s">
        <v>24</v>
      </c>
      <c r="G1175" t="s">
        <v>21</v>
      </c>
      <c r="H1175" t="s">
        <v>26</v>
      </c>
      <c r="I1175">
        <v>0</v>
      </c>
      <c r="J1175">
        <v>0</v>
      </c>
      <c r="K1175">
        <v>0</v>
      </c>
      <c r="L1175">
        <v>0</v>
      </c>
      <c r="M1175" t="s">
        <v>76</v>
      </c>
      <c r="N1175" t="s">
        <v>76</v>
      </c>
      <c r="O1175" t="s">
        <v>77</v>
      </c>
      <c r="P1175" t="s">
        <v>76</v>
      </c>
      <c r="S1175" t="s">
        <v>3395</v>
      </c>
    </row>
    <row r="1176" spans="1:19" x14ac:dyDescent="0.3">
      <c r="A1176" t="s">
        <v>3396</v>
      </c>
      <c r="B1176" t="s">
        <v>3397</v>
      </c>
      <c r="C1176" t="s">
        <v>24</v>
      </c>
      <c r="D1176" t="s">
        <v>35</v>
      </c>
      <c r="E1176" t="s">
        <v>80</v>
      </c>
      <c r="F1176" t="s">
        <v>24</v>
      </c>
      <c r="G1176" t="s">
        <v>3396</v>
      </c>
      <c r="H1176" t="s">
        <v>26</v>
      </c>
      <c r="I1176">
        <v>0</v>
      </c>
      <c r="J1176">
        <v>0</v>
      </c>
      <c r="K1176">
        <v>0</v>
      </c>
      <c r="L1176">
        <v>0</v>
      </c>
      <c r="M1176" t="s">
        <v>76</v>
      </c>
      <c r="N1176" t="s">
        <v>76</v>
      </c>
      <c r="O1176" t="s">
        <v>77</v>
      </c>
      <c r="P1176" t="s">
        <v>76</v>
      </c>
      <c r="S1176" t="s">
        <v>3397</v>
      </c>
    </row>
    <row r="1177" spans="1:19" x14ac:dyDescent="0.3">
      <c r="A1177" t="s">
        <v>3398</v>
      </c>
      <c r="B1177" t="s">
        <v>3399</v>
      </c>
      <c r="C1177" t="s">
        <v>24</v>
      </c>
      <c r="D1177" t="s">
        <v>63</v>
      </c>
      <c r="E1177" t="s">
        <v>331</v>
      </c>
      <c r="F1177" t="s">
        <v>144</v>
      </c>
      <c r="G1177" t="s">
        <v>3400</v>
      </c>
      <c r="H1177" t="s">
        <v>213</v>
      </c>
      <c r="I1177">
        <v>0</v>
      </c>
      <c r="J1177">
        <v>0</v>
      </c>
      <c r="K1177">
        <v>0</v>
      </c>
      <c r="L1177">
        <v>0</v>
      </c>
      <c r="M1177" t="s">
        <v>76</v>
      </c>
      <c r="N1177" t="s">
        <v>76</v>
      </c>
      <c r="O1177" t="s">
        <v>77</v>
      </c>
      <c r="P1177" t="s">
        <v>76</v>
      </c>
      <c r="S1177" t="s">
        <v>3399</v>
      </c>
    </row>
    <row r="1178" spans="1:19" x14ac:dyDescent="0.3">
      <c r="A1178" t="s">
        <v>3401</v>
      </c>
      <c r="B1178" t="s">
        <v>3402</v>
      </c>
      <c r="C1178" t="s">
        <v>21</v>
      </c>
      <c r="D1178" t="s">
        <v>63</v>
      </c>
      <c r="E1178" t="s">
        <v>74</v>
      </c>
      <c r="F1178" t="s">
        <v>24</v>
      </c>
      <c r="G1178" t="s">
        <v>21</v>
      </c>
      <c r="H1178" t="s">
        <v>26</v>
      </c>
      <c r="I1178">
        <v>0</v>
      </c>
      <c r="J1178">
        <v>0</v>
      </c>
      <c r="K1178">
        <v>0</v>
      </c>
      <c r="L1178">
        <v>0</v>
      </c>
      <c r="M1178" t="s">
        <v>76</v>
      </c>
      <c r="N1178" t="s">
        <v>76</v>
      </c>
      <c r="O1178" t="s">
        <v>77</v>
      </c>
      <c r="P1178" t="s">
        <v>76</v>
      </c>
      <c r="S1178" t="s">
        <v>3402</v>
      </c>
    </row>
    <row r="1179" spans="1:19" x14ac:dyDescent="0.3">
      <c r="A1179" t="s">
        <v>3403</v>
      </c>
      <c r="B1179" t="s">
        <v>3404</v>
      </c>
      <c r="C1179" t="s">
        <v>228</v>
      </c>
      <c r="D1179" t="s">
        <v>63</v>
      </c>
      <c r="E1179" t="s">
        <v>323</v>
      </c>
      <c r="F1179" t="s">
        <v>228</v>
      </c>
      <c r="G1179" t="s">
        <v>1065</v>
      </c>
      <c r="H1179" t="s">
        <v>317</v>
      </c>
      <c r="I1179">
        <v>0</v>
      </c>
      <c r="J1179">
        <v>0</v>
      </c>
      <c r="K1179">
        <v>0</v>
      </c>
      <c r="L1179">
        <v>0</v>
      </c>
      <c r="M1179" t="s">
        <v>76</v>
      </c>
      <c r="N1179" t="s">
        <v>76</v>
      </c>
      <c r="O1179" t="s">
        <v>77</v>
      </c>
      <c r="P1179" t="s">
        <v>76</v>
      </c>
      <c r="S1179" t="s">
        <v>3404</v>
      </c>
    </row>
    <row r="1180" spans="1:19" x14ac:dyDescent="0.3">
      <c r="A1180" t="s">
        <v>3405</v>
      </c>
      <c r="B1180" t="s">
        <v>3406</v>
      </c>
      <c r="E1180" t="s">
        <v>74</v>
      </c>
      <c r="F1180" t="s">
        <v>1605</v>
      </c>
      <c r="G1180" t="s">
        <v>43</v>
      </c>
      <c r="H1180" t="s">
        <v>26</v>
      </c>
      <c r="I1180">
        <v>0</v>
      </c>
      <c r="J1180">
        <v>0</v>
      </c>
      <c r="K1180">
        <v>0</v>
      </c>
      <c r="L1180">
        <v>0</v>
      </c>
      <c r="M1180" t="s">
        <v>76</v>
      </c>
      <c r="N1180" t="s">
        <v>76</v>
      </c>
      <c r="O1180" t="s">
        <v>77</v>
      </c>
      <c r="P1180" t="s">
        <v>76</v>
      </c>
      <c r="S1180" t="s">
        <v>3406</v>
      </c>
    </row>
    <row r="1181" spans="1:19" x14ac:dyDescent="0.3">
      <c r="A1181" t="s">
        <v>3407</v>
      </c>
      <c r="B1181" t="s">
        <v>3408</v>
      </c>
      <c r="C1181" t="s">
        <v>114</v>
      </c>
      <c r="D1181" t="s">
        <v>63</v>
      </c>
      <c r="E1181" t="s">
        <v>74</v>
      </c>
      <c r="F1181" t="s">
        <v>114</v>
      </c>
      <c r="G1181" t="s">
        <v>3409</v>
      </c>
      <c r="H1181" t="s">
        <v>317</v>
      </c>
      <c r="I1181">
        <v>0</v>
      </c>
      <c r="J1181">
        <v>0</v>
      </c>
      <c r="K1181">
        <v>0</v>
      </c>
      <c r="L1181">
        <v>0</v>
      </c>
      <c r="S1181" t="s">
        <v>3408</v>
      </c>
    </row>
    <row r="1182" spans="1:19" x14ac:dyDescent="0.3">
      <c r="A1182" t="s">
        <v>3410</v>
      </c>
      <c r="B1182" t="s">
        <v>3411</v>
      </c>
      <c r="C1182" t="s">
        <v>24</v>
      </c>
      <c r="D1182" t="s">
        <v>63</v>
      </c>
      <c r="E1182" t="s">
        <v>74</v>
      </c>
      <c r="F1182" t="s">
        <v>55</v>
      </c>
      <c r="G1182" t="s">
        <v>3412</v>
      </c>
      <c r="H1182" t="s">
        <v>213</v>
      </c>
      <c r="I1182">
        <v>0</v>
      </c>
      <c r="J1182">
        <v>0</v>
      </c>
      <c r="K1182">
        <v>0</v>
      </c>
      <c r="L1182">
        <v>0</v>
      </c>
      <c r="M1182" t="s">
        <v>76</v>
      </c>
      <c r="N1182" t="s">
        <v>76</v>
      </c>
      <c r="O1182" t="s">
        <v>77</v>
      </c>
      <c r="P1182" t="s">
        <v>76</v>
      </c>
      <c r="S1182" t="s">
        <v>3411</v>
      </c>
    </row>
    <row r="1183" spans="1:19" x14ac:dyDescent="0.3">
      <c r="A1183" t="s">
        <v>3413</v>
      </c>
      <c r="B1183" t="s">
        <v>3414</v>
      </c>
      <c r="C1183" t="s">
        <v>45</v>
      </c>
      <c r="D1183" t="s">
        <v>63</v>
      </c>
      <c r="E1183" t="s">
        <v>323</v>
      </c>
      <c r="F1183" t="s">
        <v>45</v>
      </c>
      <c r="G1183" t="s">
        <v>3415</v>
      </c>
      <c r="H1183" t="s">
        <v>213</v>
      </c>
      <c r="I1183">
        <v>0</v>
      </c>
      <c r="J1183">
        <v>0</v>
      </c>
      <c r="K1183">
        <v>0</v>
      </c>
      <c r="L1183">
        <v>0</v>
      </c>
      <c r="M1183" t="s">
        <v>76</v>
      </c>
      <c r="N1183" t="s">
        <v>76</v>
      </c>
      <c r="O1183" t="s">
        <v>77</v>
      </c>
      <c r="P1183" t="s">
        <v>76</v>
      </c>
      <c r="S1183" t="s">
        <v>3414</v>
      </c>
    </row>
    <row r="1184" spans="1:19" x14ac:dyDescent="0.3">
      <c r="A1184" t="s">
        <v>3416</v>
      </c>
      <c r="B1184" t="s">
        <v>3417</v>
      </c>
      <c r="C1184" t="s">
        <v>228</v>
      </c>
      <c r="D1184" t="s">
        <v>63</v>
      </c>
      <c r="E1184" t="s">
        <v>74</v>
      </c>
      <c r="F1184" t="s">
        <v>228</v>
      </c>
      <c r="G1184" t="s">
        <v>3418</v>
      </c>
      <c r="H1184" t="s">
        <v>317</v>
      </c>
      <c r="I1184">
        <v>0</v>
      </c>
      <c r="J1184">
        <v>0</v>
      </c>
      <c r="K1184">
        <v>0</v>
      </c>
      <c r="L1184">
        <v>0</v>
      </c>
      <c r="M1184" t="s">
        <v>76</v>
      </c>
      <c r="N1184" t="s">
        <v>76</v>
      </c>
      <c r="O1184" t="s">
        <v>77</v>
      </c>
      <c r="P1184" t="s">
        <v>76</v>
      </c>
      <c r="S1184" t="s">
        <v>3417</v>
      </c>
    </row>
    <row r="1185" spans="1:19" x14ac:dyDescent="0.3">
      <c r="A1185" t="s">
        <v>3419</v>
      </c>
      <c r="B1185" t="s">
        <v>3420</v>
      </c>
      <c r="C1185" t="s">
        <v>21</v>
      </c>
      <c r="D1185" t="s">
        <v>63</v>
      </c>
      <c r="E1185" t="s">
        <v>74</v>
      </c>
      <c r="F1185" t="s">
        <v>24</v>
      </c>
      <c r="G1185" t="s">
        <v>21</v>
      </c>
      <c r="H1185" t="s">
        <v>26</v>
      </c>
      <c r="I1185">
        <v>0</v>
      </c>
      <c r="J1185">
        <v>0</v>
      </c>
      <c r="K1185">
        <v>0</v>
      </c>
      <c r="L1185">
        <v>0</v>
      </c>
      <c r="M1185" t="s">
        <v>76</v>
      </c>
      <c r="N1185" t="s">
        <v>76</v>
      </c>
      <c r="O1185" t="s">
        <v>77</v>
      </c>
      <c r="P1185" t="s">
        <v>76</v>
      </c>
      <c r="S1185" t="s">
        <v>3420</v>
      </c>
    </row>
    <row r="1186" spans="1:19" x14ac:dyDescent="0.3">
      <c r="A1186" t="s">
        <v>3421</v>
      </c>
      <c r="B1186" t="s">
        <v>3422</v>
      </c>
      <c r="C1186" t="s">
        <v>1324</v>
      </c>
      <c r="D1186" t="s">
        <v>35</v>
      </c>
      <c r="E1186" t="s">
        <v>44</v>
      </c>
      <c r="F1186" t="s">
        <v>45</v>
      </c>
      <c r="G1186" t="s">
        <v>3423</v>
      </c>
      <c r="H1186" t="s">
        <v>26</v>
      </c>
      <c r="I1186">
        <v>0</v>
      </c>
      <c r="J1186">
        <v>0</v>
      </c>
      <c r="K1186">
        <v>0</v>
      </c>
      <c r="L1186">
        <v>0</v>
      </c>
      <c r="M1186" t="s">
        <v>76</v>
      </c>
      <c r="N1186" t="s">
        <v>76</v>
      </c>
      <c r="O1186" t="s">
        <v>77</v>
      </c>
      <c r="P1186" t="s">
        <v>76</v>
      </c>
      <c r="S1186" t="s">
        <v>3422</v>
      </c>
    </row>
    <row r="1187" spans="1:19" x14ac:dyDescent="0.3">
      <c r="A1187" t="s">
        <v>3424</v>
      </c>
      <c r="B1187" t="s">
        <v>3425</v>
      </c>
      <c r="C1187" t="s">
        <v>307</v>
      </c>
      <c r="D1187" t="s">
        <v>35</v>
      </c>
      <c r="E1187" t="s">
        <v>44</v>
      </c>
      <c r="F1187" t="s">
        <v>251</v>
      </c>
      <c r="G1187" t="s">
        <v>307</v>
      </c>
      <c r="H1187" t="s">
        <v>75</v>
      </c>
      <c r="I1187">
        <v>0</v>
      </c>
      <c r="J1187">
        <v>0</v>
      </c>
      <c r="K1187">
        <v>0</v>
      </c>
      <c r="L1187">
        <v>0</v>
      </c>
      <c r="M1187" t="s">
        <v>76</v>
      </c>
      <c r="N1187" t="s">
        <v>76</v>
      </c>
      <c r="O1187" t="s">
        <v>77</v>
      </c>
      <c r="P1187" t="s">
        <v>76</v>
      </c>
      <c r="S1187" t="s">
        <v>3425</v>
      </c>
    </row>
    <row r="1188" spans="1:19" x14ac:dyDescent="0.3">
      <c r="A1188" t="s">
        <v>3426</v>
      </c>
      <c r="B1188" t="s">
        <v>3427</v>
      </c>
      <c r="C1188" t="s">
        <v>45</v>
      </c>
      <c r="D1188" t="s">
        <v>63</v>
      </c>
      <c r="E1188" t="s">
        <v>74</v>
      </c>
      <c r="F1188" t="s">
        <v>24</v>
      </c>
      <c r="G1188" t="s">
        <v>3426</v>
      </c>
      <c r="H1188" t="s">
        <v>26</v>
      </c>
      <c r="I1188">
        <v>0</v>
      </c>
      <c r="J1188">
        <v>0</v>
      </c>
      <c r="K1188">
        <v>0</v>
      </c>
      <c r="L1188">
        <v>0</v>
      </c>
      <c r="M1188" t="s">
        <v>76</v>
      </c>
      <c r="N1188" t="s">
        <v>76</v>
      </c>
      <c r="O1188" t="s">
        <v>77</v>
      </c>
      <c r="P1188" t="s">
        <v>76</v>
      </c>
      <c r="S1188" t="s">
        <v>3427</v>
      </c>
    </row>
    <row r="1189" spans="1:19" x14ac:dyDescent="0.3">
      <c r="A1189" t="s">
        <v>3428</v>
      </c>
      <c r="B1189" t="s">
        <v>3429</v>
      </c>
      <c r="C1189" t="s">
        <v>228</v>
      </c>
      <c r="D1189" t="s">
        <v>35</v>
      </c>
      <c r="E1189" t="s">
        <v>389</v>
      </c>
      <c r="F1189" t="s">
        <v>228</v>
      </c>
      <c r="G1189" t="s">
        <v>1065</v>
      </c>
      <c r="H1189" t="s">
        <v>213</v>
      </c>
      <c r="I1189">
        <v>0</v>
      </c>
      <c r="J1189">
        <v>0</v>
      </c>
      <c r="K1189">
        <v>0</v>
      </c>
      <c r="L1189">
        <v>0</v>
      </c>
      <c r="M1189" t="s">
        <v>76</v>
      </c>
      <c r="N1189" t="s">
        <v>76</v>
      </c>
      <c r="O1189" t="s">
        <v>77</v>
      </c>
      <c r="P1189" t="s">
        <v>76</v>
      </c>
      <c r="S1189" t="s">
        <v>3429</v>
      </c>
    </row>
    <row r="1190" spans="1:19" x14ac:dyDescent="0.3">
      <c r="A1190" t="s">
        <v>3430</v>
      </c>
      <c r="B1190" t="s">
        <v>3431</v>
      </c>
      <c r="C1190" t="s">
        <v>307</v>
      </c>
      <c r="D1190" t="s">
        <v>63</v>
      </c>
      <c r="E1190" t="s">
        <v>74</v>
      </c>
      <c r="F1190" t="s">
        <v>251</v>
      </c>
      <c r="G1190" t="s">
        <v>307</v>
      </c>
      <c r="H1190" t="s">
        <v>213</v>
      </c>
      <c r="I1190">
        <v>0</v>
      </c>
      <c r="J1190">
        <v>0</v>
      </c>
      <c r="K1190">
        <v>0</v>
      </c>
      <c r="L1190">
        <v>0</v>
      </c>
      <c r="M1190" t="s">
        <v>76</v>
      </c>
      <c r="N1190" t="s">
        <v>76</v>
      </c>
      <c r="O1190" t="s">
        <v>77</v>
      </c>
      <c r="P1190" t="s">
        <v>76</v>
      </c>
      <c r="S1190" t="s">
        <v>3431</v>
      </c>
    </row>
    <row r="1191" spans="1:19" x14ac:dyDescent="0.3">
      <c r="A1191" t="s">
        <v>3432</v>
      </c>
      <c r="B1191" t="s">
        <v>3433</v>
      </c>
      <c r="C1191" t="s">
        <v>43</v>
      </c>
      <c r="D1191" t="s">
        <v>63</v>
      </c>
      <c r="E1191" t="s">
        <v>555</v>
      </c>
      <c r="F1191" t="s">
        <v>45</v>
      </c>
      <c r="G1191" t="s">
        <v>43</v>
      </c>
      <c r="H1191" t="s">
        <v>26</v>
      </c>
      <c r="I1191">
        <v>0</v>
      </c>
      <c r="J1191">
        <v>0</v>
      </c>
      <c r="K1191">
        <v>0</v>
      </c>
      <c r="L1191">
        <v>0</v>
      </c>
      <c r="M1191" t="s">
        <v>239</v>
      </c>
      <c r="N1191" t="s">
        <v>239</v>
      </c>
      <c r="O1191" t="s">
        <v>240</v>
      </c>
      <c r="P1191" t="s">
        <v>239</v>
      </c>
      <c r="Q1191" t="s">
        <v>3434</v>
      </c>
      <c r="R1191" t="s">
        <v>3435</v>
      </c>
      <c r="S1191" t="s">
        <v>3433</v>
      </c>
    </row>
    <row r="1192" spans="1:19" x14ac:dyDescent="0.3">
      <c r="A1192" t="s">
        <v>3436</v>
      </c>
      <c r="B1192" t="s">
        <v>3437</v>
      </c>
      <c r="C1192" t="s">
        <v>21</v>
      </c>
      <c r="D1192" t="s">
        <v>63</v>
      </c>
      <c r="E1192" t="s">
        <v>74</v>
      </c>
      <c r="F1192" t="s">
        <v>24</v>
      </c>
      <c r="G1192" t="s">
        <v>21</v>
      </c>
      <c r="H1192" t="s">
        <v>26</v>
      </c>
      <c r="I1192">
        <v>0</v>
      </c>
      <c r="J1192">
        <v>0</v>
      </c>
      <c r="K1192">
        <v>0</v>
      </c>
      <c r="L1192">
        <v>0</v>
      </c>
      <c r="M1192" t="s">
        <v>76</v>
      </c>
      <c r="N1192" t="s">
        <v>76</v>
      </c>
      <c r="O1192" t="s">
        <v>77</v>
      </c>
      <c r="P1192" t="s">
        <v>76</v>
      </c>
      <c r="S1192" t="s">
        <v>3437</v>
      </c>
    </row>
    <row r="1193" spans="1:19" x14ac:dyDescent="0.3">
      <c r="A1193" t="s">
        <v>3438</v>
      </c>
      <c r="B1193" t="s">
        <v>3439</v>
      </c>
      <c r="C1193" t="s">
        <v>251</v>
      </c>
      <c r="D1193" t="s">
        <v>63</v>
      </c>
      <c r="E1193" t="s">
        <v>74</v>
      </c>
      <c r="F1193" t="s">
        <v>251</v>
      </c>
      <c r="G1193" t="s">
        <v>3438</v>
      </c>
      <c r="H1193" t="s">
        <v>213</v>
      </c>
      <c r="I1193">
        <v>0</v>
      </c>
      <c r="J1193">
        <v>0</v>
      </c>
      <c r="K1193">
        <v>0</v>
      </c>
      <c r="L1193">
        <v>0</v>
      </c>
      <c r="S1193" t="s">
        <v>3439</v>
      </c>
    </row>
    <row r="1194" spans="1:19" x14ac:dyDescent="0.3">
      <c r="A1194" t="s">
        <v>3440</v>
      </c>
      <c r="B1194" t="s">
        <v>3441</v>
      </c>
      <c r="C1194" t="s">
        <v>24</v>
      </c>
      <c r="D1194" t="s">
        <v>63</v>
      </c>
      <c r="E1194" t="s">
        <v>315</v>
      </c>
      <c r="F1194" t="s">
        <v>144</v>
      </c>
      <c r="G1194" t="s">
        <v>3440</v>
      </c>
      <c r="H1194" t="s">
        <v>26</v>
      </c>
      <c r="I1194">
        <v>0</v>
      </c>
      <c r="J1194">
        <v>0</v>
      </c>
      <c r="K1194">
        <v>0</v>
      </c>
      <c r="L1194">
        <v>0</v>
      </c>
      <c r="M1194" t="s">
        <v>76</v>
      </c>
      <c r="N1194" t="s">
        <v>76</v>
      </c>
      <c r="O1194" t="s">
        <v>77</v>
      </c>
      <c r="P1194" t="s">
        <v>76</v>
      </c>
      <c r="S1194" t="s">
        <v>3441</v>
      </c>
    </row>
    <row r="1195" spans="1:19" x14ac:dyDescent="0.3">
      <c r="A1195" t="s">
        <v>3442</v>
      </c>
      <c r="B1195" t="s">
        <v>3443</v>
      </c>
      <c r="C1195" t="s">
        <v>251</v>
      </c>
      <c r="F1195" t="s">
        <v>251</v>
      </c>
      <c r="G1195" t="s">
        <v>3330</v>
      </c>
      <c r="H1195" t="s">
        <v>213</v>
      </c>
      <c r="I1195">
        <v>0</v>
      </c>
      <c r="J1195">
        <v>0</v>
      </c>
      <c r="K1195">
        <v>0</v>
      </c>
      <c r="L1195">
        <v>0</v>
      </c>
      <c r="S1195" t="s">
        <v>3443</v>
      </c>
    </row>
    <row r="1196" spans="1:19" x14ac:dyDescent="0.3">
      <c r="A1196" t="s">
        <v>3444</v>
      </c>
      <c r="B1196" t="s">
        <v>3445</v>
      </c>
      <c r="C1196" t="s">
        <v>21</v>
      </c>
      <c r="D1196" t="s">
        <v>63</v>
      </c>
      <c r="E1196" t="s">
        <v>74</v>
      </c>
      <c r="F1196" t="s">
        <v>24</v>
      </c>
      <c r="G1196" t="s">
        <v>21</v>
      </c>
      <c r="H1196" t="s">
        <v>26</v>
      </c>
      <c r="I1196">
        <v>0</v>
      </c>
      <c r="J1196">
        <v>0</v>
      </c>
      <c r="K1196">
        <v>0</v>
      </c>
      <c r="L1196">
        <v>0</v>
      </c>
      <c r="M1196" t="s">
        <v>76</v>
      </c>
      <c r="N1196" t="s">
        <v>76</v>
      </c>
      <c r="O1196" t="s">
        <v>77</v>
      </c>
      <c r="P1196" t="s">
        <v>76</v>
      </c>
      <c r="S1196" t="s">
        <v>3445</v>
      </c>
    </row>
    <row r="1197" spans="1:19" x14ac:dyDescent="0.3">
      <c r="A1197" t="s">
        <v>3446</v>
      </c>
      <c r="B1197" t="s">
        <v>3447</v>
      </c>
      <c r="C1197" t="s">
        <v>21</v>
      </c>
      <c r="F1197" t="s">
        <v>24</v>
      </c>
      <c r="G1197" t="s">
        <v>21</v>
      </c>
      <c r="H1197" t="s">
        <v>26</v>
      </c>
      <c r="I1197">
        <v>0</v>
      </c>
      <c r="J1197">
        <v>0</v>
      </c>
      <c r="K1197">
        <v>0</v>
      </c>
      <c r="L1197">
        <v>0</v>
      </c>
      <c r="M1197" t="s">
        <v>76</v>
      </c>
      <c r="N1197" t="s">
        <v>76</v>
      </c>
      <c r="O1197" t="s">
        <v>77</v>
      </c>
      <c r="P1197" t="s">
        <v>76</v>
      </c>
      <c r="S1197" t="s">
        <v>3447</v>
      </c>
    </row>
    <row r="1198" spans="1:19" x14ac:dyDescent="0.3">
      <c r="A1198" t="s">
        <v>3448</v>
      </c>
      <c r="B1198" t="s">
        <v>3449</v>
      </c>
      <c r="C1198" t="s">
        <v>21</v>
      </c>
      <c r="D1198" t="s">
        <v>63</v>
      </c>
      <c r="E1198" t="s">
        <v>74</v>
      </c>
      <c r="F1198" t="s">
        <v>24</v>
      </c>
      <c r="G1198" t="s">
        <v>21</v>
      </c>
      <c r="H1198" t="s">
        <v>26</v>
      </c>
      <c r="I1198">
        <v>0</v>
      </c>
      <c r="J1198">
        <v>0</v>
      </c>
      <c r="K1198">
        <v>0</v>
      </c>
      <c r="L1198">
        <v>0</v>
      </c>
      <c r="M1198" t="s">
        <v>76</v>
      </c>
      <c r="N1198" t="s">
        <v>76</v>
      </c>
      <c r="O1198" t="s">
        <v>77</v>
      </c>
      <c r="P1198" t="s">
        <v>76</v>
      </c>
      <c r="S1198" t="s">
        <v>3449</v>
      </c>
    </row>
    <row r="1199" spans="1:19" x14ac:dyDescent="0.3">
      <c r="A1199" t="s">
        <v>3450</v>
      </c>
      <c r="B1199" t="s">
        <v>3451</v>
      </c>
      <c r="C1199" t="s">
        <v>24</v>
      </c>
      <c r="D1199" t="s">
        <v>35</v>
      </c>
      <c r="E1199" t="s">
        <v>150</v>
      </c>
      <c r="F1199" t="s">
        <v>24</v>
      </c>
      <c r="G1199" t="s">
        <v>724</v>
      </c>
      <c r="H1199" t="s">
        <v>26</v>
      </c>
      <c r="I1199">
        <v>0</v>
      </c>
      <c r="J1199">
        <v>0</v>
      </c>
      <c r="K1199">
        <v>0</v>
      </c>
      <c r="L1199">
        <v>0</v>
      </c>
      <c r="M1199" t="s">
        <v>239</v>
      </c>
      <c r="N1199" t="s">
        <v>239</v>
      </c>
      <c r="O1199" t="s">
        <v>240</v>
      </c>
      <c r="P1199" t="s">
        <v>239</v>
      </c>
      <c r="S1199" t="s">
        <v>3451</v>
      </c>
    </row>
    <row r="1200" spans="1:19" x14ac:dyDescent="0.3">
      <c r="A1200" t="s">
        <v>1073</v>
      </c>
      <c r="B1200" t="s">
        <v>3452</v>
      </c>
      <c r="C1200" t="s">
        <v>24</v>
      </c>
      <c r="F1200" t="s">
        <v>144</v>
      </c>
      <c r="G1200" t="s">
        <v>1073</v>
      </c>
      <c r="H1200" t="s">
        <v>26</v>
      </c>
      <c r="I1200">
        <v>0</v>
      </c>
      <c r="J1200">
        <v>0</v>
      </c>
      <c r="K1200">
        <v>0</v>
      </c>
      <c r="L1200">
        <v>0</v>
      </c>
      <c r="M1200" t="s">
        <v>76</v>
      </c>
      <c r="N1200" t="s">
        <v>76</v>
      </c>
      <c r="O1200" t="s">
        <v>77</v>
      </c>
      <c r="P1200" t="s">
        <v>76</v>
      </c>
      <c r="S1200" t="s">
        <v>3452</v>
      </c>
    </row>
    <row r="1201" spans="1:19" x14ac:dyDescent="0.3">
      <c r="A1201" t="s">
        <v>724</v>
      </c>
      <c r="B1201" t="s">
        <v>3453</v>
      </c>
      <c r="C1201" t="s">
        <v>24</v>
      </c>
      <c r="D1201" t="s">
        <v>63</v>
      </c>
      <c r="E1201" t="s">
        <v>74</v>
      </c>
      <c r="F1201" t="s">
        <v>24</v>
      </c>
      <c r="G1201" t="s">
        <v>724</v>
      </c>
      <c r="H1201" t="s">
        <v>26</v>
      </c>
      <c r="I1201">
        <v>0</v>
      </c>
      <c r="J1201">
        <v>0</v>
      </c>
      <c r="K1201">
        <v>0</v>
      </c>
      <c r="L1201">
        <v>0</v>
      </c>
      <c r="M1201" t="s">
        <v>76</v>
      </c>
      <c r="N1201" t="s">
        <v>76</v>
      </c>
      <c r="O1201" t="s">
        <v>77</v>
      </c>
      <c r="P1201" t="s">
        <v>76</v>
      </c>
      <c r="S1201" t="s">
        <v>3453</v>
      </c>
    </row>
    <row r="1202" spans="1:19" x14ac:dyDescent="0.3">
      <c r="A1202" t="s">
        <v>3454</v>
      </c>
      <c r="B1202" t="s">
        <v>3455</v>
      </c>
      <c r="C1202" t="s">
        <v>24</v>
      </c>
      <c r="D1202" t="s">
        <v>63</v>
      </c>
      <c r="E1202" t="s">
        <v>74</v>
      </c>
      <c r="F1202" t="s">
        <v>24</v>
      </c>
      <c r="G1202" t="s">
        <v>724</v>
      </c>
      <c r="H1202" t="s">
        <v>26</v>
      </c>
      <c r="I1202">
        <v>0</v>
      </c>
      <c r="J1202">
        <v>0</v>
      </c>
      <c r="K1202">
        <v>0</v>
      </c>
      <c r="L1202">
        <v>0</v>
      </c>
      <c r="M1202" t="s">
        <v>76</v>
      </c>
      <c r="N1202" t="s">
        <v>76</v>
      </c>
      <c r="O1202" t="s">
        <v>77</v>
      </c>
      <c r="P1202" t="s">
        <v>76</v>
      </c>
      <c r="S1202" t="s">
        <v>3455</v>
      </c>
    </row>
    <row r="1203" spans="1:19" x14ac:dyDescent="0.3">
      <c r="A1203" t="s">
        <v>3456</v>
      </c>
      <c r="B1203" t="s">
        <v>3457</v>
      </c>
      <c r="C1203" t="s">
        <v>314</v>
      </c>
      <c r="D1203" t="s">
        <v>63</v>
      </c>
      <c r="E1203" t="s">
        <v>74</v>
      </c>
      <c r="F1203" t="s">
        <v>314</v>
      </c>
      <c r="G1203" t="s">
        <v>3458</v>
      </c>
      <c r="H1203" t="s">
        <v>213</v>
      </c>
      <c r="I1203">
        <v>0</v>
      </c>
      <c r="J1203">
        <v>0</v>
      </c>
      <c r="K1203">
        <v>0</v>
      </c>
      <c r="L1203">
        <v>0</v>
      </c>
      <c r="M1203" t="s">
        <v>76</v>
      </c>
      <c r="N1203" t="s">
        <v>76</v>
      </c>
      <c r="O1203" t="s">
        <v>77</v>
      </c>
      <c r="P1203" t="s">
        <v>76</v>
      </c>
      <c r="S1203" t="s">
        <v>3457</v>
      </c>
    </row>
    <row r="1204" spans="1:19" x14ac:dyDescent="0.3">
      <c r="A1204" t="s">
        <v>3459</v>
      </c>
      <c r="B1204" t="s">
        <v>3460</v>
      </c>
      <c r="C1204" t="s">
        <v>24</v>
      </c>
      <c r="D1204" t="s">
        <v>63</v>
      </c>
      <c r="E1204" t="s">
        <v>323</v>
      </c>
      <c r="F1204" t="s">
        <v>24</v>
      </c>
      <c r="G1204" t="s">
        <v>3461</v>
      </c>
      <c r="H1204" t="s">
        <v>213</v>
      </c>
      <c r="I1204">
        <v>0</v>
      </c>
      <c r="J1204">
        <v>0</v>
      </c>
      <c r="K1204">
        <v>0</v>
      </c>
      <c r="L1204">
        <v>0</v>
      </c>
      <c r="M1204" t="s">
        <v>76</v>
      </c>
      <c r="N1204" t="s">
        <v>76</v>
      </c>
      <c r="O1204" t="s">
        <v>77</v>
      </c>
      <c r="P1204" t="s">
        <v>76</v>
      </c>
      <c r="S1204" t="s">
        <v>3460</v>
      </c>
    </row>
    <row r="1205" spans="1:19" x14ac:dyDescent="0.3">
      <c r="A1205" t="s">
        <v>3462</v>
      </c>
      <c r="B1205" t="s">
        <v>3463</v>
      </c>
      <c r="C1205" t="s">
        <v>114</v>
      </c>
      <c r="D1205" t="s">
        <v>63</v>
      </c>
      <c r="E1205" t="s">
        <v>74</v>
      </c>
      <c r="F1205" t="s">
        <v>114</v>
      </c>
      <c r="G1205" t="s">
        <v>190</v>
      </c>
      <c r="H1205" t="s">
        <v>75</v>
      </c>
      <c r="I1205">
        <v>0</v>
      </c>
      <c r="J1205">
        <v>0</v>
      </c>
      <c r="K1205">
        <v>0</v>
      </c>
      <c r="L1205">
        <v>0</v>
      </c>
      <c r="M1205" t="s">
        <v>76</v>
      </c>
      <c r="N1205" t="s">
        <v>76</v>
      </c>
      <c r="O1205" t="s">
        <v>77</v>
      </c>
      <c r="P1205" t="s">
        <v>76</v>
      </c>
      <c r="S1205" t="s">
        <v>3463</v>
      </c>
    </row>
    <row r="1206" spans="1:19" x14ac:dyDescent="0.3">
      <c r="A1206" t="s">
        <v>3464</v>
      </c>
      <c r="B1206" t="s">
        <v>3465</v>
      </c>
      <c r="C1206" t="s">
        <v>114</v>
      </c>
      <c r="D1206" t="s">
        <v>63</v>
      </c>
      <c r="E1206" t="s">
        <v>74</v>
      </c>
      <c r="F1206" t="s">
        <v>114</v>
      </c>
      <c r="G1206" t="s">
        <v>190</v>
      </c>
      <c r="H1206" t="s">
        <v>75</v>
      </c>
      <c r="I1206">
        <v>0</v>
      </c>
      <c r="J1206">
        <v>0</v>
      </c>
      <c r="K1206">
        <v>0</v>
      </c>
      <c r="L1206">
        <v>0</v>
      </c>
      <c r="M1206" t="s">
        <v>116</v>
      </c>
      <c r="N1206" t="s">
        <v>116</v>
      </c>
      <c r="O1206" t="s">
        <v>302</v>
      </c>
      <c r="P1206" t="s">
        <v>116</v>
      </c>
      <c r="Q1206" t="s">
        <v>3466</v>
      </c>
      <c r="R1206" t="s">
        <v>3467</v>
      </c>
      <c r="S1206" t="s">
        <v>3465</v>
      </c>
    </row>
    <row r="1207" spans="1:19" x14ac:dyDescent="0.3">
      <c r="A1207" t="s">
        <v>3468</v>
      </c>
      <c r="B1207" t="s">
        <v>3469</v>
      </c>
      <c r="C1207" t="s">
        <v>21</v>
      </c>
      <c r="D1207" t="s">
        <v>63</v>
      </c>
      <c r="E1207" t="s">
        <v>74</v>
      </c>
      <c r="F1207" t="s">
        <v>24</v>
      </c>
      <c r="G1207" t="s">
        <v>21</v>
      </c>
      <c r="H1207" t="s">
        <v>26</v>
      </c>
      <c r="I1207">
        <v>0</v>
      </c>
      <c r="J1207">
        <v>0</v>
      </c>
      <c r="K1207">
        <v>0</v>
      </c>
      <c r="L1207">
        <v>0</v>
      </c>
      <c r="M1207" t="s">
        <v>76</v>
      </c>
      <c r="N1207" t="s">
        <v>76</v>
      </c>
      <c r="O1207" t="s">
        <v>77</v>
      </c>
      <c r="P1207" t="s">
        <v>76</v>
      </c>
      <c r="S1207" t="s">
        <v>3469</v>
      </c>
    </row>
    <row r="1208" spans="1:19" x14ac:dyDescent="0.3">
      <c r="A1208" t="s">
        <v>3470</v>
      </c>
      <c r="B1208" t="s">
        <v>3471</v>
      </c>
      <c r="C1208" t="s">
        <v>24</v>
      </c>
      <c r="D1208" t="s">
        <v>63</v>
      </c>
      <c r="E1208" t="s">
        <v>331</v>
      </c>
      <c r="F1208" t="s">
        <v>144</v>
      </c>
      <c r="G1208" t="s">
        <v>3472</v>
      </c>
      <c r="H1208" t="s">
        <v>26</v>
      </c>
      <c r="I1208">
        <v>0</v>
      </c>
      <c r="J1208">
        <v>0</v>
      </c>
      <c r="K1208">
        <v>0</v>
      </c>
      <c r="L1208">
        <v>0</v>
      </c>
      <c r="M1208" t="s">
        <v>76</v>
      </c>
      <c r="N1208" t="s">
        <v>76</v>
      </c>
      <c r="O1208" t="s">
        <v>77</v>
      </c>
      <c r="P1208" t="s">
        <v>76</v>
      </c>
      <c r="S1208" t="s">
        <v>3471</v>
      </c>
    </row>
    <row r="1209" spans="1:19" x14ac:dyDescent="0.3">
      <c r="A1209" t="s">
        <v>3473</v>
      </c>
      <c r="B1209" t="s">
        <v>3474</v>
      </c>
      <c r="C1209" t="s">
        <v>21</v>
      </c>
      <c r="D1209" t="s">
        <v>63</v>
      </c>
      <c r="E1209" t="s">
        <v>74</v>
      </c>
      <c r="F1209" t="s">
        <v>24</v>
      </c>
      <c r="G1209" t="s">
        <v>21</v>
      </c>
      <c r="H1209" t="s">
        <v>26</v>
      </c>
      <c r="I1209">
        <v>0</v>
      </c>
      <c r="J1209">
        <v>0</v>
      </c>
      <c r="K1209">
        <v>0</v>
      </c>
      <c r="L1209">
        <v>0</v>
      </c>
      <c r="M1209" t="s">
        <v>76</v>
      </c>
      <c r="N1209" t="s">
        <v>76</v>
      </c>
      <c r="O1209" t="s">
        <v>77</v>
      </c>
      <c r="P1209" t="s">
        <v>76</v>
      </c>
      <c r="S1209" t="s">
        <v>3474</v>
      </c>
    </row>
    <row r="1210" spans="1:19" x14ac:dyDescent="0.3">
      <c r="A1210" t="s">
        <v>3475</v>
      </c>
      <c r="B1210" t="s">
        <v>3476</v>
      </c>
      <c r="C1210" t="s">
        <v>24</v>
      </c>
      <c r="D1210" t="s">
        <v>63</v>
      </c>
      <c r="E1210" t="s">
        <v>315</v>
      </c>
      <c r="F1210" t="s">
        <v>24</v>
      </c>
      <c r="G1210" t="s">
        <v>3477</v>
      </c>
      <c r="H1210" t="s">
        <v>213</v>
      </c>
      <c r="I1210">
        <v>0</v>
      </c>
      <c r="J1210">
        <v>0</v>
      </c>
      <c r="K1210">
        <v>0</v>
      </c>
      <c r="L1210">
        <v>0</v>
      </c>
      <c r="M1210" t="s">
        <v>76</v>
      </c>
      <c r="N1210" t="s">
        <v>76</v>
      </c>
      <c r="O1210" t="s">
        <v>77</v>
      </c>
      <c r="P1210" t="s">
        <v>76</v>
      </c>
      <c r="S1210" t="s">
        <v>3476</v>
      </c>
    </row>
    <row r="1211" spans="1:19" x14ac:dyDescent="0.3">
      <c r="A1211" t="s">
        <v>3478</v>
      </c>
      <c r="B1211" t="s">
        <v>3479</v>
      </c>
      <c r="C1211" t="s">
        <v>24</v>
      </c>
      <c r="D1211" t="s">
        <v>63</v>
      </c>
      <c r="E1211" t="s">
        <v>323</v>
      </c>
      <c r="F1211" t="s">
        <v>24</v>
      </c>
      <c r="G1211" t="s">
        <v>3478</v>
      </c>
      <c r="H1211" t="s">
        <v>213</v>
      </c>
      <c r="I1211">
        <v>0</v>
      </c>
      <c r="J1211">
        <v>0</v>
      </c>
      <c r="K1211">
        <v>0</v>
      </c>
      <c r="L1211">
        <v>0</v>
      </c>
      <c r="M1211" t="s">
        <v>76</v>
      </c>
      <c r="N1211" t="s">
        <v>76</v>
      </c>
      <c r="O1211" t="s">
        <v>77</v>
      </c>
      <c r="P1211" t="s">
        <v>76</v>
      </c>
      <c r="S1211" t="s">
        <v>3479</v>
      </c>
    </row>
    <row r="1212" spans="1:19" x14ac:dyDescent="0.3">
      <c r="A1212" t="s">
        <v>3480</v>
      </c>
      <c r="B1212" t="s">
        <v>3481</v>
      </c>
      <c r="C1212" t="s">
        <v>21</v>
      </c>
      <c r="D1212" t="s">
        <v>63</v>
      </c>
      <c r="E1212" t="s">
        <v>74</v>
      </c>
      <c r="F1212" t="s">
        <v>24</v>
      </c>
      <c r="G1212" t="s">
        <v>21</v>
      </c>
      <c r="H1212" t="s">
        <v>26</v>
      </c>
      <c r="I1212">
        <v>0</v>
      </c>
      <c r="J1212">
        <v>0</v>
      </c>
      <c r="K1212">
        <v>0</v>
      </c>
      <c r="L1212">
        <v>0</v>
      </c>
      <c r="M1212" t="s">
        <v>76</v>
      </c>
      <c r="N1212" t="s">
        <v>76</v>
      </c>
      <c r="O1212" t="s">
        <v>77</v>
      </c>
      <c r="P1212" t="s">
        <v>76</v>
      </c>
      <c r="S1212" t="s">
        <v>3481</v>
      </c>
    </row>
    <row r="1213" spans="1:19" x14ac:dyDescent="0.3">
      <c r="A1213" t="s">
        <v>3482</v>
      </c>
      <c r="B1213" t="s">
        <v>3483</v>
      </c>
      <c r="C1213" t="s">
        <v>314</v>
      </c>
      <c r="D1213" t="s">
        <v>63</v>
      </c>
      <c r="E1213" t="s">
        <v>323</v>
      </c>
      <c r="F1213" t="s">
        <v>314</v>
      </c>
      <c r="G1213" t="s">
        <v>3484</v>
      </c>
      <c r="H1213" t="s">
        <v>213</v>
      </c>
      <c r="I1213">
        <v>0</v>
      </c>
      <c r="J1213">
        <v>0</v>
      </c>
      <c r="K1213">
        <v>0</v>
      </c>
      <c r="L1213">
        <v>0</v>
      </c>
      <c r="M1213" t="s">
        <v>76</v>
      </c>
      <c r="N1213" t="s">
        <v>76</v>
      </c>
      <c r="O1213" t="s">
        <v>77</v>
      </c>
      <c r="P1213" t="s">
        <v>76</v>
      </c>
      <c r="S1213" t="s">
        <v>3483</v>
      </c>
    </row>
    <row r="1214" spans="1:19" x14ac:dyDescent="0.3">
      <c r="A1214" t="s">
        <v>3485</v>
      </c>
      <c r="B1214" t="s">
        <v>3486</v>
      </c>
      <c r="C1214" t="s">
        <v>21</v>
      </c>
      <c r="D1214" t="s">
        <v>53</v>
      </c>
      <c r="E1214" t="s">
        <v>36</v>
      </c>
      <c r="F1214" t="s">
        <v>24</v>
      </c>
      <c r="G1214" t="s">
        <v>21</v>
      </c>
      <c r="H1214" t="s">
        <v>26</v>
      </c>
      <c r="I1214">
        <v>0</v>
      </c>
      <c r="J1214">
        <v>0</v>
      </c>
      <c r="K1214">
        <v>0</v>
      </c>
      <c r="L1214">
        <v>0</v>
      </c>
      <c r="M1214" t="s">
        <v>76</v>
      </c>
      <c r="N1214" t="s">
        <v>76</v>
      </c>
      <c r="O1214" t="s">
        <v>77</v>
      </c>
      <c r="P1214" t="s">
        <v>76</v>
      </c>
      <c r="S1214" t="s">
        <v>3486</v>
      </c>
    </row>
    <row r="1215" spans="1:19" x14ac:dyDescent="0.3">
      <c r="A1215" t="s">
        <v>3487</v>
      </c>
      <c r="B1215" t="s">
        <v>3488</v>
      </c>
      <c r="C1215" t="s">
        <v>24</v>
      </c>
      <c r="D1215" t="s">
        <v>63</v>
      </c>
      <c r="E1215" t="s">
        <v>315</v>
      </c>
      <c r="F1215" t="s">
        <v>24</v>
      </c>
      <c r="G1215" t="s">
        <v>3489</v>
      </c>
      <c r="H1215" t="s">
        <v>213</v>
      </c>
      <c r="I1215">
        <v>0</v>
      </c>
      <c r="J1215">
        <v>0</v>
      </c>
      <c r="K1215">
        <v>0</v>
      </c>
      <c r="L1215">
        <v>0</v>
      </c>
      <c r="M1215" t="s">
        <v>76</v>
      </c>
      <c r="N1215" t="s">
        <v>76</v>
      </c>
      <c r="O1215" t="s">
        <v>77</v>
      </c>
      <c r="P1215" t="s">
        <v>76</v>
      </c>
      <c r="S1215" t="s">
        <v>3488</v>
      </c>
    </row>
    <row r="1216" spans="1:19" x14ac:dyDescent="0.3">
      <c r="A1216" t="s">
        <v>3490</v>
      </c>
      <c r="B1216" t="s">
        <v>3491</v>
      </c>
      <c r="C1216" t="s">
        <v>24</v>
      </c>
      <c r="D1216" t="s">
        <v>63</v>
      </c>
      <c r="E1216" t="s">
        <v>323</v>
      </c>
      <c r="F1216" t="s">
        <v>55</v>
      </c>
      <c r="G1216" t="s">
        <v>3492</v>
      </c>
      <c r="H1216" t="s">
        <v>213</v>
      </c>
      <c r="I1216">
        <v>0</v>
      </c>
      <c r="J1216">
        <v>0</v>
      </c>
      <c r="K1216">
        <v>0</v>
      </c>
      <c r="L1216">
        <v>0</v>
      </c>
      <c r="M1216" t="s">
        <v>76</v>
      </c>
      <c r="N1216" t="s">
        <v>76</v>
      </c>
      <c r="O1216" t="s">
        <v>77</v>
      </c>
      <c r="P1216" t="s">
        <v>76</v>
      </c>
      <c r="S1216" t="s">
        <v>3491</v>
      </c>
    </row>
    <row r="1217" spans="1:19" x14ac:dyDescent="0.3">
      <c r="A1217" t="s">
        <v>3493</v>
      </c>
      <c r="B1217" t="s">
        <v>3494</v>
      </c>
      <c r="C1217" t="s">
        <v>114</v>
      </c>
      <c r="D1217" t="s">
        <v>35</v>
      </c>
      <c r="E1217" t="s">
        <v>150</v>
      </c>
      <c r="F1217" t="s">
        <v>114</v>
      </c>
      <c r="G1217" t="s">
        <v>190</v>
      </c>
      <c r="H1217" t="s">
        <v>75</v>
      </c>
      <c r="I1217">
        <v>0</v>
      </c>
      <c r="J1217">
        <v>0</v>
      </c>
      <c r="K1217">
        <v>0</v>
      </c>
      <c r="L1217">
        <v>0</v>
      </c>
      <c r="M1217" t="s">
        <v>76</v>
      </c>
      <c r="N1217" t="s">
        <v>76</v>
      </c>
      <c r="O1217" t="s">
        <v>77</v>
      </c>
      <c r="P1217" t="s">
        <v>76</v>
      </c>
      <c r="S1217" t="s">
        <v>3494</v>
      </c>
    </row>
    <row r="1218" spans="1:19" x14ac:dyDescent="0.3">
      <c r="A1218" t="s">
        <v>3495</v>
      </c>
      <c r="B1218" t="s">
        <v>3496</v>
      </c>
      <c r="C1218" t="s">
        <v>114</v>
      </c>
      <c r="D1218" t="s">
        <v>63</v>
      </c>
      <c r="E1218" t="s">
        <v>74</v>
      </c>
      <c r="F1218" t="s">
        <v>114</v>
      </c>
      <c r="G1218" t="s">
        <v>190</v>
      </c>
      <c r="H1218" t="s">
        <v>75</v>
      </c>
      <c r="I1218">
        <v>0</v>
      </c>
      <c r="J1218">
        <v>0</v>
      </c>
      <c r="K1218">
        <v>0</v>
      </c>
      <c r="L1218">
        <v>0</v>
      </c>
      <c r="M1218" t="s">
        <v>76</v>
      </c>
      <c r="N1218" t="s">
        <v>76</v>
      </c>
      <c r="O1218" t="s">
        <v>77</v>
      </c>
      <c r="P1218" t="s">
        <v>76</v>
      </c>
      <c r="S1218" t="s">
        <v>3496</v>
      </c>
    </row>
    <row r="1219" spans="1:19" x14ac:dyDescent="0.3">
      <c r="A1219" t="s">
        <v>3497</v>
      </c>
      <c r="B1219" t="s">
        <v>3498</v>
      </c>
      <c r="C1219" t="s">
        <v>114</v>
      </c>
      <c r="D1219" t="s">
        <v>63</v>
      </c>
      <c r="F1219" t="s">
        <v>114</v>
      </c>
      <c r="G1219" t="s">
        <v>190</v>
      </c>
      <c r="H1219" t="s">
        <v>75</v>
      </c>
      <c r="I1219">
        <v>0</v>
      </c>
      <c r="J1219">
        <v>0</v>
      </c>
      <c r="K1219">
        <v>0</v>
      </c>
      <c r="L1219">
        <v>0</v>
      </c>
      <c r="M1219" t="s">
        <v>76</v>
      </c>
      <c r="N1219" t="s">
        <v>76</v>
      </c>
      <c r="O1219" t="s">
        <v>77</v>
      </c>
      <c r="P1219" t="s">
        <v>76</v>
      </c>
      <c r="S1219" t="s">
        <v>3498</v>
      </c>
    </row>
    <row r="1220" spans="1:19" x14ac:dyDescent="0.3">
      <c r="A1220" t="s">
        <v>3499</v>
      </c>
      <c r="B1220" t="s">
        <v>3500</v>
      </c>
      <c r="C1220" t="s">
        <v>114</v>
      </c>
      <c r="D1220" t="s">
        <v>63</v>
      </c>
      <c r="E1220" t="s">
        <v>74</v>
      </c>
      <c r="F1220" t="s">
        <v>114</v>
      </c>
      <c r="G1220" t="s">
        <v>190</v>
      </c>
      <c r="H1220" t="s">
        <v>75</v>
      </c>
      <c r="I1220">
        <v>0</v>
      </c>
      <c r="J1220">
        <v>0</v>
      </c>
      <c r="K1220">
        <v>0</v>
      </c>
      <c r="L1220">
        <v>0</v>
      </c>
      <c r="M1220" t="s">
        <v>76</v>
      </c>
      <c r="N1220" t="s">
        <v>76</v>
      </c>
      <c r="O1220" t="s">
        <v>77</v>
      </c>
      <c r="P1220" t="s">
        <v>76</v>
      </c>
      <c r="S1220" t="s">
        <v>3500</v>
      </c>
    </row>
    <row r="1221" spans="1:19" x14ac:dyDescent="0.3">
      <c r="A1221" t="s">
        <v>3501</v>
      </c>
      <c r="B1221" t="s">
        <v>3502</v>
      </c>
      <c r="C1221" t="s">
        <v>114</v>
      </c>
      <c r="D1221" t="s">
        <v>63</v>
      </c>
      <c r="E1221" t="s">
        <v>74</v>
      </c>
      <c r="F1221" t="s">
        <v>114</v>
      </c>
      <c r="G1221" t="s">
        <v>190</v>
      </c>
      <c r="H1221" t="s">
        <v>75</v>
      </c>
      <c r="I1221">
        <v>0</v>
      </c>
      <c r="J1221">
        <v>0</v>
      </c>
      <c r="K1221">
        <v>0</v>
      </c>
      <c r="L1221">
        <v>0</v>
      </c>
      <c r="M1221" t="s">
        <v>76</v>
      </c>
      <c r="N1221" t="s">
        <v>76</v>
      </c>
      <c r="O1221" t="s">
        <v>77</v>
      </c>
      <c r="P1221" t="s">
        <v>76</v>
      </c>
      <c r="S1221" t="s">
        <v>3502</v>
      </c>
    </row>
    <row r="1222" spans="1:19" x14ac:dyDescent="0.3">
      <c r="A1222" t="s">
        <v>3503</v>
      </c>
      <c r="B1222" t="s">
        <v>3504</v>
      </c>
      <c r="C1222" t="s">
        <v>114</v>
      </c>
      <c r="D1222" t="s">
        <v>63</v>
      </c>
      <c r="E1222" t="s">
        <v>74</v>
      </c>
      <c r="F1222" t="s">
        <v>114</v>
      </c>
      <c r="G1222" t="s">
        <v>190</v>
      </c>
      <c r="H1222" t="s">
        <v>75</v>
      </c>
      <c r="I1222">
        <v>0</v>
      </c>
      <c r="J1222">
        <v>0</v>
      </c>
      <c r="K1222">
        <v>0</v>
      </c>
      <c r="L1222">
        <v>0</v>
      </c>
      <c r="M1222" t="s">
        <v>76</v>
      </c>
      <c r="N1222" t="s">
        <v>76</v>
      </c>
      <c r="O1222" t="s">
        <v>77</v>
      </c>
      <c r="P1222" t="s">
        <v>76</v>
      </c>
      <c r="S1222" t="s">
        <v>3504</v>
      </c>
    </row>
    <row r="1223" spans="1:19" x14ac:dyDescent="0.3">
      <c r="A1223" t="s">
        <v>3505</v>
      </c>
      <c r="B1223" t="s">
        <v>3506</v>
      </c>
      <c r="C1223" t="s">
        <v>114</v>
      </c>
      <c r="D1223" t="s">
        <v>63</v>
      </c>
      <c r="E1223" t="s">
        <v>74</v>
      </c>
      <c r="F1223" t="s">
        <v>114</v>
      </c>
      <c r="G1223" t="s">
        <v>190</v>
      </c>
      <c r="H1223" t="s">
        <v>75</v>
      </c>
      <c r="I1223">
        <v>0</v>
      </c>
      <c r="J1223">
        <v>0</v>
      </c>
      <c r="K1223">
        <v>0</v>
      </c>
      <c r="L1223">
        <v>0</v>
      </c>
      <c r="M1223" t="s">
        <v>76</v>
      </c>
      <c r="N1223" t="s">
        <v>76</v>
      </c>
      <c r="O1223" t="s">
        <v>77</v>
      </c>
      <c r="P1223" t="s">
        <v>76</v>
      </c>
      <c r="S1223" t="s">
        <v>3506</v>
      </c>
    </row>
    <row r="1224" spans="1:19" x14ac:dyDescent="0.3">
      <c r="A1224" t="s">
        <v>3507</v>
      </c>
      <c r="B1224" t="s">
        <v>3508</v>
      </c>
      <c r="C1224" t="s">
        <v>114</v>
      </c>
      <c r="D1224" t="s">
        <v>63</v>
      </c>
      <c r="E1224" t="s">
        <v>74</v>
      </c>
      <c r="F1224" t="s">
        <v>114</v>
      </c>
      <c r="G1224" t="s">
        <v>190</v>
      </c>
      <c r="H1224" t="s">
        <v>75</v>
      </c>
      <c r="I1224">
        <v>0</v>
      </c>
      <c r="J1224">
        <v>0</v>
      </c>
      <c r="K1224">
        <v>0</v>
      </c>
      <c r="L1224">
        <v>0</v>
      </c>
      <c r="M1224" t="s">
        <v>76</v>
      </c>
      <c r="N1224" t="s">
        <v>76</v>
      </c>
      <c r="O1224" t="s">
        <v>77</v>
      </c>
      <c r="P1224" t="s">
        <v>76</v>
      </c>
      <c r="S1224" t="s">
        <v>3508</v>
      </c>
    </row>
    <row r="1225" spans="1:19" x14ac:dyDescent="0.3">
      <c r="A1225" t="s">
        <v>3509</v>
      </c>
      <c r="B1225" t="s">
        <v>3510</v>
      </c>
      <c r="C1225" t="s">
        <v>114</v>
      </c>
      <c r="D1225" t="s">
        <v>63</v>
      </c>
      <c r="E1225" t="s">
        <v>74</v>
      </c>
      <c r="F1225" t="s">
        <v>114</v>
      </c>
      <c r="G1225" t="s">
        <v>190</v>
      </c>
      <c r="H1225" t="s">
        <v>75</v>
      </c>
      <c r="I1225">
        <v>0</v>
      </c>
      <c r="J1225">
        <v>0</v>
      </c>
      <c r="K1225">
        <v>0</v>
      </c>
      <c r="L1225">
        <v>0</v>
      </c>
      <c r="M1225" t="s">
        <v>76</v>
      </c>
      <c r="N1225" t="s">
        <v>76</v>
      </c>
      <c r="O1225" t="s">
        <v>77</v>
      </c>
      <c r="P1225" t="s">
        <v>76</v>
      </c>
      <c r="S1225" t="s">
        <v>3510</v>
      </c>
    </row>
    <row r="1226" spans="1:19" x14ac:dyDescent="0.3">
      <c r="A1226" t="s">
        <v>3511</v>
      </c>
      <c r="B1226" t="s">
        <v>3512</v>
      </c>
      <c r="C1226" t="s">
        <v>114</v>
      </c>
      <c r="D1226" t="s">
        <v>63</v>
      </c>
      <c r="E1226" t="s">
        <v>74</v>
      </c>
      <c r="F1226" t="s">
        <v>114</v>
      </c>
      <c r="G1226" t="s">
        <v>190</v>
      </c>
      <c r="H1226" t="s">
        <v>75</v>
      </c>
      <c r="I1226">
        <v>0</v>
      </c>
      <c r="J1226">
        <v>0</v>
      </c>
      <c r="K1226">
        <v>0</v>
      </c>
      <c r="L1226">
        <v>0</v>
      </c>
      <c r="M1226" t="s">
        <v>76</v>
      </c>
      <c r="N1226" t="s">
        <v>76</v>
      </c>
      <c r="O1226" t="s">
        <v>77</v>
      </c>
      <c r="P1226" t="s">
        <v>76</v>
      </c>
      <c r="Q1226" t="s">
        <v>1704</v>
      </c>
      <c r="R1226" t="s">
        <v>1705</v>
      </c>
      <c r="S1226" t="s">
        <v>3512</v>
      </c>
    </row>
    <row r="1227" spans="1:19" x14ac:dyDescent="0.3">
      <c r="A1227" t="s">
        <v>3513</v>
      </c>
      <c r="B1227" t="s">
        <v>3514</v>
      </c>
      <c r="C1227" t="s">
        <v>114</v>
      </c>
      <c r="D1227" t="s">
        <v>63</v>
      </c>
      <c r="E1227" t="s">
        <v>74</v>
      </c>
      <c r="F1227" t="s">
        <v>114</v>
      </c>
      <c r="G1227" t="s">
        <v>190</v>
      </c>
      <c r="H1227" t="s">
        <v>75</v>
      </c>
      <c r="I1227">
        <v>0</v>
      </c>
      <c r="J1227">
        <v>0</v>
      </c>
      <c r="K1227">
        <v>0</v>
      </c>
      <c r="L1227">
        <v>0</v>
      </c>
      <c r="M1227" t="s">
        <v>76</v>
      </c>
      <c r="N1227" t="s">
        <v>76</v>
      </c>
      <c r="O1227" t="s">
        <v>77</v>
      </c>
      <c r="P1227" t="s">
        <v>76</v>
      </c>
      <c r="S1227" t="s">
        <v>3514</v>
      </c>
    </row>
    <row r="1228" spans="1:19" x14ac:dyDescent="0.3">
      <c r="A1228" t="s">
        <v>3515</v>
      </c>
      <c r="B1228" t="s">
        <v>3516</v>
      </c>
      <c r="C1228" t="s">
        <v>43</v>
      </c>
      <c r="D1228" t="s">
        <v>35</v>
      </c>
      <c r="E1228" t="s">
        <v>74</v>
      </c>
      <c r="F1228" t="s">
        <v>45</v>
      </c>
      <c r="G1228" t="s">
        <v>43</v>
      </c>
      <c r="H1228" t="s">
        <v>26</v>
      </c>
      <c r="I1228">
        <v>0</v>
      </c>
      <c r="J1228">
        <v>0</v>
      </c>
      <c r="K1228">
        <v>0</v>
      </c>
      <c r="L1228">
        <v>0</v>
      </c>
      <c r="M1228" t="s">
        <v>76</v>
      </c>
      <c r="N1228" t="s">
        <v>76</v>
      </c>
      <c r="O1228" t="s">
        <v>77</v>
      </c>
      <c r="P1228" t="s">
        <v>76</v>
      </c>
      <c r="S1228" t="s">
        <v>3516</v>
      </c>
    </row>
    <row r="1229" spans="1:19" x14ac:dyDescent="0.3">
      <c r="A1229" t="s">
        <v>3517</v>
      </c>
      <c r="B1229" t="s">
        <v>3518</v>
      </c>
      <c r="C1229" t="s">
        <v>73</v>
      </c>
      <c r="D1229" t="s">
        <v>35</v>
      </c>
      <c r="E1229" t="s">
        <v>389</v>
      </c>
      <c r="F1229" t="s">
        <v>73</v>
      </c>
      <c r="G1229" t="s">
        <v>3517</v>
      </c>
      <c r="H1229" t="s">
        <v>213</v>
      </c>
      <c r="I1229">
        <v>0</v>
      </c>
      <c r="J1229">
        <v>0</v>
      </c>
      <c r="K1229">
        <v>0</v>
      </c>
      <c r="L1229">
        <v>0</v>
      </c>
      <c r="M1229" t="s">
        <v>76</v>
      </c>
      <c r="N1229" t="s">
        <v>76</v>
      </c>
      <c r="O1229" t="s">
        <v>77</v>
      </c>
      <c r="P1229" t="s">
        <v>76</v>
      </c>
      <c r="S1229" t="s">
        <v>3518</v>
      </c>
    </row>
    <row r="1230" spans="1:19" x14ac:dyDescent="0.3">
      <c r="A1230" t="s">
        <v>3519</v>
      </c>
      <c r="B1230" t="s">
        <v>3520</v>
      </c>
      <c r="C1230" t="s">
        <v>114</v>
      </c>
      <c r="D1230" t="s">
        <v>63</v>
      </c>
      <c r="E1230" t="s">
        <v>74</v>
      </c>
      <c r="F1230" t="s">
        <v>114</v>
      </c>
      <c r="G1230" t="s">
        <v>115</v>
      </c>
      <c r="H1230" t="s">
        <v>75</v>
      </c>
      <c r="I1230">
        <v>0</v>
      </c>
      <c r="J1230">
        <v>0</v>
      </c>
      <c r="K1230">
        <v>0</v>
      </c>
      <c r="L1230">
        <v>0</v>
      </c>
      <c r="M1230" t="s">
        <v>76</v>
      </c>
      <c r="N1230" t="s">
        <v>76</v>
      </c>
      <c r="O1230" t="s">
        <v>77</v>
      </c>
      <c r="P1230" t="s">
        <v>76</v>
      </c>
      <c r="S1230" t="s">
        <v>3520</v>
      </c>
    </row>
    <row r="1231" spans="1:19" x14ac:dyDescent="0.3">
      <c r="A1231" t="s">
        <v>3521</v>
      </c>
      <c r="B1231" t="s">
        <v>3522</v>
      </c>
      <c r="C1231" t="s">
        <v>314</v>
      </c>
      <c r="D1231" t="s">
        <v>63</v>
      </c>
      <c r="E1231" t="s">
        <v>323</v>
      </c>
      <c r="F1231" t="s">
        <v>314</v>
      </c>
      <c r="G1231" t="s">
        <v>3521</v>
      </c>
      <c r="H1231" t="s">
        <v>213</v>
      </c>
      <c r="I1231">
        <v>0</v>
      </c>
      <c r="J1231">
        <v>0</v>
      </c>
      <c r="K1231">
        <v>0</v>
      </c>
      <c r="L1231">
        <v>0</v>
      </c>
      <c r="M1231" t="s">
        <v>76</v>
      </c>
      <c r="N1231" t="s">
        <v>76</v>
      </c>
      <c r="O1231" t="s">
        <v>77</v>
      </c>
      <c r="P1231" t="s">
        <v>76</v>
      </c>
      <c r="S1231" t="s">
        <v>3522</v>
      </c>
    </row>
    <row r="1232" spans="1:19" x14ac:dyDescent="0.3">
      <c r="A1232" t="s">
        <v>3523</v>
      </c>
      <c r="B1232" t="s">
        <v>3524</v>
      </c>
      <c r="C1232" t="s">
        <v>314</v>
      </c>
      <c r="D1232" t="s">
        <v>63</v>
      </c>
      <c r="E1232" t="s">
        <v>315</v>
      </c>
      <c r="F1232" t="s">
        <v>314</v>
      </c>
      <c r="G1232" t="s">
        <v>3525</v>
      </c>
      <c r="H1232" t="s">
        <v>213</v>
      </c>
      <c r="I1232">
        <v>0</v>
      </c>
      <c r="J1232">
        <v>0</v>
      </c>
      <c r="K1232">
        <v>0</v>
      </c>
      <c r="L1232">
        <v>0</v>
      </c>
      <c r="M1232" t="s">
        <v>76</v>
      </c>
      <c r="N1232" t="s">
        <v>76</v>
      </c>
      <c r="O1232" t="s">
        <v>77</v>
      </c>
      <c r="P1232" t="s">
        <v>76</v>
      </c>
      <c r="S1232" t="s">
        <v>3524</v>
      </c>
    </row>
    <row r="1233" spans="1:19" x14ac:dyDescent="0.3">
      <c r="A1233" t="s">
        <v>3526</v>
      </c>
      <c r="B1233" t="s">
        <v>3527</v>
      </c>
      <c r="C1233" t="s">
        <v>24</v>
      </c>
      <c r="D1233" t="s">
        <v>63</v>
      </c>
      <c r="E1233" t="s">
        <v>74</v>
      </c>
      <c r="F1233" t="s">
        <v>24</v>
      </c>
      <c r="G1233" t="s">
        <v>650</v>
      </c>
      <c r="H1233" t="s">
        <v>26</v>
      </c>
      <c r="I1233">
        <v>0</v>
      </c>
      <c r="J1233">
        <v>0</v>
      </c>
      <c r="K1233">
        <v>0</v>
      </c>
      <c r="L1233">
        <v>0</v>
      </c>
      <c r="M1233" t="s">
        <v>76</v>
      </c>
      <c r="N1233" t="s">
        <v>76</v>
      </c>
      <c r="O1233" t="s">
        <v>77</v>
      </c>
      <c r="P1233" t="s">
        <v>76</v>
      </c>
      <c r="S1233" t="s">
        <v>3527</v>
      </c>
    </row>
    <row r="1234" spans="1:19" x14ac:dyDescent="0.3">
      <c r="A1234" t="s">
        <v>3528</v>
      </c>
      <c r="B1234" t="s">
        <v>3529</v>
      </c>
      <c r="C1234" t="s">
        <v>114</v>
      </c>
      <c r="D1234" t="s">
        <v>35</v>
      </c>
      <c r="E1234" t="s">
        <v>150</v>
      </c>
      <c r="F1234" t="s">
        <v>114</v>
      </c>
      <c r="G1234" t="s">
        <v>190</v>
      </c>
      <c r="H1234" t="s">
        <v>75</v>
      </c>
      <c r="I1234">
        <v>0</v>
      </c>
      <c r="J1234">
        <v>0</v>
      </c>
      <c r="K1234">
        <v>0</v>
      </c>
      <c r="L1234">
        <v>0</v>
      </c>
      <c r="M1234" t="s">
        <v>239</v>
      </c>
      <c r="N1234" t="s">
        <v>239</v>
      </c>
      <c r="O1234" t="s">
        <v>240</v>
      </c>
      <c r="P1234" t="s">
        <v>239</v>
      </c>
      <c r="S1234" t="s">
        <v>3529</v>
      </c>
    </row>
    <row r="1235" spans="1:19" x14ac:dyDescent="0.3">
      <c r="A1235" t="s">
        <v>3530</v>
      </c>
      <c r="B1235" t="s">
        <v>3531</v>
      </c>
      <c r="C1235" t="s">
        <v>114</v>
      </c>
      <c r="D1235" t="s">
        <v>63</v>
      </c>
      <c r="E1235" t="s">
        <v>74</v>
      </c>
      <c r="F1235" t="s">
        <v>114</v>
      </c>
      <c r="G1235" t="s">
        <v>190</v>
      </c>
      <c r="H1235" t="s">
        <v>75</v>
      </c>
      <c r="I1235">
        <v>0</v>
      </c>
      <c r="J1235">
        <v>0</v>
      </c>
      <c r="K1235">
        <v>0</v>
      </c>
      <c r="L1235">
        <v>0</v>
      </c>
      <c r="S1235" t="s">
        <v>3531</v>
      </c>
    </row>
    <row r="1236" spans="1:19" x14ac:dyDescent="0.3">
      <c r="A1236" t="s">
        <v>3532</v>
      </c>
      <c r="B1236" t="s">
        <v>3533</v>
      </c>
      <c r="C1236" t="s">
        <v>114</v>
      </c>
      <c r="D1236" t="s">
        <v>63</v>
      </c>
      <c r="E1236" t="s">
        <v>74</v>
      </c>
      <c r="F1236" t="s">
        <v>114</v>
      </c>
      <c r="G1236" t="s">
        <v>190</v>
      </c>
      <c r="H1236" t="s">
        <v>75</v>
      </c>
      <c r="I1236">
        <v>0</v>
      </c>
      <c r="J1236">
        <v>0</v>
      </c>
      <c r="K1236">
        <v>0</v>
      </c>
      <c r="L1236">
        <v>0</v>
      </c>
      <c r="M1236" t="s">
        <v>76</v>
      </c>
      <c r="N1236" t="s">
        <v>76</v>
      </c>
      <c r="O1236" t="s">
        <v>77</v>
      </c>
      <c r="P1236" t="s">
        <v>76</v>
      </c>
      <c r="S1236" t="s">
        <v>3533</v>
      </c>
    </row>
    <row r="1237" spans="1:19" x14ac:dyDescent="0.3">
      <c r="A1237" t="s">
        <v>3534</v>
      </c>
      <c r="B1237" t="s">
        <v>3535</v>
      </c>
      <c r="C1237" t="s">
        <v>114</v>
      </c>
      <c r="D1237" t="s">
        <v>63</v>
      </c>
      <c r="E1237" t="s">
        <v>74</v>
      </c>
      <c r="F1237" t="s">
        <v>114</v>
      </c>
      <c r="G1237" t="s">
        <v>190</v>
      </c>
      <c r="H1237" t="s">
        <v>75</v>
      </c>
      <c r="I1237">
        <v>0</v>
      </c>
      <c r="J1237">
        <v>0</v>
      </c>
      <c r="K1237">
        <v>0</v>
      </c>
      <c r="L1237">
        <v>0</v>
      </c>
      <c r="M1237" t="s">
        <v>76</v>
      </c>
      <c r="N1237" t="s">
        <v>76</v>
      </c>
      <c r="O1237" t="s">
        <v>77</v>
      </c>
      <c r="P1237" t="s">
        <v>76</v>
      </c>
      <c r="S1237" t="s">
        <v>3535</v>
      </c>
    </row>
    <row r="1238" spans="1:19" x14ac:dyDescent="0.3">
      <c r="A1238" t="s">
        <v>3536</v>
      </c>
      <c r="B1238" t="s">
        <v>3537</v>
      </c>
      <c r="C1238" t="s">
        <v>314</v>
      </c>
      <c r="D1238" t="s">
        <v>63</v>
      </c>
      <c r="E1238" t="s">
        <v>315</v>
      </c>
      <c r="F1238" t="s">
        <v>314</v>
      </c>
      <c r="G1238" t="s">
        <v>3538</v>
      </c>
      <c r="H1238" t="s">
        <v>213</v>
      </c>
      <c r="I1238">
        <v>0</v>
      </c>
      <c r="J1238">
        <v>0</v>
      </c>
      <c r="K1238">
        <v>0</v>
      </c>
      <c r="L1238">
        <v>0</v>
      </c>
      <c r="M1238" t="s">
        <v>76</v>
      </c>
      <c r="N1238" t="s">
        <v>76</v>
      </c>
      <c r="O1238" t="s">
        <v>77</v>
      </c>
      <c r="P1238" t="s">
        <v>76</v>
      </c>
      <c r="S1238" t="s">
        <v>3537</v>
      </c>
    </row>
    <row r="1239" spans="1:19" x14ac:dyDescent="0.3">
      <c r="A1239" t="s">
        <v>3539</v>
      </c>
      <c r="B1239" t="s">
        <v>3540</v>
      </c>
      <c r="E1239" t="s">
        <v>74</v>
      </c>
      <c r="F1239" t="s">
        <v>109</v>
      </c>
      <c r="G1239" t="s">
        <v>25</v>
      </c>
      <c r="H1239" t="s">
        <v>26</v>
      </c>
      <c r="I1239">
        <v>0</v>
      </c>
      <c r="J1239">
        <v>0</v>
      </c>
      <c r="K1239">
        <v>0</v>
      </c>
      <c r="L1239">
        <v>0</v>
      </c>
      <c r="M1239" t="s">
        <v>76</v>
      </c>
      <c r="N1239" t="s">
        <v>76</v>
      </c>
      <c r="O1239" t="s">
        <v>77</v>
      </c>
      <c r="P1239" t="s">
        <v>76</v>
      </c>
      <c r="S1239" t="s">
        <v>3540</v>
      </c>
    </row>
    <row r="1240" spans="1:19" x14ac:dyDescent="0.3">
      <c r="A1240" t="s">
        <v>3541</v>
      </c>
      <c r="B1240" t="s">
        <v>3542</v>
      </c>
      <c r="C1240" t="s">
        <v>24</v>
      </c>
      <c r="D1240" t="s">
        <v>63</v>
      </c>
      <c r="E1240" t="s">
        <v>2033</v>
      </c>
      <c r="F1240" t="s">
        <v>24</v>
      </c>
      <c r="G1240" t="s">
        <v>3541</v>
      </c>
      <c r="H1240" t="s">
        <v>26</v>
      </c>
      <c r="I1240">
        <v>0</v>
      </c>
      <c r="J1240">
        <v>0</v>
      </c>
      <c r="K1240">
        <v>0</v>
      </c>
      <c r="L1240">
        <v>0</v>
      </c>
      <c r="M1240" t="s">
        <v>76</v>
      </c>
      <c r="N1240" t="s">
        <v>76</v>
      </c>
      <c r="O1240" t="s">
        <v>77</v>
      </c>
      <c r="P1240" t="s">
        <v>76</v>
      </c>
      <c r="S1240" t="s">
        <v>3542</v>
      </c>
    </row>
    <row r="1241" spans="1:19" x14ac:dyDescent="0.3">
      <c r="A1241" t="s">
        <v>3543</v>
      </c>
      <c r="B1241" t="s">
        <v>3544</v>
      </c>
      <c r="C1241" t="s">
        <v>114</v>
      </c>
      <c r="D1241" t="s">
        <v>63</v>
      </c>
      <c r="E1241" t="s">
        <v>74</v>
      </c>
      <c r="F1241" t="s">
        <v>114</v>
      </c>
      <c r="G1241" t="s">
        <v>115</v>
      </c>
      <c r="H1241" t="s">
        <v>75</v>
      </c>
      <c r="I1241">
        <v>0</v>
      </c>
      <c r="J1241">
        <v>0</v>
      </c>
      <c r="K1241">
        <v>0</v>
      </c>
      <c r="L1241">
        <v>0</v>
      </c>
      <c r="M1241" t="s">
        <v>76</v>
      </c>
      <c r="N1241" t="s">
        <v>76</v>
      </c>
      <c r="O1241" t="s">
        <v>77</v>
      </c>
      <c r="P1241" t="s">
        <v>76</v>
      </c>
      <c r="S1241" t="s">
        <v>3544</v>
      </c>
    </row>
    <row r="1242" spans="1:19" x14ac:dyDescent="0.3">
      <c r="A1242" t="s">
        <v>3545</v>
      </c>
      <c r="B1242" t="s">
        <v>3546</v>
      </c>
      <c r="C1242" t="s">
        <v>114</v>
      </c>
      <c r="D1242" t="s">
        <v>63</v>
      </c>
      <c r="E1242" t="s">
        <v>74</v>
      </c>
      <c r="F1242" t="s">
        <v>114</v>
      </c>
      <c r="G1242" t="s">
        <v>362</v>
      </c>
      <c r="H1242" t="s">
        <v>75</v>
      </c>
      <c r="I1242">
        <v>0</v>
      </c>
      <c r="J1242">
        <v>0</v>
      </c>
      <c r="K1242">
        <v>0</v>
      </c>
      <c r="L1242">
        <v>0</v>
      </c>
      <c r="S1242" t="s">
        <v>3546</v>
      </c>
    </row>
    <row r="1243" spans="1:19" x14ac:dyDescent="0.3">
      <c r="A1243" t="s">
        <v>3547</v>
      </c>
      <c r="B1243" t="s">
        <v>3548</v>
      </c>
      <c r="C1243" t="s">
        <v>24</v>
      </c>
      <c r="D1243" t="s">
        <v>63</v>
      </c>
      <c r="E1243" t="s">
        <v>1734</v>
      </c>
      <c r="F1243" t="s">
        <v>24</v>
      </c>
      <c r="G1243" t="s">
        <v>3547</v>
      </c>
      <c r="H1243" t="s">
        <v>26</v>
      </c>
      <c r="I1243">
        <v>0</v>
      </c>
      <c r="J1243">
        <v>0</v>
      </c>
      <c r="K1243">
        <v>0</v>
      </c>
      <c r="L1243">
        <v>0</v>
      </c>
      <c r="M1243" t="s">
        <v>76</v>
      </c>
      <c r="N1243" t="s">
        <v>76</v>
      </c>
      <c r="O1243" t="s">
        <v>77</v>
      </c>
      <c r="P1243" t="s">
        <v>76</v>
      </c>
      <c r="S1243" t="s">
        <v>3548</v>
      </c>
    </row>
    <row r="1244" spans="1:19" x14ac:dyDescent="0.3">
      <c r="A1244" t="s">
        <v>3549</v>
      </c>
      <c r="B1244" t="s">
        <v>3550</v>
      </c>
      <c r="C1244" t="s">
        <v>24</v>
      </c>
      <c r="D1244" t="s">
        <v>189</v>
      </c>
      <c r="F1244" t="s">
        <v>24</v>
      </c>
      <c r="G1244" t="s">
        <v>724</v>
      </c>
      <c r="H1244" t="s">
        <v>26</v>
      </c>
      <c r="I1244">
        <v>0</v>
      </c>
      <c r="J1244">
        <v>0</v>
      </c>
      <c r="K1244">
        <v>0</v>
      </c>
      <c r="L1244">
        <v>0</v>
      </c>
      <c r="M1244" t="s">
        <v>76</v>
      </c>
      <c r="N1244" t="s">
        <v>76</v>
      </c>
      <c r="O1244" t="s">
        <v>77</v>
      </c>
      <c r="P1244" t="s">
        <v>76</v>
      </c>
      <c r="S1244" t="s">
        <v>3550</v>
      </c>
    </row>
    <row r="1245" spans="1:19" x14ac:dyDescent="0.3">
      <c r="A1245" t="s">
        <v>3551</v>
      </c>
      <c r="B1245" t="s">
        <v>3552</v>
      </c>
      <c r="C1245" t="s">
        <v>24</v>
      </c>
      <c r="D1245" t="s">
        <v>63</v>
      </c>
      <c r="E1245" t="s">
        <v>74</v>
      </c>
      <c r="F1245" t="s">
        <v>24</v>
      </c>
      <c r="G1245" t="s">
        <v>3551</v>
      </c>
      <c r="H1245" t="s">
        <v>26</v>
      </c>
      <c r="I1245">
        <v>0</v>
      </c>
      <c r="J1245">
        <v>0</v>
      </c>
      <c r="K1245">
        <v>0</v>
      </c>
      <c r="L1245">
        <v>0</v>
      </c>
      <c r="M1245" t="s">
        <v>76</v>
      </c>
      <c r="N1245" t="s">
        <v>76</v>
      </c>
      <c r="O1245" t="s">
        <v>77</v>
      </c>
      <c r="P1245" t="s">
        <v>76</v>
      </c>
      <c r="S1245" t="s">
        <v>3552</v>
      </c>
    </row>
    <row r="1246" spans="1:19" x14ac:dyDescent="0.3">
      <c r="A1246" t="s">
        <v>3553</v>
      </c>
      <c r="B1246" t="s">
        <v>3554</v>
      </c>
      <c r="C1246" t="s">
        <v>24</v>
      </c>
      <c r="D1246" t="s">
        <v>63</v>
      </c>
      <c r="E1246" t="s">
        <v>315</v>
      </c>
      <c r="F1246" t="s">
        <v>24</v>
      </c>
      <c r="G1246" t="s">
        <v>3553</v>
      </c>
      <c r="H1246" t="s">
        <v>213</v>
      </c>
      <c r="I1246">
        <v>0</v>
      </c>
      <c r="J1246">
        <v>0</v>
      </c>
      <c r="K1246">
        <v>0</v>
      </c>
      <c r="L1246">
        <v>0</v>
      </c>
      <c r="M1246" t="s">
        <v>76</v>
      </c>
      <c r="N1246" t="s">
        <v>76</v>
      </c>
      <c r="O1246" t="s">
        <v>77</v>
      </c>
      <c r="P1246" t="s">
        <v>76</v>
      </c>
      <c r="S1246" t="s">
        <v>3554</v>
      </c>
    </row>
    <row r="1247" spans="1:19" x14ac:dyDescent="0.3">
      <c r="A1247" t="s">
        <v>3555</v>
      </c>
      <c r="B1247" t="s">
        <v>3556</v>
      </c>
      <c r="C1247" t="s">
        <v>24</v>
      </c>
      <c r="D1247" t="s">
        <v>63</v>
      </c>
      <c r="E1247" t="s">
        <v>1132</v>
      </c>
      <c r="F1247" t="s">
        <v>24</v>
      </c>
      <c r="G1247" t="s">
        <v>3555</v>
      </c>
      <c r="H1247" t="s">
        <v>26</v>
      </c>
      <c r="I1247">
        <v>0</v>
      </c>
      <c r="J1247">
        <v>0</v>
      </c>
      <c r="K1247">
        <v>0</v>
      </c>
      <c r="L1247">
        <v>0</v>
      </c>
      <c r="M1247" t="s">
        <v>121</v>
      </c>
      <c r="N1247" t="s">
        <v>122</v>
      </c>
      <c r="O1247" t="s">
        <v>123</v>
      </c>
      <c r="P1247" t="s">
        <v>124</v>
      </c>
      <c r="Q1247" t="s">
        <v>3557</v>
      </c>
      <c r="R1247" t="s">
        <v>3558</v>
      </c>
      <c r="S1247" t="s">
        <v>3556</v>
      </c>
    </row>
    <row r="1248" spans="1:19" x14ac:dyDescent="0.3">
      <c r="A1248" t="s">
        <v>3559</v>
      </c>
      <c r="B1248" t="s">
        <v>3560</v>
      </c>
      <c r="C1248" t="s">
        <v>314</v>
      </c>
      <c r="D1248" t="s">
        <v>63</v>
      </c>
      <c r="E1248" t="s">
        <v>323</v>
      </c>
      <c r="F1248" t="s">
        <v>314</v>
      </c>
      <c r="G1248" t="s">
        <v>3561</v>
      </c>
      <c r="H1248" t="s">
        <v>213</v>
      </c>
      <c r="I1248">
        <v>0</v>
      </c>
      <c r="J1248">
        <v>0</v>
      </c>
      <c r="K1248">
        <v>0</v>
      </c>
      <c r="L1248">
        <v>0</v>
      </c>
      <c r="M1248" t="s">
        <v>76</v>
      </c>
      <c r="N1248" t="s">
        <v>76</v>
      </c>
      <c r="O1248" t="s">
        <v>77</v>
      </c>
      <c r="P1248" t="s">
        <v>76</v>
      </c>
      <c r="S1248" t="s">
        <v>3560</v>
      </c>
    </row>
    <row r="1249" spans="1:19" x14ac:dyDescent="0.3">
      <c r="A1249" t="s">
        <v>3562</v>
      </c>
      <c r="B1249" t="s">
        <v>3563</v>
      </c>
      <c r="C1249" t="s">
        <v>338</v>
      </c>
      <c r="D1249" t="s">
        <v>63</v>
      </c>
      <c r="E1249" t="s">
        <v>323</v>
      </c>
      <c r="F1249" t="s">
        <v>314</v>
      </c>
      <c r="G1249" t="s">
        <v>1058</v>
      </c>
      <c r="H1249" t="s">
        <v>213</v>
      </c>
      <c r="I1249">
        <v>0</v>
      </c>
      <c r="J1249">
        <v>0</v>
      </c>
      <c r="K1249">
        <v>0</v>
      </c>
      <c r="L1249">
        <v>0</v>
      </c>
      <c r="M1249" t="s">
        <v>76</v>
      </c>
      <c r="N1249" t="s">
        <v>76</v>
      </c>
      <c r="O1249" t="s">
        <v>77</v>
      </c>
      <c r="P1249" t="s">
        <v>76</v>
      </c>
      <c r="S1249" t="s">
        <v>3563</v>
      </c>
    </row>
    <row r="1250" spans="1:19" x14ac:dyDescent="0.3">
      <c r="A1250" t="s">
        <v>3564</v>
      </c>
      <c r="B1250" t="s">
        <v>3565</v>
      </c>
      <c r="C1250" t="s">
        <v>314</v>
      </c>
      <c r="D1250" t="s">
        <v>63</v>
      </c>
      <c r="E1250" t="s">
        <v>323</v>
      </c>
      <c r="F1250" t="s">
        <v>314</v>
      </c>
      <c r="G1250" t="s">
        <v>3566</v>
      </c>
      <c r="H1250" t="s">
        <v>213</v>
      </c>
      <c r="I1250">
        <v>0</v>
      </c>
      <c r="J1250">
        <v>0</v>
      </c>
      <c r="K1250">
        <v>0</v>
      </c>
      <c r="L1250">
        <v>0</v>
      </c>
      <c r="M1250" t="s">
        <v>76</v>
      </c>
      <c r="N1250" t="s">
        <v>76</v>
      </c>
      <c r="O1250" t="s">
        <v>77</v>
      </c>
      <c r="P1250" t="s">
        <v>76</v>
      </c>
      <c r="S1250" t="s">
        <v>3565</v>
      </c>
    </row>
    <row r="1251" spans="1:19" x14ac:dyDescent="0.3">
      <c r="A1251" t="s">
        <v>3567</v>
      </c>
      <c r="B1251" t="s">
        <v>3568</v>
      </c>
      <c r="C1251" t="s">
        <v>24</v>
      </c>
      <c r="D1251" t="s">
        <v>63</v>
      </c>
      <c r="E1251" t="s">
        <v>315</v>
      </c>
      <c r="F1251" t="s">
        <v>24</v>
      </c>
      <c r="G1251" t="s">
        <v>3567</v>
      </c>
      <c r="H1251" t="s">
        <v>26</v>
      </c>
      <c r="I1251">
        <v>0</v>
      </c>
      <c r="J1251">
        <v>0</v>
      </c>
      <c r="K1251">
        <v>0</v>
      </c>
      <c r="L1251">
        <v>0</v>
      </c>
      <c r="M1251" t="s">
        <v>76</v>
      </c>
      <c r="N1251" t="s">
        <v>76</v>
      </c>
      <c r="O1251" t="s">
        <v>77</v>
      </c>
      <c r="P1251" t="s">
        <v>76</v>
      </c>
      <c r="S1251" t="s">
        <v>3568</v>
      </c>
    </row>
    <row r="1252" spans="1:19" x14ac:dyDescent="0.3">
      <c r="A1252" t="s">
        <v>3569</v>
      </c>
      <c r="B1252" t="s">
        <v>3570</v>
      </c>
      <c r="E1252" t="s">
        <v>74</v>
      </c>
      <c r="F1252" t="s">
        <v>109</v>
      </c>
      <c r="G1252" t="s">
        <v>25</v>
      </c>
      <c r="H1252" t="s">
        <v>26</v>
      </c>
      <c r="I1252">
        <v>0</v>
      </c>
      <c r="J1252">
        <v>0</v>
      </c>
      <c r="K1252">
        <v>0</v>
      </c>
      <c r="L1252">
        <v>0</v>
      </c>
      <c r="M1252" t="s">
        <v>76</v>
      </c>
      <c r="N1252" t="s">
        <v>76</v>
      </c>
      <c r="O1252" t="s">
        <v>77</v>
      </c>
      <c r="P1252" t="s">
        <v>76</v>
      </c>
      <c r="S1252" t="s">
        <v>3570</v>
      </c>
    </row>
    <row r="1253" spans="1:19" x14ac:dyDescent="0.3">
      <c r="A1253" t="s">
        <v>3571</v>
      </c>
      <c r="B1253" t="s">
        <v>3572</v>
      </c>
      <c r="C1253" t="s">
        <v>43</v>
      </c>
      <c r="F1253" t="s">
        <v>45</v>
      </c>
      <c r="G1253" t="s">
        <v>43</v>
      </c>
      <c r="H1253" t="s">
        <v>26</v>
      </c>
      <c r="I1253">
        <v>0</v>
      </c>
      <c r="J1253">
        <v>0</v>
      </c>
      <c r="K1253">
        <v>0</v>
      </c>
      <c r="L1253">
        <v>0</v>
      </c>
      <c r="M1253" t="s">
        <v>76</v>
      </c>
      <c r="N1253" t="s">
        <v>76</v>
      </c>
      <c r="O1253" t="s">
        <v>77</v>
      </c>
      <c r="P1253" t="s">
        <v>76</v>
      </c>
      <c r="S1253" t="s">
        <v>3572</v>
      </c>
    </row>
    <row r="1254" spans="1:19" x14ac:dyDescent="0.3">
      <c r="A1254" t="s">
        <v>3573</v>
      </c>
      <c r="B1254" t="s">
        <v>3574</v>
      </c>
      <c r="C1254" t="s">
        <v>24</v>
      </c>
      <c r="D1254" t="s">
        <v>35</v>
      </c>
      <c r="E1254" t="s">
        <v>54</v>
      </c>
      <c r="F1254" t="s">
        <v>24</v>
      </c>
      <c r="G1254" t="s">
        <v>2080</v>
      </c>
      <c r="H1254" t="s">
        <v>26</v>
      </c>
      <c r="I1254">
        <v>0</v>
      </c>
      <c r="J1254">
        <v>0</v>
      </c>
      <c r="K1254">
        <v>0</v>
      </c>
      <c r="L1254">
        <v>0</v>
      </c>
      <c r="M1254" t="s">
        <v>76</v>
      </c>
      <c r="N1254" t="s">
        <v>76</v>
      </c>
      <c r="O1254" t="s">
        <v>77</v>
      </c>
      <c r="P1254" t="s">
        <v>76</v>
      </c>
      <c r="S1254" t="s">
        <v>3574</v>
      </c>
    </row>
    <row r="1255" spans="1:19" x14ac:dyDescent="0.3">
      <c r="A1255" t="s">
        <v>3575</v>
      </c>
      <c r="B1255" t="s">
        <v>3576</v>
      </c>
      <c r="C1255" t="s">
        <v>21</v>
      </c>
      <c r="D1255" t="s">
        <v>63</v>
      </c>
      <c r="E1255" t="s">
        <v>74</v>
      </c>
      <c r="F1255" t="s">
        <v>24</v>
      </c>
      <c r="G1255" t="s">
        <v>21</v>
      </c>
      <c r="H1255" t="s">
        <v>26</v>
      </c>
      <c r="I1255">
        <v>0</v>
      </c>
      <c r="J1255">
        <v>0</v>
      </c>
      <c r="K1255">
        <v>0</v>
      </c>
      <c r="L1255">
        <v>0</v>
      </c>
      <c r="M1255" t="s">
        <v>76</v>
      </c>
      <c r="N1255" t="s">
        <v>76</v>
      </c>
      <c r="O1255" t="s">
        <v>77</v>
      </c>
      <c r="P1255" t="s">
        <v>76</v>
      </c>
      <c r="S1255" t="s">
        <v>3576</v>
      </c>
    </row>
    <row r="1256" spans="1:19" x14ac:dyDescent="0.3">
      <c r="A1256" t="s">
        <v>3577</v>
      </c>
      <c r="B1256" t="s">
        <v>3578</v>
      </c>
      <c r="C1256" t="s">
        <v>21</v>
      </c>
      <c r="D1256" t="s">
        <v>53</v>
      </c>
      <c r="E1256" t="s">
        <v>400</v>
      </c>
      <c r="F1256" t="s">
        <v>24</v>
      </c>
      <c r="G1256" t="s">
        <v>21</v>
      </c>
      <c r="H1256" t="s">
        <v>26</v>
      </c>
      <c r="I1256">
        <v>0</v>
      </c>
      <c r="J1256">
        <v>0</v>
      </c>
      <c r="K1256">
        <v>0</v>
      </c>
      <c r="L1256">
        <v>0</v>
      </c>
      <c r="M1256" t="s">
        <v>76</v>
      </c>
      <c r="N1256" t="s">
        <v>76</v>
      </c>
      <c r="O1256" t="s">
        <v>77</v>
      </c>
      <c r="P1256" t="s">
        <v>76</v>
      </c>
      <c r="S1256" t="s">
        <v>3578</v>
      </c>
    </row>
    <row r="1257" spans="1:19" x14ac:dyDescent="0.3">
      <c r="A1257" t="s">
        <v>3579</v>
      </c>
      <c r="B1257" t="s">
        <v>3580</v>
      </c>
      <c r="C1257" t="s">
        <v>21</v>
      </c>
      <c r="D1257" t="s">
        <v>63</v>
      </c>
      <c r="E1257" t="s">
        <v>64</v>
      </c>
      <c r="F1257" t="s">
        <v>24</v>
      </c>
      <c r="G1257" t="s">
        <v>21</v>
      </c>
      <c r="H1257" t="s">
        <v>26</v>
      </c>
      <c r="I1257">
        <v>0</v>
      </c>
      <c r="J1257">
        <v>0</v>
      </c>
      <c r="K1257">
        <v>0</v>
      </c>
      <c r="L1257">
        <v>0</v>
      </c>
      <c r="M1257" t="s">
        <v>76</v>
      </c>
      <c r="N1257" t="s">
        <v>76</v>
      </c>
      <c r="O1257" t="s">
        <v>77</v>
      </c>
      <c r="P1257" t="s">
        <v>76</v>
      </c>
      <c r="S1257" t="s">
        <v>3580</v>
      </c>
    </row>
    <row r="1258" spans="1:19" x14ac:dyDescent="0.3">
      <c r="A1258" t="s">
        <v>3581</v>
      </c>
      <c r="B1258" t="s">
        <v>3582</v>
      </c>
      <c r="C1258" t="s">
        <v>21</v>
      </c>
      <c r="D1258" t="s">
        <v>63</v>
      </c>
      <c r="E1258" t="s">
        <v>74</v>
      </c>
      <c r="F1258" t="s">
        <v>24</v>
      </c>
      <c r="G1258" t="s">
        <v>21</v>
      </c>
      <c r="H1258" t="s">
        <v>26</v>
      </c>
      <c r="I1258">
        <v>0</v>
      </c>
      <c r="J1258">
        <v>0</v>
      </c>
      <c r="K1258">
        <v>0</v>
      </c>
      <c r="L1258">
        <v>0</v>
      </c>
      <c r="M1258" t="s">
        <v>76</v>
      </c>
      <c r="N1258" t="s">
        <v>76</v>
      </c>
      <c r="O1258" t="s">
        <v>77</v>
      </c>
      <c r="P1258" t="s">
        <v>76</v>
      </c>
      <c r="S1258" t="s">
        <v>3582</v>
      </c>
    </row>
    <row r="1259" spans="1:19" x14ac:dyDescent="0.3">
      <c r="A1259" t="s">
        <v>3583</v>
      </c>
      <c r="B1259" t="s">
        <v>3584</v>
      </c>
      <c r="C1259" t="s">
        <v>21</v>
      </c>
      <c r="D1259" t="s">
        <v>63</v>
      </c>
      <c r="E1259" t="s">
        <v>74</v>
      </c>
      <c r="F1259" t="s">
        <v>24</v>
      </c>
      <c r="G1259" t="s">
        <v>21</v>
      </c>
      <c r="H1259" t="s">
        <v>26</v>
      </c>
      <c r="I1259">
        <v>0</v>
      </c>
      <c r="J1259">
        <v>0</v>
      </c>
      <c r="K1259">
        <v>0</v>
      </c>
      <c r="L1259">
        <v>0</v>
      </c>
      <c r="M1259" t="s">
        <v>76</v>
      </c>
      <c r="N1259" t="s">
        <v>76</v>
      </c>
      <c r="O1259" t="s">
        <v>77</v>
      </c>
      <c r="P1259" t="s">
        <v>76</v>
      </c>
      <c r="S1259" t="s">
        <v>3584</v>
      </c>
    </row>
    <row r="1260" spans="1:19" x14ac:dyDescent="0.3">
      <c r="A1260" t="s">
        <v>3585</v>
      </c>
      <c r="B1260" t="s">
        <v>3586</v>
      </c>
      <c r="C1260" t="s">
        <v>21</v>
      </c>
      <c r="D1260" t="s">
        <v>35</v>
      </c>
      <c r="E1260" t="s">
        <v>80</v>
      </c>
      <c r="F1260" t="s">
        <v>24</v>
      </c>
      <c r="G1260" t="s">
        <v>21</v>
      </c>
      <c r="H1260" t="s">
        <v>26</v>
      </c>
      <c r="I1260">
        <v>0</v>
      </c>
      <c r="J1260">
        <v>0</v>
      </c>
      <c r="K1260">
        <v>0</v>
      </c>
      <c r="L1260">
        <v>0</v>
      </c>
      <c r="M1260" t="s">
        <v>76</v>
      </c>
      <c r="N1260" t="s">
        <v>76</v>
      </c>
      <c r="O1260" t="s">
        <v>77</v>
      </c>
      <c r="P1260" t="s">
        <v>76</v>
      </c>
      <c r="S1260" t="s">
        <v>3586</v>
      </c>
    </row>
    <row r="1261" spans="1:19" x14ac:dyDescent="0.3">
      <c r="A1261" t="s">
        <v>3587</v>
      </c>
      <c r="B1261" t="s">
        <v>3588</v>
      </c>
      <c r="C1261" t="s">
        <v>24</v>
      </c>
      <c r="D1261" t="s">
        <v>63</v>
      </c>
      <c r="E1261" t="s">
        <v>1132</v>
      </c>
      <c r="F1261" t="s">
        <v>24</v>
      </c>
      <c r="G1261" t="s">
        <v>3587</v>
      </c>
      <c r="H1261" t="s">
        <v>26</v>
      </c>
      <c r="I1261">
        <v>0</v>
      </c>
      <c r="J1261">
        <v>0</v>
      </c>
      <c r="K1261">
        <v>0</v>
      </c>
      <c r="L1261">
        <v>0</v>
      </c>
      <c r="M1261" t="s">
        <v>76</v>
      </c>
      <c r="N1261" t="s">
        <v>76</v>
      </c>
      <c r="O1261" t="s">
        <v>77</v>
      </c>
      <c r="P1261" t="s">
        <v>76</v>
      </c>
      <c r="S1261" t="s">
        <v>3588</v>
      </c>
    </row>
    <row r="1262" spans="1:19" x14ac:dyDescent="0.3">
      <c r="A1262" t="s">
        <v>3589</v>
      </c>
      <c r="B1262" t="s">
        <v>3590</v>
      </c>
      <c r="C1262" t="s">
        <v>21</v>
      </c>
      <c r="D1262" t="s">
        <v>35</v>
      </c>
      <c r="E1262" t="s">
        <v>80</v>
      </c>
      <c r="F1262" t="s">
        <v>24</v>
      </c>
      <c r="G1262" t="s">
        <v>21</v>
      </c>
      <c r="H1262" t="s">
        <v>26</v>
      </c>
      <c r="I1262">
        <v>0</v>
      </c>
      <c r="J1262">
        <v>0</v>
      </c>
      <c r="K1262">
        <v>0</v>
      </c>
      <c r="L1262">
        <v>0</v>
      </c>
      <c r="M1262" t="s">
        <v>76</v>
      </c>
      <c r="N1262" t="s">
        <v>76</v>
      </c>
      <c r="O1262" t="s">
        <v>77</v>
      </c>
      <c r="P1262" t="s">
        <v>76</v>
      </c>
      <c r="S1262" t="s">
        <v>3590</v>
      </c>
    </row>
    <row r="1263" spans="1:19" x14ac:dyDescent="0.3">
      <c r="A1263" t="s">
        <v>3591</v>
      </c>
      <c r="B1263" t="s">
        <v>3592</v>
      </c>
      <c r="C1263" t="s">
        <v>21</v>
      </c>
      <c r="D1263" t="s">
        <v>63</v>
      </c>
      <c r="E1263" t="s">
        <v>74</v>
      </c>
      <c r="F1263" t="s">
        <v>24</v>
      </c>
      <c r="G1263" t="s">
        <v>21</v>
      </c>
      <c r="H1263" t="s">
        <v>26</v>
      </c>
      <c r="I1263">
        <v>0</v>
      </c>
      <c r="J1263">
        <v>0</v>
      </c>
      <c r="K1263">
        <v>0</v>
      </c>
      <c r="L1263">
        <v>0</v>
      </c>
      <c r="M1263" t="s">
        <v>121</v>
      </c>
      <c r="N1263" t="s">
        <v>122</v>
      </c>
      <c r="O1263" t="s">
        <v>123</v>
      </c>
      <c r="P1263" t="s">
        <v>124</v>
      </c>
      <c r="Q1263" t="s">
        <v>2114</v>
      </c>
      <c r="R1263" t="s">
        <v>2115</v>
      </c>
      <c r="S1263" t="s">
        <v>3592</v>
      </c>
    </row>
    <row r="1264" spans="1:19" x14ac:dyDescent="0.3">
      <c r="A1264" t="s">
        <v>3593</v>
      </c>
      <c r="B1264" t="s">
        <v>3594</v>
      </c>
      <c r="C1264" t="s">
        <v>21</v>
      </c>
      <c r="D1264" t="s">
        <v>63</v>
      </c>
      <c r="E1264" t="s">
        <v>74</v>
      </c>
      <c r="F1264" t="s">
        <v>24</v>
      </c>
      <c r="G1264" t="s">
        <v>21</v>
      </c>
      <c r="H1264" t="s">
        <v>26</v>
      </c>
      <c r="I1264">
        <v>0</v>
      </c>
      <c r="J1264">
        <v>0</v>
      </c>
      <c r="K1264">
        <v>0</v>
      </c>
      <c r="L1264">
        <v>0</v>
      </c>
      <c r="M1264" t="s">
        <v>76</v>
      </c>
      <c r="N1264" t="s">
        <v>76</v>
      </c>
      <c r="O1264" t="s">
        <v>77</v>
      </c>
      <c r="P1264" t="s">
        <v>76</v>
      </c>
      <c r="S1264" t="s">
        <v>3594</v>
      </c>
    </row>
    <row r="1265" spans="1:19" x14ac:dyDescent="0.3">
      <c r="A1265" t="s">
        <v>3595</v>
      </c>
      <c r="B1265" t="s">
        <v>3596</v>
      </c>
      <c r="C1265" t="s">
        <v>21</v>
      </c>
      <c r="D1265" t="s">
        <v>63</v>
      </c>
      <c r="E1265" t="s">
        <v>74</v>
      </c>
      <c r="F1265" t="s">
        <v>24</v>
      </c>
      <c r="G1265" t="s">
        <v>21</v>
      </c>
      <c r="H1265" t="s">
        <v>26</v>
      </c>
      <c r="I1265">
        <v>0</v>
      </c>
      <c r="J1265">
        <v>0</v>
      </c>
      <c r="K1265">
        <v>0</v>
      </c>
      <c r="L1265">
        <v>0</v>
      </c>
      <c r="M1265" t="s">
        <v>76</v>
      </c>
      <c r="N1265" t="s">
        <v>76</v>
      </c>
      <c r="O1265" t="s">
        <v>77</v>
      </c>
      <c r="P1265" t="s">
        <v>76</v>
      </c>
      <c r="S1265" t="s">
        <v>3596</v>
      </c>
    </row>
    <row r="1266" spans="1:19" x14ac:dyDescent="0.3">
      <c r="A1266" t="s">
        <v>3597</v>
      </c>
      <c r="B1266" t="s">
        <v>3598</v>
      </c>
      <c r="C1266" t="s">
        <v>21</v>
      </c>
      <c r="D1266" t="s">
        <v>63</v>
      </c>
      <c r="E1266" t="s">
        <v>74</v>
      </c>
      <c r="F1266" t="s">
        <v>24</v>
      </c>
      <c r="G1266" t="s">
        <v>21</v>
      </c>
      <c r="H1266" t="s">
        <v>26</v>
      </c>
      <c r="I1266">
        <v>0</v>
      </c>
      <c r="J1266">
        <v>0</v>
      </c>
      <c r="K1266">
        <v>0</v>
      </c>
      <c r="L1266">
        <v>0</v>
      </c>
      <c r="M1266" t="s">
        <v>76</v>
      </c>
      <c r="N1266" t="s">
        <v>76</v>
      </c>
      <c r="O1266" t="s">
        <v>77</v>
      </c>
      <c r="P1266" t="s">
        <v>76</v>
      </c>
      <c r="S1266" t="s">
        <v>3598</v>
      </c>
    </row>
    <row r="1267" spans="1:19" x14ac:dyDescent="0.3">
      <c r="A1267" t="s">
        <v>3599</v>
      </c>
      <c r="B1267" t="s">
        <v>3600</v>
      </c>
      <c r="C1267" t="s">
        <v>21</v>
      </c>
      <c r="D1267" t="s">
        <v>63</v>
      </c>
      <c r="E1267" t="s">
        <v>74</v>
      </c>
      <c r="F1267" t="s">
        <v>24</v>
      </c>
      <c r="G1267" t="s">
        <v>21</v>
      </c>
      <c r="H1267" t="s">
        <v>26</v>
      </c>
      <c r="I1267">
        <v>0</v>
      </c>
      <c r="J1267">
        <v>0</v>
      </c>
      <c r="K1267">
        <v>0</v>
      </c>
      <c r="L1267">
        <v>0</v>
      </c>
      <c r="M1267" t="s">
        <v>76</v>
      </c>
      <c r="N1267" t="s">
        <v>76</v>
      </c>
      <c r="O1267" t="s">
        <v>77</v>
      </c>
      <c r="P1267" t="s">
        <v>76</v>
      </c>
      <c r="S1267" t="s">
        <v>3600</v>
      </c>
    </row>
    <row r="1268" spans="1:19" x14ac:dyDescent="0.3">
      <c r="A1268" t="s">
        <v>3601</v>
      </c>
      <c r="B1268" t="s">
        <v>3602</v>
      </c>
      <c r="C1268" t="s">
        <v>21</v>
      </c>
      <c r="D1268" t="s">
        <v>53</v>
      </c>
      <c r="E1268" t="s">
        <v>54</v>
      </c>
      <c r="F1268" t="s">
        <v>109</v>
      </c>
      <c r="G1268" t="s">
        <v>25</v>
      </c>
      <c r="H1268" t="s">
        <v>26</v>
      </c>
      <c r="I1268">
        <v>0</v>
      </c>
      <c r="J1268">
        <v>0</v>
      </c>
      <c r="K1268">
        <v>0</v>
      </c>
      <c r="L1268">
        <v>0</v>
      </c>
      <c r="M1268" t="s">
        <v>76</v>
      </c>
      <c r="N1268" t="s">
        <v>76</v>
      </c>
      <c r="O1268" t="s">
        <v>77</v>
      </c>
      <c r="P1268" t="s">
        <v>76</v>
      </c>
      <c r="S1268" t="s">
        <v>3602</v>
      </c>
    </row>
    <row r="1269" spans="1:19" x14ac:dyDescent="0.3">
      <c r="A1269" t="s">
        <v>3603</v>
      </c>
      <c r="B1269" t="s">
        <v>3604</v>
      </c>
      <c r="C1269" t="s">
        <v>21</v>
      </c>
      <c r="D1269" t="s">
        <v>35</v>
      </c>
      <c r="E1269" t="s">
        <v>80</v>
      </c>
      <c r="F1269" t="s">
        <v>24</v>
      </c>
      <c r="G1269" t="s">
        <v>21</v>
      </c>
      <c r="H1269" t="s">
        <v>26</v>
      </c>
      <c r="I1269">
        <v>0</v>
      </c>
      <c r="J1269">
        <v>0</v>
      </c>
      <c r="K1269">
        <v>0</v>
      </c>
      <c r="L1269">
        <v>0</v>
      </c>
      <c r="M1269" t="s">
        <v>76</v>
      </c>
      <c r="N1269" t="s">
        <v>76</v>
      </c>
      <c r="O1269" t="s">
        <v>77</v>
      </c>
      <c r="P1269" t="s">
        <v>76</v>
      </c>
      <c r="S1269" t="s">
        <v>3604</v>
      </c>
    </row>
    <row r="1270" spans="1:19" x14ac:dyDescent="0.3">
      <c r="A1270" t="s">
        <v>3605</v>
      </c>
      <c r="B1270" t="s">
        <v>3606</v>
      </c>
      <c r="C1270" t="s">
        <v>21</v>
      </c>
      <c r="D1270" t="s">
        <v>63</v>
      </c>
      <c r="E1270" t="s">
        <v>74</v>
      </c>
      <c r="F1270" t="s">
        <v>24</v>
      </c>
      <c r="G1270" t="s">
        <v>21</v>
      </c>
      <c r="H1270" t="s">
        <v>26</v>
      </c>
      <c r="I1270">
        <v>0</v>
      </c>
      <c r="J1270">
        <v>0</v>
      </c>
      <c r="K1270">
        <v>0</v>
      </c>
      <c r="L1270">
        <v>0</v>
      </c>
      <c r="M1270" t="s">
        <v>76</v>
      </c>
      <c r="N1270" t="s">
        <v>76</v>
      </c>
      <c r="O1270" t="s">
        <v>77</v>
      </c>
      <c r="P1270" t="s">
        <v>76</v>
      </c>
      <c r="S1270" t="s">
        <v>3606</v>
      </c>
    </row>
    <row r="1271" spans="1:19" x14ac:dyDescent="0.3">
      <c r="A1271" t="s">
        <v>3607</v>
      </c>
      <c r="B1271" t="s">
        <v>3608</v>
      </c>
      <c r="C1271" t="s">
        <v>24</v>
      </c>
      <c r="D1271" t="s">
        <v>63</v>
      </c>
      <c r="E1271" t="s">
        <v>315</v>
      </c>
      <c r="F1271" t="s">
        <v>24</v>
      </c>
      <c r="G1271" t="s">
        <v>3609</v>
      </c>
      <c r="H1271" t="s">
        <v>26</v>
      </c>
      <c r="I1271">
        <v>0</v>
      </c>
      <c r="J1271">
        <v>0</v>
      </c>
      <c r="K1271">
        <v>0</v>
      </c>
      <c r="L1271">
        <v>0</v>
      </c>
      <c r="M1271" t="s">
        <v>76</v>
      </c>
      <c r="N1271" t="s">
        <v>76</v>
      </c>
      <c r="O1271" t="s">
        <v>77</v>
      </c>
      <c r="P1271" t="s">
        <v>76</v>
      </c>
      <c r="S1271" t="s">
        <v>3608</v>
      </c>
    </row>
    <row r="1272" spans="1:19" x14ac:dyDescent="0.3">
      <c r="A1272" t="s">
        <v>3610</v>
      </c>
      <c r="B1272" t="s">
        <v>3611</v>
      </c>
      <c r="C1272" t="s">
        <v>24</v>
      </c>
      <c r="D1272" t="s">
        <v>63</v>
      </c>
      <c r="E1272" t="s">
        <v>74</v>
      </c>
      <c r="F1272" t="s">
        <v>24</v>
      </c>
      <c r="G1272" t="s">
        <v>3610</v>
      </c>
      <c r="H1272" t="s">
        <v>213</v>
      </c>
      <c r="I1272">
        <v>0</v>
      </c>
      <c r="J1272">
        <v>0</v>
      </c>
      <c r="K1272">
        <v>0</v>
      </c>
      <c r="L1272">
        <v>0</v>
      </c>
      <c r="M1272" t="s">
        <v>76</v>
      </c>
      <c r="N1272" t="s">
        <v>76</v>
      </c>
      <c r="O1272" t="s">
        <v>77</v>
      </c>
      <c r="P1272" t="s">
        <v>76</v>
      </c>
      <c r="S1272" t="s">
        <v>3611</v>
      </c>
    </row>
    <row r="1273" spans="1:19" x14ac:dyDescent="0.3">
      <c r="A1273" t="s">
        <v>3612</v>
      </c>
      <c r="B1273" t="s">
        <v>3613</v>
      </c>
      <c r="C1273" t="s">
        <v>24</v>
      </c>
      <c r="D1273" t="s">
        <v>35</v>
      </c>
      <c r="E1273" t="s">
        <v>400</v>
      </c>
      <c r="F1273" t="s">
        <v>24</v>
      </c>
      <c r="G1273" t="s">
        <v>3612</v>
      </c>
      <c r="H1273" t="s">
        <v>213</v>
      </c>
      <c r="I1273">
        <v>0</v>
      </c>
      <c r="J1273">
        <v>0</v>
      </c>
      <c r="K1273">
        <v>0</v>
      </c>
      <c r="L1273">
        <v>0</v>
      </c>
      <c r="M1273" t="s">
        <v>76</v>
      </c>
      <c r="N1273" t="s">
        <v>76</v>
      </c>
      <c r="O1273" t="s">
        <v>77</v>
      </c>
      <c r="P1273" t="s">
        <v>76</v>
      </c>
      <c r="S1273" t="s">
        <v>3613</v>
      </c>
    </row>
    <row r="1274" spans="1:19" x14ac:dyDescent="0.3">
      <c r="A1274" t="s">
        <v>3614</v>
      </c>
      <c r="B1274" t="s">
        <v>3615</v>
      </c>
      <c r="C1274" t="s">
        <v>21</v>
      </c>
      <c r="D1274" t="s">
        <v>63</v>
      </c>
      <c r="E1274" t="s">
        <v>74</v>
      </c>
      <c r="F1274" t="s">
        <v>24</v>
      </c>
      <c r="G1274" t="s">
        <v>21</v>
      </c>
      <c r="H1274" t="s">
        <v>26</v>
      </c>
      <c r="I1274">
        <v>0</v>
      </c>
      <c r="J1274">
        <v>0</v>
      </c>
      <c r="K1274">
        <v>0</v>
      </c>
      <c r="L1274">
        <v>0</v>
      </c>
      <c r="M1274" t="s">
        <v>76</v>
      </c>
      <c r="N1274" t="s">
        <v>76</v>
      </c>
      <c r="O1274" t="s">
        <v>77</v>
      </c>
      <c r="P1274" t="s">
        <v>76</v>
      </c>
      <c r="S1274" t="s">
        <v>3615</v>
      </c>
    </row>
    <row r="1275" spans="1:19" x14ac:dyDescent="0.3">
      <c r="A1275" t="s">
        <v>3616</v>
      </c>
      <c r="B1275" t="s">
        <v>3617</v>
      </c>
      <c r="C1275" t="s">
        <v>21</v>
      </c>
      <c r="D1275" t="s">
        <v>63</v>
      </c>
      <c r="E1275" t="s">
        <v>74</v>
      </c>
      <c r="F1275" t="s">
        <v>24</v>
      </c>
      <c r="G1275" t="s">
        <v>21</v>
      </c>
      <c r="H1275" t="s">
        <v>26</v>
      </c>
      <c r="I1275">
        <v>0</v>
      </c>
      <c r="J1275">
        <v>0</v>
      </c>
      <c r="K1275">
        <v>0</v>
      </c>
      <c r="L1275">
        <v>0</v>
      </c>
      <c r="M1275" t="s">
        <v>76</v>
      </c>
      <c r="N1275" t="s">
        <v>76</v>
      </c>
      <c r="O1275" t="s">
        <v>77</v>
      </c>
      <c r="P1275" t="s">
        <v>76</v>
      </c>
      <c r="S1275" t="s">
        <v>3617</v>
      </c>
    </row>
    <row r="1276" spans="1:19" x14ac:dyDescent="0.3">
      <c r="A1276" t="s">
        <v>3618</v>
      </c>
      <c r="B1276" t="s">
        <v>3619</v>
      </c>
      <c r="C1276" t="s">
        <v>21</v>
      </c>
      <c r="D1276" t="s">
        <v>63</v>
      </c>
      <c r="E1276" t="s">
        <v>74</v>
      </c>
      <c r="F1276" t="s">
        <v>24</v>
      </c>
      <c r="G1276" t="s">
        <v>21</v>
      </c>
      <c r="H1276" t="s">
        <v>26</v>
      </c>
      <c r="I1276">
        <v>0</v>
      </c>
      <c r="J1276">
        <v>0</v>
      </c>
      <c r="K1276">
        <v>0</v>
      </c>
      <c r="L1276">
        <v>0</v>
      </c>
      <c r="M1276" t="s">
        <v>121</v>
      </c>
      <c r="N1276" t="s">
        <v>122</v>
      </c>
      <c r="O1276" t="s">
        <v>123</v>
      </c>
      <c r="P1276" t="s">
        <v>124</v>
      </c>
      <c r="Q1276" t="s">
        <v>2114</v>
      </c>
      <c r="R1276" t="s">
        <v>2115</v>
      </c>
      <c r="S1276" t="s">
        <v>3619</v>
      </c>
    </row>
    <row r="1277" spans="1:19" x14ac:dyDescent="0.3">
      <c r="A1277" t="s">
        <v>3620</v>
      </c>
      <c r="B1277" t="s">
        <v>3621</v>
      </c>
      <c r="C1277" t="s">
        <v>314</v>
      </c>
      <c r="D1277" t="s">
        <v>63</v>
      </c>
      <c r="E1277" t="s">
        <v>315</v>
      </c>
      <c r="F1277" t="s">
        <v>314</v>
      </c>
      <c r="G1277" t="s">
        <v>3622</v>
      </c>
      <c r="H1277" t="s">
        <v>213</v>
      </c>
      <c r="I1277">
        <v>0</v>
      </c>
      <c r="J1277">
        <v>0</v>
      </c>
      <c r="K1277">
        <v>0</v>
      </c>
      <c r="L1277">
        <v>0</v>
      </c>
      <c r="M1277" t="s">
        <v>76</v>
      </c>
      <c r="N1277" t="s">
        <v>76</v>
      </c>
      <c r="O1277" t="s">
        <v>77</v>
      </c>
      <c r="P1277" t="s">
        <v>76</v>
      </c>
      <c r="S1277" t="s">
        <v>3621</v>
      </c>
    </row>
    <row r="1278" spans="1:19" x14ac:dyDescent="0.3">
      <c r="A1278" t="s">
        <v>3623</v>
      </c>
      <c r="B1278" t="s">
        <v>3624</v>
      </c>
      <c r="C1278" t="s">
        <v>43</v>
      </c>
      <c r="F1278" t="s">
        <v>45</v>
      </c>
      <c r="G1278" t="s">
        <v>43</v>
      </c>
      <c r="H1278" t="s">
        <v>26</v>
      </c>
      <c r="I1278">
        <v>0</v>
      </c>
      <c r="J1278">
        <v>0</v>
      </c>
      <c r="K1278">
        <v>0</v>
      </c>
      <c r="L1278">
        <v>0</v>
      </c>
      <c r="M1278" t="s">
        <v>76</v>
      </c>
      <c r="N1278" t="s">
        <v>76</v>
      </c>
      <c r="O1278" t="s">
        <v>77</v>
      </c>
      <c r="P1278" t="s">
        <v>76</v>
      </c>
      <c r="S1278" t="s">
        <v>3624</v>
      </c>
    </row>
    <row r="1279" spans="1:19" x14ac:dyDescent="0.3">
      <c r="A1279" t="s">
        <v>3625</v>
      </c>
      <c r="B1279" t="s">
        <v>3626</v>
      </c>
      <c r="C1279" t="s">
        <v>21</v>
      </c>
      <c r="D1279" t="s">
        <v>35</v>
      </c>
      <c r="E1279" t="s">
        <v>278</v>
      </c>
      <c r="F1279" t="s">
        <v>24</v>
      </c>
      <c r="G1279" t="s">
        <v>21</v>
      </c>
      <c r="H1279" t="s">
        <v>26</v>
      </c>
      <c r="I1279">
        <v>0</v>
      </c>
      <c r="J1279">
        <v>0</v>
      </c>
      <c r="K1279">
        <v>0</v>
      </c>
      <c r="L1279">
        <v>0</v>
      </c>
      <c r="M1279" t="s">
        <v>76</v>
      </c>
      <c r="N1279" t="s">
        <v>76</v>
      </c>
      <c r="O1279" t="s">
        <v>77</v>
      </c>
      <c r="P1279" t="s">
        <v>76</v>
      </c>
      <c r="S1279" t="s">
        <v>3626</v>
      </c>
    </row>
    <row r="1280" spans="1:19" x14ac:dyDescent="0.3">
      <c r="A1280" t="s">
        <v>3627</v>
      </c>
      <c r="B1280" t="s">
        <v>3628</v>
      </c>
      <c r="C1280" t="s">
        <v>21</v>
      </c>
      <c r="D1280" t="s">
        <v>63</v>
      </c>
      <c r="E1280" t="s">
        <v>74</v>
      </c>
      <c r="F1280" t="s">
        <v>24</v>
      </c>
      <c r="G1280" t="s">
        <v>21</v>
      </c>
      <c r="H1280" t="s">
        <v>26</v>
      </c>
      <c r="I1280">
        <v>0</v>
      </c>
      <c r="J1280">
        <v>0</v>
      </c>
      <c r="K1280">
        <v>0</v>
      </c>
      <c r="L1280">
        <v>0</v>
      </c>
      <c r="M1280" t="s">
        <v>76</v>
      </c>
      <c r="N1280" t="s">
        <v>76</v>
      </c>
      <c r="O1280" t="s">
        <v>77</v>
      </c>
      <c r="P1280" t="s">
        <v>76</v>
      </c>
      <c r="S1280" t="s">
        <v>3628</v>
      </c>
    </row>
    <row r="1281" spans="1:19" x14ac:dyDescent="0.3">
      <c r="A1281" t="s">
        <v>3629</v>
      </c>
      <c r="B1281" t="s">
        <v>3630</v>
      </c>
      <c r="C1281" t="s">
        <v>24</v>
      </c>
      <c r="D1281" t="s">
        <v>63</v>
      </c>
      <c r="E1281" t="s">
        <v>74</v>
      </c>
      <c r="F1281" t="s">
        <v>24</v>
      </c>
      <c r="G1281" t="s">
        <v>724</v>
      </c>
      <c r="H1281" t="s">
        <v>26</v>
      </c>
      <c r="I1281">
        <v>0</v>
      </c>
      <c r="J1281">
        <v>0</v>
      </c>
      <c r="K1281">
        <v>0</v>
      </c>
      <c r="L1281">
        <v>0</v>
      </c>
      <c r="M1281" t="s">
        <v>76</v>
      </c>
      <c r="N1281" t="s">
        <v>76</v>
      </c>
      <c r="O1281" t="s">
        <v>77</v>
      </c>
      <c r="P1281" t="s">
        <v>76</v>
      </c>
      <c r="S1281" t="s">
        <v>3630</v>
      </c>
    </row>
    <row r="1282" spans="1:19" x14ac:dyDescent="0.3">
      <c r="A1282" t="s">
        <v>3631</v>
      </c>
      <c r="B1282" t="s">
        <v>3632</v>
      </c>
      <c r="C1282" t="s">
        <v>251</v>
      </c>
      <c r="D1282" t="s">
        <v>63</v>
      </c>
      <c r="E1282" t="s">
        <v>315</v>
      </c>
      <c r="F1282" t="s">
        <v>251</v>
      </c>
      <c r="G1282" t="s">
        <v>3633</v>
      </c>
      <c r="H1282" t="s">
        <v>213</v>
      </c>
      <c r="I1282">
        <v>0</v>
      </c>
      <c r="J1282">
        <v>0</v>
      </c>
      <c r="K1282">
        <v>0</v>
      </c>
      <c r="L1282">
        <v>0</v>
      </c>
      <c r="S1282" t="s">
        <v>3632</v>
      </c>
    </row>
    <row r="1283" spans="1:19" x14ac:dyDescent="0.3">
      <c r="A1283" t="s">
        <v>3634</v>
      </c>
      <c r="B1283" t="s">
        <v>3635</v>
      </c>
      <c r="C1283" t="s">
        <v>43</v>
      </c>
      <c r="D1283" t="s">
        <v>35</v>
      </c>
      <c r="E1283" t="s">
        <v>278</v>
      </c>
      <c r="F1283" t="s">
        <v>45</v>
      </c>
      <c r="G1283" t="s">
        <v>43</v>
      </c>
      <c r="H1283" t="s">
        <v>26</v>
      </c>
      <c r="I1283">
        <v>0</v>
      </c>
      <c r="J1283">
        <v>0</v>
      </c>
      <c r="K1283">
        <v>0</v>
      </c>
      <c r="L1283">
        <v>0</v>
      </c>
      <c r="M1283" t="s">
        <v>76</v>
      </c>
      <c r="N1283" t="s">
        <v>76</v>
      </c>
      <c r="O1283" t="s">
        <v>77</v>
      </c>
      <c r="P1283" t="s">
        <v>76</v>
      </c>
      <c r="S1283" t="s">
        <v>3635</v>
      </c>
    </row>
    <row r="1284" spans="1:19" x14ac:dyDescent="0.3">
      <c r="A1284" t="s">
        <v>3636</v>
      </c>
      <c r="B1284" t="s">
        <v>3637</v>
      </c>
      <c r="C1284" t="s">
        <v>43</v>
      </c>
      <c r="D1284" t="s">
        <v>35</v>
      </c>
      <c r="E1284" t="s">
        <v>80</v>
      </c>
      <c r="F1284" t="s">
        <v>45</v>
      </c>
      <c r="G1284" t="s">
        <v>43</v>
      </c>
      <c r="H1284" t="s">
        <v>26</v>
      </c>
      <c r="I1284">
        <v>0</v>
      </c>
      <c r="J1284">
        <v>0</v>
      </c>
      <c r="K1284">
        <v>0</v>
      </c>
      <c r="L1284">
        <v>0</v>
      </c>
      <c r="M1284" t="s">
        <v>76</v>
      </c>
      <c r="N1284" t="s">
        <v>76</v>
      </c>
      <c r="O1284" t="s">
        <v>77</v>
      </c>
      <c r="P1284" t="s">
        <v>76</v>
      </c>
      <c r="S1284" t="s">
        <v>3637</v>
      </c>
    </row>
    <row r="1285" spans="1:19" x14ac:dyDescent="0.3">
      <c r="A1285" t="s">
        <v>3638</v>
      </c>
      <c r="B1285" t="s">
        <v>3639</v>
      </c>
      <c r="C1285" t="s">
        <v>43</v>
      </c>
      <c r="D1285" t="s">
        <v>63</v>
      </c>
      <c r="E1285" t="s">
        <v>64</v>
      </c>
      <c r="F1285" t="s">
        <v>45</v>
      </c>
      <c r="G1285" t="s">
        <v>43</v>
      </c>
      <c r="H1285" t="s">
        <v>26</v>
      </c>
      <c r="I1285">
        <v>0</v>
      </c>
      <c r="J1285">
        <v>0</v>
      </c>
      <c r="K1285">
        <v>0</v>
      </c>
      <c r="L1285">
        <v>0</v>
      </c>
      <c r="M1285" t="s">
        <v>76</v>
      </c>
      <c r="N1285" t="s">
        <v>76</v>
      </c>
      <c r="O1285" t="s">
        <v>77</v>
      </c>
      <c r="P1285" t="s">
        <v>76</v>
      </c>
      <c r="S1285" t="s">
        <v>3639</v>
      </c>
    </row>
    <row r="1286" spans="1:19" x14ac:dyDescent="0.3">
      <c r="A1286" t="s">
        <v>3640</v>
      </c>
      <c r="B1286" t="s">
        <v>3641</v>
      </c>
      <c r="C1286" t="s">
        <v>43</v>
      </c>
      <c r="D1286" t="s">
        <v>63</v>
      </c>
      <c r="E1286" t="s">
        <v>74</v>
      </c>
      <c r="F1286" t="s">
        <v>45</v>
      </c>
      <c r="G1286" t="s">
        <v>43</v>
      </c>
      <c r="H1286" t="s">
        <v>26</v>
      </c>
      <c r="I1286">
        <v>0</v>
      </c>
      <c r="J1286">
        <v>0</v>
      </c>
      <c r="K1286">
        <v>0</v>
      </c>
      <c r="L1286">
        <v>0</v>
      </c>
      <c r="M1286" t="s">
        <v>76</v>
      </c>
      <c r="N1286" t="s">
        <v>76</v>
      </c>
      <c r="O1286" t="s">
        <v>77</v>
      </c>
      <c r="P1286" t="s">
        <v>76</v>
      </c>
      <c r="S1286" t="s">
        <v>3641</v>
      </c>
    </row>
    <row r="1287" spans="1:19" x14ac:dyDescent="0.3">
      <c r="A1287" t="s">
        <v>3642</v>
      </c>
      <c r="B1287" t="s">
        <v>3643</v>
      </c>
      <c r="C1287" t="s">
        <v>196</v>
      </c>
      <c r="D1287" t="s">
        <v>35</v>
      </c>
      <c r="E1287" t="s">
        <v>178</v>
      </c>
      <c r="F1287" t="s">
        <v>228</v>
      </c>
      <c r="G1287" t="s">
        <v>196</v>
      </c>
      <c r="H1287" t="s">
        <v>75</v>
      </c>
      <c r="I1287">
        <v>0</v>
      </c>
      <c r="J1287">
        <v>0</v>
      </c>
      <c r="K1287">
        <v>0</v>
      </c>
      <c r="L1287">
        <v>0</v>
      </c>
      <c r="M1287" t="s">
        <v>76</v>
      </c>
      <c r="N1287" t="s">
        <v>76</v>
      </c>
      <c r="O1287" t="s">
        <v>77</v>
      </c>
      <c r="P1287" t="s">
        <v>76</v>
      </c>
      <c r="S1287" t="s">
        <v>3643</v>
      </c>
    </row>
    <row r="1288" spans="1:19" x14ac:dyDescent="0.3">
      <c r="A1288" t="s">
        <v>3644</v>
      </c>
      <c r="B1288" t="s">
        <v>3645</v>
      </c>
      <c r="C1288" t="s">
        <v>314</v>
      </c>
      <c r="D1288" t="s">
        <v>63</v>
      </c>
      <c r="E1288" t="s">
        <v>74</v>
      </c>
      <c r="F1288" t="s">
        <v>314</v>
      </c>
      <c r="G1288" t="s">
        <v>3646</v>
      </c>
      <c r="H1288" t="s">
        <v>317</v>
      </c>
      <c r="I1288">
        <v>0</v>
      </c>
      <c r="J1288">
        <v>0</v>
      </c>
      <c r="K1288">
        <v>0</v>
      </c>
      <c r="L1288">
        <v>0</v>
      </c>
      <c r="M1288" t="s">
        <v>76</v>
      </c>
      <c r="N1288" t="s">
        <v>76</v>
      </c>
      <c r="O1288" t="s">
        <v>77</v>
      </c>
      <c r="P1288" t="s">
        <v>76</v>
      </c>
      <c r="S1288" t="s">
        <v>3645</v>
      </c>
    </row>
    <row r="1289" spans="1:19" x14ac:dyDescent="0.3">
      <c r="A1289" t="s">
        <v>3647</v>
      </c>
      <c r="B1289" t="s">
        <v>3648</v>
      </c>
      <c r="C1289" t="s">
        <v>307</v>
      </c>
      <c r="D1289" t="s">
        <v>63</v>
      </c>
      <c r="E1289" t="s">
        <v>74</v>
      </c>
      <c r="F1289" t="s">
        <v>251</v>
      </c>
      <c r="G1289" t="s">
        <v>307</v>
      </c>
      <c r="H1289" t="s">
        <v>75</v>
      </c>
      <c r="I1289">
        <v>0</v>
      </c>
      <c r="J1289">
        <v>0</v>
      </c>
      <c r="K1289">
        <v>0</v>
      </c>
      <c r="L1289">
        <v>0</v>
      </c>
      <c r="M1289" t="s">
        <v>76</v>
      </c>
      <c r="N1289" t="s">
        <v>76</v>
      </c>
      <c r="O1289" t="s">
        <v>77</v>
      </c>
      <c r="P1289" t="s">
        <v>76</v>
      </c>
      <c r="S1289" t="s">
        <v>3648</v>
      </c>
    </row>
    <row r="1290" spans="1:19" x14ac:dyDescent="0.3">
      <c r="A1290" t="s">
        <v>3649</v>
      </c>
      <c r="B1290" t="s">
        <v>3650</v>
      </c>
      <c r="C1290" t="s">
        <v>45</v>
      </c>
      <c r="D1290" t="s">
        <v>63</v>
      </c>
      <c r="E1290" t="s">
        <v>74</v>
      </c>
      <c r="F1290" t="s">
        <v>45</v>
      </c>
      <c r="G1290" t="s">
        <v>2706</v>
      </c>
      <c r="H1290" t="s">
        <v>26</v>
      </c>
      <c r="I1290">
        <v>0</v>
      </c>
      <c r="J1290">
        <v>0</v>
      </c>
      <c r="K1290">
        <v>0</v>
      </c>
      <c r="L1290">
        <v>0</v>
      </c>
      <c r="M1290" t="s">
        <v>76</v>
      </c>
      <c r="N1290" t="s">
        <v>76</v>
      </c>
      <c r="O1290" t="s">
        <v>77</v>
      </c>
      <c r="P1290" t="s">
        <v>76</v>
      </c>
      <c r="S1290" t="s">
        <v>3650</v>
      </c>
    </row>
    <row r="1291" spans="1:19" x14ac:dyDescent="0.3">
      <c r="A1291" t="s">
        <v>3651</v>
      </c>
      <c r="B1291" t="s">
        <v>3652</v>
      </c>
      <c r="C1291" t="s">
        <v>43</v>
      </c>
      <c r="D1291" t="s">
        <v>63</v>
      </c>
      <c r="E1291" t="s">
        <v>74</v>
      </c>
      <c r="F1291" t="s">
        <v>45</v>
      </c>
      <c r="G1291" t="s">
        <v>43</v>
      </c>
      <c r="H1291" t="s">
        <v>26</v>
      </c>
      <c r="I1291">
        <v>0</v>
      </c>
      <c r="J1291">
        <v>0</v>
      </c>
      <c r="K1291">
        <v>0</v>
      </c>
      <c r="L1291">
        <v>0</v>
      </c>
      <c r="M1291" t="s">
        <v>76</v>
      </c>
      <c r="N1291" t="s">
        <v>76</v>
      </c>
      <c r="O1291" t="s">
        <v>77</v>
      </c>
      <c r="P1291" t="s">
        <v>76</v>
      </c>
      <c r="S1291" t="s">
        <v>3652</v>
      </c>
    </row>
    <row r="1292" spans="1:19" x14ac:dyDescent="0.3">
      <c r="A1292" t="s">
        <v>3653</v>
      </c>
      <c r="B1292" t="s">
        <v>3654</v>
      </c>
      <c r="C1292" t="s">
        <v>43</v>
      </c>
      <c r="D1292" t="s">
        <v>63</v>
      </c>
      <c r="E1292" t="s">
        <v>64</v>
      </c>
      <c r="F1292" t="s">
        <v>45</v>
      </c>
      <c r="G1292" t="s">
        <v>43</v>
      </c>
      <c r="H1292" t="s">
        <v>26</v>
      </c>
      <c r="I1292">
        <v>0</v>
      </c>
      <c r="J1292">
        <v>0</v>
      </c>
      <c r="K1292">
        <v>0</v>
      </c>
      <c r="L1292">
        <v>0</v>
      </c>
      <c r="M1292" t="s">
        <v>76</v>
      </c>
      <c r="N1292" t="s">
        <v>76</v>
      </c>
      <c r="O1292" t="s">
        <v>77</v>
      </c>
      <c r="P1292" t="s">
        <v>76</v>
      </c>
      <c r="S1292" t="s">
        <v>3654</v>
      </c>
    </row>
    <row r="1293" spans="1:19" x14ac:dyDescent="0.3">
      <c r="A1293" t="s">
        <v>3655</v>
      </c>
      <c r="B1293" t="s">
        <v>3656</v>
      </c>
      <c r="C1293" t="s">
        <v>21</v>
      </c>
      <c r="D1293" t="s">
        <v>35</v>
      </c>
      <c r="E1293" t="s">
        <v>74</v>
      </c>
      <c r="F1293" t="s">
        <v>24</v>
      </c>
      <c r="G1293" t="s">
        <v>21</v>
      </c>
      <c r="H1293" t="s">
        <v>26</v>
      </c>
      <c r="I1293">
        <v>0</v>
      </c>
      <c r="J1293">
        <v>0</v>
      </c>
      <c r="K1293">
        <v>0</v>
      </c>
      <c r="L1293">
        <v>0</v>
      </c>
      <c r="M1293" t="s">
        <v>76</v>
      </c>
      <c r="N1293" t="s">
        <v>76</v>
      </c>
      <c r="O1293" t="s">
        <v>77</v>
      </c>
      <c r="P1293" t="s">
        <v>76</v>
      </c>
      <c r="S1293" t="s">
        <v>3656</v>
      </c>
    </row>
    <row r="1294" spans="1:19" x14ac:dyDescent="0.3">
      <c r="A1294" t="s">
        <v>3657</v>
      </c>
      <c r="B1294" t="s">
        <v>3658</v>
      </c>
      <c r="C1294" t="s">
        <v>45</v>
      </c>
      <c r="D1294" t="s">
        <v>63</v>
      </c>
      <c r="E1294" t="s">
        <v>2033</v>
      </c>
      <c r="F1294" t="s">
        <v>144</v>
      </c>
      <c r="G1294" t="s">
        <v>145</v>
      </c>
      <c r="H1294" t="s">
        <v>26</v>
      </c>
      <c r="I1294">
        <v>0</v>
      </c>
      <c r="J1294">
        <v>0</v>
      </c>
      <c r="K1294">
        <v>0</v>
      </c>
      <c r="L1294">
        <v>0</v>
      </c>
      <c r="M1294" t="s">
        <v>76</v>
      </c>
      <c r="N1294" t="s">
        <v>76</v>
      </c>
      <c r="O1294" t="s">
        <v>77</v>
      </c>
      <c r="P1294" t="s">
        <v>76</v>
      </c>
      <c r="S1294" t="s">
        <v>3658</v>
      </c>
    </row>
    <row r="1295" spans="1:19" x14ac:dyDescent="0.3">
      <c r="A1295" t="s">
        <v>3659</v>
      </c>
      <c r="B1295" t="s">
        <v>3660</v>
      </c>
      <c r="C1295" t="s">
        <v>21</v>
      </c>
      <c r="D1295" t="s">
        <v>63</v>
      </c>
      <c r="E1295" t="s">
        <v>74</v>
      </c>
      <c r="F1295" t="s">
        <v>24</v>
      </c>
      <c r="G1295" t="s">
        <v>21</v>
      </c>
      <c r="H1295" t="s">
        <v>26</v>
      </c>
      <c r="I1295">
        <v>0</v>
      </c>
      <c r="J1295">
        <v>0</v>
      </c>
      <c r="K1295">
        <v>0</v>
      </c>
      <c r="L1295">
        <v>0</v>
      </c>
      <c r="M1295" t="s">
        <v>76</v>
      </c>
      <c r="N1295" t="s">
        <v>76</v>
      </c>
      <c r="O1295" t="s">
        <v>77</v>
      </c>
      <c r="P1295" t="s">
        <v>76</v>
      </c>
      <c r="S1295" t="s">
        <v>3660</v>
      </c>
    </row>
    <row r="1296" spans="1:19" x14ac:dyDescent="0.3">
      <c r="A1296" t="s">
        <v>3661</v>
      </c>
      <c r="B1296" t="s">
        <v>3662</v>
      </c>
      <c r="C1296" t="s">
        <v>21</v>
      </c>
      <c r="D1296" t="s">
        <v>35</v>
      </c>
      <c r="E1296" t="s">
        <v>80</v>
      </c>
      <c r="F1296" t="s">
        <v>24</v>
      </c>
      <c r="G1296" t="s">
        <v>21</v>
      </c>
      <c r="H1296" t="s">
        <v>26</v>
      </c>
      <c r="I1296">
        <v>0</v>
      </c>
      <c r="J1296">
        <v>0</v>
      </c>
      <c r="K1296">
        <v>0</v>
      </c>
      <c r="L1296">
        <v>0</v>
      </c>
      <c r="M1296" t="s">
        <v>76</v>
      </c>
      <c r="N1296" t="s">
        <v>76</v>
      </c>
      <c r="O1296" t="s">
        <v>77</v>
      </c>
      <c r="P1296" t="s">
        <v>76</v>
      </c>
      <c r="S1296" t="s">
        <v>3662</v>
      </c>
    </row>
    <row r="1297" spans="1:19" x14ac:dyDescent="0.3">
      <c r="A1297" t="s">
        <v>3663</v>
      </c>
      <c r="B1297" t="s">
        <v>3664</v>
      </c>
      <c r="C1297" t="s">
        <v>43</v>
      </c>
      <c r="D1297" t="s">
        <v>63</v>
      </c>
      <c r="E1297" t="s">
        <v>64</v>
      </c>
      <c r="F1297" t="s">
        <v>45</v>
      </c>
      <c r="G1297" t="s">
        <v>43</v>
      </c>
      <c r="H1297" t="s">
        <v>26</v>
      </c>
      <c r="I1297">
        <v>0</v>
      </c>
      <c r="J1297">
        <v>0</v>
      </c>
      <c r="K1297">
        <v>0</v>
      </c>
      <c r="L1297">
        <v>0</v>
      </c>
      <c r="M1297" t="s">
        <v>76</v>
      </c>
      <c r="N1297" t="s">
        <v>76</v>
      </c>
      <c r="O1297" t="s">
        <v>77</v>
      </c>
      <c r="P1297" t="s">
        <v>76</v>
      </c>
      <c r="S1297" t="s">
        <v>3664</v>
      </c>
    </row>
    <row r="1298" spans="1:19" x14ac:dyDescent="0.3">
      <c r="A1298" t="s">
        <v>3665</v>
      </c>
      <c r="B1298" t="s">
        <v>3666</v>
      </c>
      <c r="C1298" t="s">
        <v>43</v>
      </c>
      <c r="D1298" t="s">
        <v>53</v>
      </c>
      <c r="E1298" t="s">
        <v>178</v>
      </c>
      <c r="F1298" t="s">
        <v>45</v>
      </c>
      <c r="G1298" t="s">
        <v>43</v>
      </c>
      <c r="H1298" t="s">
        <v>26</v>
      </c>
      <c r="I1298">
        <v>0</v>
      </c>
      <c r="J1298">
        <v>0</v>
      </c>
      <c r="K1298">
        <v>0</v>
      </c>
      <c r="L1298">
        <v>0</v>
      </c>
      <c r="M1298" t="s">
        <v>76</v>
      </c>
      <c r="N1298" t="s">
        <v>76</v>
      </c>
      <c r="O1298" t="s">
        <v>77</v>
      </c>
      <c r="P1298" t="s">
        <v>76</v>
      </c>
      <c r="S1298" t="s">
        <v>3666</v>
      </c>
    </row>
    <row r="1299" spans="1:19" x14ac:dyDescent="0.3">
      <c r="A1299" t="s">
        <v>3667</v>
      </c>
      <c r="B1299" t="s">
        <v>3668</v>
      </c>
      <c r="C1299" t="s">
        <v>21</v>
      </c>
      <c r="D1299" t="s">
        <v>53</v>
      </c>
      <c r="E1299" t="s">
        <v>178</v>
      </c>
      <c r="F1299" t="s">
        <v>24</v>
      </c>
      <c r="G1299" t="s">
        <v>21</v>
      </c>
      <c r="H1299" t="s">
        <v>26</v>
      </c>
      <c r="I1299">
        <v>0</v>
      </c>
      <c r="J1299">
        <v>0</v>
      </c>
      <c r="K1299">
        <v>0</v>
      </c>
      <c r="L1299">
        <v>0</v>
      </c>
      <c r="M1299" t="s">
        <v>76</v>
      </c>
      <c r="N1299" t="s">
        <v>76</v>
      </c>
      <c r="O1299" t="s">
        <v>77</v>
      </c>
      <c r="P1299" t="s">
        <v>76</v>
      </c>
      <c r="S1299" t="s">
        <v>3668</v>
      </c>
    </row>
    <row r="1300" spans="1:19" x14ac:dyDescent="0.3">
      <c r="A1300" t="s">
        <v>3669</v>
      </c>
      <c r="B1300" t="s">
        <v>3670</v>
      </c>
      <c r="C1300" t="s">
        <v>45</v>
      </c>
      <c r="D1300" t="s">
        <v>63</v>
      </c>
      <c r="E1300" t="s">
        <v>74</v>
      </c>
      <c r="F1300" t="s">
        <v>45</v>
      </c>
      <c r="G1300" t="s">
        <v>3669</v>
      </c>
      <c r="H1300" t="s">
        <v>26</v>
      </c>
      <c r="I1300">
        <v>0</v>
      </c>
      <c r="J1300">
        <v>0</v>
      </c>
      <c r="K1300">
        <v>0</v>
      </c>
      <c r="L1300">
        <v>0</v>
      </c>
      <c r="M1300" t="s">
        <v>76</v>
      </c>
      <c r="N1300" t="s">
        <v>76</v>
      </c>
      <c r="O1300" t="s">
        <v>77</v>
      </c>
      <c r="P1300" t="s">
        <v>76</v>
      </c>
      <c r="S1300" t="s">
        <v>3670</v>
      </c>
    </row>
    <row r="1301" spans="1:19" x14ac:dyDescent="0.3">
      <c r="A1301" t="s">
        <v>3671</v>
      </c>
      <c r="B1301" t="s">
        <v>3672</v>
      </c>
      <c r="C1301" t="s">
        <v>43</v>
      </c>
      <c r="D1301" t="s">
        <v>63</v>
      </c>
      <c r="E1301" t="s">
        <v>74</v>
      </c>
      <c r="F1301" t="s">
        <v>45</v>
      </c>
      <c r="G1301" t="s">
        <v>43</v>
      </c>
      <c r="H1301" t="s">
        <v>26</v>
      </c>
      <c r="I1301">
        <v>0</v>
      </c>
      <c r="J1301">
        <v>0</v>
      </c>
      <c r="K1301">
        <v>0</v>
      </c>
      <c r="L1301">
        <v>0</v>
      </c>
      <c r="M1301" t="s">
        <v>76</v>
      </c>
      <c r="N1301" t="s">
        <v>76</v>
      </c>
      <c r="O1301" t="s">
        <v>77</v>
      </c>
      <c r="P1301" t="s">
        <v>76</v>
      </c>
      <c r="S1301" t="s">
        <v>3672</v>
      </c>
    </row>
    <row r="1302" spans="1:19" x14ac:dyDescent="0.3">
      <c r="A1302" t="s">
        <v>3673</v>
      </c>
      <c r="B1302" t="s">
        <v>3674</v>
      </c>
      <c r="C1302" t="s">
        <v>24</v>
      </c>
      <c r="D1302" t="s">
        <v>63</v>
      </c>
      <c r="E1302" t="s">
        <v>74</v>
      </c>
      <c r="F1302" t="s">
        <v>24</v>
      </c>
      <c r="G1302" t="s">
        <v>3673</v>
      </c>
      <c r="H1302" t="s">
        <v>26</v>
      </c>
      <c r="I1302">
        <v>0</v>
      </c>
      <c r="J1302">
        <v>0</v>
      </c>
      <c r="K1302">
        <v>0</v>
      </c>
      <c r="L1302">
        <v>0</v>
      </c>
      <c r="M1302" t="s">
        <v>76</v>
      </c>
      <c r="N1302" t="s">
        <v>76</v>
      </c>
      <c r="O1302" t="s">
        <v>77</v>
      </c>
      <c r="P1302" t="s">
        <v>76</v>
      </c>
      <c r="S1302" t="s">
        <v>3674</v>
      </c>
    </row>
    <row r="1303" spans="1:19" x14ac:dyDescent="0.3">
      <c r="A1303" t="s">
        <v>3675</v>
      </c>
      <c r="B1303" t="s">
        <v>3676</v>
      </c>
      <c r="C1303" t="s">
        <v>21</v>
      </c>
      <c r="D1303" t="s">
        <v>35</v>
      </c>
      <c r="E1303" t="s">
        <v>80</v>
      </c>
      <c r="F1303" t="s">
        <v>24</v>
      </c>
      <c r="G1303" t="s">
        <v>21</v>
      </c>
      <c r="H1303" t="s">
        <v>26</v>
      </c>
      <c r="I1303">
        <v>0</v>
      </c>
      <c r="J1303">
        <v>0</v>
      </c>
      <c r="K1303">
        <v>0</v>
      </c>
      <c r="L1303">
        <v>0</v>
      </c>
      <c r="M1303" t="s">
        <v>76</v>
      </c>
      <c r="N1303" t="s">
        <v>76</v>
      </c>
      <c r="O1303" t="s">
        <v>77</v>
      </c>
      <c r="P1303" t="s">
        <v>76</v>
      </c>
      <c r="S1303" t="s">
        <v>3676</v>
      </c>
    </row>
    <row r="1304" spans="1:19" x14ac:dyDescent="0.3">
      <c r="A1304" t="s">
        <v>3677</v>
      </c>
      <c r="B1304" t="s">
        <v>3678</v>
      </c>
      <c r="C1304" t="s">
        <v>45</v>
      </c>
      <c r="D1304" t="s">
        <v>35</v>
      </c>
      <c r="E1304" t="s">
        <v>80</v>
      </c>
      <c r="F1304" t="s">
        <v>45</v>
      </c>
      <c r="G1304" t="s">
        <v>3679</v>
      </c>
      <c r="H1304" t="s">
        <v>26</v>
      </c>
      <c r="I1304">
        <v>0</v>
      </c>
      <c r="J1304">
        <v>0</v>
      </c>
      <c r="K1304">
        <v>0</v>
      </c>
      <c r="L1304">
        <v>0</v>
      </c>
      <c r="M1304" t="s">
        <v>76</v>
      </c>
      <c r="N1304" t="s">
        <v>76</v>
      </c>
      <c r="O1304" t="s">
        <v>77</v>
      </c>
      <c r="P1304" t="s">
        <v>76</v>
      </c>
      <c r="S1304" t="s">
        <v>3678</v>
      </c>
    </row>
    <row r="1305" spans="1:19" x14ac:dyDescent="0.3">
      <c r="A1305" t="s">
        <v>3680</v>
      </c>
      <c r="B1305" t="s">
        <v>3681</v>
      </c>
      <c r="C1305" t="s">
        <v>21</v>
      </c>
      <c r="D1305" t="s">
        <v>35</v>
      </c>
      <c r="E1305" t="s">
        <v>36</v>
      </c>
      <c r="F1305" t="s">
        <v>24</v>
      </c>
      <c r="G1305" t="s">
        <v>21</v>
      </c>
      <c r="H1305" t="s">
        <v>26</v>
      </c>
      <c r="I1305">
        <v>0</v>
      </c>
      <c r="J1305">
        <v>0</v>
      </c>
      <c r="K1305">
        <v>0</v>
      </c>
      <c r="L1305">
        <v>0</v>
      </c>
      <c r="M1305" t="s">
        <v>76</v>
      </c>
      <c r="N1305" t="s">
        <v>76</v>
      </c>
      <c r="O1305" t="s">
        <v>77</v>
      </c>
      <c r="P1305" t="s">
        <v>76</v>
      </c>
      <c r="S1305" t="s">
        <v>3681</v>
      </c>
    </row>
    <row r="1306" spans="1:19" x14ac:dyDescent="0.3">
      <c r="A1306" t="s">
        <v>3682</v>
      </c>
      <c r="B1306" t="s">
        <v>3683</v>
      </c>
      <c r="C1306" t="s">
        <v>43</v>
      </c>
      <c r="D1306" t="s">
        <v>63</v>
      </c>
      <c r="E1306" t="s">
        <v>74</v>
      </c>
      <c r="F1306" t="s">
        <v>45</v>
      </c>
      <c r="G1306" t="s">
        <v>43</v>
      </c>
      <c r="H1306" t="s">
        <v>26</v>
      </c>
      <c r="I1306">
        <v>0</v>
      </c>
      <c r="J1306">
        <v>0</v>
      </c>
      <c r="K1306">
        <v>0</v>
      </c>
      <c r="L1306">
        <v>0</v>
      </c>
      <c r="M1306" t="s">
        <v>76</v>
      </c>
      <c r="N1306" t="s">
        <v>76</v>
      </c>
      <c r="O1306" t="s">
        <v>77</v>
      </c>
      <c r="P1306" t="s">
        <v>76</v>
      </c>
      <c r="S1306" t="s">
        <v>3683</v>
      </c>
    </row>
    <row r="1307" spans="1:19" x14ac:dyDescent="0.3">
      <c r="A1307" t="s">
        <v>3684</v>
      </c>
      <c r="B1307" t="s">
        <v>3685</v>
      </c>
      <c r="C1307" t="s">
        <v>228</v>
      </c>
      <c r="D1307" t="s">
        <v>63</v>
      </c>
      <c r="E1307" t="s">
        <v>74</v>
      </c>
      <c r="F1307" t="s">
        <v>228</v>
      </c>
      <c r="G1307" t="s">
        <v>196</v>
      </c>
      <c r="H1307" t="s">
        <v>75</v>
      </c>
      <c r="I1307">
        <v>0</v>
      </c>
      <c r="J1307">
        <v>0</v>
      </c>
      <c r="K1307">
        <v>0</v>
      </c>
      <c r="L1307">
        <v>0</v>
      </c>
      <c r="M1307" t="s">
        <v>76</v>
      </c>
      <c r="N1307" t="s">
        <v>76</v>
      </c>
      <c r="O1307" t="s">
        <v>77</v>
      </c>
      <c r="P1307" t="s">
        <v>76</v>
      </c>
      <c r="S1307" t="s">
        <v>3685</v>
      </c>
    </row>
    <row r="1308" spans="1:19" x14ac:dyDescent="0.3">
      <c r="A1308" t="s">
        <v>3686</v>
      </c>
      <c r="B1308" t="s">
        <v>3687</v>
      </c>
      <c r="E1308" t="s">
        <v>74</v>
      </c>
      <c r="F1308" t="s">
        <v>1605</v>
      </c>
      <c r="G1308" t="s">
        <v>2706</v>
      </c>
      <c r="H1308" t="s">
        <v>26</v>
      </c>
      <c r="I1308">
        <v>0</v>
      </c>
      <c r="J1308">
        <v>0</v>
      </c>
      <c r="K1308">
        <v>0</v>
      </c>
      <c r="L1308">
        <v>0</v>
      </c>
      <c r="M1308" t="s">
        <v>76</v>
      </c>
      <c r="N1308" t="s">
        <v>76</v>
      </c>
      <c r="O1308" t="s">
        <v>77</v>
      </c>
      <c r="P1308" t="s">
        <v>76</v>
      </c>
      <c r="S1308" t="s">
        <v>3687</v>
      </c>
    </row>
    <row r="1309" spans="1:19" x14ac:dyDescent="0.3">
      <c r="A1309" t="s">
        <v>3688</v>
      </c>
      <c r="B1309" t="s">
        <v>3689</v>
      </c>
      <c r="C1309" t="s">
        <v>228</v>
      </c>
      <c r="D1309" t="s">
        <v>63</v>
      </c>
      <c r="E1309" t="s">
        <v>315</v>
      </c>
      <c r="F1309" t="s">
        <v>228</v>
      </c>
      <c r="G1309" t="s">
        <v>3690</v>
      </c>
      <c r="H1309" t="s">
        <v>213</v>
      </c>
      <c r="I1309">
        <v>0</v>
      </c>
      <c r="J1309">
        <v>0</v>
      </c>
      <c r="K1309">
        <v>0</v>
      </c>
      <c r="L1309">
        <v>0</v>
      </c>
      <c r="M1309" t="s">
        <v>76</v>
      </c>
      <c r="N1309" t="s">
        <v>76</v>
      </c>
      <c r="O1309" t="s">
        <v>77</v>
      </c>
      <c r="P1309" t="s">
        <v>76</v>
      </c>
      <c r="S1309" t="s">
        <v>3689</v>
      </c>
    </row>
    <row r="1310" spans="1:19" x14ac:dyDescent="0.3">
      <c r="A1310" t="s">
        <v>3691</v>
      </c>
      <c r="B1310" t="s">
        <v>3692</v>
      </c>
      <c r="C1310" t="s">
        <v>21</v>
      </c>
      <c r="D1310" t="s">
        <v>53</v>
      </c>
      <c r="E1310" t="s">
        <v>80</v>
      </c>
      <c r="F1310" t="s">
        <v>24</v>
      </c>
      <c r="G1310" t="s">
        <v>25</v>
      </c>
      <c r="H1310" t="s">
        <v>26</v>
      </c>
      <c r="I1310">
        <v>0</v>
      </c>
      <c r="J1310">
        <v>0</v>
      </c>
      <c r="K1310">
        <v>0</v>
      </c>
      <c r="L1310">
        <v>0</v>
      </c>
      <c r="M1310" t="s">
        <v>76</v>
      </c>
      <c r="N1310" t="s">
        <v>76</v>
      </c>
      <c r="O1310" t="s">
        <v>77</v>
      </c>
      <c r="P1310" t="s">
        <v>76</v>
      </c>
      <c r="S1310" t="s">
        <v>3692</v>
      </c>
    </row>
    <row r="1311" spans="1:19" x14ac:dyDescent="0.3">
      <c r="A1311" t="s">
        <v>3693</v>
      </c>
      <c r="B1311" t="s">
        <v>3694</v>
      </c>
      <c r="C1311" t="s">
        <v>243</v>
      </c>
      <c r="D1311" t="s">
        <v>63</v>
      </c>
      <c r="E1311" t="s">
        <v>331</v>
      </c>
      <c r="F1311" t="s">
        <v>243</v>
      </c>
      <c r="G1311" t="s">
        <v>3693</v>
      </c>
      <c r="H1311" t="s">
        <v>213</v>
      </c>
      <c r="I1311">
        <v>0</v>
      </c>
      <c r="J1311">
        <v>0</v>
      </c>
      <c r="K1311">
        <v>0</v>
      </c>
      <c r="L1311">
        <v>0</v>
      </c>
      <c r="S1311" t="s">
        <v>3694</v>
      </c>
    </row>
    <row r="1312" spans="1:19" x14ac:dyDescent="0.3">
      <c r="A1312" t="s">
        <v>3695</v>
      </c>
      <c r="B1312" t="s">
        <v>3696</v>
      </c>
      <c r="C1312" t="s">
        <v>45</v>
      </c>
      <c r="D1312" t="s">
        <v>35</v>
      </c>
      <c r="E1312" t="s">
        <v>80</v>
      </c>
      <c r="F1312" t="s">
        <v>45</v>
      </c>
      <c r="G1312" t="s">
        <v>2706</v>
      </c>
      <c r="H1312" t="s">
        <v>26</v>
      </c>
      <c r="I1312">
        <v>0</v>
      </c>
      <c r="J1312">
        <v>0</v>
      </c>
      <c r="K1312">
        <v>0</v>
      </c>
      <c r="L1312">
        <v>0</v>
      </c>
      <c r="M1312" t="s">
        <v>76</v>
      </c>
      <c r="N1312" t="s">
        <v>76</v>
      </c>
      <c r="O1312" t="s">
        <v>77</v>
      </c>
      <c r="P1312" t="s">
        <v>76</v>
      </c>
      <c r="S1312" t="s">
        <v>3696</v>
      </c>
    </row>
    <row r="1313" spans="1:19" x14ac:dyDescent="0.3">
      <c r="A1313" t="s">
        <v>3697</v>
      </c>
      <c r="B1313" t="s">
        <v>3698</v>
      </c>
      <c r="C1313" t="s">
        <v>24</v>
      </c>
      <c r="D1313" t="s">
        <v>63</v>
      </c>
      <c r="E1313" t="s">
        <v>74</v>
      </c>
      <c r="F1313" t="s">
        <v>55</v>
      </c>
      <c r="G1313" t="s">
        <v>56</v>
      </c>
      <c r="H1313" t="s">
        <v>26</v>
      </c>
      <c r="I1313">
        <v>0</v>
      </c>
      <c r="J1313">
        <v>0</v>
      </c>
      <c r="K1313">
        <v>0</v>
      </c>
      <c r="L1313">
        <v>0</v>
      </c>
      <c r="M1313" t="s">
        <v>76</v>
      </c>
      <c r="N1313" t="s">
        <v>76</v>
      </c>
      <c r="O1313" t="s">
        <v>77</v>
      </c>
      <c r="P1313" t="s">
        <v>76</v>
      </c>
      <c r="S1313" t="s">
        <v>3698</v>
      </c>
    </row>
    <row r="1314" spans="1:19" x14ac:dyDescent="0.3">
      <c r="A1314" t="s">
        <v>3699</v>
      </c>
      <c r="B1314" t="s">
        <v>3700</v>
      </c>
      <c r="C1314" t="s">
        <v>43</v>
      </c>
      <c r="D1314" t="s">
        <v>35</v>
      </c>
      <c r="E1314" t="s">
        <v>80</v>
      </c>
      <c r="F1314" t="s">
        <v>45</v>
      </c>
      <c r="G1314" t="s">
        <v>43</v>
      </c>
      <c r="H1314" t="s">
        <v>26</v>
      </c>
      <c r="I1314">
        <v>0</v>
      </c>
      <c r="J1314">
        <v>0</v>
      </c>
      <c r="K1314">
        <v>0</v>
      </c>
      <c r="L1314">
        <v>0</v>
      </c>
      <c r="M1314" t="s">
        <v>76</v>
      </c>
      <c r="N1314" t="s">
        <v>76</v>
      </c>
      <c r="O1314" t="s">
        <v>77</v>
      </c>
      <c r="P1314" t="s">
        <v>76</v>
      </c>
      <c r="S1314" t="s">
        <v>3700</v>
      </c>
    </row>
    <row r="1315" spans="1:19" x14ac:dyDescent="0.3">
      <c r="A1315" t="s">
        <v>3701</v>
      </c>
      <c r="B1315" t="s">
        <v>3702</v>
      </c>
      <c r="C1315" t="s">
        <v>43</v>
      </c>
      <c r="D1315" t="s">
        <v>63</v>
      </c>
      <c r="E1315" t="s">
        <v>74</v>
      </c>
      <c r="F1315" t="s">
        <v>45</v>
      </c>
      <c r="G1315" t="s">
        <v>43</v>
      </c>
      <c r="H1315" t="s">
        <v>26</v>
      </c>
      <c r="I1315">
        <v>0</v>
      </c>
      <c r="J1315">
        <v>0</v>
      </c>
      <c r="K1315">
        <v>0</v>
      </c>
      <c r="L1315">
        <v>0</v>
      </c>
      <c r="M1315" t="s">
        <v>76</v>
      </c>
      <c r="N1315" t="s">
        <v>76</v>
      </c>
      <c r="O1315" t="s">
        <v>77</v>
      </c>
      <c r="P1315" t="s">
        <v>76</v>
      </c>
      <c r="S1315" t="s">
        <v>3702</v>
      </c>
    </row>
    <row r="1316" spans="1:19" x14ac:dyDescent="0.3">
      <c r="A1316" t="s">
        <v>3703</v>
      </c>
      <c r="B1316" t="s">
        <v>3704</v>
      </c>
      <c r="C1316" t="s">
        <v>24</v>
      </c>
      <c r="D1316" t="s">
        <v>63</v>
      </c>
      <c r="E1316" t="s">
        <v>74</v>
      </c>
      <c r="F1316" t="s">
        <v>144</v>
      </c>
      <c r="G1316" t="s">
        <v>3705</v>
      </c>
      <c r="H1316" t="s">
        <v>26</v>
      </c>
      <c r="I1316">
        <v>0</v>
      </c>
      <c r="J1316">
        <v>0</v>
      </c>
      <c r="K1316">
        <v>0</v>
      </c>
      <c r="L1316">
        <v>0</v>
      </c>
      <c r="M1316" t="s">
        <v>76</v>
      </c>
      <c r="N1316" t="s">
        <v>76</v>
      </c>
      <c r="O1316" t="s">
        <v>77</v>
      </c>
      <c r="P1316" t="s">
        <v>76</v>
      </c>
      <c r="S1316" t="s">
        <v>3704</v>
      </c>
    </row>
    <row r="1317" spans="1:19" x14ac:dyDescent="0.3">
      <c r="A1317" t="s">
        <v>3706</v>
      </c>
      <c r="B1317" t="s">
        <v>3707</v>
      </c>
      <c r="C1317" t="s">
        <v>24</v>
      </c>
      <c r="D1317" t="s">
        <v>53</v>
      </c>
      <c r="E1317" t="s">
        <v>400</v>
      </c>
      <c r="F1317" t="s">
        <v>55</v>
      </c>
      <c r="G1317" t="s">
        <v>56</v>
      </c>
      <c r="H1317" t="s">
        <v>26</v>
      </c>
      <c r="I1317">
        <v>0</v>
      </c>
      <c r="J1317">
        <v>0</v>
      </c>
      <c r="K1317">
        <v>0</v>
      </c>
      <c r="L1317">
        <v>0</v>
      </c>
      <c r="M1317" t="s">
        <v>76</v>
      </c>
      <c r="N1317" t="s">
        <v>76</v>
      </c>
      <c r="O1317" t="s">
        <v>77</v>
      </c>
      <c r="P1317" t="s">
        <v>76</v>
      </c>
      <c r="S1317" t="s">
        <v>3707</v>
      </c>
    </row>
    <row r="1318" spans="1:19" x14ac:dyDescent="0.3">
      <c r="A1318" t="s">
        <v>3708</v>
      </c>
      <c r="B1318" t="s">
        <v>3709</v>
      </c>
      <c r="C1318" t="s">
        <v>21</v>
      </c>
      <c r="F1318" t="s">
        <v>24</v>
      </c>
      <c r="G1318" t="s">
        <v>21</v>
      </c>
      <c r="H1318" t="s">
        <v>26</v>
      </c>
      <c r="I1318">
        <v>0</v>
      </c>
      <c r="J1318">
        <v>0</v>
      </c>
      <c r="K1318">
        <v>0</v>
      </c>
      <c r="L1318">
        <v>0</v>
      </c>
      <c r="M1318" t="s">
        <v>76</v>
      </c>
      <c r="N1318" t="s">
        <v>76</v>
      </c>
      <c r="O1318" t="s">
        <v>77</v>
      </c>
      <c r="P1318" t="s">
        <v>76</v>
      </c>
      <c r="S1318" t="s">
        <v>3709</v>
      </c>
    </row>
    <row r="1319" spans="1:19" x14ac:dyDescent="0.3">
      <c r="A1319" t="s">
        <v>3710</v>
      </c>
      <c r="B1319" t="s">
        <v>3711</v>
      </c>
      <c r="C1319" t="s">
        <v>45</v>
      </c>
      <c r="D1319" t="s">
        <v>35</v>
      </c>
      <c r="E1319" t="s">
        <v>150</v>
      </c>
      <c r="F1319" t="s">
        <v>45</v>
      </c>
      <c r="G1319" t="s">
        <v>1872</v>
      </c>
      <c r="H1319" t="s">
        <v>26</v>
      </c>
      <c r="I1319">
        <v>0</v>
      </c>
      <c r="J1319">
        <v>0</v>
      </c>
      <c r="K1319">
        <v>0</v>
      </c>
      <c r="L1319">
        <v>0</v>
      </c>
      <c r="M1319" t="s">
        <v>76</v>
      </c>
      <c r="N1319" t="s">
        <v>76</v>
      </c>
      <c r="O1319" t="s">
        <v>77</v>
      </c>
      <c r="P1319" t="s">
        <v>76</v>
      </c>
      <c r="S1319" t="s">
        <v>3711</v>
      </c>
    </row>
    <row r="1320" spans="1:19" x14ac:dyDescent="0.3">
      <c r="A1320" t="s">
        <v>3712</v>
      </c>
      <c r="B1320" t="s">
        <v>3713</v>
      </c>
      <c r="C1320" t="s">
        <v>45</v>
      </c>
      <c r="D1320" t="s">
        <v>35</v>
      </c>
      <c r="E1320" t="s">
        <v>389</v>
      </c>
      <c r="F1320" t="s">
        <v>45</v>
      </c>
      <c r="G1320" t="s">
        <v>3712</v>
      </c>
      <c r="H1320" t="s">
        <v>213</v>
      </c>
      <c r="I1320">
        <v>0</v>
      </c>
      <c r="J1320">
        <v>0</v>
      </c>
      <c r="K1320">
        <v>0</v>
      </c>
      <c r="L1320">
        <v>0</v>
      </c>
      <c r="M1320" t="s">
        <v>239</v>
      </c>
      <c r="N1320" t="s">
        <v>239</v>
      </c>
      <c r="O1320" t="s">
        <v>240</v>
      </c>
      <c r="P1320" t="s">
        <v>239</v>
      </c>
      <c r="S1320" t="s">
        <v>3713</v>
      </c>
    </row>
    <row r="1321" spans="1:19" x14ac:dyDescent="0.3">
      <c r="A1321" t="s">
        <v>3714</v>
      </c>
      <c r="B1321" t="s">
        <v>3715</v>
      </c>
      <c r="C1321" t="s">
        <v>196</v>
      </c>
      <c r="D1321" t="s">
        <v>63</v>
      </c>
      <c r="E1321" t="s">
        <v>74</v>
      </c>
      <c r="F1321" t="s">
        <v>228</v>
      </c>
      <c r="G1321" t="s">
        <v>196</v>
      </c>
      <c r="H1321" t="s">
        <v>75</v>
      </c>
      <c r="I1321">
        <v>0</v>
      </c>
      <c r="J1321">
        <v>0</v>
      </c>
      <c r="K1321">
        <v>0</v>
      </c>
      <c r="L1321">
        <v>0</v>
      </c>
      <c r="M1321" t="s">
        <v>76</v>
      </c>
      <c r="N1321" t="s">
        <v>76</v>
      </c>
      <c r="O1321" t="s">
        <v>77</v>
      </c>
      <c r="P1321" t="s">
        <v>76</v>
      </c>
      <c r="S1321" t="s">
        <v>3715</v>
      </c>
    </row>
    <row r="1322" spans="1:19" x14ac:dyDescent="0.3">
      <c r="A1322" t="s">
        <v>3716</v>
      </c>
      <c r="B1322" t="s">
        <v>3717</v>
      </c>
      <c r="C1322" t="s">
        <v>21</v>
      </c>
      <c r="D1322" t="s">
        <v>63</v>
      </c>
      <c r="E1322" t="s">
        <v>74</v>
      </c>
      <c r="F1322" t="s">
        <v>24</v>
      </c>
      <c r="G1322" t="s">
        <v>21</v>
      </c>
      <c r="H1322" t="s">
        <v>26</v>
      </c>
      <c r="I1322">
        <v>0</v>
      </c>
      <c r="J1322">
        <v>0</v>
      </c>
      <c r="K1322">
        <v>0</v>
      </c>
      <c r="L1322">
        <v>0</v>
      </c>
      <c r="M1322" t="s">
        <v>76</v>
      </c>
      <c r="N1322" t="s">
        <v>76</v>
      </c>
      <c r="O1322" t="s">
        <v>77</v>
      </c>
      <c r="P1322" t="s">
        <v>76</v>
      </c>
      <c r="S1322" t="s">
        <v>3717</v>
      </c>
    </row>
    <row r="1323" spans="1:19" x14ac:dyDescent="0.3">
      <c r="A1323" t="s">
        <v>3718</v>
      </c>
      <c r="B1323" t="s">
        <v>3719</v>
      </c>
      <c r="C1323" t="s">
        <v>45</v>
      </c>
      <c r="D1323" t="s">
        <v>63</v>
      </c>
      <c r="E1323" t="s">
        <v>74</v>
      </c>
      <c r="F1323" t="s">
        <v>45</v>
      </c>
      <c r="G1323" t="s">
        <v>2706</v>
      </c>
      <c r="H1323" t="s">
        <v>26</v>
      </c>
      <c r="I1323">
        <v>0</v>
      </c>
      <c r="J1323">
        <v>0</v>
      </c>
      <c r="K1323">
        <v>0</v>
      </c>
      <c r="L1323">
        <v>0</v>
      </c>
      <c r="M1323" t="s">
        <v>76</v>
      </c>
      <c r="N1323" t="s">
        <v>76</v>
      </c>
      <c r="O1323" t="s">
        <v>77</v>
      </c>
      <c r="P1323" t="s">
        <v>76</v>
      </c>
      <c r="S1323" t="s">
        <v>3719</v>
      </c>
    </row>
    <row r="1324" spans="1:19" x14ac:dyDescent="0.3">
      <c r="A1324" t="s">
        <v>3720</v>
      </c>
      <c r="B1324" t="s">
        <v>3721</v>
      </c>
      <c r="C1324" t="s">
        <v>114</v>
      </c>
      <c r="D1324" t="s">
        <v>63</v>
      </c>
      <c r="E1324" t="s">
        <v>323</v>
      </c>
      <c r="F1324" t="s">
        <v>114</v>
      </c>
      <c r="G1324" t="s">
        <v>115</v>
      </c>
      <c r="H1324" t="s">
        <v>75</v>
      </c>
      <c r="I1324">
        <v>0</v>
      </c>
      <c r="J1324">
        <v>0</v>
      </c>
      <c r="K1324">
        <v>0</v>
      </c>
      <c r="L1324">
        <v>0</v>
      </c>
      <c r="M1324" t="s">
        <v>76</v>
      </c>
      <c r="N1324" t="s">
        <v>76</v>
      </c>
      <c r="O1324" t="s">
        <v>77</v>
      </c>
      <c r="P1324" t="s">
        <v>76</v>
      </c>
      <c r="S1324" t="s">
        <v>3721</v>
      </c>
    </row>
    <row r="1325" spans="1:19" x14ac:dyDescent="0.3">
      <c r="A1325" t="s">
        <v>3722</v>
      </c>
      <c r="B1325" t="s">
        <v>3723</v>
      </c>
      <c r="C1325" t="s">
        <v>73</v>
      </c>
      <c r="D1325" t="s">
        <v>63</v>
      </c>
      <c r="E1325" t="s">
        <v>74</v>
      </c>
      <c r="F1325" t="s">
        <v>73</v>
      </c>
      <c r="G1325" t="s">
        <v>3722</v>
      </c>
      <c r="H1325" t="s">
        <v>213</v>
      </c>
      <c r="I1325">
        <v>0</v>
      </c>
      <c r="J1325">
        <v>0</v>
      </c>
      <c r="K1325">
        <v>0</v>
      </c>
      <c r="L1325">
        <v>0</v>
      </c>
      <c r="M1325" t="s">
        <v>76</v>
      </c>
      <c r="N1325" t="s">
        <v>76</v>
      </c>
      <c r="O1325" t="s">
        <v>77</v>
      </c>
      <c r="P1325" t="s">
        <v>76</v>
      </c>
      <c r="S1325" t="s">
        <v>3723</v>
      </c>
    </row>
    <row r="1326" spans="1:19" x14ac:dyDescent="0.3">
      <c r="A1326" t="s">
        <v>2832</v>
      </c>
      <c r="B1326" t="s">
        <v>3724</v>
      </c>
      <c r="C1326" t="s">
        <v>314</v>
      </c>
      <c r="D1326" t="s">
        <v>35</v>
      </c>
      <c r="E1326" t="s">
        <v>400</v>
      </c>
      <c r="F1326" t="s">
        <v>314</v>
      </c>
      <c r="G1326" t="s">
        <v>2832</v>
      </c>
      <c r="H1326" t="s">
        <v>317</v>
      </c>
      <c r="I1326">
        <v>0</v>
      </c>
      <c r="J1326">
        <v>0</v>
      </c>
      <c r="K1326">
        <v>0</v>
      </c>
      <c r="L1326">
        <v>0</v>
      </c>
      <c r="M1326" t="s">
        <v>76</v>
      </c>
      <c r="N1326" t="s">
        <v>76</v>
      </c>
      <c r="O1326" t="s">
        <v>77</v>
      </c>
      <c r="P1326" t="s">
        <v>76</v>
      </c>
      <c r="S1326" t="s">
        <v>3724</v>
      </c>
    </row>
    <row r="1327" spans="1:19" x14ac:dyDescent="0.3">
      <c r="A1327" t="s">
        <v>3725</v>
      </c>
      <c r="B1327" t="s">
        <v>3726</v>
      </c>
      <c r="C1327" t="s">
        <v>196</v>
      </c>
      <c r="D1327" t="s">
        <v>63</v>
      </c>
      <c r="E1327" t="s">
        <v>74</v>
      </c>
      <c r="F1327" t="s">
        <v>228</v>
      </c>
      <c r="G1327" t="s">
        <v>196</v>
      </c>
      <c r="H1327" t="s">
        <v>75</v>
      </c>
      <c r="I1327">
        <v>0</v>
      </c>
      <c r="J1327">
        <v>0</v>
      </c>
      <c r="K1327">
        <v>0</v>
      </c>
      <c r="L1327">
        <v>0</v>
      </c>
      <c r="M1327" t="s">
        <v>76</v>
      </c>
      <c r="N1327" t="s">
        <v>76</v>
      </c>
      <c r="O1327" t="s">
        <v>77</v>
      </c>
      <c r="P1327" t="s">
        <v>76</v>
      </c>
      <c r="S1327" t="s">
        <v>3726</v>
      </c>
    </row>
    <row r="1328" spans="1:19" x14ac:dyDescent="0.3">
      <c r="A1328" t="s">
        <v>3727</v>
      </c>
      <c r="B1328" t="s">
        <v>3728</v>
      </c>
      <c r="C1328" t="s">
        <v>43</v>
      </c>
      <c r="D1328" t="s">
        <v>53</v>
      </c>
      <c r="E1328" t="s">
        <v>3729</v>
      </c>
      <c r="F1328" t="s">
        <v>45</v>
      </c>
      <c r="G1328" t="s">
        <v>43</v>
      </c>
      <c r="H1328" t="s">
        <v>26</v>
      </c>
      <c r="I1328">
        <v>0</v>
      </c>
      <c r="J1328">
        <v>0</v>
      </c>
      <c r="K1328">
        <v>0</v>
      </c>
      <c r="L1328">
        <v>0</v>
      </c>
      <c r="M1328" t="s">
        <v>76</v>
      </c>
      <c r="N1328" t="s">
        <v>76</v>
      </c>
      <c r="O1328" t="s">
        <v>77</v>
      </c>
      <c r="P1328" t="s">
        <v>76</v>
      </c>
      <c r="S1328" t="s">
        <v>3728</v>
      </c>
    </row>
    <row r="1329" spans="1:19" x14ac:dyDescent="0.3">
      <c r="A1329" t="s">
        <v>3730</v>
      </c>
      <c r="B1329" t="s">
        <v>3731</v>
      </c>
      <c r="C1329" t="s">
        <v>21</v>
      </c>
      <c r="D1329" t="s">
        <v>35</v>
      </c>
      <c r="E1329" t="s">
        <v>74</v>
      </c>
      <c r="F1329" t="s">
        <v>24</v>
      </c>
      <c r="G1329" t="s">
        <v>21</v>
      </c>
      <c r="H1329" t="s">
        <v>26</v>
      </c>
      <c r="I1329">
        <v>0</v>
      </c>
      <c r="J1329">
        <v>0</v>
      </c>
      <c r="K1329">
        <v>0</v>
      </c>
      <c r="L1329">
        <v>0</v>
      </c>
      <c r="M1329" t="s">
        <v>76</v>
      </c>
      <c r="N1329" t="s">
        <v>76</v>
      </c>
      <c r="O1329" t="s">
        <v>77</v>
      </c>
      <c r="P1329" t="s">
        <v>76</v>
      </c>
      <c r="S1329" t="s">
        <v>3731</v>
      </c>
    </row>
    <row r="1330" spans="1:19" x14ac:dyDescent="0.3">
      <c r="A1330" t="s">
        <v>3732</v>
      </c>
      <c r="B1330" t="s">
        <v>3733</v>
      </c>
      <c r="C1330" t="s">
        <v>24</v>
      </c>
      <c r="D1330" t="s">
        <v>63</v>
      </c>
      <c r="E1330" t="s">
        <v>74</v>
      </c>
      <c r="F1330" t="s">
        <v>24</v>
      </c>
      <c r="G1330" t="s">
        <v>3732</v>
      </c>
      <c r="H1330" t="s">
        <v>26</v>
      </c>
      <c r="I1330">
        <v>0</v>
      </c>
      <c r="J1330">
        <v>0</v>
      </c>
      <c r="K1330">
        <v>0</v>
      </c>
      <c r="L1330">
        <v>0</v>
      </c>
      <c r="M1330" t="s">
        <v>76</v>
      </c>
      <c r="N1330" t="s">
        <v>76</v>
      </c>
      <c r="O1330" t="s">
        <v>77</v>
      </c>
      <c r="P1330" t="s">
        <v>76</v>
      </c>
      <c r="S1330" t="s">
        <v>3733</v>
      </c>
    </row>
    <row r="1331" spans="1:19" x14ac:dyDescent="0.3">
      <c r="A1331" t="s">
        <v>3734</v>
      </c>
      <c r="B1331" t="s">
        <v>3735</v>
      </c>
      <c r="C1331" t="s">
        <v>73</v>
      </c>
      <c r="D1331" t="s">
        <v>35</v>
      </c>
      <c r="E1331" t="s">
        <v>80</v>
      </c>
      <c r="F1331" t="s">
        <v>73</v>
      </c>
      <c r="G1331" t="s">
        <v>2673</v>
      </c>
      <c r="H1331" t="s">
        <v>75</v>
      </c>
      <c r="I1331">
        <v>0</v>
      </c>
      <c r="J1331">
        <v>0</v>
      </c>
      <c r="K1331">
        <v>0</v>
      </c>
      <c r="L1331">
        <v>0</v>
      </c>
      <c r="M1331" t="s">
        <v>76</v>
      </c>
      <c r="N1331" t="s">
        <v>76</v>
      </c>
      <c r="O1331" t="s">
        <v>77</v>
      </c>
      <c r="P1331" t="s">
        <v>76</v>
      </c>
      <c r="S1331" t="s">
        <v>3735</v>
      </c>
    </row>
    <row r="1332" spans="1:19" x14ac:dyDescent="0.3">
      <c r="A1332" t="s">
        <v>3736</v>
      </c>
      <c r="B1332" t="s">
        <v>3737</v>
      </c>
      <c r="C1332" t="s">
        <v>21</v>
      </c>
      <c r="D1332" t="s">
        <v>63</v>
      </c>
      <c r="E1332" t="s">
        <v>64</v>
      </c>
      <c r="F1332" t="s">
        <v>24</v>
      </c>
      <c r="G1332" t="s">
        <v>21</v>
      </c>
      <c r="H1332" t="s">
        <v>26</v>
      </c>
      <c r="I1332">
        <v>0</v>
      </c>
      <c r="J1332">
        <v>0</v>
      </c>
      <c r="K1332">
        <v>0</v>
      </c>
      <c r="L1332">
        <v>0</v>
      </c>
      <c r="M1332" t="s">
        <v>76</v>
      </c>
      <c r="N1332" t="s">
        <v>76</v>
      </c>
      <c r="O1332" t="s">
        <v>77</v>
      </c>
      <c r="P1332" t="s">
        <v>76</v>
      </c>
      <c r="S1332" t="s">
        <v>3737</v>
      </c>
    </row>
    <row r="1333" spans="1:19" x14ac:dyDescent="0.3">
      <c r="A1333" t="s">
        <v>3738</v>
      </c>
      <c r="B1333" t="s">
        <v>3739</v>
      </c>
      <c r="C1333" t="s">
        <v>243</v>
      </c>
      <c r="D1333" t="s">
        <v>63</v>
      </c>
      <c r="E1333" t="s">
        <v>323</v>
      </c>
      <c r="F1333" t="s">
        <v>243</v>
      </c>
      <c r="G1333" t="s">
        <v>3738</v>
      </c>
      <c r="H1333" t="s">
        <v>317</v>
      </c>
      <c r="I1333">
        <v>0</v>
      </c>
      <c r="J1333">
        <v>0</v>
      </c>
      <c r="K1333">
        <v>0</v>
      </c>
      <c r="L1333">
        <v>0</v>
      </c>
      <c r="S1333" t="s">
        <v>3739</v>
      </c>
    </row>
    <row r="1334" spans="1:19" x14ac:dyDescent="0.3">
      <c r="A1334" t="s">
        <v>3740</v>
      </c>
      <c r="B1334" t="s">
        <v>3741</v>
      </c>
      <c r="C1334" t="s">
        <v>243</v>
      </c>
      <c r="D1334" t="s">
        <v>63</v>
      </c>
      <c r="E1334" t="s">
        <v>74</v>
      </c>
      <c r="F1334" t="s">
        <v>243</v>
      </c>
      <c r="G1334" t="s">
        <v>2003</v>
      </c>
      <c r="H1334" t="s">
        <v>213</v>
      </c>
      <c r="I1334">
        <v>0</v>
      </c>
      <c r="J1334">
        <v>0</v>
      </c>
      <c r="K1334">
        <v>0</v>
      </c>
      <c r="L1334">
        <v>0</v>
      </c>
      <c r="S1334" t="s">
        <v>3741</v>
      </c>
    </row>
    <row r="1335" spans="1:19" x14ac:dyDescent="0.3">
      <c r="A1335" t="s">
        <v>3742</v>
      </c>
      <c r="B1335" t="s">
        <v>3743</v>
      </c>
      <c r="C1335" t="s">
        <v>307</v>
      </c>
      <c r="D1335" t="s">
        <v>63</v>
      </c>
      <c r="E1335" t="s">
        <v>74</v>
      </c>
      <c r="F1335" t="s">
        <v>251</v>
      </c>
      <c r="G1335" t="s">
        <v>307</v>
      </c>
      <c r="H1335" t="s">
        <v>75</v>
      </c>
      <c r="I1335">
        <v>0</v>
      </c>
      <c r="J1335">
        <v>0</v>
      </c>
      <c r="K1335">
        <v>0</v>
      </c>
      <c r="L1335">
        <v>0</v>
      </c>
      <c r="M1335" t="s">
        <v>76</v>
      </c>
      <c r="N1335" t="s">
        <v>76</v>
      </c>
      <c r="O1335" t="s">
        <v>77</v>
      </c>
      <c r="P1335" t="s">
        <v>76</v>
      </c>
      <c r="S1335" t="s">
        <v>3743</v>
      </c>
    </row>
    <row r="1336" spans="1:19" x14ac:dyDescent="0.3">
      <c r="A1336" t="s">
        <v>3744</v>
      </c>
      <c r="B1336" t="s">
        <v>3745</v>
      </c>
      <c r="C1336" t="s">
        <v>114</v>
      </c>
      <c r="D1336" t="s">
        <v>63</v>
      </c>
      <c r="E1336" t="s">
        <v>74</v>
      </c>
      <c r="F1336" t="s">
        <v>114</v>
      </c>
      <c r="G1336" t="s">
        <v>3746</v>
      </c>
      <c r="H1336" t="s">
        <v>317</v>
      </c>
      <c r="I1336">
        <v>0</v>
      </c>
      <c r="J1336">
        <v>0</v>
      </c>
      <c r="K1336">
        <v>0</v>
      </c>
      <c r="L1336">
        <v>0</v>
      </c>
      <c r="S1336" t="s">
        <v>3745</v>
      </c>
    </row>
    <row r="1337" spans="1:19" x14ac:dyDescent="0.3">
      <c r="A1337" t="s">
        <v>3747</v>
      </c>
      <c r="B1337" t="s">
        <v>3748</v>
      </c>
      <c r="C1337" t="s">
        <v>24</v>
      </c>
      <c r="D1337" t="s">
        <v>35</v>
      </c>
      <c r="E1337" t="s">
        <v>36</v>
      </c>
      <c r="F1337" t="s">
        <v>144</v>
      </c>
      <c r="G1337" t="s">
        <v>145</v>
      </c>
      <c r="H1337" t="s">
        <v>26</v>
      </c>
      <c r="I1337">
        <v>0</v>
      </c>
      <c r="J1337">
        <v>0</v>
      </c>
      <c r="K1337">
        <v>0</v>
      </c>
      <c r="L1337">
        <v>0</v>
      </c>
      <c r="M1337" t="s">
        <v>76</v>
      </c>
      <c r="N1337" t="s">
        <v>76</v>
      </c>
      <c r="O1337" t="s">
        <v>77</v>
      </c>
      <c r="P1337" t="s">
        <v>76</v>
      </c>
      <c r="S1337" t="s">
        <v>3748</v>
      </c>
    </row>
    <row r="1338" spans="1:19" x14ac:dyDescent="0.3">
      <c r="A1338" t="s">
        <v>1754</v>
      </c>
      <c r="B1338" t="s">
        <v>3749</v>
      </c>
      <c r="C1338" t="s">
        <v>73</v>
      </c>
      <c r="D1338" t="s">
        <v>63</v>
      </c>
      <c r="E1338" t="s">
        <v>74</v>
      </c>
      <c r="F1338" t="s">
        <v>73</v>
      </c>
      <c r="G1338" t="s">
        <v>1754</v>
      </c>
      <c r="H1338" t="s">
        <v>317</v>
      </c>
      <c r="I1338">
        <v>0</v>
      </c>
      <c r="J1338">
        <v>0</v>
      </c>
      <c r="K1338">
        <v>0</v>
      </c>
      <c r="L1338">
        <v>0</v>
      </c>
      <c r="M1338" t="s">
        <v>76</v>
      </c>
      <c r="N1338" t="s">
        <v>76</v>
      </c>
      <c r="O1338" t="s">
        <v>77</v>
      </c>
      <c r="P1338" t="s">
        <v>76</v>
      </c>
      <c r="S1338" t="s">
        <v>3749</v>
      </c>
    </row>
    <row r="1339" spans="1:19" x14ac:dyDescent="0.3">
      <c r="A1339" t="s">
        <v>3750</v>
      </c>
      <c r="B1339" t="s">
        <v>3751</v>
      </c>
      <c r="C1339" t="s">
        <v>73</v>
      </c>
      <c r="D1339" t="s">
        <v>63</v>
      </c>
      <c r="E1339" t="s">
        <v>74</v>
      </c>
      <c r="F1339" t="s">
        <v>73</v>
      </c>
      <c r="G1339" t="s">
        <v>1754</v>
      </c>
      <c r="H1339" t="s">
        <v>317</v>
      </c>
      <c r="I1339">
        <v>0</v>
      </c>
      <c r="J1339">
        <v>0</v>
      </c>
      <c r="K1339">
        <v>0</v>
      </c>
      <c r="L1339">
        <v>0</v>
      </c>
      <c r="M1339" t="s">
        <v>76</v>
      </c>
      <c r="N1339" t="s">
        <v>76</v>
      </c>
      <c r="O1339" t="s">
        <v>77</v>
      </c>
      <c r="P1339" t="s">
        <v>76</v>
      </c>
      <c r="S1339" t="s">
        <v>3751</v>
      </c>
    </row>
    <row r="1340" spans="1:19" x14ac:dyDescent="0.3">
      <c r="A1340" t="s">
        <v>3752</v>
      </c>
      <c r="B1340" t="s">
        <v>3753</v>
      </c>
      <c r="C1340" t="s">
        <v>596</v>
      </c>
      <c r="D1340" t="s">
        <v>35</v>
      </c>
      <c r="E1340" t="s">
        <v>36</v>
      </c>
      <c r="F1340" t="s">
        <v>73</v>
      </c>
      <c r="G1340" t="s">
        <v>596</v>
      </c>
      <c r="H1340" t="s">
        <v>75</v>
      </c>
      <c r="I1340">
        <v>0</v>
      </c>
      <c r="J1340">
        <v>0</v>
      </c>
      <c r="K1340">
        <v>0</v>
      </c>
      <c r="L1340">
        <v>0</v>
      </c>
      <c r="M1340" t="s">
        <v>76</v>
      </c>
      <c r="N1340" t="s">
        <v>76</v>
      </c>
      <c r="O1340" t="s">
        <v>77</v>
      </c>
      <c r="P1340" t="s">
        <v>76</v>
      </c>
      <c r="S1340" t="s">
        <v>3753</v>
      </c>
    </row>
    <row r="1341" spans="1:19" x14ac:dyDescent="0.3">
      <c r="A1341" t="s">
        <v>3754</v>
      </c>
      <c r="B1341" t="s">
        <v>3755</v>
      </c>
      <c r="C1341" t="s">
        <v>45</v>
      </c>
      <c r="D1341" t="s">
        <v>63</v>
      </c>
      <c r="E1341" t="s">
        <v>74</v>
      </c>
      <c r="F1341" t="s">
        <v>45</v>
      </c>
      <c r="G1341" t="s">
        <v>3754</v>
      </c>
      <c r="H1341" t="s">
        <v>213</v>
      </c>
      <c r="I1341">
        <v>0</v>
      </c>
      <c r="J1341">
        <v>0</v>
      </c>
      <c r="K1341">
        <v>0</v>
      </c>
      <c r="L1341">
        <v>0</v>
      </c>
      <c r="M1341" t="s">
        <v>76</v>
      </c>
      <c r="N1341" t="s">
        <v>76</v>
      </c>
      <c r="O1341" t="s">
        <v>77</v>
      </c>
      <c r="P1341" t="s">
        <v>76</v>
      </c>
      <c r="S1341" t="s">
        <v>3755</v>
      </c>
    </row>
    <row r="1342" spans="1:19" x14ac:dyDescent="0.3">
      <c r="A1342" t="s">
        <v>3756</v>
      </c>
      <c r="B1342" t="s">
        <v>3757</v>
      </c>
      <c r="C1342" t="s">
        <v>21</v>
      </c>
      <c r="D1342" t="s">
        <v>63</v>
      </c>
      <c r="E1342" t="s">
        <v>74</v>
      </c>
      <c r="F1342" t="s">
        <v>24</v>
      </c>
      <c r="G1342" t="s">
        <v>21</v>
      </c>
      <c r="H1342" t="s">
        <v>26</v>
      </c>
      <c r="I1342">
        <v>0</v>
      </c>
      <c r="J1342">
        <v>0</v>
      </c>
      <c r="K1342">
        <v>0</v>
      </c>
      <c r="L1342">
        <v>0</v>
      </c>
      <c r="M1342" t="s">
        <v>76</v>
      </c>
      <c r="N1342" t="s">
        <v>76</v>
      </c>
      <c r="O1342" t="s">
        <v>77</v>
      </c>
      <c r="P1342" t="s">
        <v>76</v>
      </c>
      <c r="S1342" t="s">
        <v>3757</v>
      </c>
    </row>
    <row r="1343" spans="1:19" x14ac:dyDescent="0.3">
      <c r="A1343" t="s">
        <v>3758</v>
      </c>
      <c r="B1343" t="s">
        <v>3759</v>
      </c>
      <c r="C1343" t="s">
        <v>24</v>
      </c>
      <c r="D1343" t="s">
        <v>63</v>
      </c>
      <c r="E1343" t="s">
        <v>74</v>
      </c>
      <c r="F1343" t="s">
        <v>55</v>
      </c>
      <c r="G1343" t="s">
        <v>56</v>
      </c>
      <c r="H1343" t="s">
        <v>26</v>
      </c>
      <c r="I1343">
        <v>0</v>
      </c>
      <c r="J1343">
        <v>0</v>
      </c>
      <c r="K1343">
        <v>0</v>
      </c>
      <c r="L1343">
        <v>0</v>
      </c>
      <c r="M1343" t="s">
        <v>76</v>
      </c>
      <c r="N1343" t="s">
        <v>76</v>
      </c>
      <c r="O1343" t="s">
        <v>77</v>
      </c>
      <c r="P1343" t="s">
        <v>76</v>
      </c>
      <c r="S1343" t="s">
        <v>3759</v>
      </c>
    </row>
    <row r="1344" spans="1:19" x14ac:dyDescent="0.3">
      <c r="A1344" t="s">
        <v>3760</v>
      </c>
      <c r="B1344" t="s">
        <v>3761</v>
      </c>
      <c r="C1344" t="s">
        <v>21</v>
      </c>
      <c r="D1344" t="s">
        <v>63</v>
      </c>
      <c r="E1344" t="s">
        <v>74</v>
      </c>
      <c r="F1344" t="s">
        <v>24</v>
      </c>
      <c r="G1344" t="s">
        <v>21</v>
      </c>
      <c r="H1344" t="s">
        <v>26</v>
      </c>
      <c r="I1344">
        <v>0</v>
      </c>
      <c r="J1344">
        <v>0</v>
      </c>
      <c r="K1344">
        <v>0</v>
      </c>
      <c r="L1344">
        <v>0</v>
      </c>
      <c r="M1344" t="s">
        <v>76</v>
      </c>
      <c r="N1344" t="s">
        <v>76</v>
      </c>
      <c r="O1344" t="s">
        <v>77</v>
      </c>
      <c r="P1344" t="s">
        <v>76</v>
      </c>
      <c r="S1344" t="s">
        <v>3761</v>
      </c>
    </row>
    <row r="1345" spans="1:19" x14ac:dyDescent="0.3">
      <c r="A1345" t="s">
        <v>3762</v>
      </c>
      <c r="B1345" t="s">
        <v>3763</v>
      </c>
      <c r="C1345" t="s">
        <v>73</v>
      </c>
      <c r="D1345" t="s">
        <v>63</v>
      </c>
      <c r="E1345" t="s">
        <v>74</v>
      </c>
      <c r="F1345" t="s">
        <v>73</v>
      </c>
      <c r="G1345" t="s">
        <v>3762</v>
      </c>
      <c r="H1345" t="s">
        <v>317</v>
      </c>
      <c r="I1345">
        <v>0</v>
      </c>
      <c r="J1345">
        <v>0</v>
      </c>
      <c r="K1345">
        <v>0</v>
      </c>
      <c r="L1345">
        <v>0</v>
      </c>
      <c r="M1345" t="s">
        <v>76</v>
      </c>
      <c r="N1345" t="s">
        <v>76</v>
      </c>
      <c r="O1345" t="s">
        <v>77</v>
      </c>
      <c r="P1345" t="s">
        <v>76</v>
      </c>
      <c r="S1345" t="s">
        <v>3763</v>
      </c>
    </row>
    <row r="1346" spans="1:19" x14ac:dyDescent="0.3">
      <c r="A1346" t="s">
        <v>3764</v>
      </c>
      <c r="B1346" t="s">
        <v>3765</v>
      </c>
      <c r="C1346" t="s">
        <v>596</v>
      </c>
      <c r="D1346" t="s">
        <v>63</v>
      </c>
      <c r="E1346" t="s">
        <v>74</v>
      </c>
      <c r="F1346" t="s">
        <v>73</v>
      </c>
      <c r="G1346" t="s">
        <v>596</v>
      </c>
      <c r="H1346" t="s">
        <v>75</v>
      </c>
      <c r="I1346">
        <v>0</v>
      </c>
      <c r="J1346">
        <v>0</v>
      </c>
      <c r="K1346">
        <v>0</v>
      </c>
      <c r="L1346">
        <v>0</v>
      </c>
      <c r="M1346" t="s">
        <v>76</v>
      </c>
      <c r="N1346" t="s">
        <v>76</v>
      </c>
      <c r="O1346" t="s">
        <v>77</v>
      </c>
      <c r="P1346" t="s">
        <v>76</v>
      </c>
      <c r="S1346" t="s">
        <v>3765</v>
      </c>
    </row>
    <row r="1347" spans="1:19" x14ac:dyDescent="0.3">
      <c r="A1347" t="s">
        <v>1769</v>
      </c>
      <c r="B1347" t="s">
        <v>3766</v>
      </c>
      <c r="C1347" t="s">
        <v>45</v>
      </c>
      <c r="D1347" t="s">
        <v>63</v>
      </c>
      <c r="E1347" t="s">
        <v>74</v>
      </c>
      <c r="F1347" t="s">
        <v>45</v>
      </c>
      <c r="G1347" t="s">
        <v>1769</v>
      </c>
      <c r="H1347" t="s">
        <v>26</v>
      </c>
      <c r="I1347">
        <v>0</v>
      </c>
      <c r="J1347">
        <v>0</v>
      </c>
      <c r="K1347">
        <v>0</v>
      </c>
      <c r="L1347">
        <v>0</v>
      </c>
      <c r="M1347" t="s">
        <v>76</v>
      </c>
      <c r="N1347" t="s">
        <v>76</v>
      </c>
      <c r="O1347" t="s">
        <v>77</v>
      </c>
      <c r="P1347" t="s">
        <v>76</v>
      </c>
      <c r="S1347" t="s">
        <v>3766</v>
      </c>
    </row>
    <row r="1348" spans="1:19" x14ac:dyDescent="0.3">
      <c r="A1348" t="s">
        <v>3767</v>
      </c>
      <c r="B1348" t="s">
        <v>3768</v>
      </c>
      <c r="C1348" t="s">
        <v>43</v>
      </c>
      <c r="D1348" t="s">
        <v>63</v>
      </c>
      <c r="E1348" t="s">
        <v>74</v>
      </c>
      <c r="F1348" t="s">
        <v>45</v>
      </c>
      <c r="G1348" t="s">
        <v>43</v>
      </c>
      <c r="H1348" t="s">
        <v>26</v>
      </c>
      <c r="I1348">
        <v>0</v>
      </c>
      <c r="J1348">
        <v>0</v>
      </c>
      <c r="K1348">
        <v>0</v>
      </c>
      <c r="L1348">
        <v>0</v>
      </c>
      <c r="M1348" t="s">
        <v>76</v>
      </c>
      <c r="N1348" t="s">
        <v>76</v>
      </c>
      <c r="O1348" t="s">
        <v>77</v>
      </c>
      <c r="P1348" t="s">
        <v>76</v>
      </c>
      <c r="S1348" t="s">
        <v>3768</v>
      </c>
    </row>
    <row r="1349" spans="1:19" x14ac:dyDescent="0.3">
      <c r="A1349" t="s">
        <v>3769</v>
      </c>
      <c r="B1349" t="s">
        <v>3770</v>
      </c>
      <c r="C1349" t="s">
        <v>73</v>
      </c>
      <c r="D1349" t="s">
        <v>63</v>
      </c>
      <c r="E1349" t="s">
        <v>74</v>
      </c>
      <c r="F1349" t="s">
        <v>73</v>
      </c>
      <c r="G1349" t="s">
        <v>741</v>
      </c>
      <c r="H1349" t="s">
        <v>75</v>
      </c>
      <c r="I1349">
        <v>0</v>
      </c>
      <c r="J1349">
        <v>0</v>
      </c>
      <c r="K1349">
        <v>0</v>
      </c>
      <c r="L1349">
        <v>0</v>
      </c>
      <c r="M1349" t="s">
        <v>76</v>
      </c>
      <c r="N1349" t="s">
        <v>76</v>
      </c>
      <c r="O1349" t="s">
        <v>77</v>
      </c>
      <c r="P1349" t="s">
        <v>76</v>
      </c>
      <c r="S1349" t="s">
        <v>3770</v>
      </c>
    </row>
    <row r="1350" spans="1:19" x14ac:dyDescent="0.3">
      <c r="A1350" t="s">
        <v>3771</v>
      </c>
      <c r="B1350" t="s">
        <v>3772</v>
      </c>
      <c r="C1350" t="s">
        <v>596</v>
      </c>
      <c r="D1350" t="s">
        <v>35</v>
      </c>
      <c r="E1350" t="s">
        <v>150</v>
      </c>
      <c r="F1350" t="s">
        <v>73</v>
      </c>
      <c r="G1350" t="s">
        <v>596</v>
      </c>
      <c r="H1350" t="s">
        <v>213</v>
      </c>
      <c r="I1350">
        <v>0</v>
      </c>
      <c r="J1350">
        <v>0</v>
      </c>
      <c r="K1350">
        <v>0</v>
      </c>
      <c r="L1350">
        <v>0</v>
      </c>
      <c r="M1350" t="s">
        <v>76</v>
      </c>
      <c r="N1350" t="s">
        <v>76</v>
      </c>
      <c r="O1350" t="s">
        <v>77</v>
      </c>
      <c r="P1350" t="s">
        <v>76</v>
      </c>
      <c r="S1350" t="s">
        <v>3772</v>
      </c>
    </row>
    <row r="1351" spans="1:19" x14ac:dyDescent="0.3">
      <c r="A1351" t="s">
        <v>3773</v>
      </c>
      <c r="B1351" t="s">
        <v>3774</v>
      </c>
      <c r="C1351" t="s">
        <v>24</v>
      </c>
      <c r="D1351" t="s">
        <v>35</v>
      </c>
      <c r="E1351" t="s">
        <v>44</v>
      </c>
      <c r="F1351" t="s">
        <v>24</v>
      </c>
      <c r="G1351" t="s">
        <v>3775</v>
      </c>
      <c r="H1351" t="s">
        <v>26</v>
      </c>
      <c r="I1351">
        <v>0</v>
      </c>
      <c r="J1351">
        <v>0</v>
      </c>
      <c r="K1351">
        <v>0</v>
      </c>
      <c r="L1351">
        <v>0</v>
      </c>
      <c r="M1351" t="s">
        <v>239</v>
      </c>
      <c r="N1351" t="s">
        <v>239</v>
      </c>
      <c r="O1351" t="s">
        <v>240</v>
      </c>
      <c r="P1351" t="s">
        <v>239</v>
      </c>
      <c r="S1351" t="s">
        <v>3774</v>
      </c>
    </row>
    <row r="1352" spans="1:19" x14ac:dyDescent="0.3">
      <c r="A1352" t="s">
        <v>3776</v>
      </c>
      <c r="B1352" t="s">
        <v>3777</v>
      </c>
      <c r="C1352" t="s">
        <v>596</v>
      </c>
      <c r="D1352" t="s">
        <v>63</v>
      </c>
      <c r="E1352" t="s">
        <v>74</v>
      </c>
      <c r="F1352" t="s">
        <v>73</v>
      </c>
      <c r="G1352" t="s">
        <v>596</v>
      </c>
      <c r="H1352" t="s">
        <v>75</v>
      </c>
      <c r="I1352">
        <v>0</v>
      </c>
      <c r="J1352">
        <v>0</v>
      </c>
      <c r="K1352">
        <v>0</v>
      </c>
      <c r="L1352">
        <v>0</v>
      </c>
      <c r="M1352" t="s">
        <v>76</v>
      </c>
      <c r="N1352" t="s">
        <v>76</v>
      </c>
      <c r="O1352" t="s">
        <v>77</v>
      </c>
      <c r="P1352" t="s">
        <v>76</v>
      </c>
      <c r="S1352" t="s">
        <v>3777</v>
      </c>
    </row>
    <row r="1353" spans="1:19" x14ac:dyDescent="0.3">
      <c r="A1353" t="s">
        <v>3778</v>
      </c>
      <c r="B1353" t="s">
        <v>3779</v>
      </c>
      <c r="C1353" t="s">
        <v>24</v>
      </c>
      <c r="D1353" t="s">
        <v>63</v>
      </c>
      <c r="E1353" t="s">
        <v>2033</v>
      </c>
      <c r="F1353" t="s">
        <v>24</v>
      </c>
      <c r="G1353" t="s">
        <v>3780</v>
      </c>
      <c r="H1353" t="s">
        <v>26</v>
      </c>
      <c r="I1353">
        <v>0</v>
      </c>
      <c r="J1353">
        <v>0</v>
      </c>
      <c r="K1353">
        <v>0</v>
      </c>
      <c r="L1353">
        <v>0</v>
      </c>
      <c r="M1353" t="s">
        <v>76</v>
      </c>
      <c r="N1353" t="s">
        <v>76</v>
      </c>
      <c r="O1353" t="s">
        <v>77</v>
      </c>
      <c r="P1353" t="s">
        <v>76</v>
      </c>
      <c r="S1353" t="s">
        <v>3779</v>
      </c>
    </row>
    <row r="1354" spans="1:19" x14ac:dyDescent="0.3">
      <c r="A1354" t="s">
        <v>3781</v>
      </c>
      <c r="B1354" t="s">
        <v>3782</v>
      </c>
      <c r="C1354" t="s">
        <v>24</v>
      </c>
      <c r="D1354" t="s">
        <v>63</v>
      </c>
      <c r="E1354" t="s">
        <v>1132</v>
      </c>
      <c r="F1354" t="s">
        <v>24</v>
      </c>
      <c r="G1354" t="s">
        <v>3783</v>
      </c>
      <c r="H1354" t="s">
        <v>26</v>
      </c>
      <c r="I1354">
        <v>0</v>
      </c>
      <c r="J1354">
        <v>0</v>
      </c>
      <c r="K1354">
        <v>0</v>
      </c>
      <c r="L1354">
        <v>0</v>
      </c>
      <c r="M1354" t="s">
        <v>76</v>
      </c>
      <c r="N1354" t="s">
        <v>76</v>
      </c>
      <c r="O1354" t="s">
        <v>77</v>
      </c>
      <c r="P1354" t="s">
        <v>76</v>
      </c>
      <c r="S1354" t="s">
        <v>3782</v>
      </c>
    </row>
    <row r="1355" spans="1:19" x14ac:dyDescent="0.3">
      <c r="A1355" t="s">
        <v>3784</v>
      </c>
      <c r="B1355" t="s">
        <v>3785</v>
      </c>
      <c r="C1355" t="s">
        <v>24</v>
      </c>
      <c r="D1355" t="s">
        <v>63</v>
      </c>
      <c r="E1355" t="s">
        <v>323</v>
      </c>
      <c r="F1355" t="s">
        <v>24</v>
      </c>
      <c r="G1355" t="s">
        <v>3786</v>
      </c>
      <c r="H1355" t="s">
        <v>26</v>
      </c>
      <c r="I1355">
        <v>0</v>
      </c>
      <c r="J1355">
        <v>0</v>
      </c>
      <c r="K1355">
        <v>0</v>
      </c>
      <c r="L1355">
        <v>0</v>
      </c>
      <c r="M1355" t="s">
        <v>76</v>
      </c>
      <c r="N1355" t="s">
        <v>76</v>
      </c>
      <c r="O1355" t="s">
        <v>77</v>
      </c>
      <c r="P1355" t="s">
        <v>76</v>
      </c>
      <c r="S1355" t="s">
        <v>3785</v>
      </c>
    </row>
    <row r="1356" spans="1:19" x14ac:dyDescent="0.3">
      <c r="A1356" t="s">
        <v>3787</v>
      </c>
      <c r="B1356" t="s">
        <v>3788</v>
      </c>
      <c r="C1356" t="s">
        <v>21</v>
      </c>
      <c r="D1356" t="s">
        <v>63</v>
      </c>
      <c r="E1356" t="s">
        <v>74</v>
      </c>
      <c r="F1356" t="s">
        <v>24</v>
      </c>
      <c r="G1356" t="s">
        <v>21</v>
      </c>
      <c r="H1356" t="s">
        <v>26</v>
      </c>
      <c r="I1356">
        <v>0</v>
      </c>
      <c r="J1356">
        <v>0</v>
      </c>
      <c r="K1356">
        <v>0</v>
      </c>
      <c r="L1356">
        <v>0</v>
      </c>
      <c r="M1356" t="s">
        <v>76</v>
      </c>
      <c r="N1356" t="s">
        <v>76</v>
      </c>
      <c r="O1356" t="s">
        <v>77</v>
      </c>
      <c r="P1356" t="s">
        <v>76</v>
      </c>
      <c r="S1356" t="s">
        <v>3788</v>
      </c>
    </row>
    <row r="1357" spans="1:19" x14ac:dyDescent="0.3">
      <c r="A1357" t="s">
        <v>3789</v>
      </c>
      <c r="B1357" t="s">
        <v>3790</v>
      </c>
      <c r="C1357" t="s">
        <v>21</v>
      </c>
      <c r="D1357" t="s">
        <v>63</v>
      </c>
      <c r="E1357" t="s">
        <v>74</v>
      </c>
      <c r="F1357" t="s">
        <v>24</v>
      </c>
      <c r="G1357" t="s">
        <v>21</v>
      </c>
      <c r="H1357" t="s">
        <v>26</v>
      </c>
      <c r="I1357">
        <v>0</v>
      </c>
      <c r="J1357">
        <v>0</v>
      </c>
      <c r="K1357">
        <v>0</v>
      </c>
      <c r="L1357">
        <v>0</v>
      </c>
      <c r="M1357" t="s">
        <v>76</v>
      </c>
      <c r="N1357" t="s">
        <v>76</v>
      </c>
      <c r="O1357" t="s">
        <v>77</v>
      </c>
      <c r="P1357" t="s">
        <v>76</v>
      </c>
      <c r="S1357" t="s">
        <v>3790</v>
      </c>
    </row>
    <row r="1358" spans="1:19" x14ac:dyDescent="0.3">
      <c r="A1358" t="s">
        <v>3791</v>
      </c>
      <c r="B1358" t="s">
        <v>3792</v>
      </c>
      <c r="C1358" t="s">
        <v>307</v>
      </c>
      <c r="D1358" t="s">
        <v>63</v>
      </c>
      <c r="E1358" t="s">
        <v>74</v>
      </c>
      <c r="F1358" t="s">
        <v>251</v>
      </c>
      <c r="G1358" t="s">
        <v>307</v>
      </c>
      <c r="H1358" t="s">
        <v>75</v>
      </c>
      <c r="I1358">
        <v>0</v>
      </c>
      <c r="J1358">
        <v>0</v>
      </c>
      <c r="K1358">
        <v>0</v>
      </c>
      <c r="L1358">
        <v>0</v>
      </c>
      <c r="M1358" t="s">
        <v>76</v>
      </c>
      <c r="N1358" t="s">
        <v>76</v>
      </c>
      <c r="O1358" t="s">
        <v>77</v>
      </c>
      <c r="P1358" t="s">
        <v>76</v>
      </c>
      <c r="S1358" t="s">
        <v>3792</v>
      </c>
    </row>
    <row r="1359" spans="1:19" x14ac:dyDescent="0.3">
      <c r="A1359" t="s">
        <v>3793</v>
      </c>
      <c r="B1359" t="s">
        <v>3794</v>
      </c>
      <c r="C1359" t="s">
        <v>73</v>
      </c>
      <c r="D1359" t="s">
        <v>35</v>
      </c>
      <c r="E1359" t="s">
        <v>80</v>
      </c>
      <c r="F1359" t="s">
        <v>73</v>
      </c>
      <c r="G1359" t="s">
        <v>3795</v>
      </c>
      <c r="H1359" t="s">
        <v>213</v>
      </c>
      <c r="I1359">
        <v>0</v>
      </c>
      <c r="J1359">
        <v>0</v>
      </c>
      <c r="K1359">
        <v>0</v>
      </c>
      <c r="L1359">
        <v>0</v>
      </c>
      <c r="M1359" t="s">
        <v>76</v>
      </c>
      <c r="N1359" t="s">
        <v>76</v>
      </c>
      <c r="O1359" t="s">
        <v>77</v>
      </c>
      <c r="P1359" t="s">
        <v>76</v>
      </c>
      <c r="S1359" t="s">
        <v>3794</v>
      </c>
    </row>
    <row r="1360" spans="1:19" x14ac:dyDescent="0.3">
      <c r="A1360" t="s">
        <v>3796</v>
      </c>
      <c r="B1360" t="s">
        <v>3797</v>
      </c>
      <c r="C1360" t="s">
        <v>73</v>
      </c>
      <c r="D1360" t="s">
        <v>63</v>
      </c>
      <c r="E1360" t="s">
        <v>64</v>
      </c>
      <c r="F1360" t="s">
        <v>73</v>
      </c>
      <c r="G1360" t="s">
        <v>542</v>
      </c>
      <c r="H1360" t="s">
        <v>75</v>
      </c>
      <c r="I1360">
        <v>0</v>
      </c>
      <c r="J1360">
        <v>0</v>
      </c>
      <c r="K1360">
        <v>0</v>
      </c>
      <c r="L1360">
        <v>0</v>
      </c>
      <c r="M1360" t="s">
        <v>76</v>
      </c>
      <c r="N1360" t="s">
        <v>76</v>
      </c>
      <c r="O1360" t="s">
        <v>77</v>
      </c>
      <c r="P1360" t="s">
        <v>76</v>
      </c>
      <c r="S1360" t="s">
        <v>3797</v>
      </c>
    </row>
    <row r="1361" spans="1:19" x14ac:dyDescent="0.3">
      <c r="A1361" t="s">
        <v>3798</v>
      </c>
      <c r="B1361" t="s">
        <v>3799</v>
      </c>
      <c r="C1361" t="s">
        <v>596</v>
      </c>
      <c r="D1361" t="s">
        <v>63</v>
      </c>
      <c r="E1361" t="s">
        <v>74</v>
      </c>
      <c r="F1361" t="s">
        <v>73</v>
      </c>
      <c r="G1361" t="s">
        <v>596</v>
      </c>
      <c r="H1361" t="s">
        <v>75</v>
      </c>
      <c r="I1361">
        <v>0</v>
      </c>
      <c r="J1361">
        <v>0</v>
      </c>
      <c r="K1361">
        <v>0</v>
      </c>
      <c r="L1361">
        <v>0</v>
      </c>
      <c r="M1361" t="s">
        <v>76</v>
      </c>
      <c r="N1361" t="s">
        <v>76</v>
      </c>
      <c r="O1361" t="s">
        <v>77</v>
      </c>
      <c r="P1361" t="s">
        <v>76</v>
      </c>
      <c r="S1361" t="s">
        <v>3799</v>
      </c>
    </row>
    <row r="1362" spans="1:19" x14ac:dyDescent="0.3">
      <c r="A1362" t="s">
        <v>3800</v>
      </c>
      <c r="B1362" t="s">
        <v>3801</v>
      </c>
      <c r="C1362" t="s">
        <v>43</v>
      </c>
      <c r="D1362" t="s">
        <v>35</v>
      </c>
      <c r="E1362" t="s">
        <v>36</v>
      </c>
      <c r="F1362" t="s">
        <v>45</v>
      </c>
      <c r="G1362" t="s">
        <v>43</v>
      </c>
      <c r="H1362" t="s">
        <v>26</v>
      </c>
      <c r="I1362">
        <v>0</v>
      </c>
      <c r="J1362">
        <v>0</v>
      </c>
      <c r="K1362">
        <v>0</v>
      </c>
      <c r="L1362">
        <v>0</v>
      </c>
      <c r="M1362" t="s">
        <v>76</v>
      </c>
      <c r="N1362" t="s">
        <v>76</v>
      </c>
      <c r="O1362" t="s">
        <v>77</v>
      </c>
      <c r="P1362" t="s">
        <v>76</v>
      </c>
      <c r="S1362" t="s">
        <v>3801</v>
      </c>
    </row>
    <row r="1363" spans="1:19" x14ac:dyDescent="0.3">
      <c r="A1363" t="s">
        <v>3802</v>
      </c>
      <c r="B1363" t="s">
        <v>3803</v>
      </c>
      <c r="C1363" t="s">
        <v>45</v>
      </c>
      <c r="D1363" t="s">
        <v>63</v>
      </c>
      <c r="E1363" t="s">
        <v>74</v>
      </c>
      <c r="F1363" t="s">
        <v>45</v>
      </c>
      <c r="G1363" t="s">
        <v>3804</v>
      </c>
      <c r="H1363" t="s">
        <v>26</v>
      </c>
      <c r="I1363">
        <v>0</v>
      </c>
      <c r="J1363">
        <v>0</v>
      </c>
      <c r="K1363">
        <v>0</v>
      </c>
      <c r="L1363">
        <v>0</v>
      </c>
      <c r="M1363" t="s">
        <v>76</v>
      </c>
      <c r="N1363" t="s">
        <v>76</v>
      </c>
      <c r="O1363" t="s">
        <v>77</v>
      </c>
      <c r="P1363" t="s">
        <v>76</v>
      </c>
      <c r="S1363" t="s">
        <v>3803</v>
      </c>
    </row>
    <row r="1364" spans="1:19" x14ac:dyDescent="0.3">
      <c r="A1364" t="s">
        <v>3805</v>
      </c>
      <c r="B1364" t="s">
        <v>3806</v>
      </c>
      <c r="C1364" t="s">
        <v>251</v>
      </c>
      <c r="D1364" t="s">
        <v>63</v>
      </c>
      <c r="E1364" t="s">
        <v>1132</v>
      </c>
      <c r="F1364" t="s">
        <v>251</v>
      </c>
      <c r="G1364" t="s">
        <v>307</v>
      </c>
      <c r="H1364" t="s">
        <v>75</v>
      </c>
      <c r="I1364">
        <v>0</v>
      </c>
      <c r="J1364">
        <v>0</v>
      </c>
      <c r="K1364">
        <v>0</v>
      </c>
      <c r="L1364">
        <v>0</v>
      </c>
      <c r="S1364" t="s">
        <v>3806</v>
      </c>
    </row>
    <row r="1365" spans="1:19" x14ac:dyDescent="0.3">
      <c r="A1365" t="s">
        <v>3807</v>
      </c>
      <c r="B1365" t="s">
        <v>3808</v>
      </c>
      <c r="C1365" t="s">
        <v>196</v>
      </c>
      <c r="D1365" t="s">
        <v>63</v>
      </c>
      <c r="E1365" t="s">
        <v>74</v>
      </c>
      <c r="F1365" t="s">
        <v>228</v>
      </c>
      <c r="G1365" t="s">
        <v>196</v>
      </c>
      <c r="H1365" t="s">
        <v>75</v>
      </c>
      <c r="I1365">
        <v>0</v>
      </c>
      <c r="J1365">
        <v>0</v>
      </c>
      <c r="K1365">
        <v>0</v>
      </c>
      <c r="L1365">
        <v>0</v>
      </c>
      <c r="M1365" t="s">
        <v>76</v>
      </c>
      <c r="N1365" t="s">
        <v>76</v>
      </c>
      <c r="O1365" t="s">
        <v>77</v>
      </c>
      <c r="P1365" t="s">
        <v>76</v>
      </c>
      <c r="S1365" t="s">
        <v>3808</v>
      </c>
    </row>
    <row r="1366" spans="1:19" x14ac:dyDescent="0.3">
      <c r="A1366" t="s">
        <v>3809</v>
      </c>
      <c r="B1366" t="s">
        <v>3810</v>
      </c>
      <c r="C1366" t="s">
        <v>307</v>
      </c>
      <c r="D1366" t="s">
        <v>63</v>
      </c>
      <c r="E1366" t="s">
        <v>1751</v>
      </c>
      <c r="F1366" t="s">
        <v>251</v>
      </c>
      <c r="G1366" t="s">
        <v>307</v>
      </c>
      <c r="H1366" t="s">
        <v>75</v>
      </c>
      <c r="I1366">
        <v>0</v>
      </c>
      <c r="J1366">
        <v>0</v>
      </c>
      <c r="K1366">
        <v>0</v>
      </c>
      <c r="L1366">
        <v>0</v>
      </c>
      <c r="M1366" t="s">
        <v>76</v>
      </c>
      <c r="N1366" t="s">
        <v>76</v>
      </c>
      <c r="O1366" t="s">
        <v>77</v>
      </c>
      <c r="P1366" t="s">
        <v>76</v>
      </c>
      <c r="S1366" t="s">
        <v>3810</v>
      </c>
    </row>
    <row r="1367" spans="1:19" x14ac:dyDescent="0.3">
      <c r="A1367" t="s">
        <v>3811</v>
      </c>
      <c r="B1367" t="s">
        <v>3812</v>
      </c>
      <c r="C1367" t="s">
        <v>307</v>
      </c>
      <c r="D1367" t="s">
        <v>63</v>
      </c>
      <c r="E1367" t="s">
        <v>74</v>
      </c>
      <c r="F1367" t="s">
        <v>251</v>
      </c>
      <c r="G1367" t="s">
        <v>307</v>
      </c>
      <c r="H1367" t="s">
        <v>75</v>
      </c>
      <c r="I1367">
        <v>0</v>
      </c>
      <c r="J1367">
        <v>0</v>
      </c>
      <c r="K1367">
        <v>0</v>
      </c>
      <c r="L1367">
        <v>0</v>
      </c>
      <c r="M1367" t="s">
        <v>76</v>
      </c>
      <c r="N1367" t="s">
        <v>76</v>
      </c>
      <c r="O1367" t="s">
        <v>77</v>
      </c>
      <c r="P1367" t="s">
        <v>76</v>
      </c>
      <c r="S1367" t="s">
        <v>3812</v>
      </c>
    </row>
    <row r="1368" spans="1:19" x14ac:dyDescent="0.3">
      <c r="A1368" t="s">
        <v>3813</v>
      </c>
      <c r="B1368" t="s">
        <v>3814</v>
      </c>
      <c r="C1368" t="s">
        <v>307</v>
      </c>
      <c r="D1368" t="s">
        <v>63</v>
      </c>
      <c r="E1368" t="s">
        <v>74</v>
      </c>
      <c r="F1368" t="s">
        <v>251</v>
      </c>
      <c r="G1368" t="s">
        <v>307</v>
      </c>
      <c r="H1368" t="s">
        <v>75</v>
      </c>
      <c r="I1368">
        <v>0</v>
      </c>
      <c r="J1368">
        <v>0</v>
      </c>
      <c r="K1368">
        <v>0</v>
      </c>
      <c r="L1368">
        <v>0</v>
      </c>
      <c r="M1368" t="s">
        <v>76</v>
      </c>
      <c r="N1368" t="s">
        <v>76</v>
      </c>
      <c r="O1368" t="s">
        <v>77</v>
      </c>
      <c r="P1368" t="s">
        <v>76</v>
      </c>
      <c r="S1368" t="s">
        <v>3814</v>
      </c>
    </row>
    <row r="1369" spans="1:19" x14ac:dyDescent="0.3">
      <c r="A1369" t="s">
        <v>3815</v>
      </c>
      <c r="B1369" t="s">
        <v>342</v>
      </c>
      <c r="C1369" t="s">
        <v>1053</v>
      </c>
      <c r="D1369" t="s">
        <v>63</v>
      </c>
      <c r="E1369" t="s">
        <v>74</v>
      </c>
      <c r="F1369" t="s">
        <v>314</v>
      </c>
      <c r="G1369" t="s">
        <v>1053</v>
      </c>
      <c r="H1369" t="s">
        <v>75</v>
      </c>
      <c r="I1369">
        <v>0</v>
      </c>
      <c r="J1369">
        <v>0</v>
      </c>
      <c r="K1369">
        <v>0</v>
      </c>
      <c r="L1369">
        <v>0</v>
      </c>
      <c r="M1369" t="s">
        <v>76</v>
      </c>
      <c r="N1369" t="s">
        <v>76</v>
      </c>
      <c r="O1369" t="s">
        <v>77</v>
      </c>
      <c r="P1369" t="s">
        <v>76</v>
      </c>
      <c r="S1369" t="s">
        <v>342</v>
      </c>
    </row>
    <row r="1370" spans="1:19" x14ac:dyDescent="0.3">
      <c r="A1370" t="s">
        <v>3816</v>
      </c>
      <c r="B1370" t="s">
        <v>3817</v>
      </c>
      <c r="E1370" t="s">
        <v>54</v>
      </c>
      <c r="F1370" t="s">
        <v>750</v>
      </c>
      <c r="G1370" t="s">
        <v>307</v>
      </c>
      <c r="H1370" t="s">
        <v>75</v>
      </c>
      <c r="I1370">
        <v>0</v>
      </c>
      <c r="J1370">
        <v>0</v>
      </c>
      <c r="K1370">
        <v>0</v>
      </c>
      <c r="L1370">
        <v>0</v>
      </c>
      <c r="M1370" t="s">
        <v>76</v>
      </c>
      <c r="N1370" t="s">
        <v>76</v>
      </c>
      <c r="O1370" t="s">
        <v>77</v>
      </c>
      <c r="P1370" t="s">
        <v>76</v>
      </c>
      <c r="S1370" t="s">
        <v>3817</v>
      </c>
    </row>
    <row r="1371" spans="1:19" x14ac:dyDescent="0.3">
      <c r="A1371" t="s">
        <v>3818</v>
      </c>
      <c r="B1371" t="s">
        <v>3819</v>
      </c>
      <c r="C1371" t="s">
        <v>307</v>
      </c>
      <c r="D1371" t="s">
        <v>63</v>
      </c>
      <c r="E1371" t="s">
        <v>74</v>
      </c>
      <c r="F1371" t="s">
        <v>251</v>
      </c>
      <c r="G1371" t="s">
        <v>307</v>
      </c>
      <c r="H1371" t="s">
        <v>75</v>
      </c>
      <c r="I1371">
        <v>0</v>
      </c>
      <c r="J1371">
        <v>0</v>
      </c>
      <c r="K1371">
        <v>0</v>
      </c>
      <c r="L1371">
        <v>0</v>
      </c>
      <c r="M1371" t="s">
        <v>76</v>
      </c>
      <c r="N1371" t="s">
        <v>76</v>
      </c>
      <c r="O1371" t="s">
        <v>77</v>
      </c>
      <c r="P1371" t="s">
        <v>76</v>
      </c>
      <c r="S1371" t="s">
        <v>3819</v>
      </c>
    </row>
    <row r="1372" spans="1:19" x14ac:dyDescent="0.3">
      <c r="A1372" t="s">
        <v>3820</v>
      </c>
      <c r="B1372" t="s">
        <v>3821</v>
      </c>
      <c r="C1372" t="s">
        <v>196</v>
      </c>
      <c r="D1372" t="s">
        <v>63</v>
      </c>
      <c r="E1372" t="s">
        <v>74</v>
      </c>
      <c r="F1372" t="s">
        <v>228</v>
      </c>
      <c r="G1372" t="s">
        <v>196</v>
      </c>
      <c r="H1372" t="s">
        <v>75</v>
      </c>
      <c r="I1372">
        <v>0</v>
      </c>
      <c r="J1372">
        <v>0</v>
      </c>
      <c r="K1372">
        <v>0</v>
      </c>
      <c r="L1372">
        <v>0</v>
      </c>
      <c r="M1372" t="s">
        <v>76</v>
      </c>
      <c r="N1372" t="s">
        <v>76</v>
      </c>
      <c r="O1372" t="s">
        <v>77</v>
      </c>
      <c r="P1372" t="s">
        <v>76</v>
      </c>
      <c r="S1372" t="s">
        <v>3821</v>
      </c>
    </row>
    <row r="1373" spans="1:19" x14ac:dyDescent="0.3">
      <c r="A1373" t="s">
        <v>3822</v>
      </c>
      <c r="B1373" t="s">
        <v>3823</v>
      </c>
      <c r="C1373" t="s">
        <v>196</v>
      </c>
      <c r="D1373" t="s">
        <v>35</v>
      </c>
      <c r="E1373" t="s">
        <v>80</v>
      </c>
      <c r="F1373" t="s">
        <v>228</v>
      </c>
      <c r="G1373" t="s">
        <v>196</v>
      </c>
      <c r="H1373" t="s">
        <v>75</v>
      </c>
      <c r="I1373">
        <v>0</v>
      </c>
      <c r="J1373">
        <v>0</v>
      </c>
      <c r="K1373">
        <v>0</v>
      </c>
      <c r="L1373">
        <v>0</v>
      </c>
      <c r="M1373" t="s">
        <v>76</v>
      </c>
      <c r="N1373" t="s">
        <v>76</v>
      </c>
      <c r="O1373" t="s">
        <v>77</v>
      </c>
      <c r="P1373" t="s">
        <v>76</v>
      </c>
      <c r="S1373" t="s">
        <v>3823</v>
      </c>
    </row>
    <row r="1374" spans="1:19" x14ac:dyDescent="0.3">
      <c r="A1374" t="s">
        <v>3824</v>
      </c>
      <c r="B1374" t="s">
        <v>3825</v>
      </c>
      <c r="C1374" t="s">
        <v>21</v>
      </c>
      <c r="D1374" t="s">
        <v>35</v>
      </c>
      <c r="E1374" t="s">
        <v>80</v>
      </c>
      <c r="F1374" t="s">
        <v>24</v>
      </c>
      <c r="G1374" t="s">
        <v>21</v>
      </c>
      <c r="H1374" t="s">
        <v>26</v>
      </c>
      <c r="I1374">
        <v>0</v>
      </c>
      <c r="J1374">
        <v>0</v>
      </c>
      <c r="K1374">
        <v>0</v>
      </c>
      <c r="L1374">
        <v>0</v>
      </c>
      <c r="M1374" t="s">
        <v>76</v>
      </c>
      <c r="N1374" t="s">
        <v>76</v>
      </c>
      <c r="O1374" t="s">
        <v>77</v>
      </c>
      <c r="P1374" t="s">
        <v>76</v>
      </c>
      <c r="S1374" t="s">
        <v>3825</v>
      </c>
    </row>
    <row r="1375" spans="1:19" x14ac:dyDescent="0.3">
      <c r="A1375" t="s">
        <v>3826</v>
      </c>
      <c r="B1375" t="s">
        <v>3827</v>
      </c>
      <c r="C1375" t="s">
        <v>114</v>
      </c>
      <c r="D1375" t="s">
        <v>63</v>
      </c>
      <c r="E1375" t="s">
        <v>74</v>
      </c>
      <c r="F1375" t="s">
        <v>114</v>
      </c>
      <c r="G1375" t="s">
        <v>115</v>
      </c>
      <c r="H1375" t="s">
        <v>75</v>
      </c>
      <c r="I1375">
        <v>0</v>
      </c>
      <c r="J1375">
        <v>0</v>
      </c>
      <c r="K1375">
        <v>0</v>
      </c>
      <c r="L1375">
        <v>0</v>
      </c>
      <c r="M1375" t="s">
        <v>76</v>
      </c>
      <c r="N1375" t="s">
        <v>76</v>
      </c>
      <c r="O1375" t="s">
        <v>77</v>
      </c>
      <c r="P1375" t="s">
        <v>76</v>
      </c>
      <c r="S1375" t="s">
        <v>3827</v>
      </c>
    </row>
    <row r="1376" spans="1:19" x14ac:dyDescent="0.3">
      <c r="A1376" t="s">
        <v>3828</v>
      </c>
      <c r="B1376" t="s">
        <v>3829</v>
      </c>
      <c r="C1376" t="s">
        <v>243</v>
      </c>
      <c r="D1376" t="s">
        <v>63</v>
      </c>
      <c r="E1376" t="s">
        <v>74</v>
      </c>
      <c r="F1376" t="s">
        <v>243</v>
      </c>
      <c r="G1376" t="s">
        <v>244</v>
      </c>
      <c r="H1376" t="s">
        <v>75</v>
      </c>
      <c r="I1376">
        <v>0</v>
      </c>
      <c r="J1376">
        <v>0</v>
      </c>
      <c r="K1376">
        <v>0</v>
      </c>
      <c r="L1376">
        <v>0</v>
      </c>
      <c r="M1376" t="s">
        <v>76</v>
      </c>
      <c r="N1376" t="s">
        <v>76</v>
      </c>
      <c r="O1376" t="s">
        <v>77</v>
      </c>
      <c r="P1376" t="s">
        <v>76</v>
      </c>
      <c r="S1376" t="s">
        <v>3829</v>
      </c>
    </row>
    <row r="1377" spans="1:19" x14ac:dyDescent="0.3">
      <c r="A1377" t="s">
        <v>3830</v>
      </c>
      <c r="B1377" t="s">
        <v>3831</v>
      </c>
      <c r="C1377" t="s">
        <v>1053</v>
      </c>
      <c r="D1377" t="s">
        <v>63</v>
      </c>
      <c r="E1377" t="s">
        <v>74</v>
      </c>
      <c r="F1377" t="s">
        <v>314</v>
      </c>
      <c r="G1377" t="s">
        <v>1053</v>
      </c>
      <c r="H1377" t="s">
        <v>75</v>
      </c>
      <c r="I1377">
        <v>0</v>
      </c>
      <c r="J1377">
        <v>0</v>
      </c>
      <c r="K1377">
        <v>0</v>
      </c>
      <c r="L1377">
        <v>0</v>
      </c>
      <c r="M1377" t="s">
        <v>76</v>
      </c>
      <c r="N1377" t="s">
        <v>76</v>
      </c>
      <c r="O1377" t="s">
        <v>77</v>
      </c>
      <c r="P1377" t="s">
        <v>76</v>
      </c>
      <c r="S1377" t="s">
        <v>3831</v>
      </c>
    </row>
    <row r="1378" spans="1:19" x14ac:dyDescent="0.3">
      <c r="A1378" t="s">
        <v>3832</v>
      </c>
      <c r="B1378" t="s">
        <v>3833</v>
      </c>
      <c r="C1378" t="s">
        <v>114</v>
      </c>
      <c r="D1378" t="s">
        <v>63</v>
      </c>
      <c r="E1378" t="s">
        <v>331</v>
      </c>
      <c r="F1378" t="s">
        <v>114</v>
      </c>
      <c r="G1378" t="s">
        <v>3834</v>
      </c>
      <c r="H1378" t="s">
        <v>213</v>
      </c>
      <c r="I1378">
        <v>0</v>
      </c>
      <c r="J1378">
        <v>0</v>
      </c>
      <c r="K1378">
        <v>0</v>
      </c>
      <c r="L1378">
        <v>0</v>
      </c>
      <c r="S1378" t="s">
        <v>3833</v>
      </c>
    </row>
    <row r="1379" spans="1:19" x14ac:dyDescent="0.3">
      <c r="A1379" t="s">
        <v>3835</v>
      </c>
      <c r="B1379" t="s">
        <v>3836</v>
      </c>
      <c r="C1379" t="s">
        <v>114</v>
      </c>
      <c r="D1379" t="s">
        <v>63</v>
      </c>
      <c r="E1379" t="s">
        <v>331</v>
      </c>
      <c r="F1379" t="s">
        <v>114</v>
      </c>
      <c r="G1379" t="s">
        <v>3837</v>
      </c>
      <c r="H1379" t="s">
        <v>317</v>
      </c>
      <c r="I1379">
        <v>0</v>
      </c>
      <c r="J1379">
        <v>0</v>
      </c>
      <c r="K1379">
        <v>0</v>
      </c>
      <c r="L1379">
        <v>0</v>
      </c>
      <c r="S1379" t="s">
        <v>3836</v>
      </c>
    </row>
    <row r="1380" spans="1:19" x14ac:dyDescent="0.3">
      <c r="A1380" t="s">
        <v>3838</v>
      </c>
      <c r="B1380" t="s">
        <v>3839</v>
      </c>
      <c r="C1380" t="s">
        <v>243</v>
      </c>
      <c r="D1380" t="s">
        <v>63</v>
      </c>
      <c r="E1380" t="s">
        <v>74</v>
      </c>
      <c r="F1380" t="s">
        <v>243</v>
      </c>
      <c r="G1380" t="s">
        <v>3840</v>
      </c>
      <c r="H1380" t="s">
        <v>213</v>
      </c>
      <c r="I1380">
        <v>0</v>
      </c>
      <c r="J1380">
        <v>0</v>
      </c>
      <c r="K1380">
        <v>0</v>
      </c>
      <c r="L1380">
        <v>0</v>
      </c>
      <c r="S1380" t="s">
        <v>3839</v>
      </c>
    </row>
    <row r="1381" spans="1:19" x14ac:dyDescent="0.3">
      <c r="A1381" t="s">
        <v>3841</v>
      </c>
      <c r="B1381" t="s">
        <v>3842</v>
      </c>
      <c r="C1381" t="s">
        <v>24</v>
      </c>
      <c r="D1381" t="s">
        <v>63</v>
      </c>
      <c r="E1381" t="s">
        <v>74</v>
      </c>
      <c r="F1381" t="s">
        <v>24</v>
      </c>
      <c r="G1381" t="s">
        <v>3843</v>
      </c>
      <c r="H1381" t="s">
        <v>26</v>
      </c>
      <c r="I1381">
        <v>0</v>
      </c>
      <c r="J1381">
        <v>0</v>
      </c>
      <c r="K1381">
        <v>0</v>
      </c>
      <c r="L1381">
        <v>0</v>
      </c>
      <c r="M1381" t="s">
        <v>76</v>
      </c>
      <c r="N1381" t="s">
        <v>76</v>
      </c>
      <c r="O1381" t="s">
        <v>77</v>
      </c>
      <c r="P1381" t="s">
        <v>76</v>
      </c>
      <c r="S1381" t="s">
        <v>3842</v>
      </c>
    </row>
    <row r="1382" spans="1:19" x14ac:dyDescent="0.3">
      <c r="A1382" t="s">
        <v>3844</v>
      </c>
      <c r="B1382" t="s">
        <v>3845</v>
      </c>
      <c r="C1382" t="s">
        <v>307</v>
      </c>
      <c r="D1382" t="s">
        <v>63</v>
      </c>
      <c r="E1382" t="s">
        <v>74</v>
      </c>
      <c r="F1382" t="s">
        <v>251</v>
      </c>
      <c r="G1382" t="s">
        <v>307</v>
      </c>
      <c r="H1382" t="s">
        <v>75</v>
      </c>
      <c r="I1382">
        <v>0</v>
      </c>
      <c r="J1382">
        <v>0</v>
      </c>
      <c r="K1382">
        <v>0</v>
      </c>
      <c r="L1382">
        <v>0</v>
      </c>
      <c r="M1382" t="s">
        <v>76</v>
      </c>
      <c r="N1382" t="s">
        <v>76</v>
      </c>
      <c r="O1382" t="s">
        <v>77</v>
      </c>
      <c r="P1382" t="s">
        <v>76</v>
      </c>
      <c r="S1382" t="s">
        <v>3845</v>
      </c>
    </row>
    <row r="1383" spans="1:19" x14ac:dyDescent="0.3">
      <c r="A1383" t="s">
        <v>3846</v>
      </c>
      <c r="B1383" t="s">
        <v>3847</v>
      </c>
      <c r="C1383" t="s">
        <v>43</v>
      </c>
      <c r="D1383" t="s">
        <v>63</v>
      </c>
      <c r="E1383" t="s">
        <v>74</v>
      </c>
      <c r="F1383" t="s">
        <v>45</v>
      </c>
      <c r="G1383" t="s">
        <v>43</v>
      </c>
      <c r="H1383" t="s">
        <v>26</v>
      </c>
      <c r="I1383">
        <v>0</v>
      </c>
      <c r="J1383">
        <v>0</v>
      </c>
      <c r="K1383">
        <v>0</v>
      </c>
      <c r="L1383">
        <v>0</v>
      </c>
      <c r="M1383" t="s">
        <v>76</v>
      </c>
      <c r="N1383" t="s">
        <v>76</v>
      </c>
      <c r="O1383" t="s">
        <v>77</v>
      </c>
      <c r="P1383" t="s">
        <v>76</v>
      </c>
      <c r="S1383" t="s">
        <v>3847</v>
      </c>
    </row>
    <row r="1384" spans="1:19" x14ac:dyDescent="0.3">
      <c r="A1384" t="s">
        <v>3848</v>
      </c>
      <c r="B1384" t="s">
        <v>3849</v>
      </c>
      <c r="C1384" t="s">
        <v>596</v>
      </c>
      <c r="D1384" t="s">
        <v>63</v>
      </c>
      <c r="E1384" t="s">
        <v>74</v>
      </c>
      <c r="F1384" t="s">
        <v>73</v>
      </c>
      <c r="G1384" t="s">
        <v>596</v>
      </c>
      <c r="H1384" t="s">
        <v>75</v>
      </c>
      <c r="I1384">
        <v>0</v>
      </c>
      <c r="J1384">
        <v>0</v>
      </c>
      <c r="K1384">
        <v>0</v>
      </c>
      <c r="L1384">
        <v>0</v>
      </c>
      <c r="M1384" t="s">
        <v>76</v>
      </c>
      <c r="N1384" t="s">
        <v>76</v>
      </c>
      <c r="O1384" t="s">
        <v>77</v>
      </c>
      <c r="P1384" t="s">
        <v>76</v>
      </c>
      <c r="S1384" t="s">
        <v>3849</v>
      </c>
    </row>
    <row r="1385" spans="1:19" x14ac:dyDescent="0.3">
      <c r="A1385" t="s">
        <v>3850</v>
      </c>
      <c r="B1385" t="s">
        <v>3851</v>
      </c>
      <c r="C1385" t="s">
        <v>43</v>
      </c>
      <c r="D1385" t="s">
        <v>63</v>
      </c>
      <c r="E1385" t="s">
        <v>74</v>
      </c>
      <c r="F1385" t="s">
        <v>45</v>
      </c>
      <c r="G1385" t="s">
        <v>43</v>
      </c>
      <c r="H1385" t="s">
        <v>26</v>
      </c>
      <c r="I1385">
        <v>0</v>
      </c>
      <c r="J1385">
        <v>0</v>
      </c>
      <c r="K1385">
        <v>0</v>
      </c>
      <c r="L1385">
        <v>0</v>
      </c>
      <c r="M1385" t="s">
        <v>76</v>
      </c>
      <c r="N1385" t="s">
        <v>76</v>
      </c>
      <c r="O1385" t="s">
        <v>77</v>
      </c>
      <c r="P1385" t="s">
        <v>76</v>
      </c>
      <c r="S1385" t="s">
        <v>3851</v>
      </c>
    </row>
    <row r="1386" spans="1:19" x14ac:dyDescent="0.3">
      <c r="A1386" t="s">
        <v>3852</v>
      </c>
      <c r="B1386" t="s">
        <v>3853</v>
      </c>
      <c r="C1386" t="s">
        <v>21</v>
      </c>
      <c r="D1386" t="s">
        <v>63</v>
      </c>
      <c r="E1386" t="s">
        <v>74</v>
      </c>
      <c r="F1386" t="s">
        <v>24</v>
      </c>
      <c r="G1386" t="s">
        <v>21</v>
      </c>
      <c r="H1386" t="s">
        <v>26</v>
      </c>
      <c r="I1386">
        <v>0</v>
      </c>
      <c r="J1386">
        <v>0</v>
      </c>
      <c r="K1386">
        <v>0</v>
      </c>
      <c r="L1386">
        <v>0</v>
      </c>
      <c r="M1386" t="s">
        <v>76</v>
      </c>
      <c r="N1386" t="s">
        <v>76</v>
      </c>
      <c r="O1386" t="s">
        <v>77</v>
      </c>
      <c r="P1386" t="s">
        <v>76</v>
      </c>
      <c r="S1386" t="s">
        <v>3853</v>
      </c>
    </row>
    <row r="1387" spans="1:19" x14ac:dyDescent="0.3">
      <c r="A1387" t="s">
        <v>3854</v>
      </c>
      <c r="B1387" t="s">
        <v>3855</v>
      </c>
      <c r="C1387" t="s">
        <v>24</v>
      </c>
      <c r="D1387" t="s">
        <v>63</v>
      </c>
      <c r="E1387" t="s">
        <v>74</v>
      </c>
      <c r="F1387" t="s">
        <v>24</v>
      </c>
      <c r="G1387" t="s">
        <v>3854</v>
      </c>
      <c r="H1387" t="s">
        <v>26</v>
      </c>
      <c r="I1387">
        <v>0</v>
      </c>
      <c r="J1387">
        <v>0</v>
      </c>
      <c r="K1387">
        <v>0</v>
      </c>
      <c r="L1387">
        <v>0</v>
      </c>
      <c r="M1387" t="s">
        <v>239</v>
      </c>
      <c r="N1387" t="s">
        <v>239</v>
      </c>
      <c r="O1387" t="s">
        <v>240</v>
      </c>
      <c r="P1387" t="s">
        <v>239</v>
      </c>
      <c r="S1387" t="s">
        <v>3855</v>
      </c>
    </row>
    <row r="1388" spans="1:19" x14ac:dyDescent="0.3">
      <c r="A1388" t="s">
        <v>3856</v>
      </c>
      <c r="B1388" t="s">
        <v>3857</v>
      </c>
      <c r="C1388" t="s">
        <v>596</v>
      </c>
      <c r="D1388" t="s">
        <v>63</v>
      </c>
      <c r="E1388" t="s">
        <v>74</v>
      </c>
      <c r="F1388" t="s">
        <v>73</v>
      </c>
      <c r="G1388" t="s">
        <v>596</v>
      </c>
      <c r="H1388" t="s">
        <v>75</v>
      </c>
      <c r="I1388">
        <v>0</v>
      </c>
      <c r="J1388">
        <v>0</v>
      </c>
      <c r="K1388">
        <v>0</v>
      </c>
      <c r="L1388">
        <v>0</v>
      </c>
      <c r="M1388" t="s">
        <v>76</v>
      </c>
      <c r="N1388" t="s">
        <v>76</v>
      </c>
      <c r="O1388" t="s">
        <v>77</v>
      </c>
      <c r="P1388" t="s">
        <v>76</v>
      </c>
      <c r="S1388" t="s">
        <v>3857</v>
      </c>
    </row>
    <row r="1389" spans="1:19" x14ac:dyDescent="0.3">
      <c r="A1389" t="s">
        <v>2204</v>
      </c>
      <c r="B1389" t="s">
        <v>3858</v>
      </c>
      <c r="C1389" t="s">
        <v>24</v>
      </c>
      <c r="D1389" t="s">
        <v>63</v>
      </c>
      <c r="E1389" t="s">
        <v>74</v>
      </c>
      <c r="F1389" t="s">
        <v>24</v>
      </c>
      <c r="G1389" t="s">
        <v>2204</v>
      </c>
      <c r="H1389" t="s">
        <v>26</v>
      </c>
      <c r="I1389">
        <v>0</v>
      </c>
      <c r="J1389">
        <v>0</v>
      </c>
      <c r="K1389">
        <v>0</v>
      </c>
      <c r="L1389">
        <v>0</v>
      </c>
      <c r="M1389" t="s">
        <v>76</v>
      </c>
      <c r="N1389" t="s">
        <v>76</v>
      </c>
      <c r="O1389" t="s">
        <v>77</v>
      </c>
      <c r="P1389" t="s">
        <v>76</v>
      </c>
      <c r="S1389" t="s">
        <v>3858</v>
      </c>
    </row>
    <row r="1390" spans="1:19" x14ac:dyDescent="0.3">
      <c r="A1390" t="s">
        <v>3859</v>
      </c>
      <c r="B1390" t="s">
        <v>3860</v>
      </c>
      <c r="C1390" t="s">
        <v>314</v>
      </c>
      <c r="D1390" t="s">
        <v>63</v>
      </c>
      <c r="E1390" t="s">
        <v>1751</v>
      </c>
      <c r="F1390" t="s">
        <v>314</v>
      </c>
      <c r="G1390" t="s">
        <v>3859</v>
      </c>
      <c r="H1390" t="s">
        <v>317</v>
      </c>
      <c r="I1390">
        <v>0</v>
      </c>
      <c r="J1390">
        <v>0</v>
      </c>
      <c r="K1390">
        <v>0</v>
      </c>
      <c r="L1390">
        <v>0</v>
      </c>
      <c r="M1390" t="s">
        <v>76</v>
      </c>
      <c r="N1390" t="s">
        <v>76</v>
      </c>
      <c r="O1390" t="s">
        <v>77</v>
      </c>
      <c r="P1390" t="s">
        <v>76</v>
      </c>
      <c r="S1390" t="s">
        <v>3860</v>
      </c>
    </row>
    <row r="1391" spans="1:19" x14ac:dyDescent="0.3">
      <c r="A1391" t="s">
        <v>3861</v>
      </c>
      <c r="B1391" t="s">
        <v>3862</v>
      </c>
      <c r="C1391" t="s">
        <v>24</v>
      </c>
      <c r="D1391" t="s">
        <v>63</v>
      </c>
      <c r="E1391" t="s">
        <v>2033</v>
      </c>
      <c r="F1391" t="s">
        <v>24</v>
      </c>
      <c r="G1391" t="s">
        <v>650</v>
      </c>
      <c r="H1391" t="s">
        <v>26</v>
      </c>
      <c r="I1391">
        <v>0</v>
      </c>
      <c r="J1391">
        <v>0</v>
      </c>
      <c r="K1391">
        <v>0</v>
      </c>
      <c r="L1391">
        <v>0</v>
      </c>
      <c r="M1391" t="s">
        <v>76</v>
      </c>
      <c r="N1391" t="s">
        <v>76</v>
      </c>
      <c r="O1391" t="s">
        <v>77</v>
      </c>
      <c r="P1391" t="s">
        <v>76</v>
      </c>
      <c r="S1391" t="s">
        <v>3862</v>
      </c>
    </row>
    <row r="1392" spans="1:19" x14ac:dyDescent="0.3">
      <c r="A1392" t="s">
        <v>3863</v>
      </c>
      <c r="B1392" t="s">
        <v>3864</v>
      </c>
      <c r="C1392" t="s">
        <v>24</v>
      </c>
      <c r="D1392" t="s">
        <v>35</v>
      </c>
      <c r="E1392" t="s">
        <v>80</v>
      </c>
      <c r="F1392" t="s">
        <v>24</v>
      </c>
      <c r="G1392" t="s">
        <v>3865</v>
      </c>
      <c r="H1392" t="s">
        <v>213</v>
      </c>
      <c r="I1392">
        <v>0</v>
      </c>
      <c r="J1392">
        <v>0</v>
      </c>
      <c r="K1392">
        <v>0</v>
      </c>
      <c r="L1392">
        <v>0</v>
      </c>
      <c r="M1392" t="s">
        <v>76</v>
      </c>
      <c r="N1392" t="s">
        <v>76</v>
      </c>
      <c r="O1392" t="s">
        <v>77</v>
      </c>
      <c r="P1392" t="s">
        <v>76</v>
      </c>
      <c r="S1392" t="s">
        <v>3864</v>
      </c>
    </row>
    <row r="1393" spans="1:19" x14ac:dyDescent="0.3">
      <c r="A1393" t="s">
        <v>3866</v>
      </c>
      <c r="B1393" t="s">
        <v>3867</v>
      </c>
      <c r="C1393" t="s">
        <v>114</v>
      </c>
      <c r="D1393" t="s">
        <v>63</v>
      </c>
      <c r="E1393" t="s">
        <v>323</v>
      </c>
      <c r="F1393" t="s">
        <v>114</v>
      </c>
      <c r="G1393" t="s">
        <v>3866</v>
      </c>
      <c r="H1393" t="s">
        <v>317</v>
      </c>
      <c r="I1393">
        <v>0</v>
      </c>
      <c r="J1393">
        <v>0</v>
      </c>
      <c r="K1393">
        <v>0</v>
      </c>
      <c r="L1393">
        <v>0</v>
      </c>
      <c r="M1393" t="s">
        <v>76</v>
      </c>
      <c r="N1393" t="s">
        <v>76</v>
      </c>
      <c r="O1393" t="s">
        <v>77</v>
      </c>
      <c r="P1393" t="s">
        <v>76</v>
      </c>
      <c r="S1393" t="s">
        <v>3867</v>
      </c>
    </row>
    <row r="1394" spans="1:19" x14ac:dyDescent="0.3">
      <c r="A1394" t="s">
        <v>3868</v>
      </c>
      <c r="B1394" t="s">
        <v>3869</v>
      </c>
      <c r="C1394" t="s">
        <v>73</v>
      </c>
      <c r="D1394" t="s">
        <v>63</v>
      </c>
      <c r="E1394" t="s">
        <v>74</v>
      </c>
      <c r="F1394" t="s">
        <v>73</v>
      </c>
      <c r="G1394" t="s">
        <v>741</v>
      </c>
      <c r="H1394" t="s">
        <v>75</v>
      </c>
      <c r="I1394">
        <v>0</v>
      </c>
      <c r="J1394">
        <v>0</v>
      </c>
      <c r="K1394">
        <v>0</v>
      </c>
      <c r="L1394">
        <v>0</v>
      </c>
      <c r="M1394" t="s">
        <v>76</v>
      </c>
      <c r="N1394" t="s">
        <v>76</v>
      </c>
      <c r="O1394" t="s">
        <v>77</v>
      </c>
      <c r="P1394" t="s">
        <v>76</v>
      </c>
      <c r="S1394" t="s">
        <v>3869</v>
      </c>
    </row>
    <row r="1395" spans="1:19" x14ac:dyDescent="0.3">
      <c r="A1395" t="s">
        <v>3870</v>
      </c>
      <c r="B1395" t="s">
        <v>3871</v>
      </c>
      <c r="C1395" t="s">
        <v>314</v>
      </c>
      <c r="D1395" t="s">
        <v>63</v>
      </c>
      <c r="E1395" t="s">
        <v>315</v>
      </c>
      <c r="F1395" t="s">
        <v>314</v>
      </c>
      <c r="G1395" t="s">
        <v>3872</v>
      </c>
      <c r="H1395" t="s">
        <v>213</v>
      </c>
      <c r="I1395">
        <v>0</v>
      </c>
      <c r="J1395">
        <v>0</v>
      </c>
      <c r="K1395">
        <v>0</v>
      </c>
      <c r="L1395">
        <v>0</v>
      </c>
      <c r="M1395" t="s">
        <v>76</v>
      </c>
      <c r="N1395" t="s">
        <v>76</v>
      </c>
      <c r="O1395" t="s">
        <v>77</v>
      </c>
      <c r="P1395" t="s">
        <v>76</v>
      </c>
      <c r="S1395" t="s">
        <v>3871</v>
      </c>
    </row>
    <row r="1396" spans="1:19" x14ac:dyDescent="0.3">
      <c r="A1396" t="s">
        <v>3873</v>
      </c>
      <c r="B1396" t="s">
        <v>3874</v>
      </c>
      <c r="C1396" t="s">
        <v>43</v>
      </c>
      <c r="D1396" t="s">
        <v>63</v>
      </c>
      <c r="E1396" t="s">
        <v>74</v>
      </c>
      <c r="F1396" t="s">
        <v>45</v>
      </c>
      <c r="G1396" t="s">
        <v>43</v>
      </c>
      <c r="H1396" t="s">
        <v>26</v>
      </c>
      <c r="I1396">
        <v>0</v>
      </c>
      <c r="J1396">
        <v>0</v>
      </c>
      <c r="K1396">
        <v>0</v>
      </c>
      <c r="L1396">
        <v>0</v>
      </c>
      <c r="M1396" t="s">
        <v>76</v>
      </c>
      <c r="N1396" t="s">
        <v>76</v>
      </c>
      <c r="O1396" t="s">
        <v>77</v>
      </c>
      <c r="P1396" t="s">
        <v>76</v>
      </c>
      <c r="S1396" t="s">
        <v>3874</v>
      </c>
    </row>
    <row r="1397" spans="1:19" x14ac:dyDescent="0.3">
      <c r="A1397" t="s">
        <v>3875</v>
      </c>
      <c r="B1397" t="s">
        <v>3876</v>
      </c>
      <c r="C1397" t="s">
        <v>24</v>
      </c>
      <c r="D1397" t="s">
        <v>63</v>
      </c>
      <c r="E1397" t="s">
        <v>74</v>
      </c>
      <c r="F1397" t="s">
        <v>24</v>
      </c>
      <c r="G1397" t="s">
        <v>3875</v>
      </c>
      <c r="H1397" t="s">
        <v>213</v>
      </c>
      <c r="I1397">
        <v>0</v>
      </c>
      <c r="J1397">
        <v>0</v>
      </c>
      <c r="K1397">
        <v>0</v>
      </c>
      <c r="L1397">
        <v>0</v>
      </c>
      <c r="M1397" t="s">
        <v>76</v>
      </c>
      <c r="N1397" t="s">
        <v>76</v>
      </c>
      <c r="O1397" t="s">
        <v>77</v>
      </c>
      <c r="P1397" t="s">
        <v>76</v>
      </c>
      <c r="S1397" t="s">
        <v>3876</v>
      </c>
    </row>
    <row r="1398" spans="1:19" x14ac:dyDescent="0.3">
      <c r="A1398" t="s">
        <v>3877</v>
      </c>
      <c r="B1398" t="s">
        <v>3878</v>
      </c>
      <c r="C1398" t="s">
        <v>45</v>
      </c>
      <c r="D1398" t="s">
        <v>63</v>
      </c>
      <c r="E1398" t="s">
        <v>331</v>
      </c>
      <c r="F1398" t="s">
        <v>45</v>
      </c>
      <c r="G1398" t="s">
        <v>3879</v>
      </c>
      <c r="H1398" t="s">
        <v>26</v>
      </c>
      <c r="I1398">
        <v>0</v>
      </c>
      <c r="J1398">
        <v>0</v>
      </c>
      <c r="K1398">
        <v>0</v>
      </c>
      <c r="L1398">
        <v>0</v>
      </c>
      <c r="M1398" t="s">
        <v>76</v>
      </c>
      <c r="N1398" t="s">
        <v>76</v>
      </c>
      <c r="O1398" t="s">
        <v>77</v>
      </c>
      <c r="P1398" t="s">
        <v>76</v>
      </c>
      <c r="S1398" t="s">
        <v>3878</v>
      </c>
    </row>
    <row r="1399" spans="1:19" x14ac:dyDescent="0.3">
      <c r="A1399" t="s">
        <v>3880</v>
      </c>
      <c r="B1399" t="s">
        <v>3881</v>
      </c>
      <c r="C1399" t="s">
        <v>24</v>
      </c>
      <c r="D1399" t="s">
        <v>63</v>
      </c>
      <c r="E1399" t="s">
        <v>331</v>
      </c>
      <c r="F1399" t="s">
        <v>55</v>
      </c>
      <c r="G1399" t="s">
        <v>2056</v>
      </c>
      <c r="H1399" t="s">
        <v>213</v>
      </c>
      <c r="I1399">
        <v>0</v>
      </c>
      <c r="J1399">
        <v>0</v>
      </c>
      <c r="K1399">
        <v>0</v>
      </c>
      <c r="L1399">
        <v>0</v>
      </c>
      <c r="M1399" t="s">
        <v>76</v>
      </c>
      <c r="N1399" t="s">
        <v>76</v>
      </c>
      <c r="O1399" t="s">
        <v>77</v>
      </c>
      <c r="P1399" t="s">
        <v>76</v>
      </c>
      <c r="S1399" t="s">
        <v>3881</v>
      </c>
    </row>
    <row r="1400" spans="1:19" x14ac:dyDescent="0.3">
      <c r="A1400" t="s">
        <v>3882</v>
      </c>
      <c r="B1400" t="s">
        <v>3883</v>
      </c>
      <c r="C1400" t="s">
        <v>24</v>
      </c>
      <c r="D1400" t="s">
        <v>63</v>
      </c>
      <c r="E1400" t="s">
        <v>74</v>
      </c>
      <c r="F1400" t="s">
        <v>144</v>
      </c>
      <c r="G1400" t="s">
        <v>3882</v>
      </c>
      <c r="H1400" t="s">
        <v>213</v>
      </c>
      <c r="I1400">
        <v>0</v>
      </c>
      <c r="J1400">
        <v>0</v>
      </c>
      <c r="K1400">
        <v>0</v>
      </c>
      <c r="L1400">
        <v>0</v>
      </c>
      <c r="M1400" t="s">
        <v>76</v>
      </c>
      <c r="N1400" t="s">
        <v>76</v>
      </c>
      <c r="O1400" t="s">
        <v>77</v>
      </c>
      <c r="P1400" t="s">
        <v>76</v>
      </c>
      <c r="S1400" t="s">
        <v>3883</v>
      </c>
    </row>
    <row r="1401" spans="1:19" x14ac:dyDescent="0.3">
      <c r="A1401" t="s">
        <v>3884</v>
      </c>
      <c r="B1401" t="s">
        <v>3885</v>
      </c>
      <c r="C1401" t="s">
        <v>1053</v>
      </c>
      <c r="D1401" t="s">
        <v>63</v>
      </c>
      <c r="E1401" t="s">
        <v>74</v>
      </c>
      <c r="F1401" t="s">
        <v>314</v>
      </c>
      <c r="G1401" t="s">
        <v>1053</v>
      </c>
      <c r="H1401" t="s">
        <v>75</v>
      </c>
      <c r="I1401">
        <v>0</v>
      </c>
      <c r="J1401">
        <v>0</v>
      </c>
      <c r="K1401">
        <v>0</v>
      </c>
      <c r="L1401">
        <v>0</v>
      </c>
      <c r="M1401" t="s">
        <v>76</v>
      </c>
      <c r="N1401" t="s">
        <v>76</v>
      </c>
      <c r="O1401" t="s">
        <v>77</v>
      </c>
      <c r="P1401" t="s">
        <v>76</v>
      </c>
      <c r="S1401" t="s">
        <v>3885</v>
      </c>
    </row>
    <row r="1402" spans="1:19" x14ac:dyDescent="0.3">
      <c r="A1402" t="s">
        <v>3886</v>
      </c>
      <c r="B1402" t="s">
        <v>3887</v>
      </c>
      <c r="C1402" t="s">
        <v>314</v>
      </c>
      <c r="D1402" t="s">
        <v>63</v>
      </c>
      <c r="E1402" t="s">
        <v>323</v>
      </c>
      <c r="F1402" t="s">
        <v>314</v>
      </c>
      <c r="G1402" t="s">
        <v>3888</v>
      </c>
      <c r="H1402" t="s">
        <v>213</v>
      </c>
      <c r="I1402">
        <v>0</v>
      </c>
      <c r="J1402">
        <v>0</v>
      </c>
      <c r="K1402">
        <v>0</v>
      </c>
      <c r="L1402">
        <v>0</v>
      </c>
      <c r="M1402" t="s">
        <v>76</v>
      </c>
      <c r="N1402" t="s">
        <v>76</v>
      </c>
      <c r="O1402" t="s">
        <v>77</v>
      </c>
      <c r="P1402" t="s">
        <v>76</v>
      </c>
      <c r="S1402" t="s">
        <v>3887</v>
      </c>
    </row>
    <row r="1403" spans="1:19" x14ac:dyDescent="0.3">
      <c r="A1403" t="s">
        <v>3889</v>
      </c>
      <c r="B1403" t="s">
        <v>3890</v>
      </c>
      <c r="C1403" t="s">
        <v>114</v>
      </c>
      <c r="D1403" t="s">
        <v>63</v>
      </c>
      <c r="E1403" t="s">
        <v>323</v>
      </c>
      <c r="F1403" t="s">
        <v>114</v>
      </c>
      <c r="G1403" t="s">
        <v>3891</v>
      </c>
      <c r="H1403" t="s">
        <v>317</v>
      </c>
      <c r="I1403">
        <v>0</v>
      </c>
      <c r="J1403">
        <v>0</v>
      </c>
      <c r="K1403">
        <v>0</v>
      </c>
      <c r="L1403">
        <v>0</v>
      </c>
      <c r="S1403" t="s">
        <v>3890</v>
      </c>
    </row>
    <row r="1404" spans="1:19" x14ac:dyDescent="0.3">
      <c r="A1404" t="s">
        <v>3892</v>
      </c>
      <c r="B1404" t="s">
        <v>3893</v>
      </c>
      <c r="C1404" t="s">
        <v>251</v>
      </c>
      <c r="D1404" t="s">
        <v>63</v>
      </c>
      <c r="E1404" t="s">
        <v>1751</v>
      </c>
      <c r="F1404" t="s">
        <v>251</v>
      </c>
      <c r="G1404" t="s">
        <v>3892</v>
      </c>
      <c r="H1404" t="s">
        <v>213</v>
      </c>
      <c r="I1404">
        <v>0</v>
      </c>
      <c r="J1404">
        <v>0</v>
      </c>
      <c r="K1404">
        <v>0</v>
      </c>
      <c r="L1404">
        <v>0</v>
      </c>
      <c r="S1404" t="s">
        <v>3893</v>
      </c>
    </row>
    <row r="1405" spans="1:19" x14ac:dyDescent="0.3">
      <c r="A1405" t="s">
        <v>3894</v>
      </c>
      <c r="B1405" t="s">
        <v>3895</v>
      </c>
      <c r="C1405" t="s">
        <v>43</v>
      </c>
      <c r="D1405" t="s">
        <v>63</v>
      </c>
      <c r="E1405" t="s">
        <v>74</v>
      </c>
      <c r="F1405" t="s">
        <v>45</v>
      </c>
      <c r="G1405" t="s">
        <v>43</v>
      </c>
      <c r="H1405" t="s">
        <v>26</v>
      </c>
      <c r="I1405">
        <v>0</v>
      </c>
      <c r="J1405">
        <v>0</v>
      </c>
      <c r="K1405">
        <v>0</v>
      </c>
      <c r="L1405">
        <v>0</v>
      </c>
      <c r="M1405" t="s">
        <v>76</v>
      </c>
      <c r="N1405" t="s">
        <v>76</v>
      </c>
      <c r="O1405" t="s">
        <v>77</v>
      </c>
      <c r="P1405" t="s">
        <v>76</v>
      </c>
      <c r="S1405" t="s">
        <v>3895</v>
      </c>
    </row>
    <row r="1406" spans="1:19" x14ac:dyDescent="0.3">
      <c r="A1406" t="s">
        <v>3896</v>
      </c>
      <c r="B1406" t="s">
        <v>3897</v>
      </c>
      <c r="C1406" t="s">
        <v>43</v>
      </c>
      <c r="D1406" t="s">
        <v>2796</v>
      </c>
      <c r="F1406" t="s">
        <v>45</v>
      </c>
      <c r="G1406" t="s">
        <v>43</v>
      </c>
      <c r="H1406" t="s">
        <v>26</v>
      </c>
      <c r="I1406">
        <v>0</v>
      </c>
      <c r="J1406">
        <v>0</v>
      </c>
      <c r="K1406">
        <v>0</v>
      </c>
      <c r="L1406">
        <v>0</v>
      </c>
      <c r="M1406" t="s">
        <v>76</v>
      </c>
      <c r="N1406" t="s">
        <v>76</v>
      </c>
      <c r="O1406" t="s">
        <v>77</v>
      </c>
      <c r="P1406" t="s">
        <v>76</v>
      </c>
      <c r="S1406" t="s">
        <v>3897</v>
      </c>
    </row>
    <row r="1407" spans="1:19" x14ac:dyDescent="0.3">
      <c r="A1407" t="s">
        <v>3898</v>
      </c>
      <c r="B1407" t="s">
        <v>3899</v>
      </c>
      <c r="C1407" t="s">
        <v>43</v>
      </c>
      <c r="D1407" t="s">
        <v>63</v>
      </c>
      <c r="E1407" t="s">
        <v>74</v>
      </c>
      <c r="F1407" t="s">
        <v>45</v>
      </c>
      <c r="G1407" t="s">
        <v>43</v>
      </c>
      <c r="H1407" t="s">
        <v>26</v>
      </c>
      <c r="I1407">
        <v>0</v>
      </c>
      <c r="J1407">
        <v>0</v>
      </c>
      <c r="K1407">
        <v>0</v>
      </c>
      <c r="L1407">
        <v>0</v>
      </c>
      <c r="M1407" t="s">
        <v>76</v>
      </c>
      <c r="N1407" t="s">
        <v>76</v>
      </c>
      <c r="O1407" t="s">
        <v>77</v>
      </c>
      <c r="P1407" t="s">
        <v>76</v>
      </c>
      <c r="S1407" t="s">
        <v>3899</v>
      </c>
    </row>
    <row r="1408" spans="1:19" x14ac:dyDescent="0.3">
      <c r="A1408" t="s">
        <v>3900</v>
      </c>
      <c r="B1408" t="s">
        <v>3901</v>
      </c>
      <c r="C1408" t="s">
        <v>1053</v>
      </c>
      <c r="D1408" t="s">
        <v>63</v>
      </c>
      <c r="E1408" t="s">
        <v>74</v>
      </c>
      <c r="F1408" t="s">
        <v>314</v>
      </c>
      <c r="G1408" t="s">
        <v>1053</v>
      </c>
      <c r="H1408" t="s">
        <v>75</v>
      </c>
      <c r="I1408">
        <v>0</v>
      </c>
      <c r="J1408">
        <v>0</v>
      </c>
      <c r="K1408">
        <v>0</v>
      </c>
      <c r="L1408">
        <v>0</v>
      </c>
      <c r="M1408" t="s">
        <v>76</v>
      </c>
      <c r="N1408" t="s">
        <v>76</v>
      </c>
      <c r="O1408" t="s">
        <v>77</v>
      </c>
      <c r="P1408" t="s">
        <v>76</v>
      </c>
      <c r="S1408" t="s">
        <v>3901</v>
      </c>
    </row>
    <row r="1409" spans="1:19" x14ac:dyDescent="0.3">
      <c r="A1409" t="s">
        <v>3902</v>
      </c>
      <c r="B1409" t="s">
        <v>3903</v>
      </c>
      <c r="C1409" t="s">
        <v>45</v>
      </c>
      <c r="F1409" t="s">
        <v>45</v>
      </c>
      <c r="G1409" t="s">
        <v>2706</v>
      </c>
      <c r="H1409" t="s">
        <v>26</v>
      </c>
      <c r="I1409">
        <v>0</v>
      </c>
      <c r="J1409">
        <v>0</v>
      </c>
      <c r="K1409">
        <v>0</v>
      </c>
      <c r="L1409">
        <v>0</v>
      </c>
      <c r="M1409" t="s">
        <v>76</v>
      </c>
      <c r="N1409" t="s">
        <v>76</v>
      </c>
      <c r="O1409" t="s">
        <v>77</v>
      </c>
      <c r="P1409" t="s">
        <v>76</v>
      </c>
      <c r="S1409" t="s">
        <v>3903</v>
      </c>
    </row>
    <row r="1410" spans="1:19" x14ac:dyDescent="0.3">
      <c r="A1410" t="s">
        <v>3904</v>
      </c>
      <c r="B1410" t="s">
        <v>3905</v>
      </c>
      <c r="C1410" t="s">
        <v>24</v>
      </c>
      <c r="D1410" t="s">
        <v>63</v>
      </c>
      <c r="E1410" t="s">
        <v>74</v>
      </c>
      <c r="F1410" t="s">
        <v>24</v>
      </c>
      <c r="G1410" t="s">
        <v>3906</v>
      </c>
      <c r="H1410" t="s">
        <v>26</v>
      </c>
      <c r="I1410">
        <v>0</v>
      </c>
      <c r="J1410">
        <v>0</v>
      </c>
      <c r="K1410">
        <v>0</v>
      </c>
      <c r="L1410">
        <v>0</v>
      </c>
      <c r="M1410" t="s">
        <v>76</v>
      </c>
      <c r="N1410" t="s">
        <v>76</v>
      </c>
      <c r="O1410" t="s">
        <v>77</v>
      </c>
      <c r="P1410" t="s">
        <v>76</v>
      </c>
      <c r="S1410" t="s">
        <v>3905</v>
      </c>
    </row>
    <row r="1411" spans="1:19" x14ac:dyDescent="0.3">
      <c r="A1411" t="s">
        <v>3907</v>
      </c>
      <c r="B1411" t="s">
        <v>3908</v>
      </c>
      <c r="C1411" t="s">
        <v>43</v>
      </c>
      <c r="D1411" t="s">
        <v>63</v>
      </c>
      <c r="E1411" t="s">
        <v>64</v>
      </c>
      <c r="F1411" t="s">
        <v>45</v>
      </c>
      <c r="G1411" t="s">
        <v>43</v>
      </c>
      <c r="H1411" t="s">
        <v>26</v>
      </c>
      <c r="I1411">
        <v>0</v>
      </c>
      <c r="J1411">
        <v>0</v>
      </c>
      <c r="K1411">
        <v>0</v>
      </c>
      <c r="L1411">
        <v>0</v>
      </c>
      <c r="M1411" t="s">
        <v>76</v>
      </c>
      <c r="N1411" t="s">
        <v>76</v>
      </c>
      <c r="O1411" t="s">
        <v>77</v>
      </c>
      <c r="P1411" t="s">
        <v>76</v>
      </c>
      <c r="S1411" t="s">
        <v>3908</v>
      </c>
    </row>
    <row r="1412" spans="1:19" x14ac:dyDescent="0.3">
      <c r="A1412" t="s">
        <v>3909</v>
      </c>
      <c r="B1412" t="s">
        <v>3910</v>
      </c>
      <c r="C1412" t="s">
        <v>24</v>
      </c>
      <c r="D1412" t="s">
        <v>63</v>
      </c>
      <c r="E1412" t="s">
        <v>74</v>
      </c>
      <c r="F1412" t="s">
        <v>55</v>
      </c>
      <c r="G1412" t="s">
        <v>3909</v>
      </c>
      <c r="H1412" t="s">
        <v>26</v>
      </c>
      <c r="I1412">
        <v>0</v>
      </c>
      <c r="J1412">
        <v>0</v>
      </c>
      <c r="K1412">
        <v>0</v>
      </c>
      <c r="L1412">
        <v>0</v>
      </c>
      <c r="M1412" t="s">
        <v>239</v>
      </c>
      <c r="N1412" t="s">
        <v>239</v>
      </c>
      <c r="O1412" t="s">
        <v>240</v>
      </c>
      <c r="P1412" t="s">
        <v>239</v>
      </c>
      <c r="S1412" t="s">
        <v>3910</v>
      </c>
    </row>
    <row r="1413" spans="1:19" x14ac:dyDescent="0.3">
      <c r="A1413" t="s">
        <v>3911</v>
      </c>
      <c r="B1413" t="s">
        <v>3912</v>
      </c>
      <c r="C1413" t="s">
        <v>24</v>
      </c>
      <c r="D1413" t="s">
        <v>35</v>
      </c>
      <c r="E1413" t="s">
        <v>80</v>
      </c>
      <c r="F1413" t="s">
        <v>24</v>
      </c>
      <c r="G1413" t="s">
        <v>3067</v>
      </c>
      <c r="H1413" t="s">
        <v>26</v>
      </c>
      <c r="I1413">
        <v>0</v>
      </c>
      <c r="J1413">
        <v>0</v>
      </c>
      <c r="K1413">
        <v>0</v>
      </c>
      <c r="L1413">
        <v>0</v>
      </c>
      <c r="M1413" t="s">
        <v>76</v>
      </c>
      <c r="N1413" t="s">
        <v>76</v>
      </c>
      <c r="O1413" t="s">
        <v>77</v>
      </c>
      <c r="P1413" t="s">
        <v>76</v>
      </c>
      <c r="S1413" t="s">
        <v>3912</v>
      </c>
    </row>
    <row r="1414" spans="1:19" x14ac:dyDescent="0.3">
      <c r="A1414" t="s">
        <v>3913</v>
      </c>
      <c r="B1414" t="s">
        <v>3914</v>
      </c>
      <c r="C1414" t="s">
        <v>43</v>
      </c>
      <c r="D1414" t="s">
        <v>63</v>
      </c>
      <c r="E1414" t="s">
        <v>555</v>
      </c>
      <c r="F1414" t="s">
        <v>45</v>
      </c>
      <c r="G1414" t="s">
        <v>43</v>
      </c>
      <c r="H1414" t="s">
        <v>26</v>
      </c>
      <c r="I1414">
        <v>0</v>
      </c>
      <c r="J1414">
        <v>0</v>
      </c>
      <c r="K1414">
        <v>0</v>
      </c>
      <c r="L1414">
        <v>0</v>
      </c>
      <c r="M1414" t="s">
        <v>76</v>
      </c>
      <c r="N1414" t="s">
        <v>76</v>
      </c>
      <c r="O1414" t="s">
        <v>77</v>
      </c>
      <c r="P1414" t="s">
        <v>76</v>
      </c>
      <c r="S1414" t="s">
        <v>3914</v>
      </c>
    </row>
    <row r="1415" spans="1:19" x14ac:dyDescent="0.3">
      <c r="A1415" t="s">
        <v>3915</v>
      </c>
      <c r="B1415" t="s">
        <v>3916</v>
      </c>
      <c r="C1415" t="s">
        <v>43</v>
      </c>
      <c r="D1415" t="s">
        <v>63</v>
      </c>
      <c r="E1415" t="s">
        <v>74</v>
      </c>
      <c r="F1415" t="s">
        <v>45</v>
      </c>
      <c r="G1415" t="s">
        <v>43</v>
      </c>
      <c r="H1415" t="s">
        <v>26</v>
      </c>
      <c r="I1415">
        <v>0</v>
      </c>
      <c r="J1415">
        <v>0</v>
      </c>
      <c r="K1415">
        <v>0</v>
      </c>
      <c r="L1415">
        <v>0</v>
      </c>
      <c r="M1415" t="s">
        <v>76</v>
      </c>
      <c r="N1415" t="s">
        <v>76</v>
      </c>
      <c r="O1415" t="s">
        <v>77</v>
      </c>
      <c r="P1415" t="s">
        <v>76</v>
      </c>
      <c r="S1415" t="s">
        <v>3916</v>
      </c>
    </row>
    <row r="1416" spans="1:19" x14ac:dyDescent="0.3">
      <c r="A1416" t="s">
        <v>3917</v>
      </c>
      <c r="B1416" t="s">
        <v>3918</v>
      </c>
      <c r="C1416" t="s">
        <v>43</v>
      </c>
      <c r="D1416" t="s">
        <v>63</v>
      </c>
      <c r="E1416" t="s">
        <v>64</v>
      </c>
      <c r="F1416" t="s">
        <v>45</v>
      </c>
      <c r="G1416" t="s">
        <v>43</v>
      </c>
      <c r="H1416" t="s">
        <v>26</v>
      </c>
      <c r="I1416">
        <v>0</v>
      </c>
      <c r="J1416">
        <v>0</v>
      </c>
      <c r="K1416">
        <v>0</v>
      </c>
      <c r="L1416">
        <v>0</v>
      </c>
      <c r="M1416" t="s">
        <v>76</v>
      </c>
      <c r="N1416" t="s">
        <v>76</v>
      </c>
      <c r="O1416" t="s">
        <v>77</v>
      </c>
      <c r="P1416" t="s">
        <v>76</v>
      </c>
      <c r="S1416" t="s">
        <v>3918</v>
      </c>
    </row>
    <row r="1417" spans="1:19" x14ac:dyDescent="0.3">
      <c r="A1417" t="s">
        <v>3919</v>
      </c>
      <c r="B1417" t="s">
        <v>3920</v>
      </c>
      <c r="C1417" t="s">
        <v>45</v>
      </c>
      <c r="D1417" t="s">
        <v>35</v>
      </c>
      <c r="E1417" t="s">
        <v>80</v>
      </c>
      <c r="F1417" t="s">
        <v>45</v>
      </c>
      <c r="G1417" t="s">
        <v>1635</v>
      </c>
      <c r="H1417" t="s">
        <v>26</v>
      </c>
      <c r="I1417">
        <v>0</v>
      </c>
      <c r="J1417">
        <v>0</v>
      </c>
      <c r="K1417">
        <v>0</v>
      </c>
      <c r="L1417">
        <v>0</v>
      </c>
      <c r="M1417" t="s">
        <v>76</v>
      </c>
      <c r="N1417" t="s">
        <v>76</v>
      </c>
      <c r="O1417" t="s">
        <v>77</v>
      </c>
      <c r="P1417" t="s">
        <v>76</v>
      </c>
      <c r="S1417" t="s">
        <v>3920</v>
      </c>
    </row>
    <row r="1418" spans="1:19" x14ac:dyDescent="0.3">
      <c r="A1418" t="s">
        <v>3921</v>
      </c>
      <c r="B1418" t="s">
        <v>3922</v>
      </c>
      <c r="C1418" t="s">
        <v>43</v>
      </c>
      <c r="D1418" t="s">
        <v>63</v>
      </c>
      <c r="E1418" t="s">
        <v>74</v>
      </c>
      <c r="F1418" t="s">
        <v>45</v>
      </c>
      <c r="G1418" t="s">
        <v>43</v>
      </c>
      <c r="H1418" t="s">
        <v>26</v>
      </c>
      <c r="I1418">
        <v>0</v>
      </c>
      <c r="J1418">
        <v>0</v>
      </c>
      <c r="K1418">
        <v>0</v>
      </c>
      <c r="L1418">
        <v>0</v>
      </c>
      <c r="M1418" t="s">
        <v>76</v>
      </c>
      <c r="N1418" t="s">
        <v>76</v>
      </c>
      <c r="O1418" t="s">
        <v>77</v>
      </c>
      <c r="P1418" t="s">
        <v>76</v>
      </c>
      <c r="S1418" t="s">
        <v>3922</v>
      </c>
    </row>
    <row r="1419" spans="1:19" x14ac:dyDescent="0.3">
      <c r="A1419" t="s">
        <v>3923</v>
      </c>
      <c r="B1419" t="s">
        <v>3924</v>
      </c>
      <c r="C1419" t="s">
        <v>43</v>
      </c>
      <c r="D1419" t="s">
        <v>63</v>
      </c>
      <c r="E1419" t="s">
        <v>64</v>
      </c>
      <c r="F1419" t="s">
        <v>45</v>
      </c>
      <c r="G1419" t="s">
        <v>43</v>
      </c>
      <c r="H1419" t="s">
        <v>26</v>
      </c>
      <c r="I1419">
        <v>0</v>
      </c>
      <c r="J1419">
        <v>0</v>
      </c>
      <c r="K1419">
        <v>0</v>
      </c>
      <c r="L1419">
        <v>0</v>
      </c>
      <c r="M1419" t="s">
        <v>76</v>
      </c>
      <c r="N1419" t="s">
        <v>76</v>
      </c>
      <c r="O1419" t="s">
        <v>77</v>
      </c>
      <c r="P1419" t="s">
        <v>76</v>
      </c>
      <c r="S1419" t="s">
        <v>3924</v>
      </c>
    </row>
    <row r="1420" spans="1:19" x14ac:dyDescent="0.3">
      <c r="A1420" t="s">
        <v>3925</v>
      </c>
      <c r="B1420" t="s">
        <v>3926</v>
      </c>
      <c r="C1420" t="s">
        <v>45</v>
      </c>
      <c r="F1420" t="s">
        <v>45</v>
      </c>
      <c r="G1420" t="s">
        <v>1635</v>
      </c>
      <c r="H1420" t="s">
        <v>26</v>
      </c>
      <c r="I1420">
        <v>0</v>
      </c>
      <c r="J1420">
        <v>0</v>
      </c>
      <c r="K1420">
        <v>0</v>
      </c>
      <c r="L1420">
        <v>0</v>
      </c>
      <c r="M1420" t="s">
        <v>76</v>
      </c>
      <c r="N1420" t="s">
        <v>76</v>
      </c>
      <c r="O1420" t="s">
        <v>77</v>
      </c>
      <c r="P1420" t="s">
        <v>76</v>
      </c>
      <c r="S1420" t="s">
        <v>3926</v>
      </c>
    </row>
    <row r="1421" spans="1:19" x14ac:dyDescent="0.3">
      <c r="A1421" t="s">
        <v>3927</v>
      </c>
      <c r="B1421" t="s">
        <v>3928</v>
      </c>
      <c r="C1421" t="s">
        <v>243</v>
      </c>
      <c r="D1421" t="s">
        <v>63</v>
      </c>
      <c r="E1421" t="s">
        <v>74</v>
      </c>
      <c r="F1421" t="s">
        <v>243</v>
      </c>
      <c r="G1421" t="s">
        <v>3929</v>
      </c>
      <c r="H1421" t="s">
        <v>213</v>
      </c>
      <c r="I1421">
        <v>0</v>
      </c>
      <c r="J1421">
        <v>0</v>
      </c>
      <c r="K1421">
        <v>0</v>
      </c>
      <c r="L1421">
        <v>0</v>
      </c>
      <c r="S1421" t="s">
        <v>3928</v>
      </c>
    </row>
    <row r="1422" spans="1:19" x14ac:dyDescent="0.3">
      <c r="A1422" t="s">
        <v>3930</v>
      </c>
      <c r="B1422" t="s">
        <v>3931</v>
      </c>
      <c r="C1422" t="s">
        <v>43</v>
      </c>
      <c r="D1422" t="s">
        <v>63</v>
      </c>
      <c r="E1422" t="s">
        <v>74</v>
      </c>
      <c r="F1422" t="s">
        <v>45</v>
      </c>
      <c r="G1422" t="s">
        <v>43</v>
      </c>
      <c r="H1422" t="s">
        <v>26</v>
      </c>
      <c r="I1422">
        <v>0</v>
      </c>
      <c r="J1422">
        <v>0</v>
      </c>
      <c r="K1422">
        <v>0</v>
      </c>
      <c r="L1422">
        <v>0</v>
      </c>
      <c r="M1422" t="s">
        <v>76</v>
      </c>
      <c r="N1422" t="s">
        <v>76</v>
      </c>
      <c r="O1422" t="s">
        <v>77</v>
      </c>
      <c r="P1422" t="s">
        <v>76</v>
      </c>
      <c r="S1422" t="s">
        <v>3931</v>
      </c>
    </row>
    <row r="1423" spans="1:19" x14ac:dyDescent="0.3">
      <c r="A1423" t="s">
        <v>3932</v>
      </c>
      <c r="B1423" t="s">
        <v>3933</v>
      </c>
      <c r="C1423" t="s">
        <v>1053</v>
      </c>
      <c r="D1423" t="s">
        <v>63</v>
      </c>
      <c r="E1423" t="s">
        <v>74</v>
      </c>
      <c r="F1423" t="s">
        <v>314</v>
      </c>
      <c r="G1423" t="s">
        <v>1053</v>
      </c>
      <c r="H1423" t="s">
        <v>75</v>
      </c>
      <c r="I1423">
        <v>0</v>
      </c>
      <c r="J1423">
        <v>0</v>
      </c>
      <c r="K1423">
        <v>0</v>
      </c>
      <c r="L1423">
        <v>0</v>
      </c>
      <c r="M1423" t="s">
        <v>76</v>
      </c>
      <c r="N1423" t="s">
        <v>76</v>
      </c>
      <c r="O1423" t="s">
        <v>77</v>
      </c>
      <c r="P1423" t="s">
        <v>76</v>
      </c>
      <c r="S1423" t="s">
        <v>3933</v>
      </c>
    </row>
    <row r="1424" spans="1:19" x14ac:dyDescent="0.3">
      <c r="A1424" t="s">
        <v>3934</v>
      </c>
      <c r="B1424" t="s">
        <v>3935</v>
      </c>
      <c r="C1424" t="s">
        <v>1053</v>
      </c>
      <c r="D1424" t="s">
        <v>63</v>
      </c>
      <c r="E1424" t="s">
        <v>74</v>
      </c>
      <c r="F1424" t="s">
        <v>314</v>
      </c>
      <c r="G1424" t="s">
        <v>1053</v>
      </c>
      <c r="H1424" t="s">
        <v>75</v>
      </c>
      <c r="I1424">
        <v>0</v>
      </c>
      <c r="J1424">
        <v>0</v>
      </c>
      <c r="K1424">
        <v>0</v>
      </c>
      <c r="L1424">
        <v>0</v>
      </c>
      <c r="M1424" t="s">
        <v>76</v>
      </c>
      <c r="N1424" t="s">
        <v>76</v>
      </c>
      <c r="O1424" t="s">
        <v>77</v>
      </c>
      <c r="P1424" t="s">
        <v>76</v>
      </c>
      <c r="S1424" t="s">
        <v>3935</v>
      </c>
    </row>
    <row r="1425" spans="1:19" x14ac:dyDescent="0.3">
      <c r="A1425" t="s">
        <v>3936</v>
      </c>
      <c r="B1425" t="s">
        <v>3937</v>
      </c>
      <c r="C1425" t="s">
        <v>24</v>
      </c>
      <c r="D1425" t="s">
        <v>35</v>
      </c>
      <c r="E1425" t="s">
        <v>389</v>
      </c>
      <c r="F1425" t="s">
        <v>24</v>
      </c>
      <c r="G1425" t="s">
        <v>3936</v>
      </c>
      <c r="H1425" t="s">
        <v>26</v>
      </c>
      <c r="I1425">
        <v>0</v>
      </c>
      <c r="J1425">
        <v>0</v>
      </c>
      <c r="K1425">
        <v>0</v>
      </c>
      <c r="L1425">
        <v>0</v>
      </c>
      <c r="M1425" t="s">
        <v>76</v>
      </c>
      <c r="N1425" t="s">
        <v>76</v>
      </c>
      <c r="O1425" t="s">
        <v>77</v>
      </c>
      <c r="P1425" t="s">
        <v>76</v>
      </c>
      <c r="S1425" t="s">
        <v>3937</v>
      </c>
    </row>
    <row r="1426" spans="1:19" x14ac:dyDescent="0.3">
      <c r="A1426" t="s">
        <v>1635</v>
      </c>
      <c r="B1426" t="s">
        <v>3938</v>
      </c>
      <c r="C1426" t="s">
        <v>45</v>
      </c>
      <c r="D1426" t="s">
        <v>63</v>
      </c>
      <c r="E1426" t="s">
        <v>74</v>
      </c>
      <c r="F1426" t="s">
        <v>45</v>
      </c>
      <c r="G1426" t="s">
        <v>1635</v>
      </c>
      <c r="H1426" t="s">
        <v>26</v>
      </c>
      <c r="I1426">
        <v>0</v>
      </c>
      <c r="J1426">
        <v>0</v>
      </c>
      <c r="K1426">
        <v>0</v>
      </c>
      <c r="L1426">
        <v>0</v>
      </c>
      <c r="M1426" t="s">
        <v>76</v>
      </c>
      <c r="N1426" t="s">
        <v>76</v>
      </c>
      <c r="O1426" t="s">
        <v>77</v>
      </c>
      <c r="P1426" t="s">
        <v>76</v>
      </c>
      <c r="S1426" t="s">
        <v>3938</v>
      </c>
    </row>
    <row r="1427" spans="1:19" x14ac:dyDescent="0.3">
      <c r="A1427" t="s">
        <v>3939</v>
      </c>
      <c r="B1427" t="s">
        <v>3940</v>
      </c>
      <c r="C1427" t="s">
        <v>1053</v>
      </c>
      <c r="D1427" t="s">
        <v>63</v>
      </c>
      <c r="E1427" t="s">
        <v>74</v>
      </c>
      <c r="F1427" t="s">
        <v>314</v>
      </c>
      <c r="G1427" t="s">
        <v>1053</v>
      </c>
      <c r="H1427" t="s">
        <v>75</v>
      </c>
      <c r="I1427">
        <v>0</v>
      </c>
      <c r="J1427">
        <v>0</v>
      </c>
      <c r="K1427">
        <v>0</v>
      </c>
      <c r="L1427">
        <v>0</v>
      </c>
      <c r="M1427" t="s">
        <v>76</v>
      </c>
      <c r="N1427" t="s">
        <v>76</v>
      </c>
      <c r="O1427" t="s">
        <v>77</v>
      </c>
      <c r="P1427" t="s">
        <v>76</v>
      </c>
      <c r="S1427" t="s">
        <v>3940</v>
      </c>
    </row>
    <row r="1428" spans="1:19" x14ac:dyDescent="0.3">
      <c r="A1428" t="s">
        <v>3941</v>
      </c>
      <c r="B1428" t="s">
        <v>3942</v>
      </c>
      <c r="C1428" t="s">
        <v>21</v>
      </c>
      <c r="D1428" t="s">
        <v>63</v>
      </c>
      <c r="E1428" t="s">
        <v>74</v>
      </c>
      <c r="F1428" t="s">
        <v>24</v>
      </c>
      <c r="G1428" t="s">
        <v>21</v>
      </c>
      <c r="H1428" t="s">
        <v>26</v>
      </c>
      <c r="I1428">
        <v>0</v>
      </c>
      <c r="J1428">
        <v>0</v>
      </c>
      <c r="K1428">
        <v>0</v>
      </c>
      <c r="L1428">
        <v>0</v>
      </c>
      <c r="M1428" t="s">
        <v>76</v>
      </c>
      <c r="N1428" t="s">
        <v>76</v>
      </c>
      <c r="O1428" t="s">
        <v>77</v>
      </c>
      <c r="P1428" t="s">
        <v>76</v>
      </c>
      <c r="S1428" t="s">
        <v>3942</v>
      </c>
    </row>
    <row r="1429" spans="1:19" x14ac:dyDescent="0.3">
      <c r="A1429" t="s">
        <v>3943</v>
      </c>
      <c r="B1429" t="s">
        <v>3944</v>
      </c>
      <c r="C1429" t="s">
        <v>43</v>
      </c>
      <c r="D1429" t="s">
        <v>63</v>
      </c>
      <c r="E1429" t="s">
        <v>74</v>
      </c>
      <c r="F1429" t="s">
        <v>45</v>
      </c>
      <c r="G1429" t="s">
        <v>43</v>
      </c>
      <c r="H1429" t="s">
        <v>26</v>
      </c>
      <c r="I1429">
        <v>0</v>
      </c>
      <c r="J1429">
        <v>0</v>
      </c>
      <c r="K1429">
        <v>0</v>
      </c>
      <c r="L1429">
        <v>0</v>
      </c>
      <c r="M1429" t="s">
        <v>76</v>
      </c>
      <c r="N1429" t="s">
        <v>76</v>
      </c>
      <c r="O1429" t="s">
        <v>77</v>
      </c>
      <c r="P1429" t="s">
        <v>76</v>
      </c>
      <c r="S1429" t="s">
        <v>3944</v>
      </c>
    </row>
    <row r="1430" spans="1:19" x14ac:dyDescent="0.3">
      <c r="A1430" t="s">
        <v>3945</v>
      </c>
      <c r="B1430" t="s">
        <v>3946</v>
      </c>
      <c r="C1430" t="s">
        <v>43</v>
      </c>
      <c r="D1430" t="s">
        <v>63</v>
      </c>
      <c r="E1430" t="s">
        <v>74</v>
      </c>
      <c r="F1430" t="s">
        <v>45</v>
      </c>
      <c r="G1430" t="s">
        <v>43</v>
      </c>
      <c r="H1430" t="s">
        <v>26</v>
      </c>
      <c r="I1430">
        <v>0</v>
      </c>
      <c r="J1430">
        <v>0</v>
      </c>
      <c r="K1430">
        <v>0</v>
      </c>
      <c r="L1430">
        <v>0</v>
      </c>
      <c r="M1430" t="s">
        <v>76</v>
      </c>
      <c r="N1430" t="s">
        <v>76</v>
      </c>
      <c r="O1430" t="s">
        <v>77</v>
      </c>
      <c r="P1430" t="s">
        <v>76</v>
      </c>
      <c r="S1430" t="s">
        <v>3946</v>
      </c>
    </row>
    <row r="1431" spans="1:19" x14ac:dyDescent="0.3">
      <c r="A1431" t="s">
        <v>1872</v>
      </c>
      <c r="B1431" t="s">
        <v>3947</v>
      </c>
      <c r="C1431" t="s">
        <v>45</v>
      </c>
      <c r="D1431" t="s">
        <v>63</v>
      </c>
      <c r="E1431" t="s">
        <v>74</v>
      </c>
      <c r="F1431" t="s">
        <v>45</v>
      </c>
      <c r="G1431" t="s">
        <v>1872</v>
      </c>
      <c r="H1431" t="s">
        <v>26</v>
      </c>
      <c r="I1431">
        <v>0</v>
      </c>
      <c r="J1431">
        <v>0</v>
      </c>
      <c r="K1431">
        <v>0</v>
      </c>
      <c r="L1431">
        <v>0</v>
      </c>
      <c r="M1431" t="s">
        <v>76</v>
      </c>
      <c r="N1431" t="s">
        <v>76</v>
      </c>
      <c r="O1431" t="s">
        <v>77</v>
      </c>
      <c r="P1431" t="s">
        <v>76</v>
      </c>
      <c r="S1431" t="s">
        <v>3947</v>
      </c>
    </row>
    <row r="1432" spans="1:19" x14ac:dyDescent="0.3">
      <c r="A1432" t="s">
        <v>3948</v>
      </c>
      <c r="B1432" t="s">
        <v>3949</v>
      </c>
      <c r="C1432" t="s">
        <v>45</v>
      </c>
      <c r="F1432" t="s">
        <v>45</v>
      </c>
      <c r="G1432" t="s">
        <v>3950</v>
      </c>
      <c r="H1432" t="s">
        <v>26</v>
      </c>
      <c r="I1432">
        <v>0</v>
      </c>
      <c r="J1432">
        <v>0</v>
      </c>
      <c r="K1432">
        <v>0</v>
      </c>
      <c r="L1432">
        <v>0</v>
      </c>
      <c r="M1432" t="s">
        <v>76</v>
      </c>
      <c r="N1432" t="s">
        <v>76</v>
      </c>
      <c r="O1432" t="s">
        <v>77</v>
      </c>
      <c r="P1432" t="s">
        <v>76</v>
      </c>
      <c r="S1432" t="s">
        <v>3949</v>
      </c>
    </row>
    <row r="1433" spans="1:19" x14ac:dyDescent="0.3">
      <c r="A1433" t="s">
        <v>3951</v>
      </c>
      <c r="B1433" t="s">
        <v>3952</v>
      </c>
      <c r="C1433" t="s">
        <v>43</v>
      </c>
      <c r="D1433" t="s">
        <v>35</v>
      </c>
      <c r="E1433" t="s">
        <v>36</v>
      </c>
      <c r="F1433" t="s">
        <v>45</v>
      </c>
      <c r="G1433" t="s">
        <v>43</v>
      </c>
      <c r="H1433" t="s">
        <v>26</v>
      </c>
      <c r="I1433">
        <v>0</v>
      </c>
      <c r="J1433">
        <v>0</v>
      </c>
      <c r="K1433">
        <v>0</v>
      </c>
      <c r="L1433">
        <v>0</v>
      </c>
      <c r="M1433" t="s">
        <v>76</v>
      </c>
      <c r="N1433" t="s">
        <v>76</v>
      </c>
      <c r="O1433" t="s">
        <v>77</v>
      </c>
      <c r="P1433" t="s">
        <v>76</v>
      </c>
      <c r="S1433" t="s">
        <v>3952</v>
      </c>
    </row>
    <row r="1434" spans="1:19" x14ac:dyDescent="0.3">
      <c r="A1434" t="s">
        <v>3953</v>
      </c>
      <c r="B1434" t="s">
        <v>3954</v>
      </c>
      <c r="C1434" t="s">
        <v>21</v>
      </c>
      <c r="D1434" t="s">
        <v>35</v>
      </c>
      <c r="E1434" t="s">
        <v>560</v>
      </c>
      <c r="F1434" t="s">
        <v>24</v>
      </c>
      <c r="G1434" t="s">
        <v>21</v>
      </c>
      <c r="H1434" t="s">
        <v>26</v>
      </c>
      <c r="I1434">
        <v>0</v>
      </c>
      <c r="J1434">
        <v>0</v>
      </c>
      <c r="K1434">
        <v>0</v>
      </c>
      <c r="L1434">
        <v>0</v>
      </c>
      <c r="M1434" t="s">
        <v>76</v>
      </c>
      <c r="N1434" t="s">
        <v>76</v>
      </c>
      <c r="O1434" t="s">
        <v>77</v>
      </c>
      <c r="P1434" t="s">
        <v>76</v>
      </c>
      <c r="S1434" t="s">
        <v>3954</v>
      </c>
    </row>
    <row r="1435" spans="1:19" x14ac:dyDescent="0.3">
      <c r="A1435" t="s">
        <v>3955</v>
      </c>
      <c r="B1435" t="s">
        <v>3956</v>
      </c>
      <c r="C1435" t="s">
        <v>21</v>
      </c>
      <c r="D1435" t="s">
        <v>35</v>
      </c>
      <c r="E1435" t="s">
        <v>80</v>
      </c>
      <c r="F1435" t="s">
        <v>24</v>
      </c>
      <c r="G1435" t="s">
        <v>21</v>
      </c>
      <c r="H1435" t="s">
        <v>26</v>
      </c>
      <c r="I1435">
        <v>0</v>
      </c>
      <c r="J1435">
        <v>0</v>
      </c>
      <c r="K1435">
        <v>0</v>
      </c>
      <c r="L1435">
        <v>0</v>
      </c>
      <c r="M1435" t="s">
        <v>76</v>
      </c>
      <c r="N1435" t="s">
        <v>76</v>
      </c>
      <c r="O1435" t="s">
        <v>77</v>
      </c>
      <c r="P1435" t="s">
        <v>76</v>
      </c>
      <c r="S1435" t="s">
        <v>3956</v>
      </c>
    </row>
    <row r="1436" spans="1:19" x14ac:dyDescent="0.3">
      <c r="A1436" t="s">
        <v>3957</v>
      </c>
      <c r="B1436" t="s">
        <v>3958</v>
      </c>
      <c r="C1436" t="s">
        <v>43</v>
      </c>
      <c r="D1436" t="s">
        <v>63</v>
      </c>
      <c r="E1436" t="s">
        <v>74</v>
      </c>
      <c r="F1436" t="s">
        <v>45</v>
      </c>
      <c r="G1436" t="s">
        <v>43</v>
      </c>
      <c r="H1436" t="s">
        <v>26</v>
      </c>
      <c r="I1436">
        <v>0</v>
      </c>
      <c r="J1436">
        <v>0</v>
      </c>
      <c r="K1436">
        <v>0</v>
      </c>
      <c r="L1436">
        <v>0</v>
      </c>
      <c r="M1436" t="s">
        <v>76</v>
      </c>
      <c r="N1436" t="s">
        <v>76</v>
      </c>
      <c r="O1436" t="s">
        <v>77</v>
      </c>
      <c r="P1436" t="s">
        <v>76</v>
      </c>
      <c r="S1436" t="s">
        <v>3958</v>
      </c>
    </row>
    <row r="1437" spans="1:19" x14ac:dyDescent="0.3">
      <c r="A1437" t="s">
        <v>3959</v>
      </c>
      <c r="B1437" t="s">
        <v>3960</v>
      </c>
      <c r="C1437" t="s">
        <v>43</v>
      </c>
      <c r="D1437" t="s">
        <v>35</v>
      </c>
      <c r="E1437" t="s">
        <v>80</v>
      </c>
      <c r="F1437" t="s">
        <v>45</v>
      </c>
      <c r="G1437" t="s">
        <v>43</v>
      </c>
      <c r="H1437" t="s">
        <v>26</v>
      </c>
      <c r="I1437">
        <v>0</v>
      </c>
      <c r="J1437">
        <v>0</v>
      </c>
      <c r="K1437">
        <v>0</v>
      </c>
      <c r="L1437">
        <v>0</v>
      </c>
      <c r="M1437" t="s">
        <v>76</v>
      </c>
      <c r="N1437" t="s">
        <v>76</v>
      </c>
      <c r="O1437" t="s">
        <v>77</v>
      </c>
      <c r="P1437" t="s">
        <v>76</v>
      </c>
      <c r="S1437" t="s">
        <v>3960</v>
      </c>
    </row>
    <row r="1438" spans="1:19" x14ac:dyDescent="0.3">
      <c r="A1438" t="s">
        <v>3961</v>
      </c>
      <c r="B1438" t="s">
        <v>3962</v>
      </c>
      <c r="C1438" t="s">
        <v>21</v>
      </c>
      <c r="D1438" t="s">
        <v>63</v>
      </c>
      <c r="E1438" t="s">
        <v>74</v>
      </c>
      <c r="F1438" t="s">
        <v>24</v>
      </c>
      <c r="G1438" t="s">
        <v>21</v>
      </c>
      <c r="H1438" t="s">
        <v>26</v>
      </c>
      <c r="I1438">
        <v>0</v>
      </c>
      <c r="J1438">
        <v>0</v>
      </c>
      <c r="K1438">
        <v>0</v>
      </c>
      <c r="L1438">
        <v>0</v>
      </c>
      <c r="M1438" t="s">
        <v>76</v>
      </c>
      <c r="N1438" t="s">
        <v>76</v>
      </c>
      <c r="O1438" t="s">
        <v>77</v>
      </c>
      <c r="P1438" t="s">
        <v>76</v>
      </c>
      <c r="S1438" t="s">
        <v>3962</v>
      </c>
    </row>
    <row r="1439" spans="1:19" x14ac:dyDescent="0.3">
      <c r="A1439" t="s">
        <v>3963</v>
      </c>
      <c r="B1439" t="s">
        <v>3964</v>
      </c>
      <c r="C1439" t="s">
        <v>24</v>
      </c>
      <c r="D1439" t="s">
        <v>63</v>
      </c>
      <c r="E1439" t="s">
        <v>74</v>
      </c>
      <c r="F1439" t="s">
        <v>24</v>
      </c>
      <c r="G1439" t="s">
        <v>3965</v>
      </c>
      <c r="H1439" t="s">
        <v>26</v>
      </c>
      <c r="I1439">
        <v>0</v>
      </c>
      <c r="J1439">
        <v>0</v>
      </c>
      <c r="K1439">
        <v>0</v>
      </c>
      <c r="L1439">
        <v>0</v>
      </c>
      <c r="M1439" t="s">
        <v>76</v>
      </c>
      <c r="N1439" t="s">
        <v>76</v>
      </c>
      <c r="O1439" t="s">
        <v>77</v>
      </c>
      <c r="P1439" t="s">
        <v>76</v>
      </c>
      <c r="S1439" t="s">
        <v>3964</v>
      </c>
    </row>
    <row r="1440" spans="1:19" x14ac:dyDescent="0.3">
      <c r="A1440" t="s">
        <v>3966</v>
      </c>
      <c r="B1440" t="s">
        <v>3967</v>
      </c>
      <c r="C1440" t="s">
        <v>21</v>
      </c>
      <c r="D1440" t="s">
        <v>63</v>
      </c>
      <c r="E1440" t="s">
        <v>74</v>
      </c>
      <c r="F1440" t="s">
        <v>24</v>
      </c>
      <c r="G1440" t="s">
        <v>21</v>
      </c>
      <c r="H1440" t="s">
        <v>26</v>
      </c>
      <c r="I1440">
        <v>0</v>
      </c>
      <c r="J1440">
        <v>0</v>
      </c>
      <c r="K1440">
        <v>0</v>
      </c>
      <c r="L1440">
        <v>0</v>
      </c>
      <c r="M1440" t="s">
        <v>76</v>
      </c>
      <c r="N1440" t="s">
        <v>76</v>
      </c>
      <c r="O1440" t="s">
        <v>77</v>
      </c>
      <c r="P1440" t="s">
        <v>76</v>
      </c>
      <c r="S1440" t="s">
        <v>3967</v>
      </c>
    </row>
    <row r="1441" spans="1:19" x14ac:dyDescent="0.3">
      <c r="A1441" t="s">
        <v>3968</v>
      </c>
      <c r="B1441" t="s">
        <v>3969</v>
      </c>
      <c r="C1441" t="s">
        <v>21</v>
      </c>
      <c r="D1441" t="s">
        <v>63</v>
      </c>
      <c r="E1441" t="s">
        <v>74</v>
      </c>
      <c r="F1441" t="s">
        <v>24</v>
      </c>
      <c r="G1441" t="s">
        <v>21</v>
      </c>
      <c r="H1441" t="s">
        <v>26</v>
      </c>
      <c r="I1441">
        <v>0</v>
      </c>
      <c r="J1441">
        <v>0</v>
      </c>
      <c r="K1441">
        <v>0</v>
      </c>
      <c r="L1441">
        <v>0</v>
      </c>
      <c r="M1441" t="s">
        <v>76</v>
      </c>
      <c r="N1441" t="s">
        <v>76</v>
      </c>
      <c r="O1441" t="s">
        <v>77</v>
      </c>
      <c r="P1441" t="s">
        <v>76</v>
      </c>
      <c r="S1441" t="s">
        <v>3969</v>
      </c>
    </row>
    <row r="1442" spans="1:19" x14ac:dyDescent="0.3">
      <c r="A1442" t="s">
        <v>3970</v>
      </c>
      <c r="B1442" t="s">
        <v>3971</v>
      </c>
      <c r="C1442" t="s">
        <v>21</v>
      </c>
      <c r="D1442" t="s">
        <v>35</v>
      </c>
      <c r="E1442" t="s">
        <v>36</v>
      </c>
      <c r="F1442" t="s">
        <v>24</v>
      </c>
      <c r="G1442" t="s">
        <v>21</v>
      </c>
      <c r="H1442" t="s">
        <v>26</v>
      </c>
      <c r="I1442">
        <v>0</v>
      </c>
      <c r="J1442">
        <v>0</v>
      </c>
      <c r="K1442">
        <v>0</v>
      </c>
      <c r="L1442">
        <v>0</v>
      </c>
      <c r="M1442" t="s">
        <v>76</v>
      </c>
      <c r="N1442" t="s">
        <v>76</v>
      </c>
      <c r="O1442" t="s">
        <v>77</v>
      </c>
      <c r="P1442" t="s">
        <v>76</v>
      </c>
      <c r="S1442" t="s">
        <v>3971</v>
      </c>
    </row>
    <row r="1443" spans="1:19" x14ac:dyDescent="0.3">
      <c r="A1443" t="s">
        <v>3972</v>
      </c>
      <c r="B1443" t="s">
        <v>3973</v>
      </c>
      <c r="C1443" t="s">
        <v>21</v>
      </c>
      <c r="D1443" t="s">
        <v>63</v>
      </c>
      <c r="E1443" t="s">
        <v>74</v>
      </c>
      <c r="F1443" t="s">
        <v>24</v>
      </c>
      <c r="G1443" t="s">
        <v>21</v>
      </c>
      <c r="H1443" t="s">
        <v>26</v>
      </c>
      <c r="I1443">
        <v>0</v>
      </c>
      <c r="J1443">
        <v>0</v>
      </c>
      <c r="K1443">
        <v>0</v>
      </c>
      <c r="L1443">
        <v>0</v>
      </c>
      <c r="M1443" t="s">
        <v>76</v>
      </c>
      <c r="N1443" t="s">
        <v>76</v>
      </c>
      <c r="O1443" t="s">
        <v>77</v>
      </c>
      <c r="P1443" t="s">
        <v>76</v>
      </c>
      <c r="S1443" t="s">
        <v>3973</v>
      </c>
    </row>
    <row r="1444" spans="1:19" x14ac:dyDescent="0.3">
      <c r="A1444" t="s">
        <v>3974</v>
      </c>
      <c r="B1444" t="s">
        <v>3975</v>
      </c>
      <c r="C1444" t="s">
        <v>21</v>
      </c>
      <c r="D1444" t="s">
        <v>63</v>
      </c>
      <c r="E1444" t="s">
        <v>74</v>
      </c>
      <c r="F1444" t="s">
        <v>24</v>
      </c>
      <c r="G1444" t="s">
        <v>21</v>
      </c>
      <c r="H1444" t="s">
        <v>26</v>
      </c>
      <c r="I1444">
        <v>0</v>
      </c>
      <c r="J1444">
        <v>0</v>
      </c>
      <c r="K1444">
        <v>0</v>
      </c>
      <c r="L1444">
        <v>0</v>
      </c>
      <c r="M1444" t="s">
        <v>76</v>
      </c>
      <c r="N1444" t="s">
        <v>76</v>
      </c>
      <c r="O1444" t="s">
        <v>77</v>
      </c>
      <c r="P1444" t="s">
        <v>76</v>
      </c>
      <c r="S1444" t="s">
        <v>3975</v>
      </c>
    </row>
    <row r="1445" spans="1:19" x14ac:dyDescent="0.3">
      <c r="A1445" t="s">
        <v>3976</v>
      </c>
      <c r="B1445" t="s">
        <v>3977</v>
      </c>
      <c r="C1445" t="s">
        <v>243</v>
      </c>
      <c r="D1445" t="s">
        <v>63</v>
      </c>
      <c r="E1445" t="s">
        <v>74</v>
      </c>
      <c r="F1445" t="s">
        <v>243</v>
      </c>
      <c r="G1445" t="s">
        <v>244</v>
      </c>
      <c r="H1445" t="s">
        <v>75</v>
      </c>
      <c r="I1445">
        <v>0</v>
      </c>
      <c r="J1445">
        <v>0</v>
      </c>
      <c r="K1445">
        <v>0</v>
      </c>
      <c r="L1445">
        <v>0</v>
      </c>
      <c r="M1445" t="s">
        <v>76</v>
      </c>
      <c r="N1445" t="s">
        <v>76</v>
      </c>
      <c r="O1445" t="s">
        <v>77</v>
      </c>
      <c r="P1445" t="s">
        <v>76</v>
      </c>
      <c r="S1445" t="s">
        <v>3977</v>
      </c>
    </row>
    <row r="1446" spans="1:19" x14ac:dyDescent="0.3">
      <c r="A1446" t="s">
        <v>3978</v>
      </c>
      <c r="B1446" t="s">
        <v>3979</v>
      </c>
      <c r="C1446" t="s">
        <v>24</v>
      </c>
      <c r="D1446" t="s">
        <v>63</v>
      </c>
      <c r="E1446" t="s">
        <v>2033</v>
      </c>
      <c r="F1446" t="s">
        <v>55</v>
      </c>
      <c r="G1446" t="s">
        <v>3980</v>
      </c>
      <c r="H1446" t="s">
        <v>26</v>
      </c>
      <c r="I1446">
        <v>0</v>
      </c>
      <c r="J1446">
        <v>0</v>
      </c>
      <c r="K1446">
        <v>0</v>
      </c>
      <c r="L1446">
        <v>0</v>
      </c>
      <c r="M1446" t="s">
        <v>76</v>
      </c>
      <c r="N1446" t="s">
        <v>76</v>
      </c>
      <c r="O1446" t="s">
        <v>77</v>
      </c>
      <c r="P1446" t="s">
        <v>76</v>
      </c>
      <c r="S1446" t="s">
        <v>3979</v>
      </c>
    </row>
    <row r="1447" spans="1:19" x14ac:dyDescent="0.3">
      <c r="A1447" t="s">
        <v>3981</v>
      </c>
      <c r="B1447" t="s">
        <v>3982</v>
      </c>
      <c r="C1447" t="s">
        <v>24</v>
      </c>
      <c r="D1447" t="s">
        <v>63</v>
      </c>
      <c r="E1447" t="s">
        <v>323</v>
      </c>
      <c r="F1447" t="s">
        <v>24</v>
      </c>
      <c r="G1447" t="s">
        <v>3983</v>
      </c>
      <c r="H1447" t="s">
        <v>213</v>
      </c>
      <c r="I1447">
        <v>0</v>
      </c>
      <c r="J1447">
        <v>0</v>
      </c>
      <c r="K1447">
        <v>0</v>
      </c>
      <c r="L1447">
        <v>0</v>
      </c>
      <c r="M1447" t="s">
        <v>76</v>
      </c>
      <c r="N1447" t="s">
        <v>76</v>
      </c>
      <c r="O1447" t="s">
        <v>77</v>
      </c>
      <c r="P1447" t="s">
        <v>76</v>
      </c>
      <c r="S1447" t="s">
        <v>3982</v>
      </c>
    </row>
    <row r="1448" spans="1:19" x14ac:dyDescent="0.3">
      <c r="A1448" t="s">
        <v>3984</v>
      </c>
      <c r="B1448" t="s">
        <v>3985</v>
      </c>
      <c r="C1448" t="s">
        <v>21</v>
      </c>
      <c r="D1448" t="s">
        <v>35</v>
      </c>
      <c r="E1448" t="s">
        <v>74</v>
      </c>
      <c r="F1448" t="s">
        <v>24</v>
      </c>
      <c r="G1448" t="s">
        <v>21</v>
      </c>
      <c r="H1448" t="s">
        <v>26</v>
      </c>
      <c r="I1448">
        <v>0</v>
      </c>
      <c r="J1448">
        <v>0</v>
      </c>
      <c r="K1448">
        <v>0</v>
      </c>
      <c r="L1448">
        <v>0</v>
      </c>
      <c r="M1448" t="s">
        <v>76</v>
      </c>
      <c r="N1448" t="s">
        <v>76</v>
      </c>
      <c r="O1448" t="s">
        <v>77</v>
      </c>
      <c r="P1448" t="s">
        <v>76</v>
      </c>
      <c r="S1448" t="s">
        <v>3985</v>
      </c>
    </row>
    <row r="1449" spans="1:19" x14ac:dyDescent="0.3">
      <c r="A1449" t="s">
        <v>3986</v>
      </c>
      <c r="B1449" t="s">
        <v>3987</v>
      </c>
      <c r="C1449" t="s">
        <v>228</v>
      </c>
      <c r="D1449" t="s">
        <v>63</v>
      </c>
      <c r="E1449" t="s">
        <v>1751</v>
      </c>
      <c r="F1449" t="s">
        <v>228</v>
      </c>
      <c r="G1449" t="s">
        <v>3986</v>
      </c>
      <c r="H1449" t="s">
        <v>317</v>
      </c>
      <c r="I1449">
        <v>0</v>
      </c>
      <c r="J1449">
        <v>0</v>
      </c>
      <c r="K1449">
        <v>0</v>
      </c>
      <c r="L1449">
        <v>0</v>
      </c>
      <c r="M1449" t="s">
        <v>76</v>
      </c>
      <c r="N1449" t="s">
        <v>76</v>
      </c>
      <c r="O1449" t="s">
        <v>77</v>
      </c>
      <c r="P1449" t="s">
        <v>76</v>
      </c>
      <c r="S1449" t="s">
        <v>3987</v>
      </c>
    </row>
    <row r="1450" spans="1:19" x14ac:dyDescent="0.3">
      <c r="A1450" t="s">
        <v>3988</v>
      </c>
      <c r="B1450" t="s">
        <v>3989</v>
      </c>
      <c r="C1450" t="s">
        <v>24</v>
      </c>
      <c r="D1450" t="s">
        <v>35</v>
      </c>
      <c r="E1450" t="s">
        <v>389</v>
      </c>
      <c r="F1450" t="s">
        <v>55</v>
      </c>
      <c r="G1450" t="s">
        <v>3990</v>
      </c>
      <c r="H1450" t="s">
        <v>213</v>
      </c>
      <c r="I1450">
        <v>0</v>
      </c>
      <c r="J1450">
        <v>0</v>
      </c>
      <c r="K1450">
        <v>0</v>
      </c>
      <c r="L1450">
        <v>0</v>
      </c>
      <c r="M1450" t="s">
        <v>76</v>
      </c>
      <c r="N1450" t="s">
        <v>76</v>
      </c>
      <c r="O1450" t="s">
        <v>77</v>
      </c>
      <c r="P1450" t="s">
        <v>76</v>
      </c>
      <c r="S1450" t="s">
        <v>3989</v>
      </c>
    </row>
    <row r="1451" spans="1:19" x14ac:dyDescent="0.3">
      <c r="A1451" t="s">
        <v>3991</v>
      </c>
      <c r="B1451" t="s">
        <v>3992</v>
      </c>
      <c r="C1451" t="s">
        <v>314</v>
      </c>
      <c r="D1451" t="s">
        <v>35</v>
      </c>
      <c r="E1451" t="s">
        <v>389</v>
      </c>
      <c r="F1451" t="s">
        <v>314</v>
      </c>
      <c r="G1451" t="s">
        <v>2832</v>
      </c>
      <c r="H1451" t="s">
        <v>75</v>
      </c>
      <c r="I1451">
        <v>0</v>
      </c>
      <c r="J1451">
        <v>0</v>
      </c>
      <c r="K1451">
        <v>0</v>
      </c>
      <c r="L1451">
        <v>0</v>
      </c>
      <c r="M1451" t="s">
        <v>76</v>
      </c>
      <c r="N1451" t="s">
        <v>76</v>
      </c>
      <c r="O1451" t="s">
        <v>77</v>
      </c>
      <c r="P1451" t="s">
        <v>76</v>
      </c>
      <c r="S1451" t="s">
        <v>3992</v>
      </c>
    </row>
    <row r="1452" spans="1:19" x14ac:dyDescent="0.3">
      <c r="A1452" t="s">
        <v>3993</v>
      </c>
      <c r="B1452" t="s">
        <v>3994</v>
      </c>
      <c r="C1452" t="s">
        <v>43</v>
      </c>
      <c r="D1452" t="s">
        <v>63</v>
      </c>
      <c r="E1452" t="s">
        <v>1132</v>
      </c>
      <c r="F1452" t="s">
        <v>45</v>
      </c>
      <c r="G1452" t="s">
        <v>43</v>
      </c>
      <c r="H1452" t="s">
        <v>26</v>
      </c>
      <c r="I1452">
        <v>0</v>
      </c>
      <c r="J1452">
        <v>0</v>
      </c>
      <c r="K1452">
        <v>0</v>
      </c>
      <c r="L1452">
        <v>0</v>
      </c>
      <c r="M1452" t="s">
        <v>76</v>
      </c>
      <c r="N1452" t="s">
        <v>76</v>
      </c>
      <c r="O1452" t="s">
        <v>77</v>
      </c>
      <c r="P1452" t="s">
        <v>76</v>
      </c>
      <c r="S1452" t="s">
        <v>3994</v>
      </c>
    </row>
    <row r="1453" spans="1:19" x14ac:dyDescent="0.3">
      <c r="A1453" t="s">
        <v>3995</v>
      </c>
      <c r="B1453" t="s">
        <v>3996</v>
      </c>
      <c r="C1453" t="s">
        <v>43</v>
      </c>
      <c r="D1453" t="s">
        <v>35</v>
      </c>
      <c r="E1453" t="s">
        <v>36</v>
      </c>
      <c r="F1453" t="s">
        <v>45</v>
      </c>
      <c r="G1453" t="s">
        <v>43</v>
      </c>
      <c r="H1453" t="s">
        <v>26</v>
      </c>
      <c r="I1453">
        <v>0</v>
      </c>
      <c r="J1453">
        <v>0</v>
      </c>
      <c r="K1453">
        <v>0</v>
      </c>
      <c r="L1453">
        <v>0</v>
      </c>
      <c r="M1453" t="s">
        <v>76</v>
      </c>
      <c r="N1453" t="s">
        <v>76</v>
      </c>
      <c r="O1453" t="s">
        <v>77</v>
      </c>
      <c r="P1453" t="s">
        <v>76</v>
      </c>
      <c r="S1453" t="s">
        <v>3996</v>
      </c>
    </row>
    <row r="1454" spans="1:19" x14ac:dyDescent="0.3">
      <c r="A1454" t="s">
        <v>3997</v>
      </c>
      <c r="B1454" t="s">
        <v>3998</v>
      </c>
      <c r="C1454" t="s">
        <v>43</v>
      </c>
      <c r="D1454" t="s">
        <v>63</v>
      </c>
      <c r="E1454" t="s">
        <v>64</v>
      </c>
      <c r="F1454" t="s">
        <v>45</v>
      </c>
      <c r="G1454" t="s">
        <v>43</v>
      </c>
      <c r="H1454" t="s">
        <v>26</v>
      </c>
      <c r="I1454">
        <v>0</v>
      </c>
      <c r="J1454">
        <v>0</v>
      </c>
      <c r="K1454">
        <v>0</v>
      </c>
      <c r="L1454">
        <v>0</v>
      </c>
      <c r="M1454" t="s">
        <v>76</v>
      </c>
      <c r="N1454" t="s">
        <v>76</v>
      </c>
      <c r="O1454" t="s">
        <v>77</v>
      </c>
      <c r="P1454" t="s">
        <v>76</v>
      </c>
      <c r="S1454" t="s">
        <v>3998</v>
      </c>
    </row>
    <row r="1455" spans="1:19" x14ac:dyDescent="0.3">
      <c r="A1455" t="s">
        <v>3999</v>
      </c>
      <c r="B1455" t="s">
        <v>4000</v>
      </c>
      <c r="C1455" t="s">
        <v>43</v>
      </c>
      <c r="D1455" t="s">
        <v>2716</v>
      </c>
      <c r="E1455" t="s">
        <v>4001</v>
      </c>
      <c r="F1455" t="s">
        <v>45</v>
      </c>
      <c r="G1455" t="s">
        <v>43</v>
      </c>
      <c r="H1455" t="s">
        <v>26</v>
      </c>
      <c r="I1455">
        <v>0</v>
      </c>
      <c r="J1455">
        <v>0</v>
      </c>
      <c r="K1455">
        <v>0</v>
      </c>
      <c r="L1455">
        <v>0</v>
      </c>
      <c r="M1455" t="s">
        <v>76</v>
      </c>
      <c r="N1455" t="s">
        <v>76</v>
      </c>
      <c r="O1455" t="s">
        <v>77</v>
      </c>
      <c r="P1455" t="s">
        <v>76</v>
      </c>
      <c r="S1455" t="s">
        <v>4000</v>
      </c>
    </row>
    <row r="1456" spans="1:19" x14ac:dyDescent="0.3">
      <c r="A1456" t="s">
        <v>4002</v>
      </c>
      <c r="B1456" t="s">
        <v>4003</v>
      </c>
      <c r="C1456" t="s">
        <v>21</v>
      </c>
      <c r="D1456" t="s">
        <v>63</v>
      </c>
      <c r="E1456" t="s">
        <v>74</v>
      </c>
      <c r="F1456" t="s">
        <v>24</v>
      </c>
      <c r="G1456" t="s">
        <v>21</v>
      </c>
      <c r="H1456" t="s">
        <v>26</v>
      </c>
      <c r="I1456">
        <v>0</v>
      </c>
      <c r="J1456">
        <v>0</v>
      </c>
      <c r="K1456">
        <v>0</v>
      </c>
      <c r="L1456">
        <v>0</v>
      </c>
      <c r="M1456" t="s">
        <v>76</v>
      </c>
      <c r="N1456" t="s">
        <v>76</v>
      </c>
      <c r="O1456" t="s">
        <v>77</v>
      </c>
      <c r="P1456" t="s">
        <v>76</v>
      </c>
      <c r="S1456" t="s">
        <v>4003</v>
      </c>
    </row>
    <row r="1457" spans="1:19" x14ac:dyDescent="0.3">
      <c r="A1457" t="s">
        <v>4004</v>
      </c>
      <c r="B1457" t="s">
        <v>4005</v>
      </c>
      <c r="C1457" t="s">
        <v>21</v>
      </c>
      <c r="D1457" t="s">
        <v>35</v>
      </c>
      <c r="E1457" t="s">
        <v>80</v>
      </c>
      <c r="F1457" t="s">
        <v>24</v>
      </c>
      <c r="G1457" t="s">
        <v>21</v>
      </c>
      <c r="H1457" t="s">
        <v>26</v>
      </c>
      <c r="I1457">
        <v>0</v>
      </c>
      <c r="J1457">
        <v>0</v>
      </c>
      <c r="K1457">
        <v>0</v>
      </c>
      <c r="L1457">
        <v>0</v>
      </c>
      <c r="M1457" t="s">
        <v>76</v>
      </c>
      <c r="N1457" t="s">
        <v>76</v>
      </c>
      <c r="O1457" t="s">
        <v>77</v>
      </c>
      <c r="P1457" t="s">
        <v>76</v>
      </c>
      <c r="S1457" t="s">
        <v>4005</v>
      </c>
    </row>
    <row r="1458" spans="1:19" x14ac:dyDescent="0.3">
      <c r="A1458" t="s">
        <v>4006</v>
      </c>
      <c r="B1458" t="s">
        <v>4007</v>
      </c>
      <c r="C1458" t="s">
        <v>43</v>
      </c>
      <c r="D1458" t="s">
        <v>63</v>
      </c>
      <c r="E1458" t="s">
        <v>74</v>
      </c>
      <c r="F1458" t="s">
        <v>45</v>
      </c>
      <c r="G1458" t="s">
        <v>43</v>
      </c>
      <c r="H1458" t="s">
        <v>26</v>
      </c>
      <c r="I1458">
        <v>0</v>
      </c>
      <c r="J1458">
        <v>0</v>
      </c>
      <c r="K1458">
        <v>0</v>
      </c>
      <c r="L1458">
        <v>0</v>
      </c>
      <c r="M1458" t="s">
        <v>76</v>
      </c>
      <c r="N1458" t="s">
        <v>76</v>
      </c>
      <c r="O1458" t="s">
        <v>77</v>
      </c>
      <c r="P1458" t="s">
        <v>76</v>
      </c>
      <c r="S1458" t="s">
        <v>4007</v>
      </c>
    </row>
    <row r="1459" spans="1:19" x14ac:dyDescent="0.3">
      <c r="A1459" t="s">
        <v>4008</v>
      </c>
      <c r="B1459" t="s">
        <v>4009</v>
      </c>
      <c r="C1459" t="s">
        <v>21</v>
      </c>
      <c r="D1459" t="s">
        <v>35</v>
      </c>
      <c r="E1459" t="s">
        <v>80</v>
      </c>
      <c r="F1459" t="s">
        <v>24</v>
      </c>
      <c r="G1459" t="s">
        <v>21</v>
      </c>
      <c r="H1459" t="s">
        <v>26</v>
      </c>
      <c r="I1459">
        <v>0</v>
      </c>
      <c r="J1459">
        <v>0</v>
      </c>
      <c r="K1459">
        <v>0</v>
      </c>
      <c r="L1459">
        <v>0</v>
      </c>
      <c r="M1459" t="s">
        <v>76</v>
      </c>
      <c r="N1459" t="s">
        <v>76</v>
      </c>
      <c r="O1459" t="s">
        <v>77</v>
      </c>
      <c r="P1459" t="s">
        <v>76</v>
      </c>
      <c r="S1459" t="s">
        <v>4009</v>
      </c>
    </row>
    <row r="1460" spans="1:19" x14ac:dyDescent="0.3">
      <c r="A1460" t="s">
        <v>4010</v>
      </c>
      <c r="B1460" t="s">
        <v>4011</v>
      </c>
      <c r="C1460" t="s">
        <v>307</v>
      </c>
      <c r="D1460" t="s">
        <v>63</v>
      </c>
      <c r="E1460" t="s">
        <v>74</v>
      </c>
      <c r="F1460" t="s">
        <v>251</v>
      </c>
      <c r="G1460" t="s">
        <v>307</v>
      </c>
      <c r="H1460" t="s">
        <v>75</v>
      </c>
      <c r="I1460">
        <v>0</v>
      </c>
      <c r="J1460">
        <v>0</v>
      </c>
      <c r="K1460">
        <v>0</v>
      </c>
      <c r="L1460">
        <v>0</v>
      </c>
      <c r="M1460" t="s">
        <v>76</v>
      </c>
      <c r="N1460" t="s">
        <v>76</v>
      </c>
      <c r="O1460" t="s">
        <v>77</v>
      </c>
      <c r="P1460" t="s">
        <v>76</v>
      </c>
      <c r="S1460" t="s">
        <v>4011</v>
      </c>
    </row>
    <row r="1461" spans="1:19" x14ac:dyDescent="0.3">
      <c r="A1461" t="s">
        <v>4012</v>
      </c>
      <c r="B1461" t="s">
        <v>4013</v>
      </c>
      <c r="E1461" t="s">
        <v>150</v>
      </c>
      <c r="F1461" t="s">
        <v>109</v>
      </c>
      <c r="G1461" t="s">
        <v>25</v>
      </c>
      <c r="H1461" t="s">
        <v>26</v>
      </c>
      <c r="I1461">
        <v>0</v>
      </c>
      <c r="J1461">
        <v>0</v>
      </c>
      <c r="K1461">
        <v>0</v>
      </c>
      <c r="L1461">
        <v>0</v>
      </c>
      <c r="M1461" t="s">
        <v>76</v>
      </c>
      <c r="N1461" t="s">
        <v>76</v>
      </c>
      <c r="O1461" t="s">
        <v>77</v>
      </c>
      <c r="P1461" t="s">
        <v>76</v>
      </c>
      <c r="S1461" t="s">
        <v>4013</v>
      </c>
    </row>
    <row r="1462" spans="1:19" x14ac:dyDescent="0.3">
      <c r="A1462" t="s">
        <v>4014</v>
      </c>
      <c r="B1462" t="s">
        <v>4015</v>
      </c>
      <c r="C1462" t="s">
        <v>73</v>
      </c>
      <c r="D1462" t="s">
        <v>63</v>
      </c>
      <c r="E1462" t="s">
        <v>74</v>
      </c>
      <c r="F1462" t="s">
        <v>73</v>
      </c>
      <c r="G1462" t="s">
        <v>542</v>
      </c>
      <c r="H1462" t="s">
        <v>75</v>
      </c>
      <c r="I1462">
        <v>0</v>
      </c>
      <c r="J1462">
        <v>0</v>
      </c>
      <c r="K1462">
        <v>0</v>
      </c>
      <c r="L1462">
        <v>0</v>
      </c>
      <c r="M1462" t="s">
        <v>76</v>
      </c>
      <c r="N1462" t="s">
        <v>76</v>
      </c>
      <c r="O1462" t="s">
        <v>77</v>
      </c>
      <c r="P1462" t="s">
        <v>76</v>
      </c>
      <c r="S1462" t="s">
        <v>4015</v>
      </c>
    </row>
    <row r="1463" spans="1:19" x14ac:dyDescent="0.3">
      <c r="A1463" t="s">
        <v>4016</v>
      </c>
      <c r="B1463" t="s">
        <v>4017</v>
      </c>
      <c r="C1463" t="s">
        <v>251</v>
      </c>
      <c r="D1463" t="s">
        <v>63</v>
      </c>
      <c r="E1463" t="s">
        <v>74</v>
      </c>
      <c r="F1463" t="s">
        <v>251</v>
      </c>
      <c r="G1463" t="s">
        <v>1399</v>
      </c>
      <c r="H1463" t="s">
        <v>75</v>
      </c>
      <c r="I1463">
        <v>0</v>
      </c>
      <c r="J1463">
        <v>0</v>
      </c>
      <c r="K1463">
        <v>0</v>
      </c>
      <c r="L1463">
        <v>0</v>
      </c>
      <c r="S1463" t="s">
        <v>4017</v>
      </c>
    </row>
    <row r="1464" spans="1:19" x14ac:dyDescent="0.3">
      <c r="A1464" t="s">
        <v>4018</v>
      </c>
      <c r="B1464" t="s">
        <v>4019</v>
      </c>
      <c r="C1464" t="s">
        <v>114</v>
      </c>
      <c r="D1464" t="s">
        <v>63</v>
      </c>
      <c r="E1464" t="s">
        <v>74</v>
      </c>
      <c r="F1464" t="s">
        <v>114</v>
      </c>
      <c r="G1464" t="s">
        <v>190</v>
      </c>
      <c r="H1464" t="s">
        <v>75</v>
      </c>
      <c r="I1464">
        <v>0</v>
      </c>
      <c r="J1464">
        <v>0</v>
      </c>
      <c r="K1464">
        <v>0</v>
      </c>
      <c r="L1464">
        <v>0</v>
      </c>
      <c r="M1464" t="s">
        <v>76</v>
      </c>
      <c r="N1464" t="s">
        <v>76</v>
      </c>
      <c r="O1464" t="s">
        <v>77</v>
      </c>
      <c r="P1464" t="s">
        <v>76</v>
      </c>
      <c r="S1464" t="s">
        <v>4019</v>
      </c>
    </row>
    <row r="1465" spans="1:19" x14ac:dyDescent="0.3">
      <c r="A1465" t="s">
        <v>4020</v>
      </c>
      <c r="B1465" t="s">
        <v>4021</v>
      </c>
      <c r="C1465" t="s">
        <v>45</v>
      </c>
      <c r="D1465" t="s">
        <v>189</v>
      </c>
      <c r="E1465" t="s">
        <v>189</v>
      </c>
      <c r="F1465" t="s">
        <v>45</v>
      </c>
      <c r="G1465" t="s">
        <v>4022</v>
      </c>
      <c r="H1465" t="s">
        <v>26</v>
      </c>
      <c r="I1465">
        <v>0</v>
      </c>
      <c r="J1465">
        <v>0</v>
      </c>
      <c r="K1465">
        <v>0</v>
      </c>
      <c r="L1465">
        <v>0</v>
      </c>
      <c r="M1465" t="s">
        <v>76</v>
      </c>
      <c r="N1465" t="s">
        <v>76</v>
      </c>
      <c r="O1465" t="s">
        <v>77</v>
      </c>
      <c r="P1465" t="s">
        <v>76</v>
      </c>
      <c r="S1465" t="s">
        <v>4021</v>
      </c>
    </row>
    <row r="1466" spans="1:19" x14ac:dyDescent="0.3">
      <c r="A1466" t="s">
        <v>4023</v>
      </c>
      <c r="B1466" t="s">
        <v>4024</v>
      </c>
      <c r="C1466" t="s">
        <v>24</v>
      </c>
      <c r="D1466" t="s">
        <v>35</v>
      </c>
      <c r="E1466" t="s">
        <v>80</v>
      </c>
      <c r="F1466" t="s">
        <v>55</v>
      </c>
      <c r="G1466" t="s">
        <v>56</v>
      </c>
      <c r="H1466" t="s">
        <v>26</v>
      </c>
      <c r="I1466">
        <v>0</v>
      </c>
      <c r="J1466">
        <v>0</v>
      </c>
      <c r="K1466">
        <v>0</v>
      </c>
      <c r="L1466">
        <v>0</v>
      </c>
      <c r="M1466" t="s">
        <v>76</v>
      </c>
      <c r="N1466" t="s">
        <v>76</v>
      </c>
      <c r="O1466" t="s">
        <v>77</v>
      </c>
      <c r="P1466" t="s">
        <v>76</v>
      </c>
      <c r="S1466" t="s">
        <v>4024</v>
      </c>
    </row>
    <row r="1467" spans="1:19" x14ac:dyDescent="0.3">
      <c r="A1467" t="s">
        <v>4025</v>
      </c>
      <c r="B1467" t="s">
        <v>4026</v>
      </c>
      <c r="C1467" t="s">
        <v>338</v>
      </c>
      <c r="D1467" t="s">
        <v>63</v>
      </c>
      <c r="E1467" t="s">
        <v>74</v>
      </c>
      <c r="F1467" t="s">
        <v>314</v>
      </c>
      <c r="G1467" t="s">
        <v>2832</v>
      </c>
      <c r="H1467" t="s">
        <v>75</v>
      </c>
      <c r="I1467">
        <v>0</v>
      </c>
      <c r="J1467">
        <v>0</v>
      </c>
      <c r="K1467">
        <v>0</v>
      </c>
      <c r="L1467">
        <v>0</v>
      </c>
      <c r="M1467" t="s">
        <v>76</v>
      </c>
      <c r="N1467" t="s">
        <v>76</v>
      </c>
      <c r="O1467" t="s">
        <v>77</v>
      </c>
      <c r="P1467" t="s">
        <v>76</v>
      </c>
      <c r="S1467" t="s">
        <v>4026</v>
      </c>
    </row>
    <row r="1468" spans="1:19" x14ac:dyDescent="0.3">
      <c r="A1468" t="s">
        <v>4027</v>
      </c>
      <c r="B1468" t="s">
        <v>4028</v>
      </c>
      <c r="C1468" t="s">
        <v>73</v>
      </c>
      <c r="D1468" t="s">
        <v>63</v>
      </c>
      <c r="E1468" t="s">
        <v>74</v>
      </c>
      <c r="F1468" t="s">
        <v>73</v>
      </c>
      <c r="G1468" t="s">
        <v>741</v>
      </c>
      <c r="H1468" t="s">
        <v>75</v>
      </c>
      <c r="I1468">
        <v>0</v>
      </c>
      <c r="J1468">
        <v>0</v>
      </c>
      <c r="K1468">
        <v>0</v>
      </c>
      <c r="L1468">
        <v>0</v>
      </c>
      <c r="M1468" t="s">
        <v>76</v>
      </c>
      <c r="N1468" t="s">
        <v>76</v>
      </c>
      <c r="O1468" t="s">
        <v>77</v>
      </c>
      <c r="P1468" t="s">
        <v>76</v>
      </c>
      <c r="S1468" t="s">
        <v>4028</v>
      </c>
    </row>
    <row r="1469" spans="1:19" x14ac:dyDescent="0.3">
      <c r="A1469" t="s">
        <v>4029</v>
      </c>
      <c r="B1469" t="s">
        <v>4030</v>
      </c>
      <c r="C1469" t="s">
        <v>114</v>
      </c>
      <c r="D1469" t="s">
        <v>2796</v>
      </c>
      <c r="F1469" t="s">
        <v>114</v>
      </c>
      <c r="G1469" t="s">
        <v>190</v>
      </c>
      <c r="H1469" t="s">
        <v>75</v>
      </c>
      <c r="I1469">
        <v>0</v>
      </c>
      <c r="J1469">
        <v>0</v>
      </c>
      <c r="K1469">
        <v>0</v>
      </c>
      <c r="L1469">
        <v>0</v>
      </c>
      <c r="M1469" t="s">
        <v>76</v>
      </c>
      <c r="N1469" t="s">
        <v>76</v>
      </c>
      <c r="O1469" t="s">
        <v>77</v>
      </c>
      <c r="P1469" t="s">
        <v>76</v>
      </c>
      <c r="S1469" t="s">
        <v>4030</v>
      </c>
    </row>
    <row r="1470" spans="1:19" x14ac:dyDescent="0.3">
      <c r="A1470" t="s">
        <v>4031</v>
      </c>
      <c r="B1470" t="s">
        <v>4032</v>
      </c>
      <c r="C1470" t="s">
        <v>73</v>
      </c>
      <c r="D1470" t="s">
        <v>63</v>
      </c>
      <c r="E1470" t="s">
        <v>74</v>
      </c>
      <c r="F1470" t="s">
        <v>73</v>
      </c>
      <c r="G1470" t="s">
        <v>741</v>
      </c>
      <c r="H1470" t="s">
        <v>75</v>
      </c>
      <c r="I1470">
        <v>0</v>
      </c>
      <c r="J1470">
        <v>0</v>
      </c>
      <c r="K1470">
        <v>0</v>
      </c>
      <c r="L1470">
        <v>0</v>
      </c>
      <c r="M1470" t="s">
        <v>76</v>
      </c>
      <c r="N1470" t="s">
        <v>76</v>
      </c>
      <c r="O1470" t="s">
        <v>77</v>
      </c>
      <c r="P1470" t="s">
        <v>76</v>
      </c>
      <c r="S1470" t="s">
        <v>4032</v>
      </c>
    </row>
    <row r="1471" spans="1:19" x14ac:dyDescent="0.3">
      <c r="A1471" t="s">
        <v>4033</v>
      </c>
      <c r="B1471" t="s">
        <v>4034</v>
      </c>
      <c r="C1471" t="s">
        <v>596</v>
      </c>
      <c r="D1471" t="s">
        <v>35</v>
      </c>
      <c r="E1471" t="s">
        <v>80</v>
      </c>
      <c r="F1471" t="s">
        <v>73</v>
      </c>
      <c r="G1471" t="s">
        <v>596</v>
      </c>
      <c r="H1471" t="s">
        <v>75</v>
      </c>
      <c r="I1471">
        <v>0</v>
      </c>
      <c r="J1471">
        <v>0</v>
      </c>
      <c r="K1471">
        <v>0</v>
      </c>
      <c r="L1471">
        <v>0</v>
      </c>
      <c r="M1471" t="s">
        <v>76</v>
      </c>
      <c r="N1471" t="s">
        <v>76</v>
      </c>
      <c r="O1471" t="s">
        <v>77</v>
      </c>
      <c r="P1471" t="s">
        <v>76</v>
      </c>
      <c r="S1471" t="s">
        <v>4034</v>
      </c>
    </row>
    <row r="1472" spans="1:19" x14ac:dyDescent="0.3">
      <c r="A1472" t="s">
        <v>4035</v>
      </c>
      <c r="B1472" t="s">
        <v>4036</v>
      </c>
      <c r="C1472" t="s">
        <v>43</v>
      </c>
      <c r="D1472" t="s">
        <v>35</v>
      </c>
      <c r="E1472" t="s">
        <v>80</v>
      </c>
      <c r="F1472" t="s">
        <v>45</v>
      </c>
      <c r="G1472" t="s">
        <v>43</v>
      </c>
      <c r="H1472" t="s">
        <v>26</v>
      </c>
      <c r="I1472">
        <v>0</v>
      </c>
      <c r="J1472">
        <v>0</v>
      </c>
      <c r="K1472">
        <v>0</v>
      </c>
      <c r="L1472">
        <v>0</v>
      </c>
      <c r="M1472" t="s">
        <v>76</v>
      </c>
      <c r="N1472" t="s">
        <v>76</v>
      </c>
      <c r="O1472" t="s">
        <v>77</v>
      </c>
      <c r="P1472" t="s">
        <v>76</v>
      </c>
      <c r="S1472" t="s">
        <v>4036</v>
      </c>
    </row>
    <row r="1473" spans="1:19" x14ac:dyDescent="0.3">
      <c r="A1473" t="s">
        <v>4037</v>
      </c>
      <c r="B1473" t="s">
        <v>4038</v>
      </c>
      <c r="C1473" t="s">
        <v>24</v>
      </c>
      <c r="D1473" t="s">
        <v>63</v>
      </c>
      <c r="E1473" t="s">
        <v>74</v>
      </c>
      <c r="F1473" t="s">
        <v>55</v>
      </c>
      <c r="G1473" t="s">
        <v>56</v>
      </c>
      <c r="H1473" t="s">
        <v>26</v>
      </c>
      <c r="I1473">
        <v>0</v>
      </c>
      <c r="J1473">
        <v>0</v>
      </c>
      <c r="K1473">
        <v>0</v>
      </c>
      <c r="L1473">
        <v>0</v>
      </c>
      <c r="M1473" t="s">
        <v>76</v>
      </c>
      <c r="N1473" t="s">
        <v>76</v>
      </c>
      <c r="O1473" t="s">
        <v>77</v>
      </c>
      <c r="P1473" t="s">
        <v>76</v>
      </c>
      <c r="S1473" t="s">
        <v>4038</v>
      </c>
    </row>
    <row r="1474" spans="1:19" x14ac:dyDescent="0.3">
      <c r="A1474" t="s">
        <v>4039</v>
      </c>
      <c r="B1474" t="s">
        <v>4040</v>
      </c>
      <c r="C1474" t="s">
        <v>196</v>
      </c>
      <c r="D1474" t="s">
        <v>35</v>
      </c>
      <c r="E1474" t="s">
        <v>128</v>
      </c>
      <c r="F1474" t="s">
        <v>228</v>
      </c>
      <c r="G1474" t="s">
        <v>196</v>
      </c>
      <c r="H1474" t="s">
        <v>75</v>
      </c>
      <c r="I1474">
        <v>0</v>
      </c>
      <c r="J1474">
        <v>0</v>
      </c>
      <c r="K1474">
        <v>0</v>
      </c>
      <c r="L1474">
        <v>0</v>
      </c>
      <c r="M1474" t="s">
        <v>76</v>
      </c>
      <c r="N1474" t="s">
        <v>76</v>
      </c>
      <c r="O1474" t="s">
        <v>77</v>
      </c>
      <c r="P1474" t="s">
        <v>76</v>
      </c>
      <c r="S1474" t="s">
        <v>4040</v>
      </c>
    </row>
    <row r="1475" spans="1:19" x14ac:dyDescent="0.3">
      <c r="A1475" t="s">
        <v>4041</v>
      </c>
      <c r="B1475" t="s">
        <v>4042</v>
      </c>
      <c r="C1475" t="s">
        <v>73</v>
      </c>
      <c r="D1475" t="s">
        <v>53</v>
      </c>
      <c r="E1475" t="s">
        <v>54</v>
      </c>
      <c r="F1475" t="s">
        <v>237</v>
      </c>
      <c r="G1475" t="s">
        <v>2673</v>
      </c>
      <c r="H1475" t="s">
        <v>75</v>
      </c>
      <c r="I1475">
        <v>0</v>
      </c>
      <c r="J1475">
        <v>0</v>
      </c>
      <c r="K1475">
        <v>0</v>
      </c>
      <c r="L1475">
        <v>0</v>
      </c>
      <c r="M1475" t="s">
        <v>76</v>
      </c>
      <c r="N1475" t="s">
        <v>76</v>
      </c>
      <c r="O1475" t="s">
        <v>77</v>
      </c>
      <c r="P1475" t="s">
        <v>76</v>
      </c>
      <c r="S1475" t="s">
        <v>4042</v>
      </c>
    </row>
    <row r="1476" spans="1:19" x14ac:dyDescent="0.3">
      <c r="A1476" t="s">
        <v>4043</v>
      </c>
      <c r="B1476" t="s">
        <v>4044</v>
      </c>
      <c r="C1476" t="s">
        <v>114</v>
      </c>
      <c r="D1476" t="s">
        <v>63</v>
      </c>
      <c r="E1476" t="s">
        <v>74</v>
      </c>
      <c r="F1476" t="s">
        <v>114</v>
      </c>
      <c r="G1476" t="s">
        <v>190</v>
      </c>
      <c r="H1476" t="s">
        <v>75</v>
      </c>
      <c r="I1476">
        <v>0</v>
      </c>
      <c r="J1476">
        <v>0</v>
      </c>
      <c r="K1476">
        <v>0</v>
      </c>
      <c r="L1476">
        <v>0</v>
      </c>
      <c r="M1476" t="s">
        <v>76</v>
      </c>
      <c r="N1476" t="s">
        <v>76</v>
      </c>
      <c r="O1476" t="s">
        <v>77</v>
      </c>
      <c r="P1476" t="s">
        <v>76</v>
      </c>
      <c r="S1476" t="s">
        <v>4044</v>
      </c>
    </row>
    <row r="1477" spans="1:19" x14ac:dyDescent="0.3">
      <c r="A1477" t="s">
        <v>4045</v>
      </c>
      <c r="B1477" t="s">
        <v>4046</v>
      </c>
      <c r="C1477" t="s">
        <v>43</v>
      </c>
      <c r="D1477" t="s">
        <v>63</v>
      </c>
      <c r="E1477" t="s">
        <v>74</v>
      </c>
      <c r="F1477" t="s">
        <v>45</v>
      </c>
      <c r="G1477" t="s">
        <v>43</v>
      </c>
      <c r="H1477" t="s">
        <v>26</v>
      </c>
      <c r="I1477">
        <v>0</v>
      </c>
      <c r="J1477">
        <v>0</v>
      </c>
      <c r="K1477">
        <v>0</v>
      </c>
      <c r="L1477">
        <v>0</v>
      </c>
      <c r="M1477" t="s">
        <v>76</v>
      </c>
      <c r="N1477" t="s">
        <v>76</v>
      </c>
      <c r="O1477" t="s">
        <v>77</v>
      </c>
      <c r="P1477" t="s">
        <v>76</v>
      </c>
      <c r="S1477" t="s">
        <v>4046</v>
      </c>
    </row>
    <row r="1478" spans="1:19" x14ac:dyDescent="0.3">
      <c r="A1478" t="s">
        <v>4047</v>
      </c>
      <c r="B1478" t="s">
        <v>4048</v>
      </c>
      <c r="C1478" t="s">
        <v>24</v>
      </c>
      <c r="D1478" t="s">
        <v>63</v>
      </c>
      <c r="E1478" t="s">
        <v>4049</v>
      </c>
      <c r="F1478" t="s">
        <v>55</v>
      </c>
      <c r="G1478" t="s">
        <v>4050</v>
      </c>
      <c r="H1478" t="s">
        <v>213</v>
      </c>
      <c r="I1478">
        <v>0</v>
      </c>
      <c r="J1478">
        <v>0</v>
      </c>
      <c r="K1478">
        <v>0</v>
      </c>
      <c r="L1478">
        <v>0</v>
      </c>
      <c r="M1478" t="s">
        <v>76</v>
      </c>
      <c r="N1478" t="s">
        <v>76</v>
      </c>
      <c r="O1478" t="s">
        <v>77</v>
      </c>
      <c r="P1478" t="s">
        <v>76</v>
      </c>
      <c r="S1478" t="s">
        <v>4048</v>
      </c>
    </row>
    <row r="1479" spans="1:19" x14ac:dyDescent="0.3">
      <c r="A1479" t="s">
        <v>4051</v>
      </c>
      <c r="B1479" t="s">
        <v>4052</v>
      </c>
      <c r="C1479" t="s">
        <v>24</v>
      </c>
      <c r="D1479" t="s">
        <v>53</v>
      </c>
      <c r="E1479" t="s">
        <v>54</v>
      </c>
      <c r="F1479" t="s">
        <v>55</v>
      </c>
      <c r="G1479" t="s">
        <v>56</v>
      </c>
      <c r="H1479" t="s">
        <v>26</v>
      </c>
      <c r="I1479">
        <v>0</v>
      </c>
      <c r="J1479">
        <v>0</v>
      </c>
      <c r="K1479">
        <v>0</v>
      </c>
      <c r="L1479">
        <v>0</v>
      </c>
      <c r="M1479" t="s">
        <v>76</v>
      </c>
      <c r="N1479" t="s">
        <v>76</v>
      </c>
      <c r="O1479" t="s">
        <v>77</v>
      </c>
      <c r="P1479" t="s">
        <v>76</v>
      </c>
      <c r="S1479" t="s">
        <v>4052</v>
      </c>
    </row>
    <row r="1480" spans="1:19" x14ac:dyDescent="0.3">
      <c r="A1480" t="s">
        <v>4053</v>
      </c>
      <c r="B1480" t="s">
        <v>4054</v>
      </c>
      <c r="C1480" t="s">
        <v>24</v>
      </c>
      <c r="D1480" t="s">
        <v>63</v>
      </c>
      <c r="E1480" t="s">
        <v>74</v>
      </c>
      <c r="F1480" t="s">
        <v>24</v>
      </c>
      <c r="G1480" t="s">
        <v>4053</v>
      </c>
      <c r="H1480" t="s">
        <v>26</v>
      </c>
      <c r="I1480">
        <v>0</v>
      </c>
      <c r="J1480">
        <v>0</v>
      </c>
      <c r="K1480">
        <v>0</v>
      </c>
      <c r="L1480">
        <v>0</v>
      </c>
      <c r="M1480" t="s">
        <v>76</v>
      </c>
      <c r="N1480" t="s">
        <v>76</v>
      </c>
      <c r="O1480" t="s">
        <v>77</v>
      </c>
      <c r="P1480" t="s">
        <v>76</v>
      </c>
      <c r="S1480" t="s">
        <v>4054</v>
      </c>
    </row>
    <row r="1481" spans="1:19" x14ac:dyDescent="0.3">
      <c r="A1481" t="s">
        <v>4055</v>
      </c>
      <c r="B1481" t="s">
        <v>4056</v>
      </c>
      <c r="C1481" t="s">
        <v>114</v>
      </c>
      <c r="D1481" t="s">
        <v>35</v>
      </c>
      <c r="E1481" t="s">
        <v>36</v>
      </c>
      <c r="F1481" t="s">
        <v>114</v>
      </c>
      <c r="G1481" t="s">
        <v>362</v>
      </c>
      <c r="H1481" t="s">
        <v>75</v>
      </c>
      <c r="I1481">
        <v>0</v>
      </c>
      <c r="J1481">
        <v>0</v>
      </c>
      <c r="K1481">
        <v>0</v>
      </c>
      <c r="L1481">
        <v>0</v>
      </c>
      <c r="M1481" t="s">
        <v>76</v>
      </c>
      <c r="N1481" t="s">
        <v>76</v>
      </c>
      <c r="O1481" t="s">
        <v>77</v>
      </c>
      <c r="P1481" t="s">
        <v>76</v>
      </c>
      <c r="S1481" t="s">
        <v>4056</v>
      </c>
    </row>
    <row r="1482" spans="1:19" x14ac:dyDescent="0.3">
      <c r="A1482" t="s">
        <v>4057</v>
      </c>
      <c r="B1482" t="s">
        <v>4058</v>
      </c>
      <c r="C1482" t="s">
        <v>24</v>
      </c>
      <c r="D1482" t="s">
        <v>63</v>
      </c>
      <c r="E1482" t="s">
        <v>74</v>
      </c>
      <c r="F1482" t="s">
        <v>55</v>
      </c>
      <c r="G1482" t="s">
        <v>56</v>
      </c>
      <c r="H1482" t="s">
        <v>26</v>
      </c>
      <c r="I1482">
        <v>0</v>
      </c>
      <c r="J1482">
        <v>0</v>
      </c>
      <c r="K1482">
        <v>0</v>
      </c>
      <c r="L1482">
        <v>0</v>
      </c>
      <c r="M1482" t="s">
        <v>76</v>
      </c>
      <c r="N1482" t="s">
        <v>76</v>
      </c>
      <c r="O1482" t="s">
        <v>77</v>
      </c>
      <c r="P1482" t="s">
        <v>76</v>
      </c>
      <c r="S1482" t="s">
        <v>4058</v>
      </c>
    </row>
    <row r="1483" spans="1:19" x14ac:dyDescent="0.3">
      <c r="A1483" t="s">
        <v>4059</v>
      </c>
      <c r="B1483" t="s">
        <v>4060</v>
      </c>
      <c r="C1483" t="s">
        <v>43</v>
      </c>
      <c r="D1483" t="s">
        <v>63</v>
      </c>
      <c r="E1483" t="s">
        <v>74</v>
      </c>
      <c r="F1483" t="s">
        <v>45</v>
      </c>
      <c r="G1483" t="s">
        <v>43</v>
      </c>
      <c r="H1483" t="s">
        <v>26</v>
      </c>
      <c r="I1483">
        <v>0</v>
      </c>
      <c r="J1483">
        <v>0</v>
      </c>
      <c r="K1483">
        <v>0</v>
      </c>
      <c r="L1483">
        <v>0</v>
      </c>
      <c r="M1483" t="s">
        <v>76</v>
      </c>
      <c r="N1483" t="s">
        <v>76</v>
      </c>
      <c r="O1483" t="s">
        <v>77</v>
      </c>
      <c r="P1483" t="s">
        <v>76</v>
      </c>
      <c r="S1483" t="s">
        <v>4060</v>
      </c>
    </row>
    <row r="1484" spans="1:19" x14ac:dyDescent="0.3">
      <c r="A1484" t="s">
        <v>4061</v>
      </c>
      <c r="B1484" t="s">
        <v>4062</v>
      </c>
      <c r="C1484" t="s">
        <v>24</v>
      </c>
      <c r="D1484" t="s">
        <v>63</v>
      </c>
      <c r="E1484" t="s">
        <v>74</v>
      </c>
      <c r="F1484" t="s">
        <v>24</v>
      </c>
      <c r="G1484" t="s">
        <v>4061</v>
      </c>
      <c r="H1484" t="s">
        <v>26</v>
      </c>
      <c r="I1484">
        <v>0</v>
      </c>
      <c r="J1484">
        <v>0</v>
      </c>
      <c r="K1484">
        <v>0</v>
      </c>
      <c r="L1484">
        <v>0</v>
      </c>
      <c r="M1484" t="s">
        <v>239</v>
      </c>
      <c r="N1484" t="s">
        <v>239</v>
      </c>
      <c r="O1484" t="s">
        <v>240</v>
      </c>
      <c r="P1484" t="s">
        <v>239</v>
      </c>
      <c r="S1484" t="s">
        <v>4062</v>
      </c>
    </row>
    <row r="1485" spans="1:19" x14ac:dyDescent="0.3">
      <c r="A1485" t="s">
        <v>4063</v>
      </c>
      <c r="B1485" t="s">
        <v>4064</v>
      </c>
      <c r="C1485" t="s">
        <v>1053</v>
      </c>
      <c r="D1485" t="s">
        <v>35</v>
      </c>
      <c r="E1485" t="s">
        <v>128</v>
      </c>
      <c r="F1485" t="s">
        <v>314</v>
      </c>
      <c r="G1485" t="s">
        <v>1053</v>
      </c>
      <c r="H1485" t="s">
        <v>75</v>
      </c>
      <c r="I1485">
        <v>0</v>
      </c>
      <c r="J1485">
        <v>0</v>
      </c>
      <c r="K1485">
        <v>0</v>
      </c>
      <c r="L1485">
        <v>0</v>
      </c>
      <c r="M1485" t="s">
        <v>76</v>
      </c>
      <c r="N1485" t="s">
        <v>76</v>
      </c>
      <c r="O1485" t="s">
        <v>77</v>
      </c>
      <c r="P1485" t="s">
        <v>76</v>
      </c>
      <c r="S1485" t="s">
        <v>4064</v>
      </c>
    </row>
    <row r="1486" spans="1:19" x14ac:dyDescent="0.3">
      <c r="A1486" t="s">
        <v>4065</v>
      </c>
      <c r="B1486" t="s">
        <v>4066</v>
      </c>
      <c r="C1486" t="s">
        <v>45</v>
      </c>
      <c r="D1486" t="s">
        <v>53</v>
      </c>
      <c r="E1486" t="s">
        <v>389</v>
      </c>
      <c r="F1486" t="s">
        <v>24</v>
      </c>
      <c r="G1486" t="s">
        <v>4065</v>
      </c>
      <c r="H1486" t="s">
        <v>26</v>
      </c>
      <c r="I1486">
        <v>0</v>
      </c>
      <c r="J1486">
        <v>0</v>
      </c>
      <c r="K1486">
        <v>0</v>
      </c>
      <c r="L1486">
        <v>0</v>
      </c>
      <c r="M1486" t="s">
        <v>76</v>
      </c>
      <c r="N1486" t="s">
        <v>76</v>
      </c>
      <c r="O1486" t="s">
        <v>77</v>
      </c>
      <c r="P1486" t="s">
        <v>76</v>
      </c>
      <c r="S1486" t="s">
        <v>4066</v>
      </c>
    </row>
    <row r="1487" spans="1:19" x14ac:dyDescent="0.3">
      <c r="A1487" t="s">
        <v>4067</v>
      </c>
      <c r="B1487" t="s">
        <v>4068</v>
      </c>
      <c r="C1487" t="s">
        <v>45</v>
      </c>
      <c r="D1487" t="s">
        <v>63</v>
      </c>
      <c r="E1487" t="s">
        <v>575</v>
      </c>
      <c r="F1487" t="s">
        <v>114</v>
      </c>
      <c r="G1487" t="s">
        <v>4067</v>
      </c>
      <c r="H1487" t="s">
        <v>26</v>
      </c>
      <c r="I1487">
        <v>0</v>
      </c>
      <c r="J1487">
        <v>0</v>
      </c>
      <c r="K1487">
        <v>0</v>
      </c>
      <c r="L1487">
        <v>0</v>
      </c>
      <c r="S1487" t="s">
        <v>4068</v>
      </c>
    </row>
    <row r="1488" spans="1:19" x14ac:dyDescent="0.3">
      <c r="A1488" t="s">
        <v>4069</v>
      </c>
      <c r="B1488" t="s">
        <v>4070</v>
      </c>
      <c r="C1488" t="s">
        <v>307</v>
      </c>
      <c r="D1488" t="s">
        <v>35</v>
      </c>
      <c r="E1488" t="s">
        <v>150</v>
      </c>
      <c r="F1488" t="s">
        <v>251</v>
      </c>
      <c r="G1488" t="s">
        <v>307</v>
      </c>
      <c r="H1488" t="s">
        <v>75</v>
      </c>
      <c r="I1488">
        <v>0</v>
      </c>
      <c r="J1488">
        <v>0</v>
      </c>
      <c r="K1488">
        <v>0</v>
      </c>
      <c r="L1488">
        <v>0</v>
      </c>
      <c r="M1488" t="s">
        <v>76</v>
      </c>
      <c r="N1488" t="s">
        <v>76</v>
      </c>
      <c r="O1488" t="s">
        <v>77</v>
      </c>
      <c r="P1488" t="s">
        <v>76</v>
      </c>
      <c r="S1488" t="s">
        <v>4070</v>
      </c>
    </row>
    <row r="1489" spans="1:19" x14ac:dyDescent="0.3">
      <c r="A1489" t="s">
        <v>4071</v>
      </c>
      <c r="B1489" t="s">
        <v>4072</v>
      </c>
      <c r="C1489" t="s">
        <v>24</v>
      </c>
      <c r="D1489" t="s">
        <v>63</v>
      </c>
      <c r="E1489" t="s">
        <v>74</v>
      </c>
      <c r="F1489" t="s">
        <v>24</v>
      </c>
      <c r="G1489" t="s">
        <v>4071</v>
      </c>
      <c r="H1489" t="s">
        <v>26</v>
      </c>
      <c r="I1489">
        <v>0</v>
      </c>
      <c r="J1489">
        <v>0</v>
      </c>
      <c r="K1489">
        <v>0</v>
      </c>
      <c r="L1489">
        <v>0</v>
      </c>
      <c r="M1489" t="s">
        <v>239</v>
      </c>
      <c r="N1489" t="s">
        <v>239</v>
      </c>
      <c r="O1489" t="s">
        <v>240</v>
      </c>
      <c r="P1489" t="s">
        <v>239</v>
      </c>
      <c r="S1489" t="s">
        <v>4072</v>
      </c>
    </row>
    <row r="1490" spans="1:19" x14ac:dyDescent="0.3">
      <c r="A1490" t="s">
        <v>4073</v>
      </c>
      <c r="B1490" t="s">
        <v>4074</v>
      </c>
      <c r="C1490" t="s">
        <v>307</v>
      </c>
      <c r="D1490" t="s">
        <v>63</v>
      </c>
      <c r="E1490" t="s">
        <v>74</v>
      </c>
      <c r="F1490" t="s">
        <v>251</v>
      </c>
      <c r="G1490" t="s">
        <v>307</v>
      </c>
      <c r="H1490" t="s">
        <v>75</v>
      </c>
      <c r="I1490">
        <v>0</v>
      </c>
      <c r="J1490">
        <v>0</v>
      </c>
      <c r="K1490">
        <v>0</v>
      </c>
      <c r="L1490">
        <v>0</v>
      </c>
      <c r="M1490" t="s">
        <v>76</v>
      </c>
      <c r="N1490" t="s">
        <v>76</v>
      </c>
      <c r="O1490" t="s">
        <v>77</v>
      </c>
      <c r="P1490" t="s">
        <v>76</v>
      </c>
      <c r="S1490" t="s">
        <v>4074</v>
      </c>
    </row>
    <row r="1491" spans="1:19" x14ac:dyDescent="0.3">
      <c r="A1491" t="s">
        <v>4075</v>
      </c>
      <c r="B1491" t="s">
        <v>4076</v>
      </c>
      <c r="C1491" t="s">
        <v>24</v>
      </c>
      <c r="D1491" t="s">
        <v>63</v>
      </c>
      <c r="E1491" t="s">
        <v>74</v>
      </c>
      <c r="F1491" t="s">
        <v>24</v>
      </c>
      <c r="G1491" t="s">
        <v>4075</v>
      </c>
      <c r="H1491" t="s">
        <v>26</v>
      </c>
      <c r="I1491">
        <v>0</v>
      </c>
      <c r="J1491">
        <v>0</v>
      </c>
      <c r="K1491">
        <v>0</v>
      </c>
      <c r="L1491">
        <v>0</v>
      </c>
      <c r="M1491" t="s">
        <v>76</v>
      </c>
      <c r="N1491" t="s">
        <v>76</v>
      </c>
      <c r="O1491" t="s">
        <v>77</v>
      </c>
      <c r="P1491" t="s">
        <v>76</v>
      </c>
      <c r="S1491" t="s">
        <v>4076</v>
      </c>
    </row>
    <row r="1492" spans="1:19" x14ac:dyDescent="0.3">
      <c r="A1492" t="s">
        <v>4077</v>
      </c>
      <c r="B1492" t="s">
        <v>4078</v>
      </c>
      <c r="C1492" t="s">
        <v>196</v>
      </c>
      <c r="D1492" t="s">
        <v>35</v>
      </c>
      <c r="E1492" t="s">
        <v>150</v>
      </c>
      <c r="F1492" t="s">
        <v>228</v>
      </c>
      <c r="G1492" t="s">
        <v>196</v>
      </c>
      <c r="H1492" t="s">
        <v>75</v>
      </c>
      <c r="I1492">
        <v>0</v>
      </c>
      <c r="J1492">
        <v>0</v>
      </c>
      <c r="K1492">
        <v>0</v>
      </c>
      <c r="L1492">
        <v>0</v>
      </c>
      <c r="M1492" t="s">
        <v>76</v>
      </c>
      <c r="N1492" t="s">
        <v>76</v>
      </c>
      <c r="O1492" t="s">
        <v>77</v>
      </c>
      <c r="P1492" t="s">
        <v>76</v>
      </c>
      <c r="S1492" t="s">
        <v>4078</v>
      </c>
    </row>
    <row r="1493" spans="1:19" x14ac:dyDescent="0.3">
      <c r="A1493" t="s">
        <v>4079</v>
      </c>
      <c r="B1493" t="s">
        <v>4080</v>
      </c>
      <c r="C1493" t="s">
        <v>73</v>
      </c>
      <c r="D1493" t="s">
        <v>63</v>
      </c>
      <c r="E1493" t="s">
        <v>74</v>
      </c>
      <c r="F1493" t="s">
        <v>73</v>
      </c>
      <c r="G1493" t="s">
        <v>542</v>
      </c>
      <c r="H1493" t="s">
        <v>75</v>
      </c>
      <c r="I1493">
        <v>0</v>
      </c>
      <c r="J1493">
        <v>0</v>
      </c>
      <c r="K1493">
        <v>0</v>
      </c>
      <c r="L1493">
        <v>0</v>
      </c>
      <c r="M1493" t="s">
        <v>76</v>
      </c>
      <c r="N1493" t="s">
        <v>76</v>
      </c>
      <c r="O1493" t="s">
        <v>77</v>
      </c>
      <c r="P1493" t="s">
        <v>76</v>
      </c>
      <c r="S1493" t="s">
        <v>4080</v>
      </c>
    </row>
    <row r="1494" spans="1:19" x14ac:dyDescent="0.3">
      <c r="A1494" t="s">
        <v>4081</v>
      </c>
      <c r="B1494" t="s">
        <v>4082</v>
      </c>
      <c r="C1494" t="s">
        <v>73</v>
      </c>
      <c r="D1494" t="s">
        <v>53</v>
      </c>
      <c r="E1494" t="s">
        <v>54</v>
      </c>
      <c r="F1494" t="s">
        <v>237</v>
      </c>
      <c r="G1494" t="s">
        <v>542</v>
      </c>
      <c r="H1494" t="s">
        <v>75</v>
      </c>
      <c r="I1494">
        <v>0</v>
      </c>
      <c r="J1494">
        <v>0</v>
      </c>
      <c r="K1494">
        <v>0</v>
      </c>
      <c r="L1494">
        <v>0</v>
      </c>
      <c r="M1494" t="s">
        <v>76</v>
      </c>
      <c r="N1494" t="s">
        <v>76</v>
      </c>
      <c r="O1494" t="s">
        <v>77</v>
      </c>
      <c r="P1494" t="s">
        <v>76</v>
      </c>
      <c r="S1494" t="s">
        <v>4082</v>
      </c>
    </row>
    <row r="1495" spans="1:19" x14ac:dyDescent="0.3">
      <c r="A1495" t="s">
        <v>4083</v>
      </c>
      <c r="B1495" t="s">
        <v>4084</v>
      </c>
      <c r="C1495" t="s">
        <v>251</v>
      </c>
      <c r="D1495" t="s">
        <v>63</v>
      </c>
      <c r="E1495" t="s">
        <v>74</v>
      </c>
      <c r="F1495" t="s">
        <v>251</v>
      </c>
      <c r="G1495" t="s">
        <v>1399</v>
      </c>
      <c r="H1495" t="s">
        <v>75</v>
      </c>
      <c r="I1495">
        <v>0</v>
      </c>
      <c r="J1495">
        <v>0</v>
      </c>
      <c r="K1495">
        <v>0</v>
      </c>
      <c r="L1495">
        <v>0</v>
      </c>
      <c r="S1495" t="s">
        <v>4084</v>
      </c>
    </row>
    <row r="1496" spans="1:19" x14ac:dyDescent="0.3">
      <c r="A1496" t="s">
        <v>4085</v>
      </c>
      <c r="B1496" t="s">
        <v>4086</v>
      </c>
      <c r="C1496" t="s">
        <v>251</v>
      </c>
      <c r="D1496" t="s">
        <v>63</v>
      </c>
      <c r="E1496" t="s">
        <v>74</v>
      </c>
      <c r="F1496" t="s">
        <v>251</v>
      </c>
      <c r="G1496" t="s">
        <v>1399</v>
      </c>
      <c r="H1496" t="s">
        <v>75</v>
      </c>
      <c r="I1496">
        <v>0</v>
      </c>
      <c r="J1496">
        <v>0</v>
      </c>
      <c r="K1496">
        <v>0</v>
      </c>
      <c r="L1496">
        <v>0</v>
      </c>
      <c r="S1496" t="s">
        <v>4086</v>
      </c>
    </row>
    <row r="1497" spans="1:19" x14ac:dyDescent="0.3">
      <c r="A1497" t="s">
        <v>4087</v>
      </c>
      <c r="B1497" t="s">
        <v>4088</v>
      </c>
      <c r="C1497" t="s">
        <v>114</v>
      </c>
      <c r="D1497" t="s">
        <v>63</v>
      </c>
      <c r="E1497" t="s">
        <v>74</v>
      </c>
      <c r="F1497" t="s">
        <v>114</v>
      </c>
      <c r="G1497" t="s">
        <v>362</v>
      </c>
      <c r="H1497" t="s">
        <v>75</v>
      </c>
      <c r="I1497">
        <v>0</v>
      </c>
      <c r="J1497">
        <v>0</v>
      </c>
      <c r="K1497">
        <v>0</v>
      </c>
      <c r="L1497">
        <v>0</v>
      </c>
      <c r="M1497" t="s">
        <v>76</v>
      </c>
      <c r="N1497" t="s">
        <v>76</v>
      </c>
      <c r="O1497" t="s">
        <v>77</v>
      </c>
      <c r="P1497" t="s">
        <v>76</v>
      </c>
      <c r="S1497" t="s">
        <v>4088</v>
      </c>
    </row>
    <row r="1498" spans="1:19" x14ac:dyDescent="0.3">
      <c r="A1498" t="s">
        <v>4089</v>
      </c>
      <c r="B1498" t="s">
        <v>4090</v>
      </c>
      <c r="C1498" t="s">
        <v>45</v>
      </c>
      <c r="D1498" t="s">
        <v>53</v>
      </c>
      <c r="E1498" t="s">
        <v>54</v>
      </c>
      <c r="F1498" t="s">
        <v>45</v>
      </c>
      <c r="G1498" t="s">
        <v>4089</v>
      </c>
      <c r="H1498" t="s">
        <v>213</v>
      </c>
      <c r="I1498">
        <v>0</v>
      </c>
      <c r="J1498">
        <v>0</v>
      </c>
      <c r="K1498">
        <v>0</v>
      </c>
      <c r="L1498">
        <v>0</v>
      </c>
      <c r="M1498" t="s">
        <v>76</v>
      </c>
      <c r="N1498" t="s">
        <v>76</v>
      </c>
      <c r="O1498" t="s">
        <v>77</v>
      </c>
      <c r="P1498" t="s">
        <v>76</v>
      </c>
      <c r="S1498" t="s">
        <v>4090</v>
      </c>
    </row>
    <row r="1499" spans="1:19" x14ac:dyDescent="0.3">
      <c r="A1499" t="s">
        <v>4091</v>
      </c>
      <c r="B1499" t="s">
        <v>4092</v>
      </c>
      <c r="C1499" t="s">
        <v>43</v>
      </c>
      <c r="D1499" t="s">
        <v>35</v>
      </c>
      <c r="E1499" t="s">
        <v>36</v>
      </c>
      <c r="F1499" t="s">
        <v>45</v>
      </c>
      <c r="G1499" t="s">
        <v>43</v>
      </c>
      <c r="H1499" t="s">
        <v>26</v>
      </c>
      <c r="I1499">
        <v>0</v>
      </c>
      <c r="J1499">
        <v>0</v>
      </c>
      <c r="K1499">
        <v>0</v>
      </c>
      <c r="L1499">
        <v>0</v>
      </c>
      <c r="M1499" t="s">
        <v>76</v>
      </c>
      <c r="N1499" t="s">
        <v>76</v>
      </c>
      <c r="O1499" t="s">
        <v>77</v>
      </c>
      <c r="P1499" t="s">
        <v>76</v>
      </c>
      <c r="S1499" t="s">
        <v>4092</v>
      </c>
    </row>
    <row r="1500" spans="1:19" x14ac:dyDescent="0.3">
      <c r="A1500" t="s">
        <v>4093</v>
      </c>
      <c r="B1500" t="s">
        <v>4094</v>
      </c>
      <c r="C1500" t="s">
        <v>24</v>
      </c>
      <c r="D1500" t="s">
        <v>63</v>
      </c>
      <c r="E1500" t="s">
        <v>74</v>
      </c>
      <c r="F1500" t="s">
        <v>144</v>
      </c>
      <c r="G1500" t="s">
        <v>1073</v>
      </c>
      <c r="H1500" t="s">
        <v>26</v>
      </c>
      <c r="I1500">
        <v>0</v>
      </c>
      <c r="J1500">
        <v>0</v>
      </c>
      <c r="K1500">
        <v>0</v>
      </c>
      <c r="L1500">
        <v>0</v>
      </c>
      <c r="M1500" t="s">
        <v>76</v>
      </c>
      <c r="N1500" t="s">
        <v>76</v>
      </c>
      <c r="O1500" t="s">
        <v>77</v>
      </c>
      <c r="P1500" t="s">
        <v>76</v>
      </c>
      <c r="S1500" t="s">
        <v>4094</v>
      </c>
    </row>
    <row r="1501" spans="1:19" x14ac:dyDescent="0.3">
      <c r="A1501" t="s">
        <v>4095</v>
      </c>
      <c r="B1501" t="s">
        <v>4096</v>
      </c>
      <c r="C1501" t="s">
        <v>243</v>
      </c>
      <c r="D1501" t="s">
        <v>63</v>
      </c>
      <c r="E1501" t="s">
        <v>74</v>
      </c>
      <c r="F1501" t="s">
        <v>243</v>
      </c>
      <c r="G1501" t="s">
        <v>244</v>
      </c>
      <c r="H1501" t="s">
        <v>75</v>
      </c>
      <c r="I1501">
        <v>0</v>
      </c>
      <c r="J1501">
        <v>0</v>
      </c>
      <c r="K1501">
        <v>0</v>
      </c>
      <c r="L1501">
        <v>0</v>
      </c>
      <c r="M1501" t="s">
        <v>76</v>
      </c>
      <c r="N1501" t="s">
        <v>76</v>
      </c>
      <c r="O1501" t="s">
        <v>77</v>
      </c>
      <c r="P1501" t="s">
        <v>76</v>
      </c>
      <c r="S1501" t="s">
        <v>4096</v>
      </c>
    </row>
    <row r="1502" spans="1:19" x14ac:dyDescent="0.3">
      <c r="A1502" t="s">
        <v>4097</v>
      </c>
      <c r="B1502" t="s">
        <v>4098</v>
      </c>
      <c r="C1502" t="s">
        <v>24</v>
      </c>
      <c r="D1502" t="s">
        <v>63</v>
      </c>
      <c r="E1502" t="s">
        <v>74</v>
      </c>
      <c r="F1502" t="s">
        <v>55</v>
      </c>
      <c r="G1502" t="s">
        <v>56</v>
      </c>
      <c r="H1502" t="s">
        <v>26</v>
      </c>
      <c r="I1502">
        <v>0</v>
      </c>
      <c r="J1502">
        <v>0</v>
      </c>
      <c r="K1502">
        <v>0</v>
      </c>
      <c r="L1502">
        <v>0</v>
      </c>
      <c r="M1502" t="s">
        <v>76</v>
      </c>
      <c r="N1502" t="s">
        <v>76</v>
      </c>
      <c r="O1502" t="s">
        <v>77</v>
      </c>
      <c r="P1502" t="s">
        <v>76</v>
      </c>
      <c r="S1502" t="s">
        <v>4098</v>
      </c>
    </row>
    <row r="1503" spans="1:19" x14ac:dyDescent="0.3">
      <c r="A1503" t="s">
        <v>4099</v>
      </c>
      <c r="B1503" t="s">
        <v>4100</v>
      </c>
      <c r="C1503" t="s">
        <v>24</v>
      </c>
      <c r="D1503" t="s">
        <v>63</v>
      </c>
      <c r="E1503" t="s">
        <v>74</v>
      </c>
      <c r="F1503" t="s">
        <v>24</v>
      </c>
      <c r="G1503" t="s">
        <v>4099</v>
      </c>
      <c r="H1503" t="s">
        <v>26</v>
      </c>
      <c r="I1503">
        <v>0</v>
      </c>
      <c r="J1503">
        <v>0</v>
      </c>
      <c r="K1503">
        <v>0</v>
      </c>
      <c r="L1503">
        <v>0</v>
      </c>
      <c r="M1503" t="s">
        <v>121</v>
      </c>
      <c r="N1503" t="s">
        <v>122</v>
      </c>
      <c r="O1503" t="s">
        <v>123</v>
      </c>
      <c r="P1503" t="s">
        <v>124</v>
      </c>
      <c r="Q1503" t="s">
        <v>4101</v>
      </c>
      <c r="R1503" t="s">
        <v>4102</v>
      </c>
      <c r="S1503" t="s">
        <v>4100</v>
      </c>
    </row>
    <row r="1504" spans="1:19" x14ac:dyDescent="0.3">
      <c r="A1504" t="s">
        <v>4103</v>
      </c>
      <c r="B1504" t="s">
        <v>4104</v>
      </c>
      <c r="C1504" t="s">
        <v>43</v>
      </c>
      <c r="D1504" t="s">
        <v>63</v>
      </c>
      <c r="E1504" t="s">
        <v>1457</v>
      </c>
      <c r="F1504" t="s">
        <v>45</v>
      </c>
      <c r="G1504" t="s">
        <v>43</v>
      </c>
      <c r="H1504" t="s">
        <v>26</v>
      </c>
      <c r="I1504">
        <v>0</v>
      </c>
      <c r="J1504">
        <v>0</v>
      </c>
      <c r="K1504">
        <v>0</v>
      </c>
      <c r="L1504">
        <v>0</v>
      </c>
      <c r="M1504" t="s">
        <v>76</v>
      </c>
      <c r="N1504" t="s">
        <v>76</v>
      </c>
      <c r="O1504" t="s">
        <v>77</v>
      </c>
      <c r="P1504" t="s">
        <v>76</v>
      </c>
      <c r="S1504" t="s">
        <v>4104</v>
      </c>
    </row>
    <row r="1505" spans="1:19" x14ac:dyDescent="0.3">
      <c r="A1505" t="s">
        <v>1091</v>
      </c>
      <c r="B1505" t="s">
        <v>4105</v>
      </c>
      <c r="C1505" t="s">
        <v>45</v>
      </c>
      <c r="D1505" t="s">
        <v>63</v>
      </c>
      <c r="E1505" t="s">
        <v>74</v>
      </c>
      <c r="F1505" t="s">
        <v>45</v>
      </c>
      <c r="G1505" t="s">
        <v>1091</v>
      </c>
      <c r="H1505" t="s">
        <v>26</v>
      </c>
      <c r="I1505">
        <v>0</v>
      </c>
      <c r="J1505">
        <v>0</v>
      </c>
      <c r="K1505">
        <v>0</v>
      </c>
      <c r="L1505">
        <v>0</v>
      </c>
      <c r="M1505" t="s">
        <v>76</v>
      </c>
      <c r="N1505" t="s">
        <v>76</v>
      </c>
      <c r="O1505" t="s">
        <v>77</v>
      </c>
      <c r="P1505" t="s">
        <v>76</v>
      </c>
      <c r="S1505" t="s">
        <v>4105</v>
      </c>
    </row>
    <row r="1506" spans="1:19" x14ac:dyDescent="0.3">
      <c r="A1506" t="s">
        <v>4106</v>
      </c>
      <c r="B1506" t="s">
        <v>4107</v>
      </c>
      <c r="C1506" t="s">
        <v>43</v>
      </c>
      <c r="D1506" t="s">
        <v>53</v>
      </c>
      <c r="E1506" t="s">
        <v>178</v>
      </c>
      <c r="F1506" t="s">
        <v>45</v>
      </c>
      <c r="G1506" t="s">
        <v>43</v>
      </c>
      <c r="H1506" t="s">
        <v>26</v>
      </c>
      <c r="I1506">
        <v>0</v>
      </c>
      <c r="J1506">
        <v>0</v>
      </c>
      <c r="K1506">
        <v>0</v>
      </c>
      <c r="L1506">
        <v>0</v>
      </c>
      <c r="M1506" t="s">
        <v>76</v>
      </c>
      <c r="N1506" t="s">
        <v>76</v>
      </c>
      <c r="O1506" t="s">
        <v>77</v>
      </c>
      <c r="P1506" t="s">
        <v>76</v>
      </c>
      <c r="S1506" t="s">
        <v>4107</v>
      </c>
    </row>
    <row r="1507" spans="1:19" x14ac:dyDescent="0.3">
      <c r="A1507" t="s">
        <v>4108</v>
      </c>
      <c r="B1507" t="s">
        <v>4109</v>
      </c>
      <c r="C1507" t="s">
        <v>43</v>
      </c>
      <c r="D1507" t="s">
        <v>35</v>
      </c>
      <c r="E1507" t="s">
        <v>278</v>
      </c>
      <c r="F1507" t="s">
        <v>45</v>
      </c>
      <c r="G1507" t="s">
        <v>43</v>
      </c>
      <c r="H1507" t="s">
        <v>26</v>
      </c>
      <c r="I1507">
        <v>0</v>
      </c>
      <c r="J1507">
        <v>0</v>
      </c>
      <c r="K1507">
        <v>0</v>
      </c>
      <c r="L1507">
        <v>0</v>
      </c>
      <c r="M1507" t="s">
        <v>76</v>
      </c>
      <c r="N1507" t="s">
        <v>76</v>
      </c>
      <c r="O1507" t="s">
        <v>77</v>
      </c>
      <c r="P1507" t="s">
        <v>76</v>
      </c>
      <c r="S1507" t="s">
        <v>4109</v>
      </c>
    </row>
    <row r="1508" spans="1:19" x14ac:dyDescent="0.3">
      <c r="A1508" t="s">
        <v>4110</v>
      </c>
      <c r="B1508" t="s">
        <v>4111</v>
      </c>
      <c r="C1508" t="s">
        <v>45</v>
      </c>
      <c r="D1508" t="s">
        <v>63</v>
      </c>
      <c r="E1508" t="s">
        <v>323</v>
      </c>
      <c r="F1508" t="s">
        <v>45</v>
      </c>
      <c r="G1508" t="s">
        <v>4110</v>
      </c>
      <c r="H1508" t="s">
        <v>213</v>
      </c>
      <c r="I1508">
        <v>0</v>
      </c>
      <c r="J1508">
        <v>0</v>
      </c>
      <c r="K1508">
        <v>0</v>
      </c>
      <c r="L1508">
        <v>0</v>
      </c>
      <c r="M1508" t="s">
        <v>76</v>
      </c>
      <c r="N1508" t="s">
        <v>76</v>
      </c>
      <c r="O1508" t="s">
        <v>77</v>
      </c>
      <c r="P1508" t="s">
        <v>76</v>
      </c>
      <c r="S1508" t="s">
        <v>4111</v>
      </c>
    </row>
    <row r="1509" spans="1:19" x14ac:dyDescent="0.3">
      <c r="A1509" t="s">
        <v>4112</v>
      </c>
      <c r="B1509" t="s">
        <v>4113</v>
      </c>
      <c r="C1509" t="s">
        <v>43</v>
      </c>
      <c r="D1509" t="s">
        <v>35</v>
      </c>
      <c r="E1509" t="s">
        <v>80</v>
      </c>
      <c r="F1509" t="s">
        <v>45</v>
      </c>
      <c r="G1509" t="s">
        <v>43</v>
      </c>
      <c r="H1509" t="s">
        <v>26</v>
      </c>
      <c r="I1509">
        <v>0</v>
      </c>
      <c r="J1509">
        <v>0</v>
      </c>
      <c r="K1509">
        <v>0</v>
      </c>
      <c r="L1509">
        <v>0</v>
      </c>
      <c r="M1509" t="s">
        <v>76</v>
      </c>
      <c r="N1509" t="s">
        <v>76</v>
      </c>
      <c r="O1509" t="s">
        <v>77</v>
      </c>
      <c r="P1509" t="s">
        <v>76</v>
      </c>
      <c r="S1509" t="s">
        <v>4113</v>
      </c>
    </row>
    <row r="1510" spans="1:19" x14ac:dyDescent="0.3">
      <c r="A1510" t="s">
        <v>4114</v>
      </c>
      <c r="B1510" t="s">
        <v>4115</v>
      </c>
      <c r="C1510" t="s">
        <v>73</v>
      </c>
      <c r="D1510" t="s">
        <v>63</v>
      </c>
      <c r="E1510" t="s">
        <v>74</v>
      </c>
      <c r="F1510" t="s">
        <v>73</v>
      </c>
      <c r="G1510" t="s">
        <v>542</v>
      </c>
      <c r="H1510" t="s">
        <v>75</v>
      </c>
      <c r="I1510">
        <v>0</v>
      </c>
      <c r="J1510">
        <v>0</v>
      </c>
      <c r="K1510">
        <v>0</v>
      </c>
      <c r="L1510">
        <v>0</v>
      </c>
      <c r="M1510" t="s">
        <v>76</v>
      </c>
      <c r="N1510" t="s">
        <v>76</v>
      </c>
      <c r="O1510" t="s">
        <v>77</v>
      </c>
      <c r="P1510" t="s">
        <v>76</v>
      </c>
      <c r="S1510" t="s">
        <v>4115</v>
      </c>
    </row>
    <row r="1511" spans="1:19" x14ac:dyDescent="0.3">
      <c r="A1511" t="s">
        <v>4116</v>
      </c>
      <c r="B1511" t="s">
        <v>4117</v>
      </c>
      <c r="C1511" t="s">
        <v>43</v>
      </c>
      <c r="D1511" t="s">
        <v>485</v>
      </c>
      <c r="F1511" t="s">
        <v>45</v>
      </c>
      <c r="G1511" t="s">
        <v>43</v>
      </c>
      <c r="H1511" t="s">
        <v>26</v>
      </c>
      <c r="I1511">
        <v>0</v>
      </c>
      <c r="J1511">
        <v>0</v>
      </c>
      <c r="K1511">
        <v>0</v>
      </c>
      <c r="L1511">
        <v>0</v>
      </c>
      <c r="M1511" t="s">
        <v>76</v>
      </c>
      <c r="N1511" t="s">
        <v>76</v>
      </c>
      <c r="O1511" t="s">
        <v>77</v>
      </c>
      <c r="P1511" t="s">
        <v>76</v>
      </c>
      <c r="S1511" t="s">
        <v>4117</v>
      </c>
    </row>
    <row r="1512" spans="1:19" x14ac:dyDescent="0.3">
      <c r="A1512" t="s">
        <v>4118</v>
      </c>
      <c r="B1512" t="s">
        <v>4119</v>
      </c>
      <c r="C1512" t="s">
        <v>24</v>
      </c>
      <c r="D1512" t="s">
        <v>63</v>
      </c>
      <c r="E1512" t="s">
        <v>1734</v>
      </c>
      <c r="F1512" t="s">
        <v>24</v>
      </c>
      <c r="G1512" t="s">
        <v>4120</v>
      </c>
      <c r="H1512" t="s">
        <v>26</v>
      </c>
      <c r="I1512">
        <v>0</v>
      </c>
      <c r="J1512">
        <v>0</v>
      </c>
      <c r="K1512">
        <v>0</v>
      </c>
      <c r="L1512">
        <v>0</v>
      </c>
      <c r="M1512" t="s">
        <v>76</v>
      </c>
      <c r="N1512" t="s">
        <v>76</v>
      </c>
      <c r="O1512" t="s">
        <v>77</v>
      </c>
      <c r="P1512" t="s">
        <v>76</v>
      </c>
      <c r="S1512" t="s">
        <v>4119</v>
      </c>
    </row>
    <row r="1513" spans="1:19" x14ac:dyDescent="0.3">
      <c r="A1513" t="s">
        <v>4121</v>
      </c>
      <c r="B1513" t="s">
        <v>4122</v>
      </c>
      <c r="C1513" t="s">
        <v>43</v>
      </c>
      <c r="D1513" t="s">
        <v>63</v>
      </c>
      <c r="E1513" t="s">
        <v>4123</v>
      </c>
      <c r="F1513" t="s">
        <v>45</v>
      </c>
      <c r="G1513" t="s">
        <v>43</v>
      </c>
      <c r="H1513" t="s">
        <v>26</v>
      </c>
      <c r="I1513">
        <v>0</v>
      </c>
      <c r="J1513">
        <v>0</v>
      </c>
      <c r="K1513">
        <v>0</v>
      </c>
      <c r="L1513">
        <v>0</v>
      </c>
      <c r="M1513" t="s">
        <v>76</v>
      </c>
      <c r="N1513" t="s">
        <v>76</v>
      </c>
      <c r="O1513" t="s">
        <v>77</v>
      </c>
      <c r="P1513" t="s">
        <v>76</v>
      </c>
      <c r="S1513" t="s">
        <v>4122</v>
      </c>
    </row>
    <row r="1514" spans="1:19" x14ac:dyDescent="0.3">
      <c r="A1514" t="s">
        <v>4124</v>
      </c>
      <c r="B1514" t="s">
        <v>4125</v>
      </c>
      <c r="C1514" t="s">
        <v>43</v>
      </c>
      <c r="D1514" t="s">
        <v>63</v>
      </c>
      <c r="E1514" t="s">
        <v>64</v>
      </c>
      <c r="F1514" t="s">
        <v>45</v>
      </c>
      <c r="G1514" t="s">
        <v>43</v>
      </c>
      <c r="H1514" t="s">
        <v>26</v>
      </c>
      <c r="I1514">
        <v>0</v>
      </c>
      <c r="J1514">
        <v>0</v>
      </c>
      <c r="K1514">
        <v>0</v>
      </c>
      <c r="L1514">
        <v>0</v>
      </c>
      <c r="M1514" t="s">
        <v>76</v>
      </c>
      <c r="N1514" t="s">
        <v>76</v>
      </c>
      <c r="O1514" t="s">
        <v>77</v>
      </c>
      <c r="P1514" t="s">
        <v>76</v>
      </c>
      <c r="S1514" t="s">
        <v>4125</v>
      </c>
    </row>
    <row r="1515" spans="1:19" x14ac:dyDescent="0.3">
      <c r="A1515" t="s">
        <v>4126</v>
      </c>
      <c r="B1515" t="s">
        <v>4127</v>
      </c>
      <c r="C1515" t="s">
        <v>24</v>
      </c>
      <c r="D1515" t="s">
        <v>63</v>
      </c>
      <c r="E1515" t="s">
        <v>1734</v>
      </c>
      <c r="F1515" t="s">
        <v>55</v>
      </c>
      <c r="G1515" t="s">
        <v>56</v>
      </c>
      <c r="H1515" t="s">
        <v>26</v>
      </c>
      <c r="I1515">
        <v>0</v>
      </c>
      <c r="J1515">
        <v>0</v>
      </c>
      <c r="K1515">
        <v>0</v>
      </c>
      <c r="L1515">
        <v>0</v>
      </c>
      <c r="M1515" t="s">
        <v>76</v>
      </c>
      <c r="N1515" t="s">
        <v>76</v>
      </c>
      <c r="O1515" t="s">
        <v>77</v>
      </c>
      <c r="P1515" t="s">
        <v>76</v>
      </c>
      <c r="S1515" t="s">
        <v>4127</v>
      </c>
    </row>
    <row r="1516" spans="1:19" x14ac:dyDescent="0.3">
      <c r="A1516" t="s">
        <v>4128</v>
      </c>
      <c r="B1516" t="s">
        <v>4129</v>
      </c>
      <c r="C1516" t="s">
        <v>43</v>
      </c>
      <c r="D1516" t="s">
        <v>63</v>
      </c>
      <c r="E1516" t="s">
        <v>74</v>
      </c>
      <c r="F1516" t="s">
        <v>45</v>
      </c>
      <c r="G1516" t="s">
        <v>43</v>
      </c>
      <c r="H1516" t="s">
        <v>26</v>
      </c>
      <c r="I1516">
        <v>0</v>
      </c>
      <c r="J1516">
        <v>0</v>
      </c>
      <c r="K1516">
        <v>0</v>
      </c>
      <c r="L1516">
        <v>0</v>
      </c>
      <c r="M1516" t="s">
        <v>76</v>
      </c>
      <c r="N1516" t="s">
        <v>76</v>
      </c>
      <c r="O1516" t="s">
        <v>77</v>
      </c>
      <c r="P1516" t="s">
        <v>76</v>
      </c>
      <c r="S1516" t="s">
        <v>4129</v>
      </c>
    </row>
    <row r="1517" spans="1:19" x14ac:dyDescent="0.3">
      <c r="A1517" t="s">
        <v>4130</v>
      </c>
      <c r="B1517" t="s">
        <v>4131</v>
      </c>
      <c r="C1517" t="s">
        <v>24</v>
      </c>
      <c r="D1517" t="s">
        <v>35</v>
      </c>
      <c r="E1517" t="s">
        <v>128</v>
      </c>
      <c r="F1517" t="s">
        <v>24</v>
      </c>
      <c r="G1517" t="s">
        <v>4130</v>
      </c>
      <c r="H1517" t="s">
        <v>26</v>
      </c>
      <c r="I1517">
        <v>0</v>
      </c>
      <c r="J1517">
        <v>0</v>
      </c>
      <c r="K1517">
        <v>0</v>
      </c>
      <c r="L1517">
        <v>0</v>
      </c>
      <c r="M1517" t="s">
        <v>76</v>
      </c>
      <c r="N1517" t="s">
        <v>76</v>
      </c>
      <c r="O1517" t="s">
        <v>77</v>
      </c>
      <c r="P1517" t="s">
        <v>76</v>
      </c>
      <c r="Q1517" t="s">
        <v>4132</v>
      </c>
      <c r="R1517" t="s">
        <v>4133</v>
      </c>
      <c r="S1517" t="s">
        <v>4131</v>
      </c>
    </row>
    <row r="1518" spans="1:19" x14ac:dyDescent="0.3">
      <c r="A1518" t="s">
        <v>4134</v>
      </c>
      <c r="B1518" t="s">
        <v>4135</v>
      </c>
      <c r="C1518" t="s">
        <v>43</v>
      </c>
      <c r="D1518" t="s">
        <v>63</v>
      </c>
      <c r="E1518" t="s">
        <v>74</v>
      </c>
      <c r="F1518" t="s">
        <v>45</v>
      </c>
      <c r="G1518" t="s">
        <v>43</v>
      </c>
      <c r="H1518" t="s">
        <v>26</v>
      </c>
      <c r="I1518">
        <v>0</v>
      </c>
      <c r="J1518">
        <v>0</v>
      </c>
      <c r="K1518">
        <v>0</v>
      </c>
      <c r="L1518">
        <v>0</v>
      </c>
      <c r="M1518" t="s">
        <v>76</v>
      </c>
      <c r="N1518" t="s">
        <v>76</v>
      </c>
      <c r="O1518" t="s">
        <v>77</v>
      </c>
      <c r="P1518" t="s">
        <v>76</v>
      </c>
      <c r="S1518" t="s">
        <v>4135</v>
      </c>
    </row>
    <row r="1519" spans="1:19" x14ac:dyDescent="0.3">
      <c r="A1519" t="s">
        <v>4136</v>
      </c>
      <c r="B1519" t="s">
        <v>4137</v>
      </c>
      <c r="C1519" t="s">
        <v>24</v>
      </c>
      <c r="D1519" t="s">
        <v>53</v>
      </c>
      <c r="E1519" t="s">
        <v>400</v>
      </c>
      <c r="F1519" t="s">
        <v>55</v>
      </c>
      <c r="G1519" t="s">
        <v>56</v>
      </c>
      <c r="H1519" t="s">
        <v>26</v>
      </c>
      <c r="I1519">
        <v>0</v>
      </c>
      <c r="J1519">
        <v>0</v>
      </c>
      <c r="K1519">
        <v>0</v>
      </c>
      <c r="L1519">
        <v>0</v>
      </c>
      <c r="M1519" t="s">
        <v>76</v>
      </c>
      <c r="N1519" t="s">
        <v>76</v>
      </c>
      <c r="O1519" t="s">
        <v>77</v>
      </c>
      <c r="P1519" t="s">
        <v>76</v>
      </c>
      <c r="S1519" t="s">
        <v>4137</v>
      </c>
    </row>
    <row r="1520" spans="1:19" x14ac:dyDescent="0.3">
      <c r="A1520" t="s">
        <v>1548</v>
      </c>
      <c r="B1520" t="s">
        <v>4138</v>
      </c>
      <c r="C1520" t="s">
        <v>251</v>
      </c>
      <c r="D1520" t="s">
        <v>63</v>
      </c>
      <c r="E1520" t="s">
        <v>74</v>
      </c>
      <c r="F1520" t="s">
        <v>251</v>
      </c>
      <c r="G1520" t="s">
        <v>1548</v>
      </c>
      <c r="H1520" t="s">
        <v>213</v>
      </c>
      <c r="I1520">
        <v>0</v>
      </c>
      <c r="J1520">
        <v>0</v>
      </c>
      <c r="K1520">
        <v>0</v>
      </c>
      <c r="L1520">
        <v>0</v>
      </c>
      <c r="S1520" t="s">
        <v>4138</v>
      </c>
    </row>
    <row r="1521" spans="1:19" x14ac:dyDescent="0.3">
      <c r="A1521" t="s">
        <v>4139</v>
      </c>
      <c r="B1521" t="s">
        <v>4140</v>
      </c>
      <c r="C1521" t="s">
        <v>24</v>
      </c>
      <c r="D1521" t="s">
        <v>35</v>
      </c>
      <c r="E1521" t="s">
        <v>80</v>
      </c>
      <c r="F1521" t="s">
        <v>144</v>
      </c>
      <c r="G1521" t="s">
        <v>145</v>
      </c>
      <c r="H1521" t="s">
        <v>26</v>
      </c>
      <c r="I1521">
        <v>0</v>
      </c>
      <c r="J1521">
        <v>0</v>
      </c>
      <c r="K1521">
        <v>0</v>
      </c>
      <c r="L1521">
        <v>0</v>
      </c>
      <c r="M1521" t="s">
        <v>76</v>
      </c>
      <c r="N1521" t="s">
        <v>76</v>
      </c>
      <c r="O1521" t="s">
        <v>77</v>
      </c>
      <c r="P1521" t="s">
        <v>76</v>
      </c>
      <c r="S1521" t="s">
        <v>4140</v>
      </c>
    </row>
    <row r="1522" spans="1:19" x14ac:dyDescent="0.3">
      <c r="A1522" t="s">
        <v>4141</v>
      </c>
      <c r="B1522" t="s">
        <v>4142</v>
      </c>
      <c r="C1522" t="s">
        <v>24</v>
      </c>
      <c r="D1522" t="s">
        <v>35</v>
      </c>
      <c r="E1522" t="s">
        <v>560</v>
      </c>
      <c r="F1522" t="s">
        <v>24</v>
      </c>
      <c r="G1522" t="s">
        <v>4130</v>
      </c>
      <c r="H1522" t="s">
        <v>26</v>
      </c>
      <c r="I1522">
        <v>0</v>
      </c>
      <c r="J1522">
        <v>0</v>
      </c>
      <c r="K1522">
        <v>0</v>
      </c>
      <c r="L1522">
        <v>0</v>
      </c>
      <c r="M1522" t="s">
        <v>76</v>
      </c>
      <c r="N1522" t="s">
        <v>76</v>
      </c>
      <c r="O1522" t="s">
        <v>77</v>
      </c>
      <c r="P1522" t="s">
        <v>76</v>
      </c>
      <c r="S1522" t="s">
        <v>4142</v>
      </c>
    </row>
    <row r="1523" spans="1:19" x14ac:dyDescent="0.3">
      <c r="A1523" t="s">
        <v>4143</v>
      </c>
      <c r="B1523" t="s">
        <v>4144</v>
      </c>
      <c r="C1523" t="s">
        <v>21</v>
      </c>
      <c r="D1523" t="s">
        <v>63</v>
      </c>
      <c r="E1523" t="s">
        <v>74</v>
      </c>
      <c r="F1523" t="s">
        <v>24</v>
      </c>
      <c r="G1523" t="s">
        <v>21</v>
      </c>
      <c r="H1523" t="s">
        <v>26</v>
      </c>
      <c r="I1523">
        <v>0</v>
      </c>
      <c r="J1523">
        <v>0</v>
      </c>
      <c r="K1523">
        <v>0</v>
      </c>
      <c r="L1523">
        <v>0</v>
      </c>
      <c r="M1523" t="s">
        <v>76</v>
      </c>
      <c r="N1523" t="s">
        <v>76</v>
      </c>
      <c r="O1523" t="s">
        <v>77</v>
      </c>
      <c r="P1523" t="s">
        <v>76</v>
      </c>
      <c r="S1523" t="s">
        <v>4144</v>
      </c>
    </row>
    <row r="1524" spans="1:19" x14ac:dyDescent="0.3">
      <c r="A1524" t="s">
        <v>4145</v>
      </c>
      <c r="B1524" t="s">
        <v>4146</v>
      </c>
      <c r="C1524" t="s">
        <v>24</v>
      </c>
      <c r="D1524" t="s">
        <v>63</v>
      </c>
      <c r="E1524" t="s">
        <v>74</v>
      </c>
      <c r="F1524" t="s">
        <v>55</v>
      </c>
      <c r="G1524" t="s">
        <v>4147</v>
      </c>
      <c r="H1524" t="s">
        <v>213</v>
      </c>
      <c r="I1524">
        <v>0</v>
      </c>
      <c r="J1524">
        <v>0</v>
      </c>
      <c r="K1524">
        <v>0</v>
      </c>
      <c r="L1524">
        <v>0</v>
      </c>
      <c r="M1524" t="s">
        <v>76</v>
      </c>
      <c r="N1524" t="s">
        <v>76</v>
      </c>
      <c r="O1524" t="s">
        <v>77</v>
      </c>
      <c r="P1524" t="s">
        <v>76</v>
      </c>
      <c r="S1524" t="s">
        <v>4146</v>
      </c>
    </row>
    <row r="1525" spans="1:19" x14ac:dyDescent="0.3">
      <c r="A1525" t="s">
        <v>4148</v>
      </c>
      <c r="B1525" t="s">
        <v>4149</v>
      </c>
      <c r="C1525" t="s">
        <v>24</v>
      </c>
      <c r="D1525" t="s">
        <v>63</v>
      </c>
      <c r="E1525" t="s">
        <v>74</v>
      </c>
      <c r="F1525" t="s">
        <v>24</v>
      </c>
      <c r="G1525" t="s">
        <v>211</v>
      </c>
      <c r="H1525" t="s">
        <v>213</v>
      </c>
      <c r="I1525">
        <v>0</v>
      </c>
      <c r="J1525">
        <v>0</v>
      </c>
      <c r="K1525">
        <v>0</v>
      </c>
      <c r="L1525">
        <v>0</v>
      </c>
      <c r="M1525" t="s">
        <v>76</v>
      </c>
      <c r="N1525" t="s">
        <v>76</v>
      </c>
      <c r="O1525" t="s">
        <v>77</v>
      </c>
      <c r="P1525" t="s">
        <v>76</v>
      </c>
      <c r="S1525" t="s">
        <v>4149</v>
      </c>
    </row>
    <row r="1526" spans="1:19" x14ac:dyDescent="0.3">
      <c r="A1526" t="s">
        <v>4150</v>
      </c>
      <c r="B1526" t="s">
        <v>4151</v>
      </c>
      <c r="C1526" t="s">
        <v>24</v>
      </c>
      <c r="D1526" t="s">
        <v>63</v>
      </c>
      <c r="E1526" t="s">
        <v>74</v>
      </c>
      <c r="F1526" t="s">
        <v>24</v>
      </c>
      <c r="G1526" t="s">
        <v>4150</v>
      </c>
      <c r="H1526" t="s">
        <v>26</v>
      </c>
      <c r="I1526">
        <v>0</v>
      </c>
      <c r="J1526">
        <v>0</v>
      </c>
      <c r="K1526">
        <v>0</v>
      </c>
      <c r="L1526">
        <v>0</v>
      </c>
      <c r="M1526" t="s">
        <v>76</v>
      </c>
      <c r="N1526" t="s">
        <v>76</v>
      </c>
      <c r="O1526" t="s">
        <v>77</v>
      </c>
      <c r="P1526" t="s">
        <v>76</v>
      </c>
      <c r="S1526" t="s">
        <v>4151</v>
      </c>
    </row>
    <row r="1527" spans="1:19" x14ac:dyDescent="0.3">
      <c r="A1527" t="s">
        <v>4152</v>
      </c>
      <c r="B1527" t="s">
        <v>4153</v>
      </c>
      <c r="C1527" t="s">
        <v>251</v>
      </c>
      <c r="D1527" t="s">
        <v>63</v>
      </c>
      <c r="E1527" t="s">
        <v>331</v>
      </c>
      <c r="F1527" t="s">
        <v>251</v>
      </c>
      <c r="G1527" t="s">
        <v>4154</v>
      </c>
      <c r="H1527" t="s">
        <v>213</v>
      </c>
      <c r="I1527">
        <v>0</v>
      </c>
      <c r="J1527">
        <v>0</v>
      </c>
      <c r="K1527">
        <v>0</v>
      </c>
      <c r="L1527">
        <v>0</v>
      </c>
      <c r="S1527" t="s">
        <v>4153</v>
      </c>
    </row>
    <row r="1528" spans="1:19" x14ac:dyDescent="0.3">
      <c r="A1528" t="s">
        <v>4155</v>
      </c>
      <c r="B1528" t="s">
        <v>4156</v>
      </c>
      <c r="C1528" t="s">
        <v>251</v>
      </c>
      <c r="D1528" t="s">
        <v>63</v>
      </c>
      <c r="E1528" t="s">
        <v>74</v>
      </c>
      <c r="F1528" t="s">
        <v>251</v>
      </c>
      <c r="G1528" t="s">
        <v>1548</v>
      </c>
      <c r="H1528" t="s">
        <v>213</v>
      </c>
      <c r="I1528">
        <v>0</v>
      </c>
      <c r="J1528">
        <v>0</v>
      </c>
      <c r="K1528">
        <v>0</v>
      </c>
      <c r="L1528">
        <v>0</v>
      </c>
      <c r="S1528" t="s">
        <v>4156</v>
      </c>
    </row>
    <row r="1529" spans="1:19" x14ac:dyDescent="0.3">
      <c r="A1529" t="s">
        <v>4157</v>
      </c>
      <c r="B1529" t="s">
        <v>4158</v>
      </c>
      <c r="C1529" t="s">
        <v>228</v>
      </c>
      <c r="D1529" t="s">
        <v>63</v>
      </c>
      <c r="E1529" t="s">
        <v>315</v>
      </c>
      <c r="F1529" t="s">
        <v>228</v>
      </c>
      <c r="G1529" t="s">
        <v>4159</v>
      </c>
      <c r="H1529" t="s">
        <v>213</v>
      </c>
      <c r="I1529">
        <v>0</v>
      </c>
      <c r="J1529">
        <v>0</v>
      </c>
      <c r="K1529">
        <v>0</v>
      </c>
      <c r="L1529">
        <v>0</v>
      </c>
      <c r="M1529" t="s">
        <v>76</v>
      </c>
      <c r="N1529" t="s">
        <v>76</v>
      </c>
      <c r="O1529" t="s">
        <v>77</v>
      </c>
      <c r="P1529" t="s">
        <v>76</v>
      </c>
      <c r="S1529" t="s">
        <v>4158</v>
      </c>
    </row>
    <row r="1530" spans="1:19" x14ac:dyDescent="0.3">
      <c r="A1530" t="s">
        <v>4160</v>
      </c>
      <c r="B1530" t="s">
        <v>4161</v>
      </c>
      <c r="C1530" t="s">
        <v>114</v>
      </c>
      <c r="D1530" t="s">
        <v>63</v>
      </c>
      <c r="E1530" t="s">
        <v>74</v>
      </c>
      <c r="F1530" t="s">
        <v>114</v>
      </c>
      <c r="G1530" t="s">
        <v>115</v>
      </c>
      <c r="H1530" t="s">
        <v>75</v>
      </c>
      <c r="I1530">
        <v>0</v>
      </c>
      <c r="J1530">
        <v>0</v>
      </c>
      <c r="K1530">
        <v>0</v>
      </c>
      <c r="L1530">
        <v>0</v>
      </c>
      <c r="M1530" t="s">
        <v>76</v>
      </c>
      <c r="N1530" t="s">
        <v>76</v>
      </c>
      <c r="O1530" t="s">
        <v>77</v>
      </c>
      <c r="P1530" t="s">
        <v>76</v>
      </c>
      <c r="S1530" t="s">
        <v>4161</v>
      </c>
    </row>
    <row r="1531" spans="1:19" x14ac:dyDescent="0.3">
      <c r="A1531" t="s">
        <v>4162</v>
      </c>
      <c r="B1531" t="s">
        <v>4163</v>
      </c>
      <c r="C1531" t="s">
        <v>24</v>
      </c>
      <c r="D1531" t="s">
        <v>63</v>
      </c>
      <c r="E1531" t="s">
        <v>74</v>
      </c>
      <c r="F1531" t="s">
        <v>24</v>
      </c>
      <c r="G1531" t="s">
        <v>4162</v>
      </c>
      <c r="H1531" t="s">
        <v>26</v>
      </c>
      <c r="I1531">
        <v>0</v>
      </c>
      <c r="J1531">
        <v>0</v>
      </c>
      <c r="K1531">
        <v>0</v>
      </c>
      <c r="L1531">
        <v>0</v>
      </c>
      <c r="M1531" t="s">
        <v>239</v>
      </c>
      <c r="N1531" t="s">
        <v>239</v>
      </c>
      <c r="O1531" t="s">
        <v>240</v>
      </c>
      <c r="P1531" t="s">
        <v>239</v>
      </c>
      <c r="S1531" t="s">
        <v>4163</v>
      </c>
    </row>
    <row r="1532" spans="1:19" x14ac:dyDescent="0.3">
      <c r="A1532" t="s">
        <v>4164</v>
      </c>
      <c r="B1532" t="s">
        <v>4165</v>
      </c>
      <c r="C1532" t="s">
        <v>24</v>
      </c>
      <c r="D1532" t="s">
        <v>63</v>
      </c>
      <c r="E1532" t="s">
        <v>74</v>
      </c>
      <c r="F1532" t="s">
        <v>24</v>
      </c>
      <c r="G1532" t="s">
        <v>4166</v>
      </c>
      <c r="H1532" t="s">
        <v>26</v>
      </c>
      <c r="I1532">
        <v>0</v>
      </c>
      <c r="J1532">
        <v>0</v>
      </c>
      <c r="K1532">
        <v>0</v>
      </c>
      <c r="L1532">
        <v>0</v>
      </c>
      <c r="M1532" t="s">
        <v>76</v>
      </c>
      <c r="N1532" t="s">
        <v>76</v>
      </c>
      <c r="O1532" t="s">
        <v>77</v>
      </c>
      <c r="P1532" t="s">
        <v>76</v>
      </c>
      <c r="S1532" t="s">
        <v>4165</v>
      </c>
    </row>
    <row r="1533" spans="1:19" x14ac:dyDescent="0.3">
      <c r="A1533" t="s">
        <v>4167</v>
      </c>
      <c r="B1533" t="s">
        <v>4168</v>
      </c>
      <c r="C1533" t="s">
        <v>24</v>
      </c>
      <c r="D1533" t="s">
        <v>63</v>
      </c>
      <c r="E1533" t="s">
        <v>2412</v>
      </c>
      <c r="F1533" t="s">
        <v>114</v>
      </c>
      <c r="G1533" t="s">
        <v>4167</v>
      </c>
      <c r="H1533" t="s">
        <v>26</v>
      </c>
      <c r="I1533">
        <v>0</v>
      </c>
      <c r="J1533">
        <v>0</v>
      </c>
      <c r="K1533">
        <v>0</v>
      </c>
      <c r="L1533">
        <v>0</v>
      </c>
      <c r="S1533" t="s">
        <v>4168</v>
      </c>
    </row>
    <row r="1534" spans="1:19" x14ac:dyDescent="0.3">
      <c r="A1534" t="s">
        <v>4167</v>
      </c>
      <c r="B1534" t="s">
        <v>4169</v>
      </c>
      <c r="D1534" t="s">
        <v>63</v>
      </c>
      <c r="E1534" t="s">
        <v>2412</v>
      </c>
      <c r="F1534" t="s">
        <v>144</v>
      </c>
      <c r="G1534" t="s">
        <v>4167</v>
      </c>
      <c r="H1534" t="s">
        <v>26</v>
      </c>
      <c r="I1534">
        <v>0</v>
      </c>
      <c r="J1534">
        <v>0</v>
      </c>
      <c r="K1534">
        <v>0</v>
      </c>
      <c r="L1534">
        <v>0</v>
      </c>
      <c r="M1534" t="s">
        <v>76</v>
      </c>
      <c r="N1534" t="s">
        <v>76</v>
      </c>
      <c r="O1534" t="s">
        <v>77</v>
      </c>
      <c r="P1534" t="s">
        <v>76</v>
      </c>
      <c r="S1534" t="s">
        <v>4169</v>
      </c>
    </row>
    <row r="1535" spans="1:19" x14ac:dyDescent="0.3">
      <c r="A1535" t="s">
        <v>4170</v>
      </c>
      <c r="B1535" t="s">
        <v>4171</v>
      </c>
      <c r="C1535" t="s">
        <v>196</v>
      </c>
      <c r="D1535" t="s">
        <v>63</v>
      </c>
      <c r="E1535" t="s">
        <v>74</v>
      </c>
      <c r="F1535" t="s">
        <v>228</v>
      </c>
      <c r="G1535" t="s">
        <v>196</v>
      </c>
      <c r="H1535" t="s">
        <v>75</v>
      </c>
      <c r="I1535">
        <v>0</v>
      </c>
      <c r="J1535">
        <v>0</v>
      </c>
      <c r="K1535">
        <v>0</v>
      </c>
      <c r="L1535">
        <v>0</v>
      </c>
      <c r="M1535" t="s">
        <v>76</v>
      </c>
      <c r="N1535" t="s">
        <v>76</v>
      </c>
      <c r="O1535" t="s">
        <v>77</v>
      </c>
      <c r="P1535" t="s">
        <v>76</v>
      </c>
      <c r="S1535" t="s">
        <v>4171</v>
      </c>
    </row>
    <row r="1536" spans="1:19" x14ac:dyDescent="0.3">
      <c r="A1536" t="s">
        <v>4172</v>
      </c>
      <c r="B1536" t="s">
        <v>4173</v>
      </c>
      <c r="C1536" t="s">
        <v>114</v>
      </c>
      <c r="D1536" t="s">
        <v>63</v>
      </c>
      <c r="E1536" t="s">
        <v>74</v>
      </c>
      <c r="F1536" t="s">
        <v>45</v>
      </c>
      <c r="G1536" t="s">
        <v>4174</v>
      </c>
      <c r="H1536" t="s">
        <v>213</v>
      </c>
      <c r="I1536">
        <v>0</v>
      </c>
      <c r="J1536">
        <v>0</v>
      </c>
      <c r="K1536">
        <v>0</v>
      </c>
      <c r="L1536">
        <v>0</v>
      </c>
      <c r="M1536" t="s">
        <v>76</v>
      </c>
      <c r="N1536" t="s">
        <v>76</v>
      </c>
      <c r="O1536" t="s">
        <v>77</v>
      </c>
      <c r="P1536" t="s">
        <v>76</v>
      </c>
      <c r="S1536" t="s">
        <v>4173</v>
      </c>
    </row>
    <row r="1537" spans="1:19" x14ac:dyDescent="0.3">
      <c r="A1537" t="s">
        <v>4175</v>
      </c>
      <c r="B1537" t="s">
        <v>4176</v>
      </c>
      <c r="C1537" t="s">
        <v>43</v>
      </c>
      <c r="F1537" t="s">
        <v>45</v>
      </c>
      <c r="G1537" t="s">
        <v>43</v>
      </c>
      <c r="H1537" t="s">
        <v>26</v>
      </c>
      <c r="I1537">
        <v>0</v>
      </c>
      <c r="J1537">
        <v>0</v>
      </c>
      <c r="K1537">
        <v>0</v>
      </c>
      <c r="L1537">
        <v>0</v>
      </c>
      <c r="M1537" t="s">
        <v>76</v>
      </c>
      <c r="N1537" t="s">
        <v>76</v>
      </c>
      <c r="O1537" t="s">
        <v>77</v>
      </c>
      <c r="P1537" t="s">
        <v>76</v>
      </c>
      <c r="S1537" t="s">
        <v>4176</v>
      </c>
    </row>
    <row r="1538" spans="1:19" x14ac:dyDescent="0.3">
      <c r="A1538" t="s">
        <v>4177</v>
      </c>
      <c r="B1538" t="s">
        <v>4178</v>
      </c>
      <c r="C1538" t="s">
        <v>1053</v>
      </c>
      <c r="D1538" t="s">
        <v>63</v>
      </c>
      <c r="E1538" t="s">
        <v>74</v>
      </c>
      <c r="F1538" t="s">
        <v>314</v>
      </c>
      <c r="G1538" t="s">
        <v>1053</v>
      </c>
      <c r="H1538" t="s">
        <v>75</v>
      </c>
      <c r="I1538">
        <v>0</v>
      </c>
      <c r="J1538">
        <v>0</v>
      </c>
      <c r="K1538">
        <v>0</v>
      </c>
      <c r="L1538">
        <v>0</v>
      </c>
      <c r="M1538" t="s">
        <v>76</v>
      </c>
      <c r="N1538" t="s">
        <v>76</v>
      </c>
      <c r="O1538" t="s">
        <v>77</v>
      </c>
      <c r="P1538" t="s">
        <v>76</v>
      </c>
      <c r="S1538" t="s">
        <v>4178</v>
      </c>
    </row>
    <row r="1539" spans="1:19" x14ac:dyDescent="0.3">
      <c r="A1539" t="s">
        <v>4179</v>
      </c>
      <c r="B1539" t="s">
        <v>4180</v>
      </c>
      <c r="C1539" t="s">
        <v>43</v>
      </c>
      <c r="D1539" t="s">
        <v>63</v>
      </c>
      <c r="E1539" t="s">
        <v>74</v>
      </c>
      <c r="F1539" t="s">
        <v>45</v>
      </c>
      <c r="G1539" t="s">
        <v>43</v>
      </c>
      <c r="H1539" t="s">
        <v>26</v>
      </c>
      <c r="I1539">
        <v>0</v>
      </c>
      <c r="J1539">
        <v>0</v>
      </c>
      <c r="K1539">
        <v>0</v>
      </c>
      <c r="L1539">
        <v>0</v>
      </c>
      <c r="M1539" t="s">
        <v>76</v>
      </c>
      <c r="N1539" t="s">
        <v>76</v>
      </c>
      <c r="O1539" t="s">
        <v>77</v>
      </c>
      <c r="P1539" t="s">
        <v>76</v>
      </c>
      <c r="S1539" t="s">
        <v>4180</v>
      </c>
    </row>
    <row r="1540" spans="1:19" x14ac:dyDescent="0.3">
      <c r="A1540" t="s">
        <v>4181</v>
      </c>
      <c r="B1540" t="s">
        <v>4182</v>
      </c>
      <c r="C1540" t="s">
        <v>43</v>
      </c>
      <c r="D1540" t="s">
        <v>63</v>
      </c>
      <c r="E1540" t="s">
        <v>74</v>
      </c>
      <c r="F1540" t="s">
        <v>45</v>
      </c>
      <c r="G1540" t="s">
        <v>43</v>
      </c>
      <c r="H1540" t="s">
        <v>26</v>
      </c>
      <c r="I1540">
        <v>0</v>
      </c>
      <c r="J1540">
        <v>0</v>
      </c>
      <c r="K1540">
        <v>0</v>
      </c>
      <c r="L1540">
        <v>0</v>
      </c>
      <c r="M1540" t="s">
        <v>76</v>
      </c>
      <c r="N1540" t="s">
        <v>76</v>
      </c>
      <c r="O1540" t="s">
        <v>77</v>
      </c>
      <c r="P1540" t="s">
        <v>76</v>
      </c>
      <c r="S1540" t="s">
        <v>4182</v>
      </c>
    </row>
    <row r="1541" spans="1:19" x14ac:dyDescent="0.3">
      <c r="A1541" t="s">
        <v>4183</v>
      </c>
      <c r="B1541" t="s">
        <v>4184</v>
      </c>
      <c r="C1541" t="s">
        <v>43</v>
      </c>
      <c r="D1541" t="s">
        <v>63</v>
      </c>
      <c r="E1541" t="s">
        <v>74</v>
      </c>
      <c r="F1541" t="s">
        <v>45</v>
      </c>
      <c r="G1541" t="s">
        <v>43</v>
      </c>
      <c r="H1541" t="s">
        <v>26</v>
      </c>
      <c r="I1541">
        <v>0</v>
      </c>
      <c r="J1541">
        <v>0</v>
      </c>
      <c r="K1541">
        <v>0</v>
      </c>
      <c r="L1541">
        <v>0</v>
      </c>
      <c r="M1541" t="s">
        <v>76</v>
      </c>
      <c r="N1541" t="s">
        <v>76</v>
      </c>
      <c r="O1541" t="s">
        <v>77</v>
      </c>
      <c r="P1541" t="s">
        <v>76</v>
      </c>
      <c r="S1541" t="s">
        <v>4184</v>
      </c>
    </row>
    <row r="1542" spans="1:19" x14ac:dyDescent="0.3">
      <c r="A1542" t="s">
        <v>4185</v>
      </c>
      <c r="B1542" t="s">
        <v>4186</v>
      </c>
      <c r="C1542" t="s">
        <v>45</v>
      </c>
      <c r="D1542" t="s">
        <v>63</v>
      </c>
      <c r="E1542" t="s">
        <v>315</v>
      </c>
      <c r="F1542" t="s">
        <v>45</v>
      </c>
      <c r="G1542" t="s">
        <v>4187</v>
      </c>
      <c r="H1542" t="s">
        <v>213</v>
      </c>
      <c r="I1542">
        <v>0</v>
      </c>
      <c r="J1542">
        <v>0</v>
      </c>
      <c r="K1542">
        <v>0</v>
      </c>
      <c r="L1542">
        <v>0</v>
      </c>
      <c r="M1542" t="s">
        <v>76</v>
      </c>
      <c r="N1542" t="s">
        <v>76</v>
      </c>
      <c r="O1542" t="s">
        <v>77</v>
      </c>
      <c r="P1542" t="s">
        <v>76</v>
      </c>
      <c r="S1542" t="s">
        <v>4186</v>
      </c>
    </row>
    <row r="1543" spans="1:19" x14ac:dyDescent="0.3">
      <c r="A1543" t="s">
        <v>4188</v>
      </c>
      <c r="B1543" t="s">
        <v>4189</v>
      </c>
      <c r="C1543" t="s">
        <v>43</v>
      </c>
      <c r="D1543" t="s">
        <v>63</v>
      </c>
      <c r="E1543" t="s">
        <v>74</v>
      </c>
      <c r="F1543" t="s">
        <v>45</v>
      </c>
      <c r="G1543" t="s">
        <v>43</v>
      </c>
      <c r="H1543" t="s">
        <v>26</v>
      </c>
      <c r="I1543">
        <v>0</v>
      </c>
      <c r="J1543">
        <v>0</v>
      </c>
      <c r="K1543">
        <v>0</v>
      </c>
      <c r="L1543">
        <v>0</v>
      </c>
      <c r="M1543" t="s">
        <v>76</v>
      </c>
      <c r="N1543" t="s">
        <v>76</v>
      </c>
      <c r="O1543" t="s">
        <v>77</v>
      </c>
      <c r="P1543" t="s">
        <v>76</v>
      </c>
      <c r="S1543" t="s">
        <v>4189</v>
      </c>
    </row>
    <row r="1544" spans="1:19" x14ac:dyDescent="0.3">
      <c r="A1544" t="s">
        <v>4190</v>
      </c>
      <c r="B1544" t="s">
        <v>4191</v>
      </c>
      <c r="C1544" t="s">
        <v>43</v>
      </c>
      <c r="D1544" t="s">
        <v>53</v>
      </c>
      <c r="E1544" t="s">
        <v>3729</v>
      </c>
      <c r="F1544" t="s">
        <v>45</v>
      </c>
      <c r="G1544" t="s">
        <v>43</v>
      </c>
      <c r="H1544" t="s">
        <v>26</v>
      </c>
      <c r="I1544">
        <v>0</v>
      </c>
      <c r="J1544">
        <v>0</v>
      </c>
      <c r="K1544">
        <v>0</v>
      </c>
      <c r="L1544">
        <v>0</v>
      </c>
      <c r="M1544" t="s">
        <v>76</v>
      </c>
      <c r="N1544" t="s">
        <v>76</v>
      </c>
      <c r="O1544" t="s">
        <v>77</v>
      </c>
      <c r="P1544" t="s">
        <v>76</v>
      </c>
      <c r="S1544" t="s">
        <v>4191</v>
      </c>
    </row>
    <row r="1545" spans="1:19" x14ac:dyDescent="0.3">
      <c r="A1545" t="s">
        <v>4192</v>
      </c>
      <c r="B1545" t="s">
        <v>4193</v>
      </c>
      <c r="C1545" t="s">
        <v>24</v>
      </c>
      <c r="D1545" t="s">
        <v>63</v>
      </c>
      <c r="E1545" t="s">
        <v>2121</v>
      </c>
      <c r="F1545" t="s">
        <v>144</v>
      </c>
      <c r="G1545" t="s">
        <v>4194</v>
      </c>
      <c r="H1545" t="s">
        <v>26</v>
      </c>
      <c r="I1545">
        <v>0</v>
      </c>
      <c r="J1545">
        <v>0</v>
      </c>
      <c r="K1545">
        <v>0</v>
      </c>
      <c r="L1545">
        <v>0</v>
      </c>
      <c r="M1545" t="s">
        <v>76</v>
      </c>
      <c r="N1545" t="s">
        <v>76</v>
      </c>
      <c r="O1545" t="s">
        <v>77</v>
      </c>
      <c r="P1545" t="s">
        <v>76</v>
      </c>
      <c r="S1545" t="s">
        <v>4193</v>
      </c>
    </row>
    <row r="1546" spans="1:19" x14ac:dyDescent="0.3">
      <c r="A1546" t="s">
        <v>4195</v>
      </c>
      <c r="B1546" t="s">
        <v>4196</v>
      </c>
      <c r="C1546" t="s">
        <v>43</v>
      </c>
      <c r="D1546" t="s">
        <v>35</v>
      </c>
      <c r="E1546" t="s">
        <v>4197</v>
      </c>
      <c r="F1546" t="s">
        <v>45</v>
      </c>
      <c r="G1546" t="s">
        <v>43</v>
      </c>
      <c r="H1546" t="s">
        <v>26</v>
      </c>
      <c r="I1546">
        <v>0</v>
      </c>
      <c r="J1546">
        <v>0</v>
      </c>
      <c r="K1546">
        <v>0</v>
      </c>
      <c r="L1546">
        <v>0</v>
      </c>
      <c r="M1546" t="s">
        <v>76</v>
      </c>
      <c r="N1546" t="s">
        <v>76</v>
      </c>
      <c r="O1546" t="s">
        <v>77</v>
      </c>
      <c r="P1546" t="s">
        <v>76</v>
      </c>
      <c r="S1546" t="s">
        <v>4196</v>
      </c>
    </row>
    <row r="1547" spans="1:19" x14ac:dyDescent="0.3">
      <c r="A1547" t="s">
        <v>4198</v>
      </c>
      <c r="B1547" t="s">
        <v>4199</v>
      </c>
      <c r="C1547" t="s">
        <v>21</v>
      </c>
      <c r="D1547" t="s">
        <v>63</v>
      </c>
      <c r="E1547" t="s">
        <v>74</v>
      </c>
      <c r="F1547" t="s">
        <v>24</v>
      </c>
      <c r="G1547" t="s">
        <v>21</v>
      </c>
      <c r="H1547" t="s">
        <v>26</v>
      </c>
      <c r="I1547">
        <v>0</v>
      </c>
      <c r="J1547">
        <v>0</v>
      </c>
      <c r="K1547">
        <v>0</v>
      </c>
      <c r="L1547">
        <v>0</v>
      </c>
      <c r="M1547" t="s">
        <v>76</v>
      </c>
      <c r="N1547" t="s">
        <v>76</v>
      </c>
      <c r="O1547" t="s">
        <v>77</v>
      </c>
      <c r="P1547" t="s">
        <v>76</v>
      </c>
      <c r="S1547" t="s">
        <v>4199</v>
      </c>
    </row>
    <row r="1548" spans="1:19" x14ac:dyDescent="0.3">
      <c r="A1548" t="s">
        <v>2232</v>
      </c>
      <c r="B1548" t="s">
        <v>4200</v>
      </c>
      <c r="C1548" t="s">
        <v>45</v>
      </c>
      <c r="D1548" t="s">
        <v>63</v>
      </c>
      <c r="E1548" t="s">
        <v>74</v>
      </c>
      <c r="F1548" t="s">
        <v>45</v>
      </c>
      <c r="G1548" t="s">
        <v>2232</v>
      </c>
      <c r="H1548" t="s">
        <v>26</v>
      </c>
      <c r="I1548">
        <v>0</v>
      </c>
      <c r="J1548">
        <v>0</v>
      </c>
      <c r="K1548">
        <v>0</v>
      </c>
      <c r="L1548">
        <v>0</v>
      </c>
      <c r="M1548" t="s">
        <v>76</v>
      </c>
      <c r="N1548" t="s">
        <v>76</v>
      </c>
      <c r="O1548" t="s">
        <v>77</v>
      </c>
      <c r="P1548" t="s">
        <v>76</v>
      </c>
      <c r="S1548" t="s">
        <v>4200</v>
      </c>
    </row>
    <row r="1549" spans="1:19" x14ac:dyDescent="0.3">
      <c r="A1549" t="s">
        <v>4201</v>
      </c>
      <c r="B1549" t="s">
        <v>4202</v>
      </c>
      <c r="C1549" t="s">
        <v>43</v>
      </c>
      <c r="D1549" t="s">
        <v>63</v>
      </c>
      <c r="E1549" t="s">
        <v>74</v>
      </c>
      <c r="F1549" t="s">
        <v>45</v>
      </c>
      <c r="G1549" t="s">
        <v>43</v>
      </c>
      <c r="H1549" t="s">
        <v>26</v>
      </c>
      <c r="I1549">
        <v>0</v>
      </c>
      <c r="J1549">
        <v>0</v>
      </c>
      <c r="K1549">
        <v>0</v>
      </c>
      <c r="L1549">
        <v>0</v>
      </c>
      <c r="M1549" t="s">
        <v>76</v>
      </c>
      <c r="N1549" t="s">
        <v>76</v>
      </c>
      <c r="O1549" t="s">
        <v>77</v>
      </c>
      <c r="P1549" t="s">
        <v>76</v>
      </c>
      <c r="S1549" t="s">
        <v>4202</v>
      </c>
    </row>
    <row r="1550" spans="1:19" x14ac:dyDescent="0.3">
      <c r="A1550" t="s">
        <v>4203</v>
      </c>
      <c r="B1550" t="s">
        <v>4204</v>
      </c>
      <c r="C1550" t="s">
        <v>24</v>
      </c>
      <c r="D1550" t="s">
        <v>63</v>
      </c>
      <c r="E1550" t="s">
        <v>74</v>
      </c>
      <c r="F1550" t="s">
        <v>24</v>
      </c>
      <c r="G1550" t="s">
        <v>4203</v>
      </c>
      <c r="H1550" t="s">
        <v>26</v>
      </c>
      <c r="I1550">
        <v>0</v>
      </c>
      <c r="J1550">
        <v>0</v>
      </c>
      <c r="K1550">
        <v>0</v>
      </c>
      <c r="L1550">
        <v>0</v>
      </c>
      <c r="M1550" t="s">
        <v>76</v>
      </c>
      <c r="N1550" t="s">
        <v>76</v>
      </c>
      <c r="O1550" t="s">
        <v>77</v>
      </c>
      <c r="P1550" t="s">
        <v>76</v>
      </c>
      <c r="S1550" t="s">
        <v>4204</v>
      </c>
    </row>
    <row r="1551" spans="1:19" x14ac:dyDescent="0.3">
      <c r="A1551" t="s">
        <v>4205</v>
      </c>
      <c r="B1551" t="s">
        <v>4206</v>
      </c>
      <c r="C1551" t="s">
        <v>251</v>
      </c>
      <c r="D1551" t="s">
        <v>63</v>
      </c>
      <c r="E1551" t="s">
        <v>1751</v>
      </c>
      <c r="F1551" t="s">
        <v>251</v>
      </c>
      <c r="G1551" t="s">
        <v>4205</v>
      </c>
      <c r="H1551" t="s">
        <v>213</v>
      </c>
      <c r="I1551">
        <v>0</v>
      </c>
      <c r="J1551">
        <v>0</v>
      </c>
      <c r="K1551">
        <v>0</v>
      </c>
      <c r="L1551">
        <v>0</v>
      </c>
      <c r="S1551" t="s">
        <v>4206</v>
      </c>
    </row>
    <row r="1552" spans="1:19" x14ac:dyDescent="0.3">
      <c r="A1552" t="s">
        <v>4207</v>
      </c>
      <c r="B1552" t="s">
        <v>4208</v>
      </c>
      <c r="C1552" t="s">
        <v>45</v>
      </c>
      <c r="D1552" t="s">
        <v>63</v>
      </c>
      <c r="E1552" t="s">
        <v>1132</v>
      </c>
      <c r="F1552" t="s">
        <v>45</v>
      </c>
      <c r="G1552" t="s">
        <v>4207</v>
      </c>
      <c r="H1552" t="s">
        <v>26</v>
      </c>
      <c r="I1552">
        <v>0</v>
      </c>
      <c r="J1552">
        <v>0</v>
      </c>
      <c r="K1552">
        <v>0</v>
      </c>
      <c r="L1552">
        <v>0</v>
      </c>
      <c r="M1552" t="s">
        <v>76</v>
      </c>
      <c r="N1552" t="s">
        <v>76</v>
      </c>
      <c r="O1552" t="s">
        <v>77</v>
      </c>
      <c r="P1552" t="s">
        <v>76</v>
      </c>
      <c r="S1552" t="s">
        <v>4208</v>
      </c>
    </row>
    <row r="1553" spans="1:19" x14ac:dyDescent="0.3">
      <c r="A1553" t="s">
        <v>4209</v>
      </c>
      <c r="B1553" t="s">
        <v>4210</v>
      </c>
      <c r="C1553" t="s">
        <v>45</v>
      </c>
      <c r="D1553" t="s">
        <v>63</v>
      </c>
      <c r="E1553" t="s">
        <v>315</v>
      </c>
      <c r="F1553" t="s">
        <v>45</v>
      </c>
      <c r="G1553" t="s">
        <v>4211</v>
      </c>
      <c r="H1553" t="s">
        <v>26</v>
      </c>
      <c r="I1553">
        <v>0</v>
      </c>
      <c r="J1553">
        <v>0</v>
      </c>
      <c r="K1553">
        <v>0</v>
      </c>
      <c r="L1553">
        <v>0</v>
      </c>
      <c r="M1553" t="s">
        <v>76</v>
      </c>
      <c r="N1553" t="s">
        <v>76</v>
      </c>
      <c r="O1553" t="s">
        <v>77</v>
      </c>
      <c r="P1553" t="s">
        <v>76</v>
      </c>
      <c r="S1553" t="s">
        <v>4210</v>
      </c>
    </row>
    <row r="1554" spans="1:19" x14ac:dyDescent="0.3">
      <c r="A1554" t="s">
        <v>4211</v>
      </c>
      <c r="B1554" t="s">
        <v>4212</v>
      </c>
      <c r="C1554" t="s">
        <v>45</v>
      </c>
      <c r="D1554" t="s">
        <v>63</v>
      </c>
      <c r="E1554" t="s">
        <v>1751</v>
      </c>
      <c r="F1554" t="s">
        <v>45</v>
      </c>
      <c r="G1554" t="s">
        <v>4211</v>
      </c>
      <c r="H1554" t="s">
        <v>26</v>
      </c>
      <c r="I1554">
        <v>0</v>
      </c>
      <c r="J1554">
        <v>0</v>
      </c>
      <c r="K1554">
        <v>0</v>
      </c>
      <c r="L1554">
        <v>0</v>
      </c>
      <c r="M1554" t="s">
        <v>76</v>
      </c>
      <c r="N1554" t="s">
        <v>76</v>
      </c>
      <c r="O1554" t="s">
        <v>77</v>
      </c>
      <c r="P1554" t="s">
        <v>76</v>
      </c>
      <c r="S1554" t="s">
        <v>4212</v>
      </c>
    </row>
    <row r="1555" spans="1:19" x14ac:dyDescent="0.3">
      <c r="A1555" t="s">
        <v>4213</v>
      </c>
      <c r="B1555" t="s">
        <v>4214</v>
      </c>
      <c r="C1555" t="s">
        <v>24</v>
      </c>
      <c r="D1555" t="s">
        <v>63</v>
      </c>
      <c r="E1555" t="s">
        <v>74</v>
      </c>
      <c r="F1555" t="s">
        <v>24</v>
      </c>
      <c r="G1555" t="s">
        <v>3965</v>
      </c>
      <c r="H1555" t="s">
        <v>26</v>
      </c>
      <c r="I1555">
        <v>0</v>
      </c>
      <c r="J1555">
        <v>0</v>
      </c>
      <c r="K1555">
        <v>0</v>
      </c>
      <c r="L1555">
        <v>0</v>
      </c>
      <c r="M1555" t="s">
        <v>76</v>
      </c>
      <c r="N1555" t="s">
        <v>76</v>
      </c>
      <c r="O1555" t="s">
        <v>77</v>
      </c>
      <c r="P1555" t="s">
        <v>76</v>
      </c>
      <c r="S1555" t="s">
        <v>4214</v>
      </c>
    </row>
    <row r="1556" spans="1:19" x14ac:dyDescent="0.3">
      <c r="A1556" t="s">
        <v>4215</v>
      </c>
      <c r="B1556" t="s">
        <v>4216</v>
      </c>
      <c r="C1556" t="s">
        <v>45</v>
      </c>
      <c r="D1556" t="s">
        <v>63</v>
      </c>
      <c r="E1556" t="s">
        <v>74</v>
      </c>
      <c r="F1556" t="s">
        <v>45</v>
      </c>
      <c r="G1556" t="s">
        <v>4215</v>
      </c>
      <c r="H1556" t="s">
        <v>213</v>
      </c>
      <c r="I1556">
        <v>0</v>
      </c>
      <c r="J1556">
        <v>0</v>
      </c>
      <c r="K1556">
        <v>0</v>
      </c>
      <c r="L1556">
        <v>0</v>
      </c>
      <c r="M1556" t="s">
        <v>76</v>
      </c>
      <c r="N1556" t="s">
        <v>76</v>
      </c>
      <c r="O1556" t="s">
        <v>77</v>
      </c>
      <c r="P1556" t="s">
        <v>76</v>
      </c>
      <c r="S1556" t="s">
        <v>4216</v>
      </c>
    </row>
    <row r="1557" spans="1:19" x14ac:dyDescent="0.3">
      <c r="A1557" t="s">
        <v>4217</v>
      </c>
      <c r="B1557" t="s">
        <v>4218</v>
      </c>
      <c r="C1557" t="s">
        <v>251</v>
      </c>
      <c r="D1557" t="s">
        <v>63</v>
      </c>
      <c r="E1557" t="s">
        <v>74</v>
      </c>
      <c r="F1557" t="s">
        <v>251</v>
      </c>
      <c r="G1557" t="s">
        <v>4219</v>
      </c>
      <c r="H1557" t="s">
        <v>213</v>
      </c>
      <c r="I1557">
        <v>0</v>
      </c>
      <c r="J1557">
        <v>0</v>
      </c>
      <c r="K1557">
        <v>0</v>
      </c>
      <c r="L1557">
        <v>0</v>
      </c>
      <c r="S1557" t="s">
        <v>4218</v>
      </c>
    </row>
    <row r="1558" spans="1:19" x14ac:dyDescent="0.3">
      <c r="A1558" t="s">
        <v>4220</v>
      </c>
      <c r="B1558" t="s">
        <v>4221</v>
      </c>
      <c r="C1558" t="s">
        <v>21</v>
      </c>
      <c r="F1558" t="s">
        <v>24</v>
      </c>
      <c r="G1558" t="s">
        <v>21</v>
      </c>
      <c r="H1558" t="s">
        <v>26</v>
      </c>
      <c r="I1558">
        <v>0</v>
      </c>
      <c r="J1558">
        <v>0</v>
      </c>
      <c r="K1558">
        <v>0</v>
      </c>
      <c r="L1558">
        <v>0</v>
      </c>
      <c r="M1558" t="s">
        <v>76</v>
      </c>
      <c r="N1558" t="s">
        <v>76</v>
      </c>
      <c r="O1558" t="s">
        <v>77</v>
      </c>
      <c r="P1558" t="s">
        <v>76</v>
      </c>
      <c r="S1558" t="s">
        <v>4221</v>
      </c>
    </row>
    <row r="1559" spans="1:19" x14ac:dyDescent="0.3">
      <c r="A1559" t="s">
        <v>4222</v>
      </c>
      <c r="B1559" t="s">
        <v>4223</v>
      </c>
      <c r="C1559" t="s">
        <v>21</v>
      </c>
      <c r="D1559" t="s">
        <v>63</v>
      </c>
      <c r="E1559" t="s">
        <v>64</v>
      </c>
      <c r="F1559" t="s">
        <v>24</v>
      </c>
      <c r="G1559" t="s">
        <v>21</v>
      </c>
      <c r="H1559" t="s">
        <v>26</v>
      </c>
      <c r="I1559">
        <v>0</v>
      </c>
      <c r="J1559">
        <v>0</v>
      </c>
      <c r="K1559">
        <v>0</v>
      </c>
      <c r="L1559">
        <v>0</v>
      </c>
      <c r="M1559" t="s">
        <v>121</v>
      </c>
      <c r="N1559" t="s">
        <v>122</v>
      </c>
      <c r="O1559" t="s">
        <v>123</v>
      </c>
      <c r="P1559" t="s">
        <v>124</v>
      </c>
      <c r="Q1559" t="s">
        <v>2114</v>
      </c>
      <c r="R1559" t="s">
        <v>2115</v>
      </c>
      <c r="S1559" t="s">
        <v>4223</v>
      </c>
    </row>
    <row r="1560" spans="1:19" x14ac:dyDescent="0.3">
      <c r="A1560" t="s">
        <v>4224</v>
      </c>
      <c r="B1560" t="s">
        <v>4225</v>
      </c>
      <c r="C1560" t="s">
        <v>21</v>
      </c>
      <c r="D1560" t="s">
        <v>63</v>
      </c>
      <c r="E1560" t="s">
        <v>74</v>
      </c>
      <c r="F1560" t="s">
        <v>24</v>
      </c>
      <c r="G1560" t="s">
        <v>21</v>
      </c>
      <c r="H1560" t="s">
        <v>26</v>
      </c>
      <c r="I1560">
        <v>0</v>
      </c>
      <c r="J1560">
        <v>0</v>
      </c>
      <c r="K1560">
        <v>0</v>
      </c>
      <c r="L1560">
        <v>0</v>
      </c>
      <c r="M1560" t="s">
        <v>76</v>
      </c>
      <c r="N1560" t="s">
        <v>76</v>
      </c>
      <c r="O1560" t="s">
        <v>77</v>
      </c>
      <c r="P1560" t="s">
        <v>76</v>
      </c>
      <c r="S1560" t="s">
        <v>4225</v>
      </c>
    </row>
    <row r="1561" spans="1:19" x14ac:dyDescent="0.3">
      <c r="A1561" t="s">
        <v>4226</v>
      </c>
      <c r="B1561" t="s">
        <v>4227</v>
      </c>
      <c r="C1561" t="s">
        <v>21</v>
      </c>
      <c r="D1561" t="s">
        <v>63</v>
      </c>
      <c r="E1561" t="s">
        <v>74</v>
      </c>
      <c r="F1561" t="s">
        <v>24</v>
      </c>
      <c r="G1561" t="s">
        <v>21</v>
      </c>
      <c r="H1561" t="s">
        <v>26</v>
      </c>
      <c r="I1561">
        <v>0</v>
      </c>
      <c r="J1561">
        <v>0</v>
      </c>
      <c r="K1561">
        <v>0</v>
      </c>
      <c r="L1561">
        <v>0</v>
      </c>
      <c r="M1561" t="s">
        <v>76</v>
      </c>
      <c r="N1561" t="s">
        <v>76</v>
      </c>
      <c r="O1561" t="s">
        <v>77</v>
      </c>
      <c r="P1561" t="s">
        <v>76</v>
      </c>
      <c r="S1561" t="s">
        <v>4227</v>
      </c>
    </row>
    <row r="1562" spans="1:19" x14ac:dyDescent="0.3">
      <c r="A1562" t="s">
        <v>4228</v>
      </c>
      <c r="B1562" t="s">
        <v>4229</v>
      </c>
      <c r="C1562" t="s">
        <v>243</v>
      </c>
      <c r="D1562" t="s">
        <v>63</v>
      </c>
      <c r="E1562" t="s">
        <v>74</v>
      </c>
      <c r="F1562" t="s">
        <v>243</v>
      </c>
      <c r="G1562" t="s">
        <v>244</v>
      </c>
      <c r="H1562" t="s">
        <v>75</v>
      </c>
      <c r="I1562">
        <v>0</v>
      </c>
      <c r="J1562">
        <v>0</v>
      </c>
      <c r="K1562">
        <v>0</v>
      </c>
      <c r="L1562">
        <v>0</v>
      </c>
      <c r="S1562" t="s">
        <v>4229</v>
      </c>
    </row>
    <row r="1563" spans="1:19" x14ac:dyDescent="0.3">
      <c r="A1563" t="s">
        <v>4230</v>
      </c>
      <c r="B1563" t="s">
        <v>4231</v>
      </c>
      <c r="E1563" t="s">
        <v>389</v>
      </c>
      <c r="F1563" t="s">
        <v>55</v>
      </c>
      <c r="G1563" t="s">
        <v>3252</v>
      </c>
      <c r="H1563" t="s">
        <v>26</v>
      </c>
      <c r="I1563">
        <v>0</v>
      </c>
      <c r="J1563">
        <v>0</v>
      </c>
      <c r="K1563">
        <v>0</v>
      </c>
      <c r="L1563">
        <v>0</v>
      </c>
      <c r="M1563" t="s">
        <v>76</v>
      </c>
      <c r="N1563" t="s">
        <v>76</v>
      </c>
      <c r="O1563" t="s">
        <v>77</v>
      </c>
      <c r="P1563" t="s">
        <v>76</v>
      </c>
      <c r="S1563" t="s">
        <v>4231</v>
      </c>
    </row>
    <row r="1564" spans="1:19" x14ac:dyDescent="0.3">
      <c r="A1564" t="s">
        <v>4232</v>
      </c>
      <c r="B1564" t="s">
        <v>4233</v>
      </c>
      <c r="E1564" t="s">
        <v>400</v>
      </c>
      <c r="F1564" t="s">
        <v>55</v>
      </c>
      <c r="G1564" t="s">
        <v>56</v>
      </c>
      <c r="H1564" t="s">
        <v>26</v>
      </c>
      <c r="I1564">
        <v>0</v>
      </c>
      <c r="J1564">
        <v>0</v>
      </c>
      <c r="K1564">
        <v>0</v>
      </c>
      <c r="L1564">
        <v>0</v>
      </c>
      <c r="M1564" t="s">
        <v>76</v>
      </c>
      <c r="N1564" t="s">
        <v>76</v>
      </c>
      <c r="O1564" t="s">
        <v>77</v>
      </c>
      <c r="P1564" t="s">
        <v>76</v>
      </c>
      <c r="S1564" t="s">
        <v>4233</v>
      </c>
    </row>
    <row r="1565" spans="1:19" x14ac:dyDescent="0.3">
      <c r="A1565" t="s">
        <v>4234</v>
      </c>
      <c r="B1565" t="s">
        <v>4235</v>
      </c>
      <c r="C1565" t="s">
        <v>21</v>
      </c>
      <c r="D1565" t="s">
        <v>63</v>
      </c>
      <c r="E1565" t="s">
        <v>1132</v>
      </c>
      <c r="F1565" t="s">
        <v>24</v>
      </c>
      <c r="G1565" t="s">
        <v>21</v>
      </c>
      <c r="H1565" t="s">
        <v>26</v>
      </c>
      <c r="I1565">
        <v>0</v>
      </c>
      <c r="J1565">
        <v>0</v>
      </c>
      <c r="K1565">
        <v>0</v>
      </c>
      <c r="L1565">
        <v>0</v>
      </c>
      <c r="M1565" t="s">
        <v>76</v>
      </c>
      <c r="N1565" t="s">
        <v>76</v>
      </c>
      <c r="O1565" t="s">
        <v>77</v>
      </c>
      <c r="P1565" t="s">
        <v>76</v>
      </c>
      <c r="S1565" t="s">
        <v>4235</v>
      </c>
    </row>
    <row r="1566" spans="1:19" x14ac:dyDescent="0.3">
      <c r="A1566" t="s">
        <v>4236</v>
      </c>
      <c r="B1566" t="s">
        <v>4237</v>
      </c>
      <c r="C1566" t="s">
        <v>243</v>
      </c>
      <c r="D1566" t="s">
        <v>189</v>
      </c>
      <c r="F1566" t="s">
        <v>243</v>
      </c>
      <c r="G1566" t="s">
        <v>244</v>
      </c>
      <c r="H1566" t="s">
        <v>75</v>
      </c>
      <c r="I1566">
        <v>0</v>
      </c>
      <c r="J1566">
        <v>0</v>
      </c>
      <c r="K1566">
        <v>0</v>
      </c>
      <c r="L1566">
        <v>0</v>
      </c>
      <c r="M1566" t="s">
        <v>76</v>
      </c>
      <c r="N1566" t="s">
        <v>76</v>
      </c>
      <c r="O1566" t="s">
        <v>77</v>
      </c>
      <c r="P1566" t="s">
        <v>76</v>
      </c>
      <c r="S1566" t="s">
        <v>4237</v>
      </c>
    </row>
    <row r="1567" spans="1:19" x14ac:dyDescent="0.3">
      <c r="A1567" t="s">
        <v>4238</v>
      </c>
      <c r="B1567" t="s">
        <v>4239</v>
      </c>
      <c r="C1567" t="s">
        <v>24</v>
      </c>
      <c r="D1567" t="s">
        <v>35</v>
      </c>
      <c r="E1567" t="s">
        <v>150</v>
      </c>
      <c r="F1567" t="s">
        <v>24</v>
      </c>
      <c r="G1567" t="s">
        <v>4240</v>
      </c>
      <c r="H1567" t="s">
        <v>26</v>
      </c>
      <c r="I1567">
        <v>0</v>
      </c>
      <c r="J1567">
        <v>0</v>
      </c>
      <c r="K1567">
        <v>0</v>
      </c>
      <c r="L1567">
        <v>0</v>
      </c>
      <c r="M1567" t="s">
        <v>239</v>
      </c>
      <c r="N1567" t="s">
        <v>239</v>
      </c>
      <c r="O1567" t="s">
        <v>240</v>
      </c>
      <c r="P1567" t="s">
        <v>239</v>
      </c>
      <c r="S1567" t="s">
        <v>4239</v>
      </c>
    </row>
    <row r="1568" spans="1:19" x14ac:dyDescent="0.3">
      <c r="A1568" t="s">
        <v>4241</v>
      </c>
      <c r="B1568" t="s">
        <v>4242</v>
      </c>
      <c r="C1568" t="s">
        <v>73</v>
      </c>
      <c r="D1568" t="s">
        <v>35</v>
      </c>
      <c r="E1568" t="s">
        <v>389</v>
      </c>
      <c r="F1568" t="s">
        <v>73</v>
      </c>
      <c r="G1568" t="s">
        <v>2673</v>
      </c>
      <c r="H1568" t="s">
        <v>75</v>
      </c>
      <c r="I1568">
        <v>0</v>
      </c>
      <c r="J1568">
        <v>0</v>
      </c>
      <c r="K1568">
        <v>0</v>
      </c>
      <c r="L1568">
        <v>0</v>
      </c>
      <c r="M1568" t="s">
        <v>76</v>
      </c>
      <c r="N1568" t="s">
        <v>76</v>
      </c>
      <c r="O1568" t="s">
        <v>77</v>
      </c>
      <c r="P1568" t="s">
        <v>76</v>
      </c>
      <c r="S1568" t="s">
        <v>4242</v>
      </c>
    </row>
    <row r="1569" spans="1:19" x14ac:dyDescent="0.3">
      <c r="A1569" t="s">
        <v>4243</v>
      </c>
      <c r="B1569" t="s">
        <v>4244</v>
      </c>
      <c r="C1569" t="s">
        <v>45</v>
      </c>
      <c r="D1569" t="s">
        <v>63</v>
      </c>
      <c r="E1569" t="s">
        <v>74</v>
      </c>
      <c r="F1569" t="s">
        <v>45</v>
      </c>
      <c r="G1569" t="s">
        <v>4245</v>
      </c>
      <c r="H1569" t="s">
        <v>26</v>
      </c>
      <c r="I1569">
        <v>0</v>
      </c>
      <c r="J1569">
        <v>0</v>
      </c>
      <c r="K1569">
        <v>0</v>
      </c>
      <c r="L1569">
        <v>0</v>
      </c>
      <c r="M1569" t="s">
        <v>76</v>
      </c>
      <c r="N1569" t="s">
        <v>76</v>
      </c>
      <c r="O1569" t="s">
        <v>77</v>
      </c>
      <c r="P1569" t="s">
        <v>76</v>
      </c>
      <c r="S1569" t="s">
        <v>4244</v>
      </c>
    </row>
    <row r="1570" spans="1:19" x14ac:dyDescent="0.3">
      <c r="A1570" t="s">
        <v>4246</v>
      </c>
      <c r="B1570" t="s">
        <v>4247</v>
      </c>
      <c r="C1570" t="s">
        <v>43</v>
      </c>
      <c r="D1570" t="s">
        <v>63</v>
      </c>
      <c r="E1570" t="s">
        <v>74</v>
      </c>
      <c r="F1570" t="s">
        <v>45</v>
      </c>
      <c r="G1570" t="s">
        <v>43</v>
      </c>
      <c r="H1570" t="s">
        <v>26</v>
      </c>
      <c r="I1570">
        <v>0</v>
      </c>
      <c r="J1570">
        <v>0</v>
      </c>
      <c r="K1570">
        <v>0</v>
      </c>
      <c r="L1570">
        <v>0</v>
      </c>
      <c r="M1570" t="s">
        <v>76</v>
      </c>
      <c r="N1570" t="s">
        <v>76</v>
      </c>
      <c r="O1570" t="s">
        <v>77</v>
      </c>
      <c r="P1570" t="s">
        <v>76</v>
      </c>
      <c r="S1570" t="s">
        <v>4247</v>
      </c>
    </row>
    <row r="1571" spans="1:19" x14ac:dyDescent="0.3">
      <c r="A1571" t="s">
        <v>4248</v>
      </c>
      <c r="B1571" t="s">
        <v>4249</v>
      </c>
      <c r="C1571" t="s">
        <v>21</v>
      </c>
      <c r="D1571" t="s">
        <v>63</v>
      </c>
      <c r="E1571" t="s">
        <v>74</v>
      </c>
      <c r="F1571" t="s">
        <v>24</v>
      </c>
      <c r="G1571" t="s">
        <v>21</v>
      </c>
      <c r="H1571" t="s">
        <v>26</v>
      </c>
      <c r="I1571">
        <v>0</v>
      </c>
      <c r="J1571">
        <v>0</v>
      </c>
      <c r="K1571">
        <v>0</v>
      </c>
      <c r="L1571">
        <v>0</v>
      </c>
      <c r="M1571" t="s">
        <v>76</v>
      </c>
      <c r="N1571" t="s">
        <v>76</v>
      </c>
      <c r="O1571" t="s">
        <v>77</v>
      </c>
      <c r="P1571" t="s">
        <v>76</v>
      </c>
      <c r="S1571" t="s">
        <v>4249</v>
      </c>
    </row>
    <row r="1572" spans="1:19" x14ac:dyDescent="0.3">
      <c r="A1572" t="s">
        <v>4250</v>
      </c>
      <c r="B1572" t="s">
        <v>4251</v>
      </c>
      <c r="C1572" t="s">
        <v>307</v>
      </c>
      <c r="D1572" t="s">
        <v>35</v>
      </c>
      <c r="E1572" t="s">
        <v>44</v>
      </c>
      <c r="F1572" t="s">
        <v>251</v>
      </c>
      <c r="G1572" t="s">
        <v>307</v>
      </c>
      <c r="H1572" t="s">
        <v>75</v>
      </c>
      <c r="I1572">
        <v>0</v>
      </c>
      <c r="J1572">
        <v>0</v>
      </c>
      <c r="K1572">
        <v>0</v>
      </c>
      <c r="L1572">
        <v>0</v>
      </c>
      <c r="M1572" t="s">
        <v>76</v>
      </c>
      <c r="N1572" t="s">
        <v>76</v>
      </c>
      <c r="O1572" t="s">
        <v>77</v>
      </c>
      <c r="P1572" t="s">
        <v>76</v>
      </c>
      <c r="S1572" t="s">
        <v>4251</v>
      </c>
    </row>
    <row r="1573" spans="1:19" x14ac:dyDescent="0.3">
      <c r="A1573" t="s">
        <v>4252</v>
      </c>
      <c r="B1573" t="s">
        <v>4253</v>
      </c>
      <c r="C1573" t="s">
        <v>24</v>
      </c>
      <c r="D1573" t="s">
        <v>63</v>
      </c>
      <c r="E1573" t="s">
        <v>74</v>
      </c>
      <c r="F1573" t="s">
        <v>24</v>
      </c>
      <c r="G1573" t="s">
        <v>4252</v>
      </c>
      <c r="H1573" t="s">
        <v>26</v>
      </c>
      <c r="I1573">
        <v>0</v>
      </c>
      <c r="J1573">
        <v>0</v>
      </c>
      <c r="K1573">
        <v>0</v>
      </c>
      <c r="L1573">
        <v>0</v>
      </c>
      <c r="M1573" t="s">
        <v>76</v>
      </c>
      <c r="N1573" t="s">
        <v>76</v>
      </c>
      <c r="O1573" t="s">
        <v>77</v>
      </c>
      <c r="P1573" t="s">
        <v>76</v>
      </c>
      <c r="S1573" t="s">
        <v>4253</v>
      </c>
    </row>
    <row r="1574" spans="1:19" x14ac:dyDescent="0.3">
      <c r="A1574" t="s">
        <v>4254</v>
      </c>
      <c r="B1574" t="s">
        <v>4255</v>
      </c>
      <c r="C1574" t="s">
        <v>24</v>
      </c>
      <c r="D1574" t="s">
        <v>63</v>
      </c>
      <c r="E1574" t="s">
        <v>74</v>
      </c>
      <c r="F1574" t="s">
        <v>24</v>
      </c>
      <c r="G1574" t="s">
        <v>4256</v>
      </c>
      <c r="H1574" t="s">
        <v>213</v>
      </c>
      <c r="I1574">
        <v>0</v>
      </c>
      <c r="J1574">
        <v>0</v>
      </c>
      <c r="K1574">
        <v>0</v>
      </c>
      <c r="L1574">
        <v>0</v>
      </c>
      <c r="M1574" t="s">
        <v>76</v>
      </c>
      <c r="N1574" t="s">
        <v>76</v>
      </c>
      <c r="O1574" t="s">
        <v>77</v>
      </c>
      <c r="P1574" t="s">
        <v>76</v>
      </c>
      <c r="S1574" t="s">
        <v>4255</v>
      </c>
    </row>
    <row r="1575" spans="1:19" x14ac:dyDescent="0.3">
      <c r="A1575" t="s">
        <v>4257</v>
      </c>
      <c r="B1575" t="s">
        <v>4258</v>
      </c>
      <c r="C1575" t="s">
        <v>43</v>
      </c>
      <c r="D1575" t="s">
        <v>35</v>
      </c>
      <c r="E1575" t="s">
        <v>36</v>
      </c>
      <c r="F1575" t="s">
        <v>45</v>
      </c>
      <c r="G1575" t="s">
        <v>43</v>
      </c>
      <c r="H1575" t="s">
        <v>26</v>
      </c>
      <c r="I1575">
        <v>0</v>
      </c>
      <c r="J1575">
        <v>0</v>
      </c>
      <c r="K1575">
        <v>0</v>
      </c>
      <c r="L1575">
        <v>0</v>
      </c>
      <c r="M1575" t="s">
        <v>76</v>
      </c>
      <c r="N1575" t="s">
        <v>76</v>
      </c>
      <c r="O1575" t="s">
        <v>77</v>
      </c>
      <c r="P1575" t="s">
        <v>76</v>
      </c>
      <c r="S1575" t="s">
        <v>4258</v>
      </c>
    </row>
    <row r="1576" spans="1:19" x14ac:dyDescent="0.3">
      <c r="A1576" t="s">
        <v>4259</v>
      </c>
      <c r="B1576" t="s">
        <v>4260</v>
      </c>
      <c r="C1576" t="s">
        <v>243</v>
      </c>
      <c r="D1576" t="s">
        <v>63</v>
      </c>
      <c r="E1576" t="s">
        <v>74</v>
      </c>
      <c r="F1576" t="s">
        <v>243</v>
      </c>
      <c r="G1576" t="s">
        <v>244</v>
      </c>
      <c r="H1576" t="s">
        <v>75</v>
      </c>
      <c r="I1576">
        <v>0</v>
      </c>
      <c r="J1576">
        <v>0</v>
      </c>
      <c r="K1576">
        <v>0</v>
      </c>
      <c r="L1576">
        <v>0</v>
      </c>
      <c r="M1576" t="s">
        <v>76</v>
      </c>
      <c r="N1576" t="s">
        <v>76</v>
      </c>
      <c r="O1576" t="s">
        <v>77</v>
      </c>
      <c r="P1576" t="s">
        <v>76</v>
      </c>
      <c r="S1576" t="s">
        <v>4260</v>
      </c>
    </row>
    <row r="1577" spans="1:19" x14ac:dyDescent="0.3">
      <c r="A1577" t="s">
        <v>4261</v>
      </c>
      <c r="B1577" t="s">
        <v>4262</v>
      </c>
      <c r="C1577" t="s">
        <v>24</v>
      </c>
      <c r="D1577" t="s">
        <v>63</v>
      </c>
      <c r="E1577" t="s">
        <v>575</v>
      </c>
      <c r="F1577" t="s">
        <v>24</v>
      </c>
      <c r="G1577" t="s">
        <v>4263</v>
      </c>
      <c r="H1577" t="s">
        <v>26</v>
      </c>
      <c r="I1577">
        <v>0</v>
      </c>
      <c r="J1577">
        <v>0</v>
      </c>
      <c r="K1577">
        <v>0</v>
      </c>
      <c r="L1577">
        <v>0</v>
      </c>
      <c r="M1577" t="s">
        <v>76</v>
      </c>
      <c r="N1577" t="s">
        <v>76</v>
      </c>
      <c r="O1577" t="s">
        <v>77</v>
      </c>
      <c r="P1577" t="s">
        <v>76</v>
      </c>
      <c r="S1577" t="s">
        <v>4262</v>
      </c>
    </row>
    <row r="1578" spans="1:19" x14ac:dyDescent="0.3">
      <c r="A1578" t="s">
        <v>4264</v>
      </c>
      <c r="B1578" t="s">
        <v>4265</v>
      </c>
      <c r="C1578" t="s">
        <v>21</v>
      </c>
      <c r="D1578" t="s">
        <v>63</v>
      </c>
      <c r="E1578" t="s">
        <v>74</v>
      </c>
      <c r="F1578" t="s">
        <v>24</v>
      </c>
      <c r="G1578" t="s">
        <v>21</v>
      </c>
      <c r="H1578" t="s">
        <v>26</v>
      </c>
      <c r="I1578">
        <v>0</v>
      </c>
      <c r="J1578">
        <v>0</v>
      </c>
      <c r="K1578">
        <v>0</v>
      </c>
      <c r="L1578">
        <v>0</v>
      </c>
      <c r="M1578" t="s">
        <v>76</v>
      </c>
      <c r="N1578" t="s">
        <v>76</v>
      </c>
      <c r="O1578" t="s">
        <v>77</v>
      </c>
      <c r="P1578" t="s">
        <v>76</v>
      </c>
      <c r="S1578" t="s">
        <v>4265</v>
      </c>
    </row>
    <row r="1579" spans="1:19" x14ac:dyDescent="0.3">
      <c r="A1579" t="s">
        <v>4266</v>
      </c>
      <c r="B1579" t="s">
        <v>4267</v>
      </c>
      <c r="C1579" t="s">
        <v>21</v>
      </c>
      <c r="D1579" t="s">
        <v>63</v>
      </c>
      <c r="E1579" t="s">
        <v>74</v>
      </c>
      <c r="F1579" t="s">
        <v>24</v>
      </c>
      <c r="G1579" t="s">
        <v>21</v>
      </c>
      <c r="H1579" t="s">
        <v>26</v>
      </c>
      <c r="I1579">
        <v>0</v>
      </c>
      <c r="J1579">
        <v>0</v>
      </c>
      <c r="K1579">
        <v>0</v>
      </c>
      <c r="L1579">
        <v>0</v>
      </c>
      <c r="M1579" t="s">
        <v>76</v>
      </c>
      <c r="N1579" t="s">
        <v>76</v>
      </c>
      <c r="O1579" t="s">
        <v>77</v>
      </c>
      <c r="P1579" t="s">
        <v>76</v>
      </c>
      <c r="S1579" t="s">
        <v>4267</v>
      </c>
    </row>
    <row r="1580" spans="1:19" x14ac:dyDescent="0.3">
      <c r="A1580" t="s">
        <v>4268</v>
      </c>
      <c r="B1580" t="s">
        <v>4269</v>
      </c>
      <c r="C1580" t="s">
        <v>73</v>
      </c>
      <c r="D1580" t="s">
        <v>63</v>
      </c>
      <c r="E1580" t="s">
        <v>74</v>
      </c>
      <c r="F1580" t="s">
        <v>73</v>
      </c>
      <c r="G1580" t="s">
        <v>741</v>
      </c>
      <c r="H1580" t="s">
        <v>75</v>
      </c>
      <c r="I1580">
        <v>0</v>
      </c>
      <c r="J1580">
        <v>0</v>
      </c>
      <c r="K1580">
        <v>0</v>
      </c>
      <c r="L1580">
        <v>0</v>
      </c>
      <c r="M1580" t="s">
        <v>76</v>
      </c>
      <c r="N1580" t="s">
        <v>76</v>
      </c>
      <c r="O1580" t="s">
        <v>77</v>
      </c>
      <c r="P1580" t="s">
        <v>76</v>
      </c>
      <c r="S1580" t="s">
        <v>4269</v>
      </c>
    </row>
    <row r="1581" spans="1:19" x14ac:dyDescent="0.3">
      <c r="A1581" t="s">
        <v>4270</v>
      </c>
      <c r="B1581" t="s">
        <v>4271</v>
      </c>
      <c r="C1581" t="s">
        <v>24</v>
      </c>
      <c r="E1581" t="s">
        <v>389</v>
      </c>
      <c r="F1581" t="s">
        <v>24</v>
      </c>
      <c r="G1581" t="s">
        <v>4270</v>
      </c>
      <c r="H1581" t="s">
        <v>26</v>
      </c>
      <c r="I1581">
        <v>0</v>
      </c>
      <c r="J1581">
        <v>0</v>
      </c>
      <c r="K1581">
        <v>0</v>
      </c>
      <c r="L1581">
        <v>0</v>
      </c>
      <c r="M1581" t="s">
        <v>76</v>
      </c>
      <c r="N1581" t="s">
        <v>76</v>
      </c>
      <c r="O1581" t="s">
        <v>77</v>
      </c>
      <c r="P1581" t="s">
        <v>76</v>
      </c>
      <c r="S1581" t="s">
        <v>4271</v>
      </c>
    </row>
    <row r="1582" spans="1:19" x14ac:dyDescent="0.3">
      <c r="A1582" t="s">
        <v>4272</v>
      </c>
      <c r="B1582" t="s">
        <v>4273</v>
      </c>
      <c r="C1582" t="s">
        <v>21</v>
      </c>
      <c r="D1582" t="s">
        <v>35</v>
      </c>
      <c r="E1582" t="s">
        <v>80</v>
      </c>
      <c r="F1582" t="s">
        <v>24</v>
      </c>
      <c r="G1582" t="s">
        <v>21</v>
      </c>
      <c r="H1582" t="s">
        <v>26</v>
      </c>
      <c r="I1582">
        <v>0</v>
      </c>
      <c r="J1582">
        <v>0</v>
      </c>
      <c r="K1582">
        <v>0</v>
      </c>
      <c r="L1582">
        <v>0</v>
      </c>
      <c r="M1582" t="s">
        <v>76</v>
      </c>
      <c r="N1582" t="s">
        <v>76</v>
      </c>
      <c r="O1582" t="s">
        <v>77</v>
      </c>
      <c r="P1582" t="s">
        <v>76</v>
      </c>
      <c r="S1582" t="s">
        <v>4273</v>
      </c>
    </row>
    <row r="1583" spans="1:19" x14ac:dyDescent="0.3">
      <c r="A1583" t="s">
        <v>2080</v>
      </c>
      <c r="B1583" t="s">
        <v>4274</v>
      </c>
      <c r="C1583" t="s">
        <v>24</v>
      </c>
      <c r="D1583" t="s">
        <v>63</v>
      </c>
      <c r="E1583" t="s">
        <v>74</v>
      </c>
      <c r="F1583" t="s">
        <v>24</v>
      </c>
      <c r="G1583" t="s">
        <v>2080</v>
      </c>
      <c r="H1583" t="s">
        <v>26</v>
      </c>
      <c r="I1583">
        <v>0</v>
      </c>
      <c r="J1583">
        <v>0</v>
      </c>
      <c r="K1583">
        <v>0</v>
      </c>
      <c r="L1583">
        <v>0</v>
      </c>
      <c r="M1583" t="s">
        <v>76</v>
      </c>
      <c r="N1583" t="s">
        <v>76</v>
      </c>
      <c r="O1583" t="s">
        <v>77</v>
      </c>
      <c r="P1583" t="s">
        <v>76</v>
      </c>
      <c r="S1583" t="s">
        <v>4274</v>
      </c>
    </row>
    <row r="1584" spans="1:19" x14ac:dyDescent="0.3">
      <c r="A1584" t="s">
        <v>4275</v>
      </c>
      <c r="B1584" t="s">
        <v>4276</v>
      </c>
      <c r="C1584" t="s">
        <v>45</v>
      </c>
      <c r="D1584" t="s">
        <v>63</v>
      </c>
      <c r="E1584" t="s">
        <v>74</v>
      </c>
      <c r="F1584" t="s">
        <v>45</v>
      </c>
      <c r="G1584" t="s">
        <v>4275</v>
      </c>
      <c r="H1584" t="s">
        <v>26</v>
      </c>
      <c r="I1584">
        <v>0</v>
      </c>
      <c r="J1584">
        <v>0</v>
      </c>
      <c r="K1584">
        <v>0</v>
      </c>
      <c r="L1584">
        <v>0</v>
      </c>
      <c r="M1584" t="s">
        <v>76</v>
      </c>
      <c r="N1584" t="s">
        <v>76</v>
      </c>
      <c r="O1584" t="s">
        <v>77</v>
      </c>
      <c r="P1584" t="s">
        <v>76</v>
      </c>
      <c r="S1584" t="s">
        <v>4276</v>
      </c>
    </row>
    <row r="1585" spans="1:19" x14ac:dyDescent="0.3">
      <c r="A1585" t="s">
        <v>4277</v>
      </c>
      <c r="B1585" t="s">
        <v>4278</v>
      </c>
      <c r="C1585" t="s">
        <v>314</v>
      </c>
      <c r="D1585" t="s">
        <v>63</v>
      </c>
      <c r="E1585" t="s">
        <v>74</v>
      </c>
      <c r="F1585" t="s">
        <v>314</v>
      </c>
      <c r="G1585" t="s">
        <v>4279</v>
      </c>
      <c r="H1585" t="s">
        <v>213</v>
      </c>
      <c r="I1585">
        <v>0</v>
      </c>
      <c r="J1585">
        <v>0</v>
      </c>
      <c r="K1585">
        <v>0</v>
      </c>
      <c r="L1585">
        <v>0</v>
      </c>
      <c r="M1585" t="s">
        <v>76</v>
      </c>
      <c r="N1585" t="s">
        <v>76</v>
      </c>
      <c r="O1585" t="s">
        <v>77</v>
      </c>
      <c r="P1585" t="s">
        <v>76</v>
      </c>
      <c r="S1585" t="s">
        <v>4278</v>
      </c>
    </row>
    <row r="1586" spans="1:19" x14ac:dyDescent="0.3">
      <c r="A1586" t="s">
        <v>4280</v>
      </c>
      <c r="B1586" t="s">
        <v>4281</v>
      </c>
      <c r="C1586" t="s">
        <v>21</v>
      </c>
      <c r="D1586" t="s">
        <v>63</v>
      </c>
      <c r="E1586" t="s">
        <v>74</v>
      </c>
      <c r="F1586" t="s">
        <v>24</v>
      </c>
      <c r="G1586" t="s">
        <v>21</v>
      </c>
      <c r="H1586" t="s">
        <v>26</v>
      </c>
      <c r="I1586">
        <v>0</v>
      </c>
      <c r="J1586">
        <v>0</v>
      </c>
      <c r="K1586">
        <v>0</v>
      </c>
      <c r="L1586">
        <v>0</v>
      </c>
      <c r="M1586" t="s">
        <v>76</v>
      </c>
      <c r="N1586" t="s">
        <v>76</v>
      </c>
      <c r="O1586" t="s">
        <v>77</v>
      </c>
      <c r="P1586" t="s">
        <v>76</v>
      </c>
      <c r="S1586" t="s">
        <v>4281</v>
      </c>
    </row>
    <row r="1587" spans="1:19" x14ac:dyDescent="0.3">
      <c r="A1587" t="s">
        <v>4282</v>
      </c>
      <c r="B1587" t="s">
        <v>4283</v>
      </c>
      <c r="C1587" t="s">
        <v>45</v>
      </c>
      <c r="D1587" t="s">
        <v>63</v>
      </c>
      <c r="E1587" t="s">
        <v>74</v>
      </c>
      <c r="F1587" t="s">
        <v>45</v>
      </c>
      <c r="G1587" t="s">
        <v>301</v>
      </c>
      <c r="H1587" t="s">
        <v>26</v>
      </c>
      <c r="I1587">
        <v>0</v>
      </c>
      <c r="J1587">
        <v>0</v>
      </c>
      <c r="K1587">
        <v>0</v>
      </c>
      <c r="L1587">
        <v>0</v>
      </c>
      <c r="M1587" t="s">
        <v>76</v>
      </c>
      <c r="N1587" t="s">
        <v>76</v>
      </c>
      <c r="O1587" t="s">
        <v>77</v>
      </c>
      <c r="P1587" t="s">
        <v>76</v>
      </c>
      <c r="S1587" t="s">
        <v>4283</v>
      </c>
    </row>
    <row r="1588" spans="1:19" x14ac:dyDescent="0.3">
      <c r="A1588" t="s">
        <v>4284</v>
      </c>
      <c r="B1588" t="s">
        <v>4285</v>
      </c>
      <c r="C1588" t="s">
        <v>43</v>
      </c>
      <c r="D1588" t="s">
        <v>63</v>
      </c>
      <c r="E1588" t="s">
        <v>74</v>
      </c>
      <c r="F1588" t="s">
        <v>45</v>
      </c>
      <c r="G1588" t="s">
        <v>43</v>
      </c>
      <c r="H1588" t="s">
        <v>26</v>
      </c>
      <c r="I1588">
        <v>0</v>
      </c>
      <c r="J1588">
        <v>0</v>
      </c>
      <c r="K1588">
        <v>0</v>
      </c>
      <c r="L1588">
        <v>0</v>
      </c>
      <c r="M1588" t="s">
        <v>76</v>
      </c>
      <c r="N1588" t="s">
        <v>76</v>
      </c>
      <c r="O1588" t="s">
        <v>77</v>
      </c>
      <c r="P1588" t="s">
        <v>76</v>
      </c>
      <c r="S1588" t="s">
        <v>4285</v>
      </c>
    </row>
    <row r="1589" spans="1:19" x14ac:dyDescent="0.3">
      <c r="A1589" t="s">
        <v>4286</v>
      </c>
      <c r="B1589" t="s">
        <v>4287</v>
      </c>
      <c r="C1589" t="s">
        <v>45</v>
      </c>
      <c r="D1589" t="s">
        <v>63</v>
      </c>
      <c r="E1589" t="s">
        <v>74</v>
      </c>
      <c r="F1589" t="s">
        <v>45</v>
      </c>
      <c r="G1589" t="s">
        <v>4288</v>
      </c>
      <c r="H1589" t="s">
        <v>26</v>
      </c>
      <c r="I1589">
        <v>0</v>
      </c>
      <c r="J1589">
        <v>0</v>
      </c>
      <c r="K1589">
        <v>0</v>
      </c>
      <c r="L1589">
        <v>0</v>
      </c>
      <c r="M1589" t="s">
        <v>76</v>
      </c>
      <c r="N1589" t="s">
        <v>76</v>
      </c>
      <c r="O1589" t="s">
        <v>77</v>
      </c>
      <c r="P1589" t="s">
        <v>76</v>
      </c>
      <c r="S1589" t="s">
        <v>4287</v>
      </c>
    </row>
    <row r="1590" spans="1:19" x14ac:dyDescent="0.3">
      <c r="A1590" t="s">
        <v>4289</v>
      </c>
      <c r="B1590" t="s">
        <v>4290</v>
      </c>
      <c r="C1590" t="s">
        <v>243</v>
      </c>
      <c r="D1590" t="s">
        <v>63</v>
      </c>
      <c r="E1590" t="s">
        <v>74</v>
      </c>
      <c r="F1590" t="s">
        <v>243</v>
      </c>
      <c r="G1590" t="s">
        <v>244</v>
      </c>
      <c r="H1590" t="s">
        <v>75</v>
      </c>
      <c r="I1590">
        <v>0</v>
      </c>
      <c r="J1590">
        <v>0</v>
      </c>
      <c r="K1590">
        <v>0</v>
      </c>
      <c r="L1590">
        <v>0</v>
      </c>
      <c r="M1590" t="s">
        <v>76</v>
      </c>
      <c r="N1590" t="s">
        <v>76</v>
      </c>
      <c r="O1590" t="s">
        <v>77</v>
      </c>
      <c r="P1590" t="s">
        <v>76</v>
      </c>
      <c r="S1590" t="s">
        <v>4290</v>
      </c>
    </row>
    <row r="1591" spans="1:19" x14ac:dyDescent="0.3">
      <c r="A1591" t="s">
        <v>4291</v>
      </c>
      <c r="B1591" t="s">
        <v>4292</v>
      </c>
      <c r="C1591" t="s">
        <v>243</v>
      </c>
      <c r="D1591" t="s">
        <v>63</v>
      </c>
      <c r="E1591" t="s">
        <v>74</v>
      </c>
      <c r="F1591" t="s">
        <v>243</v>
      </c>
      <c r="G1591" t="s">
        <v>244</v>
      </c>
      <c r="H1591" t="s">
        <v>75</v>
      </c>
      <c r="I1591">
        <v>0</v>
      </c>
      <c r="J1591">
        <v>0</v>
      </c>
      <c r="K1591">
        <v>0</v>
      </c>
      <c r="L1591">
        <v>0</v>
      </c>
      <c r="M1591" t="s">
        <v>76</v>
      </c>
      <c r="N1591" t="s">
        <v>76</v>
      </c>
      <c r="O1591" t="s">
        <v>77</v>
      </c>
      <c r="P1591" t="s">
        <v>76</v>
      </c>
      <c r="S1591" t="s">
        <v>4292</v>
      </c>
    </row>
    <row r="1592" spans="1:19" x14ac:dyDescent="0.3">
      <c r="A1592" t="s">
        <v>4293</v>
      </c>
      <c r="B1592" t="s">
        <v>4294</v>
      </c>
      <c r="C1592" t="s">
        <v>43</v>
      </c>
      <c r="D1592" t="s">
        <v>63</v>
      </c>
      <c r="E1592" t="s">
        <v>1132</v>
      </c>
      <c r="F1592" t="s">
        <v>45</v>
      </c>
      <c r="G1592" t="s">
        <v>43</v>
      </c>
      <c r="H1592" t="s">
        <v>26</v>
      </c>
      <c r="I1592">
        <v>0</v>
      </c>
      <c r="J1592">
        <v>0</v>
      </c>
      <c r="K1592">
        <v>0</v>
      </c>
      <c r="L1592">
        <v>0</v>
      </c>
      <c r="M1592" t="s">
        <v>76</v>
      </c>
      <c r="N1592" t="s">
        <v>76</v>
      </c>
      <c r="O1592" t="s">
        <v>77</v>
      </c>
      <c r="P1592" t="s">
        <v>76</v>
      </c>
      <c r="S1592" t="s">
        <v>4294</v>
      </c>
    </row>
    <row r="1593" spans="1:19" x14ac:dyDescent="0.3">
      <c r="A1593" t="s">
        <v>4295</v>
      </c>
      <c r="B1593" t="s">
        <v>4296</v>
      </c>
      <c r="C1593" t="s">
        <v>596</v>
      </c>
      <c r="D1593" t="s">
        <v>2796</v>
      </c>
      <c r="F1593" t="s">
        <v>73</v>
      </c>
      <c r="G1593" t="s">
        <v>596</v>
      </c>
      <c r="H1593" t="s">
        <v>75</v>
      </c>
      <c r="I1593">
        <v>0</v>
      </c>
      <c r="J1593">
        <v>0</v>
      </c>
      <c r="K1593">
        <v>0</v>
      </c>
      <c r="L1593">
        <v>0</v>
      </c>
      <c r="M1593" t="s">
        <v>76</v>
      </c>
      <c r="N1593" t="s">
        <v>76</v>
      </c>
      <c r="O1593" t="s">
        <v>77</v>
      </c>
      <c r="P1593" t="s">
        <v>76</v>
      </c>
      <c r="S1593" t="s">
        <v>4296</v>
      </c>
    </row>
    <row r="1594" spans="1:19" x14ac:dyDescent="0.3">
      <c r="A1594" t="s">
        <v>4297</v>
      </c>
      <c r="B1594" t="s">
        <v>4298</v>
      </c>
      <c r="C1594" t="s">
        <v>73</v>
      </c>
      <c r="D1594" t="s">
        <v>63</v>
      </c>
      <c r="E1594" t="s">
        <v>23</v>
      </c>
      <c r="F1594" t="s">
        <v>73</v>
      </c>
      <c r="G1594" t="s">
        <v>4299</v>
      </c>
      <c r="H1594" t="s">
        <v>75</v>
      </c>
      <c r="I1594">
        <v>0</v>
      </c>
      <c r="J1594">
        <v>0</v>
      </c>
      <c r="K1594">
        <v>0</v>
      </c>
      <c r="L1594">
        <v>0</v>
      </c>
      <c r="M1594" t="s">
        <v>76</v>
      </c>
      <c r="N1594" t="s">
        <v>76</v>
      </c>
      <c r="O1594" t="s">
        <v>77</v>
      </c>
      <c r="P1594" t="s">
        <v>76</v>
      </c>
      <c r="S1594" t="s">
        <v>4298</v>
      </c>
    </row>
    <row r="1595" spans="1:19" x14ac:dyDescent="0.3">
      <c r="A1595" t="s">
        <v>4300</v>
      </c>
      <c r="B1595" t="s">
        <v>4301</v>
      </c>
      <c r="C1595" t="s">
        <v>73</v>
      </c>
      <c r="D1595" t="s">
        <v>63</v>
      </c>
      <c r="E1595" t="s">
        <v>74</v>
      </c>
      <c r="F1595" t="s">
        <v>73</v>
      </c>
      <c r="G1595" t="s">
        <v>4299</v>
      </c>
      <c r="H1595" t="s">
        <v>75</v>
      </c>
      <c r="I1595">
        <v>0</v>
      </c>
      <c r="J1595">
        <v>0</v>
      </c>
      <c r="K1595">
        <v>0</v>
      </c>
      <c r="L1595">
        <v>0</v>
      </c>
      <c r="M1595" t="s">
        <v>76</v>
      </c>
      <c r="N1595" t="s">
        <v>76</v>
      </c>
      <c r="O1595" t="s">
        <v>77</v>
      </c>
      <c r="P1595" t="s">
        <v>76</v>
      </c>
      <c r="S1595" t="s">
        <v>4301</v>
      </c>
    </row>
    <row r="1596" spans="1:19" x14ac:dyDescent="0.3">
      <c r="A1596" t="s">
        <v>4302</v>
      </c>
      <c r="B1596" t="s">
        <v>4303</v>
      </c>
      <c r="C1596" t="s">
        <v>243</v>
      </c>
      <c r="D1596" t="s">
        <v>63</v>
      </c>
      <c r="E1596" t="s">
        <v>74</v>
      </c>
      <c r="F1596" t="s">
        <v>243</v>
      </c>
      <c r="G1596" t="s">
        <v>244</v>
      </c>
      <c r="H1596" t="s">
        <v>75</v>
      </c>
      <c r="I1596">
        <v>0</v>
      </c>
      <c r="J1596">
        <v>0</v>
      </c>
      <c r="K1596">
        <v>0</v>
      </c>
      <c r="L1596">
        <v>0</v>
      </c>
      <c r="M1596" t="s">
        <v>76</v>
      </c>
      <c r="N1596" t="s">
        <v>76</v>
      </c>
      <c r="O1596" t="s">
        <v>77</v>
      </c>
      <c r="P1596" t="s">
        <v>76</v>
      </c>
      <c r="S1596" t="s">
        <v>4303</v>
      </c>
    </row>
    <row r="1597" spans="1:19" x14ac:dyDescent="0.3">
      <c r="A1597" t="s">
        <v>4304</v>
      </c>
      <c r="B1597" t="s">
        <v>4305</v>
      </c>
      <c r="C1597" t="s">
        <v>196</v>
      </c>
      <c r="D1597" t="s">
        <v>35</v>
      </c>
      <c r="E1597" t="s">
        <v>150</v>
      </c>
      <c r="F1597" t="s">
        <v>228</v>
      </c>
      <c r="G1597" t="s">
        <v>196</v>
      </c>
      <c r="H1597" t="s">
        <v>75</v>
      </c>
      <c r="I1597">
        <v>0</v>
      </c>
      <c r="J1597">
        <v>0</v>
      </c>
      <c r="K1597">
        <v>0</v>
      </c>
      <c r="L1597">
        <v>0</v>
      </c>
      <c r="M1597" t="s">
        <v>76</v>
      </c>
      <c r="N1597" t="s">
        <v>76</v>
      </c>
      <c r="O1597" t="s">
        <v>77</v>
      </c>
      <c r="P1597" t="s">
        <v>76</v>
      </c>
      <c r="S1597" t="s">
        <v>4305</v>
      </c>
    </row>
    <row r="1598" spans="1:19" x14ac:dyDescent="0.3">
      <c r="A1598" t="s">
        <v>4306</v>
      </c>
      <c r="B1598" t="s">
        <v>4307</v>
      </c>
      <c r="C1598" t="s">
        <v>43</v>
      </c>
      <c r="D1598" t="s">
        <v>63</v>
      </c>
      <c r="E1598" t="s">
        <v>74</v>
      </c>
      <c r="F1598" t="s">
        <v>45</v>
      </c>
      <c r="G1598" t="s">
        <v>43</v>
      </c>
      <c r="H1598" t="s">
        <v>26</v>
      </c>
      <c r="I1598">
        <v>0</v>
      </c>
      <c r="J1598">
        <v>0</v>
      </c>
      <c r="K1598">
        <v>0</v>
      </c>
      <c r="L1598">
        <v>0</v>
      </c>
      <c r="M1598" t="s">
        <v>76</v>
      </c>
      <c r="N1598" t="s">
        <v>76</v>
      </c>
      <c r="O1598" t="s">
        <v>77</v>
      </c>
      <c r="P1598" t="s">
        <v>76</v>
      </c>
      <c r="S1598" t="s">
        <v>4307</v>
      </c>
    </row>
    <row r="1599" spans="1:19" x14ac:dyDescent="0.3">
      <c r="A1599" t="s">
        <v>4308</v>
      </c>
      <c r="B1599" t="s">
        <v>4309</v>
      </c>
      <c r="C1599" t="s">
        <v>43</v>
      </c>
      <c r="D1599" t="s">
        <v>35</v>
      </c>
      <c r="E1599" t="s">
        <v>278</v>
      </c>
      <c r="F1599" t="s">
        <v>45</v>
      </c>
      <c r="G1599" t="s">
        <v>43</v>
      </c>
      <c r="H1599" t="s">
        <v>26</v>
      </c>
      <c r="I1599">
        <v>0</v>
      </c>
      <c r="J1599">
        <v>0</v>
      </c>
      <c r="K1599">
        <v>0</v>
      </c>
      <c r="L1599">
        <v>0</v>
      </c>
      <c r="M1599" t="s">
        <v>76</v>
      </c>
      <c r="N1599" t="s">
        <v>76</v>
      </c>
      <c r="O1599" t="s">
        <v>77</v>
      </c>
      <c r="P1599" t="s">
        <v>76</v>
      </c>
      <c r="S1599" t="s">
        <v>4309</v>
      </c>
    </row>
    <row r="1600" spans="1:19" x14ac:dyDescent="0.3">
      <c r="A1600" t="s">
        <v>4310</v>
      </c>
      <c r="B1600" t="s">
        <v>4311</v>
      </c>
      <c r="C1600" t="s">
        <v>243</v>
      </c>
      <c r="D1600" t="s">
        <v>63</v>
      </c>
      <c r="E1600" t="s">
        <v>74</v>
      </c>
      <c r="F1600" t="s">
        <v>73</v>
      </c>
      <c r="G1600" t="s">
        <v>244</v>
      </c>
      <c r="H1600" t="s">
        <v>75</v>
      </c>
      <c r="I1600">
        <v>0</v>
      </c>
      <c r="J1600">
        <v>0</v>
      </c>
      <c r="K1600">
        <v>0</v>
      </c>
      <c r="L1600">
        <v>0</v>
      </c>
      <c r="M1600" t="s">
        <v>76</v>
      </c>
      <c r="N1600" t="s">
        <v>76</v>
      </c>
      <c r="O1600" t="s">
        <v>77</v>
      </c>
      <c r="P1600" t="s">
        <v>76</v>
      </c>
      <c r="S1600" t="s">
        <v>4311</v>
      </c>
    </row>
    <row r="1601" spans="1:19" x14ac:dyDescent="0.3">
      <c r="A1601" t="s">
        <v>4312</v>
      </c>
      <c r="B1601" t="s">
        <v>4313</v>
      </c>
      <c r="C1601" t="s">
        <v>1053</v>
      </c>
      <c r="D1601" t="s">
        <v>35</v>
      </c>
      <c r="E1601" t="s">
        <v>389</v>
      </c>
      <c r="F1601" t="s">
        <v>314</v>
      </c>
      <c r="G1601" t="s">
        <v>1053</v>
      </c>
      <c r="H1601" t="s">
        <v>75</v>
      </c>
      <c r="I1601">
        <v>0</v>
      </c>
      <c r="J1601">
        <v>0</v>
      </c>
      <c r="K1601">
        <v>0</v>
      </c>
      <c r="L1601">
        <v>0</v>
      </c>
      <c r="M1601" t="s">
        <v>76</v>
      </c>
      <c r="N1601" t="s">
        <v>76</v>
      </c>
      <c r="O1601" t="s">
        <v>77</v>
      </c>
      <c r="P1601" t="s">
        <v>76</v>
      </c>
      <c r="S1601" t="s">
        <v>4313</v>
      </c>
    </row>
    <row r="1602" spans="1:19" x14ac:dyDescent="0.3">
      <c r="A1602" t="s">
        <v>4314</v>
      </c>
      <c r="B1602" t="s">
        <v>4315</v>
      </c>
      <c r="C1602" t="s">
        <v>24</v>
      </c>
      <c r="D1602" t="s">
        <v>53</v>
      </c>
      <c r="E1602" t="s">
        <v>54</v>
      </c>
      <c r="F1602" t="s">
        <v>144</v>
      </c>
      <c r="G1602" t="s">
        <v>145</v>
      </c>
      <c r="H1602" t="s">
        <v>26</v>
      </c>
      <c r="I1602">
        <v>0</v>
      </c>
      <c r="J1602">
        <v>0</v>
      </c>
      <c r="K1602">
        <v>0</v>
      </c>
      <c r="L1602">
        <v>0</v>
      </c>
      <c r="M1602" t="s">
        <v>239</v>
      </c>
      <c r="N1602" t="s">
        <v>239</v>
      </c>
      <c r="O1602" t="s">
        <v>240</v>
      </c>
      <c r="P1602" t="s">
        <v>239</v>
      </c>
      <c r="S1602" t="s">
        <v>4315</v>
      </c>
    </row>
    <row r="1603" spans="1:19" x14ac:dyDescent="0.3">
      <c r="A1603" t="s">
        <v>4316</v>
      </c>
      <c r="B1603" t="s">
        <v>4317</v>
      </c>
      <c r="C1603" t="s">
        <v>43</v>
      </c>
      <c r="D1603" t="s">
        <v>63</v>
      </c>
      <c r="E1603" t="s">
        <v>64</v>
      </c>
      <c r="F1603" t="s">
        <v>45</v>
      </c>
      <c r="G1603" t="s">
        <v>43</v>
      </c>
      <c r="H1603" t="s">
        <v>26</v>
      </c>
      <c r="I1603">
        <v>0</v>
      </c>
      <c r="J1603">
        <v>0</v>
      </c>
      <c r="K1603">
        <v>0</v>
      </c>
      <c r="L1603">
        <v>0</v>
      </c>
      <c r="M1603" t="s">
        <v>76</v>
      </c>
      <c r="N1603" t="s">
        <v>76</v>
      </c>
      <c r="O1603" t="s">
        <v>77</v>
      </c>
      <c r="P1603" t="s">
        <v>76</v>
      </c>
      <c r="S1603" t="s">
        <v>4317</v>
      </c>
    </row>
    <row r="1604" spans="1:19" x14ac:dyDescent="0.3">
      <c r="A1604" t="s">
        <v>4318</v>
      </c>
      <c r="B1604" t="s">
        <v>4319</v>
      </c>
      <c r="C1604" t="s">
        <v>24</v>
      </c>
      <c r="D1604" t="s">
        <v>53</v>
      </c>
      <c r="E1604" t="s">
        <v>54</v>
      </c>
      <c r="F1604" t="s">
        <v>144</v>
      </c>
      <c r="G1604" t="s">
        <v>1073</v>
      </c>
      <c r="H1604" t="s">
        <v>26</v>
      </c>
      <c r="I1604">
        <v>0</v>
      </c>
      <c r="J1604">
        <v>0</v>
      </c>
      <c r="K1604">
        <v>0</v>
      </c>
      <c r="L1604">
        <v>0</v>
      </c>
      <c r="M1604" t="s">
        <v>76</v>
      </c>
      <c r="N1604" t="s">
        <v>76</v>
      </c>
      <c r="O1604" t="s">
        <v>77</v>
      </c>
      <c r="P1604" t="s">
        <v>76</v>
      </c>
      <c r="S1604" t="s">
        <v>4319</v>
      </c>
    </row>
    <row r="1605" spans="1:19" x14ac:dyDescent="0.3">
      <c r="A1605" t="s">
        <v>4320</v>
      </c>
      <c r="B1605" t="s">
        <v>4321</v>
      </c>
      <c r="C1605" t="s">
        <v>24</v>
      </c>
      <c r="D1605" t="s">
        <v>63</v>
      </c>
      <c r="E1605" t="s">
        <v>74</v>
      </c>
      <c r="F1605" t="s">
        <v>55</v>
      </c>
      <c r="G1605" t="s">
        <v>56</v>
      </c>
      <c r="H1605" t="s">
        <v>26</v>
      </c>
      <c r="I1605">
        <v>0</v>
      </c>
      <c r="J1605">
        <v>0</v>
      </c>
      <c r="K1605">
        <v>0</v>
      </c>
      <c r="L1605">
        <v>0</v>
      </c>
      <c r="M1605" t="s">
        <v>76</v>
      </c>
      <c r="N1605" t="s">
        <v>76</v>
      </c>
      <c r="O1605" t="s">
        <v>77</v>
      </c>
      <c r="P1605" t="s">
        <v>76</v>
      </c>
      <c r="S1605" t="s">
        <v>4321</v>
      </c>
    </row>
    <row r="1606" spans="1:19" x14ac:dyDescent="0.3">
      <c r="A1606" t="s">
        <v>4322</v>
      </c>
      <c r="B1606" t="s">
        <v>4323</v>
      </c>
      <c r="C1606" t="s">
        <v>21</v>
      </c>
      <c r="D1606" t="s">
        <v>63</v>
      </c>
      <c r="E1606" t="s">
        <v>64</v>
      </c>
      <c r="F1606" t="s">
        <v>24</v>
      </c>
      <c r="G1606" t="s">
        <v>21</v>
      </c>
      <c r="H1606" t="s">
        <v>26</v>
      </c>
      <c r="I1606">
        <v>0</v>
      </c>
      <c r="J1606">
        <v>0</v>
      </c>
      <c r="K1606">
        <v>0</v>
      </c>
      <c r="L1606">
        <v>0</v>
      </c>
      <c r="M1606" t="s">
        <v>76</v>
      </c>
      <c r="N1606" t="s">
        <v>76</v>
      </c>
      <c r="O1606" t="s">
        <v>77</v>
      </c>
      <c r="P1606" t="s">
        <v>76</v>
      </c>
      <c r="S1606" t="s">
        <v>4323</v>
      </c>
    </row>
    <row r="1607" spans="1:19" x14ac:dyDescent="0.3">
      <c r="A1607" t="s">
        <v>4324</v>
      </c>
      <c r="B1607" t="s">
        <v>4325</v>
      </c>
      <c r="C1607" t="s">
        <v>21</v>
      </c>
      <c r="D1607" t="s">
        <v>63</v>
      </c>
      <c r="E1607" t="s">
        <v>74</v>
      </c>
      <c r="F1607" t="s">
        <v>24</v>
      </c>
      <c r="G1607" t="s">
        <v>21</v>
      </c>
      <c r="H1607" t="s">
        <v>26</v>
      </c>
      <c r="I1607">
        <v>0</v>
      </c>
      <c r="J1607">
        <v>0</v>
      </c>
      <c r="K1607">
        <v>0</v>
      </c>
      <c r="L1607">
        <v>0</v>
      </c>
      <c r="M1607" t="s">
        <v>76</v>
      </c>
      <c r="N1607" t="s">
        <v>76</v>
      </c>
      <c r="O1607" t="s">
        <v>77</v>
      </c>
      <c r="P1607" t="s">
        <v>76</v>
      </c>
      <c r="S1607" t="s">
        <v>4325</v>
      </c>
    </row>
    <row r="1608" spans="1:19" x14ac:dyDescent="0.3">
      <c r="A1608" t="s">
        <v>4326</v>
      </c>
      <c r="B1608" t="s">
        <v>4327</v>
      </c>
      <c r="C1608" t="s">
        <v>21</v>
      </c>
      <c r="D1608" t="s">
        <v>63</v>
      </c>
      <c r="E1608" t="s">
        <v>74</v>
      </c>
      <c r="F1608" t="s">
        <v>24</v>
      </c>
      <c r="G1608" t="s">
        <v>21</v>
      </c>
      <c r="H1608" t="s">
        <v>26</v>
      </c>
      <c r="I1608">
        <v>0</v>
      </c>
      <c r="J1608">
        <v>0</v>
      </c>
      <c r="K1608">
        <v>0</v>
      </c>
      <c r="L1608">
        <v>0</v>
      </c>
      <c r="M1608" t="s">
        <v>76</v>
      </c>
      <c r="N1608" t="s">
        <v>76</v>
      </c>
      <c r="O1608" t="s">
        <v>77</v>
      </c>
      <c r="P1608" t="s">
        <v>76</v>
      </c>
      <c r="S1608" t="s">
        <v>4327</v>
      </c>
    </row>
    <row r="1609" spans="1:19" x14ac:dyDescent="0.3">
      <c r="A1609" t="s">
        <v>4328</v>
      </c>
      <c r="B1609" t="s">
        <v>4329</v>
      </c>
      <c r="C1609" t="s">
        <v>24</v>
      </c>
      <c r="D1609" t="s">
        <v>63</v>
      </c>
      <c r="E1609" t="s">
        <v>74</v>
      </c>
      <c r="F1609" t="s">
        <v>24</v>
      </c>
      <c r="G1609" t="s">
        <v>4330</v>
      </c>
      <c r="H1609" t="s">
        <v>26</v>
      </c>
      <c r="I1609">
        <v>0</v>
      </c>
      <c r="J1609">
        <v>0</v>
      </c>
      <c r="K1609">
        <v>0</v>
      </c>
      <c r="L1609">
        <v>0</v>
      </c>
      <c r="M1609" t="s">
        <v>239</v>
      </c>
      <c r="N1609" t="s">
        <v>239</v>
      </c>
      <c r="O1609" t="s">
        <v>240</v>
      </c>
      <c r="P1609" t="s">
        <v>239</v>
      </c>
      <c r="S1609" t="s">
        <v>4329</v>
      </c>
    </row>
    <row r="1610" spans="1:19" x14ac:dyDescent="0.3">
      <c r="A1610" t="s">
        <v>4330</v>
      </c>
      <c r="B1610" t="s">
        <v>4331</v>
      </c>
      <c r="C1610" t="s">
        <v>24</v>
      </c>
      <c r="D1610" t="s">
        <v>63</v>
      </c>
      <c r="E1610" t="s">
        <v>74</v>
      </c>
      <c r="F1610" t="s">
        <v>24</v>
      </c>
      <c r="G1610" t="s">
        <v>4330</v>
      </c>
      <c r="H1610" t="s">
        <v>26</v>
      </c>
      <c r="I1610">
        <v>0</v>
      </c>
      <c r="J1610">
        <v>0</v>
      </c>
      <c r="K1610">
        <v>0</v>
      </c>
      <c r="L1610">
        <v>0</v>
      </c>
      <c r="M1610" t="s">
        <v>239</v>
      </c>
      <c r="N1610" t="s">
        <v>239</v>
      </c>
      <c r="O1610" t="s">
        <v>240</v>
      </c>
      <c r="P1610" t="s">
        <v>239</v>
      </c>
      <c r="S1610" t="s">
        <v>4331</v>
      </c>
    </row>
    <row r="1611" spans="1:19" x14ac:dyDescent="0.3">
      <c r="A1611" t="s">
        <v>4332</v>
      </c>
      <c r="B1611" t="s">
        <v>4333</v>
      </c>
      <c r="C1611" t="s">
        <v>314</v>
      </c>
      <c r="D1611" t="s">
        <v>63</v>
      </c>
      <c r="E1611" t="s">
        <v>74</v>
      </c>
      <c r="F1611" t="s">
        <v>314</v>
      </c>
      <c r="G1611" t="s">
        <v>4332</v>
      </c>
      <c r="H1611" t="s">
        <v>213</v>
      </c>
      <c r="I1611">
        <v>0</v>
      </c>
      <c r="J1611">
        <v>0</v>
      </c>
      <c r="K1611">
        <v>0</v>
      </c>
      <c r="L1611">
        <v>0</v>
      </c>
      <c r="M1611" t="s">
        <v>76</v>
      </c>
      <c r="N1611" t="s">
        <v>76</v>
      </c>
      <c r="O1611" t="s">
        <v>77</v>
      </c>
      <c r="P1611" t="s">
        <v>76</v>
      </c>
      <c r="S1611" t="s">
        <v>4333</v>
      </c>
    </row>
    <row r="1612" spans="1:19" x14ac:dyDescent="0.3">
      <c r="A1612" t="s">
        <v>4334</v>
      </c>
      <c r="B1612" t="s">
        <v>4335</v>
      </c>
      <c r="C1612" t="s">
        <v>24</v>
      </c>
      <c r="D1612" t="s">
        <v>63</v>
      </c>
      <c r="E1612" t="s">
        <v>74</v>
      </c>
      <c r="F1612" t="s">
        <v>24</v>
      </c>
      <c r="G1612" t="s">
        <v>4336</v>
      </c>
      <c r="H1612" t="s">
        <v>26</v>
      </c>
      <c r="I1612">
        <v>0</v>
      </c>
      <c r="J1612">
        <v>0</v>
      </c>
      <c r="K1612">
        <v>0</v>
      </c>
      <c r="L1612">
        <v>0</v>
      </c>
      <c r="M1612" t="s">
        <v>76</v>
      </c>
      <c r="N1612" t="s">
        <v>76</v>
      </c>
      <c r="O1612" t="s">
        <v>77</v>
      </c>
      <c r="P1612" t="s">
        <v>76</v>
      </c>
      <c r="S1612" t="s">
        <v>4335</v>
      </c>
    </row>
    <row r="1613" spans="1:19" x14ac:dyDescent="0.3">
      <c r="A1613" t="s">
        <v>4337</v>
      </c>
      <c r="B1613" t="s">
        <v>4338</v>
      </c>
      <c r="C1613" t="s">
        <v>24</v>
      </c>
      <c r="D1613" t="s">
        <v>63</v>
      </c>
      <c r="E1613" t="s">
        <v>74</v>
      </c>
      <c r="F1613" t="s">
        <v>24</v>
      </c>
      <c r="G1613" t="s">
        <v>4339</v>
      </c>
      <c r="H1613" t="s">
        <v>26</v>
      </c>
      <c r="I1613">
        <v>0</v>
      </c>
      <c r="J1613">
        <v>0</v>
      </c>
      <c r="K1613">
        <v>0</v>
      </c>
      <c r="L1613">
        <v>0</v>
      </c>
      <c r="M1613" t="s">
        <v>76</v>
      </c>
      <c r="N1613" t="s">
        <v>76</v>
      </c>
      <c r="O1613" t="s">
        <v>77</v>
      </c>
      <c r="P1613" t="s">
        <v>76</v>
      </c>
      <c r="S1613" t="s">
        <v>4338</v>
      </c>
    </row>
    <row r="1614" spans="1:19" x14ac:dyDescent="0.3">
      <c r="A1614" t="s">
        <v>4340</v>
      </c>
      <c r="B1614" t="s">
        <v>4341</v>
      </c>
      <c r="C1614" t="s">
        <v>24</v>
      </c>
      <c r="D1614" t="s">
        <v>63</v>
      </c>
      <c r="E1614" t="s">
        <v>74</v>
      </c>
      <c r="F1614" t="s">
        <v>24</v>
      </c>
      <c r="G1614" t="s">
        <v>4342</v>
      </c>
      <c r="H1614" t="s">
        <v>26</v>
      </c>
      <c r="I1614">
        <v>0</v>
      </c>
      <c r="J1614">
        <v>0</v>
      </c>
      <c r="K1614">
        <v>0</v>
      </c>
      <c r="L1614">
        <v>0</v>
      </c>
      <c r="M1614" t="s">
        <v>76</v>
      </c>
      <c r="N1614" t="s">
        <v>76</v>
      </c>
      <c r="O1614" t="s">
        <v>77</v>
      </c>
      <c r="P1614" t="s">
        <v>76</v>
      </c>
      <c r="S1614" t="s">
        <v>4341</v>
      </c>
    </row>
    <row r="1615" spans="1:19" x14ac:dyDescent="0.3">
      <c r="A1615" t="s">
        <v>4343</v>
      </c>
      <c r="B1615" t="s">
        <v>4344</v>
      </c>
      <c r="C1615" t="s">
        <v>314</v>
      </c>
      <c r="D1615" t="s">
        <v>63</v>
      </c>
      <c r="E1615" t="s">
        <v>74</v>
      </c>
      <c r="F1615" t="s">
        <v>314</v>
      </c>
      <c r="G1615" t="s">
        <v>4345</v>
      </c>
      <c r="H1615" t="s">
        <v>213</v>
      </c>
      <c r="I1615">
        <v>0</v>
      </c>
      <c r="J1615">
        <v>0</v>
      </c>
      <c r="K1615">
        <v>0</v>
      </c>
      <c r="L1615">
        <v>0</v>
      </c>
      <c r="M1615" t="s">
        <v>76</v>
      </c>
      <c r="N1615" t="s">
        <v>76</v>
      </c>
      <c r="O1615" t="s">
        <v>77</v>
      </c>
      <c r="P1615" t="s">
        <v>76</v>
      </c>
      <c r="S1615" t="s">
        <v>4344</v>
      </c>
    </row>
    <row r="1616" spans="1:19" x14ac:dyDescent="0.3">
      <c r="A1616" t="s">
        <v>4346</v>
      </c>
      <c r="B1616" t="s">
        <v>4347</v>
      </c>
      <c r="C1616" t="s">
        <v>314</v>
      </c>
      <c r="D1616" t="s">
        <v>63</v>
      </c>
      <c r="E1616" t="s">
        <v>315</v>
      </c>
      <c r="F1616" t="s">
        <v>314</v>
      </c>
      <c r="G1616" t="s">
        <v>4348</v>
      </c>
      <c r="H1616" t="s">
        <v>213</v>
      </c>
      <c r="I1616">
        <v>0</v>
      </c>
      <c r="J1616">
        <v>0</v>
      </c>
      <c r="K1616">
        <v>0</v>
      </c>
      <c r="L1616">
        <v>0</v>
      </c>
      <c r="M1616" t="s">
        <v>76</v>
      </c>
      <c r="N1616" t="s">
        <v>76</v>
      </c>
      <c r="O1616" t="s">
        <v>77</v>
      </c>
      <c r="P1616" t="s">
        <v>76</v>
      </c>
      <c r="S1616" t="s">
        <v>4347</v>
      </c>
    </row>
    <row r="1617" spans="1:19" x14ac:dyDescent="0.3">
      <c r="A1617" t="s">
        <v>4349</v>
      </c>
      <c r="B1617" t="s">
        <v>4350</v>
      </c>
      <c r="C1617" t="s">
        <v>314</v>
      </c>
      <c r="D1617" t="s">
        <v>63</v>
      </c>
      <c r="E1617" t="s">
        <v>315</v>
      </c>
      <c r="F1617" t="s">
        <v>314</v>
      </c>
      <c r="G1617" t="s">
        <v>4351</v>
      </c>
      <c r="H1617" t="s">
        <v>317</v>
      </c>
      <c r="I1617">
        <v>0</v>
      </c>
      <c r="J1617">
        <v>0</v>
      </c>
      <c r="K1617">
        <v>0</v>
      </c>
      <c r="L1617">
        <v>0</v>
      </c>
      <c r="M1617" t="s">
        <v>76</v>
      </c>
      <c r="N1617" t="s">
        <v>76</v>
      </c>
      <c r="O1617" t="s">
        <v>77</v>
      </c>
      <c r="P1617" t="s">
        <v>76</v>
      </c>
      <c r="S1617" t="s">
        <v>4350</v>
      </c>
    </row>
    <row r="1618" spans="1:19" x14ac:dyDescent="0.3">
      <c r="A1618" t="s">
        <v>4352</v>
      </c>
      <c r="B1618" t="s">
        <v>4353</v>
      </c>
      <c r="C1618" t="s">
        <v>314</v>
      </c>
      <c r="D1618" t="s">
        <v>63</v>
      </c>
      <c r="E1618" t="s">
        <v>74</v>
      </c>
      <c r="F1618" t="s">
        <v>314</v>
      </c>
      <c r="G1618" t="s">
        <v>4354</v>
      </c>
      <c r="H1618" t="s">
        <v>213</v>
      </c>
      <c r="I1618">
        <v>0</v>
      </c>
      <c r="J1618">
        <v>0</v>
      </c>
      <c r="K1618">
        <v>0</v>
      </c>
      <c r="L1618">
        <v>0</v>
      </c>
      <c r="M1618" t="s">
        <v>76</v>
      </c>
      <c r="N1618" t="s">
        <v>76</v>
      </c>
      <c r="O1618" t="s">
        <v>77</v>
      </c>
      <c r="P1618" t="s">
        <v>76</v>
      </c>
      <c r="S1618" t="s">
        <v>4353</v>
      </c>
    </row>
    <row r="1619" spans="1:19" x14ac:dyDescent="0.3">
      <c r="A1619" t="s">
        <v>4355</v>
      </c>
      <c r="B1619" t="s">
        <v>4356</v>
      </c>
      <c r="C1619" t="s">
        <v>307</v>
      </c>
      <c r="D1619" t="s">
        <v>35</v>
      </c>
      <c r="E1619" t="s">
        <v>44</v>
      </c>
      <c r="F1619" t="s">
        <v>251</v>
      </c>
      <c r="G1619" t="s">
        <v>307</v>
      </c>
      <c r="H1619" t="s">
        <v>75</v>
      </c>
      <c r="I1619">
        <v>0</v>
      </c>
      <c r="J1619">
        <v>0</v>
      </c>
      <c r="K1619">
        <v>0</v>
      </c>
      <c r="L1619">
        <v>0</v>
      </c>
      <c r="M1619" t="s">
        <v>76</v>
      </c>
      <c r="N1619" t="s">
        <v>76</v>
      </c>
      <c r="O1619" t="s">
        <v>77</v>
      </c>
      <c r="P1619" t="s">
        <v>76</v>
      </c>
      <c r="S1619" t="s">
        <v>4356</v>
      </c>
    </row>
    <row r="1620" spans="1:19" x14ac:dyDescent="0.3">
      <c r="A1620" t="s">
        <v>4357</v>
      </c>
      <c r="B1620" t="s">
        <v>4358</v>
      </c>
      <c r="C1620" t="s">
        <v>24</v>
      </c>
      <c r="D1620" t="s">
        <v>63</v>
      </c>
      <c r="E1620" t="s">
        <v>74</v>
      </c>
      <c r="F1620" t="s">
        <v>24</v>
      </c>
      <c r="G1620" t="s">
        <v>4357</v>
      </c>
      <c r="H1620" t="s">
        <v>26</v>
      </c>
      <c r="I1620">
        <v>0</v>
      </c>
      <c r="J1620">
        <v>0</v>
      </c>
      <c r="K1620">
        <v>0</v>
      </c>
      <c r="L1620">
        <v>0</v>
      </c>
      <c r="M1620" t="s">
        <v>76</v>
      </c>
      <c r="N1620" t="s">
        <v>76</v>
      </c>
      <c r="O1620" t="s">
        <v>77</v>
      </c>
      <c r="P1620" t="s">
        <v>76</v>
      </c>
      <c r="S1620" t="s">
        <v>4358</v>
      </c>
    </row>
    <row r="1621" spans="1:19" x14ac:dyDescent="0.3">
      <c r="A1621" t="s">
        <v>4359</v>
      </c>
      <c r="B1621" t="s">
        <v>4360</v>
      </c>
      <c r="C1621" t="s">
        <v>24</v>
      </c>
      <c r="D1621" t="s">
        <v>63</v>
      </c>
      <c r="E1621" t="s">
        <v>74</v>
      </c>
      <c r="F1621" t="s">
        <v>24</v>
      </c>
      <c r="G1621" t="s">
        <v>4359</v>
      </c>
      <c r="H1621" t="s">
        <v>26</v>
      </c>
      <c r="I1621">
        <v>0</v>
      </c>
      <c r="J1621">
        <v>0</v>
      </c>
      <c r="K1621">
        <v>0</v>
      </c>
      <c r="L1621">
        <v>0</v>
      </c>
      <c r="M1621" t="s">
        <v>76</v>
      </c>
      <c r="N1621" t="s">
        <v>76</v>
      </c>
      <c r="O1621" t="s">
        <v>77</v>
      </c>
      <c r="P1621" t="s">
        <v>76</v>
      </c>
      <c r="S1621" t="s">
        <v>4360</v>
      </c>
    </row>
    <row r="1622" spans="1:19" x14ac:dyDescent="0.3">
      <c r="A1622" t="s">
        <v>4339</v>
      </c>
      <c r="B1622" t="s">
        <v>4361</v>
      </c>
      <c r="C1622" t="s">
        <v>24</v>
      </c>
      <c r="D1622" t="s">
        <v>63</v>
      </c>
      <c r="E1622" t="s">
        <v>74</v>
      </c>
      <c r="F1622" t="s">
        <v>24</v>
      </c>
      <c r="G1622" t="s">
        <v>4339</v>
      </c>
      <c r="H1622" t="s">
        <v>26</v>
      </c>
      <c r="I1622">
        <v>0</v>
      </c>
      <c r="J1622">
        <v>0</v>
      </c>
      <c r="K1622">
        <v>0</v>
      </c>
      <c r="L1622">
        <v>0</v>
      </c>
      <c r="M1622" t="s">
        <v>239</v>
      </c>
      <c r="N1622" t="s">
        <v>239</v>
      </c>
      <c r="O1622" t="s">
        <v>240</v>
      </c>
      <c r="P1622" t="s">
        <v>239</v>
      </c>
      <c r="S1622" t="s">
        <v>4361</v>
      </c>
    </row>
    <row r="1623" spans="1:19" x14ac:dyDescent="0.3">
      <c r="A1623" t="s">
        <v>4362</v>
      </c>
      <c r="B1623" t="s">
        <v>4363</v>
      </c>
      <c r="C1623" t="s">
        <v>24</v>
      </c>
      <c r="D1623" t="s">
        <v>63</v>
      </c>
      <c r="E1623" t="s">
        <v>74</v>
      </c>
      <c r="F1623" t="s">
        <v>24</v>
      </c>
      <c r="G1623" t="s">
        <v>4362</v>
      </c>
      <c r="H1623" t="s">
        <v>26</v>
      </c>
      <c r="I1623">
        <v>0</v>
      </c>
      <c r="J1623">
        <v>0</v>
      </c>
      <c r="K1623">
        <v>0</v>
      </c>
      <c r="L1623">
        <v>0</v>
      </c>
      <c r="M1623" t="s">
        <v>121</v>
      </c>
      <c r="N1623" t="s">
        <v>122</v>
      </c>
      <c r="O1623" t="s">
        <v>123</v>
      </c>
      <c r="P1623" t="s">
        <v>124</v>
      </c>
      <c r="Q1623" t="s">
        <v>592</v>
      </c>
      <c r="R1623" t="s">
        <v>593</v>
      </c>
      <c r="S1623" t="s">
        <v>4363</v>
      </c>
    </row>
    <row r="1624" spans="1:19" x14ac:dyDescent="0.3">
      <c r="A1624" t="s">
        <v>4364</v>
      </c>
      <c r="B1624" t="s">
        <v>4365</v>
      </c>
      <c r="C1624" t="s">
        <v>24</v>
      </c>
      <c r="D1624" t="s">
        <v>35</v>
      </c>
      <c r="E1624" t="s">
        <v>560</v>
      </c>
      <c r="F1624" t="s">
        <v>24</v>
      </c>
      <c r="G1624" t="s">
        <v>4364</v>
      </c>
      <c r="H1624" t="s">
        <v>26</v>
      </c>
      <c r="I1624">
        <v>0</v>
      </c>
      <c r="J1624">
        <v>0</v>
      </c>
      <c r="K1624">
        <v>0</v>
      </c>
      <c r="L1624">
        <v>0</v>
      </c>
      <c r="M1624" t="s">
        <v>239</v>
      </c>
      <c r="N1624" t="s">
        <v>239</v>
      </c>
      <c r="O1624" t="s">
        <v>240</v>
      </c>
      <c r="P1624" t="s">
        <v>239</v>
      </c>
      <c r="S1624" t="s">
        <v>4365</v>
      </c>
    </row>
    <row r="1625" spans="1:19" x14ac:dyDescent="0.3">
      <c r="A1625" t="s">
        <v>4366</v>
      </c>
      <c r="B1625" t="s">
        <v>4367</v>
      </c>
      <c r="C1625" t="s">
        <v>243</v>
      </c>
      <c r="D1625" t="s">
        <v>63</v>
      </c>
      <c r="E1625" t="s">
        <v>74</v>
      </c>
      <c r="F1625" t="s">
        <v>243</v>
      </c>
      <c r="G1625" t="s">
        <v>244</v>
      </c>
      <c r="H1625" t="s">
        <v>75</v>
      </c>
      <c r="I1625">
        <v>0</v>
      </c>
      <c r="J1625">
        <v>0</v>
      </c>
      <c r="K1625">
        <v>0</v>
      </c>
      <c r="L1625">
        <v>0</v>
      </c>
      <c r="M1625" t="s">
        <v>76</v>
      </c>
      <c r="N1625" t="s">
        <v>76</v>
      </c>
      <c r="O1625" t="s">
        <v>77</v>
      </c>
      <c r="P1625" t="s">
        <v>76</v>
      </c>
      <c r="S1625" t="s">
        <v>4367</v>
      </c>
    </row>
    <row r="1626" spans="1:19" x14ac:dyDescent="0.3">
      <c r="A1626" t="s">
        <v>4368</v>
      </c>
      <c r="B1626" t="s">
        <v>4369</v>
      </c>
      <c r="C1626" t="s">
        <v>314</v>
      </c>
      <c r="D1626" t="s">
        <v>63</v>
      </c>
      <c r="E1626" t="s">
        <v>1751</v>
      </c>
      <c r="F1626" t="s">
        <v>314</v>
      </c>
      <c r="G1626" t="s">
        <v>4370</v>
      </c>
      <c r="H1626" t="s">
        <v>213</v>
      </c>
      <c r="I1626">
        <v>0</v>
      </c>
      <c r="J1626">
        <v>0</v>
      </c>
      <c r="K1626">
        <v>0</v>
      </c>
      <c r="L1626">
        <v>0</v>
      </c>
      <c r="M1626" t="s">
        <v>76</v>
      </c>
      <c r="N1626" t="s">
        <v>76</v>
      </c>
      <c r="O1626" t="s">
        <v>77</v>
      </c>
      <c r="P1626" t="s">
        <v>76</v>
      </c>
      <c r="S1626" t="s">
        <v>4369</v>
      </c>
    </row>
    <row r="1627" spans="1:19" x14ac:dyDescent="0.3">
      <c r="A1627" t="s">
        <v>4371</v>
      </c>
      <c r="B1627" t="s">
        <v>4372</v>
      </c>
      <c r="C1627" t="s">
        <v>196</v>
      </c>
      <c r="D1627" t="s">
        <v>63</v>
      </c>
      <c r="E1627" t="s">
        <v>74</v>
      </c>
      <c r="F1627" t="s">
        <v>228</v>
      </c>
      <c r="G1627" t="s">
        <v>196</v>
      </c>
      <c r="H1627" t="s">
        <v>75</v>
      </c>
      <c r="I1627">
        <v>0</v>
      </c>
      <c r="J1627">
        <v>0</v>
      </c>
      <c r="K1627">
        <v>0</v>
      </c>
      <c r="L1627">
        <v>0</v>
      </c>
      <c r="M1627" t="s">
        <v>76</v>
      </c>
      <c r="N1627" t="s">
        <v>76</v>
      </c>
      <c r="O1627" t="s">
        <v>77</v>
      </c>
      <c r="P1627" t="s">
        <v>76</v>
      </c>
      <c r="S1627" t="s">
        <v>4372</v>
      </c>
    </row>
    <row r="1628" spans="1:19" x14ac:dyDescent="0.3">
      <c r="A1628" t="s">
        <v>4373</v>
      </c>
      <c r="B1628" t="s">
        <v>4374</v>
      </c>
      <c r="C1628" t="s">
        <v>114</v>
      </c>
      <c r="D1628" t="s">
        <v>63</v>
      </c>
      <c r="E1628" t="s">
        <v>74</v>
      </c>
      <c r="F1628" t="s">
        <v>114</v>
      </c>
      <c r="G1628" t="s">
        <v>362</v>
      </c>
      <c r="H1628" t="s">
        <v>317</v>
      </c>
      <c r="I1628">
        <v>0</v>
      </c>
      <c r="J1628">
        <v>0</v>
      </c>
      <c r="K1628">
        <v>0</v>
      </c>
      <c r="L1628">
        <v>0</v>
      </c>
      <c r="M1628" t="s">
        <v>76</v>
      </c>
      <c r="N1628" t="s">
        <v>76</v>
      </c>
      <c r="O1628" t="s">
        <v>77</v>
      </c>
      <c r="P1628" t="s">
        <v>76</v>
      </c>
      <c r="S1628" t="s">
        <v>4374</v>
      </c>
    </row>
    <row r="1629" spans="1:19" x14ac:dyDescent="0.3">
      <c r="A1629" t="s">
        <v>4375</v>
      </c>
      <c r="B1629" t="s">
        <v>4376</v>
      </c>
      <c r="C1629" t="s">
        <v>314</v>
      </c>
      <c r="D1629" t="s">
        <v>63</v>
      </c>
      <c r="E1629" t="s">
        <v>323</v>
      </c>
      <c r="F1629" t="s">
        <v>314</v>
      </c>
      <c r="G1629" t="s">
        <v>4377</v>
      </c>
      <c r="H1629" t="s">
        <v>213</v>
      </c>
      <c r="I1629">
        <v>0</v>
      </c>
      <c r="J1629">
        <v>0</v>
      </c>
      <c r="K1629">
        <v>0</v>
      </c>
      <c r="L1629">
        <v>0</v>
      </c>
      <c r="M1629" t="s">
        <v>76</v>
      </c>
      <c r="N1629" t="s">
        <v>76</v>
      </c>
      <c r="O1629" t="s">
        <v>77</v>
      </c>
      <c r="P1629" t="s">
        <v>76</v>
      </c>
      <c r="S1629" t="s">
        <v>4376</v>
      </c>
    </row>
    <row r="1630" spans="1:19" x14ac:dyDescent="0.3">
      <c r="A1630" t="s">
        <v>4378</v>
      </c>
      <c r="B1630" t="s">
        <v>4379</v>
      </c>
      <c r="C1630" t="s">
        <v>24</v>
      </c>
      <c r="D1630" t="s">
        <v>53</v>
      </c>
      <c r="E1630" t="s">
        <v>560</v>
      </c>
      <c r="F1630" t="s">
        <v>24</v>
      </c>
      <c r="G1630" t="s">
        <v>4378</v>
      </c>
      <c r="H1630" t="s">
        <v>213</v>
      </c>
      <c r="I1630">
        <v>0</v>
      </c>
      <c r="J1630">
        <v>0</v>
      </c>
      <c r="K1630">
        <v>0</v>
      </c>
      <c r="L1630">
        <v>0</v>
      </c>
      <c r="M1630" t="s">
        <v>76</v>
      </c>
      <c r="N1630" t="s">
        <v>76</v>
      </c>
      <c r="O1630" t="s">
        <v>77</v>
      </c>
      <c r="P1630" t="s">
        <v>76</v>
      </c>
      <c r="S1630" t="s">
        <v>4379</v>
      </c>
    </row>
    <row r="1631" spans="1:19" x14ac:dyDescent="0.3">
      <c r="A1631" t="s">
        <v>4380</v>
      </c>
      <c r="B1631" t="s">
        <v>4381</v>
      </c>
      <c r="C1631" t="s">
        <v>24</v>
      </c>
      <c r="D1631" t="s">
        <v>35</v>
      </c>
      <c r="E1631" t="s">
        <v>389</v>
      </c>
      <c r="F1631" t="s">
        <v>45</v>
      </c>
      <c r="G1631" t="s">
        <v>701</v>
      </c>
      <c r="H1631" t="s">
        <v>213</v>
      </c>
      <c r="I1631">
        <v>0</v>
      </c>
      <c r="J1631">
        <v>0</v>
      </c>
      <c r="K1631">
        <v>0</v>
      </c>
      <c r="L1631">
        <v>0</v>
      </c>
      <c r="M1631" t="s">
        <v>76</v>
      </c>
      <c r="N1631" t="s">
        <v>76</v>
      </c>
      <c r="O1631" t="s">
        <v>77</v>
      </c>
      <c r="P1631" t="s">
        <v>76</v>
      </c>
      <c r="S1631" t="s">
        <v>4381</v>
      </c>
    </row>
    <row r="1632" spans="1:19" x14ac:dyDescent="0.3">
      <c r="A1632" t="s">
        <v>4382</v>
      </c>
      <c r="B1632" t="s">
        <v>4383</v>
      </c>
      <c r="C1632" t="s">
        <v>73</v>
      </c>
      <c r="D1632" t="s">
        <v>63</v>
      </c>
      <c r="E1632" t="s">
        <v>74</v>
      </c>
      <c r="F1632" t="s">
        <v>73</v>
      </c>
      <c r="G1632" t="s">
        <v>741</v>
      </c>
      <c r="H1632" t="s">
        <v>75</v>
      </c>
      <c r="I1632">
        <v>0</v>
      </c>
      <c r="J1632">
        <v>0</v>
      </c>
      <c r="K1632">
        <v>0</v>
      </c>
      <c r="L1632">
        <v>0</v>
      </c>
      <c r="M1632" t="s">
        <v>76</v>
      </c>
      <c r="N1632" t="s">
        <v>76</v>
      </c>
      <c r="O1632" t="s">
        <v>77</v>
      </c>
      <c r="P1632" t="s">
        <v>76</v>
      </c>
      <c r="S1632" t="s">
        <v>4383</v>
      </c>
    </row>
    <row r="1633" spans="1:19" x14ac:dyDescent="0.3">
      <c r="A1633" t="s">
        <v>4384</v>
      </c>
      <c r="B1633" t="s">
        <v>4385</v>
      </c>
      <c r="C1633" t="s">
        <v>73</v>
      </c>
      <c r="D1633" t="s">
        <v>63</v>
      </c>
      <c r="E1633" t="s">
        <v>74</v>
      </c>
      <c r="F1633" t="s">
        <v>73</v>
      </c>
      <c r="G1633" t="s">
        <v>741</v>
      </c>
      <c r="H1633" t="s">
        <v>75</v>
      </c>
      <c r="I1633">
        <v>0</v>
      </c>
      <c r="J1633">
        <v>0</v>
      </c>
      <c r="K1633">
        <v>0</v>
      </c>
      <c r="L1633">
        <v>0</v>
      </c>
      <c r="M1633" t="s">
        <v>76</v>
      </c>
      <c r="N1633" t="s">
        <v>76</v>
      </c>
      <c r="O1633" t="s">
        <v>77</v>
      </c>
      <c r="P1633" t="s">
        <v>76</v>
      </c>
      <c r="S1633" t="s">
        <v>4385</v>
      </c>
    </row>
    <row r="1634" spans="1:19" x14ac:dyDescent="0.3">
      <c r="A1634" t="s">
        <v>4386</v>
      </c>
      <c r="B1634" t="s">
        <v>4387</v>
      </c>
      <c r="C1634" t="s">
        <v>243</v>
      </c>
      <c r="D1634" t="s">
        <v>63</v>
      </c>
      <c r="F1634" t="s">
        <v>243</v>
      </c>
      <c r="G1634" t="s">
        <v>4388</v>
      </c>
      <c r="H1634" t="s">
        <v>317</v>
      </c>
      <c r="I1634">
        <v>0</v>
      </c>
      <c r="J1634">
        <v>0</v>
      </c>
      <c r="K1634">
        <v>0</v>
      </c>
      <c r="L1634">
        <v>0</v>
      </c>
      <c r="S1634" t="s">
        <v>4387</v>
      </c>
    </row>
    <row r="1635" spans="1:19" x14ac:dyDescent="0.3">
      <c r="A1635" t="s">
        <v>4389</v>
      </c>
      <c r="B1635" t="s">
        <v>4390</v>
      </c>
      <c r="C1635" t="s">
        <v>43</v>
      </c>
      <c r="D1635" t="s">
        <v>63</v>
      </c>
      <c r="E1635" t="s">
        <v>74</v>
      </c>
      <c r="F1635" t="s">
        <v>45</v>
      </c>
      <c r="G1635" t="s">
        <v>43</v>
      </c>
      <c r="H1635" t="s">
        <v>26</v>
      </c>
      <c r="I1635">
        <v>0</v>
      </c>
      <c r="J1635">
        <v>0</v>
      </c>
      <c r="K1635">
        <v>0</v>
      </c>
      <c r="L1635">
        <v>0</v>
      </c>
      <c r="M1635" t="s">
        <v>76</v>
      </c>
      <c r="N1635" t="s">
        <v>76</v>
      </c>
      <c r="O1635" t="s">
        <v>77</v>
      </c>
      <c r="P1635" t="s">
        <v>76</v>
      </c>
      <c r="S1635" t="s">
        <v>4390</v>
      </c>
    </row>
    <row r="1636" spans="1:19" x14ac:dyDescent="0.3">
      <c r="A1636" t="s">
        <v>4391</v>
      </c>
      <c r="B1636" t="s">
        <v>4392</v>
      </c>
      <c r="C1636" t="s">
        <v>43</v>
      </c>
      <c r="D1636" t="s">
        <v>63</v>
      </c>
      <c r="E1636" t="s">
        <v>74</v>
      </c>
      <c r="F1636" t="s">
        <v>45</v>
      </c>
      <c r="G1636" t="s">
        <v>43</v>
      </c>
      <c r="H1636" t="s">
        <v>26</v>
      </c>
      <c r="I1636">
        <v>0</v>
      </c>
      <c r="J1636">
        <v>0</v>
      </c>
      <c r="K1636">
        <v>0</v>
      </c>
      <c r="L1636">
        <v>0</v>
      </c>
      <c r="M1636" t="s">
        <v>76</v>
      </c>
      <c r="N1636" t="s">
        <v>76</v>
      </c>
      <c r="O1636" t="s">
        <v>77</v>
      </c>
      <c r="P1636" t="s">
        <v>76</v>
      </c>
      <c r="S1636" t="s">
        <v>4392</v>
      </c>
    </row>
    <row r="1637" spans="1:19" x14ac:dyDescent="0.3">
      <c r="A1637" t="s">
        <v>4393</v>
      </c>
      <c r="B1637" t="s">
        <v>4394</v>
      </c>
      <c r="C1637" t="s">
        <v>45</v>
      </c>
      <c r="D1637" t="s">
        <v>63</v>
      </c>
      <c r="E1637" t="s">
        <v>323</v>
      </c>
      <c r="F1637" t="s">
        <v>45</v>
      </c>
      <c r="G1637" t="s">
        <v>4395</v>
      </c>
      <c r="H1637" t="s">
        <v>213</v>
      </c>
      <c r="I1637">
        <v>0</v>
      </c>
      <c r="J1637">
        <v>0</v>
      </c>
      <c r="K1637">
        <v>0</v>
      </c>
      <c r="L1637">
        <v>0</v>
      </c>
      <c r="M1637" t="s">
        <v>76</v>
      </c>
      <c r="N1637" t="s">
        <v>76</v>
      </c>
      <c r="O1637" t="s">
        <v>77</v>
      </c>
      <c r="P1637" t="s">
        <v>76</v>
      </c>
      <c r="S1637" t="s">
        <v>4394</v>
      </c>
    </row>
    <row r="1638" spans="1:19" x14ac:dyDescent="0.3">
      <c r="A1638" t="s">
        <v>4396</v>
      </c>
      <c r="B1638" t="s">
        <v>4397</v>
      </c>
      <c r="C1638" t="s">
        <v>43</v>
      </c>
      <c r="D1638" t="s">
        <v>63</v>
      </c>
      <c r="E1638" t="s">
        <v>74</v>
      </c>
      <c r="F1638" t="s">
        <v>45</v>
      </c>
      <c r="G1638" t="s">
        <v>43</v>
      </c>
      <c r="H1638" t="s">
        <v>26</v>
      </c>
      <c r="I1638">
        <v>0</v>
      </c>
      <c r="J1638">
        <v>0</v>
      </c>
      <c r="K1638">
        <v>0</v>
      </c>
      <c r="L1638">
        <v>0</v>
      </c>
      <c r="M1638" t="s">
        <v>76</v>
      </c>
      <c r="N1638" t="s">
        <v>76</v>
      </c>
      <c r="O1638" t="s">
        <v>77</v>
      </c>
      <c r="P1638" t="s">
        <v>76</v>
      </c>
      <c r="S1638" t="s">
        <v>4397</v>
      </c>
    </row>
    <row r="1639" spans="1:19" x14ac:dyDescent="0.3">
      <c r="A1639" t="s">
        <v>4398</v>
      </c>
      <c r="B1639" t="s">
        <v>4399</v>
      </c>
      <c r="C1639" t="s">
        <v>24</v>
      </c>
      <c r="D1639" t="s">
        <v>53</v>
      </c>
      <c r="E1639" t="s">
        <v>54</v>
      </c>
      <c r="F1639" t="s">
        <v>109</v>
      </c>
      <c r="G1639" t="s">
        <v>879</v>
      </c>
      <c r="H1639" t="s">
        <v>26</v>
      </c>
      <c r="I1639">
        <v>0</v>
      </c>
      <c r="J1639">
        <v>0</v>
      </c>
      <c r="K1639">
        <v>0</v>
      </c>
      <c r="L1639">
        <v>0</v>
      </c>
      <c r="M1639" t="s">
        <v>76</v>
      </c>
      <c r="N1639" t="s">
        <v>76</v>
      </c>
      <c r="O1639" t="s">
        <v>77</v>
      </c>
      <c r="P1639" t="s">
        <v>76</v>
      </c>
      <c r="S1639" t="s">
        <v>4399</v>
      </c>
    </row>
    <row r="1640" spans="1:19" x14ac:dyDescent="0.3">
      <c r="A1640" t="s">
        <v>4400</v>
      </c>
      <c r="B1640" t="s">
        <v>4401</v>
      </c>
      <c r="C1640" t="s">
        <v>43</v>
      </c>
      <c r="D1640" t="s">
        <v>63</v>
      </c>
      <c r="E1640" t="s">
        <v>74</v>
      </c>
      <c r="F1640" t="s">
        <v>45</v>
      </c>
      <c r="G1640" t="s">
        <v>43</v>
      </c>
      <c r="H1640" t="s">
        <v>26</v>
      </c>
      <c r="I1640">
        <v>0</v>
      </c>
      <c r="J1640">
        <v>0</v>
      </c>
      <c r="K1640">
        <v>0</v>
      </c>
      <c r="L1640">
        <v>0</v>
      </c>
      <c r="M1640" t="s">
        <v>76</v>
      </c>
      <c r="N1640" t="s">
        <v>76</v>
      </c>
      <c r="O1640" t="s">
        <v>77</v>
      </c>
      <c r="P1640" t="s">
        <v>76</v>
      </c>
      <c r="S1640" t="s">
        <v>4401</v>
      </c>
    </row>
    <row r="1641" spans="1:19" x14ac:dyDescent="0.3">
      <c r="A1641" t="s">
        <v>4402</v>
      </c>
      <c r="B1641" t="s">
        <v>4403</v>
      </c>
      <c r="C1641" t="s">
        <v>307</v>
      </c>
      <c r="D1641" t="s">
        <v>63</v>
      </c>
      <c r="E1641" t="s">
        <v>1751</v>
      </c>
      <c r="F1641" t="s">
        <v>251</v>
      </c>
      <c r="G1641" t="s">
        <v>307</v>
      </c>
      <c r="H1641" t="s">
        <v>75</v>
      </c>
      <c r="I1641">
        <v>0</v>
      </c>
      <c r="J1641">
        <v>0</v>
      </c>
      <c r="K1641">
        <v>0</v>
      </c>
      <c r="L1641">
        <v>0</v>
      </c>
      <c r="M1641" t="s">
        <v>76</v>
      </c>
      <c r="N1641" t="s">
        <v>76</v>
      </c>
      <c r="O1641" t="s">
        <v>77</v>
      </c>
      <c r="P1641" t="s">
        <v>76</v>
      </c>
      <c r="S1641" t="s">
        <v>4403</v>
      </c>
    </row>
    <row r="1642" spans="1:19" x14ac:dyDescent="0.3">
      <c r="A1642" t="s">
        <v>4404</v>
      </c>
      <c r="B1642" t="s">
        <v>4405</v>
      </c>
      <c r="C1642" t="s">
        <v>196</v>
      </c>
      <c r="D1642" t="s">
        <v>63</v>
      </c>
      <c r="E1642" t="s">
        <v>74</v>
      </c>
      <c r="F1642" t="s">
        <v>228</v>
      </c>
      <c r="G1642" t="s">
        <v>196</v>
      </c>
      <c r="H1642" t="s">
        <v>75</v>
      </c>
      <c r="I1642">
        <v>0</v>
      </c>
      <c r="J1642">
        <v>0</v>
      </c>
      <c r="K1642">
        <v>0</v>
      </c>
      <c r="L1642">
        <v>0</v>
      </c>
      <c r="M1642" t="s">
        <v>76</v>
      </c>
      <c r="N1642" t="s">
        <v>76</v>
      </c>
      <c r="O1642" t="s">
        <v>77</v>
      </c>
      <c r="P1642" t="s">
        <v>76</v>
      </c>
      <c r="S1642" t="s">
        <v>4405</v>
      </c>
    </row>
    <row r="1643" spans="1:19" x14ac:dyDescent="0.3">
      <c r="A1643" t="s">
        <v>4406</v>
      </c>
      <c r="B1643" t="s">
        <v>4407</v>
      </c>
      <c r="C1643" t="s">
        <v>21</v>
      </c>
      <c r="D1643" t="s">
        <v>63</v>
      </c>
      <c r="E1643" t="s">
        <v>74</v>
      </c>
      <c r="F1643" t="s">
        <v>24</v>
      </c>
      <c r="G1643" t="s">
        <v>21</v>
      </c>
      <c r="H1643" t="s">
        <v>26</v>
      </c>
      <c r="I1643">
        <v>0</v>
      </c>
      <c r="J1643">
        <v>0</v>
      </c>
      <c r="K1643">
        <v>0</v>
      </c>
      <c r="L1643">
        <v>0</v>
      </c>
      <c r="M1643" t="s">
        <v>76</v>
      </c>
      <c r="N1643" t="s">
        <v>76</v>
      </c>
      <c r="O1643" t="s">
        <v>77</v>
      </c>
      <c r="P1643" t="s">
        <v>76</v>
      </c>
      <c r="S1643" t="s">
        <v>4407</v>
      </c>
    </row>
    <row r="1644" spans="1:19" x14ac:dyDescent="0.3">
      <c r="A1644" t="s">
        <v>4408</v>
      </c>
      <c r="B1644" t="s">
        <v>4409</v>
      </c>
      <c r="C1644" t="s">
        <v>196</v>
      </c>
      <c r="D1644" t="s">
        <v>35</v>
      </c>
      <c r="E1644" t="s">
        <v>150</v>
      </c>
      <c r="F1644" t="s">
        <v>228</v>
      </c>
      <c r="G1644" t="s">
        <v>196</v>
      </c>
      <c r="H1644" t="s">
        <v>75</v>
      </c>
      <c r="I1644">
        <v>0</v>
      </c>
      <c r="J1644">
        <v>0</v>
      </c>
      <c r="K1644">
        <v>0</v>
      </c>
      <c r="L1644">
        <v>0</v>
      </c>
      <c r="M1644" t="s">
        <v>76</v>
      </c>
      <c r="N1644" t="s">
        <v>76</v>
      </c>
      <c r="O1644" t="s">
        <v>77</v>
      </c>
      <c r="P1644" t="s">
        <v>76</v>
      </c>
      <c r="S1644" t="s">
        <v>4409</v>
      </c>
    </row>
    <row r="1645" spans="1:19" x14ac:dyDescent="0.3">
      <c r="A1645" t="s">
        <v>4410</v>
      </c>
      <c r="B1645" t="s">
        <v>4411</v>
      </c>
      <c r="C1645" t="s">
        <v>43</v>
      </c>
      <c r="D1645" t="s">
        <v>63</v>
      </c>
      <c r="E1645" t="s">
        <v>74</v>
      </c>
      <c r="F1645" t="s">
        <v>45</v>
      </c>
      <c r="G1645" t="s">
        <v>43</v>
      </c>
      <c r="H1645" t="s">
        <v>26</v>
      </c>
      <c r="I1645">
        <v>0</v>
      </c>
      <c r="J1645">
        <v>0</v>
      </c>
      <c r="K1645">
        <v>0</v>
      </c>
      <c r="L1645">
        <v>0</v>
      </c>
      <c r="M1645" t="s">
        <v>76</v>
      </c>
      <c r="N1645" t="s">
        <v>76</v>
      </c>
      <c r="O1645" t="s">
        <v>77</v>
      </c>
      <c r="P1645" t="s">
        <v>76</v>
      </c>
      <c r="S1645" t="s">
        <v>4411</v>
      </c>
    </row>
    <row r="1646" spans="1:19" x14ac:dyDescent="0.3">
      <c r="A1646" t="s">
        <v>4412</v>
      </c>
      <c r="B1646" t="s">
        <v>4413</v>
      </c>
      <c r="C1646" t="s">
        <v>45</v>
      </c>
      <c r="D1646" t="s">
        <v>63</v>
      </c>
      <c r="E1646" t="s">
        <v>74</v>
      </c>
      <c r="F1646" t="s">
        <v>45</v>
      </c>
      <c r="G1646" t="s">
        <v>1748</v>
      </c>
      <c r="H1646" t="s">
        <v>26</v>
      </c>
      <c r="I1646">
        <v>0</v>
      </c>
      <c r="J1646">
        <v>0</v>
      </c>
      <c r="K1646">
        <v>0</v>
      </c>
      <c r="L1646">
        <v>0</v>
      </c>
      <c r="M1646" t="s">
        <v>76</v>
      </c>
      <c r="N1646" t="s">
        <v>76</v>
      </c>
      <c r="O1646" t="s">
        <v>77</v>
      </c>
      <c r="P1646" t="s">
        <v>76</v>
      </c>
      <c r="S1646" t="s">
        <v>4413</v>
      </c>
    </row>
    <row r="1647" spans="1:19" x14ac:dyDescent="0.3">
      <c r="A1647" t="s">
        <v>4414</v>
      </c>
      <c r="B1647" t="s">
        <v>4415</v>
      </c>
      <c r="C1647" t="s">
        <v>45</v>
      </c>
      <c r="D1647" t="s">
        <v>63</v>
      </c>
      <c r="E1647" t="s">
        <v>74</v>
      </c>
      <c r="F1647" t="s">
        <v>45</v>
      </c>
      <c r="G1647" t="s">
        <v>1748</v>
      </c>
      <c r="H1647" t="s">
        <v>26</v>
      </c>
      <c r="I1647">
        <v>0</v>
      </c>
      <c r="J1647">
        <v>0</v>
      </c>
      <c r="K1647">
        <v>0</v>
      </c>
      <c r="L1647">
        <v>0</v>
      </c>
      <c r="M1647" t="s">
        <v>76</v>
      </c>
      <c r="N1647" t="s">
        <v>76</v>
      </c>
      <c r="O1647" t="s">
        <v>77</v>
      </c>
      <c r="P1647" t="s">
        <v>76</v>
      </c>
      <c r="S1647" t="s">
        <v>4415</v>
      </c>
    </row>
    <row r="1648" spans="1:19" x14ac:dyDescent="0.3">
      <c r="A1648" t="s">
        <v>4416</v>
      </c>
      <c r="B1648" t="s">
        <v>4417</v>
      </c>
      <c r="C1648" t="s">
        <v>45</v>
      </c>
      <c r="D1648" t="s">
        <v>63</v>
      </c>
      <c r="E1648" t="s">
        <v>74</v>
      </c>
      <c r="F1648" t="s">
        <v>45</v>
      </c>
      <c r="G1648" t="s">
        <v>4416</v>
      </c>
      <c r="H1648" t="s">
        <v>26</v>
      </c>
      <c r="I1648">
        <v>0</v>
      </c>
      <c r="J1648">
        <v>0</v>
      </c>
      <c r="K1648">
        <v>0</v>
      </c>
      <c r="L1648">
        <v>0</v>
      </c>
      <c r="M1648" t="s">
        <v>76</v>
      </c>
      <c r="N1648" t="s">
        <v>76</v>
      </c>
      <c r="O1648" t="s">
        <v>77</v>
      </c>
      <c r="P1648" t="s">
        <v>76</v>
      </c>
      <c r="S1648" t="s">
        <v>4417</v>
      </c>
    </row>
    <row r="1649" spans="1:19" x14ac:dyDescent="0.3">
      <c r="A1649" t="s">
        <v>4418</v>
      </c>
      <c r="B1649" t="s">
        <v>4419</v>
      </c>
      <c r="C1649" t="s">
        <v>45</v>
      </c>
      <c r="D1649" t="s">
        <v>63</v>
      </c>
      <c r="E1649" t="s">
        <v>74</v>
      </c>
      <c r="F1649" t="s">
        <v>45</v>
      </c>
      <c r="G1649" t="s">
        <v>4416</v>
      </c>
      <c r="H1649" t="s">
        <v>26</v>
      </c>
      <c r="I1649">
        <v>0</v>
      </c>
      <c r="J1649">
        <v>0</v>
      </c>
      <c r="K1649">
        <v>0</v>
      </c>
      <c r="L1649">
        <v>0</v>
      </c>
      <c r="M1649" t="s">
        <v>76</v>
      </c>
      <c r="N1649" t="s">
        <v>76</v>
      </c>
      <c r="O1649" t="s">
        <v>77</v>
      </c>
      <c r="P1649" t="s">
        <v>76</v>
      </c>
      <c r="S1649" t="s">
        <v>4419</v>
      </c>
    </row>
    <row r="1650" spans="1:19" x14ac:dyDescent="0.3">
      <c r="A1650" t="s">
        <v>4420</v>
      </c>
      <c r="B1650" t="s">
        <v>4421</v>
      </c>
      <c r="C1650" t="s">
        <v>24</v>
      </c>
      <c r="D1650" t="s">
        <v>35</v>
      </c>
      <c r="E1650" t="s">
        <v>80</v>
      </c>
      <c r="F1650" t="s">
        <v>144</v>
      </c>
      <c r="G1650" t="s">
        <v>261</v>
      </c>
      <c r="H1650" t="s">
        <v>26</v>
      </c>
      <c r="I1650">
        <v>0</v>
      </c>
      <c r="J1650">
        <v>0</v>
      </c>
      <c r="K1650">
        <v>0</v>
      </c>
      <c r="L1650">
        <v>0</v>
      </c>
      <c r="M1650" t="s">
        <v>76</v>
      </c>
      <c r="N1650" t="s">
        <v>76</v>
      </c>
      <c r="O1650" t="s">
        <v>77</v>
      </c>
      <c r="P1650" t="s">
        <v>76</v>
      </c>
      <c r="S1650" t="s">
        <v>4421</v>
      </c>
    </row>
    <row r="1651" spans="1:19" x14ac:dyDescent="0.3">
      <c r="A1651" t="s">
        <v>4422</v>
      </c>
      <c r="B1651" t="s">
        <v>4423</v>
      </c>
      <c r="C1651" t="s">
        <v>43</v>
      </c>
      <c r="D1651" t="s">
        <v>63</v>
      </c>
      <c r="E1651" t="s">
        <v>85</v>
      </c>
      <c r="F1651" t="s">
        <v>45</v>
      </c>
      <c r="G1651" t="s">
        <v>43</v>
      </c>
      <c r="H1651" t="s">
        <v>26</v>
      </c>
      <c r="I1651">
        <v>0</v>
      </c>
      <c r="J1651">
        <v>0</v>
      </c>
      <c r="K1651">
        <v>0</v>
      </c>
      <c r="L1651">
        <v>0</v>
      </c>
      <c r="M1651" t="s">
        <v>76</v>
      </c>
      <c r="N1651" t="s">
        <v>76</v>
      </c>
      <c r="O1651" t="s">
        <v>77</v>
      </c>
      <c r="P1651" t="s">
        <v>76</v>
      </c>
      <c r="S1651" t="s">
        <v>4423</v>
      </c>
    </row>
    <row r="1652" spans="1:19" x14ac:dyDescent="0.3">
      <c r="A1652" t="s">
        <v>4424</v>
      </c>
      <c r="B1652" t="s">
        <v>4425</v>
      </c>
      <c r="C1652" t="s">
        <v>24</v>
      </c>
      <c r="D1652" t="s">
        <v>53</v>
      </c>
      <c r="E1652" t="s">
        <v>54</v>
      </c>
      <c r="F1652" t="s">
        <v>55</v>
      </c>
      <c r="G1652" t="s">
        <v>4426</v>
      </c>
      <c r="H1652" t="s">
        <v>26</v>
      </c>
      <c r="I1652">
        <v>0</v>
      </c>
      <c r="J1652">
        <v>0</v>
      </c>
      <c r="K1652">
        <v>0</v>
      </c>
      <c r="L1652">
        <v>0</v>
      </c>
      <c r="M1652" t="s">
        <v>76</v>
      </c>
      <c r="N1652" t="s">
        <v>76</v>
      </c>
      <c r="O1652" t="s">
        <v>77</v>
      </c>
      <c r="P1652" t="s">
        <v>76</v>
      </c>
      <c r="S1652" t="s">
        <v>4425</v>
      </c>
    </row>
    <row r="1653" spans="1:19" x14ac:dyDescent="0.3">
      <c r="A1653" t="s">
        <v>2673</v>
      </c>
      <c r="B1653" t="s">
        <v>4427</v>
      </c>
      <c r="C1653" t="s">
        <v>73</v>
      </c>
      <c r="D1653" t="s">
        <v>63</v>
      </c>
      <c r="E1653" t="s">
        <v>74</v>
      </c>
      <c r="F1653" t="s">
        <v>73</v>
      </c>
      <c r="G1653" t="s">
        <v>2673</v>
      </c>
      <c r="H1653" t="s">
        <v>75</v>
      </c>
      <c r="I1653">
        <v>0</v>
      </c>
      <c r="J1653">
        <v>0</v>
      </c>
      <c r="K1653">
        <v>0</v>
      </c>
      <c r="L1653">
        <v>0</v>
      </c>
      <c r="M1653" t="s">
        <v>76</v>
      </c>
      <c r="N1653" t="s">
        <v>76</v>
      </c>
      <c r="O1653" t="s">
        <v>77</v>
      </c>
      <c r="P1653" t="s">
        <v>76</v>
      </c>
      <c r="S1653" t="s">
        <v>4427</v>
      </c>
    </row>
    <row r="1654" spans="1:19" x14ac:dyDescent="0.3">
      <c r="A1654" t="s">
        <v>4428</v>
      </c>
      <c r="B1654" t="s">
        <v>4429</v>
      </c>
      <c r="C1654" t="s">
        <v>243</v>
      </c>
      <c r="D1654" t="s">
        <v>63</v>
      </c>
      <c r="E1654" t="s">
        <v>74</v>
      </c>
      <c r="F1654" t="s">
        <v>243</v>
      </c>
      <c r="G1654" t="s">
        <v>244</v>
      </c>
      <c r="H1654" t="s">
        <v>75</v>
      </c>
      <c r="I1654">
        <v>0</v>
      </c>
      <c r="J1654">
        <v>0</v>
      </c>
      <c r="K1654">
        <v>0</v>
      </c>
      <c r="L1654">
        <v>0</v>
      </c>
      <c r="M1654" t="s">
        <v>76</v>
      </c>
      <c r="N1654" t="s">
        <v>76</v>
      </c>
      <c r="O1654" t="s">
        <v>77</v>
      </c>
      <c r="P1654" t="s">
        <v>76</v>
      </c>
      <c r="S1654" t="s">
        <v>4429</v>
      </c>
    </row>
    <row r="1655" spans="1:19" x14ac:dyDescent="0.3">
      <c r="A1655" t="s">
        <v>4022</v>
      </c>
      <c r="B1655" t="s">
        <v>4430</v>
      </c>
      <c r="C1655" t="s">
        <v>45</v>
      </c>
      <c r="D1655" t="s">
        <v>63</v>
      </c>
      <c r="E1655" t="s">
        <v>74</v>
      </c>
      <c r="F1655" t="s">
        <v>45</v>
      </c>
      <c r="G1655" t="s">
        <v>4022</v>
      </c>
      <c r="H1655" t="s">
        <v>26</v>
      </c>
      <c r="I1655">
        <v>0</v>
      </c>
      <c r="J1655">
        <v>0</v>
      </c>
      <c r="K1655">
        <v>0</v>
      </c>
      <c r="L1655">
        <v>0</v>
      </c>
      <c r="M1655" t="s">
        <v>76</v>
      </c>
      <c r="N1655" t="s">
        <v>76</v>
      </c>
      <c r="O1655" t="s">
        <v>77</v>
      </c>
      <c r="P1655" t="s">
        <v>76</v>
      </c>
      <c r="S1655" t="s">
        <v>4430</v>
      </c>
    </row>
    <row r="1656" spans="1:19" x14ac:dyDescent="0.3">
      <c r="A1656" t="s">
        <v>4431</v>
      </c>
      <c r="B1656" t="s">
        <v>4432</v>
      </c>
      <c r="C1656" t="s">
        <v>24</v>
      </c>
      <c r="D1656" t="s">
        <v>63</v>
      </c>
      <c r="E1656" t="s">
        <v>74</v>
      </c>
      <c r="F1656" t="s">
        <v>55</v>
      </c>
      <c r="G1656" t="s">
        <v>56</v>
      </c>
      <c r="H1656" t="s">
        <v>26</v>
      </c>
      <c r="I1656">
        <v>0</v>
      </c>
      <c r="J1656">
        <v>0</v>
      </c>
      <c r="K1656">
        <v>0</v>
      </c>
      <c r="L1656">
        <v>0</v>
      </c>
      <c r="M1656" t="s">
        <v>76</v>
      </c>
      <c r="N1656" t="s">
        <v>76</v>
      </c>
      <c r="O1656" t="s">
        <v>77</v>
      </c>
      <c r="P1656" t="s">
        <v>76</v>
      </c>
      <c r="S1656" t="s">
        <v>4432</v>
      </c>
    </row>
    <row r="1657" spans="1:19" x14ac:dyDescent="0.3">
      <c r="A1657" t="s">
        <v>4433</v>
      </c>
      <c r="B1657" t="s">
        <v>4434</v>
      </c>
      <c r="C1657" t="s">
        <v>24</v>
      </c>
      <c r="D1657" t="s">
        <v>63</v>
      </c>
      <c r="E1657" t="s">
        <v>74</v>
      </c>
      <c r="F1657" t="s">
        <v>144</v>
      </c>
      <c r="G1657" t="s">
        <v>261</v>
      </c>
      <c r="H1657" t="s">
        <v>26</v>
      </c>
      <c r="I1657">
        <v>0</v>
      </c>
      <c r="J1657">
        <v>0</v>
      </c>
      <c r="K1657">
        <v>0</v>
      </c>
      <c r="L1657">
        <v>0</v>
      </c>
      <c r="M1657" t="s">
        <v>76</v>
      </c>
      <c r="N1657" t="s">
        <v>76</v>
      </c>
      <c r="O1657" t="s">
        <v>77</v>
      </c>
      <c r="P1657" t="s">
        <v>76</v>
      </c>
      <c r="S1657" t="s">
        <v>4434</v>
      </c>
    </row>
    <row r="1658" spans="1:19" x14ac:dyDescent="0.3">
      <c r="A1658" t="s">
        <v>4435</v>
      </c>
      <c r="B1658" t="s">
        <v>4436</v>
      </c>
      <c r="C1658" t="s">
        <v>314</v>
      </c>
      <c r="D1658" t="s">
        <v>63</v>
      </c>
      <c r="E1658" t="s">
        <v>1751</v>
      </c>
      <c r="F1658" t="s">
        <v>314</v>
      </c>
      <c r="G1658" t="s">
        <v>4435</v>
      </c>
      <c r="H1658" t="s">
        <v>213</v>
      </c>
      <c r="I1658">
        <v>0</v>
      </c>
      <c r="J1658">
        <v>0</v>
      </c>
      <c r="K1658">
        <v>0</v>
      </c>
      <c r="L1658">
        <v>0</v>
      </c>
      <c r="M1658" t="s">
        <v>76</v>
      </c>
      <c r="N1658" t="s">
        <v>76</v>
      </c>
      <c r="O1658" t="s">
        <v>77</v>
      </c>
      <c r="P1658" t="s">
        <v>76</v>
      </c>
      <c r="S1658" t="s">
        <v>4436</v>
      </c>
    </row>
    <row r="1659" spans="1:19" x14ac:dyDescent="0.3">
      <c r="A1659" t="s">
        <v>4437</v>
      </c>
      <c r="B1659" t="s">
        <v>4438</v>
      </c>
      <c r="E1659" t="s">
        <v>54</v>
      </c>
      <c r="F1659" t="s">
        <v>195</v>
      </c>
      <c r="G1659" t="s">
        <v>196</v>
      </c>
      <c r="H1659" t="s">
        <v>75</v>
      </c>
      <c r="I1659">
        <v>0</v>
      </c>
      <c r="J1659">
        <v>0</v>
      </c>
      <c r="K1659">
        <v>0</v>
      </c>
      <c r="L1659">
        <v>0</v>
      </c>
      <c r="M1659" t="s">
        <v>76</v>
      </c>
      <c r="N1659" t="s">
        <v>76</v>
      </c>
      <c r="O1659" t="s">
        <v>77</v>
      </c>
      <c r="P1659" t="s">
        <v>76</v>
      </c>
      <c r="S1659" t="s">
        <v>4438</v>
      </c>
    </row>
    <row r="1660" spans="1:19" x14ac:dyDescent="0.3">
      <c r="A1660" t="s">
        <v>4439</v>
      </c>
      <c r="B1660" t="s">
        <v>4440</v>
      </c>
      <c r="C1660" t="s">
        <v>73</v>
      </c>
      <c r="D1660" t="s">
        <v>35</v>
      </c>
      <c r="E1660" t="s">
        <v>54</v>
      </c>
      <c r="F1660" t="s">
        <v>73</v>
      </c>
      <c r="G1660" t="s">
        <v>4439</v>
      </c>
      <c r="H1660" t="s">
        <v>213</v>
      </c>
      <c r="I1660">
        <v>0</v>
      </c>
      <c r="J1660">
        <v>0</v>
      </c>
      <c r="K1660">
        <v>0</v>
      </c>
      <c r="L1660">
        <v>0</v>
      </c>
      <c r="M1660" t="s">
        <v>76</v>
      </c>
      <c r="N1660" t="s">
        <v>76</v>
      </c>
      <c r="O1660" t="s">
        <v>77</v>
      </c>
      <c r="P1660" t="s">
        <v>76</v>
      </c>
      <c r="S1660" t="s">
        <v>4440</v>
      </c>
    </row>
    <row r="1661" spans="1:19" x14ac:dyDescent="0.3">
      <c r="A1661" t="s">
        <v>4441</v>
      </c>
      <c r="B1661" t="s">
        <v>4442</v>
      </c>
      <c r="C1661" t="s">
        <v>43</v>
      </c>
      <c r="D1661" t="s">
        <v>35</v>
      </c>
      <c r="E1661" t="s">
        <v>36</v>
      </c>
      <c r="F1661" t="s">
        <v>45</v>
      </c>
      <c r="G1661" t="s">
        <v>43</v>
      </c>
      <c r="H1661" t="s">
        <v>26</v>
      </c>
      <c r="I1661">
        <v>0</v>
      </c>
      <c r="J1661">
        <v>0</v>
      </c>
      <c r="K1661">
        <v>0</v>
      </c>
      <c r="L1661">
        <v>0</v>
      </c>
      <c r="M1661" t="s">
        <v>76</v>
      </c>
      <c r="N1661" t="s">
        <v>76</v>
      </c>
      <c r="O1661" t="s">
        <v>77</v>
      </c>
      <c r="P1661" t="s">
        <v>76</v>
      </c>
      <c r="S1661" t="s">
        <v>4442</v>
      </c>
    </row>
    <row r="1662" spans="1:19" x14ac:dyDescent="0.3">
      <c r="A1662" t="s">
        <v>4443</v>
      </c>
      <c r="B1662" t="s">
        <v>4444</v>
      </c>
      <c r="C1662" t="s">
        <v>43</v>
      </c>
      <c r="D1662" t="s">
        <v>63</v>
      </c>
      <c r="E1662" t="s">
        <v>74</v>
      </c>
      <c r="F1662" t="s">
        <v>45</v>
      </c>
      <c r="G1662" t="s">
        <v>43</v>
      </c>
      <c r="H1662" t="s">
        <v>26</v>
      </c>
      <c r="I1662">
        <v>0</v>
      </c>
      <c r="J1662">
        <v>0</v>
      </c>
      <c r="K1662">
        <v>0</v>
      </c>
      <c r="L1662">
        <v>0</v>
      </c>
      <c r="M1662" t="s">
        <v>121</v>
      </c>
      <c r="N1662" t="s">
        <v>122</v>
      </c>
      <c r="O1662" t="s">
        <v>123</v>
      </c>
      <c r="P1662" t="s">
        <v>124</v>
      </c>
      <c r="Q1662" t="s">
        <v>4445</v>
      </c>
      <c r="R1662" t="s">
        <v>4446</v>
      </c>
      <c r="S1662" t="s">
        <v>4444</v>
      </c>
    </row>
    <row r="1663" spans="1:19" x14ac:dyDescent="0.3">
      <c r="A1663" t="s">
        <v>4447</v>
      </c>
      <c r="B1663" t="s">
        <v>4448</v>
      </c>
      <c r="C1663" t="s">
        <v>314</v>
      </c>
      <c r="D1663" t="s">
        <v>63</v>
      </c>
      <c r="E1663" t="s">
        <v>74</v>
      </c>
      <c r="F1663" t="s">
        <v>314</v>
      </c>
      <c r="G1663" t="s">
        <v>3646</v>
      </c>
      <c r="H1663" t="s">
        <v>317</v>
      </c>
      <c r="I1663">
        <v>0</v>
      </c>
      <c r="J1663">
        <v>0</v>
      </c>
      <c r="K1663">
        <v>0</v>
      </c>
      <c r="L1663">
        <v>0</v>
      </c>
      <c r="M1663" t="s">
        <v>76</v>
      </c>
      <c r="N1663" t="s">
        <v>76</v>
      </c>
      <c r="O1663" t="s">
        <v>77</v>
      </c>
      <c r="P1663" t="s">
        <v>76</v>
      </c>
      <c r="S1663" t="s">
        <v>4448</v>
      </c>
    </row>
    <row r="1664" spans="1:19" x14ac:dyDescent="0.3">
      <c r="A1664" t="s">
        <v>4449</v>
      </c>
      <c r="B1664" t="s">
        <v>4450</v>
      </c>
      <c r="C1664" t="s">
        <v>314</v>
      </c>
      <c r="D1664" t="s">
        <v>63</v>
      </c>
      <c r="E1664" t="s">
        <v>323</v>
      </c>
      <c r="F1664" t="s">
        <v>314</v>
      </c>
      <c r="G1664" t="s">
        <v>4449</v>
      </c>
      <c r="H1664" t="s">
        <v>213</v>
      </c>
      <c r="I1664">
        <v>0</v>
      </c>
      <c r="J1664">
        <v>0</v>
      </c>
      <c r="K1664">
        <v>0</v>
      </c>
      <c r="L1664">
        <v>0</v>
      </c>
      <c r="M1664" t="s">
        <v>76</v>
      </c>
      <c r="N1664" t="s">
        <v>76</v>
      </c>
      <c r="O1664" t="s">
        <v>77</v>
      </c>
      <c r="P1664" t="s">
        <v>76</v>
      </c>
      <c r="S1664" t="s">
        <v>4450</v>
      </c>
    </row>
    <row r="1665" spans="1:19" x14ac:dyDescent="0.3">
      <c r="A1665" t="s">
        <v>4451</v>
      </c>
      <c r="B1665" t="s">
        <v>4452</v>
      </c>
      <c r="C1665" t="s">
        <v>24</v>
      </c>
      <c r="E1665" t="s">
        <v>389</v>
      </c>
      <c r="F1665" t="s">
        <v>144</v>
      </c>
      <c r="G1665" t="s">
        <v>261</v>
      </c>
      <c r="H1665" t="s">
        <v>26</v>
      </c>
      <c r="I1665">
        <v>0</v>
      </c>
      <c r="J1665">
        <v>0</v>
      </c>
      <c r="K1665">
        <v>0</v>
      </c>
      <c r="L1665">
        <v>0</v>
      </c>
      <c r="M1665" t="s">
        <v>76</v>
      </c>
      <c r="N1665" t="s">
        <v>76</v>
      </c>
      <c r="O1665" t="s">
        <v>77</v>
      </c>
      <c r="P1665" t="s">
        <v>76</v>
      </c>
      <c r="S1665" t="s">
        <v>4452</v>
      </c>
    </row>
    <row r="1666" spans="1:19" x14ac:dyDescent="0.3">
      <c r="A1666" t="s">
        <v>4453</v>
      </c>
      <c r="B1666" t="s">
        <v>4454</v>
      </c>
      <c r="C1666" t="s">
        <v>243</v>
      </c>
      <c r="D1666" t="s">
        <v>63</v>
      </c>
      <c r="E1666" t="s">
        <v>74</v>
      </c>
      <c r="F1666" t="s">
        <v>243</v>
      </c>
      <c r="G1666" t="s">
        <v>244</v>
      </c>
      <c r="H1666" t="s">
        <v>75</v>
      </c>
      <c r="I1666">
        <v>0</v>
      </c>
      <c r="J1666">
        <v>0</v>
      </c>
      <c r="K1666">
        <v>0</v>
      </c>
      <c r="L1666">
        <v>0</v>
      </c>
      <c r="M1666" t="s">
        <v>76</v>
      </c>
      <c r="N1666" t="s">
        <v>76</v>
      </c>
      <c r="O1666" t="s">
        <v>77</v>
      </c>
      <c r="P1666" t="s">
        <v>76</v>
      </c>
      <c r="S1666" t="s">
        <v>4454</v>
      </c>
    </row>
    <row r="1667" spans="1:19" x14ac:dyDescent="0.3">
      <c r="A1667" t="s">
        <v>4455</v>
      </c>
      <c r="B1667" t="s">
        <v>4456</v>
      </c>
      <c r="C1667" t="s">
        <v>228</v>
      </c>
      <c r="D1667" t="s">
        <v>63</v>
      </c>
      <c r="E1667" t="s">
        <v>331</v>
      </c>
      <c r="F1667" t="s">
        <v>228</v>
      </c>
      <c r="G1667" t="s">
        <v>4457</v>
      </c>
      <c r="H1667" t="s">
        <v>213</v>
      </c>
      <c r="I1667">
        <v>0</v>
      </c>
      <c r="J1667">
        <v>0</v>
      </c>
      <c r="K1667">
        <v>0</v>
      </c>
      <c r="L1667">
        <v>0</v>
      </c>
      <c r="M1667" t="s">
        <v>76</v>
      </c>
      <c r="N1667" t="s">
        <v>76</v>
      </c>
      <c r="O1667" t="s">
        <v>77</v>
      </c>
      <c r="P1667" t="s">
        <v>76</v>
      </c>
      <c r="S1667" t="s">
        <v>4456</v>
      </c>
    </row>
    <row r="1668" spans="1:19" x14ac:dyDescent="0.3">
      <c r="A1668" t="s">
        <v>3032</v>
      </c>
      <c r="B1668" t="s">
        <v>4458</v>
      </c>
      <c r="C1668" t="s">
        <v>24</v>
      </c>
      <c r="D1668" t="s">
        <v>35</v>
      </c>
      <c r="E1668" t="s">
        <v>560</v>
      </c>
      <c r="F1668" t="s">
        <v>24</v>
      </c>
      <c r="G1668" t="s">
        <v>3032</v>
      </c>
      <c r="H1668" t="s">
        <v>26</v>
      </c>
      <c r="I1668">
        <v>0</v>
      </c>
      <c r="J1668">
        <v>0</v>
      </c>
      <c r="K1668">
        <v>0</v>
      </c>
      <c r="L1668">
        <v>0</v>
      </c>
      <c r="M1668" t="s">
        <v>76</v>
      </c>
      <c r="N1668" t="s">
        <v>76</v>
      </c>
      <c r="O1668" t="s">
        <v>77</v>
      </c>
      <c r="P1668" t="s">
        <v>76</v>
      </c>
      <c r="S1668" t="s">
        <v>4458</v>
      </c>
    </row>
    <row r="1669" spans="1:19" x14ac:dyDescent="0.3">
      <c r="A1669" t="s">
        <v>4459</v>
      </c>
      <c r="B1669" t="s">
        <v>4460</v>
      </c>
      <c r="C1669" t="s">
        <v>24</v>
      </c>
      <c r="D1669" t="s">
        <v>63</v>
      </c>
      <c r="E1669" t="s">
        <v>74</v>
      </c>
      <c r="F1669" t="s">
        <v>55</v>
      </c>
      <c r="G1669" t="s">
        <v>4459</v>
      </c>
      <c r="H1669" t="s">
        <v>213</v>
      </c>
      <c r="I1669">
        <v>0</v>
      </c>
      <c r="J1669">
        <v>0</v>
      </c>
      <c r="K1669">
        <v>0</v>
      </c>
      <c r="L1669">
        <v>0</v>
      </c>
      <c r="M1669" t="s">
        <v>76</v>
      </c>
      <c r="N1669" t="s">
        <v>76</v>
      </c>
      <c r="O1669" t="s">
        <v>77</v>
      </c>
      <c r="P1669" t="s">
        <v>76</v>
      </c>
      <c r="S1669" t="s">
        <v>4460</v>
      </c>
    </row>
    <row r="1670" spans="1:19" x14ac:dyDescent="0.3">
      <c r="A1670" t="s">
        <v>4461</v>
      </c>
      <c r="B1670" t="s">
        <v>4462</v>
      </c>
      <c r="C1670" t="s">
        <v>45</v>
      </c>
      <c r="D1670" t="s">
        <v>63</v>
      </c>
      <c r="E1670" t="s">
        <v>74</v>
      </c>
      <c r="F1670" t="s">
        <v>45</v>
      </c>
      <c r="G1670" t="s">
        <v>4461</v>
      </c>
      <c r="H1670" t="s">
        <v>26</v>
      </c>
      <c r="I1670">
        <v>0</v>
      </c>
      <c r="J1670">
        <v>0</v>
      </c>
      <c r="K1670">
        <v>0</v>
      </c>
      <c r="L1670">
        <v>0</v>
      </c>
      <c r="M1670" t="s">
        <v>76</v>
      </c>
      <c r="N1670" t="s">
        <v>76</v>
      </c>
      <c r="O1670" t="s">
        <v>77</v>
      </c>
      <c r="P1670" t="s">
        <v>76</v>
      </c>
      <c r="S1670" t="s">
        <v>4462</v>
      </c>
    </row>
    <row r="1671" spans="1:19" x14ac:dyDescent="0.3">
      <c r="A1671" t="s">
        <v>4463</v>
      </c>
      <c r="B1671" t="s">
        <v>4464</v>
      </c>
      <c r="C1671" t="s">
        <v>196</v>
      </c>
      <c r="D1671" t="s">
        <v>63</v>
      </c>
      <c r="E1671" t="s">
        <v>74</v>
      </c>
      <c r="F1671" t="s">
        <v>228</v>
      </c>
      <c r="G1671" t="s">
        <v>196</v>
      </c>
      <c r="H1671" t="s">
        <v>75</v>
      </c>
      <c r="I1671">
        <v>0</v>
      </c>
      <c r="J1671">
        <v>0</v>
      </c>
      <c r="K1671">
        <v>0</v>
      </c>
      <c r="L1671">
        <v>0</v>
      </c>
      <c r="M1671" t="s">
        <v>76</v>
      </c>
      <c r="N1671" t="s">
        <v>76</v>
      </c>
      <c r="O1671" t="s">
        <v>77</v>
      </c>
      <c r="P1671" t="s">
        <v>76</v>
      </c>
      <c r="S1671" t="s">
        <v>4464</v>
      </c>
    </row>
    <row r="1672" spans="1:19" x14ac:dyDescent="0.3">
      <c r="A1672" t="s">
        <v>4465</v>
      </c>
      <c r="B1672" t="s">
        <v>4466</v>
      </c>
      <c r="C1672" t="s">
        <v>43</v>
      </c>
      <c r="D1672" t="s">
        <v>35</v>
      </c>
      <c r="E1672" t="s">
        <v>36</v>
      </c>
      <c r="F1672" t="s">
        <v>45</v>
      </c>
      <c r="G1672" t="s">
        <v>43</v>
      </c>
      <c r="H1672" t="s">
        <v>26</v>
      </c>
      <c r="I1672">
        <v>0</v>
      </c>
      <c r="J1672">
        <v>0</v>
      </c>
      <c r="K1672">
        <v>0</v>
      </c>
      <c r="L1672">
        <v>0</v>
      </c>
      <c r="M1672" t="s">
        <v>76</v>
      </c>
      <c r="N1672" t="s">
        <v>76</v>
      </c>
      <c r="O1672" t="s">
        <v>77</v>
      </c>
      <c r="P1672" t="s">
        <v>76</v>
      </c>
      <c r="S1672" t="s">
        <v>4466</v>
      </c>
    </row>
    <row r="1673" spans="1:19" x14ac:dyDescent="0.3">
      <c r="A1673" t="s">
        <v>4467</v>
      </c>
      <c r="B1673" t="s">
        <v>4468</v>
      </c>
      <c r="C1673" t="s">
        <v>596</v>
      </c>
      <c r="D1673" t="s">
        <v>63</v>
      </c>
      <c r="E1673" t="s">
        <v>64</v>
      </c>
      <c r="F1673" t="s">
        <v>73</v>
      </c>
      <c r="G1673" t="s">
        <v>596</v>
      </c>
      <c r="H1673" t="s">
        <v>75</v>
      </c>
      <c r="I1673">
        <v>0</v>
      </c>
      <c r="J1673">
        <v>0</v>
      </c>
      <c r="K1673">
        <v>0</v>
      </c>
      <c r="L1673">
        <v>0</v>
      </c>
      <c r="M1673" t="s">
        <v>76</v>
      </c>
      <c r="N1673" t="s">
        <v>76</v>
      </c>
      <c r="O1673" t="s">
        <v>77</v>
      </c>
      <c r="P1673" t="s">
        <v>76</v>
      </c>
      <c r="S1673" t="s">
        <v>4468</v>
      </c>
    </row>
    <row r="1674" spans="1:19" x14ac:dyDescent="0.3">
      <c r="A1674" t="s">
        <v>4469</v>
      </c>
      <c r="B1674" t="s">
        <v>4470</v>
      </c>
      <c r="C1674" t="s">
        <v>73</v>
      </c>
      <c r="D1674" t="s">
        <v>35</v>
      </c>
      <c r="E1674" t="s">
        <v>560</v>
      </c>
      <c r="F1674" t="s">
        <v>73</v>
      </c>
      <c r="G1674" t="s">
        <v>741</v>
      </c>
      <c r="H1674" t="s">
        <v>75</v>
      </c>
      <c r="I1674">
        <v>0</v>
      </c>
      <c r="J1674">
        <v>0</v>
      </c>
      <c r="K1674">
        <v>0</v>
      </c>
      <c r="L1674">
        <v>0</v>
      </c>
      <c r="M1674" t="s">
        <v>76</v>
      </c>
      <c r="N1674" t="s">
        <v>76</v>
      </c>
      <c r="O1674" t="s">
        <v>77</v>
      </c>
      <c r="P1674" t="s">
        <v>76</v>
      </c>
      <c r="S1674" t="s">
        <v>4470</v>
      </c>
    </row>
    <row r="1675" spans="1:19" x14ac:dyDescent="0.3">
      <c r="A1675" t="s">
        <v>4471</v>
      </c>
      <c r="B1675" t="s">
        <v>4472</v>
      </c>
      <c r="C1675" t="s">
        <v>24</v>
      </c>
      <c r="D1675" t="s">
        <v>63</v>
      </c>
      <c r="E1675" t="s">
        <v>74</v>
      </c>
      <c r="F1675" t="s">
        <v>24</v>
      </c>
      <c r="G1675" t="s">
        <v>4473</v>
      </c>
      <c r="H1675" t="s">
        <v>26</v>
      </c>
      <c r="I1675">
        <v>0</v>
      </c>
      <c r="J1675">
        <v>0</v>
      </c>
      <c r="K1675">
        <v>0</v>
      </c>
      <c r="L1675">
        <v>0</v>
      </c>
      <c r="M1675" t="s">
        <v>76</v>
      </c>
      <c r="N1675" t="s">
        <v>76</v>
      </c>
      <c r="O1675" t="s">
        <v>77</v>
      </c>
      <c r="P1675" t="s">
        <v>76</v>
      </c>
      <c r="S1675" t="s">
        <v>4472</v>
      </c>
    </row>
    <row r="1676" spans="1:19" x14ac:dyDescent="0.3">
      <c r="A1676" t="s">
        <v>4474</v>
      </c>
      <c r="B1676" t="s">
        <v>4475</v>
      </c>
      <c r="C1676" t="s">
        <v>24</v>
      </c>
      <c r="D1676" t="s">
        <v>63</v>
      </c>
      <c r="E1676" t="s">
        <v>74</v>
      </c>
      <c r="F1676" t="s">
        <v>55</v>
      </c>
      <c r="G1676" t="s">
        <v>56</v>
      </c>
      <c r="H1676" t="s">
        <v>26</v>
      </c>
      <c r="I1676">
        <v>0</v>
      </c>
      <c r="J1676">
        <v>0</v>
      </c>
      <c r="K1676">
        <v>0</v>
      </c>
      <c r="L1676">
        <v>0</v>
      </c>
      <c r="M1676" t="s">
        <v>76</v>
      </c>
      <c r="N1676" t="s">
        <v>76</v>
      </c>
      <c r="O1676" t="s">
        <v>77</v>
      </c>
      <c r="P1676" t="s">
        <v>76</v>
      </c>
      <c r="S1676" t="s">
        <v>4475</v>
      </c>
    </row>
    <row r="1677" spans="1:19" x14ac:dyDescent="0.3">
      <c r="A1677" t="s">
        <v>4476</v>
      </c>
      <c r="B1677" t="s">
        <v>4477</v>
      </c>
      <c r="C1677" t="s">
        <v>196</v>
      </c>
      <c r="D1677" t="s">
        <v>63</v>
      </c>
      <c r="E1677" t="s">
        <v>74</v>
      </c>
      <c r="F1677" t="s">
        <v>228</v>
      </c>
      <c r="G1677" t="s">
        <v>196</v>
      </c>
      <c r="H1677" t="s">
        <v>75</v>
      </c>
      <c r="I1677">
        <v>0</v>
      </c>
      <c r="J1677">
        <v>0</v>
      </c>
      <c r="K1677">
        <v>0</v>
      </c>
      <c r="L1677">
        <v>0</v>
      </c>
      <c r="M1677" t="s">
        <v>76</v>
      </c>
      <c r="N1677" t="s">
        <v>76</v>
      </c>
      <c r="O1677" t="s">
        <v>77</v>
      </c>
      <c r="P1677" t="s">
        <v>76</v>
      </c>
      <c r="S1677" t="s">
        <v>4477</v>
      </c>
    </row>
    <row r="1678" spans="1:19" x14ac:dyDescent="0.3">
      <c r="A1678" t="s">
        <v>4478</v>
      </c>
      <c r="B1678" t="s">
        <v>4479</v>
      </c>
      <c r="C1678" t="s">
        <v>243</v>
      </c>
      <c r="D1678" t="s">
        <v>63</v>
      </c>
      <c r="E1678" t="s">
        <v>74</v>
      </c>
      <c r="F1678" t="s">
        <v>243</v>
      </c>
      <c r="G1678" t="s">
        <v>244</v>
      </c>
      <c r="H1678" t="s">
        <v>75</v>
      </c>
      <c r="I1678">
        <v>0</v>
      </c>
      <c r="J1678">
        <v>0</v>
      </c>
      <c r="K1678">
        <v>0</v>
      </c>
      <c r="L1678">
        <v>0</v>
      </c>
      <c r="M1678" t="s">
        <v>76</v>
      </c>
      <c r="N1678" t="s">
        <v>76</v>
      </c>
      <c r="O1678" t="s">
        <v>77</v>
      </c>
      <c r="P1678" t="s">
        <v>76</v>
      </c>
      <c r="S1678" t="s">
        <v>4479</v>
      </c>
    </row>
    <row r="1679" spans="1:19" x14ac:dyDescent="0.3">
      <c r="A1679" t="s">
        <v>4480</v>
      </c>
      <c r="B1679" t="s">
        <v>4481</v>
      </c>
      <c r="C1679" t="s">
        <v>243</v>
      </c>
      <c r="D1679" t="s">
        <v>63</v>
      </c>
      <c r="E1679" t="s">
        <v>74</v>
      </c>
      <c r="F1679" t="s">
        <v>243</v>
      </c>
      <c r="G1679" t="s">
        <v>244</v>
      </c>
      <c r="H1679" t="s">
        <v>75</v>
      </c>
      <c r="I1679">
        <v>0</v>
      </c>
      <c r="J1679">
        <v>0</v>
      </c>
      <c r="K1679">
        <v>0</v>
      </c>
      <c r="L1679">
        <v>0</v>
      </c>
      <c r="M1679" t="s">
        <v>76</v>
      </c>
      <c r="N1679" t="s">
        <v>76</v>
      </c>
      <c r="O1679" t="s">
        <v>77</v>
      </c>
      <c r="P1679" t="s">
        <v>76</v>
      </c>
      <c r="S1679" t="s">
        <v>4481</v>
      </c>
    </row>
    <row r="1680" spans="1:19" x14ac:dyDescent="0.3">
      <c r="A1680" t="s">
        <v>4482</v>
      </c>
      <c r="B1680" t="s">
        <v>4483</v>
      </c>
      <c r="C1680" t="s">
        <v>73</v>
      </c>
      <c r="D1680" t="s">
        <v>63</v>
      </c>
      <c r="E1680" t="s">
        <v>74</v>
      </c>
      <c r="F1680" t="s">
        <v>73</v>
      </c>
      <c r="G1680" t="s">
        <v>741</v>
      </c>
      <c r="H1680" t="s">
        <v>75</v>
      </c>
      <c r="I1680">
        <v>0</v>
      </c>
      <c r="J1680">
        <v>0</v>
      </c>
      <c r="K1680">
        <v>0</v>
      </c>
      <c r="L1680">
        <v>0</v>
      </c>
      <c r="M1680" t="s">
        <v>76</v>
      </c>
      <c r="N1680" t="s">
        <v>76</v>
      </c>
      <c r="O1680" t="s">
        <v>77</v>
      </c>
      <c r="P1680" t="s">
        <v>76</v>
      </c>
      <c r="S1680" t="s">
        <v>4483</v>
      </c>
    </row>
    <row r="1681" spans="1:19" x14ac:dyDescent="0.3">
      <c r="A1681" t="s">
        <v>4484</v>
      </c>
      <c r="B1681" t="s">
        <v>4485</v>
      </c>
      <c r="C1681" t="s">
        <v>24</v>
      </c>
      <c r="F1681" t="s">
        <v>24</v>
      </c>
      <c r="G1681" t="s">
        <v>4486</v>
      </c>
      <c r="H1681" t="s">
        <v>26</v>
      </c>
      <c r="I1681">
        <v>0</v>
      </c>
      <c r="J1681">
        <v>0</v>
      </c>
      <c r="K1681">
        <v>0</v>
      </c>
      <c r="L1681">
        <v>0</v>
      </c>
      <c r="M1681" t="s">
        <v>76</v>
      </c>
      <c r="N1681" t="s">
        <v>76</v>
      </c>
      <c r="O1681" t="s">
        <v>77</v>
      </c>
      <c r="P1681" t="s">
        <v>76</v>
      </c>
      <c r="S1681" t="s">
        <v>4485</v>
      </c>
    </row>
    <row r="1682" spans="1:19" x14ac:dyDescent="0.3">
      <c r="A1682" t="s">
        <v>3804</v>
      </c>
      <c r="B1682" t="s">
        <v>4487</v>
      </c>
      <c r="C1682" t="s">
        <v>45</v>
      </c>
      <c r="D1682" t="s">
        <v>63</v>
      </c>
      <c r="E1682" t="s">
        <v>74</v>
      </c>
      <c r="F1682" t="s">
        <v>45</v>
      </c>
      <c r="G1682" t="s">
        <v>3804</v>
      </c>
      <c r="H1682" t="s">
        <v>26</v>
      </c>
      <c r="I1682">
        <v>0</v>
      </c>
      <c r="J1682">
        <v>0</v>
      </c>
      <c r="K1682">
        <v>0</v>
      </c>
      <c r="L1682">
        <v>0</v>
      </c>
      <c r="M1682" t="s">
        <v>76</v>
      </c>
      <c r="N1682" t="s">
        <v>76</v>
      </c>
      <c r="O1682" t="s">
        <v>77</v>
      </c>
      <c r="P1682" t="s">
        <v>76</v>
      </c>
      <c r="S1682" t="s">
        <v>4487</v>
      </c>
    </row>
    <row r="1683" spans="1:19" x14ac:dyDescent="0.3">
      <c r="A1683" t="s">
        <v>4488</v>
      </c>
      <c r="B1683" t="s">
        <v>4489</v>
      </c>
      <c r="C1683" t="s">
        <v>24</v>
      </c>
      <c r="D1683" t="s">
        <v>35</v>
      </c>
      <c r="E1683" t="s">
        <v>389</v>
      </c>
      <c r="F1683" t="s">
        <v>55</v>
      </c>
      <c r="G1683" t="s">
        <v>3252</v>
      </c>
      <c r="H1683" t="s">
        <v>26</v>
      </c>
      <c r="I1683">
        <v>0</v>
      </c>
      <c r="J1683">
        <v>0</v>
      </c>
      <c r="K1683">
        <v>0</v>
      </c>
      <c r="L1683">
        <v>0</v>
      </c>
      <c r="M1683" t="s">
        <v>76</v>
      </c>
      <c r="N1683" t="s">
        <v>76</v>
      </c>
      <c r="O1683" t="s">
        <v>77</v>
      </c>
      <c r="P1683" t="s">
        <v>76</v>
      </c>
      <c r="S1683" t="s">
        <v>4489</v>
      </c>
    </row>
    <row r="1684" spans="1:19" x14ac:dyDescent="0.3">
      <c r="A1684" t="s">
        <v>4490</v>
      </c>
      <c r="B1684" t="s">
        <v>4491</v>
      </c>
      <c r="C1684" t="s">
        <v>43</v>
      </c>
      <c r="D1684" t="s">
        <v>63</v>
      </c>
      <c r="E1684" t="s">
        <v>74</v>
      </c>
      <c r="F1684" t="s">
        <v>45</v>
      </c>
      <c r="G1684" t="s">
        <v>43</v>
      </c>
      <c r="H1684" t="s">
        <v>26</v>
      </c>
      <c r="I1684">
        <v>0</v>
      </c>
      <c r="J1684">
        <v>0</v>
      </c>
      <c r="K1684">
        <v>0</v>
      </c>
      <c r="L1684">
        <v>0</v>
      </c>
      <c r="M1684" t="s">
        <v>76</v>
      </c>
      <c r="N1684" t="s">
        <v>76</v>
      </c>
      <c r="O1684" t="s">
        <v>77</v>
      </c>
      <c r="P1684" t="s">
        <v>76</v>
      </c>
      <c r="S1684" t="s">
        <v>4491</v>
      </c>
    </row>
    <row r="1685" spans="1:19" x14ac:dyDescent="0.3">
      <c r="A1685" t="s">
        <v>4492</v>
      </c>
      <c r="B1685" t="s">
        <v>4493</v>
      </c>
      <c r="C1685" t="s">
        <v>114</v>
      </c>
      <c r="D1685" t="s">
        <v>63</v>
      </c>
      <c r="E1685" t="s">
        <v>74</v>
      </c>
      <c r="F1685" t="s">
        <v>114</v>
      </c>
      <c r="G1685" t="s">
        <v>115</v>
      </c>
      <c r="H1685" t="s">
        <v>75</v>
      </c>
      <c r="I1685">
        <v>0</v>
      </c>
      <c r="J1685">
        <v>0</v>
      </c>
      <c r="K1685">
        <v>0</v>
      </c>
      <c r="L1685">
        <v>0</v>
      </c>
      <c r="M1685" t="s">
        <v>76</v>
      </c>
      <c r="N1685" t="s">
        <v>76</v>
      </c>
      <c r="O1685" t="s">
        <v>77</v>
      </c>
      <c r="P1685" t="s">
        <v>76</v>
      </c>
      <c r="S1685" t="s">
        <v>4493</v>
      </c>
    </row>
    <row r="1686" spans="1:19" x14ac:dyDescent="0.3">
      <c r="A1686" t="s">
        <v>4494</v>
      </c>
      <c r="B1686" t="s">
        <v>4495</v>
      </c>
      <c r="C1686" t="s">
        <v>228</v>
      </c>
      <c r="D1686" t="s">
        <v>35</v>
      </c>
      <c r="E1686" t="s">
        <v>80</v>
      </c>
      <c r="F1686" t="s">
        <v>228</v>
      </c>
      <c r="G1686" t="s">
        <v>2588</v>
      </c>
      <c r="H1686" t="s">
        <v>75</v>
      </c>
      <c r="I1686">
        <v>0</v>
      </c>
      <c r="J1686">
        <v>0</v>
      </c>
      <c r="K1686">
        <v>0</v>
      </c>
      <c r="L1686">
        <v>0</v>
      </c>
      <c r="M1686" t="s">
        <v>76</v>
      </c>
      <c r="N1686" t="s">
        <v>76</v>
      </c>
      <c r="O1686" t="s">
        <v>77</v>
      </c>
      <c r="P1686" t="s">
        <v>76</v>
      </c>
      <c r="S1686" t="s">
        <v>4495</v>
      </c>
    </row>
    <row r="1687" spans="1:19" x14ac:dyDescent="0.3">
      <c r="A1687" t="s">
        <v>4496</v>
      </c>
      <c r="B1687" t="s">
        <v>4497</v>
      </c>
      <c r="C1687" t="s">
        <v>24</v>
      </c>
      <c r="D1687" t="s">
        <v>63</v>
      </c>
      <c r="E1687" t="s">
        <v>74</v>
      </c>
      <c r="F1687" t="s">
        <v>55</v>
      </c>
      <c r="G1687" t="s">
        <v>3252</v>
      </c>
      <c r="H1687" t="s">
        <v>26</v>
      </c>
      <c r="I1687">
        <v>0</v>
      </c>
      <c r="J1687">
        <v>0</v>
      </c>
      <c r="K1687">
        <v>0</v>
      </c>
      <c r="L1687">
        <v>0</v>
      </c>
      <c r="M1687" t="s">
        <v>76</v>
      </c>
      <c r="N1687" t="s">
        <v>76</v>
      </c>
      <c r="O1687" t="s">
        <v>77</v>
      </c>
      <c r="P1687" t="s">
        <v>76</v>
      </c>
      <c r="S1687" t="s">
        <v>4497</v>
      </c>
    </row>
    <row r="1688" spans="1:19" x14ac:dyDescent="0.3">
      <c r="A1688" t="s">
        <v>4498</v>
      </c>
      <c r="B1688" t="s">
        <v>4499</v>
      </c>
      <c r="C1688" t="s">
        <v>43</v>
      </c>
      <c r="D1688" t="s">
        <v>63</v>
      </c>
      <c r="E1688" t="s">
        <v>74</v>
      </c>
      <c r="F1688" t="s">
        <v>45</v>
      </c>
      <c r="G1688" t="s">
        <v>43</v>
      </c>
      <c r="H1688" t="s">
        <v>26</v>
      </c>
      <c r="I1688">
        <v>0</v>
      </c>
      <c r="J1688">
        <v>0</v>
      </c>
      <c r="K1688">
        <v>0</v>
      </c>
      <c r="L1688">
        <v>0</v>
      </c>
      <c r="M1688" t="s">
        <v>76</v>
      </c>
      <c r="N1688" t="s">
        <v>76</v>
      </c>
      <c r="O1688" t="s">
        <v>77</v>
      </c>
      <c r="P1688" t="s">
        <v>76</v>
      </c>
      <c r="S1688" t="s">
        <v>4499</v>
      </c>
    </row>
    <row r="1689" spans="1:19" x14ac:dyDescent="0.3">
      <c r="A1689" t="s">
        <v>4500</v>
      </c>
      <c r="B1689" t="s">
        <v>4501</v>
      </c>
      <c r="C1689" t="s">
        <v>24</v>
      </c>
      <c r="D1689" t="s">
        <v>63</v>
      </c>
      <c r="E1689" t="s">
        <v>74</v>
      </c>
      <c r="F1689" t="s">
        <v>24</v>
      </c>
      <c r="G1689" t="s">
        <v>650</v>
      </c>
      <c r="H1689" t="s">
        <v>26</v>
      </c>
      <c r="I1689">
        <v>0</v>
      </c>
      <c r="J1689">
        <v>0</v>
      </c>
      <c r="K1689">
        <v>0</v>
      </c>
      <c r="L1689">
        <v>0</v>
      </c>
      <c r="M1689" t="s">
        <v>239</v>
      </c>
      <c r="N1689" t="s">
        <v>239</v>
      </c>
      <c r="O1689" t="s">
        <v>240</v>
      </c>
      <c r="P1689" t="s">
        <v>239</v>
      </c>
      <c r="S1689" t="s">
        <v>4501</v>
      </c>
    </row>
    <row r="1690" spans="1:19" x14ac:dyDescent="0.3">
      <c r="A1690" t="s">
        <v>4502</v>
      </c>
      <c r="B1690" t="s">
        <v>4503</v>
      </c>
      <c r="C1690" t="s">
        <v>1053</v>
      </c>
      <c r="D1690" t="s">
        <v>63</v>
      </c>
      <c r="E1690" t="s">
        <v>74</v>
      </c>
      <c r="F1690" t="s">
        <v>314</v>
      </c>
      <c r="G1690" t="s">
        <v>1053</v>
      </c>
      <c r="H1690" t="s">
        <v>75</v>
      </c>
      <c r="I1690">
        <v>0</v>
      </c>
      <c r="J1690">
        <v>0</v>
      </c>
      <c r="K1690">
        <v>0</v>
      </c>
      <c r="L1690">
        <v>0</v>
      </c>
      <c r="M1690" t="s">
        <v>76</v>
      </c>
      <c r="N1690" t="s">
        <v>76</v>
      </c>
      <c r="O1690" t="s">
        <v>77</v>
      </c>
      <c r="P1690" t="s">
        <v>76</v>
      </c>
      <c r="S1690" t="s">
        <v>4503</v>
      </c>
    </row>
    <row r="1691" spans="1:19" x14ac:dyDescent="0.3">
      <c r="A1691" t="s">
        <v>4504</v>
      </c>
      <c r="B1691" t="s">
        <v>4505</v>
      </c>
      <c r="C1691" t="s">
        <v>43</v>
      </c>
      <c r="D1691" t="s">
        <v>63</v>
      </c>
      <c r="E1691" t="s">
        <v>74</v>
      </c>
      <c r="F1691" t="s">
        <v>45</v>
      </c>
      <c r="G1691" t="s">
        <v>43</v>
      </c>
      <c r="H1691" t="s">
        <v>26</v>
      </c>
      <c r="I1691">
        <v>0</v>
      </c>
      <c r="J1691">
        <v>0</v>
      </c>
      <c r="K1691">
        <v>0</v>
      </c>
      <c r="L1691">
        <v>0</v>
      </c>
      <c r="M1691" t="s">
        <v>76</v>
      </c>
      <c r="N1691" t="s">
        <v>76</v>
      </c>
      <c r="O1691" t="s">
        <v>77</v>
      </c>
      <c r="P1691" t="s">
        <v>76</v>
      </c>
      <c r="S1691" t="s">
        <v>4505</v>
      </c>
    </row>
    <row r="1692" spans="1:19" x14ac:dyDescent="0.3">
      <c r="A1692" t="s">
        <v>4506</v>
      </c>
      <c r="B1692" t="s">
        <v>4507</v>
      </c>
      <c r="C1692" t="s">
        <v>196</v>
      </c>
      <c r="D1692" t="s">
        <v>63</v>
      </c>
      <c r="E1692" t="s">
        <v>74</v>
      </c>
      <c r="F1692" t="s">
        <v>228</v>
      </c>
      <c r="G1692" t="s">
        <v>196</v>
      </c>
      <c r="H1692" t="s">
        <v>75</v>
      </c>
      <c r="I1692">
        <v>0</v>
      </c>
      <c r="J1692">
        <v>0</v>
      </c>
      <c r="K1692">
        <v>0</v>
      </c>
      <c r="L1692">
        <v>0</v>
      </c>
      <c r="M1692" t="s">
        <v>76</v>
      </c>
      <c r="N1692" t="s">
        <v>76</v>
      </c>
      <c r="O1692" t="s">
        <v>77</v>
      </c>
      <c r="P1692" t="s">
        <v>76</v>
      </c>
      <c r="S1692" t="s">
        <v>4507</v>
      </c>
    </row>
    <row r="1693" spans="1:19" x14ac:dyDescent="0.3">
      <c r="A1693" t="s">
        <v>4508</v>
      </c>
      <c r="B1693" t="s">
        <v>4509</v>
      </c>
      <c r="C1693" t="s">
        <v>307</v>
      </c>
      <c r="D1693" t="s">
        <v>63</v>
      </c>
      <c r="E1693" t="s">
        <v>1751</v>
      </c>
      <c r="F1693" t="s">
        <v>251</v>
      </c>
      <c r="G1693" t="s">
        <v>307</v>
      </c>
      <c r="H1693" t="s">
        <v>75</v>
      </c>
      <c r="I1693">
        <v>0</v>
      </c>
      <c r="J1693">
        <v>0</v>
      </c>
      <c r="K1693">
        <v>0</v>
      </c>
      <c r="L1693">
        <v>0</v>
      </c>
      <c r="M1693" t="s">
        <v>76</v>
      </c>
      <c r="N1693" t="s">
        <v>76</v>
      </c>
      <c r="O1693" t="s">
        <v>77</v>
      </c>
      <c r="P1693" t="s">
        <v>76</v>
      </c>
      <c r="S1693" t="s">
        <v>4509</v>
      </c>
    </row>
    <row r="1694" spans="1:19" x14ac:dyDescent="0.3">
      <c r="A1694" t="s">
        <v>4510</v>
      </c>
      <c r="B1694" t="s">
        <v>4511</v>
      </c>
      <c r="C1694" t="s">
        <v>43</v>
      </c>
      <c r="D1694" t="s">
        <v>63</v>
      </c>
      <c r="E1694" t="s">
        <v>74</v>
      </c>
      <c r="F1694" t="s">
        <v>45</v>
      </c>
      <c r="G1694" t="s">
        <v>43</v>
      </c>
      <c r="H1694" t="s">
        <v>26</v>
      </c>
      <c r="I1694">
        <v>0</v>
      </c>
      <c r="J1694">
        <v>0</v>
      </c>
      <c r="K1694">
        <v>0</v>
      </c>
      <c r="L1694">
        <v>0</v>
      </c>
      <c r="M1694" t="s">
        <v>76</v>
      </c>
      <c r="N1694" t="s">
        <v>76</v>
      </c>
      <c r="O1694" t="s">
        <v>77</v>
      </c>
      <c r="P1694" t="s">
        <v>76</v>
      </c>
      <c r="S1694" t="s">
        <v>4511</v>
      </c>
    </row>
    <row r="1695" spans="1:19" x14ac:dyDescent="0.3">
      <c r="A1695" t="s">
        <v>4512</v>
      </c>
      <c r="B1695" t="s">
        <v>4513</v>
      </c>
      <c r="C1695" t="s">
        <v>243</v>
      </c>
      <c r="D1695" t="s">
        <v>63</v>
      </c>
      <c r="E1695" t="s">
        <v>74</v>
      </c>
      <c r="F1695" t="s">
        <v>243</v>
      </c>
      <c r="G1695" t="s">
        <v>244</v>
      </c>
      <c r="H1695" t="s">
        <v>75</v>
      </c>
      <c r="I1695">
        <v>0</v>
      </c>
      <c r="J1695">
        <v>0</v>
      </c>
      <c r="K1695">
        <v>0</v>
      </c>
      <c r="L1695">
        <v>0</v>
      </c>
      <c r="S1695" t="s">
        <v>4513</v>
      </c>
    </row>
    <row r="1696" spans="1:19" x14ac:dyDescent="0.3">
      <c r="A1696" t="s">
        <v>4514</v>
      </c>
      <c r="B1696" t="s">
        <v>4515</v>
      </c>
      <c r="C1696" t="s">
        <v>243</v>
      </c>
      <c r="D1696" t="s">
        <v>63</v>
      </c>
      <c r="E1696" t="s">
        <v>2121</v>
      </c>
      <c r="F1696" t="s">
        <v>243</v>
      </c>
      <c r="G1696" t="s">
        <v>244</v>
      </c>
      <c r="H1696" t="s">
        <v>75</v>
      </c>
      <c r="I1696">
        <v>0</v>
      </c>
      <c r="J1696">
        <v>0</v>
      </c>
      <c r="K1696">
        <v>0</v>
      </c>
      <c r="L1696">
        <v>0</v>
      </c>
      <c r="S1696" t="s">
        <v>4515</v>
      </c>
    </row>
    <row r="1697" spans="1:19" x14ac:dyDescent="0.3">
      <c r="A1697" t="s">
        <v>4516</v>
      </c>
      <c r="B1697" t="s">
        <v>4517</v>
      </c>
      <c r="C1697" t="s">
        <v>24</v>
      </c>
      <c r="D1697" t="s">
        <v>63</v>
      </c>
      <c r="E1697" t="s">
        <v>74</v>
      </c>
      <c r="F1697" t="s">
        <v>24</v>
      </c>
      <c r="G1697" t="s">
        <v>1005</v>
      </c>
      <c r="H1697" t="s">
        <v>26</v>
      </c>
      <c r="I1697">
        <v>0</v>
      </c>
      <c r="J1697">
        <v>0</v>
      </c>
      <c r="K1697">
        <v>0</v>
      </c>
      <c r="L1697">
        <v>0</v>
      </c>
      <c r="M1697" t="s">
        <v>76</v>
      </c>
      <c r="N1697" t="s">
        <v>76</v>
      </c>
      <c r="O1697" t="s">
        <v>77</v>
      </c>
      <c r="P1697" t="s">
        <v>76</v>
      </c>
      <c r="S1697" t="s">
        <v>4517</v>
      </c>
    </row>
    <row r="1698" spans="1:19" x14ac:dyDescent="0.3">
      <c r="A1698" t="s">
        <v>4518</v>
      </c>
      <c r="B1698" t="s">
        <v>4519</v>
      </c>
      <c r="C1698" t="s">
        <v>24</v>
      </c>
      <c r="D1698" t="s">
        <v>63</v>
      </c>
      <c r="E1698" t="s">
        <v>1751</v>
      </c>
      <c r="F1698" t="s">
        <v>24</v>
      </c>
      <c r="G1698" t="s">
        <v>4520</v>
      </c>
      <c r="H1698" t="s">
        <v>26</v>
      </c>
      <c r="I1698">
        <v>0</v>
      </c>
      <c r="J1698">
        <v>0</v>
      </c>
      <c r="K1698">
        <v>0</v>
      </c>
      <c r="L1698">
        <v>0</v>
      </c>
      <c r="M1698" t="s">
        <v>76</v>
      </c>
      <c r="N1698" t="s">
        <v>76</v>
      </c>
      <c r="O1698" t="s">
        <v>77</v>
      </c>
      <c r="P1698" t="s">
        <v>76</v>
      </c>
      <c r="S1698" t="s">
        <v>4519</v>
      </c>
    </row>
    <row r="1699" spans="1:19" x14ac:dyDescent="0.3">
      <c r="A1699" t="s">
        <v>4521</v>
      </c>
      <c r="B1699" t="s">
        <v>4522</v>
      </c>
      <c r="C1699" t="s">
        <v>24</v>
      </c>
      <c r="D1699" t="s">
        <v>63</v>
      </c>
      <c r="E1699" t="s">
        <v>74</v>
      </c>
      <c r="F1699" t="s">
        <v>24</v>
      </c>
      <c r="G1699" t="s">
        <v>1005</v>
      </c>
      <c r="H1699" t="s">
        <v>26</v>
      </c>
      <c r="I1699">
        <v>0</v>
      </c>
      <c r="J1699">
        <v>0</v>
      </c>
      <c r="K1699">
        <v>0</v>
      </c>
      <c r="L1699">
        <v>0</v>
      </c>
      <c r="M1699" t="s">
        <v>76</v>
      </c>
      <c r="N1699" t="s">
        <v>76</v>
      </c>
      <c r="O1699" t="s">
        <v>77</v>
      </c>
      <c r="P1699" t="s">
        <v>76</v>
      </c>
      <c r="Q1699" t="s">
        <v>2107</v>
      </c>
      <c r="R1699" t="s">
        <v>2108</v>
      </c>
      <c r="S1699" t="s">
        <v>4522</v>
      </c>
    </row>
    <row r="1700" spans="1:19" x14ac:dyDescent="0.3">
      <c r="A1700" t="s">
        <v>4523</v>
      </c>
      <c r="B1700" t="s">
        <v>4524</v>
      </c>
      <c r="C1700" t="s">
        <v>24</v>
      </c>
      <c r="D1700" t="s">
        <v>63</v>
      </c>
      <c r="E1700" t="s">
        <v>74</v>
      </c>
      <c r="F1700" t="s">
        <v>24</v>
      </c>
      <c r="G1700" t="s">
        <v>4523</v>
      </c>
      <c r="H1700" t="s">
        <v>26</v>
      </c>
      <c r="I1700">
        <v>0</v>
      </c>
      <c r="J1700">
        <v>0</v>
      </c>
      <c r="K1700">
        <v>0</v>
      </c>
      <c r="L1700">
        <v>0</v>
      </c>
      <c r="M1700" t="s">
        <v>76</v>
      </c>
      <c r="N1700" t="s">
        <v>76</v>
      </c>
      <c r="O1700" t="s">
        <v>77</v>
      </c>
      <c r="P1700" t="s">
        <v>76</v>
      </c>
      <c r="S1700" t="s">
        <v>4524</v>
      </c>
    </row>
    <row r="1701" spans="1:19" x14ac:dyDescent="0.3">
      <c r="A1701" t="s">
        <v>4525</v>
      </c>
      <c r="B1701" t="s">
        <v>4526</v>
      </c>
      <c r="C1701" t="s">
        <v>24</v>
      </c>
      <c r="D1701" t="s">
        <v>53</v>
      </c>
      <c r="E1701" t="s">
        <v>54</v>
      </c>
      <c r="F1701" t="s">
        <v>55</v>
      </c>
      <c r="G1701" t="s">
        <v>56</v>
      </c>
      <c r="H1701" t="s">
        <v>26</v>
      </c>
      <c r="I1701">
        <v>0</v>
      </c>
      <c r="J1701">
        <v>0</v>
      </c>
      <c r="K1701">
        <v>0</v>
      </c>
      <c r="L1701">
        <v>0</v>
      </c>
      <c r="M1701" t="s">
        <v>76</v>
      </c>
      <c r="N1701" t="s">
        <v>76</v>
      </c>
      <c r="O1701" t="s">
        <v>77</v>
      </c>
      <c r="P1701" t="s">
        <v>76</v>
      </c>
      <c r="S1701" t="s">
        <v>4526</v>
      </c>
    </row>
    <row r="1702" spans="1:19" x14ac:dyDescent="0.3">
      <c r="A1702" t="s">
        <v>4527</v>
      </c>
      <c r="B1702" t="s">
        <v>4528</v>
      </c>
      <c r="C1702" t="s">
        <v>24</v>
      </c>
      <c r="D1702" t="s">
        <v>63</v>
      </c>
      <c r="E1702" t="s">
        <v>74</v>
      </c>
      <c r="F1702" t="s">
        <v>24</v>
      </c>
      <c r="G1702" t="s">
        <v>879</v>
      </c>
      <c r="H1702" t="s">
        <v>26</v>
      </c>
      <c r="I1702">
        <v>0</v>
      </c>
      <c r="J1702">
        <v>0</v>
      </c>
      <c r="K1702">
        <v>0</v>
      </c>
      <c r="L1702">
        <v>0</v>
      </c>
      <c r="M1702" t="s">
        <v>76</v>
      </c>
      <c r="N1702" t="s">
        <v>76</v>
      </c>
      <c r="O1702" t="s">
        <v>77</v>
      </c>
      <c r="P1702" t="s">
        <v>76</v>
      </c>
      <c r="S1702" t="s">
        <v>4528</v>
      </c>
    </row>
    <row r="1703" spans="1:19" x14ac:dyDescent="0.3">
      <c r="A1703" t="s">
        <v>4529</v>
      </c>
      <c r="B1703" t="s">
        <v>4530</v>
      </c>
      <c r="C1703" t="s">
        <v>24</v>
      </c>
      <c r="D1703" t="s">
        <v>35</v>
      </c>
      <c r="E1703" t="s">
        <v>44</v>
      </c>
      <c r="F1703" t="s">
        <v>55</v>
      </c>
      <c r="G1703" t="s">
        <v>56</v>
      </c>
      <c r="H1703" t="s">
        <v>26</v>
      </c>
      <c r="I1703">
        <v>0</v>
      </c>
      <c r="J1703">
        <v>0</v>
      </c>
      <c r="K1703">
        <v>0</v>
      </c>
      <c r="L1703">
        <v>0</v>
      </c>
      <c r="M1703" t="s">
        <v>76</v>
      </c>
      <c r="N1703" t="s">
        <v>76</v>
      </c>
      <c r="O1703" t="s">
        <v>77</v>
      </c>
      <c r="P1703" t="s">
        <v>76</v>
      </c>
      <c r="S1703" t="s">
        <v>4530</v>
      </c>
    </row>
    <row r="1704" spans="1:19" x14ac:dyDescent="0.3">
      <c r="A1704" t="s">
        <v>879</v>
      </c>
      <c r="B1704" t="s">
        <v>4531</v>
      </c>
      <c r="C1704" t="s">
        <v>24</v>
      </c>
      <c r="F1704" t="s">
        <v>24</v>
      </c>
      <c r="G1704" t="s">
        <v>879</v>
      </c>
      <c r="H1704" t="s">
        <v>26</v>
      </c>
      <c r="I1704">
        <v>0</v>
      </c>
      <c r="J1704">
        <v>0</v>
      </c>
      <c r="K1704">
        <v>0</v>
      </c>
      <c r="L1704">
        <v>0</v>
      </c>
      <c r="M1704" t="s">
        <v>76</v>
      </c>
      <c r="N1704" t="s">
        <v>76</v>
      </c>
      <c r="O1704" t="s">
        <v>77</v>
      </c>
      <c r="P1704" t="s">
        <v>76</v>
      </c>
      <c r="S1704" t="s">
        <v>4531</v>
      </c>
    </row>
    <row r="1705" spans="1:19" x14ac:dyDescent="0.3">
      <c r="A1705" t="s">
        <v>4532</v>
      </c>
      <c r="B1705" t="s">
        <v>4533</v>
      </c>
      <c r="C1705" t="s">
        <v>24</v>
      </c>
      <c r="D1705" t="s">
        <v>63</v>
      </c>
      <c r="E1705" t="s">
        <v>74</v>
      </c>
      <c r="F1705" t="s">
        <v>24</v>
      </c>
      <c r="G1705" t="s">
        <v>879</v>
      </c>
      <c r="H1705" t="s">
        <v>26</v>
      </c>
      <c r="I1705">
        <v>0</v>
      </c>
      <c r="J1705">
        <v>0</v>
      </c>
      <c r="K1705">
        <v>0</v>
      </c>
      <c r="L1705">
        <v>0</v>
      </c>
      <c r="M1705" t="s">
        <v>76</v>
      </c>
      <c r="N1705" t="s">
        <v>76</v>
      </c>
      <c r="O1705" t="s">
        <v>77</v>
      </c>
      <c r="P1705" t="s">
        <v>76</v>
      </c>
      <c r="S1705" t="s">
        <v>4533</v>
      </c>
    </row>
    <row r="1706" spans="1:19" x14ac:dyDescent="0.3">
      <c r="A1706" t="s">
        <v>4336</v>
      </c>
      <c r="B1706" t="s">
        <v>4534</v>
      </c>
      <c r="C1706" t="s">
        <v>24</v>
      </c>
      <c r="D1706" t="s">
        <v>63</v>
      </c>
      <c r="E1706" t="s">
        <v>74</v>
      </c>
      <c r="F1706" t="s">
        <v>24</v>
      </c>
      <c r="G1706" t="s">
        <v>4336</v>
      </c>
      <c r="H1706" t="s">
        <v>26</v>
      </c>
      <c r="I1706">
        <v>0</v>
      </c>
      <c r="J1706">
        <v>0</v>
      </c>
      <c r="K1706">
        <v>0</v>
      </c>
      <c r="L1706">
        <v>0</v>
      </c>
      <c r="M1706" t="s">
        <v>287</v>
      </c>
      <c r="N1706" t="s">
        <v>287</v>
      </c>
      <c r="O1706" t="s">
        <v>288</v>
      </c>
      <c r="P1706" t="s">
        <v>30</v>
      </c>
      <c r="Q1706" t="s">
        <v>4535</v>
      </c>
      <c r="R1706" t="s">
        <v>4536</v>
      </c>
      <c r="S1706" t="s">
        <v>4534</v>
      </c>
    </row>
    <row r="1707" spans="1:19" x14ac:dyDescent="0.3">
      <c r="A1707" t="s">
        <v>4537</v>
      </c>
      <c r="B1707" t="s">
        <v>4538</v>
      </c>
      <c r="C1707" t="s">
        <v>24</v>
      </c>
      <c r="D1707" t="s">
        <v>63</v>
      </c>
      <c r="E1707" t="s">
        <v>74</v>
      </c>
      <c r="F1707" t="s">
        <v>24</v>
      </c>
      <c r="G1707" t="s">
        <v>4539</v>
      </c>
      <c r="H1707" t="s">
        <v>26</v>
      </c>
      <c r="I1707">
        <v>0</v>
      </c>
      <c r="J1707">
        <v>0</v>
      </c>
      <c r="K1707">
        <v>0</v>
      </c>
      <c r="L1707">
        <v>0</v>
      </c>
      <c r="M1707" t="s">
        <v>76</v>
      </c>
      <c r="N1707" t="s">
        <v>76</v>
      </c>
      <c r="O1707" t="s">
        <v>77</v>
      </c>
      <c r="P1707" t="s">
        <v>76</v>
      </c>
      <c r="S1707" t="s">
        <v>4538</v>
      </c>
    </row>
    <row r="1708" spans="1:19" x14ac:dyDescent="0.3">
      <c r="A1708" t="s">
        <v>4540</v>
      </c>
      <c r="B1708" t="s">
        <v>4541</v>
      </c>
      <c r="C1708" t="s">
        <v>24</v>
      </c>
      <c r="D1708" t="s">
        <v>63</v>
      </c>
      <c r="E1708" t="s">
        <v>345</v>
      </c>
      <c r="F1708" t="s">
        <v>55</v>
      </c>
      <c r="G1708" t="s">
        <v>4540</v>
      </c>
      <c r="H1708" t="s">
        <v>26</v>
      </c>
      <c r="I1708">
        <v>0</v>
      </c>
      <c r="J1708">
        <v>0</v>
      </c>
      <c r="K1708">
        <v>0</v>
      </c>
      <c r="L1708">
        <v>0</v>
      </c>
      <c r="M1708" t="s">
        <v>76</v>
      </c>
      <c r="N1708" t="s">
        <v>76</v>
      </c>
      <c r="O1708" t="s">
        <v>77</v>
      </c>
      <c r="P1708" t="s">
        <v>76</v>
      </c>
      <c r="S1708" t="s">
        <v>4541</v>
      </c>
    </row>
    <row r="1709" spans="1:19" x14ac:dyDescent="0.3">
      <c r="A1709" t="s">
        <v>4542</v>
      </c>
      <c r="B1709" t="s">
        <v>4543</v>
      </c>
      <c r="C1709" t="s">
        <v>24</v>
      </c>
      <c r="D1709" t="s">
        <v>63</v>
      </c>
      <c r="E1709" t="s">
        <v>74</v>
      </c>
      <c r="F1709" t="s">
        <v>55</v>
      </c>
      <c r="G1709" t="s">
        <v>3461</v>
      </c>
      <c r="H1709" t="s">
        <v>26</v>
      </c>
      <c r="I1709">
        <v>0</v>
      </c>
      <c r="J1709">
        <v>0</v>
      </c>
      <c r="K1709">
        <v>0</v>
      </c>
      <c r="L1709">
        <v>0</v>
      </c>
      <c r="M1709" t="s">
        <v>239</v>
      </c>
      <c r="N1709" t="s">
        <v>239</v>
      </c>
      <c r="O1709" t="s">
        <v>240</v>
      </c>
      <c r="P1709" t="s">
        <v>239</v>
      </c>
      <c r="S1709" t="s">
        <v>4543</v>
      </c>
    </row>
    <row r="1710" spans="1:19" x14ac:dyDescent="0.3">
      <c r="A1710" t="s">
        <v>4544</v>
      </c>
      <c r="B1710" t="s">
        <v>4545</v>
      </c>
      <c r="E1710" t="s">
        <v>400</v>
      </c>
      <c r="F1710" t="s">
        <v>109</v>
      </c>
      <c r="G1710" t="s">
        <v>879</v>
      </c>
      <c r="H1710" t="s">
        <v>26</v>
      </c>
      <c r="I1710">
        <v>0</v>
      </c>
      <c r="J1710">
        <v>0</v>
      </c>
      <c r="K1710">
        <v>0</v>
      </c>
      <c r="L1710">
        <v>0</v>
      </c>
      <c r="M1710" t="s">
        <v>76</v>
      </c>
      <c r="N1710" t="s">
        <v>76</v>
      </c>
      <c r="O1710" t="s">
        <v>77</v>
      </c>
      <c r="P1710" t="s">
        <v>76</v>
      </c>
      <c r="S1710" t="s">
        <v>4545</v>
      </c>
    </row>
    <row r="1711" spans="1:19" x14ac:dyDescent="0.3">
      <c r="A1711" t="s">
        <v>4546</v>
      </c>
      <c r="B1711" t="s">
        <v>4547</v>
      </c>
      <c r="E1711" t="s">
        <v>54</v>
      </c>
      <c r="F1711" t="s">
        <v>55</v>
      </c>
      <c r="G1711" t="s">
        <v>56</v>
      </c>
      <c r="H1711" t="s">
        <v>26</v>
      </c>
      <c r="I1711">
        <v>0</v>
      </c>
      <c r="J1711">
        <v>0</v>
      </c>
      <c r="K1711">
        <v>0</v>
      </c>
      <c r="L1711">
        <v>0</v>
      </c>
      <c r="M1711" t="s">
        <v>76</v>
      </c>
      <c r="N1711" t="s">
        <v>76</v>
      </c>
      <c r="O1711" t="s">
        <v>77</v>
      </c>
      <c r="P1711" t="s">
        <v>76</v>
      </c>
      <c r="S1711" t="s">
        <v>4547</v>
      </c>
    </row>
    <row r="1712" spans="1:19" x14ac:dyDescent="0.3">
      <c r="A1712" t="s">
        <v>4548</v>
      </c>
      <c r="B1712" t="s">
        <v>4549</v>
      </c>
      <c r="C1712" t="s">
        <v>24</v>
      </c>
      <c r="D1712" t="s">
        <v>63</v>
      </c>
      <c r="E1712" t="s">
        <v>74</v>
      </c>
      <c r="F1712" t="s">
        <v>24</v>
      </c>
      <c r="G1712" t="s">
        <v>879</v>
      </c>
      <c r="H1712" t="s">
        <v>26</v>
      </c>
      <c r="I1712">
        <v>0</v>
      </c>
      <c r="J1712">
        <v>0</v>
      </c>
      <c r="K1712">
        <v>0</v>
      </c>
      <c r="L1712">
        <v>0</v>
      </c>
      <c r="M1712" t="s">
        <v>76</v>
      </c>
      <c r="N1712" t="s">
        <v>76</v>
      </c>
      <c r="O1712" t="s">
        <v>77</v>
      </c>
      <c r="P1712" t="s">
        <v>76</v>
      </c>
      <c r="S1712" t="s">
        <v>4549</v>
      </c>
    </row>
    <row r="1713" spans="1:19" x14ac:dyDescent="0.3">
      <c r="A1713" t="s">
        <v>4550</v>
      </c>
      <c r="B1713" t="s">
        <v>4551</v>
      </c>
      <c r="C1713" t="s">
        <v>24</v>
      </c>
      <c r="D1713" t="s">
        <v>35</v>
      </c>
      <c r="E1713" t="s">
        <v>80</v>
      </c>
      <c r="F1713" t="s">
        <v>55</v>
      </c>
      <c r="G1713" t="s">
        <v>56</v>
      </c>
      <c r="H1713" t="s">
        <v>26</v>
      </c>
      <c r="I1713">
        <v>0</v>
      </c>
      <c r="J1713">
        <v>0</v>
      </c>
      <c r="K1713">
        <v>0</v>
      </c>
      <c r="L1713">
        <v>0</v>
      </c>
      <c r="M1713" t="s">
        <v>76</v>
      </c>
      <c r="N1713" t="s">
        <v>76</v>
      </c>
      <c r="O1713" t="s">
        <v>77</v>
      </c>
      <c r="P1713" t="s">
        <v>76</v>
      </c>
      <c r="S1713" t="s">
        <v>4551</v>
      </c>
    </row>
    <row r="1714" spans="1:19" x14ac:dyDescent="0.3">
      <c r="A1714" t="s">
        <v>4552</v>
      </c>
      <c r="B1714" t="s">
        <v>4553</v>
      </c>
      <c r="C1714" t="s">
        <v>24</v>
      </c>
      <c r="D1714" t="s">
        <v>35</v>
      </c>
      <c r="E1714" t="s">
        <v>128</v>
      </c>
      <c r="F1714" t="s">
        <v>24</v>
      </c>
      <c r="G1714" t="s">
        <v>4552</v>
      </c>
      <c r="H1714" t="s">
        <v>26</v>
      </c>
      <c r="I1714">
        <v>0</v>
      </c>
      <c r="J1714">
        <v>0</v>
      </c>
      <c r="K1714">
        <v>0</v>
      </c>
      <c r="L1714">
        <v>0</v>
      </c>
      <c r="M1714" t="s">
        <v>76</v>
      </c>
      <c r="N1714" t="s">
        <v>76</v>
      </c>
      <c r="O1714" t="s">
        <v>77</v>
      </c>
      <c r="P1714" t="s">
        <v>76</v>
      </c>
      <c r="S1714" t="s">
        <v>4553</v>
      </c>
    </row>
    <row r="1715" spans="1:19" x14ac:dyDescent="0.3">
      <c r="A1715" t="s">
        <v>4554</v>
      </c>
      <c r="B1715" t="s">
        <v>4555</v>
      </c>
      <c r="C1715" t="s">
        <v>24</v>
      </c>
      <c r="D1715" t="s">
        <v>63</v>
      </c>
      <c r="E1715" t="s">
        <v>74</v>
      </c>
      <c r="F1715" t="s">
        <v>55</v>
      </c>
      <c r="G1715" t="s">
        <v>56</v>
      </c>
      <c r="H1715" t="s">
        <v>26</v>
      </c>
      <c r="I1715">
        <v>0</v>
      </c>
      <c r="J1715">
        <v>0</v>
      </c>
      <c r="K1715">
        <v>0</v>
      </c>
      <c r="L1715">
        <v>0</v>
      </c>
      <c r="M1715" t="s">
        <v>76</v>
      </c>
      <c r="N1715" t="s">
        <v>76</v>
      </c>
      <c r="O1715" t="s">
        <v>77</v>
      </c>
      <c r="P1715" t="s">
        <v>76</v>
      </c>
      <c r="S1715" t="s">
        <v>4555</v>
      </c>
    </row>
    <row r="1716" spans="1:19" x14ac:dyDescent="0.3">
      <c r="A1716" t="s">
        <v>4556</v>
      </c>
      <c r="B1716" t="s">
        <v>4557</v>
      </c>
      <c r="C1716" t="s">
        <v>24</v>
      </c>
      <c r="D1716" t="s">
        <v>63</v>
      </c>
      <c r="E1716" t="s">
        <v>74</v>
      </c>
      <c r="F1716" t="s">
        <v>24</v>
      </c>
      <c r="G1716" t="s">
        <v>4556</v>
      </c>
      <c r="H1716" t="s">
        <v>26</v>
      </c>
      <c r="I1716">
        <v>0</v>
      </c>
      <c r="J1716">
        <v>0</v>
      </c>
      <c r="K1716">
        <v>0</v>
      </c>
      <c r="L1716">
        <v>0</v>
      </c>
      <c r="M1716" t="s">
        <v>76</v>
      </c>
      <c r="N1716" t="s">
        <v>76</v>
      </c>
      <c r="O1716" t="s">
        <v>77</v>
      </c>
      <c r="P1716" t="s">
        <v>76</v>
      </c>
      <c r="S1716" t="s">
        <v>4557</v>
      </c>
    </row>
    <row r="1717" spans="1:19" x14ac:dyDescent="0.3">
      <c r="A1717" t="s">
        <v>4558</v>
      </c>
      <c r="B1717" t="s">
        <v>4559</v>
      </c>
      <c r="C1717" t="s">
        <v>21</v>
      </c>
      <c r="D1717" t="s">
        <v>63</v>
      </c>
      <c r="E1717" t="s">
        <v>74</v>
      </c>
      <c r="F1717" t="s">
        <v>24</v>
      </c>
      <c r="G1717" t="s">
        <v>21</v>
      </c>
      <c r="H1717" t="s">
        <v>26</v>
      </c>
      <c r="I1717">
        <v>0</v>
      </c>
      <c r="J1717">
        <v>0</v>
      </c>
      <c r="K1717">
        <v>0</v>
      </c>
      <c r="L1717">
        <v>0</v>
      </c>
      <c r="M1717" t="s">
        <v>76</v>
      </c>
      <c r="N1717" t="s">
        <v>76</v>
      </c>
      <c r="O1717" t="s">
        <v>77</v>
      </c>
      <c r="P1717" t="s">
        <v>76</v>
      </c>
      <c r="S1717" t="s">
        <v>4559</v>
      </c>
    </row>
    <row r="1718" spans="1:19" x14ac:dyDescent="0.3">
      <c r="A1718" t="s">
        <v>4560</v>
      </c>
      <c r="B1718" t="s">
        <v>4561</v>
      </c>
      <c r="C1718" t="s">
        <v>21</v>
      </c>
      <c r="D1718" t="s">
        <v>63</v>
      </c>
      <c r="E1718" t="s">
        <v>74</v>
      </c>
      <c r="F1718" t="s">
        <v>24</v>
      </c>
      <c r="G1718" t="s">
        <v>21</v>
      </c>
      <c r="H1718" t="s">
        <v>26</v>
      </c>
      <c r="I1718">
        <v>0</v>
      </c>
      <c r="J1718">
        <v>0</v>
      </c>
      <c r="K1718">
        <v>0</v>
      </c>
      <c r="L1718">
        <v>0</v>
      </c>
      <c r="M1718" t="s">
        <v>76</v>
      </c>
      <c r="N1718" t="s">
        <v>76</v>
      </c>
      <c r="O1718" t="s">
        <v>77</v>
      </c>
      <c r="P1718" t="s">
        <v>76</v>
      </c>
      <c r="S1718" t="s">
        <v>4561</v>
      </c>
    </row>
    <row r="1719" spans="1:19" x14ac:dyDescent="0.3">
      <c r="A1719" t="s">
        <v>4562</v>
      </c>
      <c r="B1719" t="s">
        <v>4563</v>
      </c>
      <c r="C1719" t="s">
        <v>21</v>
      </c>
      <c r="E1719" t="s">
        <v>80</v>
      </c>
      <c r="F1719" t="s">
        <v>24</v>
      </c>
      <c r="G1719" t="s">
        <v>21</v>
      </c>
      <c r="H1719" t="s">
        <v>26</v>
      </c>
      <c r="I1719">
        <v>0</v>
      </c>
      <c r="J1719">
        <v>0</v>
      </c>
      <c r="K1719">
        <v>0</v>
      </c>
      <c r="L1719">
        <v>0</v>
      </c>
      <c r="M1719" t="s">
        <v>76</v>
      </c>
      <c r="N1719" t="s">
        <v>76</v>
      </c>
      <c r="O1719" t="s">
        <v>77</v>
      </c>
      <c r="P1719" t="s">
        <v>76</v>
      </c>
      <c r="S1719" t="s">
        <v>4563</v>
      </c>
    </row>
    <row r="1720" spans="1:19" x14ac:dyDescent="0.3">
      <c r="A1720" t="s">
        <v>3965</v>
      </c>
      <c r="B1720" t="s">
        <v>4564</v>
      </c>
      <c r="C1720" t="s">
        <v>24</v>
      </c>
      <c r="D1720" t="s">
        <v>63</v>
      </c>
      <c r="E1720" t="s">
        <v>74</v>
      </c>
      <c r="F1720" t="s">
        <v>24</v>
      </c>
      <c r="G1720" t="s">
        <v>3965</v>
      </c>
      <c r="H1720" t="s">
        <v>26</v>
      </c>
      <c r="I1720">
        <v>0</v>
      </c>
      <c r="J1720">
        <v>0</v>
      </c>
      <c r="K1720">
        <v>0</v>
      </c>
      <c r="L1720">
        <v>0</v>
      </c>
      <c r="M1720" t="s">
        <v>76</v>
      </c>
      <c r="N1720" t="s">
        <v>76</v>
      </c>
      <c r="O1720" t="s">
        <v>77</v>
      </c>
      <c r="P1720" t="s">
        <v>76</v>
      </c>
      <c r="S1720" t="s">
        <v>4564</v>
      </c>
    </row>
    <row r="1721" spans="1:19" x14ac:dyDescent="0.3">
      <c r="A1721" t="s">
        <v>4565</v>
      </c>
      <c r="B1721" t="s">
        <v>4566</v>
      </c>
      <c r="C1721" t="s">
        <v>24</v>
      </c>
      <c r="D1721" t="s">
        <v>63</v>
      </c>
      <c r="E1721" t="s">
        <v>74</v>
      </c>
      <c r="F1721" t="s">
        <v>55</v>
      </c>
      <c r="G1721" t="s">
        <v>4567</v>
      </c>
      <c r="H1721" t="s">
        <v>26</v>
      </c>
      <c r="I1721">
        <v>0</v>
      </c>
      <c r="J1721">
        <v>0</v>
      </c>
      <c r="K1721">
        <v>0</v>
      </c>
      <c r="L1721">
        <v>0</v>
      </c>
      <c r="M1721" t="s">
        <v>239</v>
      </c>
      <c r="N1721" t="s">
        <v>239</v>
      </c>
      <c r="O1721" t="s">
        <v>240</v>
      </c>
      <c r="P1721" t="s">
        <v>239</v>
      </c>
      <c r="S1721" t="s">
        <v>4566</v>
      </c>
    </row>
    <row r="1722" spans="1:19" x14ac:dyDescent="0.3">
      <c r="A1722" t="s">
        <v>4568</v>
      </c>
      <c r="B1722" t="s">
        <v>4569</v>
      </c>
      <c r="C1722" t="s">
        <v>196</v>
      </c>
      <c r="D1722" t="s">
        <v>35</v>
      </c>
      <c r="E1722" t="s">
        <v>80</v>
      </c>
      <c r="F1722" t="s">
        <v>228</v>
      </c>
      <c r="G1722" t="s">
        <v>196</v>
      </c>
      <c r="H1722" t="s">
        <v>75</v>
      </c>
      <c r="I1722">
        <v>0</v>
      </c>
      <c r="J1722">
        <v>0</v>
      </c>
      <c r="K1722">
        <v>0</v>
      </c>
      <c r="L1722">
        <v>0</v>
      </c>
      <c r="M1722" t="s">
        <v>76</v>
      </c>
      <c r="N1722" t="s">
        <v>76</v>
      </c>
      <c r="O1722" t="s">
        <v>77</v>
      </c>
      <c r="P1722" t="s">
        <v>76</v>
      </c>
      <c r="S1722" t="s">
        <v>4569</v>
      </c>
    </row>
    <row r="1723" spans="1:19" x14ac:dyDescent="0.3">
      <c r="A1723" t="s">
        <v>4570</v>
      </c>
      <c r="B1723" t="s">
        <v>4571</v>
      </c>
      <c r="C1723" t="s">
        <v>45</v>
      </c>
      <c r="D1723" t="s">
        <v>35</v>
      </c>
      <c r="E1723" t="s">
        <v>389</v>
      </c>
      <c r="F1723" t="s">
        <v>45</v>
      </c>
      <c r="G1723" t="s">
        <v>4570</v>
      </c>
      <c r="H1723" t="s">
        <v>26</v>
      </c>
      <c r="I1723">
        <v>0</v>
      </c>
      <c r="J1723">
        <v>0</v>
      </c>
      <c r="K1723">
        <v>0</v>
      </c>
      <c r="L1723">
        <v>0</v>
      </c>
      <c r="M1723" t="s">
        <v>76</v>
      </c>
      <c r="N1723" t="s">
        <v>76</v>
      </c>
      <c r="O1723" t="s">
        <v>77</v>
      </c>
      <c r="P1723" t="s">
        <v>76</v>
      </c>
      <c r="S1723" t="s">
        <v>4571</v>
      </c>
    </row>
    <row r="1724" spans="1:19" x14ac:dyDescent="0.3">
      <c r="A1724" t="s">
        <v>4572</v>
      </c>
      <c r="B1724" t="s">
        <v>4573</v>
      </c>
      <c r="C1724" t="s">
        <v>24</v>
      </c>
      <c r="D1724" t="s">
        <v>35</v>
      </c>
      <c r="E1724" t="s">
        <v>389</v>
      </c>
      <c r="F1724" t="s">
        <v>24</v>
      </c>
      <c r="G1724" t="s">
        <v>4574</v>
      </c>
      <c r="H1724" t="s">
        <v>26</v>
      </c>
      <c r="I1724">
        <v>0</v>
      </c>
      <c r="J1724">
        <v>0</v>
      </c>
      <c r="K1724">
        <v>0</v>
      </c>
      <c r="L1724">
        <v>0</v>
      </c>
      <c r="M1724" t="s">
        <v>76</v>
      </c>
      <c r="N1724" t="s">
        <v>76</v>
      </c>
      <c r="O1724" t="s">
        <v>77</v>
      </c>
      <c r="P1724" t="s">
        <v>76</v>
      </c>
      <c r="S1724" t="s">
        <v>4573</v>
      </c>
    </row>
    <row r="1725" spans="1:19" x14ac:dyDescent="0.3">
      <c r="A1725" t="s">
        <v>4575</v>
      </c>
      <c r="B1725" t="s">
        <v>4576</v>
      </c>
      <c r="C1725" t="s">
        <v>24</v>
      </c>
      <c r="D1725" t="s">
        <v>35</v>
      </c>
      <c r="E1725" t="s">
        <v>560</v>
      </c>
      <c r="F1725" t="s">
        <v>24</v>
      </c>
      <c r="G1725" t="s">
        <v>4577</v>
      </c>
      <c r="H1725" t="s">
        <v>26</v>
      </c>
      <c r="I1725">
        <v>0</v>
      </c>
      <c r="J1725">
        <v>0</v>
      </c>
      <c r="K1725">
        <v>0</v>
      </c>
      <c r="L1725">
        <v>0</v>
      </c>
      <c r="M1725" t="s">
        <v>76</v>
      </c>
      <c r="N1725" t="s">
        <v>76</v>
      </c>
      <c r="O1725" t="s">
        <v>77</v>
      </c>
      <c r="P1725" t="s">
        <v>76</v>
      </c>
      <c r="S1725" t="s">
        <v>4576</v>
      </c>
    </row>
    <row r="1726" spans="1:19" x14ac:dyDescent="0.3">
      <c r="A1726" t="s">
        <v>4578</v>
      </c>
      <c r="B1726" t="s">
        <v>4579</v>
      </c>
      <c r="C1726" t="s">
        <v>24</v>
      </c>
      <c r="F1726" t="s">
        <v>24</v>
      </c>
      <c r="G1726" t="s">
        <v>1005</v>
      </c>
      <c r="H1726" t="s">
        <v>26</v>
      </c>
      <c r="I1726">
        <v>0</v>
      </c>
      <c r="J1726">
        <v>0</v>
      </c>
      <c r="K1726">
        <v>0</v>
      </c>
      <c r="L1726">
        <v>0</v>
      </c>
      <c r="M1726" t="s">
        <v>76</v>
      </c>
      <c r="N1726" t="s">
        <v>76</v>
      </c>
      <c r="O1726" t="s">
        <v>77</v>
      </c>
      <c r="P1726" t="s">
        <v>76</v>
      </c>
      <c r="S1726" t="s">
        <v>4579</v>
      </c>
    </row>
    <row r="1727" spans="1:19" x14ac:dyDescent="0.3">
      <c r="A1727" t="s">
        <v>4580</v>
      </c>
      <c r="B1727" t="s">
        <v>4581</v>
      </c>
      <c r="C1727" t="s">
        <v>24</v>
      </c>
      <c r="D1727" t="s">
        <v>63</v>
      </c>
      <c r="E1727" t="s">
        <v>74</v>
      </c>
      <c r="F1727" t="s">
        <v>55</v>
      </c>
      <c r="G1727" t="s">
        <v>4580</v>
      </c>
      <c r="H1727" t="s">
        <v>26</v>
      </c>
      <c r="I1727">
        <v>0</v>
      </c>
      <c r="J1727">
        <v>0</v>
      </c>
      <c r="K1727">
        <v>0</v>
      </c>
      <c r="L1727">
        <v>0</v>
      </c>
      <c r="M1727" t="s">
        <v>76</v>
      </c>
      <c r="N1727" t="s">
        <v>76</v>
      </c>
      <c r="O1727" t="s">
        <v>77</v>
      </c>
      <c r="P1727" t="s">
        <v>76</v>
      </c>
      <c r="S1727" t="s">
        <v>4581</v>
      </c>
    </row>
    <row r="1728" spans="1:19" x14ac:dyDescent="0.3">
      <c r="A1728" t="s">
        <v>4582</v>
      </c>
      <c r="B1728" t="s">
        <v>4583</v>
      </c>
      <c r="C1728" t="s">
        <v>21</v>
      </c>
      <c r="D1728" t="s">
        <v>53</v>
      </c>
      <c r="E1728" t="s">
        <v>3729</v>
      </c>
      <c r="F1728" t="s">
        <v>24</v>
      </c>
      <c r="G1728" t="s">
        <v>21</v>
      </c>
      <c r="H1728" t="s">
        <v>26</v>
      </c>
      <c r="I1728">
        <v>0</v>
      </c>
      <c r="J1728">
        <v>0</v>
      </c>
      <c r="K1728">
        <v>0</v>
      </c>
      <c r="L1728">
        <v>0</v>
      </c>
      <c r="M1728" t="s">
        <v>76</v>
      </c>
      <c r="N1728" t="s">
        <v>76</v>
      </c>
      <c r="O1728" t="s">
        <v>77</v>
      </c>
      <c r="P1728" t="s">
        <v>76</v>
      </c>
      <c r="S1728" t="s">
        <v>4583</v>
      </c>
    </row>
    <row r="1729" spans="1:19" x14ac:dyDescent="0.3">
      <c r="A1729" t="s">
        <v>4584</v>
      </c>
      <c r="B1729" t="s">
        <v>4585</v>
      </c>
      <c r="C1729" t="s">
        <v>196</v>
      </c>
      <c r="D1729" t="s">
        <v>35</v>
      </c>
      <c r="E1729" t="s">
        <v>150</v>
      </c>
      <c r="F1729" t="s">
        <v>228</v>
      </c>
      <c r="G1729" t="s">
        <v>196</v>
      </c>
      <c r="H1729" t="s">
        <v>75</v>
      </c>
      <c r="I1729">
        <v>0</v>
      </c>
      <c r="J1729">
        <v>0</v>
      </c>
      <c r="K1729">
        <v>0</v>
      </c>
      <c r="L1729">
        <v>0</v>
      </c>
      <c r="M1729" t="s">
        <v>76</v>
      </c>
      <c r="N1729" t="s">
        <v>76</v>
      </c>
      <c r="O1729" t="s">
        <v>77</v>
      </c>
      <c r="P1729" t="s">
        <v>76</v>
      </c>
      <c r="S1729" t="s">
        <v>4585</v>
      </c>
    </row>
    <row r="1730" spans="1:19" x14ac:dyDescent="0.3">
      <c r="A1730" t="s">
        <v>4586</v>
      </c>
      <c r="B1730" t="s">
        <v>4587</v>
      </c>
      <c r="C1730" t="s">
        <v>24</v>
      </c>
      <c r="F1730" t="s">
        <v>55</v>
      </c>
      <c r="G1730" t="s">
        <v>56</v>
      </c>
      <c r="H1730" t="s">
        <v>26</v>
      </c>
      <c r="I1730">
        <v>0</v>
      </c>
      <c r="J1730">
        <v>0</v>
      </c>
      <c r="K1730">
        <v>0</v>
      </c>
      <c r="L1730">
        <v>0</v>
      </c>
      <c r="M1730" t="s">
        <v>76</v>
      </c>
      <c r="N1730" t="s">
        <v>76</v>
      </c>
      <c r="O1730" t="s">
        <v>77</v>
      </c>
      <c r="P1730" t="s">
        <v>76</v>
      </c>
      <c r="S1730" t="s">
        <v>4587</v>
      </c>
    </row>
    <row r="1731" spans="1:19" x14ac:dyDescent="0.3">
      <c r="A1731" t="s">
        <v>4588</v>
      </c>
      <c r="B1731" t="s">
        <v>4589</v>
      </c>
      <c r="C1731" t="s">
        <v>24</v>
      </c>
      <c r="D1731" t="s">
        <v>1138</v>
      </c>
      <c r="E1731" t="s">
        <v>2412</v>
      </c>
      <c r="F1731" t="s">
        <v>55</v>
      </c>
      <c r="G1731" t="s">
        <v>56</v>
      </c>
      <c r="H1731" t="s">
        <v>26</v>
      </c>
      <c r="I1731">
        <v>0</v>
      </c>
      <c r="J1731">
        <v>0</v>
      </c>
      <c r="K1731">
        <v>0</v>
      </c>
      <c r="L1731">
        <v>0</v>
      </c>
      <c r="M1731" t="s">
        <v>76</v>
      </c>
      <c r="N1731" t="s">
        <v>76</v>
      </c>
      <c r="O1731" t="s">
        <v>77</v>
      </c>
      <c r="P1731" t="s">
        <v>76</v>
      </c>
      <c r="S1731" t="s">
        <v>4589</v>
      </c>
    </row>
    <row r="1732" spans="1:19" x14ac:dyDescent="0.3">
      <c r="A1732" t="s">
        <v>4590</v>
      </c>
      <c r="B1732" t="s">
        <v>4591</v>
      </c>
      <c r="C1732" t="s">
        <v>24</v>
      </c>
      <c r="D1732" t="s">
        <v>63</v>
      </c>
      <c r="E1732" t="s">
        <v>74</v>
      </c>
      <c r="F1732" t="s">
        <v>24</v>
      </c>
      <c r="G1732" t="s">
        <v>4539</v>
      </c>
      <c r="H1732" t="s">
        <v>26</v>
      </c>
      <c r="I1732">
        <v>0</v>
      </c>
      <c r="J1732">
        <v>0</v>
      </c>
      <c r="K1732">
        <v>0</v>
      </c>
      <c r="L1732">
        <v>0</v>
      </c>
      <c r="M1732" t="s">
        <v>76</v>
      </c>
      <c r="N1732" t="s">
        <v>76</v>
      </c>
      <c r="O1732" t="s">
        <v>77</v>
      </c>
      <c r="P1732" t="s">
        <v>76</v>
      </c>
      <c r="S1732" t="s">
        <v>4591</v>
      </c>
    </row>
    <row r="1733" spans="1:19" x14ac:dyDescent="0.3">
      <c r="A1733" t="s">
        <v>4592</v>
      </c>
      <c r="B1733" t="s">
        <v>4593</v>
      </c>
      <c r="C1733" t="s">
        <v>24</v>
      </c>
      <c r="D1733" t="s">
        <v>63</v>
      </c>
      <c r="E1733" t="s">
        <v>74</v>
      </c>
      <c r="F1733" t="s">
        <v>24</v>
      </c>
      <c r="G1733" t="s">
        <v>4594</v>
      </c>
      <c r="H1733" t="s">
        <v>26</v>
      </c>
      <c r="I1733">
        <v>0</v>
      </c>
      <c r="J1733">
        <v>0</v>
      </c>
      <c r="K1733">
        <v>0</v>
      </c>
      <c r="L1733">
        <v>0</v>
      </c>
      <c r="M1733" t="s">
        <v>76</v>
      </c>
      <c r="N1733" t="s">
        <v>76</v>
      </c>
      <c r="O1733" t="s">
        <v>77</v>
      </c>
      <c r="P1733" t="s">
        <v>76</v>
      </c>
      <c r="S1733" t="s">
        <v>4593</v>
      </c>
    </row>
    <row r="1734" spans="1:19" x14ac:dyDescent="0.3">
      <c r="A1734" t="s">
        <v>4595</v>
      </c>
      <c r="B1734" t="s">
        <v>4596</v>
      </c>
      <c r="C1734" t="s">
        <v>24</v>
      </c>
      <c r="D1734" t="s">
        <v>63</v>
      </c>
      <c r="E1734" t="s">
        <v>575</v>
      </c>
      <c r="F1734" t="s">
        <v>55</v>
      </c>
      <c r="G1734" t="s">
        <v>4597</v>
      </c>
      <c r="H1734" t="s">
        <v>26</v>
      </c>
      <c r="I1734">
        <v>0</v>
      </c>
      <c r="J1734">
        <v>0</v>
      </c>
      <c r="K1734">
        <v>0</v>
      </c>
      <c r="L1734">
        <v>0</v>
      </c>
      <c r="M1734" t="s">
        <v>76</v>
      </c>
      <c r="N1734" t="s">
        <v>76</v>
      </c>
      <c r="O1734" t="s">
        <v>77</v>
      </c>
      <c r="P1734" t="s">
        <v>76</v>
      </c>
      <c r="S1734" t="s">
        <v>4596</v>
      </c>
    </row>
    <row r="1735" spans="1:19" x14ac:dyDescent="0.3">
      <c r="A1735" t="s">
        <v>4598</v>
      </c>
      <c r="B1735" t="s">
        <v>4599</v>
      </c>
      <c r="C1735" t="s">
        <v>24</v>
      </c>
      <c r="D1735" t="s">
        <v>63</v>
      </c>
      <c r="E1735" t="s">
        <v>74</v>
      </c>
      <c r="F1735" t="s">
        <v>55</v>
      </c>
      <c r="G1735" t="s">
        <v>4598</v>
      </c>
      <c r="H1735" t="s">
        <v>26</v>
      </c>
      <c r="I1735">
        <v>0</v>
      </c>
      <c r="J1735">
        <v>0</v>
      </c>
      <c r="K1735">
        <v>0</v>
      </c>
      <c r="L1735">
        <v>0</v>
      </c>
      <c r="M1735" t="s">
        <v>76</v>
      </c>
      <c r="N1735" t="s">
        <v>76</v>
      </c>
      <c r="O1735" t="s">
        <v>77</v>
      </c>
      <c r="P1735" t="s">
        <v>76</v>
      </c>
      <c r="S1735" t="s">
        <v>4599</v>
      </c>
    </row>
    <row r="1736" spans="1:19" x14ac:dyDescent="0.3">
      <c r="A1736" t="s">
        <v>4600</v>
      </c>
      <c r="B1736" t="s">
        <v>4601</v>
      </c>
      <c r="C1736" t="s">
        <v>24</v>
      </c>
      <c r="D1736" t="s">
        <v>63</v>
      </c>
      <c r="E1736" t="s">
        <v>74</v>
      </c>
      <c r="F1736" t="s">
        <v>55</v>
      </c>
      <c r="G1736" t="s">
        <v>4600</v>
      </c>
      <c r="H1736" t="s">
        <v>26</v>
      </c>
      <c r="I1736">
        <v>0</v>
      </c>
      <c r="J1736">
        <v>0</v>
      </c>
      <c r="K1736">
        <v>0</v>
      </c>
      <c r="L1736">
        <v>0</v>
      </c>
      <c r="M1736" t="s">
        <v>76</v>
      </c>
      <c r="N1736" t="s">
        <v>76</v>
      </c>
      <c r="O1736" t="s">
        <v>77</v>
      </c>
      <c r="P1736" t="s">
        <v>76</v>
      </c>
      <c r="S1736" t="s">
        <v>4601</v>
      </c>
    </row>
    <row r="1737" spans="1:19" x14ac:dyDescent="0.3">
      <c r="A1737" t="s">
        <v>4602</v>
      </c>
      <c r="B1737" t="s">
        <v>4603</v>
      </c>
      <c r="C1737" t="s">
        <v>24</v>
      </c>
      <c r="D1737" t="s">
        <v>63</v>
      </c>
      <c r="E1737" t="s">
        <v>1132</v>
      </c>
      <c r="F1737" t="s">
        <v>55</v>
      </c>
      <c r="G1737" t="s">
        <v>4602</v>
      </c>
      <c r="H1737" t="s">
        <v>26</v>
      </c>
      <c r="I1737">
        <v>0</v>
      </c>
      <c r="J1737">
        <v>0</v>
      </c>
      <c r="K1737">
        <v>0</v>
      </c>
      <c r="L1737">
        <v>0</v>
      </c>
      <c r="M1737" t="s">
        <v>76</v>
      </c>
      <c r="N1737" t="s">
        <v>76</v>
      </c>
      <c r="O1737" t="s">
        <v>77</v>
      </c>
      <c r="P1737" t="s">
        <v>76</v>
      </c>
      <c r="S1737" t="s">
        <v>4603</v>
      </c>
    </row>
    <row r="1738" spans="1:19" x14ac:dyDescent="0.3">
      <c r="A1738" t="s">
        <v>4604</v>
      </c>
      <c r="B1738" t="s">
        <v>4605</v>
      </c>
      <c r="C1738" t="s">
        <v>24</v>
      </c>
      <c r="D1738" t="s">
        <v>63</v>
      </c>
      <c r="E1738" t="s">
        <v>74</v>
      </c>
      <c r="F1738" t="s">
        <v>24</v>
      </c>
      <c r="G1738" t="s">
        <v>4604</v>
      </c>
      <c r="H1738" t="s">
        <v>26</v>
      </c>
      <c r="I1738">
        <v>0</v>
      </c>
      <c r="J1738">
        <v>0</v>
      </c>
      <c r="K1738">
        <v>0</v>
      </c>
      <c r="L1738">
        <v>0</v>
      </c>
      <c r="M1738" t="s">
        <v>76</v>
      </c>
      <c r="N1738" t="s">
        <v>76</v>
      </c>
      <c r="O1738" t="s">
        <v>77</v>
      </c>
      <c r="P1738" t="s">
        <v>76</v>
      </c>
      <c r="S1738" t="s">
        <v>4605</v>
      </c>
    </row>
    <row r="1739" spans="1:19" x14ac:dyDescent="0.3">
      <c r="A1739" t="s">
        <v>4606</v>
      </c>
      <c r="B1739" t="s">
        <v>4607</v>
      </c>
      <c r="C1739" t="s">
        <v>24</v>
      </c>
      <c r="D1739" t="s">
        <v>63</v>
      </c>
      <c r="E1739" t="s">
        <v>74</v>
      </c>
      <c r="F1739" t="s">
        <v>24</v>
      </c>
      <c r="G1739" t="s">
        <v>4606</v>
      </c>
      <c r="H1739" t="s">
        <v>26</v>
      </c>
      <c r="I1739">
        <v>0</v>
      </c>
      <c r="J1739">
        <v>0</v>
      </c>
      <c r="K1739">
        <v>0</v>
      </c>
      <c r="L1739">
        <v>0</v>
      </c>
      <c r="M1739" t="s">
        <v>76</v>
      </c>
      <c r="N1739" t="s">
        <v>76</v>
      </c>
      <c r="O1739" t="s">
        <v>77</v>
      </c>
      <c r="P1739" t="s">
        <v>76</v>
      </c>
      <c r="S1739" t="s">
        <v>4607</v>
      </c>
    </row>
    <row r="1740" spans="1:19" x14ac:dyDescent="0.3">
      <c r="A1740" t="s">
        <v>4608</v>
      </c>
      <c r="B1740" t="s">
        <v>4609</v>
      </c>
      <c r="C1740" t="s">
        <v>24</v>
      </c>
      <c r="D1740" t="s">
        <v>35</v>
      </c>
      <c r="E1740" t="s">
        <v>4610</v>
      </c>
      <c r="F1740" t="s">
        <v>24</v>
      </c>
      <c r="G1740" t="s">
        <v>4611</v>
      </c>
      <c r="H1740" t="s">
        <v>26</v>
      </c>
      <c r="I1740">
        <v>0</v>
      </c>
      <c r="J1740">
        <v>0</v>
      </c>
      <c r="K1740">
        <v>0</v>
      </c>
      <c r="L1740">
        <v>0</v>
      </c>
      <c r="M1740" t="s">
        <v>76</v>
      </c>
      <c r="N1740" t="s">
        <v>76</v>
      </c>
      <c r="O1740" t="s">
        <v>77</v>
      </c>
      <c r="P1740" t="s">
        <v>76</v>
      </c>
      <c r="S1740" t="s">
        <v>4609</v>
      </c>
    </row>
    <row r="1741" spans="1:19" x14ac:dyDescent="0.3">
      <c r="A1741" t="s">
        <v>4612</v>
      </c>
      <c r="B1741" t="s">
        <v>4613</v>
      </c>
      <c r="C1741" t="s">
        <v>24</v>
      </c>
      <c r="D1741" t="s">
        <v>63</v>
      </c>
      <c r="E1741" t="s">
        <v>345</v>
      </c>
      <c r="F1741" t="s">
        <v>55</v>
      </c>
      <c r="G1741" t="s">
        <v>4612</v>
      </c>
      <c r="H1741" t="s">
        <v>26</v>
      </c>
      <c r="I1741">
        <v>0</v>
      </c>
      <c r="J1741">
        <v>0</v>
      </c>
      <c r="K1741">
        <v>0</v>
      </c>
      <c r="L1741">
        <v>0</v>
      </c>
      <c r="M1741" t="s">
        <v>76</v>
      </c>
      <c r="N1741" t="s">
        <v>76</v>
      </c>
      <c r="O1741" t="s">
        <v>77</v>
      </c>
      <c r="P1741" t="s">
        <v>76</v>
      </c>
      <c r="S1741" t="s">
        <v>4613</v>
      </c>
    </row>
    <row r="1742" spans="1:19" x14ac:dyDescent="0.3">
      <c r="A1742" t="s">
        <v>4614</v>
      </c>
      <c r="B1742" t="s">
        <v>4615</v>
      </c>
      <c r="C1742" t="s">
        <v>24</v>
      </c>
      <c r="D1742" t="s">
        <v>63</v>
      </c>
      <c r="E1742" t="s">
        <v>74</v>
      </c>
      <c r="F1742" t="s">
        <v>24</v>
      </c>
      <c r="G1742" t="s">
        <v>1036</v>
      </c>
      <c r="H1742" t="s">
        <v>26</v>
      </c>
      <c r="I1742">
        <v>0</v>
      </c>
      <c r="J1742">
        <v>0</v>
      </c>
      <c r="K1742">
        <v>0</v>
      </c>
      <c r="L1742">
        <v>0</v>
      </c>
      <c r="M1742" t="s">
        <v>76</v>
      </c>
      <c r="N1742" t="s">
        <v>76</v>
      </c>
      <c r="O1742" t="s">
        <v>77</v>
      </c>
      <c r="P1742" t="s">
        <v>76</v>
      </c>
      <c r="S1742" t="s">
        <v>4615</v>
      </c>
    </row>
    <row r="1743" spans="1:19" x14ac:dyDescent="0.3">
      <c r="A1743" t="s">
        <v>4616</v>
      </c>
      <c r="B1743" t="s">
        <v>4617</v>
      </c>
      <c r="C1743" t="s">
        <v>24</v>
      </c>
      <c r="D1743" t="s">
        <v>63</v>
      </c>
      <c r="E1743" t="s">
        <v>2033</v>
      </c>
      <c r="F1743" t="s">
        <v>24</v>
      </c>
      <c r="G1743" t="s">
        <v>4616</v>
      </c>
      <c r="H1743" t="s">
        <v>26</v>
      </c>
      <c r="I1743">
        <v>0</v>
      </c>
      <c r="J1743">
        <v>0</v>
      </c>
      <c r="K1743">
        <v>0</v>
      </c>
      <c r="L1743">
        <v>0</v>
      </c>
      <c r="M1743" t="s">
        <v>76</v>
      </c>
      <c r="N1743" t="s">
        <v>76</v>
      </c>
      <c r="O1743" t="s">
        <v>77</v>
      </c>
      <c r="P1743" t="s">
        <v>76</v>
      </c>
      <c r="S1743" t="s">
        <v>4617</v>
      </c>
    </row>
    <row r="1744" spans="1:19" x14ac:dyDescent="0.3">
      <c r="A1744" t="s">
        <v>4618</v>
      </c>
      <c r="B1744" t="s">
        <v>4619</v>
      </c>
      <c r="C1744" t="s">
        <v>24</v>
      </c>
      <c r="D1744" t="s">
        <v>63</v>
      </c>
      <c r="E1744" t="s">
        <v>331</v>
      </c>
      <c r="F1744" t="s">
        <v>24</v>
      </c>
      <c r="G1744" t="s">
        <v>4618</v>
      </c>
      <c r="H1744" t="s">
        <v>26</v>
      </c>
      <c r="I1744">
        <v>0</v>
      </c>
      <c r="J1744">
        <v>0</v>
      </c>
      <c r="K1744">
        <v>0</v>
      </c>
      <c r="L1744">
        <v>0</v>
      </c>
      <c r="M1744" t="s">
        <v>76</v>
      </c>
      <c r="N1744" t="s">
        <v>76</v>
      </c>
      <c r="O1744" t="s">
        <v>77</v>
      </c>
      <c r="P1744" t="s">
        <v>76</v>
      </c>
      <c r="S1744" t="s">
        <v>4619</v>
      </c>
    </row>
    <row r="1745" spans="1:19" x14ac:dyDescent="0.3">
      <c r="A1745" t="s">
        <v>2722</v>
      </c>
      <c r="B1745" t="s">
        <v>4620</v>
      </c>
      <c r="C1745" t="s">
        <v>24</v>
      </c>
      <c r="D1745" t="s">
        <v>63</v>
      </c>
      <c r="E1745" t="s">
        <v>74</v>
      </c>
      <c r="F1745" t="s">
        <v>24</v>
      </c>
      <c r="G1745" t="s">
        <v>2722</v>
      </c>
      <c r="H1745" t="s">
        <v>26</v>
      </c>
      <c r="I1745">
        <v>0</v>
      </c>
      <c r="J1745">
        <v>0</v>
      </c>
      <c r="K1745">
        <v>0</v>
      </c>
      <c r="L1745">
        <v>0</v>
      </c>
      <c r="M1745" t="s">
        <v>76</v>
      </c>
      <c r="N1745" t="s">
        <v>76</v>
      </c>
      <c r="O1745" t="s">
        <v>77</v>
      </c>
      <c r="P1745" t="s">
        <v>76</v>
      </c>
      <c r="S1745" t="s">
        <v>4620</v>
      </c>
    </row>
    <row r="1746" spans="1:19" x14ac:dyDescent="0.3">
      <c r="A1746" t="s">
        <v>4621</v>
      </c>
      <c r="B1746" t="s">
        <v>4622</v>
      </c>
      <c r="C1746" t="s">
        <v>24</v>
      </c>
      <c r="D1746" t="s">
        <v>63</v>
      </c>
      <c r="E1746" t="s">
        <v>315</v>
      </c>
      <c r="F1746" t="s">
        <v>24</v>
      </c>
      <c r="G1746" t="s">
        <v>4623</v>
      </c>
      <c r="H1746" t="s">
        <v>26</v>
      </c>
      <c r="I1746">
        <v>0</v>
      </c>
      <c r="J1746">
        <v>0</v>
      </c>
      <c r="K1746">
        <v>0</v>
      </c>
      <c r="L1746">
        <v>0</v>
      </c>
      <c r="M1746" t="s">
        <v>76</v>
      </c>
      <c r="N1746" t="s">
        <v>76</v>
      </c>
      <c r="O1746" t="s">
        <v>77</v>
      </c>
      <c r="P1746" t="s">
        <v>76</v>
      </c>
      <c r="S1746" t="s">
        <v>4622</v>
      </c>
    </row>
    <row r="1747" spans="1:19" x14ac:dyDescent="0.3">
      <c r="A1747" t="s">
        <v>4624</v>
      </c>
      <c r="B1747" t="s">
        <v>4625</v>
      </c>
      <c r="C1747" t="s">
        <v>24</v>
      </c>
      <c r="D1747" t="s">
        <v>63</v>
      </c>
      <c r="E1747" t="s">
        <v>74</v>
      </c>
      <c r="F1747" t="s">
        <v>24</v>
      </c>
      <c r="G1747" t="s">
        <v>4626</v>
      </c>
      <c r="H1747" t="s">
        <v>26</v>
      </c>
      <c r="I1747">
        <v>0</v>
      </c>
      <c r="J1747">
        <v>0</v>
      </c>
      <c r="K1747">
        <v>0</v>
      </c>
      <c r="L1747">
        <v>0</v>
      </c>
      <c r="M1747" t="s">
        <v>76</v>
      </c>
      <c r="N1747" t="s">
        <v>76</v>
      </c>
      <c r="O1747" t="s">
        <v>77</v>
      </c>
      <c r="P1747" t="s">
        <v>76</v>
      </c>
      <c r="S1747" t="s">
        <v>4625</v>
      </c>
    </row>
    <row r="1748" spans="1:19" x14ac:dyDescent="0.3">
      <c r="A1748" t="s">
        <v>4627</v>
      </c>
      <c r="B1748" t="s">
        <v>4628</v>
      </c>
      <c r="C1748" t="s">
        <v>24</v>
      </c>
      <c r="D1748" t="s">
        <v>63</v>
      </c>
      <c r="F1748" t="s">
        <v>24</v>
      </c>
      <c r="G1748" t="s">
        <v>4629</v>
      </c>
      <c r="H1748" t="s">
        <v>26</v>
      </c>
      <c r="I1748">
        <v>0</v>
      </c>
      <c r="J1748">
        <v>0</v>
      </c>
      <c r="K1748">
        <v>0</v>
      </c>
      <c r="L1748">
        <v>0</v>
      </c>
      <c r="M1748" t="s">
        <v>76</v>
      </c>
      <c r="N1748" t="s">
        <v>76</v>
      </c>
      <c r="O1748" t="s">
        <v>77</v>
      </c>
      <c r="P1748" t="s">
        <v>76</v>
      </c>
      <c r="S1748" t="s">
        <v>4628</v>
      </c>
    </row>
    <row r="1749" spans="1:19" x14ac:dyDescent="0.3">
      <c r="A1749" t="s">
        <v>4630</v>
      </c>
      <c r="B1749" t="s">
        <v>4631</v>
      </c>
      <c r="C1749" t="s">
        <v>24</v>
      </c>
      <c r="D1749" t="s">
        <v>63</v>
      </c>
      <c r="E1749" t="s">
        <v>74</v>
      </c>
      <c r="F1749" t="s">
        <v>144</v>
      </c>
      <c r="G1749" t="s">
        <v>4632</v>
      </c>
      <c r="H1749" t="s">
        <v>26</v>
      </c>
      <c r="I1749">
        <v>0</v>
      </c>
      <c r="J1749">
        <v>0</v>
      </c>
      <c r="K1749">
        <v>0</v>
      </c>
      <c r="L1749">
        <v>0</v>
      </c>
      <c r="M1749" t="s">
        <v>76</v>
      </c>
      <c r="N1749" t="s">
        <v>76</v>
      </c>
      <c r="O1749" t="s">
        <v>77</v>
      </c>
      <c r="P1749" t="s">
        <v>76</v>
      </c>
      <c r="S1749" t="s">
        <v>4631</v>
      </c>
    </row>
    <row r="1750" spans="1:19" x14ac:dyDescent="0.3">
      <c r="A1750" t="s">
        <v>4633</v>
      </c>
      <c r="B1750" t="s">
        <v>4634</v>
      </c>
      <c r="C1750" t="s">
        <v>24</v>
      </c>
      <c r="D1750" t="s">
        <v>63</v>
      </c>
      <c r="E1750" t="s">
        <v>74</v>
      </c>
      <c r="F1750" t="s">
        <v>144</v>
      </c>
      <c r="G1750" t="s">
        <v>4635</v>
      </c>
      <c r="H1750" t="s">
        <v>26</v>
      </c>
      <c r="I1750">
        <v>0</v>
      </c>
      <c r="J1750">
        <v>0</v>
      </c>
      <c r="K1750">
        <v>0</v>
      </c>
      <c r="L1750">
        <v>0</v>
      </c>
      <c r="M1750" t="s">
        <v>76</v>
      </c>
      <c r="N1750" t="s">
        <v>76</v>
      </c>
      <c r="O1750" t="s">
        <v>77</v>
      </c>
      <c r="P1750" t="s">
        <v>76</v>
      </c>
      <c r="S1750" t="s">
        <v>4634</v>
      </c>
    </row>
    <row r="1751" spans="1:19" x14ac:dyDescent="0.3">
      <c r="A1751" t="s">
        <v>4636</v>
      </c>
      <c r="B1751" t="s">
        <v>4637</v>
      </c>
      <c r="C1751" t="s">
        <v>24</v>
      </c>
      <c r="F1751" t="s">
        <v>24</v>
      </c>
      <c r="G1751" t="s">
        <v>4636</v>
      </c>
      <c r="H1751" t="s">
        <v>26</v>
      </c>
      <c r="I1751">
        <v>0</v>
      </c>
      <c r="J1751">
        <v>0</v>
      </c>
      <c r="K1751">
        <v>0</v>
      </c>
      <c r="L1751">
        <v>0</v>
      </c>
      <c r="M1751" t="s">
        <v>76</v>
      </c>
      <c r="N1751" t="s">
        <v>76</v>
      </c>
      <c r="O1751" t="s">
        <v>77</v>
      </c>
      <c r="P1751" t="s">
        <v>76</v>
      </c>
      <c r="S1751" t="s">
        <v>4637</v>
      </c>
    </row>
    <row r="1752" spans="1:19" x14ac:dyDescent="0.3">
      <c r="A1752" t="s">
        <v>4638</v>
      </c>
      <c r="B1752" t="s">
        <v>4639</v>
      </c>
      <c r="C1752" t="s">
        <v>24</v>
      </c>
      <c r="D1752" t="s">
        <v>63</v>
      </c>
      <c r="E1752" t="s">
        <v>315</v>
      </c>
      <c r="F1752" t="s">
        <v>24</v>
      </c>
      <c r="G1752" t="s">
        <v>4640</v>
      </c>
      <c r="H1752" t="s">
        <v>26</v>
      </c>
      <c r="I1752">
        <v>0</v>
      </c>
      <c r="J1752">
        <v>0</v>
      </c>
      <c r="K1752">
        <v>0</v>
      </c>
      <c r="L1752">
        <v>0</v>
      </c>
      <c r="M1752" t="s">
        <v>76</v>
      </c>
      <c r="N1752" t="s">
        <v>76</v>
      </c>
      <c r="O1752" t="s">
        <v>77</v>
      </c>
      <c r="P1752" t="s">
        <v>76</v>
      </c>
      <c r="S1752" t="s">
        <v>4639</v>
      </c>
    </row>
    <row r="1753" spans="1:19" x14ac:dyDescent="0.3">
      <c r="A1753" t="s">
        <v>4641</v>
      </c>
      <c r="B1753" t="s">
        <v>4642</v>
      </c>
      <c r="C1753" t="s">
        <v>24</v>
      </c>
      <c r="D1753" t="s">
        <v>63</v>
      </c>
      <c r="E1753" t="s">
        <v>74</v>
      </c>
      <c r="F1753" t="s">
        <v>55</v>
      </c>
      <c r="G1753" t="s">
        <v>4641</v>
      </c>
      <c r="H1753" t="s">
        <v>26</v>
      </c>
      <c r="I1753">
        <v>0</v>
      </c>
      <c r="J1753">
        <v>0</v>
      </c>
      <c r="K1753">
        <v>0</v>
      </c>
      <c r="L1753">
        <v>0</v>
      </c>
      <c r="M1753" t="s">
        <v>239</v>
      </c>
      <c r="N1753" t="s">
        <v>239</v>
      </c>
      <c r="O1753" t="s">
        <v>240</v>
      </c>
      <c r="P1753" t="s">
        <v>239</v>
      </c>
      <c r="S1753" t="s">
        <v>4642</v>
      </c>
    </row>
    <row r="1754" spans="1:19" x14ac:dyDescent="0.3">
      <c r="A1754" t="s">
        <v>4643</v>
      </c>
      <c r="B1754" t="s">
        <v>4644</v>
      </c>
      <c r="C1754" t="s">
        <v>24</v>
      </c>
      <c r="F1754" t="s">
        <v>55</v>
      </c>
      <c r="G1754" t="s">
        <v>4645</v>
      </c>
      <c r="H1754" t="s">
        <v>26</v>
      </c>
      <c r="I1754">
        <v>0</v>
      </c>
      <c r="J1754">
        <v>0</v>
      </c>
      <c r="K1754">
        <v>0</v>
      </c>
      <c r="L1754">
        <v>0</v>
      </c>
      <c r="M1754" t="s">
        <v>239</v>
      </c>
      <c r="N1754" t="s">
        <v>239</v>
      </c>
      <c r="O1754" t="s">
        <v>240</v>
      </c>
      <c r="P1754" t="s">
        <v>239</v>
      </c>
      <c r="S1754" t="s">
        <v>4644</v>
      </c>
    </row>
    <row r="1755" spans="1:19" x14ac:dyDescent="0.3">
      <c r="A1755" t="s">
        <v>3461</v>
      </c>
      <c r="B1755" t="s">
        <v>4646</v>
      </c>
      <c r="C1755" t="s">
        <v>24</v>
      </c>
      <c r="D1755" t="s">
        <v>63</v>
      </c>
      <c r="E1755" t="s">
        <v>1132</v>
      </c>
      <c r="F1755" t="s">
        <v>55</v>
      </c>
      <c r="G1755" t="s">
        <v>3461</v>
      </c>
      <c r="H1755" t="s">
        <v>26</v>
      </c>
      <c r="I1755">
        <v>0</v>
      </c>
      <c r="J1755">
        <v>0</v>
      </c>
      <c r="K1755">
        <v>0</v>
      </c>
      <c r="L1755">
        <v>0</v>
      </c>
      <c r="M1755" t="s">
        <v>239</v>
      </c>
      <c r="N1755" t="s">
        <v>239</v>
      </c>
      <c r="O1755" t="s">
        <v>240</v>
      </c>
      <c r="P1755" t="s">
        <v>239</v>
      </c>
      <c r="S1755" t="s">
        <v>4646</v>
      </c>
    </row>
    <row r="1756" spans="1:19" x14ac:dyDescent="0.3">
      <c r="A1756" t="s">
        <v>4647</v>
      </c>
      <c r="B1756" t="s">
        <v>4648</v>
      </c>
      <c r="C1756" t="s">
        <v>21</v>
      </c>
      <c r="D1756" t="s">
        <v>63</v>
      </c>
      <c r="E1756" t="s">
        <v>74</v>
      </c>
      <c r="F1756" t="s">
        <v>24</v>
      </c>
      <c r="G1756" t="s">
        <v>21</v>
      </c>
      <c r="H1756" t="s">
        <v>26</v>
      </c>
      <c r="I1756">
        <v>0</v>
      </c>
      <c r="J1756">
        <v>0</v>
      </c>
      <c r="K1756">
        <v>0</v>
      </c>
      <c r="L1756">
        <v>0</v>
      </c>
      <c r="M1756" t="s">
        <v>76</v>
      </c>
      <c r="N1756" t="s">
        <v>76</v>
      </c>
      <c r="O1756" t="s">
        <v>77</v>
      </c>
      <c r="P1756" t="s">
        <v>76</v>
      </c>
      <c r="S1756" t="s">
        <v>4648</v>
      </c>
    </row>
    <row r="1757" spans="1:19" x14ac:dyDescent="0.3">
      <c r="A1757" t="s">
        <v>4649</v>
      </c>
      <c r="B1757" t="s">
        <v>4650</v>
      </c>
      <c r="C1757" t="s">
        <v>1053</v>
      </c>
      <c r="F1757" t="s">
        <v>314</v>
      </c>
      <c r="G1757" t="s">
        <v>1053</v>
      </c>
      <c r="H1757" t="s">
        <v>75</v>
      </c>
      <c r="I1757">
        <v>0</v>
      </c>
      <c r="J1757">
        <v>0</v>
      </c>
      <c r="K1757">
        <v>0</v>
      </c>
      <c r="L1757">
        <v>0</v>
      </c>
      <c r="M1757" t="s">
        <v>76</v>
      </c>
      <c r="N1757" t="s">
        <v>76</v>
      </c>
      <c r="O1757" t="s">
        <v>77</v>
      </c>
      <c r="P1757" t="s">
        <v>76</v>
      </c>
      <c r="S1757" t="s">
        <v>4650</v>
      </c>
    </row>
    <row r="1758" spans="1:19" x14ac:dyDescent="0.3">
      <c r="A1758" t="s">
        <v>4651</v>
      </c>
      <c r="B1758" t="s">
        <v>4652</v>
      </c>
      <c r="C1758" t="s">
        <v>24</v>
      </c>
      <c r="D1758" t="s">
        <v>63</v>
      </c>
      <c r="E1758" t="s">
        <v>4653</v>
      </c>
      <c r="F1758" t="s">
        <v>144</v>
      </c>
      <c r="G1758" t="s">
        <v>4654</v>
      </c>
      <c r="H1758" t="s">
        <v>213</v>
      </c>
      <c r="I1758">
        <v>0</v>
      </c>
      <c r="J1758">
        <v>0</v>
      </c>
      <c r="K1758">
        <v>0</v>
      </c>
      <c r="L1758">
        <v>0</v>
      </c>
      <c r="M1758" t="s">
        <v>76</v>
      </c>
      <c r="N1758" t="s">
        <v>76</v>
      </c>
      <c r="O1758" t="s">
        <v>77</v>
      </c>
      <c r="P1758" t="s">
        <v>76</v>
      </c>
      <c r="S1758" t="s">
        <v>4652</v>
      </c>
    </row>
    <row r="1759" spans="1:19" x14ac:dyDescent="0.3">
      <c r="A1759" t="s">
        <v>4655</v>
      </c>
      <c r="B1759" t="s">
        <v>4656</v>
      </c>
      <c r="C1759" t="s">
        <v>24</v>
      </c>
      <c r="F1759" t="s">
        <v>55</v>
      </c>
      <c r="G1759" t="s">
        <v>4657</v>
      </c>
      <c r="H1759" t="s">
        <v>26</v>
      </c>
      <c r="I1759">
        <v>0</v>
      </c>
      <c r="J1759">
        <v>0</v>
      </c>
      <c r="K1759">
        <v>0</v>
      </c>
      <c r="L1759">
        <v>0</v>
      </c>
      <c r="M1759" t="s">
        <v>76</v>
      </c>
      <c r="N1759" t="s">
        <v>76</v>
      </c>
      <c r="O1759" t="s">
        <v>77</v>
      </c>
      <c r="P1759" t="s">
        <v>76</v>
      </c>
      <c r="S1759" t="s">
        <v>4656</v>
      </c>
    </row>
    <row r="1760" spans="1:19" x14ac:dyDescent="0.3">
      <c r="A1760" t="s">
        <v>4658</v>
      </c>
      <c r="B1760" t="s">
        <v>4659</v>
      </c>
      <c r="C1760" t="s">
        <v>24</v>
      </c>
      <c r="D1760" t="s">
        <v>63</v>
      </c>
      <c r="E1760" t="s">
        <v>323</v>
      </c>
      <c r="F1760" t="s">
        <v>24</v>
      </c>
      <c r="G1760" t="s">
        <v>4539</v>
      </c>
      <c r="H1760" t="s">
        <v>26</v>
      </c>
      <c r="I1760">
        <v>0</v>
      </c>
      <c r="J1760">
        <v>0</v>
      </c>
      <c r="K1760">
        <v>0</v>
      </c>
      <c r="L1760">
        <v>0</v>
      </c>
      <c r="M1760" t="s">
        <v>239</v>
      </c>
      <c r="N1760" t="s">
        <v>239</v>
      </c>
      <c r="O1760" t="s">
        <v>240</v>
      </c>
      <c r="P1760" t="s">
        <v>239</v>
      </c>
      <c r="S1760" t="s">
        <v>4659</v>
      </c>
    </row>
    <row r="1761" spans="1:19" x14ac:dyDescent="0.3">
      <c r="A1761" t="s">
        <v>4660</v>
      </c>
      <c r="B1761" t="s">
        <v>4661</v>
      </c>
      <c r="C1761" t="s">
        <v>24</v>
      </c>
      <c r="D1761" t="s">
        <v>63</v>
      </c>
      <c r="E1761" t="s">
        <v>315</v>
      </c>
      <c r="F1761" t="s">
        <v>55</v>
      </c>
      <c r="G1761" t="s">
        <v>4660</v>
      </c>
      <c r="H1761" t="s">
        <v>213</v>
      </c>
      <c r="I1761">
        <v>0</v>
      </c>
      <c r="J1761">
        <v>0</v>
      </c>
      <c r="K1761">
        <v>0</v>
      </c>
      <c r="L1761">
        <v>0</v>
      </c>
      <c r="M1761" t="s">
        <v>76</v>
      </c>
      <c r="N1761" t="s">
        <v>76</v>
      </c>
      <c r="O1761" t="s">
        <v>77</v>
      </c>
      <c r="P1761" t="s">
        <v>76</v>
      </c>
      <c r="S1761" t="s">
        <v>4661</v>
      </c>
    </row>
    <row r="1762" spans="1:19" x14ac:dyDescent="0.3">
      <c r="A1762" t="s">
        <v>4662</v>
      </c>
      <c r="B1762" t="s">
        <v>4663</v>
      </c>
      <c r="C1762" t="s">
        <v>21</v>
      </c>
      <c r="D1762" t="s">
        <v>35</v>
      </c>
      <c r="E1762" t="s">
        <v>36</v>
      </c>
      <c r="F1762" t="s">
        <v>24</v>
      </c>
      <c r="G1762" t="s">
        <v>21</v>
      </c>
      <c r="H1762" t="s">
        <v>26</v>
      </c>
      <c r="I1762">
        <v>0</v>
      </c>
      <c r="J1762">
        <v>0</v>
      </c>
      <c r="K1762">
        <v>0</v>
      </c>
      <c r="L1762">
        <v>0</v>
      </c>
      <c r="M1762" t="s">
        <v>76</v>
      </c>
      <c r="N1762" t="s">
        <v>76</v>
      </c>
      <c r="O1762" t="s">
        <v>77</v>
      </c>
      <c r="P1762" t="s">
        <v>76</v>
      </c>
      <c r="S1762" t="s">
        <v>4663</v>
      </c>
    </row>
    <row r="1763" spans="1:19" x14ac:dyDescent="0.3">
      <c r="A1763" t="s">
        <v>4664</v>
      </c>
      <c r="B1763" t="s">
        <v>4665</v>
      </c>
      <c r="C1763" t="s">
        <v>43</v>
      </c>
      <c r="D1763" t="s">
        <v>63</v>
      </c>
      <c r="E1763" t="s">
        <v>64</v>
      </c>
      <c r="F1763" t="s">
        <v>45</v>
      </c>
      <c r="G1763" t="s">
        <v>43</v>
      </c>
      <c r="H1763" t="s">
        <v>26</v>
      </c>
      <c r="I1763">
        <v>0</v>
      </c>
      <c r="J1763">
        <v>0</v>
      </c>
      <c r="K1763">
        <v>0</v>
      </c>
      <c r="L1763">
        <v>0</v>
      </c>
      <c r="M1763" t="s">
        <v>76</v>
      </c>
      <c r="N1763" t="s">
        <v>76</v>
      </c>
      <c r="O1763" t="s">
        <v>77</v>
      </c>
      <c r="P1763" t="s">
        <v>76</v>
      </c>
      <c r="S1763" t="s">
        <v>4665</v>
      </c>
    </row>
    <row r="1764" spans="1:19" x14ac:dyDescent="0.3">
      <c r="A1764" t="s">
        <v>4666</v>
      </c>
      <c r="B1764" t="s">
        <v>4667</v>
      </c>
      <c r="C1764" t="s">
        <v>21</v>
      </c>
      <c r="D1764" t="s">
        <v>63</v>
      </c>
      <c r="E1764" t="s">
        <v>64</v>
      </c>
      <c r="F1764" t="s">
        <v>24</v>
      </c>
      <c r="G1764" t="s">
        <v>21</v>
      </c>
      <c r="H1764" t="s">
        <v>26</v>
      </c>
      <c r="I1764">
        <v>0</v>
      </c>
      <c r="J1764">
        <v>0</v>
      </c>
      <c r="K1764">
        <v>0</v>
      </c>
      <c r="L1764">
        <v>0</v>
      </c>
      <c r="M1764" t="s">
        <v>76</v>
      </c>
      <c r="N1764" t="s">
        <v>76</v>
      </c>
      <c r="O1764" t="s">
        <v>77</v>
      </c>
      <c r="P1764" t="s">
        <v>76</v>
      </c>
      <c r="S1764" t="s">
        <v>4667</v>
      </c>
    </row>
    <row r="1765" spans="1:19" x14ac:dyDescent="0.3">
      <c r="A1765" t="s">
        <v>1325</v>
      </c>
      <c r="B1765" t="s">
        <v>4668</v>
      </c>
      <c r="C1765" t="s">
        <v>45</v>
      </c>
      <c r="D1765" t="s">
        <v>63</v>
      </c>
      <c r="E1765" t="s">
        <v>74</v>
      </c>
      <c r="F1765" t="s">
        <v>45</v>
      </c>
      <c r="G1765" t="s">
        <v>1325</v>
      </c>
      <c r="H1765" t="s">
        <v>26</v>
      </c>
      <c r="I1765">
        <v>0</v>
      </c>
      <c r="J1765">
        <v>0</v>
      </c>
      <c r="K1765">
        <v>0</v>
      </c>
      <c r="L1765">
        <v>0</v>
      </c>
      <c r="M1765" t="s">
        <v>76</v>
      </c>
      <c r="N1765" t="s">
        <v>76</v>
      </c>
      <c r="O1765" t="s">
        <v>77</v>
      </c>
      <c r="P1765" t="s">
        <v>76</v>
      </c>
      <c r="S1765" t="s">
        <v>4668</v>
      </c>
    </row>
    <row r="1766" spans="1:19" x14ac:dyDescent="0.3">
      <c r="A1766" t="s">
        <v>4669</v>
      </c>
      <c r="B1766" t="s">
        <v>4670</v>
      </c>
      <c r="C1766" t="s">
        <v>45</v>
      </c>
      <c r="D1766" t="s">
        <v>63</v>
      </c>
      <c r="E1766" t="s">
        <v>74</v>
      </c>
      <c r="F1766" t="s">
        <v>45</v>
      </c>
      <c r="G1766" t="s">
        <v>1748</v>
      </c>
      <c r="H1766" t="s">
        <v>26</v>
      </c>
      <c r="I1766">
        <v>0</v>
      </c>
      <c r="J1766">
        <v>0</v>
      </c>
      <c r="K1766">
        <v>0</v>
      </c>
      <c r="L1766">
        <v>0</v>
      </c>
      <c r="M1766" t="s">
        <v>76</v>
      </c>
      <c r="N1766" t="s">
        <v>76</v>
      </c>
      <c r="O1766" t="s">
        <v>77</v>
      </c>
      <c r="P1766" t="s">
        <v>76</v>
      </c>
      <c r="S1766" t="s">
        <v>4670</v>
      </c>
    </row>
    <row r="1767" spans="1:19" x14ac:dyDescent="0.3">
      <c r="A1767" t="s">
        <v>4671</v>
      </c>
      <c r="B1767" t="s">
        <v>4672</v>
      </c>
      <c r="C1767" t="s">
        <v>43</v>
      </c>
      <c r="D1767" t="s">
        <v>189</v>
      </c>
      <c r="E1767" t="s">
        <v>189</v>
      </c>
      <c r="F1767" t="s">
        <v>45</v>
      </c>
      <c r="G1767" t="s">
        <v>43</v>
      </c>
      <c r="H1767" t="s">
        <v>26</v>
      </c>
      <c r="I1767">
        <v>0</v>
      </c>
      <c r="J1767">
        <v>0</v>
      </c>
      <c r="K1767">
        <v>0</v>
      </c>
      <c r="L1767">
        <v>0</v>
      </c>
      <c r="M1767" t="s">
        <v>76</v>
      </c>
      <c r="N1767" t="s">
        <v>76</v>
      </c>
      <c r="O1767" t="s">
        <v>77</v>
      </c>
      <c r="P1767" t="s">
        <v>76</v>
      </c>
      <c r="S1767" t="s">
        <v>4672</v>
      </c>
    </row>
    <row r="1768" spans="1:19" x14ac:dyDescent="0.3">
      <c r="A1768" t="s">
        <v>4673</v>
      </c>
      <c r="B1768" t="s">
        <v>4674</v>
      </c>
      <c r="C1768" t="s">
        <v>45</v>
      </c>
      <c r="F1768" t="s">
        <v>45</v>
      </c>
      <c r="G1768" t="s">
        <v>853</v>
      </c>
      <c r="H1768" t="s">
        <v>26</v>
      </c>
      <c r="I1768">
        <v>0</v>
      </c>
      <c r="J1768">
        <v>0</v>
      </c>
      <c r="K1768">
        <v>0</v>
      </c>
      <c r="L1768">
        <v>0</v>
      </c>
      <c r="M1768" t="s">
        <v>76</v>
      </c>
      <c r="N1768" t="s">
        <v>76</v>
      </c>
      <c r="O1768" t="s">
        <v>77</v>
      </c>
      <c r="P1768" t="s">
        <v>76</v>
      </c>
      <c r="S1768" t="s">
        <v>4674</v>
      </c>
    </row>
    <row r="1769" spans="1:19" x14ac:dyDescent="0.3">
      <c r="A1769" t="s">
        <v>4675</v>
      </c>
      <c r="B1769" t="s">
        <v>4676</v>
      </c>
      <c r="C1769" t="s">
        <v>45</v>
      </c>
      <c r="D1769" t="s">
        <v>63</v>
      </c>
      <c r="E1769" t="s">
        <v>74</v>
      </c>
      <c r="F1769" t="s">
        <v>45</v>
      </c>
      <c r="G1769" t="s">
        <v>4675</v>
      </c>
      <c r="H1769" t="s">
        <v>26</v>
      </c>
      <c r="I1769">
        <v>0</v>
      </c>
      <c r="J1769">
        <v>0</v>
      </c>
      <c r="K1769">
        <v>0</v>
      </c>
      <c r="L1769">
        <v>0</v>
      </c>
      <c r="M1769" t="s">
        <v>76</v>
      </c>
      <c r="N1769" t="s">
        <v>76</v>
      </c>
      <c r="O1769" t="s">
        <v>77</v>
      </c>
      <c r="P1769" t="s">
        <v>76</v>
      </c>
      <c r="S1769" t="s">
        <v>4676</v>
      </c>
    </row>
    <row r="1770" spans="1:19" x14ac:dyDescent="0.3">
      <c r="A1770" t="s">
        <v>4677</v>
      </c>
      <c r="B1770" t="s">
        <v>4678</v>
      </c>
      <c r="C1770" t="s">
        <v>45</v>
      </c>
      <c r="D1770" t="s">
        <v>63</v>
      </c>
      <c r="E1770" t="s">
        <v>74</v>
      </c>
      <c r="F1770" t="s">
        <v>45</v>
      </c>
      <c r="G1770" t="s">
        <v>4677</v>
      </c>
      <c r="H1770" t="s">
        <v>26</v>
      </c>
      <c r="I1770">
        <v>0</v>
      </c>
      <c r="J1770">
        <v>0</v>
      </c>
      <c r="K1770">
        <v>0</v>
      </c>
      <c r="L1770">
        <v>0</v>
      </c>
      <c r="M1770" t="s">
        <v>76</v>
      </c>
      <c r="N1770" t="s">
        <v>76</v>
      </c>
      <c r="O1770" t="s">
        <v>77</v>
      </c>
      <c r="P1770" t="s">
        <v>76</v>
      </c>
      <c r="S1770" t="s">
        <v>4678</v>
      </c>
    </row>
    <row r="1771" spans="1:19" x14ac:dyDescent="0.3">
      <c r="A1771" t="s">
        <v>4679</v>
      </c>
      <c r="B1771" t="s">
        <v>4680</v>
      </c>
      <c r="C1771" t="s">
        <v>45</v>
      </c>
      <c r="D1771" t="s">
        <v>63</v>
      </c>
      <c r="E1771" t="s">
        <v>74</v>
      </c>
      <c r="F1771" t="s">
        <v>45</v>
      </c>
      <c r="G1771" t="s">
        <v>3082</v>
      </c>
      <c r="H1771" t="s">
        <v>26</v>
      </c>
      <c r="I1771">
        <v>0</v>
      </c>
      <c r="J1771">
        <v>0</v>
      </c>
      <c r="K1771">
        <v>0</v>
      </c>
      <c r="L1771">
        <v>0</v>
      </c>
      <c r="M1771" t="s">
        <v>76</v>
      </c>
      <c r="N1771" t="s">
        <v>76</v>
      </c>
      <c r="O1771" t="s">
        <v>77</v>
      </c>
      <c r="P1771" t="s">
        <v>76</v>
      </c>
      <c r="S1771" t="s">
        <v>4680</v>
      </c>
    </row>
    <row r="1772" spans="1:19" x14ac:dyDescent="0.3">
      <c r="A1772" t="s">
        <v>4681</v>
      </c>
      <c r="B1772" t="s">
        <v>4682</v>
      </c>
      <c r="C1772" t="s">
        <v>45</v>
      </c>
      <c r="D1772" t="s">
        <v>63</v>
      </c>
      <c r="E1772" t="s">
        <v>74</v>
      </c>
      <c r="F1772" t="s">
        <v>45</v>
      </c>
      <c r="G1772" t="s">
        <v>4681</v>
      </c>
      <c r="H1772" t="s">
        <v>26</v>
      </c>
      <c r="I1772">
        <v>0</v>
      </c>
      <c r="J1772">
        <v>0</v>
      </c>
      <c r="K1772">
        <v>0</v>
      </c>
      <c r="L1772">
        <v>0</v>
      </c>
      <c r="M1772" t="s">
        <v>76</v>
      </c>
      <c r="N1772" t="s">
        <v>76</v>
      </c>
      <c r="O1772" t="s">
        <v>77</v>
      </c>
      <c r="P1772" t="s">
        <v>76</v>
      </c>
      <c r="S1772" t="s">
        <v>4682</v>
      </c>
    </row>
    <row r="1773" spans="1:19" x14ac:dyDescent="0.3">
      <c r="A1773" t="s">
        <v>4683</v>
      </c>
      <c r="B1773" t="s">
        <v>4684</v>
      </c>
      <c r="C1773" t="s">
        <v>21</v>
      </c>
      <c r="D1773" t="s">
        <v>63</v>
      </c>
      <c r="E1773" t="s">
        <v>74</v>
      </c>
      <c r="F1773" t="s">
        <v>24</v>
      </c>
      <c r="G1773" t="s">
        <v>21</v>
      </c>
      <c r="H1773" t="s">
        <v>26</v>
      </c>
      <c r="I1773">
        <v>0</v>
      </c>
      <c r="J1773">
        <v>0</v>
      </c>
      <c r="K1773">
        <v>0</v>
      </c>
      <c r="L1773">
        <v>0</v>
      </c>
      <c r="M1773" t="s">
        <v>76</v>
      </c>
      <c r="N1773" t="s">
        <v>76</v>
      </c>
      <c r="O1773" t="s">
        <v>77</v>
      </c>
      <c r="P1773" t="s">
        <v>76</v>
      </c>
      <c r="S1773" t="s">
        <v>4684</v>
      </c>
    </row>
    <row r="1774" spans="1:19" x14ac:dyDescent="0.3">
      <c r="A1774" t="s">
        <v>4685</v>
      </c>
      <c r="B1774" t="s">
        <v>4686</v>
      </c>
      <c r="C1774" t="s">
        <v>24</v>
      </c>
      <c r="E1774" t="s">
        <v>2289</v>
      </c>
      <c r="F1774" t="s">
        <v>144</v>
      </c>
      <c r="G1774" t="s">
        <v>4687</v>
      </c>
      <c r="H1774" t="s">
        <v>26</v>
      </c>
      <c r="I1774">
        <v>0</v>
      </c>
      <c r="J1774">
        <v>0</v>
      </c>
      <c r="K1774">
        <v>0</v>
      </c>
      <c r="L1774">
        <v>0</v>
      </c>
      <c r="M1774" t="s">
        <v>76</v>
      </c>
      <c r="N1774" t="s">
        <v>76</v>
      </c>
      <c r="O1774" t="s">
        <v>77</v>
      </c>
      <c r="P1774" t="s">
        <v>76</v>
      </c>
      <c r="S1774" t="s">
        <v>4686</v>
      </c>
    </row>
    <row r="1775" spans="1:19" x14ac:dyDescent="0.3">
      <c r="A1775" t="s">
        <v>4688</v>
      </c>
      <c r="B1775" t="s">
        <v>4689</v>
      </c>
      <c r="C1775" t="s">
        <v>21</v>
      </c>
      <c r="D1775" t="s">
        <v>63</v>
      </c>
      <c r="E1775" t="s">
        <v>64</v>
      </c>
      <c r="F1775" t="s">
        <v>24</v>
      </c>
      <c r="G1775" t="s">
        <v>21</v>
      </c>
      <c r="H1775" t="s">
        <v>26</v>
      </c>
      <c r="I1775">
        <v>0</v>
      </c>
      <c r="J1775">
        <v>0</v>
      </c>
      <c r="K1775">
        <v>0</v>
      </c>
      <c r="L1775">
        <v>0</v>
      </c>
      <c r="M1775" t="s">
        <v>76</v>
      </c>
      <c r="N1775" t="s">
        <v>76</v>
      </c>
      <c r="O1775" t="s">
        <v>77</v>
      </c>
      <c r="P1775" t="s">
        <v>76</v>
      </c>
      <c r="S1775" t="s">
        <v>4689</v>
      </c>
    </row>
    <row r="1776" spans="1:19" x14ac:dyDescent="0.3">
      <c r="A1776" t="s">
        <v>4690</v>
      </c>
      <c r="B1776" t="s">
        <v>4691</v>
      </c>
      <c r="C1776" t="s">
        <v>21</v>
      </c>
      <c r="D1776" t="s">
        <v>63</v>
      </c>
      <c r="E1776" t="s">
        <v>74</v>
      </c>
      <c r="F1776" t="s">
        <v>24</v>
      </c>
      <c r="G1776" t="s">
        <v>21</v>
      </c>
      <c r="H1776" t="s">
        <v>26</v>
      </c>
      <c r="I1776">
        <v>0</v>
      </c>
      <c r="J1776">
        <v>0</v>
      </c>
      <c r="K1776">
        <v>0</v>
      </c>
      <c r="L1776">
        <v>0</v>
      </c>
      <c r="M1776" t="s">
        <v>76</v>
      </c>
      <c r="N1776" t="s">
        <v>76</v>
      </c>
      <c r="O1776" t="s">
        <v>77</v>
      </c>
      <c r="P1776" t="s">
        <v>76</v>
      </c>
      <c r="S1776" t="s">
        <v>4691</v>
      </c>
    </row>
    <row r="1777" spans="1:19" x14ac:dyDescent="0.3">
      <c r="A1777" t="s">
        <v>4692</v>
      </c>
      <c r="B1777" t="s">
        <v>4693</v>
      </c>
      <c r="C1777" t="s">
        <v>21</v>
      </c>
      <c r="D1777" t="s">
        <v>63</v>
      </c>
      <c r="E1777" t="s">
        <v>74</v>
      </c>
      <c r="F1777" t="s">
        <v>24</v>
      </c>
      <c r="G1777" t="s">
        <v>21</v>
      </c>
      <c r="H1777" t="s">
        <v>26</v>
      </c>
      <c r="I1777">
        <v>0</v>
      </c>
      <c r="J1777">
        <v>0</v>
      </c>
      <c r="K1777">
        <v>0</v>
      </c>
      <c r="L1777">
        <v>0</v>
      </c>
      <c r="M1777" t="s">
        <v>76</v>
      </c>
      <c r="N1777" t="s">
        <v>76</v>
      </c>
      <c r="O1777" t="s">
        <v>77</v>
      </c>
      <c r="P1777" t="s">
        <v>76</v>
      </c>
      <c r="S1777" t="s">
        <v>4693</v>
      </c>
    </row>
    <row r="1778" spans="1:19" x14ac:dyDescent="0.3">
      <c r="A1778" t="s">
        <v>4694</v>
      </c>
      <c r="B1778" t="s">
        <v>4695</v>
      </c>
      <c r="C1778" t="s">
        <v>21</v>
      </c>
      <c r="D1778" t="s">
        <v>63</v>
      </c>
      <c r="E1778" t="s">
        <v>74</v>
      </c>
      <c r="F1778" t="s">
        <v>24</v>
      </c>
      <c r="G1778" t="s">
        <v>21</v>
      </c>
      <c r="H1778" t="s">
        <v>26</v>
      </c>
      <c r="I1778">
        <v>0</v>
      </c>
      <c r="J1778">
        <v>0</v>
      </c>
      <c r="K1778">
        <v>0</v>
      </c>
      <c r="L1778">
        <v>0</v>
      </c>
      <c r="M1778" t="s">
        <v>76</v>
      </c>
      <c r="N1778" t="s">
        <v>76</v>
      </c>
      <c r="O1778" t="s">
        <v>77</v>
      </c>
      <c r="P1778" t="s">
        <v>76</v>
      </c>
      <c r="S1778" t="s">
        <v>4695</v>
      </c>
    </row>
    <row r="1779" spans="1:19" x14ac:dyDescent="0.3">
      <c r="A1779" t="s">
        <v>4696</v>
      </c>
      <c r="B1779" t="s">
        <v>4697</v>
      </c>
      <c r="C1779" t="s">
        <v>21</v>
      </c>
      <c r="D1779" t="s">
        <v>53</v>
      </c>
      <c r="E1779" t="s">
        <v>44</v>
      </c>
      <c r="F1779" t="s">
        <v>109</v>
      </c>
      <c r="G1779" t="s">
        <v>25</v>
      </c>
      <c r="H1779" t="s">
        <v>26</v>
      </c>
      <c r="I1779">
        <v>0</v>
      </c>
      <c r="J1779">
        <v>0</v>
      </c>
      <c r="K1779">
        <v>0</v>
      </c>
      <c r="L1779">
        <v>0</v>
      </c>
      <c r="M1779" t="s">
        <v>76</v>
      </c>
      <c r="N1779" t="s">
        <v>76</v>
      </c>
      <c r="O1779" t="s">
        <v>77</v>
      </c>
      <c r="P1779" t="s">
        <v>76</v>
      </c>
      <c r="S1779" t="s">
        <v>4697</v>
      </c>
    </row>
    <row r="1780" spans="1:19" x14ac:dyDescent="0.3">
      <c r="A1780" t="s">
        <v>4698</v>
      </c>
      <c r="B1780" t="s">
        <v>4699</v>
      </c>
      <c r="C1780" t="s">
        <v>21</v>
      </c>
      <c r="D1780" t="s">
        <v>63</v>
      </c>
      <c r="E1780" t="s">
        <v>64</v>
      </c>
      <c r="F1780" t="s">
        <v>24</v>
      </c>
      <c r="G1780" t="s">
        <v>21</v>
      </c>
      <c r="H1780" t="s">
        <v>26</v>
      </c>
      <c r="I1780">
        <v>0</v>
      </c>
      <c r="J1780">
        <v>0</v>
      </c>
      <c r="K1780">
        <v>0</v>
      </c>
      <c r="L1780">
        <v>0</v>
      </c>
      <c r="M1780" t="s">
        <v>76</v>
      </c>
      <c r="N1780" t="s">
        <v>76</v>
      </c>
      <c r="O1780" t="s">
        <v>77</v>
      </c>
      <c r="P1780" t="s">
        <v>76</v>
      </c>
      <c r="S1780" t="s">
        <v>4699</v>
      </c>
    </row>
    <row r="1781" spans="1:19" x14ac:dyDescent="0.3">
      <c r="A1781" t="s">
        <v>4700</v>
      </c>
      <c r="B1781" t="s">
        <v>4701</v>
      </c>
      <c r="C1781" t="s">
        <v>45</v>
      </c>
      <c r="D1781" t="s">
        <v>63</v>
      </c>
      <c r="E1781" t="s">
        <v>323</v>
      </c>
      <c r="F1781" t="s">
        <v>45</v>
      </c>
      <c r="G1781" t="s">
        <v>4702</v>
      </c>
      <c r="H1781" t="s">
        <v>213</v>
      </c>
      <c r="I1781">
        <v>0</v>
      </c>
      <c r="J1781">
        <v>0</v>
      </c>
      <c r="K1781">
        <v>0</v>
      </c>
      <c r="L1781">
        <v>0</v>
      </c>
      <c r="M1781" t="s">
        <v>76</v>
      </c>
      <c r="N1781" t="s">
        <v>76</v>
      </c>
      <c r="O1781" t="s">
        <v>77</v>
      </c>
      <c r="P1781" t="s">
        <v>76</v>
      </c>
      <c r="S1781" t="s">
        <v>4701</v>
      </c>
    </row>
    <row r="1782" spans="1:19" x14ac:dyDescent="0.3">
      <c r="A1782" t="s">
        <v>4703</v>
      </c>
      <c r="B1782" t="s">
        <v>4704</v>
      </c>
      <c r="C1782" t="s">
        <v>21</v>
      </c>
      <c r="D1782" t="s">
        <v>35</v>
      </c>
      <c r="E1782" t="s">
        <v>36</v>
      </c>
      <c r="F1782" t="s">
        <v>24</v>
      </c>
      <c r="G1782" t="s">
        <v>21</v>
      </c>
      <c r="H1782" t="s">
        <v>26</v>
      </c>
      <c r="I1782">
        <v>0</v>
      </c>
      <c r="J1782">
        <v>0</v>
      </c>
      <c r="K1782">
        <v>0</v>
      </c>
      <c r="L1782">
        <v>0</v>
      </c>
      <c r="M1782" t="s">
        <v>76</v>
      </c>
      <c r="N1782" t="s">
        <v>76</v>
      </c>
      <c r="O1782" t="s">
        <v>77</v>
      </c>
      <c r="P1782" t="s">
        <v>76</v>
      </c>
      <c r="S1782" t="s">
        <v>4704</v>
      </c>
    </row>
    <row r="1783" spans="1:19" x14ac:dyDescent="0.3">
      <c r="A1783" t="s">
        <v>4705</v>
      </c>
      <c r="B1783" t="s">
        <v>4706</v>
      </c>
      <c r="C1783" t="s">
        <v>21</v>
      </c>
      <c r="D1783" t="s">
        <v>63</v>
      </c>
      <c r="E1783" t="s">
        <v>74</v>
      </c>
      <c r="F1783" t="s">
        <v>24</v>
      </c>
      <c r="G1783" t="s">
        <v>21</v>
      </c>
      <c r="H1783" t="s">
        <v>26</v>
      </c>
      <c r="I1783">
        <v>0</v>
      </c>
      <c r="J1783">
        <v>0</v>
      </c>
      <c r="K1783">
        <v>0</v>
      </c>
      <c r="L1783">
        <v>0</v>
      </c>
      <c r="M1783" t="s">
        <v>76</v>
      </c>
      <c r="N1783" t="s">
        <v>76</v>
      </c>
      <c r="O1783" t="s">
        <v>77</v>
      </c>
      <c r="P1783" t="s">
        <v>76</v>
      </c>
      <c r="S1783" t="s">
        <v>4706</v>
      </c>
    </row>
    <row r="1784" spans="1:19" x14ac:dyDescent="0.3">
      <c r="A1784" t="s">
        <v>4707</v>
      </c>
      <c r="B1784" t="s">
        <v>4708</v>
      </c>
      <c r="C1784" t="s">
        <v>21</v>
      </c>
      <c r="D1784" t="s">
        <v>63</v>
      </c>
      <c r="E1784" t="s">
        <v>74</v>
      </c>
      <c r="F1784" t="s">
        <v>24</v>
      </c>
      <c r="G1784" t="s">
        <v>21</v>
      </c>
      <c r="H1784" t="s">
        <v>26</v>
      </c>
      <c r="I1784">
        <v>0</v>
      </c>
      <c r="J1784">
        <v>0</v>
      </c>
      <c r="K1784">
        <v>0</v>
      </c>
      <c r="L1784">
        <v>0</v>
      </c>
      <c r="M1784" t="s">
        <v>76</v>
      </c>
      <c r="N1784" t="s">
        <v>76</v>
      </c>
      <c r="O1784" t="s">
        <v>77</v>
      </c>
      <c r="P1784" t="s">
        <v>76</v>
      </c>
      <c r="S1784" t="s">
        <v>4708</v>
      </c>
    </row>
    <row r="1785" spans="1:19" x14ac:dyDescent="0.3">
      <c r="A1785" t="s">
        <v>4709</v>
      </c>
      <c r="B1785" t="s">
        <v>4710</v>
      </c>
      <c r="C1785" t="s">
        <v>21</v>
      </c>
      <c r="D1785" t="s">
        <v>63</v>
      </c>
      <c r="E1785" t="s">
        <v>74</v>
      </c>
      <c r="F1785" t="s">
        <v>24</v>
      </c>
      <c r="G1785" t="s">
        <v>21</v>
      </c>
      <c r="H1785" t="s">
        <v>26</v>
      </c>
      <c r="I1785">
        <v>0</v>
      </c>
      <c r="J1785">
        <v>0</v>
      </c>
      <c r="K1785">
        <v>0</v>
      </c>
      <c r="L1785">
        <v>0</v>
      </c>
      <c r="M1785" t="s">
        <v>76</v>
      </c>
      <c r="N1785" t="s">
        <v>76</v>
      </c>
      <c r="O1785" t="s">
        <v>77</v>
      </c>
      <c r="P1785" t="s">
        <v>76</v>
      </c>
      <c r="S1785" t="s">
        <v>4710</v>
      </c>
    </row>
    <row r="1786" spans="1:19" x14ac:dyDescent="0.3">
      <c r="A1786" t="s">
        <v>4711</v>
      </c>
      <c r="B1786" t="s">
        <v>4712</v>
      </c>
      <c r="C1786" t="s">
        <v>21</v>
      </c>
      <c r="D1786" t="s">
        <v>63</v>
      </c>
      <c r="E1786" t="s">
        <v>74</v>
      </c>
      <c r="F1786" t="s">
        <v>24</v>
      </c>
      <c r="G1786" t="s">
        <v>21</v>
      </c>
      <c r="H1786" t="s">
        <v>26</v>
      </c>
      <c r="I1786">
        <v>0</v>
      </c>
      <c r="J1786">
        <v>0</v>
      </c>
      <c r="K1786">
        <v>0</v>
      </c>
      <c r="L1786">
        <v>0</v>
      </c>
      <c r="M1786" t="s">
        <v>76</v>
      </c>
      <c r="N1786" t="s">
        <v>76</v>
      </c>
      <c r="O1786" t="s">
        <v>77</v>
      </c>
      <c r="P1786" t="s">
        <v>76</v>
      </c>
      <c r="S1786" t="s">
        <v>4712</v>
      </c>
    </row>
    <row r="1787" spans="1:19" x14ac:dyDescent="0.3">
      <c r="A1787" t="s">
        <v>4713</v>
      </c>
      <c r="B1787" t="s">
        <v>4714</v>
      </c>
      <c r="C1787" t="s">
        <v>21</v>
      </c>
      <c r="D1787" t="s">
        <v>63</v>
      </c>
      <c r="E1787" t="s">
        <v>74</v>
      </c>
      <c r="F1787" t="s">
        <v>24</v>
      </c>
      <c r="G1787" t="s">
        <v>21</v>
      </c>
      <c r="H1787" t="s">
        <v>26</v>
      </c>
      <c r="I1787">
        <v>0</v>
      </c>
      <c r="J1787">
        <v>0</v>
      </c>
      <c r="K1787">
        <v>0</v>
      </c>
      <c r="L1787">
        <v>0</v>
      </c>
      <c r="M1787" t="s">
        <v>76</v>
      </c>
      <c r="N1787" t="s">
        <v>76</v>
      </c>
      <c r="O1787" t="s">
        <v>77</v>
      </c>
      <c r="P1787" t="s">
        <v>76</v>
      </c>
      <c r="S1787" t="s">
        <v>4714</v>
      </c>
    </row>
    <row r="1788" spans="1:19" x14ac:dyDescent="0.3">
      <c r="A1788" t="s">
        <v>4715</v>
      </c>
      <c r="B1788" t="s">
        <v>4716</v>
      </c>
      <c r="C1788" t="s">
        <v>21</v>
      </c>
      <c r="F1788" t="s">
        <v>24</v>
      </c>
      <c r="G1788" t="s">
        <v>21</v>
      </c>
      <c r="H1788" t="s">
        <v>26</v>
      </c>
      <c r="I1788">
        <v>0</v>
      </c>
      <c r="J1788">
        <v>0</v>
      </c>
      <c r="K1788">
        <v>0</v>
      </c>
      <c r="L1788">
        <v>0</v>
      </c>
      <c r="M1788" t="s">
        <v>76</v>
      </c>
      <c r="N1788" t="s">
        <v>76</v>
      </c>
      <c r="O1788" t="s">
        <v>77</v>
      </c>
      <c r="P1788" t="s">
        <v>76</v>
      </c>
      <c r="S1788" t="s">
        <v>4716</v>
      </c>
    </row>
    <row r="1789" spans="1:19" x14ac:dyDescent="0.3">
      <c r="A1789" t="s">
        <v>4717</v>
      </c>
      <c r="B1789" t="s">
        <v>4718</v>
      </c>
      <c r="C1789" t="s">
        <v>21</v>
      </c>
      <c r="D1789" t="s">
        <v>63</v>
      </c>
      <c r="E1789" t="s">
        <v>74</v>
      </c>
      <c r="F1789" t="s">
        <v>24</v>
      </c>
      <c r="G1789" t="s">
        <v>21</v>
      </c>
      <c r="H1789" t="s">
        <v>26</v>
      </c>
      <c r="I1789">
        <v>0</v>
      </c>
      <c r="J1789">
        <v>0</v>
      </c>
      <c r="K1789">
        <v>0</v>
      </c>
      <c r="L1789">
        <v>0</v>
      </c>
      <c r="M1789" t="s">
        <v>76</v>
      </c>
      <c r="N1789" t="s">
        <v>76</v>
      </c>
      <c r="O1789" t="s">
        <v>77</v>
      </c>
      <c r="P1789" t="s">
        <v>76</v>
      </c>
      <c r="S1789" t="s">
        <v>4718</v>
      </c>
    </row>
    <row r="1790" spans="1:19" x14ac:dyDescent="0.3">
      <c r="A1790" t="s">
        <v>4719</v>
      </c>
      <c r="B1790" t="s">
        <v>4720</v>
      </c>
      <c r="C1790" t="s">
        <v>21</v>
      </c>
      <c r="D1790" t="s">
        <v>63</v>
      </c>
      <c r="E1790" t="s">
        <v>74</v>
      </c>
      <c r="F1790" t="s">
        <v>24</v>
      </c>
      <c r="G1790" t="s">
        <v>21</v>
      </c>
      <c r="H1790" t="s">
        <v>26</v>
      </c>
      <c r="I1790">
        <v>0</v>
      </c>
      <c r="J1790">
        <v>0</v>
      </c>
      <c r="K1790">
        <v>0</v>
      </c>
      <c r="L1790">
        <v>0</v>
      </c>
      <c r="M1790" t="s">
        <v>76</v>
      </c>
      <c r="N1790" t="s">
        <v>76</v>
      </c>
      <c r="O1790" t="s">
        <v>77</v>
      </c>
      <c r="P1790" t="s">
        <v>76</v>
      </c>
      <c r="S1790" t="s">
        <v>4720</v>
      </c>
    </row>
    <row r="1791" spans="1:19" x14ac:dyDescent="0.3">
      <c r="A1791" t="s">
        <v>4721</v>
      </c>
      <c r="B1791" t="s">
        <v>4722</v>
      </c>
      <c r="C1791" t="s">
        <v>21</v>
      </c>
      <c r="D1791" t="s">
        <v>35</v>
      </c>
      <c r="E1791" t="s">
        <v>80</v>
      </c>
      <c r="F1791" t="s">
        <v>24</v>
      </c>
      <c r="G1791" t="s">
        <v>21</v>
      </c>
      <c r="H1791" t="s">
        <v>26</v>
      </c>
      <c r="I1791">
        <v>0</v>
      </c>
      <c r="J1791">
        <v>0</v>
      </c>
      <c r="K1791">
        <v>0</v>
      </c>
      <c r="L1791">
        <v>0</v>
      </c>
      <c r="M1791" t="s">
        <v>76</v>
      </c>
      <c r="N1791" t="s">
        <v>76</v>
      </c>
      <c r="O1791" t="s">
        <v>77</v>
      </c>
      <c r="P1791" t="s">
        <v>76</v>
      </c>
      <c r="S1791" t="s">
        <v>4722</v>
      </c>
    </row>
    <row r="1792" spans="1:19" x14ac:dyDescent="0.3">
      <c r="A1792" t="s">
        <v>4723</v>
      </c>
      <c r="B1792" t="s">
        <v>4724</v>
      </c>
      <c r="C1792" t="s">
        <v>21</v>
      </c>
      <c r="D1792" t="s">
        <v>63</v>
      </c>
      <c r="E1792" t="s">
        <v>74</v>
      </c>
      <c r="F1792" t="s">
        <v>24</v>
      </c>
      <c r="G1792" t="s">
        <v>21</v>
      </c>
      <c r="H1792" t="s">
        <v>26</v>
      </c>
      <c r="I1792">
        <v>0</v>
      </c>
      <c r="J1792">
        <v>0</v>
      </c>
      <c r="K1792">
        <v>0</v>
      </c>
      <c r="L1792">
        <v>0</v>
      </c>
      <c r="M1792" t="s">
        <v>239</v>
      </c>
      <c r="N1792" t="s">
        <v>239</v>
      </c>
      <c r="O1792" t="s">
        <v>240</v>
      </c>
      <c r="P1792" t="s">
        <v>239</v>
      </c>
      <c r="S1792" t="s">
        <v>4724</v>
      </c>
    </row>
    <row r="1793" spans="1:19" x14ac:dyDescent="0.3">
      <c r="A1793" t="s">
        <v>4725</v>
      </c>
      <c r="B1793" t="s">
        <v>4726</v>
      </c>
      <c r="C1793" t="s">
        <v>21</v>
      </c>
      <c r="D1793" t="s">
        <v>35</v>
      </c>
      <c r="E1793" t="s">
        <v>36</v>
      </c>
      <c r="F1793" t="s">
        <v>24</v>
      </c>
      <c r="G1793" t="s">
        <v>21</v>
      </c>
      <c r="H1793" t="s">
        <v>26</v>
      </c>
      <c r="I1793">
        <v>0</v>
      </c>
      <c r="J1793">
        <v>0</v>
      </c>
      <c r="K1793">
        <v>0</v>
      </c>
      <c r="L1793">
        <v>0</v>
      </c>
      <c r="M1793" t="s">
        <v>76</v>
      </c>
      <c r="N1793" t="s">
        <v>76</v>
      </c>
      <c r="O1793" t="s">
        <v>77</v>
      </c>
      <c r="P1793" t="s">
        <v>76</v>
      </c>
      <c r="S1793" t="s">
        <v>4726</v>
      </c>
    </row>
    <row r="1794" spans="1:19" x14ac:dyDescent="0.3">
      <c r="A1794" t="s">
        <v>2635</v>
      </c>
      <c r="B1794" t="s">
        <v>4727</v>
      </c>
      <c r="C1794" t="s">
        <v>21</v>
      </c>
      <c r="D1794" t="s">
        <v>63</v>
      </c>
      <c r="E1794" t="s">
        <v>74</v>
      </c>
      <c r="F1794" t="s">
        <v>24</v>
      </c>
      <c r="G1794" t="s">
        <v>21</v>
      </c>
      <c r="H1794" t="s">
        <v>26</v>
      </c>
      <c r="I1794">
        <v>0</v>
      </c>
      <c r="J1794">
        <v>0</v>
      </c>
      <c r="K1794">
        <v>0</v>
      </c>
      <c r="L1794">
        <v>0</v>
      </c>
      <c r="M1794" t="s">
        <v>76</v>
      </c>
      <c r="N1794" t="s">
        <v>76</v>
      </c>
      <c r="O1794" t="s">
        <v>77</v>
      </c>
      <c r="P1794" t="s">
        <v>76</v>
      </c>
      <c r="S1794" t="s">
        <v>4727</v>
      </c>
    </row>
    <row r="1795" spans="1:19" x14ac:dyDescent="0.3">
      <c r="A1795" t="s">
        <v>4728</v>
      </c>
      <c r="B1795" t="s">
        <v>4729</v>
      </c>
      <c r="C1795" t="s">
        <v>21</v>
      </c>
      <c r="D1795" t="s">
        <v>63</v>
      </c>
      <c r="E1795" t="s">
        <v>74</v>
      </c>
      <c r="F1795" t="s">
        <v>24</v>
      </c>
      <c r="G1795" t="s">
        <v>21</v>
      </c>
      <c r="H1795" t="s">
        <v>26</v>
      </c>
      <c r="I1795">
        <v>0</v>
      </c>
      <c r="J1795">
        <v>0</v>
      </c>
      <c r="K1795">
        <v>0</v>
      </c>
      <c r="L1795">
        <v>0</v>
      </c>
      <c r="M1795" t="s">
        <v>76</v>
      </c>
      <c r="N1795" t="s">
        <v>76</v>
      </c>
      <c r="O1795" t="s">
        <v>77</v>
      </c>
      <c r="P1795" t="s">
        <v>76</v>
      </c>
      <c r="S1795" t="s">
        <v>4729</v>
      </c>
    </row>
    <row r="1796" spans="1:19" x14ac:dyDescent="0.3">
      <c r="A1796" t="s">
        <v>4730</v>
      </c>
      <c r="B1796" t="s">
        <v>4731</v>
      </c>
      <c r="C1796" t="s">
        <v>21</v>
      </c>
      <c r="D1796" t="s">
        <v>63</v>
      </c>
      <c r="E1796" t="s">
        <v>74</v>
      </c>
      <c r="F1796" t="s">
        <v>24</v>
      </c>
      <c r="G1796" t="s">
        <v>21</v>
      </c>
      <c r="H1796" t="s">
        <v>26</v>
      </c>
      <c r="I1796">
        <v>0</v>
      </c>
      <c r="J1796">
        <v>0</v>
      </c>
      <c r="K1796">
        <v>0</v>
      </c>
      <c r="L1796">
        <v>0</v>
      </c>
      <c r="M1796" t="s">
        <v>76</v>
      </c>
      <c r="N1796" t="s">
        <v>76</v>
      </c>
      <c r="O1796" t="s">
        <v>77</v>
      </c>
      <c r="P1796" t="s">
        <v>76</v>
      </c>
      <c r="S1796" t="s">
        <v>4731</v>
      </c>
    </row>
    <row r="1797" spans="1:19" x14ac:dyDescent="0.3">
      <c r="A1797" t="s">
        <v>4732</v>
      </c>
      <c r="B1797" t="s">
        <v>4733</v>
      </c>
      <c r="C1797" t="s">
        <v>21</v>
      </c>
      <c r="D1797" t="s">
        <v>63</v>
      </c>
      <c r="E1797" t="s">
        <v>74</v>
      </c>
      <c r="F1797" t="s">
        <v>24</v>
      </c>
      <c r="G1797" t="s">
        <v>21</v>
      </c>
      <c r="H1797" t="s">
        <v>26</v>
      </c>
      <c r="I1797">
        <v>0</v>
      </c>
      <c r="J1797">
        <v>0</v>
      </c>
      <c r="K1797">
        <v>0</v>
      </c>
      <c r="L1797">
        <v>0</v>
      </c>
      <c r="M1797" t="s">
        <v>76</v>
      </c>
      <c r="N1797" t="s">
        <v>76</v>
      </c>
      <c r="O1797" t="s">
        <v>77</v>
      </c>
      <c r="P1797" t="s">
        <v>76</v>
      </c>
      <c r="S1797" t="s">
        <v>4733</v>
      </c>
    </row>
    <row r="1798" spans="1:19" x14ac:dyDescent="0.3">
      <c r="A1798" t="s">
        <v>4734</v>
      </c>
      <c r="B1798" t="s">
        <v>4735</v>
      </c>
      <c r="C1798" t="s">
        <v>21</v>
      </c>
      <c r="D1798" t="s">
        <v>35</v>
      </c>
      <c r="E1798" t="s">
        <v>80</v>
      </c>
      <c r="F1798" t="s">
        <v>24</v>
      </c>
      <c r="G1798" t="s">
        <v>21</v>
      </c>
      <c r="H1798" t="s">
        <v>26</v>
      </c>
      <c r="I1798">
        <v>0</v>
      </c>
      <c r="J1798">
        <v>0</v>
      </c>
      <c r="K1798">
        <v>0</v>
      </c>
      <c r="L1798">
        <v>0</v>
      </c>
      <c r="M1798" t="s">
        <v>76</v>
      </c>
      <c r="N1798" t="s">
        <v>76</v>
      </c>
      <c r="O1798" t="s">
        <v>77</v>
      </c>
      <c r="P1798" t="s">
        <v>76</v>
      </c>
      <c r="S1798" t="s">
        <v>4735</v>
      </c>
    </row>
    <row r="1799" spans="1:19" x14ac:dyDescent="0.3">
      <c r="A1799" t="s">
        <v>4736</v>
      </c>
      <c r="B1799" t="s">
        <v>4737</v>
      </c>
      <c r="C1799" t="s">
        <v>21</v>
      </c>
      <c r="D1799" t="s">
        <v>63</v>
      </c>
      <c r="E1799" t="s">
        <v>74</v>
      </c>
      <c r="F1799" t="s">
        <v>24</v>
      </c>
      <c r="G1799" t="s">
        <v>21</v>
      </c>
      <c r="H1799" t="s">
        <v>26</v>
      </c>
      <c r="I1799">
        <v>0</v>
      </c>
      <c r="J1799">
        <v>0</v>
      </c>
      <c r="K1799">
        <v>0</v>
      </c>
      <c r="L1799">
        <v>0</v>
      </c>
      <c r="M1799" t="s">
        <v>76</v>
      </c>
      <c r="N1799" t="s">
        <v>76</v>
      </c>
      <c r="O1799" t="s">
        <v>77</v>
      </c>
      <c r="P1799" t="s">
        <v>76</v>
      </c>
      <c r="S1799" t="s">
        <v>4737</v>
      </c>
    </row>
    <row r="1800" spans="1:19" x14ac:dyDescent="0.3">
      <c r="A1800" t="s">
        <v>4738</v>
      </c>
      <c r="B1800" t="s">
        <v>4739</v>
      </c>
      <c r="C1800" t="s">
        <v>43</v>
      </c>
      <c r="F1800" t="s">
        <v>45</v>
      </c>
      <c r="G1800" t="s">
        <v>43</v>
      </c>
      <c r="H1800" t="s">
        <v>26</v>
      </c>
      <c r="I1800">
        <v>0</v>
      </c>
      <c r="J1800">
        <v>0</v>
      </c>
      <c r="K1800">
        <v>0</v>
      </c>
      <c r="L1800">
        <v>0</v>
      </c>
      <c r="M1800" t="s">
        <v>76</v>
      </c>
      <c r="N1800" t="s">
        <v>76</v>
      </c>
      <c r="O1800" t="s">
        <v>77</v>
      </c>
      <c r="P1800" t="s">
        <v>76</v>
      </c>
      <c r="S1800" t="s">
        <v>4739</v>
      </c>
    </row>
    <row r="1801" spans="1:19" x14ac:dyDescent="0.3">
      <c r="A1801" t="s">
        <v>4740</v>
      </c>
      <c r="B1801" t="s">
        <v>4741</v>
      </c>
      <c r="C1801" t="s">
        <v>73</v>
      </c>
      <c r="D1801" t="s">
        <v>63</v>
      </c>
      <c r="E1801" t="s">
        <v>74</v>
      </c>
      <c r="F1801" t="s">
        <v>73</v>
      </c>
      <c r="G1801" t="s">
        <v>2673</v>
      </c>
      <c r="H1801" t="s">
        <v>75</v>
      </c>
      <c r="I1801">
        <v>0</v>
      </c>
      <c r="J1801">
        <v>0</v>
      </c>
      <c r="K1801">
        <v>0</v>
      </c>
      <c r="L1801">
        <v>0</v>
      </c>
      <c r="M1801" t="s">
        <v>76</v>
      </c>
      <c r="N1801" t="s">
        <v>76</v>
      </c>
      <c r="O1801" t="s">
        <v>77</v>
      </c>
      <c r="P1801" t="s">
        <v>76</v>
      </c>
      <c r="S1801" t="s">
        <v>4741</v>
      </c>
    </row>
    <row r="1802" spans="1:19" x14ac:dyDescent="0.3">
      <c r="A1802" t="s">
        <v>4742</v>
      </c>
      <c r="B1802" t="s">
        <v>4743</v>
      </c>
      <c r="C1802" t="s">
        <v>73</v>
      </c>
      <c r="D1802" t="s">
        <v>63</v>
      </c>
      <c r="E1802" t="s">
        <v>74</v>
      </c>
      <c r="F1802" t="s">
        <v>73</v>
      </c>
      <c r="G1802" t="s">
        <v>2673</v>
      </c>
      <c r="H1802" t="s">
        <v>75</v>
      </c>
      <c r="I1802">
        <v>0</v>
      </c>
      <c r="J1802">
        <v>0</v>
      </c>
      <c r="K1802">
        <v>0</v>
      </c>
      <c r="L1802">
        <v>0</v>
      </c>
      <c r="M1802" t="s">
        <v>76</v>
      </c>
      <c r="N1802" t="s">
        <v>76</v>
      </c>
      <c r="O1802" t="s">
        <v>77</v>
      </c>
      <c r="P1802" t="s">
        <v>76</v>
      </c>
      <c r="S1802" t="s">
        <v>4743</v>
      </c>
    </row>
    <row r="1803" spans="1:19" x14ac:dyDescent="0.3">
      <c r="A1803" t="s">
        <v>4744</v>
      </c>
      <c r="B1803" t="s">
        <v>4745</v>
      </c>
      <c r="C1803" t="s">
        <v>596</v>
      </c>
      <c r="D1803" t="s">
        <v>63</v>
      </c>
      <c r="E1803" t="s">
        <v>74</v>
      </c>
      <c r="F1803" t="s">
        <v>73</v>
      </c>
      <c r="G1803" t="s">
        <v>596</v>
      </c>
      <c r="H1803" t="s">
        <v>75</v>
      </c>
      <c r="I1803">
        <v>0</v>
      </c>
      <c r="J1803">
        <v>0</v>
      </c>
      <c r="K1803">
        <v>0</v>
      </c>
      <c r="L1803">
        <v>0</v>
      </c>
      <c r="M1803" t="s">
        <v>76</v>
      </c>
      <c r="N1803" t="s">
        <v>76</v>
      </c>
      <c r="O1803" t="s">
        <v>77</v>
      </c>
      <c r="P1803" t="s">
        <v>76</v>
      </c>
      <c r="S1803" t="s">
        <v>4745</v>
      </c>
    </row>
    <row r="1804" spans="1:19" x14ac:dyDescent="0.3">
      <c r="A1804" t="s">
        <v>4746</v>
      </c>
      <c r="B1804" t="s">
        <v>4747</v>
      </c>
      <c r="C1804" t="s">
        <v>596</v>
      </c>
      <c r="D1804" t="s">
        <v>35</v>
      </c>
      <c r="E1804" t="s">
        <v>36</v>
      </c>
      <c r="F1804" t="s">
        <v>73</v>
      </c>
      <c r="G1804" t="s">
        <v>596</v>
      </c>
      <c r="H1804" t="s">
        <v>75</v>
      </c>
      <c r="I1804">
        <v>0</v>
      </c>
      <c r="J1804">
        <v>0</v>
      </c>
      <c r="K1804">
        <v>0</v>
      </c>
      <c r="L1804">
        <v>0</v>
      </c>
      <c r="M1804" t="s">
        <v>76</v>
      </c>
      <c r="N1804" t="s">
        <v>76</v>
      </c>
      <c r="O1804" t="s">
        <v>77</v>
      </c>
      <c r="P1804" t="s">
        <v>76</v>
      </c>
      <c r="S1804" t="s">
        <v>4747</v>
      </c>
    </row>
    <row r="1805" spans="1:19" x14ac:dyDescent="0.3">
      <c r="A1805" t="s">
        <v>4748</v>
      </c>
      <c r="B1805" t="s">
        <v>4749</v>
      </c>
      <c r="C1805" t="s">
        <v>73</v>
      </c>
      <c r="D1805" t="s">
        <v>63</v>
      </c>
      <c r="E1805" t="s">
        <v>74</v>
      </c>
      <c r="F1805" t="s">
        <v>73</v>
      </c>
      <c r="G1805" t="s">
        <v>4299</v>
      </c>
      <c r="H1805" t="s">
        <v>75</v>
      </c>
      <c r="I1805">
        <v>0</v>
      </c>
      <c r="J1805">
        <v>0</v>
      </c>
      <c r="K1805">
        <v>0</v>
      </c>
      <c r="L1805">
        <v>0</v>
      </c>
      <c r="M1805" t="s">
        <v>76</v>
      </c>
      <c r="N1805" t="s">
        <v>76</v>
      </c>
      <c r="O1805" t="s">
        <v>77</v>
      </c>
      <c r="P1805" t="s">
        <v>76</v>
      </c>
      <c r="S1805" t="s">
        <v>4749</v>
      </c>
    </row>
    <row r="1806" spans="1:19" x14ac:dyDescent="0.3">
      <c r="A1806" t="s">
        <v>4750</v>
      </c>
      <c r="B1806" t="s">
        <v>4751</v>
      </c>
      <c r="E1806" t="s">
        <v>400</v>
      </c>
      <c r="F1806" t="s">
        <v>237</v>
      </c>
      <c r="G1806" t="s">
        <v>596</v>
      </c>
      <c r="H1806" t="s">
        <v>75</v>
      </c>
      <c r="I1806">
        <v>0</v>
      </c>
      <c r="J1806">
        <v>0</v>
      </c>
      <c r="K1806">
        <v>0</v>
      </c>
      <c r="L1806">
        <v>0</v>
      </c>
      <c r="M1806" t="s">
        <v>76</v>
      </c>
      <c r="N1806" t="s">
        <v>76</v>
      </c>
      <c r="O1806" t="s">
        <v>77</v>
      </c>
      <c r="P1806" t="s">
        <v>76</v>
      </c>
      <c r="S1806" t="s">
        <v>4751</v>
      </c>
    </row>
    <row r="1807" spans="1:19" x14ac:dyDescent="0.3">
      <c r="A1807" t="s">
        <v>4752</v>
      </c>
      <c r="B1807" t="s">
        <v>4753</v>
      </c>
      <c r="C1807" t="s">
        <v>24</v>
      </c>
      <c r="D1807" t="s">
        <v>35</v>
      </c>
      <c r="E1807" t="s">
        <v>389</v>
      </c>
      <c r="F1807" t="s">
        <v>144</v>
      </c>
      <c r="G1807" t="s">
        <v>4754</v>
      </c>
      <c r="H1807" t="s">
        <v>213</v>
      </c>
      <c r="I1807">
        <v>0</v>
      </c>
      <c r="J1807">
        <v>0</v>
      </c>
      <c r="K1807">
        <v>0</v>
      </c>
      <c r="L1807">
        <v>0</v>
      </c>
      <c r="M1807" t="s">
        <v>76</v>
      </c>
      <c r="N1807" t="s">
        <v>76</v>
      </c>
      <c r="O1807" t="s">
        <v>77</v>
      </c>
      <c r="P1807" t="s">
        <v>76</v>
      </c>
      <c r="S1807" t="s">
        <v>4753</v>
      </c>
    </row>
    <row r="1808" spans="1:19" x14ac:dyDescent="0.3">
      <c r="A1808" t="s">
        <v>4755</v>
      </c>
      <c r="B1808" t="s">
        <v>4756</v>
      </c>
      <c r="C1808" t="s">
        <v>114</v>
      </c>
      <c r="D1808" t="s">
        <v>63</v>
      </c>
      <c r="E1808" t="s">
        <v>74</v>
      </c>
      <c r="F1808" t="s">
        <v>114</v>
      </c>
      <c r="G1808" t="s">
        <v>4755</v>
      </c>
      <c r="H1808" t="s">
        <v>213</v>
      </c>
      <c r="I1808">
        <v>0</v>
      </c>
      <c r="J1808">
        <v>0</v>
      </c>
      <c r="K1808">
        <v>0</v>
      </c>
      <c r="L1808">
        <v>0</v>
      </c>
      <c r="S1808" t="s">
        <v>4756</v>
      </c>
    </row>
    <row r="1809" spans="1:19" x14ac:dyDescent="0.3">
      <c r="A1809" t="s">
        <v>4757</v>
      </c>
      <c r="B1809" t="s">
        <v>4758</v>
      </c>
      <c r="C1809" t="s">
        <v>596</v>
      </c>
      <c r="D1809" t="s">
        <v>63</v>
      </c>
      <c r="E1809" t="s">
        <v>74</v>
      </c>
      <c r="F1809" t="s">
        <v>73</v>
      </c>
      <c r="G1809" t="s">
        <v>596</v>
      </c>
      <c r="H1809" t="s">
        <v>75</v>
      </c>
      <c r="I1809">
        <v>0</v>
      </c>
      <c r="J1809">
        <v>0</v>
      </c>
      <c r="K1809">
        <v>0</v>
      </c>
      <c r="L1809">
        <v>0</v>
      </c>
      <c r="M1809" t="s">
        <v>76</v>
      </c>
      <c r="N1809" t="s">
        <v>76</v>
      </c>
      <c r="O1809" t="s">
        <v>77</v>
      </c>
      <c r="P1809" t="s">
        <v>76</v>
      </c>
      <c r="S1809" t="s">
        <v>4758</v>
      </c>
    </row>
    <row r="1810" spans="1:19" x14ac:dyDescent="0.3">
      <c r="A1810" t="s">
        <v>4299</v>
      </c>
      <c r="B1810" t="s">
        <v>4759</v>
      </c>
      <c r="C1810" t="s">
        <v>73</v>
      </c>
      <c r="D1810" t="s">
        <v>63</v>
      </c>
      <c r="E1810" t="s">
        <v>74</v>
      </c>
      <c r="F1810" t="s">
        <v>73</v>
      </c>
      <c r="G1810" t="s">
        <v>4299</v>
      </c>
      <c r="H1810" t="s">
        <v>75</v>
      </c>
      <c r="I1810">
        <v>0</v>
      </c>
      <c r="J1810">
        <v>0</v>
      </c>
      <c r="K1810">
        <v>0</v>
      </c>
      <c r="L1810">
        <v>0</v>
      </c>
      <c r="M1810" t="s">
        <v>76</v>
      </c>
      <c r="N1810" t="s">
        <v>76</v>
      </c>
      <c r="O1810" t="s">
        <v>77</v>
      </c>
      <c r="P1810" t="s">
        <v>76</v>
      </c>
      <c r="S1810" t="s">
        <v>4759</v>
      </c>
    </row>
    <row r="1811" spans="1:19" x14ac:dyDescent="0.3">
      <c r="A1811" t="s">
        <v>4760</v>
      </c>
      <c r="B1811" t="s">
        <v>4761</v>
      </c>
      <c r="C1811" t="s">
        <v>24</v>
      </c>
      <c r="D1811" t="s">
        <v>35</v>
      </c>
      <c r="E1811" t="s">
        <v>389</v>
      </c>
      <c r="F1811" t="s">
        <v>144</v>
      </c>
      <c r="G1811" t="s">
        <v>4754</v>
      </c>
      <c r="H1811" t="s">
        <v>213</v>
      </c>
      <c r="I1811">
        <v>0</v>
      </c>
      <c r="J1811">
        <v>0</v>
      </c>
      <c r="K1811">
        <v>0</v>
      </c>
      <c r="L1811">
        <v>0</v>
      </c>
      <c r="M1811" t="s">
        <v>76</v>
      </c>
      <c r="N1811" t="s">
        <v>76</v>
      </c>
      <c r="O1811" t="s">
        <v>77</v>
      </c>
      <c r="P1811" t="s">
        <v>76</v>
      </c>
      <c r="S1811" t="s">
        <v>4761</v>
      </c>
    </row>
    <row r="1812" spans="1:19" x14ac:dyDescent="0.3">
      <c r="A1812" t="s">
        <v>4762</v>
      </c>
      <c r="B1812" t="s">
        <v>4763</v>
      </c>
      <c r="C1812" t="s">
        <v>596</v>
      </c>
      <c r="D1812" t="s">
        <v>63</v>
      </c>
      <c r="E1812" t="s">
        <v>74</v>
      </c>
      <c r="F1812" t="s">
        <v>73</v>
      </c>
      <c r="G1812" t="s">
        <v>596</v>
      </c>
      <c r="H1812" t="s">
        <v>75</v>
      </c>
      <c r="I1812">
        <v>0</v>
      </c>
      <c r="J1812">
        <v>0</v>
      </c>
      <c r="K1812">
        <v>0</v>
      </c>
      <c r="L1812">
        <v>0</v>
      </c>
      <c r="M1812" t="s">
        <v>76</v>
      </c>
      <c r="N1812" t="s">
        <v>76</v>
      </c>
      <c r="O1812" t="s">
        <v>77</v>
      </c>
      <c r="P1812" t="s">
        <v>76</v>
      </c>
      <c r="S1812" t="s">
        <v>4763</v>
      </c>
    </row>
    <row r="1813" spans="1:19" x14ac:dyDescent="0.3">
      <c r="A1813" t="s">
        <v>4764</v>
      </c>
      <c r="B1813" t="s">
        <v>4765</v>
      </c>
      <c r="C1813" t="s">
        <v>596</v>
      </c>
      <c r="D1813" t="s">
        <v>63</v>
      </c>
      <c r="E1813" t="s">
        <v>74</v>
      </c>
      <c r="F1813" t="s">
        <v>73</v>
      </c>
      <c r="G1813" t="s">
        <v>596</v>
      </c>
      <c r="H1813" t="s">
        <v>75</v>
      </c>
      <c r="I1813">
        <v>0</v>
      </c>
      <c r="J1813">
        <v>0</v>
      </c>
      <c r="K1813">
        <v>0</v>
      </c>
      <c r="L1813">
        <v>0</v>
      </c>
      <c r="M1813" t="s">
        <v>76</v>
      </c>
      <c r="N1813" t="s">
        <v>76</v>
      </c>
      <c r="O1813" t="s">
        <v>77</v>
      </c>
      <c r="P1813" t="s">
        <v>76</v>
      </c>
      <c r="S1813" t="s">
        <v>4765</v>
      </c>
    </row>
    <row r="1814" spans="1:19" x14ac:dyDescent="0.3">
      <c r="A1814" t="s">
        <v>4766</v>
      </c>
      <c r="B1814" t="s">
        <v>4767</v>
      </c>
      <c r="C1814" t="s">
        <v>596</v>
      </c>
      <c r="D1814" t="s">
        <v>63</v>
      </c>
      <c r="E1814" t="s">
        <v>64</v>
      </c>
      <c r="F1814" t="s">
        <v>73</v>
      </c>
      <c r="G1814" t="s">
        <v>596</v>
      </c>
      <c r="H1814" t="s">
        <v>75</v>
      </c>
      <c r="I1814">
        <v>0</v>
      </c>
      <c r="J1814">
        <v>0</v>
      </c>
      <c r="K1814">
        <v>0</v>
      </c>
      <c r="L1814">
        <v>0</v>
      </c>
      <c r="M1814" t="s">
        <v>76</v>
      </c>
      <c r="N1814" t="s">
        <v>76</v>
      </c>
      <c r="O1814" t="s">
        <v>77</v>
      </c>
      <c r="P1814" t="s">
        <v>76</v>
      </c>
      <c r="S1814" t="s">
        <v>4767</v>
      </c>
    </row>
    <row r="1815" spans="1:19" x14ac:dyDescent="0.3">
      <c r="A1815" t="s">
        <v>4768</v>
      </c>
      <c r="B1815" t="s">
        <v>4769</v>
      </c>
      <c r="C1815" t="s">
        <v>43</v>
      </c>
      <c r="D1815" t="s">
        <v>63</v>
      </c>
      <c r="E1815" t="s">
        <v>74</v>
      </c>
      <c r="F1815" t="s">
        <v>45</v>
      </c>
      <c r="G1815" t="s">
        <v>43</v>
      </c>
      <c r="H1815" t="s">
        <v>26</v>
      </c>
      <c r="I1815">
        <v>0</v>
      </c>
      <c r="J1815">
        <v>0</v>
      </c>
      <c r="K1815">
        <v>0</v>
      </c>
      <c r="L1815">
        <v>0</v>
      </c>
      <c r="M1815" t="s">
        <v>76</v>
      </c>
      <c r="N1815" t="s">
        <v>76</v>
      </c>
      <c r="O1815" t="s">
        <v>77</v>
      </c>
      <c r="P1815" t="s">
        <v>76</v>
      </c>
      <c r="S1815" t="s">
        <v>4769</v>
      </c>
    </row>
    <row r="1816" spans="1:19" x14ac:dyDescent="0.3">
      <c r="A1816" t="s">
        <v>4770</v>
      </c>
      <c r="B1816" t="s">
        <v>4771</v>
      </c>
      <c r="C1816" t="s">
        <v>43</v>
      </c>
      <c r="D1816" t="s">
        <v>35</v>
      </c>
      <c r="E1816" t="s">
        <v>150</v>
      </c>
      <c r="F1816" t="s">
        <v>45</v>
      </c>
      <c r="G1816" t="s">
        <v>43</v>
      </c>
      <c r="H1816" t="s">
        <v>26</v>
      </c>
      <c r="I1816">
        <v>0</v>
      </c>
      <c r="J1816">
        <v>0</v>
      </c>
      <c r="K1816">
        <v>0</v>
      </c>
      <c r="L1816">
        <v>0</v>
      </c>
      <c r="M1816" t="s">
        <v>76</v>
      </c>
      <c r="N1816" t="s">
        <v>76</v>
      </c>
      <c r="O1816" t="s">
        <v>77</v>
      </c>
      <c r="P1816" t="s">
        <v>76</v>
      </c>
      <c r="S1816" t="s">
        <v>4771</v>
      </c>
    </row>
    <row r="1817" spans="1:19" x14ac:dyDescent="0.3">
      <c r="A1817" t="s">
        <v>4772</v>
      </c>
      <c r="B1817" t="s">
        <v>4773</v>
      </c>
      <c r="C1817" t="s">
        <v>43</v>
      </c>
      <c r="D1817" t="s">
        <v>63</v>
      </c>
      <c r="E1817" t="s">
        <v>64</v>
      </c>
      <c r="F1817" t="s">
        <v>45</v>
      </c>
      <c r="G1817" t="s">
        <v>43</v>
      </c>
      <c r="H1817" t="s">
        <v>26</v>
      </c>
      <c r="I1817">
        <v>0</v>
      </c>
      <c r="J1817">
        <v>0</v>
      </c>
      <c r="K1817">
        <v>0</v>
      </c>
      <c r="L1817">
        <v>0</v>
      </c>
      <c r="M1817" t="s">
        <v>76</v>
      </c>
      <c r="N1817" t="s">
        <v>76</v>
      </c>
      <c r="O1817" t="s">
        <v>77</v>
      </c>
      <c r="P1817" t="s">
        <v>76</v>
      </c>
      <c r="S1817" t="s">
        <v>4773</v>
      </c>
    </row>
    <row r="1818" spans="1:19" x14ac:dyDescent="0.3">
      <c r="A1818" t="s">
        <v>4774</v>
      </c>
      <c r="B1818" t="s">
        <v>4775</v>
      </c>
      <c r="C1818" t="s">
        <v>43</v>
      </c>
      <c r="D1818" t="s">
        <v>35</v>
      </c>
      <c r="E1818" t="s">
        <v>36</v>
      </c>
      <c r="F1818" t="s">
        <v>45</v>
      </c>
      <c r="G1818" t="s">
        <v>43</v>
      </c>
      <c r="H1818" t="s">
        <v>26</v>
      </c>
      <c r="I1818">
        <v>0</v>
      </c>
      <c r="J1818">
        <v>0</v>
      </c>
      <c r="K1818">
        <v>0</v>
      </c>
      <c r="L1818">
        <v>0</v>
      </c>
      <c r="M1818" t="s">
        <v>76</v>
      </c>
      <c r="N1818" t="s">
        <v>76</v>
      </c>
      <c r="O1818" t="s">
        <v>77</v>
      </c>
      <c r="P1818" t="s">
        <v>76</v>
      </c>
      <c r="S1818" t="s">
        <v>4775</v>
      </c>
    </row>
    <row r="1819" spans="1:19" x14ac:dyDescent="0.3">
      <c r="A1819" t="s">
        <v>4776</v>
      </c>
      <c r="B1819" t="s">
        <v>4777</v>
      </c>
      <c r="C1819" t="s">
        <v>43</v>
      </c>
      <c r="D1819" t="s">
        <v>35</v>
      </c>
      <c r="E1819" t="s">
        <v>36</v>
      </c>
      <c r="F1819" t="s">
        <v>45</v>
      </c>
      <c r="G1819" t="s">
        <v>43</v>
      </c>
      <c r="H1819" t="s">
        <v>26</v>
      </c>
      <c r="I1819">
        <v>0</v>
      </c>
      <c r="J1819">
        <v>0</v>
      </c>
      <c r="K1819">
        <v>0</v>
      </c>
      <c r="L1819">
        <v>0</v>
      </c>
      <c r="M1819" t="s">
        <v>76</v>
      </c>
      <c r="N1819" t="s">
        <v>76</v>
      </c>
      <c r="O1819" t="s">
        <v>77</v>
      </c>
      <c r="P1819" t="s">
        <v>76</v>
      </c>
      <c r="S1819" t="s">
        <v>4777</v>
      </c>
    </row>
    <row r="1820" spans="1:19" x14ac:dyDescent="0.3">
      <c r="A1820" t="s">
        <v>4778</v>
      </c>
      <c r="B1820" t="s">
        <v>4779</v>
      </c>
      <c r="C1820" t="s">
        <v>243</v>
      </c>
      <c r="D1820" t="s">
        <v>63</v>
      </c>
      <c r="E1820" t="s">
        <v>323</v>
      </c>
      <c r="F1820" t="s">
        <v>243</v>
      </c>
      <c r="G1820" t="s">
        <v>244</v>
      </c>
      <c r="H1820" t="s">
        <v>75</v>
      </c>
      <c r="I1820">
        <v>0</v>
      </c>
      <c r="J1820">
        <v>0</v>
      </c>
      <c r="K1820">
        <v>0</v>
      </c>
      <c r="L1820">
        <v>0</v>
      </c>
      <c r="S1820" t="s">
        <v>4779</v>
      </c>
    </row>
    <row r="1821" spans="1:19" x14ac:dyDescent="0.3">
      <c r="A1821" t="s">
        <v>4780</v>
      </c>
      <c r="B1821" t="s">
        <v>4781</v>
      </c>
      <c r="C1821" t="s">
        <v>243</v>
      </c>
      <c r="D1821" t="s">
        <v>63</v>
      </c>
      <c r="E1821" t="s">
        <v>2897</v>
      </c>
      <c r="F1821" t="s">
        <v>2742</v>
      </c>
      <c r="G1821" t="s">
        <v>2785</v>
      </c>
      <c r="H1821" t="s">
        <v>75</v>
      </c>
      <c r="I1821">
        <v>0</v>
      </c>
      <c r="J1821">
        <v>0</v>
      </c>
      <c r="K1821">
        <v>0</v>
      </c>
      <c r="L1821">
        <v>0</v>
      </c>
      <c r="S1821" t="s">
        <v>4781</v>
      </c>
    </row>
    <row r="1822" spans="1:19" x14ac:dyDescent="0.3">
      <c r="A1822" t="s">
        <v>4782</v>
      </c>
      <c r="B1822" t="s">
        <v>4783</v>
      </c>
      <c r="C1822" t="s">
        <v>21</v>
      </c>
      <c r="D1822" t="s">
        <v>63</v>
      </c>
      <c r="E1822" t="s">
        <v>74</v>
      </c>
      <c r="F1822" t="s">
        <v>24</v>
      </c>
      <c r="G1822" t="s">
        <v>21</v>
      </c>
      <c r="H1822" t="s">
        <v>26</v>
      </c>
      <c r="I1822">
        <v>0</v>
      </c>
      <c r="J1822">
        <v>0</v>
      </c>
      <c r="K1822">
        <v>0</v>
      </c>
      <c r="L1822">
        <v>0</v>
      </c>
      <c r="M1822" t="s">
        <v>121</v>
      </c>
      <c r="N1822" t="s">
        <v>122</v>
      </c>
      <c r="O1822" t="s">
        <v>123</v>
      </c>
      <c r="P1822" t="s">
        <v>124</v>
      </c>
      <c r="Q1822" t="s">
        <v>2114</v>
      </c>
      <c r="R1822" t="s">
        <v>2115</v>
      </c>
      <c r="S1822" t="s">
        <v>4783</v>
      </c>
    </row>
    <row r="1823" spans="1:19" x14ac:dyDescent="0.3">
      <c r="A1823" t="s">
        <v>4784</v>
      </c>
      <c r="B1823" t="s">
        <v>4785</v>
      </c>
      <c r="C1823" t="s">
        <v>21</v>
      </c>
      <c r="F1823" t="s">
        <v>24</v>
      </c>
      <c r="G1823" t="s">
        <v>21</v>
      </c>
      <c r="H1823" t="s">
        <v>26</v>
      </c>
      <c r="I1823">
        <v>0</v>
      </c>
      <c r="J1823">
        <v>0</v>
      </c>
      <c r="K1823">
        <v>0</v>
      </c>
      <c r="L1823">
        <v>0</v>
      </c>
      <c r="M1823" t="s">
        <v>121</v>
      </c>
      <c r="N1823" t="s">
        <v>122</v>
      </c>
      <c r="O1823" t="s">
        <v>123</v>
      </c>
      <c r="P1823" t="s">
        <v>124</v>
      </c>
      <c r="Q1823" t="s">
        <v>2114</v>
      </c>
      <c r="R1823" t="s">
        <v>2115</v>
      </c>
      <c r="S1823" t="s">
        <v>4785</v>
      </c>
    </row>
    <row r="1824" spans="1:19" x14ac:dyDescent="0.3">
      <c r="A1824" t="s">
        <v>4786</v>
      </c>
      <c r="B1824" t="s">
        <v>4787</v>
      </c>
      <c r="C1824" t="s">
        <v>24</v>
      </c>
      <c r="D1824" t="s">
        <v>35</v>
      </c>
      <c r="E1824" t="s">
        <v>389</v>
      </c>
      <c r="F1824" t="s">
        <v>55</v>
      </c>
      <c r="G1824" t="s">
        <v>4786</v>
      </c>
      <c r="H1824" t="s">
        <v>213</v>
      </c>
      <c r="I1824">
        <v>0</v>
      </c>
      <c r="J1824">
        <v>0</v>
      </c>
      <c r="K1824">
        <v>0</v>
      </c>
      <c r="L1824">
        <v>0</v>
      </c>
      <c r="M1824" t="s">
        <v>76</v>
      </c>
      <c r="N1824" t="s">
        <v>76</v>
      </c>
      <c r="O1824" t="s">
        <v>77</v>
      </c>
      <c r="P1824" t="s">
        <v>76</v>
      </c>
      <c r="S1824" t="s">
        <v>4787</v>
      </c>
    </row>
    <row r="1825" spans="1:19" x14ac:dyDescent="0.3">
      <c r="A1825" t="s">
        <v>4788</v>
      </c>
      <c r="B1825" t="s">
        <v>4789</v>
      </c>
      <c r="C1825" t="s">
        <v>45</v>
      </c>
      <c r="D1825" t="s">
        <v>35</v>
      </c>
      <c r="E1825" t="s">
        <v>80</v>
      </c>
      <c r="F1825" t="s">
        <v>144</v>
      </c>
      <c r="G1825" t="s">
        <v>145</v>
      </c>
      <c r="H1825" t="s">
        <v>26</v>
      </c>
      <c r="I1825">
        <v>0</v>
      </c>
      <c r="J1825">
        <v>0</v>
      </c>
      <c r="K1825">
        <v>0</v>
      </c>
      <c r="L1825">
        <v>0</v>
      </c>
      <c r="M1825" t="s">
        <v>76</v>
      </c>
      <c r="N1825" t="s">
        <v>76</v>
      </c>
      <c r="O1825" t="s">
        <v>77</v>
      </c>
      <c r="P1825" t="s">
        <v>76</v>
      </c>
      <c r="S1825" t="s">
        <v>4789</v>
      </c>
    </row>
    <row r="1826" spans="1:19" x14ac:dyDescent="0.3">
      <c r="A1826" t="s">
        <v>4790</v>
      </c>
      <c r="B1826" t="s">
        <v>4791</v>
      </c>
      <c r="C1826" t="s">
        <v>24</v>
      </c>
      <c r="D1826" t="s">
        <v>63</v>
      </c>
      <c r="E1826" t="s">
        <v>74</v>
      </c>
      <c r="F1826" t="s">
        <v>144</v>
      </c>
      <c r="G1826" t="s">
        <v>4790</v>
      </c>
      <c r="H1826" t="s">
        <v>26</v>
      </c>
      <c r="I1826">
        <v>0</v>
      </c>
      <c r="J1826">
        <v>0</v>
      </c>
      <c r="K1826">
        <v>0</v>
      </c>
      <c r="L1826">
        <v>0</v>
      </c>
      <c r="M1826" t="s">
        <v>239</v>
      </c>
      <c r="N1826" t="s">
        <v>239</v>
      </c>
      <c r="O1826" t="s">
        <v>240</v>
      </c>
      <c r="P1826" t="s">
        <v>239</v>
      </c>
      <c r="S1826" t="s">
        <v>4791</v>
      </c>
    </row>
    <row r="1827" spans="1:19" x14ac:dyDescent="0.3">
      <c r="A1827" t="s">
        <v>4792</v>
      </c>
      <c r="B1827" t="s">
        <v>4793</v>
      </c>
      <c r="C1827" t="s">
        <v>24</v>
      </c>
      <c r="D1827" t="s">
        <v>53</v>
      </c>
      <c r="E1827" t="s">
        <v>2289</v>
      </c>
      <c r="F1827" t="s">
        <v>109</v>
      </c>
      <c r="G1827" t="s">
        <v>4792</v>
      </c>
      <c r="H1827" t="s">
        <v>213</v>
      </c>
      <c r="I1827">
        <v>0</v>
      </c>
      <c r="J1827">
        <v>0</v>
      </c>
      <c r="K1827">
        <v>0</v>
      </c>
      <c r="L1827">
        <v>0</v>
      </c>
      <c r="M1827" t="s">
        <v>76</v>
      </c>
      <c r="N1827" t="s">
        <v>76</v>
      </c>
      <c r="O1827" t="s">
        <v>77</v>
      </c>
      <c r="P1827" t="s">
        <v>76</v>
      </c>
      <c r="S1827" t="s">
        <v>4793</v>
      </c>
    </row>
    <row r="1828" spans="1:19" x14ac:dyDescent="0.3">
      <c r="A1828" t="s">
        <v>4794</v>
      </c>
      <c r="B1828" t="s">
        <v>4795</v>
      </c>
      <c r="C1828" t="s">
        <v>43</v>
      </c>
      <c r="D1828" t="s">
        <v>63</v>
      </c>
      <c r="E1828" t="s">
        <v>74</v>
      </c>
      <c r="F1828" t="s">
        <v>45</v>
      </c>
      <c r="G1828" t="s">
        <v>43</v>
      </c>
      <c r="H1828" t="s">
        <v>26</v>
      </c>
      <c r="I1828">
        <v>0</v>
      </c>
      <c r="J1828">
        <v>0</v>
      </c>
      <c r="K1828">
        <v>0</v>
      </c>
      <c r="L1828">
        <v>0</v>
      </c>
      <c r="M1828" t="s">
        <v>76</v>
      </c>
      <c r="N1828" t="s">
        <v>76</v>
      </c>
      <c r="O1828" t="s">
        <v>77</v>
      </c>
      <c r="P1828" t="s">
        <v>76</v>
      </c>
      <c r="S1828" t="s">
        <v>4795</v>
      </c>
    </row>
    <row r="1829" spans="1:19" x14ac:dyDescent="0.3">
      <c r="A1829" t="s">
        <v>4796</v>
      </c>
      <c r="B1829" t="s">
        <v>4797</v>
      </c>
      <c r="C1829" t="s">
        <v>73</v>
      </c>
      <c r="D1829" t="s">
        <v>63</v>
      </c>
      <c r="E1829" t="s">
        <v>74</v>
      </c>
      <c r="F1829" t="s">
        <v>73</v>
      </c>
      <c r="G1829" t="s">
        <v>542</v>
      </c>
      <c r="H1829" t="s">
        <v>75</v>
      </c>
      <c r="I1829">
        <v>0</v>
      </c>
      <c r="J1829">
        <v>0</v>
      </c>
      <c r="K1829">
        <v>0</v>
      </c>
      <c r="L1829">
        <v>0</v>
      </c>
      <c r="M1829" t="s">
        <v>76</v>
      </c>
      <c r="N1829" t="s">
        <v>76</v>
      </c>
      <c r="O1829" t="s">
        <v>77</v>
      </c>
      <c r="P1829" t="s">
        <v>76</v>
      </c>
      <c r="S1829" t="s">
        <v>4797</v>
      </c>
    </row>
    <row r="1830" spans="1:19" x14ac:dyDescent="0.3">
      <c r="A1830" t="s">
        <v>4798</v>
      </c>
      <c r="B1830" t="s">
        <v>4799</v>
      </c>
      <c r="C1830" t="s">
        <v>24</v>
      </c>
      <c r="D1830" t="s">
        <v>35</v>
      </c>
      <c r="E1830" t="s">
        <v>36</v>
      </c>
      <c r="F1830" t="s">
        <v>144</v>
      </c>
      <c r="G1830" t="s">
        <v>145</v>
      </c>
      <c r="H1830" t="s">
        <v>213</v>
      </c>
      <c r="I1830">
        <v>0</v>
      </c>
      <c r="J1830">
        <v>0</v>
      </c>
      <c r="K1830">
        <v>0</v>
      </c>
      <c r="L1830">
        <v>0</v>
      </c>
      <c r="M1830" t="s">
        <v>76</v>
      </c>
      <c r="N1830" t="s">
        <v>76</v>
      </c>
      <c r="O1830" t="s">
        <v>77</v>
      </c>
      <c r="P1830" t="s">
        <v>76</v>
      </c>
      <c r="S1830" t="s">
        <v>4799</v>
      </c>
    </row>
    <row r="1831" spans="1:19" x14ac:dyDescent="0.3">
      <c r="A1831" t="s">
        <v>542</v>
      </c>
      <c r="B1831" t="s">
        <v>4800</v>
      </c>
      <c r="C1831" t="s">
        <v>73</v>
      </c>
      <c r="D1831" t="s">
        <v>35</v>
      </c>
      <c r="E1831" t="s">
        <v>128</v>
      </c>
      <c r="F1831" t="s">
        <v>73</v>
      </c>
      <c r="G1831" t="s">
        <v>542</v>
      </c>
      <c r="H1831" t="s">
        <v>75</v>
      </c>
      <c r="I1831">
        <v>0</v>
      </c>
      <c r="J1831">
        <v>0</v>
      </c>
      <c r="K1831">
        <v>0</v>
      </c>
      <c r="L1831">
        <v>0</v>
      </c>
      <c r="M1831" t="s">
        <v>76</v>
      </c>
      <c r="N1831" t="s">
        <v>76</v>
      </c>
      <c r="O1831" t="s">
        <v>77</v>
      </c>
      <c r="P1831" t="s">
        <v>76</v>
      </c>
      <c r="S1831" t="s">
        <v>4800</v>
      </c>
    </row>
    <row r="1832" spans="1:19" x14ac:dyDescent="0.3">
      <c r="A1832" t="s">
        <v>4801</v>
      </c>
      <c r="B1832" t="s">
        <v>4802</v>
      </c>
      <c r="C1832" t="s">
        <v>43</v>
      </c>
      <c r="D1832" t="s">
        <v>63</v>
      </c>
      <c r="E1832" t="s">
        <v>74</v>
      </c>
      <c r="F1832" t="s">
        <v>45</v>
      </c>
      <c r="G1832" t="s">
        <v>43</v>
      </c>
      <c r="H1832" t="s">
        <v>26</v>
      </c>
      <c r="I1832">
        <v>0</v>
      </c>
      <c r="J1832">
        <v>0</v>
      </c>
      <c r="K1832">
        <v>0</v>
      </c>
      <c r="L1832">
        <v>0</v>
      </c>
      <c r="M1832" t="s">
        <v>76</v>
      </c>
      <c r="N1832" t="s">
        <v>76</v>
      </c>
      <c r="O1832" t="s">
        <v>77</v>
      </c>
      <c r="P1832" t="s">
        <v>76</v>
      </c>
      <c r="S1832" t="s">
        <v>4802</v>
      </c>
    </row>
    <row r="1833" spans="1:19" x14ac:dyDescent="0.3">
      <c r="A1833" t="s">
        <v>4803</v>
      </c>
      <c r="B1833" t="s">
        <v>4804</v>
      </c>
      <c r="C1833" t="s">
        <v>21</v>
      </c>
      <c r="D1833" t="s">
        <v>63</v>
      </c>
      <c r="E1833" t="s">
        <v>64</v>
      </c>
      <c r="F1833" t="s">
        <v>24</v>
      </c>
      <c r="G1833" t="s">
        <v>21</v>
      </c>
      <c r="H1833" t="s">
        <v>26</v>
      </c>
      <c r="I1833">
        <v>0</v>
      </c>
      <c r="J1833">
        <v>0</v>
      </c>
      <c r="K1833">
        <v>0</v>
      </c>
      <c r="L1833">
        <v>0</v>
      </c>
      <c r="M1833" t="s">
        <v>76</v>
      </c>
      <c r="N1833" t="s">
        <v>76</v>
      </c>
      <c r="O1833" t="s">
        <v>77</v>
      </c>
      <c r="P1833" t="s">
        <v>76</v>
      </c>
      <c r="S1833" t="s">
        <v>4804</v>
      </c>
    </row>
    <row r="1834" spans="1:19" x14ac:dyDescent="0.3">
      <c r="A1834" t="s">
        <v>4805</v>
      </c>
      <c r="B1834" t="s">
        <v>4806</v>
      </c>
      <c r="C1834" t="s">
        <v>43</v>
      </c>
      <c r="D1834" t="s">
        <v>63</v>
      </c>
      <c r="E1834" t="s">
        <v>74</v>
      </c>
      <c r="F1834" t="s">
        <v>45</v>
      </c>
      <c r="G1834" t="s">
        <v>43</v>
      </c>
      <c r="H1834" t="s">
        <v>26</v>
      </c>
      <c r="I1834">
        <v>0</v>
      </c>
      <c r="J1834">
        <v>0</v>
      </c>
      <c r="K1834">
        <v>0</v>
      </c>
      <c r="L1834">
        <v>0</v>
      </c>
      <c r="M1834" t="s">
        <v>76</v>
      </c>
      <c r="N1834" t="s">
        <v>76</v>
      </c>
      <c r="O1834" t="s">
        <v>77</v>
      </c>
      <c r="P1834" t="s">
        <v>76</v>
      </c>
      <c r="S1834" t="s">
        <v>4806</v>
      </c>
    </row>
    <row r="1835" spans="1:19" x14ac:dyDescent="0.3">
      <c r="A1835" t="s">
        <v>4807</v>
      </c>
      <c r="B1835" t="s">
        <v>4808</v>
      </c>
      <c r="C1835" t="s">
        <v>43</v>
      </c>
      <c r="D1835" t="s">
        <v>63</v>
      </c>
      <c r="E1835" t="s">
        <v>74</v>
      </c>
      <c r="F1835" t="s">
        <v>45</v>
      </c>
      <c r="G1835" t="s">
        <v>43</v>
      </c>
      <c r="H1835" t="s">
        <v>26</v>
      </c>
      <c r="I1835">
        <v>0</v>
      </c>
      <c r="J1835">
        <v>0</v>
      </c>
      <c r="K1835">
        <v>0</v>
      </c>
      <c r="L1835">
        <v>0</v>
      </c>
      <c r="M1835" t="s">
        <v>76</v>
      </c>
      <c r="N1835" t="s">
        <v>76</v>
      </c>
      <c r="O1835" t="s">
        <v>77</v>
      </c>
      <c r="P1835" t="s">
        <v>76</v>
      </c>
      <c r="S1835" t="s">
        <v>4808</v>
      </c>
    </row>
    <row r="1836" spans="1:19" x14ac:dyDescent="0.3">
      <c r="A1836" t="s">
        <v>4809</v>
      </c>
      <c r="B1836" t="s">
        <v>4810</v>
      </c>
      <c r="C1836" t="s">
        <v>43</v>
      </c>
      <c r="D1836" t="s">
        <v>63</v>
      </c>
      <c r="E1836" t="s">
        <v>74</v>
      </c>
      <c r="F1836" t="s">
        <v>45</v>
      </c>
      <c r="G1836" t="s">
        <v>43</v>
      </c>
      <c r="H1836" t="s">
        <v>26</v>
      </c>
      <c r="I1836">
        <v>0</v>
      </c>
      <c r="J1836">
        <v>0</v>
      </c>
      <c r="K1836">
        <v>0</v>
      </c>
      <c r="L1836">
        <v>0</v>
      </c>
      <c r="M1836" t="s">
        <v>76</v>
      </c>
      <c r="N1836" t="s">
        <v>76</v>
      </c>
      <c r="O1836" t="s">
        <v>77</v>
      </c>
      <c r="P1836" t="s">
        <v>76</v>
      </c>
      <c r="S1836" t="s">
        <v>4810</v>
      </c>
    </row>
    <row r="1837" spans="1:19" x14ac:dyDescent="0.3">
      <c r="A1837" t="s">
        <v>4811</v>
      </c>
      <c r="B1837" t="s">
        <v>4812</v>
      </c>
      <c r="C1837" t="s">
        <v>43</v>
      </c>
      <c r="D1837" t="s">
        <v>63</v>
      </c>
      <c r="E1837" t="s">
        <v>74</v>
      </c>
      <c r="F1837" t="s">
        <v>45</v>
      </c>
      <c r="G1837" t="s">
        <v>43</v>
      </c>
      <c r="H1837" t="s">
        <v>26</v>
      </c>
      <c r="I1837">
        <v>0</v>
      </c>
      <c r="J1837">
        <v>0</v>
      </c>
      <c r="K1837">
        <v>0</v>
      </c>
      <c r="L1837">
        <v>0</v>
      </c>
      <c r="M1837" t="s">
        <v>76</v>
      </c>
      <c r="N1837" t="s">
        <v>76</v>
      </c>
      <c r="O1837" t="s">
        <v>77</v>
      </c>
      <c r="P1837" t="s">
        <v>76</v>
      </c>
      <c r="S1837" t="s">
        <v>4812</v>
      </c>
    </row>
    <row r="1838" spans="1:19" x14ac:dyDescent="0.3">
      <c r="A1838" t="s">
        <v>4813</v>
      </c>
      <c r="B1838" t="s">
        <v>4814</v>
      </c>
      <c r="C1838" t="s">
        <v>243</v>
      </c>
      <c r="D1838" t="s">
        <v>35</v>
      </c>
      <c r="E1838" t="s">
        <v>80</v>
      </c>
      <c r="F1838" t="s">
        <v>243</v>
      </c>
      <c r="G1838" t="s">
        <v>244</v>
      </c>
      <c r="H1838" t="s">
        <v>75</v>
      </c>
      <c r="I1838">
        <v>0</v>
      </c>
      <c r="J1838">
        <v>0</v>
      </c>
      <c r="K1838">
        <v>0</v>
      </c>
      <c r="L1838">
        <v>0</v>
      </c>
      <c r="M1838" t="s">
        <v>76</v>
      </c>
      <c r="N1838" t="s">
        <v>76</v>
      </c>
      <c r="O1838" t="s">
        <v>77</v>
      </c>
      <c r="P1838" t="s">
        <v>76</v>
      </c>
      <c r="S1838" t="s">
        <v>4814</v>
      </c>
    </row>
    <row r="1839" spans="1:19" x14ac:dyDescent="0.3">
      <c r="A1839" t="s">
        <v>4815</v>
      </c>
      <c r="B1839" t="s">
        <v>4816</v>
      </c>
      <c r="C1839" t="s">
        <v>43</v>
      </c>
      <c r="E1839" t="s">
        <v>80</v>
      </c>
      <c r="F1839" t="s">
        <v>45</v>
      </c>
      <c r="G1839" t="s">
        <v>43</v>
      </c>
      <c r="H1839" t="s">
        <v>26</v>
      </c>
      <c r="I1839">
        <v>0</v>
      </c>
      <c r="J1839">
        <v>0</v>
      </c>
      <c r="K1839">
        <v>0</v>
      </c>
      <c r="L1839">
        <v>0</v>
      </c>
      <c r="M1839" t="s">
        <v>76</v>
      </c>
      <c r="N1839" t="s">
        <v>76</v>
      </c>
      <c r="O1839" t="s">
        <v>77</v>
      </c>
      <c r="P1839" t="s">
        <v>76</v>
      </c>
      <c r="S1839" t="s">
        <v>4816</v>
      </c>
    </row>
    <row r="1840" spans="1:19" x14ac:dyDescent="0.3">
      <c r="A1840" t="s">
        <v>4817</v>
      </c>
      <c r="B1840" t="s">
        <v>4818</v>
      </c>
      <c r="C1840" t="s">
        <v>43</v>
      </c>
      <c r="D1840" t="s">
        <v>63</v>
      </c>
      <c r="E1840" t="s">
        <v>74</v>
      </c>
      <c r="F1840" t="s">
        <v>45</v>
      </c>
      <c r="G1840" t="s">
        <v>43</v>
      </c>
      <c r="H1840" t="s">
        <v>26</v>
      </c>
      <c r="I1840">
        <v>0</v>
      </c>
      <c r="J1840">
        <v>0</v>
      </c>
      <c r="K1840">
        <v>0</v>
      </c>
      <c r="L1840">
        <v>0</v>
      </c>
      <c r="M1840" t="s">
        <v>76</v>
      </c>
      <c r="N1840" t="s">
        <v>76</v>
      </c>
      <c r="O1840" t="s">
        <v>77</v>
      </c>
      <c r="P1840" t="s">
        <v>76</v>
      </c>
      <c r="S1840" t="s">
        <v>4818</v>
      </c>
    </row>
    <row r="1841" spans="1:19" x14ac:dyDescent="0.3">
      <c r="A1841" t="s">
        <v>4819</v>
      </c>
      <c r="B1841" t="s">
        <v>4820</v>
      </c>
      <c r="C1841" t="s">
        <v>43</v>
      </c>
      <c r="D1841" t="s">
        <v>35</v>
      </c>
      <c r="E1841" t="s">
        <v>36</v>
      </c>
      <c r="F1841" t="s">
        <v>45</v>
      </c>
      <c r="G1841" t="s">
        <v>43</v>
      </c>
      <c r="H1841" t="s">
        <v>26</v>
      </c>
      <c r="I1841">
        <v>0</v>
      </c>
      <c r="J1841">
        <v>0</v>
      </c>
      <c r="K1841">
        <v>0</v>
      </c>
      <c r="L1841">
        <v>0</v>
      </c>
      <c r="M1841" t="s">
        <v>76</v>
      </c>
      <c r="N1841" t="s">
        <v>76</v>
      </c>
      <c r="O1841" t="s">
        <v>77</v>
      </c>
      <c r="P1841" t="s">
        <v>76</v>
      </c>
      <c r="S1841" t="s">
        <v>4820</v>
      </c>
    </row>
    <row r="1842" spans="1:19" x14ac:dyDescent="0.3">
      <c r="A1842" t="s">
        <v>4821</v>
      </c>
      <c r="B1842" t="s">
        <v>4822</v>
      </c>
      <c r="C1842" t="s">
        <v>43</v>
      </c>
      <c r="D1842" t="s">
        <v>63</v>
      </c>
      <c r="E1842" t="s">
        <v>74</v>
      </c>
      <c r="F1842" t="s">
        <v>45</v>
      </c>
      <c r="G1842" t="s">
        <v>43</v>
      </c>
      <c r="H1842" t="s">
        <v>26</v>
      </c>
      <c r="I1842">
        <v>0</v>
      </c>
      <c r="J1842">
        <v>0</v>
      </c>
      <c r="K1842">
        <v>0</v>
      </c>
      <c r="L1842">
        <v>0</v>
      </c>
      <c r="M1842" t="s">
        <v>76</v>
      </c>
      <c r="N1842" t="s">
        <v>76</v>
      </c>
      <c r="O1842" t="s">
        <v>77</v>
      </c>
      <c r="P1842" t="s">
        <v>76</v>
      </c>
      <c r="S1842" t="s">
        <v>4822</v>
      </c>
    </row>
    <row r="1843" spans="1:19" x14ac:dyDescent="0.3">
      <c r="A1843" t="s">
        <v>4823</v>
      </c>
      <c r="B1843" t="s">
        <v>4824</v>
      </c>
      <c r="C1843" t="s">
        <v>243</v>
      </c>
      <c r="D1843" t="s">
        <v>63</v>
      </c>
      <c r="E1843" t="s">
        <v>74</v>
      </c>
      <c r="F1843" t="s">
        <v>243</v>
      </c>
      <c r="G1843" t="s">
        <v>244</v>
      </c>
      <c r="H1843" t="s">
        <v>75</v>
      </c>
      <c r="I1843">
        <v>0</v>
      </c>
      <c r="J1843">
        <v>0</v>
      </c>
      <c r="K1843">
        <v>0</v>
      </c>
      <c r="L1843">
        <v>0</v>
      </c>
      <c r="M1843" t="s">
        <v>76</v>
      </c>
      <c r="N1843" t="s">
        <v>76</v>
      </c>
      <c r="O1843" t="s">
        <v>77</v>
      </c>
      <c r="P1843" t="s">
        <v>76</v>
      </c>
      <c r="S1843" t="s">
        <v>4824</v>
      </c>
    </row>
    <row r="1844" spans="1:19" x14ac:dyDescent="0.3">
      <c r="A1844" t="s">
        <v>4825</v>
      </c>
      <c r="B1844" t="s">
        <v>4826</v>
      </c>
      <c r="C1844" t="s">
        <v>243</v>
      </c>
      <c r="D1844" t="s">
        <v>63</v>
      </c>
      <c r="E1844" t="s">
        <v>74</v>
      </c>
      <c r="F1844" t="s">
        <v>243</v>
      </c>
      <c r="G1844" t="s">
        <v>244</v>
      </c>
      <c r="H1844" t="s">
        <v>75</v>
      </c>
      <c r="I1844">
        <v>0</v>
      </c>
      <c r="J1844">
        <v>0</v>
      </c>
      <c r="K1844">
        <v>0</v>
      </c>
      <c r="L1844">
        <v>0</v>
      </c>
      <c r="M1844" t="s">
        <v>76</v>
      </c>
      <c r="N1844" t="s">
        <v>76</v>
      </c>
      <c r="O1844" t="s">
        <v>77</v>
      </c>
      <c r="P1844" t="s">
        <v>76</v>
      </c>
      <c r="S1844" t="s">
        <v>4826</v>
      </c>
    </row>
    <row r="1845" spans="1:19" x14ac:dyDescent="0.3">
      <c r="A1845" t="s">
        <v>4827</v>
      </c>
      <c r="B1845" t="s">
        <v>4828</v>
      </c>
      <c r="C1845" t="s">
        <v>43</v>
      </c>
      <c r="D1845" t="s">
        <v>63</v>
      </c>
      <c r="E1845" t="s">
        <v>74</v>
      </c>
      <c r="F1845" t="s">
        <v>45</v>
      </c>
      <c r="G1845" t="s">
        <v>43</v>
      </c>
      <c r="H1845" t="s">
        <v>26</v>
      </c>
      <c r="I1845">
        <v>0</v>
      </c>
      <c r="J1845">
        <v>0</v>
      </c>
      <c r="K1845">
        <v>0</v>
      </c>
      <c r="L1845">
        <v>0</v>
      </c>
      <c r="M1845" t="s">
        <v>76</v>
      </c>
      <c r="N1845" t="s">
        <v>76</v>
      </c>
      <c r="O1845" t="s">
        <v>77</v>
      </c>
      <c r="P1845" t="s">
        <v>76</v>
      </c>
      <c r="S1845" t="s">
        <v>4828</v>
      </c>
    </row>
    <row r="1846" spans="1:19" x14ac:dyDescent="0.3">
      <c r="A1846" t="s">
        <v>4829</v>
      </c>
      <c r="B1846" t="s">
        <v>4830</v>
      </c>
      <c r="C1846" t="s">
        <v>114</v>
      </c>
      <c r="D1846" t="s">
        <v>63</v>
      </c>
      <c r="E1846" t="s">
        <v>323</v>
      </c>
      <c r="F1846" t="s">
        <v>114</v>
      </c>
      <c r="G1846" t="s">
        <v>4831</v>
      </c>
      <c r="H1846" t="s">
        <v>213</v>
      </c>
      <c r="I1846">
        <v>0</v>
      </c>
      <c r="J1846">
        <v>0</v>
      </c>
      <c r="K1846">
        <v>0</v>
      </c>
      <c r="L1846">
        <v>0</v>
      </c>
      <c r="S1846" t="s">
        <v>4830</v>
      </c>
    </row>
    <row r="1847" spans="1:19" x14ac:dyDescent="0.3">
      <c r="A1847" t="s">
        <v>4832</v>
      </c>
      <c r="B1847" t="s">
        <v>4833</v>
      </c>
      <c r="C1847" t="s">
        <v>45</v>
      </c>
      <c r="D1847" t="s">
        <v>63</v>
      </c>
      <c r="E1847" t="s">
        <v>74</v>
      </c>
      <c r="F1847" t="s">
        <v>45</v>
      </c>
      <c r="G1847" t="s">
        <v>2706</v>
      </c>
      <c r="H1847" t="s">
        <v>26</v>
      </c>
      <c r="I1847">
        <v>0</v>
      </c>
      <c r="J1847">
        <v>0</v>
      </c>
      <c r="K1847">
        <v>0</v>
      </c>
      <c r="L1847">
        <v>0</v>
      </c>
      <c r="M1847" t="s">
        <v>76</v>
      </c>
      <c r="N1847" t="s">
        <v>76</v>
      </c>
      <c r="O1847" t="s">
        <v>77</v>
      </c>
      <c r="P1847" t="s">
        <v>76</v>
      </c>
      <c r="S1847" t="s">
        <v>4833</v>
      </c>
    </row>
    <row r="1848" spans="1:19" x14ac:dyDescent="0.3">
      <c r="A1848" t="s">
        <v>4834</v>
      </c>
      <c r="B1848" t="s">
        <v>4835</v>
      </c>
      <c r="C1848" t="s">
        <v>43</v>
      </c>
      <c r="D1848" t="s">
        <v>63</v>
      </c>
      <c r="E1848" t="s">
        <v>74</v>
      </c>
      <c r="F1848" t="s">
        <v>45</v>
      </c>
      <c r="G1848" t="s">
        <v>43</v>
      </c>
      <c r="H1848" t="s">
        <v>26</v>
      </c>
      <c r="I1848">
        <v>0</v>
      </c>
      <c r="J1848">
        <v>0</v>
      </c>
      <c r="K1848">
        <v>0</v>
      </c>
      <c r="L1848">
        <v>0</v>
      </c>
      <c r="M1848" t="s">
        <v>76</v>
      </c>
      <c r="N1848" t="s">
        <v>76</v>
      </c>
      <c r="O1848" t="s">
        <v>77</v>
      </c>
      <c r="P1848" t="s">
        <v>76</v>
      </c>
      <c r="S1848" t="s">
        <v>4835</v>
      </c>
    </row>
    <row r="1849" spans="1:19" x14ac:dyDescent="0.3">
      <c r="A1849" t="s">
        <v>4836</v>
      </c>
      <c r="B1849" t="s">
        <v>4837</v>
      </c>
      <c r="C1849" t="s">
        <v>43</v>
      </c>
      <c r="D1849" t="s">
        <v>63</v>
      </c>
      <c r="E1849" t="s">
        <v>74</v>
      </c>
      <c r="F1849" t="s">
        <v>45</v>
      </c>
      <c r="G1849" t="s">
        <v>43</v>
      </c>
      <c r="H1849" t="s">
        <v>26</v>
      </c>
      <c r="I1849">
        <v>0</v>
      </c>
      <c r="J1849">
        <v>0</v>
      </c>
      <c r="K1849">
        <v>0</v>
      </c>
      <c r="L1849">
        <v>0</v>
      </c>
      <c r="M1849" t="s">
        <v>76</v>
      </c>
      <c r="N1849" t="s">
        <v>76</v>
      </c>
      <c r="O1849" t="s">
        <v>77</v>
      </c>
      <c r="P1849" t="s">
        <v>76</v>
      </c>
      <c r="S1849" t="s">
        <v>4837</v>
      </c>
    </row>
    <row r="1850" spans="1:19" x14ac:dyDescent="0.3">
      <c r="A1850" t="s">
        <v>4838</v>
      </c>
      <c r="B1850" t="s">
        <v>4839</v>
      </c>
      <c r="C1850" t="s">
        <v>43</v>
      </c>
      <c r="D1850" t="s">
        <v>63</v>
      </c>
      <c r="E1850" t="s">
        <v>74</v>
      </c>
      <c r="F1850" t="s">
        <v>45</v>
      </c>
      <c r="G1850" t="s">
        <v>43</v>
      </c>
      <c r="H1850" t="s">
        <v>26</v>
      </c>
      <c r="I1850">
        <v>0</v>
      </c>
      <c r="J1850">
        <v>0</v>
      </c>
      <c r="K1850">
        <v>0</v>
      </c>
      <c r="L1850">
        <v>0</v>
      </c>
      <c r="M1850" t="s">
        <v>76</v>
      </c>
      <c r="N1850" t="s">
        <v>76</v>
      </c>
      <c r="O1850" t="s">
        <v>77</v>
      </c>
      <c r="P1850" t="s">
        <v>76</v>
      </c>
      <c r="S1850" t="s">
        <v>4839</v>
      </c>
    </row>
    <row r="1851" spans="1:19" x14ac:dyDescent="0.3">
      <c r="A1851" t="s">
        <v>4840</v>
      </c>
      <c r="B1851" t="s">
        <v>4841</v>
      </c>
      <c r="C1851" t="s">
        <v>114</v>
      </c>
      <c r="D1851" t="s">
        <v>63</v>
      </c>
      <c r="E1851" t="s">
        <v>74</v>
      </c>
      <c r="F1851" t="s">
        <v>114</v>
      </c>
      <c r="G1851" t="s">
        <v>4840</v>
      </c>
      <c r="H1851" t="s">
        <v>213</v>
      </c>
      <c r="I1851">
        <v>0</v>
      </c>
      <c r="J1851">
        <v>0</v>
      </c>
      <c r="K1851">
        <v>0</v>
      </c>
      <c r="L1851">
        <v>0</v>
      </c>
      <c r="S1851" t="s">
        <v>4841</v>
      </c>
    </row>
    <row r="1852" spans="1:19" x14ac:dyDescent="0.3">
      <c r="A1852" t="s">
        <v>4842</v>
      </c>
      <c r="B1852" t="s">
        <v>4843</v>
      </c>
      <c r="C1852" t="s">
        <v>45</v>
      </c>
      <c r="D1852" t="s">
        <v>63</v>
      </c>
      <c r="E1852" t="s">
        <v>2033</v>
      </c>
      <c r="F1852" t="s">
        <v>45</v>
      </c>
      <c r="G1852" t="s">
        <v>2706</v>
      </c>
      <c r="H1852" t="s">
        <v>26</v>
      </c>
      <c r="I1852">
        <v>0</v>
      </c>
      <c r="J1852">
        <v>0</v>
      </c>
      <c r="K1852">
        <v>0</v>
      </c>
      <c r="L1852">
        <v>0</v>
      </c>
      <c r="M1852" t="s">
        <v>76</v>
      </c>
      <c r="N1852" t="s">
        <v>76</v>
      </c>
      <c r="O1852" t="s">
        <v>77</v>
      </c>
      <c r="P1852" t="s">
        <v>76</v>
      </c>
      <c r="S1852" t="s">
        <v>4843</v>
      </c>
    </row>
    <row r="1853" spans="1:19" x14ac:dyDescent="0.3">
      <c r="A1853" t="s">
        <v>4844</v>
      </c>
      <c r="B1853" t="s">
        <v>4845</v>
      </c>
      <c r="C1853" t="s">
        <v>24</v>
      </c>
      <c r="D1853" t="s">
        <v>63</v>
      </c>
      <c r="E1853" t="s">
        <v>74</v>
      </c>
      <c r="F1853" t="s">
        <v>144</v>
      </c>
      <c r="G1853" t="s">
        <v>145</v>
      </c>
      <c r="H1853" t="s">
        <v>26</v>
      </c>
      <c r="I1853">
        <v>0</v>
      </c>
      <c r="J1853">
        <v>0</v>
      </c>
      <c r="K1853">
        <v>0</v>
      </c>
      <c r="L1853">
        <v>0</v>
      </c>
      <c r="M1853" t="s">
        <v>76</v>
      </c>
      <c r="N1853" t="s">
        <v>76</v>
      </c>
      <c r="O1853" t="s">
        <v>77</v>
      </c>
      <c r="P1853" t="s">
        <v>76</v>
      </c>
      <c r="S1853" t="s">
        <v>4845</v>
      </c>
    </row>
    <row r="1854" spans="1:19" x14ac:dyDescent="0.3">
      <c r="A1854" t="s">
        <v>4846</v>
      </c>
      <c r="B1854" t="s">
        <v>4847</v>
      </c>
      <c r="C1854" t="s">
        <v>196</v>
      </c>
      <c r="D1854" t="s">
        <v>63</v>
      </c>
      <c r="E1854" t="s">
        <v>74</v>
      </c>
      <c r="F1854" t="s">
        <v>228</v>
      </c>
      <c r="G1854" t="s">
        <v>196</v>
      </c>
      <c r="H1854" t="s">
        <v>75</v>
      </c>
      <c r="I1854">
        <v>0</v>
      </c>
      <c r="J1854">
        <v>0</v>
      </c>
      <c r="K1854">
        <v>0</v>
      </c>
      <c r="L1854">
        <v>0</v>
      </c>
      <c r="M1854" t="s">
        <v>76</v>
      </c>
      <c r="N1854" t="s">
        <v>76</v>
      </c>
      <c r="O1854" t="s">
        <v>77</v>
      </c>
      <c r="P1854" t="s">
        <v>76</v>
      </c>
      <c r="S1854" t="s">
        <v>4847</v>
      </c>
    </row>
    <row r="1855" spans="1:19" x14ac:dyDescent="0.3">
      <c r="A1855" t="s">
        <v>4848</v>
      </c>
      <c r="B1855" t="s">
        <v>4849</v>
      </c>
      <c r="C1855" t="s">
        <v>24</v>
      </c>
      <c r="D1855" t="s">
        <v>63</v>
      </c>
      <c r="E1855" t="s">
        <v>74</v>
      </c>
      <c r="F1855" t="s">
        <v>55</v>
      </c>
      <c r="G1855" t="s">
        <v>4848</v>
      </c>
      <c r="H1855" t="s">
        <v>213</v>
      </c>
      <c r="I1855">
        <v>0</v>
      </c>
      <c r="J1855">
        <v>0</v>
      </c>
      <c r="K1855">
        <v>0</v>
      </c>
      <c r="L1855">
        <v>0</v>
      </c>
      <c r="M1855" t="s">
        <v>76</v>
      </c>
      <c r="N1855" t="s">
        <v>76</v>
      </c>
      <c r="O1855" t="s">
        <v>77</v>
      </c>
      <c r="P1855" t="s">
        <v>76</v>
      </c>
      <c r="S1855" t="s">
        <v>4849</v>
      </c>
    </row>
    <row r="1856" spans="1:19" x14ac:dyDescent="0.3">
      <c r="A1856" t="s">
        <v>4850</v>
      </c>
      <c r="B1856" t="s">
        <v>4851</v>
      </c>
      <c r="C1856" t="s">
        <v>43</v>
      </c>
      <c r="D1856" t="s">
        <v>22</v>
      </c>
      <c r="E1856" t="s">
        <v>74</v>
      </c>
      <c r="F1856" t="s">
        <v>45</v>
      </c>
      <c r="G1856" t="s">
        <v>43</v>
      </c>
      <c r="H1856" t="s">
        <v>26</v>
      </c>
      <c r="I1856">
        <v>0</v>
      </c>
      <c r="J1856">
        <v>0</v>
      </c>
      <c r="K1856">
        <v>0</v>
      </c>
      <c r="L1856">
        <v>0</v>
      </c>
      <c r="M1856" t="s">
        <v>76</v>
      </c>
      <c r="N1856" t="s">
        <v>76</v>
      </c>
      <c r="O1856" t="s">
        <v>77</v>
      </c>
      <c r="P1856" t="s">
        <v>76</v>
      </c>
      <c r="S1856" t="s">
        <v>4851</v>
      </c>
    </row>
    <row r="1857" spans="1:19" x14ac:dyDescent="0.3">
      <c r="A1857" t="s">
        <v>2598</v>
      </c>
      <c r="B1857" t="s">
        <v>4852</v>
      </c>
      <c r="C1857" t="s">
        <v>24</v>
      </c>
      <c r="D1857" t="s">
        <v>63</v>
      </c>
      <c r="E1857" t="s">
        <v>1734</v>
      </c>
      <c r="F1857" t="s">
        <v>144</v>
      </c>
      <c r="G1857" t="s">
        <v>2598</v>
      </c>
      <c r="H1857" t="s">
        <v>26</v>
      </c>
      <c r="I1857">
        <v>0</v>
      </c>
      <c r="J1857">
        <v>0</v>
      </c>
      <c r="K1857">
        <v>0</v>
      </c>
      <c r="L1857">
        <v>0</v>
      </c>
      <c r="M1857" t="s">
        <v>76</v>
      </c>
      <c r="N1857" t="s">
        <v>76</v>
      </c>
      <c r="O1857" t="s">
        <v>77</v>
      </c>
      <c r="P1857" t="s">
        <v>76</v>
      </c>
      <c r="S1857" t="s">
        <v>4852</v>
      </c>
    </row>
    <row r="1858" spans="1:19" x14ac:dyDescent="0.3">
      <c r="A1858" t="s">
        <v>4853</v>
      </c>
      <c r="B1858" t="s">
        <v>4854</v>
      </c>
      <c r="C1858" t="s">
        <v>43</v>
      </c>
      <c r="D1858" t="s">
        <v>63</v>
      </c>
      <c r="E1858" t="s">
        <v>74</v>
      </c>
      <c r="F1858" t="s">
        <v>45</v>
      </c>
      <c r="G1858" t="s">
        <v>43</v>
      </c>
      <c r="H1858" t="s">
        <v>26</v>
      </c>
      <c r="I1858">
        <v>0</v>
      </c>
      <c r="J1858">
        <v>0</v>
      </c>
      <c r="K1858">
        <v>0</v>
      </c>
      <c r="L1858">
        <v>0</v>
      </c>
      <c r="M1858" t="s">
        <v>76</v>
      </c>
      <c r="N1858" t="s">
        <v>76</v>
      </c>
      <c r="O1858" t="s">
        <v>77</v>
      </c>
      <c r="P1858" t="s">
        <v>76</v>
      </c>
      <c r="S1858" t="s">
        <v>4854</v>
      </c>
    </row>
    <row r="1859" spans="1:19" x14ac:dyDescent="0.3">
      <c r="A1859" t="s">
        <v>4855</v>
      </c>
      <c r="B1859" t="s">
        <v>4856</v>
      </c>
      <c r="C1859" t="s">
        <v>43</v>
      </c>
      <c r="D1859" t="s">
        <v>63</v>
      </c>
      <c r="E1859" t="s">
        <v>4857</v>
      </c>
      <c r="F1859" t="s">
        <v>45</v>
      </c>
      <c r="G1859" t="s">
        <v>43</v>
      </c>
      <c r="H1859" t="s">
        <v>26</v>
      </c>
      <c r="I1859">
        <v>0</v>
      </c>
      <c r="J1859">
        <v>0</v>
      </c>
      <c r="K1859">
        <v>0</v>
      </c>
      <c r="L1859">
        <v>0</v>
      </c>
      <c r="M1859" t="s">
        <v>76</v>
      </c>
      <c r="N1859" t="s">
        <v>76</v>
      </c>
      <c r="O1859" t="s">
        <v>77</v>
      </c>
      <c r="P1859" t="s">
        <v>76</v>
      </c>
      <c r="S1859" t="s">
        <v>4856</v>
      </c>
    </row>
    <row r="1860" spans="1:19" x14ac:dyDescent="0.3">
      <c r="A1860" t="s">
        <v>4858</v>
      </c>
      <c r="B1860" t="s">
        <v>4859</v>
      </c>
      <c r="C1860" t="s">
        <v>24</v>
      </c>
      <c r="D1860" t="s">
        <v>63</v>
      </c>
      <c r="E1860" t="s">
        <v>74</v>
      </c>
      <c r="F1860" t="s">
        <v>144</v>
      </c>
      <c r="G1860" t="s">
        <v>145</v>
      </c>
      <c r="H1860" t="s">
        <v>26</v>
      </c>
      <c r="I1860">
        <v>0</v>
      </c>
      <c r="J1860">
        <v>0</v>
      </c>
      <c r="K1860">
        <v>0</v>
      </c>
      <c r="L1860">
        <v>0</v>
      </c>
      <c r="M1860" t="s">
        <v>76</v>
      </c>
      <c r="N1860" t="s">
        <v>76</v>
      </c>
      <c r="O1860" t="s">
        <v>77</v>
      </c>
      <c r="P1860" t="s">
        <v>76</v>
      </c>
      <c r="S1860" t="s">
        <v>4859</v>
      </c>
    </row>
    <row r="1861" spans="1:19" x14ac:dyDescent="0.3">
      <c r="A1861" t="s">
        <v>4860</v>
      </c>
      <c r="B1861" t="s">
        <v>4861</v>
      </c>
      <c r="C1861" t="s">
        <v>43</v>
      </c>
      <c r="D1861" t="s">
        <v>63</v>
      </c>
      <c r="E1861" t="s">
        <v>64</v>
      </c>
      <c r="F1861" t="s">
        <v>45</v>
      </c>
      <c r="G1861" t="s">
        <v>43</v>
      </c>
      <c r="H1861" t="s">
        <v>26</v>
      </c>
      <c r="I1861">
        <v>0</v>
      </c>
      <c r="J1861">
        <v>0</v>
      </c>
      <c r="K1861">
        <v>0</v>
      </c>
      <c r="L1861">
        <v>0</v>
      </c>
      <c r="M1861" t="s">
        <v>76</v>
      </c>
      <c r="N1861" t="s">
        <v>76</v>
      </c>
      <c r="O1861" t="s">
        <v>77</v>
      </c>
      <c r="P1861" t="s">
        <v>76</v>
      </c>
      <c r="S1861" t="s">
        <v>4861</v>
      </c>
    </row>
    <row r="1862" spans="1:19" x14ac:dyDescent="0.3">
      <c r="A1862" t="s">
        <v>4862</v>
      </c>
      <c r="B1862" t="s">
        <v>4863</v>
      </c>
      <c r="C1862" t="s">
        <v>45</v>
      </c>
      <c r="D1862" t="s">
        <v>63</v>
      </c>
      <c r="E1862" t="s">
        <v>74</v>
      </c>
      <c r="F1862" t="s">
        <v>45</v>
      </c>
      <c r="G1862" t="s">
        <v>2706</v>
      </c>
      <c r="H1862" t="s">
        <v>26</v>
      </c>
      <c r="I1862">
        <v>0</v>
      </c>
      <c r="J1862">
        <v>0</v>
      </c>
      <c r="K1862">
        <v>0</v>
      </c>
      <c r="L1862">
        <v>0</v>
      </c>
      <c r="M1862" t="s">
        <v>76</v>
      </c>
      <c r="N1862" t="s">
        <v>76</v>
      </c>
      <c r="O1862" t="s">
        <v>77</v>
      </c>
      <c r="P1862" t="s">
        <v>76</v>
      </c>
      <c r="S1862" t="s">
        <v>4863</v>
      </c>
    </row>
    <row r="1863" spans="1:19" x14ac:dyDescent="0.3">
      <c r="A1863" t="s">
        <v>4864</v>
      </c>
      <c r="B1863" t="s">
        <v>4865</v>
      </c>
      <c r="C1863" t="s">
        <v>21</v>
      </c>
      <c r="D1863" t="s">
        <v>63</v>
      </c>
      <c r="E1863" t="s">
        <v>74</v>
      </c>
      <c r="F1863" t="s">
        <v>24</v>
      </c>
      <c r="G1863" t="s">
        <v>21</v>
      </c>
      <c r="H1863" t="s">
        <v>26</v>
      </c>
      <c r="I1863">
        <v>0</v>
      </c>
      <c r="J1863">
        <v>0</v>
      </c>
      <c r="K1863">
        <v>0</v>
      </c>
      <c r="L1863">
        <v>0</v>
      </c>
      <c r="M1863" t="s">
        <v>76</v>
      </c>
      <c r="N1863" t="s">
        <v>76</v>
      </c>
      <c r="O1863" t="s">
        <v>77</v>
      </c>
      <c r="P1863" t="s">
        <v>76</v>
      </c>
      <c r="S1863" t="s">
        <v>4865</v>
      </c>
    </row>
    <row r="1864" spans="1:19" x14ac:dyDescent="0.3">
      <c r="A1864" t="s">
        <v>4866</v>
      </c>
      <c r="B1864" t="s">
        <v>4867</v>
      </c>
      <c r="C1864" t="s">
        <v>21</v>
      </c>
      <c r="D1864" t="s">
        <v>63</v>
      </c>
      <c r="E1864" t="s">
        <v>64</v>
      </c>
      <c r="F1864" t="s">
        <v>24</v>
      </c>
      <c r="G1864" t="s">
        <v>21</v>
      </c>
      <c r="H1864" t="s">
        <v>26</v>
      </c>
      <c r="I1864">
        <v>0</v>
      </c>
      <c r="J1864">
        <v>0</v>
      </c>
      <c r="K1864">
        <v>0</v>
      </c>
      <c r="L1864">
        <v>0</v>
      </c>
      <c r="M1864" t="s">
        <v>76</v>
      </c>
      <c r="N1864" t="s">
        <v>76</v>
      </c>
      <c r="O1864" t="s">
        <v>77</v>
      </c>
      <c r="P1864" t="s">
        <v>76</v>
      </c>
      <c r="S1864" t="s">
        <v>4867</v>
      </c>
    </row>
    <row r="1865" spans="1:19" x14ac:dyDescent="0.3">
      <c r="A1865" t="s">
        <v>4868</v>
      </c>
      <c r="B1865" t="s">
        <v>4869</v>
      </c>
      <c r="C1865" t="s">
        <v>21</v>
      </c>
      <c r="D1865" t="s">
        <v>63</v>
      </c>
      <c r="E1865" t="s">
        <v>64</v>
      </c>
      <c r="F1865" t="s">
        <v>24</v>
      </c>
      <c r="G1865" t="s">
        <v>21</v>
      </c>
      <c r="H1865" t="s">
        <v>26</v>
      </c>
      <c r="I1865">
        <v>0</v>
      </c>
      <c r="J1865">
        <v>0</v>
      </c>
      <c r="K1865">
        <v>0</v>
      </c>
      <c r="L1865">
        <v>0</v>
      </c>
      <c r="M1865" t="s">
        <v>76</v>
      </c>
      <c r="N1865" t="s">
        <v>76</v>
      </c>
      <c r="O1865" t="s">
        <v>77</v>
      </c>
      <c r="P1865" t="s">
        <v>76</v>
      </c>
      <c r="S1865" t="s">
        <v>4869</v>
      </c>
    </row>
    <row r="1866" spans="1:19" x14ac:dyDescent="0.3">
      <c r="A1866" t="s">
        <v>4870</v>
      </c>
      <c r="B1866" t="s">
        <v>4871</v>
      </c>
      <c r="C1866" t="s">
        <v>21</v>
      </c>
      <c r="D1866" t="s">
        <v>63</v>
      </c>
      <c r="E1866" t="s">
        <v>555</v>
      </c>
      <c r="F1866" t="s">
        <v>24</v>
      </c>
      <c r="G1866" t="s">
        <v>21</v>
      </c>
      <c r="H1866" t="s">
        <v>26</v>
      </c>
      <c r="I1866">
        <v>0</v>
      </c>
      <c r="J1866">
        <v>0</v>
      </c>
      <c r="K1866">
        <v>0</v>
      </c>
      <c r="L1866">
        <v>0</v>
      </c>
      <c r="M1866" t="s">
        <v>76</v>
      </c>
      <c r="N1866" t="s">
        <v>76</v>
      </c>
      <c r="O1866" t="s">
        <v>77</v>
      </c>
      <c r="P1866" t="s">
        <v>76</v>
      </c>
      <c r="S1866" t="s">
        <v>4871</v>
      </c>
    </row>
    <row r="1867" spans="1:19" x14ac:dyDescent="0.3">
      <c r="A1867" t="s">
        <v>4872</v>
      </c>
      <c r="B1867" t="s">
        <v>4873</v>
      </c>
      <c r="C1867" t="s">
        <v>21</v>
      </c>
      <c r="D1867" t="s">
        <v>35</v>
      </c>
      <c r="E1867" t="s">
        <v>80</v>
      </c>
      <c r="F1867" t="s">
        <v>24</v>
      </c>
      <c r="G1867" t="s">
        <v>21</v>
      </c>
      <c r="H1867" t="s">
        <v>26</v>
      </c>
      <c r="I1867">
        <v>0</v>
      </c>
      <c r="J1867">
        <v>0</v>
      </c>
      <c r="K1867">
        <v>0</v>
      </c>
      <c r="L1867">
        <v>0</v>
      </c>
      <c r="M1867" t="s">
        <v>76</v>
      </c>
      <c r="N1867" t="s">
        <v>76</v>
      </c>
      <c r="O1867" t="s">
        <v>77</v>
      </c>
      <c r="P1867" t="s">
        <v>76</v>
      </c>
      <c r="S1867" t="s">
        <v>4873</v>
      </c>
    </row>
    <row r="1868" spans="1:19" x14ac:dyDescent="0.3">
      <c r="A1868" t="s">
        <v>4874</v>
      </c>
      <c r="B1868" t="s">
        <v>4875</v>
      </c>
      <c r="C1868" t="s">
        <v>21</v>
      </c>
      <c r="D1868" t="s">
        <v>63</v>
      </c>
      <c r="E1868" t="s">
        <v>64</v>
      </c>
      <c r="F1868" t="s">
        <v>24</v>
      </c>
      <c r="G1868" t="s">
        <v>21</v>
      </c>
      <c r="H1868" t="s">
        <v>26</v>
      </c>
      <c r="I1868">
        <v>0</v>
      </c>
      <c r="J1868">
        <v>0</v>
      </c>
      <c r="K1868">
        <v>0</v>
      </c>
      <c r="L1868">
        <v>0</v>
      </c>
      <c r="M1868" t="s">
        <v>76</v>
      </c>
      <c r="N1868" t="s">
        <v>76</v>
      </c>
      <c r="O1868" t="s">
        <v>77</v>
      </c>
      <c r="P1868" t="s">
        <v>76</v>
      </c>
      <c r="S1868" t="s">
        <v>4875</v>
      </c>
    </row>
    <row r="1869" spans="1:19" x14ac:dyDescent="0.3">
      <c r="A1869" t="s">
        <v>4876</v>
      </c>
      <c r="B1869" t="s">
        <v>4877</v>
      </c>
      <c r="C1869" t="s">
        <v>21</v>
      </c>
      <c r="D1869" t="s">
        <v>53</v>
      </c>
      <c r="E1869" t="s">
        <v>178</v>
      </c>
      <c r="F1869" t="s">
        <v>24</v>
      </c>
      <c r="G1869" t="s">
        <v>25</v>
      </c>
      <c r="H1869" t="s">
        <v>26</v>
      </c>
      <c r="I1869">
        <v>0</v>
      </c>
      <c r="J1869">
        <v>0</v>
      </c>
      <c r="K1869">
        <v>0</v>
      </c>
      <c r="L1869">
        <v>0</v>
      </c>
      <c r="M1869" t="s">
        <v>76</v>
      </c>
      <c r="N1869" t="s">
        <v>76</v>
      </c>
      <c r="O1869" t="s">
        <v>77</v>
      </c>
      <c r="P1869" t="s">
        <v>76</v>
      </c>
      <c r="S1869" t="s">
        <v>4877</v>
      </c>
    </row>
    <row r="1870" spans="1:19" x14ac:dyDescent="0.3">
      <c r="A1870" t="s">
        <v>4878</v>
      </c>
      <c r="B1870" t="s">
        <v>4879</v>
      </c>
      <c r="C1870" t="s">
        <v>43</v>
      </c>
      <c r="D1870" t="s">
        <v>63</v>
      </c>
      <c r="E1870" t="s">
        <v>2630</v>
      </c>
      <c r="F1870" t="s">
        <v>45</v>
      </c>
      <c r="G1870" t="s">
        <v>43</v>
      </c>
      <c r="H1870" t="s">
        <v>26</v>
      </c>
      <c r="I1870">
        <v>0</v>
      </c>
      <c r="J1870">
        <v>0</v>
      </c>
      <c r="K1870">
        <v>0</v>
      </c>
      <c r="L1870">
        <v>0</v>
      </c>
      <c r="M1870" t="s">
        <v>76</v>
      </c>
      <c r="N1870" t="s">
        <v>76</v>
      </c>
      <c r="O1870" t="s">
        <v>77</v>
      </c>
      <c r="P1870" t="s">
        <v>76</v>
      </c>
      <c r="S1870" t="s">
        <v>4879</v>
      </c>
    </row>
    <row r="1871" spans="1:19" x14ac:dyDescent="0.3">
      <c r="A1871" t="s">
        <v>4880</v>
      </c>
      <c r="B1871" t="s">
        <v>4881</v>
      </c>
      <c r="C1871" t="s">
        <v>21</v>
      </c>
      <c r="D1871" t="s">
        <v>53</v>
      </c>
      <c r="F1871" t="s">
        <v>24</v>
      </c>
      <c r="G1871" t="s">
        <v>21</v>
      </c>
      <c r="H1871" t="s">
        <v>26</v>
      </c>
      <c r="I1871">
        <v>0</v>
      </c>
      <c r="J1871">
        <v>0</v>
      </c>
      <c r="K1871">
        <v>0</v>
      </c>
      <c r="L1871">
        <v>0</v>
      </c>
      <c r="M1871" t="s">
        <v>121</v>
      </c>
      <c r="N1871" t="s">
        <v>122</v>
      </c>
      <c r="O1871" t="s">
        <v>123</v>
      </c>
      <c r="P1871" t="s">
        <v>124</v>
      </c>
      <c r="Q1871" t="s">
        <v>2114</v>
      </c>
      <c r="R1871" t="s">
        <v>2115</v>
      </c>
      <c r="S1871" t="s">
        <v>4881</v>
      </c>
    </row>
    <row r="1872" spans="1:19" x14ac:dyDescent="0.3">
      <c r="A1872" t="s">
        <v>4882</v>
      </c>
      <c r="B1872" t="s">
        <v>4883</v>
      </c>
      <c r="C1872" t="s">
        <v>114</v>
      </c>
      <c r="D1872" t="s">
        <v>63</v>
      </c>
      <c r="E1872" t="s">
        <v>331</v>
      </c>
      <c r="F1872" t="s">
        <v>114</v>
      </c>
      <c r="G1872" t="s">
        <v>4884</v>
      </c>
      <c r="H1872" t="s">
        <v>213</v>
      </c>
      <c r="I1872">
        <v>0</v>
      </c>
      <c r="J1872">
        <v>0</v>
      </c>
      <c r="K1872">
        <v>0</v>
      </c>
      <c r="L1872">
        <v>0</v>
      </c>
      <c r="S1872" t="s">
        <v>4883</v>
      </c>
    </row>
    <row r="1873" spans="1:19" x14ac:dyDescent="0.3">
      <c r="A1873" t="s">
        <v>4885</v>
      </c>
      <c r="B1873" t="s">
        <v>4886</v>
      </c>
      <c r="C1873" t="s">
        <v>21</v>
      </c>
      <c r="F1873" t="s">
        <v>109</v>
      </c>
      <c r="G1873" t="s">
        <v>21</v>
      </c>
      <c r="H1873" t="s">
        <v>26</v>
      </c>
      <c r="I1873">
        <v>0</v>
      </c>
      <c r="J1873">
        <v>0</v>
      </c>
      <c r="K1873">
        <v>0</v>
      </c>
      <c r="L1873">
        <v>0</v>
      </c>
      <c r="M1873" t="s">
        <v>76</v>
      </c>
      <c r="N1873" t="s">
        <v>76</v>
      </c>
      <c r="O1873" t="s">
        <v>77</v>
      </c>
      <c r="P1873" t="s">
        <v>76</v>
      </c>
      <c r="S1873" t="s">
        <v>4886</v>
      </c>
    </row>
    <row r="1874" spans="1:19" x14ac:dyDescent="0.3">
      <c r="A1874" t="s">
        <v>4887</v>
      </c>
      <c r="B1874" t="s">
        <v>4888</v>
      </c>
      <c r="C1874" t="s">
        <v>307</v>
      </c>
      <c r="D1874" t="s">
        <v>53</v>
      </c>
      <c r="E1874" t="s">
        <v>54</v>
      </c>
      <c r="F1874" t="s">
        <v>750</v>
      </c>
      <c r="G1874" t="s">
        <v>307</v>
      </c>
      <c r="H1874" t="s">
        <v>75</v>
      </c>
      <c r="I1874">
        <v>0</v>
      </c>
      <c r="J1874">
        <v>0</v>
      </c>
      <c r="K1874">
        <v>0</v>
      </c>
      <c r="L1874">
        <v>0</v>
      </c>
      <c r="M1874" t="s">
        <v>239</v>
      </c>
      <c r="N1874" t="s">
        <v>239</v>
      </c>
      <c r="O1874" t="s">
        <v>240</v>
      </c>
      <c r="P1874" t="s">
        <v>239</v>
      </c>
      <c r="S1874" t="s">
        <v>4888</v>
      </c>
    </row>
    <row r="1875" spans="1:19" x14ac:dyDescent="0.3">
      <c r="A1875" t="s">
        <v>4889</v>
      </c>
      <c r="B1875" t="s">
        <v>4890</v>
      </c>
      <c r="C1875" t="s">
        <v>21</v>
      </c>
      <c r="D1875" t="s">
        <v>189</v>
      </c>
      <c r="E1875" t="s">
        <v>4891</v>
      </c>
      <c r="F1875" t="s">
        <v>24</v>
      </c>
      <c r="G1875" t="s">
        <v>21</v>
      </c>
      <c r="H1875" t="s">
        <v>26</v>
      </c>
      <c r="I1875">
        <v>0</v>
      </c>
      <c r="J1875">
        <v>0</v>
      </c>
      <c r="K1875">
        <v>0</v>
      </c>
      <c r="L1875">
        <v>0</v>
      </c>
      <c r="M1875" t="s">
        <v>76</v>
      </c>
      <c r="N1875" t="s">
        <v>76</v>
      </c>
      <c r="O1875" t="s">
        <v>77</v>
      </c>
      <c r="P1875" t="s">
        <v>76</v>
      </c>
      <c r="S1875" t="s">
        <v>4890</v>
      </c>
    </row>
    <row r="1876" spans="1:19" x14ac:dyDescent="0.3">
      <c r="A1876" t="s">
        <v>4892</v>
      </c>
      <c r="B1876" t="s">
        <v>4893</v>
      </c>
      <c r="C1876" t="s">
        <v>43</v>
      </c>
      <c r="D1876" t="s">
        <v>35</v>
      </c>
      <c r="E1876" t="s">
        <v>80</v>
      </c>
      <c r="F1876" t="s">
        <v>45</v>
      </c>
      <c r="G1876" t="s">
        <v>43</v>
      </c>
      <c r="H1876" t="s">
        <v>26</v>
      </c>
      <c r="I1876">
        <v>0</v>
      </c>
      <c r="J1876">
        <v>0</v>
      </c>
      <c r="K1876">
        <v>0</v>
      </c>
      <c r="L1876">
        <v>0</v>
      </c>
      <c r="M1876" t="s">
        <v>76</v>
      </c>
      <c r="N1876" t="s">
        <v>76</v>
      </c>
      <c r="O1876" t="s">
        <v>77</v>
      </c>
      <c r="P1876" t="s">
        <v>76</v>
      </c>
      <c r="S1876" t="s">
        <v>4893</v>
      </c>
    </row>
    <row r="1877" spans="1:19" x14ac:dyDescent="0.3">
      <c r="A1877" t="s">
        <v>4894</v>
      </c>
      <c r="B1877" t="s">
        <v>4895</v>
      </c>
      <c r="C1877" t="s">
        <v>21</v>
      </c>
      <c r="F1877" t="s">
        <v>109</v>
      </c>
      <c r="G1877" t="s">
        <v>21</v>
      </c>
      <c r="H1877" t="s">
        <v>26</v>
      </c>
      <c r="I1877">
        <v>0</v>
      </c>
      <c r="J1877">
        <v>0</v>
      </c>
      <c r="K1877">
        <v>0</v>
      </c>
      <c r="L1877">
        <v>0</v>
      </c>
      <c r="M1877" t="s">
        <v>76</v>
      </c>
      <c r="N1877" t="s">
        <v>76</v>
      </c>
      <c r="O1877" t="s">
        <v>77</v>
      </c>
      <c r="P1877" t="s">
        <v>76</v>
      </c>
      <c r="S1877" t="s">
        <v>4895</v>
      </c>
    </row>
    <row r="1878" spans="1:19" x14ac:dyDescent="0.3">
      <c r="A1878" t="s">
        <v>4896</v>
      </c>
      <c r="B1878" t="s">
        <v>4897</v>
      </c>
      <c r="C1878" t="s">
        <v>243</v>
      </c>
      <c r="D1878" t="s">
        <v>63</v>
      </c>
      <c r="E1878" t="s">
        <v>323</v>
      </c>
      <c r="F1878" t="s">
        <v>243</v>
      </c>
      <c r="G1878" t="s">
        <v>4898</v>
      </c>
      <c r="H1878" t="s">
        <v>213</v>
      </c>
      <c r="I1878">
        <v>0</v>
      </c>
      <c r="J1878">
        <v>0</v>
      </c>
      <c r="K1878">
        <v>0</v>
      </c>
      <c r="L1878">
        <v>0</v>
      </c>
      <c r="Q1878" t="s">
        <v>4899</v>
      </c>
      <c r="R1878" t="s">
        <v>4900</v>
      </c>
      <c r="S1878" t="s">
        <v>4897</v>
      </c>
    </row>
    <row r="1879" spans="1:19" x14ac:dyDescent="0.3">
      <c r="A1879" t="s">
        <v>4901</v>
      </c>
      <c r="B1879" t="s">
        <v>4902</v>
      </c>
      <c r="C1879" t="s">
        <v>21</v>
      </c>
      <c r="D1879" t="s">
        <v>63</v>
      </c>
      <c r="E1879" t="s">
        <v>74</v>
      </c>
      <c r="F1879" t="s">
        <v>24</v>
      </c>
      <c r="G1879" t="s">
        <v>21</v>
      </c>
      <c r="H1879" t="s">
        <v>26</v>
      </c>
      <c r="I1879">
        <v>0</v>
      </c>
      <c r="J1879">
        <v>0</v>
      </c>
      <c r="K1879">
        <v>0</v>
      </c>
      <c r="L1879">
        <v>0</v>
      </c>
      <c r="M1879" t="s">
        <v>76</v>
      </c>
      <c r="N1879" t="s">
        <v>76</v>
      </c>
      <c r="O1879" t="s">
        <v>77</v>
      </c>
      <c r="P1879" t="s">
        <v>76</v>
      </c>
      <c r="S1879" t="s">
        <v>4902</v>
      </c>
    </row>
    <row r="1880" spans="1:19" x14ac:dyDescent="0.3">
      <c r="A1880" t="s">
        <v>4903</v>
      </c>
      <c r="B1880" t="s">
        <v>4904</v>
      </c>
      <c r="C1880" t="s">
        <v>1053</v>
      </c>
      <c r="D1880" t="s">
        <v>63</v>
      </c>
      <c r="E1880" t="s">
        <v>74</v>
      </c>
      <c r="F1880" t="s">
        <v>314</v>
      </c>
      <c r="G1880" t="s">
        <v>1053</v>
      </c>
      <c r="H1880" t="s">
        <v>75</v>
      </c>
      <c r="I1880">
        <v>0</v>
      </c>
      <c r="J1880">
        <v>0</v>
      </c>
      <c r="K1880">
        <v>0</v>
      </c>
      <c r="L1880">
        <v>0</v>
      </c>
      <c r="M1880" t="s">
        <v>76</v>
      </c>
      <c r="N1880" t="s">
        <v>76</v>
      </c>
      <c r="O1880" t="s">
        <v>77</v>
      </c>
      <c r="P1880" t="s">
        <v>76</v>
      </c>
      <c r="S1880" t="s">
        <v>4904</v>
      </c>
    </row>
    <row r="1881" spans="1:19" x14ac:dyDescent="0.3">
      <c r="A1881" t="s">
        <v>4905</v>
      </c>
      <c r="B1881" t="s">
        <v>4906</v>
      </c>
      <c r="C1881" t="s">
        <v>21</v>
      </c>
      <c r="D1881" t="s">
        <v>63</v>
      </c>
      <c r="E1881" t="s">
        <v>74</v>
      </c>
      <c r="F1881" t="s">
        <v>24</v>
      </c>
      <c r="G1881" t="s">
        <v>21</v>
      </c>
      <c r="H1881" t="s">
        <v>26</v>
      </c>
      <c r="I1881">
        <v>0</v>
      </c>
      <c r="J1881">
        <v>0</v>
      </c>
      <c r="K1881">
        <v>0</v>
      </c>
      <c r="L1881">
        <v>0</v>
      </c>
      <c r="M1881" t="s">
        <v>76</v>
      </c>
      <c r="N1881" t="s">
        <v>76</v>
      </c>
      <c r="O1881" t="s">
        <v>77</v>
      </c>
      <c r="P1881" t="s">
        <v>76</v>
      </c>
      <c r="S1881" t="s">
        <v>4906</v>
      </c>
    </row>
    <row r="1882" spans="1:19" x14ac:dyDescent="0.3">
      <c r="A1882" t="s">
        <v>4907</v>
      </c>
      <c r="B1882" t="s">
        <v>4908</v>
      </c>
      <c r="C1882" t="s">
        <v>307</v>
      </c>
      <c r="D1882" t="s">
        <v>63</v>
      </c>
      <c r="E1882" t="s">
        <v>74</v>
      </c>
      <c r="F1882" t="s">
        <v>251</v>
      </c>
      <c r="G1882" t="s">
        <v>307</v>
      </c>
      <c r="H1882" t="s">
        <v>75</v>
      </c>
      <c r="I1882">
        <v>0</v>
      </c>
      <c r="J1882">
        <v>0</v>
      </c>
      <c r="K1882">
        <v>0</v>
      </c>
      <c r="L1882">
        <v>0</v>
      </c>
      <c r="M1882" t="s">
        <v>76</v>
      </c>
      <c r="N1882" t="s">
        <v>76</v>
      </c>
      <c r="O1882" t="s">
        <v>77</v>
      </c>
      <c r="P1882" t="s">
        <v>76</v>
      </c>
      <c r="S1882" t="s">
        <v>4908</v>
      </c>
    </row>
    <row r="1883" spans="1:19" x14ac:dyDescent="0.3">
      <c r="A1883" t="s">
        <v>4909</v>
      </c>
      <c r="B1883" t="s">
        <v>4910</v>
      </c>
      <c r="C1883" t="s">
        <v>114</v>
      </c>
      <c r="D1883" t="s">
        <v>63</v>
      </c>
      <c r="E1883" t="s">
        <v>74</v>
      </c>
      <c r="F1883" t="s">
        <v>114</v>
      </c>
      <c r="G1883" t="s">
        <v>362</v>
      </c>
      <c r="H1883" t="s">
        <v>75</v>
      </c>
      <c r="I1883">
        <v>0</v>
      </c>
      <c r="J1883">
        <v>0</v>
      </c>
      <c r="K1883">
        <v>0</v>
      </c>
      <c r="L1883">
        <v>0</v>
      </c>
      <c r="M1883" t="s">
        <v>76</v>
      </c>
      <c r="N1883" t="s">
        <v>76</v>
      </c>
      <c r="O1883" t="s">
        <v>77</v>
      </c>
      <c r="P1883" t="s">
        <v>76</v>
      </c>
      <c r="S1883" t="s">
        <v>4910</v>
      </c>
    </row>
    <row r="1884" spans="1:19" x14ac:dyDescent="0.3">
      <c r="A1884" t="s">
        <v>4911</v>
      </c>
      <c r="B1884" t="s">
        <v>4912</v>
      </c>
      <c r="C1884" t="s">
        <v>21</v>
      </c>
      <c r="D1884" t="s">
        <v>35</v>
      </c>
      <c r="E1884" t="s">
        <v>80</v>
      </c>
      <c r="F1884" t="s">
        <v>24</v>
      </c>
      <c r="G1884" t="s">
        <v>21</v>
      </c>
      <c r="H1884" t="s">
        <v>26</v>
      </c>
      <c r="I1884">
        <v>0</v>
      </c>
      <c r="J1884">
        <v>0</v>
      </c>
      <c r="K1884">
        <v>0</v>
      </c>
      <c r="L1884">
        <v>0</v>
      </c>
      <c r="M1884" t="s">
        <v>76</v>
      </c>
      <c r="N1884" t="s">
        <v>76</v>
      </c>
      <c r="O1884" t="s">
        <v>77</v>
      </c>
      <c r="P1884" t="s">
        <v>76</v>
      </c>
      <c r="S1884" t="s">
        <v>4912</v>
      </c>
    </row>
    <row r="1885" spans="1:19" x14ac:dyDescent="0.3">
      <c r="A1885" t="s">
        <v>4913</v>
      </c>
      <c r="B1885" t="s">
        <v>4914</v>
      </c>
      <c r="C1885" t="s">
        <v>307</v>
      </c>
      <c r="D1885" t="s">
        <v>63</v>
      </c>
      <c r="E1885" t="s">
        <v>74</v>
      </c>
      <c r="F1885" t="s">
        <v>251</v>
      </c>
      <c r="G1885" t="s">
        <v>307</v>
      </c>
      <c r="H1885" t="s">
        <v>75</v>
      </c>
      <c r="I1885">
        <v>0</v>
      </c>
      <c r="J1885">
        <v>0</v>
      </c>
      <c r="K1885">
        <v>0</v>
      </c>
      <c r="L1885">
        <v>0</v>
      </c>
      <c r="M1885" t="s">
        <v>76</v>
      </c>
      <c r="N1885" t="s">
        <v>76</v>
      </c>
      <c r="O1885" t="s">
        <v>77</v>
      </c>
      <c r="P1885" t="s">
        <v>76</v>
      </c>
      <c r="S1885" t="s">
        <v>4914</v>
      </c>
    </row>
    <row r="1886" spans="1:19" x14ac:dyDescent="0.3">
      <c r="A1886" t="s">
        <v>4915</v>
      </c>
      <c r="B1886" t="s">
        <v>4916</v>
      </c>
      <c r="C1886" t="s">
        <v>307</v>
      </c>
      <c r="D1886" t="s">
        <v>63</v>
      </c>
      <c r="E1886" t="s">
        <v>74</v>
      </c>
      <c r="F1886" t="s">
        <v>251</v>
      </c>
      <c r="G1886" t="s">
        <v>307</v>
      </c>
      <c r="H1886" t="s">
        <v>75</v>
      </c>
      <c r="I1886">
        <v>0</v>
      </c>
      <c r="J1886">
        <v>0</v>
      </c>
      <c r="K1886">
        <v>0</v>
      </c>
      <c r="L1886">
        <v>0</v>
      </c>
      <c r="M1886" t="s">
        <v>76</v>
      </c>
      <c r="N1886" t="s">
        <v>76</v>
      </c>
      <c r="O1886" t="s">
        <v>77</v>
      </c>
      <c r="P1886" t="s">
        <v>76</v>
      </c>
      <c r="S1886" t="s">
        <v>4916</v>
      </c>
    </row>
    <row r="1887" spans="1:19" x14ac:dyDescent="0.3">
      <c r="A1887" t="s">
        <v>4917</v>
      </c>
      <c r="B1887" t="s">
        <v>4918</v>
      </c>
      <c r="C1887" t="s">
        <v>24</v>
      </c>
      <c r="E1887" t="s">
        <v>389</v>
      </c>
      <c r="F1887" t="s">
        <v>24</v>
      </c>
      <c r="G1887" t="s">
        <v>4919</v>
      </c>
      <c r="H1887" t="s">
        <v>213</v>
      </c>
      <c r="I1887">
        <v>0</v>
      </c>
      <c r="J1887">
        <v>0</v>
      </c>
      <c r="K1887">
        <v>0</v>
      </c>
      <c r="L1887">
        <v>0</v>
      </c>
      <c r="M1887" t="s">
        <v>76</v>
      </c>
      <c r="N1887" t="s">
        <v>76</v>
      </c>
      <c r="O1887" t="s">
        <v>77</v>
      </c>
      <c r="P1887" t="s">
        <v>76</v>
      </c>
      <c r="S1887" t="s">
        <v>4918</v>
      </c>
    </row>
    <row r="1888" spans="1:19" x14ac:dyDescent="0.3">
      <c r="A1888" t="s">
        <v>4920</v>
      </c>
      <c r="B1888" t="s">
        <v>4921</v>
      </c>
      <c r="C1888" t="s">
        <v>243</v>
      </c>
      <c r="D1888" t="s">
        <v>63</v>
      </c>
      <c r="E1888" t="s">
        <v>74</v>
      </c>
      <c r="F1888" t="s">
        <v>243</v>
      </c>
      <c r="G1888" t="s">
        <v>244</v>
      </c>
      <c r="H1888" t="s">
        <v>75</v>
      </c>
      <c r="I1888">
        <v>0</v>
      </c>
      <c r="J1888">
        <v>0</v>
      </c>
      <c r="K1888">
        <v>0</v>
      </c>
      <c r="L1888">
        <v>0</v>
      </c>
      <c r="M1888" t="s">
        <v>76</v>
      </c>
      <c r="N1888" t="s">
        <v>76</v>
      </c>
      <c r="O1888" t="s">
        <v>77</v>
      </c>
      <c r="P1888" t="s">
        <v>76</v>
      </c>
      <c r="S1888" t="s">
        <v>4921</v>
      </c>
    </row>
    <row r="1889" spans="1:19" x14ac:dyDescent="0.3">
      <c r="A1889" t="s">
        <v>4922</v>
      </c>
      <c r="B1889" t="s">
        <v>4923</v>
      </c>
      <c r="C1889" t="s">
        <v>21</v>
      </c>
      <c r="D1889" t="s">
        <v>63</v>
      </c>
      <c r="E1889" t="s">
        <v>74</v>
      </c>
      <c r="F1889" t="s">
        <v>24</v>
      </c>
      <c r="G1889" t="s">
        <v>21</v>
      </c>
      <c r="H1889" t="s">
        <v>26</v>
      </c>
      <c r="I1889">
        <v>0</v>
      </c>
      <c r="J1889">
        <v>0</v>
      </c>
      <c r="K1889">
        <v>0</v>
      </c>
      <c r="L1889">
        <v>0</v>
      </c>
      <c r="M1889" t="s">
        <v>287</v>
      </c>
      <c r="N1889" t="s">
        <v>287</v>
      </c>
      <c r="O1889" t="s">
        <v>288</v>
      </c>
      <c r="P1889" t="s">
        <v>30</v>
      </c>
      <c r="Q1889" t="s">
        <v>622</v>
      </c>
      <c r="R1889" t="s">
        <v>623</v>
      </c>
      <c r="S1889" t="s">
        <v>4923</v>
      </c>
    </row>
    <row r="1890" spans="1:19" x14ac:dyDescent="0.3">
      <c r="A1890" t="s">
        <v>4924</v>
      </c>
      <c r="B1890" t="s">
        <v>4925</v>
      </c>
      <c r="C1890" t="s">
        <v>21</v>
      </c>
      <c r="F1890" t="s">
        <v>24</v>
      </c>
      <c r="G1890" t="s">
        <v>21</v>
      </c>
      <c r="H1890" t="s">
        <v>26</v>
      </c>
      <c r="I1890">
        <v>0</v>
      </c>
      <c r="J1890">
        <v>0</v>
      </c>
      <c r="K1890">
        <v>0</v>
      </c>
      <c r="L1890">
        <v>0</v>
      </c>
      <c r="M1890" t="s">
        <v>76</v>
      </c>
      <c r="N1890" t="s">
        <v>76</v>
      </c>
      <c r="O1890" t="s">
        <v>77</v>
      </c>
      <c r="P1890" t="s">
        <v>76</v>
      </c>
      <c r="S1890" t="s">
        <v>4925</v>
      </c>
    </row>
    <row r="1891" spans="1:19" x14ac:dyDescent="0.3">
      <c r="A1891" t="s">
        <v>4926</v>
      </c>
      <c r="B1891" t="s">
        <v>4927</v>
      </c>
      <c r="C1891" t="s">
        <v>21</v>
      </c>
      <c r="D1891" t="s">
        <v>35</v>
      </c>
      <c r="E1891" t="s">
        <v>44</v>
      </c>
      <c r="F1891" t="s">
        <v>24</v>
      </c>
      <c r="G1891" t="s">
        <v>21</v>
      </c>
      <c r="H1891" t="s">
        <v>26</v>
      </c>
      <c r="I1891">
        <v>0</v>
      </c>
      <c r="J1891">
        <v>0</v>
      </c>
      <c r="K1891">
        <v>0</v>
      </c>
      <c r="L1891">
        <v>0</v>
      </c>
      <c r="M1891" t="s">
        <v>76</v>
      </c>
      <c r="N1891" t="s">
        <v>76</v>
      </c>
      <c r="O1891" t="s">
        <v>77</v>
      </c>
      <c r="P1891" t="s">
        <v>76</v>
      </c>
      <c r="S1891" t="s">
        <v>4927</v>
      </c>
    </row>
    <row r="1892" spans="1:19" x14ac:dyDescent="0.3">
      <c r="A1892" t="s">
        <v>4928</v>
      </c>
      <c r="B1892" t="s">
        <v>4929</v>
      </c>
      <c r="C1892" t="s">
        <v>21</v>
      </c>
      <c r="D1892" t="s">
        <v>95</v>
      </c>
      <c r="E1892" t="s">
        <v>74</v>
      </c>
      <c r="F1892" t="s">
        <v>24</v>
      </c>
      <c r="G1892" t="s">
        <v>21</v>
      </c>
      <c r="H1892" t="s">
        <v>26</v>
      </c>
      <c r="I1892">
        <v>0</v>
      </c>
      <c r="J1892">
        <v>0</v>
      </c>
      <c r="K1892">
        <v>0</v>
      </c>
      <c r="L1892">
        <v>0</v>
      </c>
      <c r="M1892" t="s">
        <v>76</v>
      </c>
      <c r="N1892" t="s">
        <v>76</v>
      </c>
      <c r="O1892" t="s">
        <v>77</v>
      </c>
      <c r="P1892" t="s">
        <v>76</v>
      </c>
      <c r="S1892" t="s">
        <v>4929</v>
      </c>
    </row>
    <row r="1893" spans="1:19" x14ac:dyDescent="0.3">
      <c r="A1893" t="s">
        <v>4930</v>
      </c>
      <c r="B1893" t="s">
        <v>4931</v>
      </c>
      <c r="C1893" t="s">
        <v>21</v>
      </c>
      <c r="D1893" t="s">
        <v>63</v>
      </c>
      <c r="E1893" t="s">
        <v>74</v>
      </c>
      <c r="F1893" t="s">
        <v>24</v>
      </c>
      <c r="G1893" t="s">
        <v>21</v>
      </c>
      <c r="H1893" t="s">
        <v>26</v>
      </c>
      <c r="I1893">
        <v>0</v>
      </c>
      <c r="J1893">
        <v>0</v>
      </c>
      <c r="K1893">
        <v>0</v>
      </c>
      <c r="L1893">
        <v>0</v>
      </c>
      <c r="M1893" t="s">
        <v>76</v>
      </c>
      <c r="N1893" t="s">
        <v>76</v>
      </c>
      <c r="O1893" t="s">
        <v>77</v>
      </c>
      <c r="P1893" t="s">
        <v>76</v>
      </c>
      <c r="S1893" t="s">
        <v>4931</v>
      </c>
    </row>
    <row r="1894" spans="1:19" x14ac:dyDescent="0.3">
      <c r="A1894" t="s">
        <v>4932</v>
      </c>
      <c r="B1894" t="s">
        <v>4933</v>
      </c>
      <c r="C1894" t="s">
        <v>21</v>
      </c>
      <c r="D1894" t="s">
        <v>35</v>
      </c>
      <c r="E1894" t="s">
        <v>400</v>
      </c>
      <c r="F1894" t="s">
        <v>24</v>
      </c>
      <c r="G1894" t="s">
        <v>4932</v>
      </c>
      <c r="H1894" t="s">
        <v>26</v>
      </c>
      <c r="I1894">
        <v>0</v>
      </c>
      <c r="J1894">
        <v>0</v>
      </c>
      <c r="K1894">
        <v>0</v>
      </c>
      <c r="L1894">
        <v>0</v>
      </c>
      <c r="M1894" t="s">
        <v>239</v>
      </c>
      <c r="N1894" t="s">
        <v>239</v>
      </c>
      <c r="O1894" t="s">
        <v>240</v>
      </c>
      <c r="P1894" t="s">
        <v>239</v>
      </c>
      <c r="S1894" t="s">
        <v>4933</v>
      </c>
    </row>
    <row r="1895" spans="1:19" x14ac:dyDescent="0.3">
      <c r="A1895" t="s">
        <v>4934</v>
      </c>
      <c r="B1895" t="s">
        <v>4935</v>
      </c>
      <c r="C1895" t="s">
        <v>43</v>
      </c>
      <c r="D1895" t="s">
        <v>63</v>
      </c>
      <c r="E1895" t="s">
        <v>74</v>
      </c>
      <c r="F1895" t="s">
        <v>45</v>
      </c>
      <c r="G1895" t="s">
        <v>43</v>
      </c>
      <c r="H1895" t="s">
        <v>26</v>
      </c>
      <c r="I1895">
        <v>0</v>
      </c>
      <c r="J1895">
        <v>0</v>
      </c>
      <c r="K1895">
        <v>0</v>
      </c>
      <c r="L1895">
        <v>0</v>
      </c>
      <c r="M1895" t="s">
        <v>76</v>
      </c>
      <c r="N1895" t="s">
        <v>76</v>
      </c>
      <c r="O1895" t="s">
        <v>77</v>
      </c>
      <c r="P1895" t="s">
        <v>76</v>
      </c>
      <c r="S1895" t="s">
        <v>4935</v>
      </c>
    </row>
    <row r="1896" spans="1:19" x14ac:dyDescent="0.3">
      <c r="A1896" t="s">
        <v>4936</v>
      </c>
      <c r="B1896" t="s">
        <v>4937</v>
      </c>
      <c r="C1896" t="s">
        <v>43</v>
      </c>
      <c r="D1896" t="s">
        <v>63</v>
      </c>
      <c r="E1896" t="s">
        <v>74</v>
      </c>
      <c r="F1896" t="s">
        <v>45</v>
      </c>
      <c r="G1896" t="s">
        <v>43</v>
      </c>
      <c r="H1896" t="s">
        <v>26</v>
      </c>
      <c r="I1896">
        <v>0</v>
      </c>
      <c r="J1896">
        <v>0</v>
      </c>
      <c r="K1896">
        <v>0</v>
      </c>
      <c r="L1896">
        <v>0</v>
      </c>
      <c r="M1896" t="s">
        <v>76</v>
      </c>
      <c r="N1896" t="s">
        <v>76</v>
      </c>
      <c r="O1896" t="s">
        <v>77</v>
      </c>
      <c r="P1896" t="s">
        <v>76</v>
      </c>
      <c r="S1896" t="s">
        <v>4937</v>
      </c>
    </row>
    <row r="1897" spans="1:19" x14ac:dyDescent="0.3">
      <c r="A1897" t="s">
        <v>4938</v>
      </c>
      <c r="B1897" t="s">
        <v>4939</v>
      </c>
      <c r="C1897" t="s">
        <v>45</v>
      </c>
      <c r="D1897" t="s">
        <v>35</v>
      </c>
      <c r="E1897" t="s">
        <v>74</v>
      </c>
      <c r="F1897" t="s">
        <v>45</v>
      </c>
      <c r="G1897" t="s">
        <v>2706</v>
      </c>
      <c r="H1897" t="s">
        <v>26</v>
      </c>
      <c r="I1897">
        <v>0</v>
      </c>
      <c r="J1897">
        <v>0</v>
      </c>
      <c r="K1897">
        <v>0</v>
      </c>
      <c r="L1897">
        <v>0</v>
      </c>
      <c r="M1897" t="s">
        <v>76</v>
      </c>
      <c r="N1897" t="s">
        <v>76</v>
      </c>
      <c r="O1897" t="s">
        <v>77</v>
      </c>
      <c r="P1897" t="s">
        <v>76</v>
      </c>
      <c r="S1897" t="s">
        <v>4939</v>
      </c>
    </row>
    <row r="1898" spans="1:19" x14ac:dyDescent="0.3">
      <c r="A1898" t="s">
        <v>4940</v>
      </c>
      <c r="B1898" t="s">
        <v>4941</v>
      </c>
      <c r="C1898" t="s">
        <v>45</v>
      </c>
      <c r="D1898" t="s">
        <v>63</v>
      </c>
      <c r="E1898" t="s">
        <v>1751</v>
      </c>
      <c r="F1898" t="s">
        <v>45</v>
      </c>
      <c r="G1898" t="s">
        <v>2706</v>
      </c>
      <c r="H1898" t="s">
        <v>26</v>
      </c>
      <c r="I1898">
        <v>0</v>
      </c>
      <c r="J1898">
        <v>0</v>
      </c>
      <c r="K1898">
        <v>0</v>
      </c>
      <c r="L1898">
        <v>0</v>
      </c>
      <c r="M1898" t="s">
        <v>239</v>
      </c>
      <c r="N1898" t="s">
        <v>239</v>
      </c>
      <c r="O1898" t="s">
        <v>240</v>
      </c>
      <c r="P1898" t="s">
        <v>239</v>
      </c>
      <c r="S1898" t="s">
        <v>4941</v>
      </c>
    </row>
    <row r="1899" spans="1:19" x14ac:dyDescent="0.3">
      <c r="A1899" t="s">
        <v>4942</v>
      </c>
      <c r="B1899" t="s">
        <v>4943</v>
      </c>
      <c r="C1899" t="s">
        <v>45</v>
      </c>
      <c r="D1899" t="s">
        <v>63</v>
      </c>
      <c r="E1899" t="s">
        <v>74</v>
      </c>
      <c r="F1899" t="s">
        <v>45</v>
      </c>
      <c r="G1899" t="s">
        <v>2706</v>
      </c>
      <c r="H1899" t="s">
        <v>26</v>
      </c>
      <c r="I1899">
        <v>0</v>
      </c>
      <c r="J1899">
        <v>0</v>
      </c>
      <c r="K1899">
        <v>0</v>
      </c>
      <c r="L1899">
        <v>0</v>
      </c>
      <c r="M1899" t="s">
        <v>76</v>
      </c>
      <c r="N1899" t="s">
        <v>76</v>
      </c>
      <c r="O1899" t="s">
        <v>77</v>
      </c>
      <c r="P1899" t="s">
        <v>76</v>
      </c>
      <c r="S1899" t="s">
        <v>4943</v>
      </c>
    </row>
    <row r="1900" spans="1:19" x14ac:dyDescent="0.3">
      <c r="A1900" t="s">
        <v>4944</v>
      </c>
      <c r="B1900" t="s">
        <v>4945</v>
      </c>
      <c r="C1900" t="s">
        <v>1053</v>
      </c>
      <c r="D1900" t="s">
        <v>2796</v>
      </c>
      <c r="F1900" t="s">
        <v>314</v>
      </c>
      <c r="G1900" t="s">
        <v>1053</v>
      </c>
      <c r="H1900" t="s">
        <v>75</v>
      </c>
      <c r="I1900">
        <v>0</v>
      </c>
      <c r="J1900">
        <v>0</v>
      </c>
      <c r="K1900">
        <v>0</v>
      </c>
      <c r="L1900">
        <v>0</v>
      </c>
      <c r="M1900" t="s">
        <v>76</v>
      </c>
      <c r="N1900" t="s">
        <v>76</v>
      </c>
      <c r="O1900" t="s">
        <v>77</v>
      </c>
      <c r="P1900" t="s">
        <v>76</v>
      </c>
      <c r="S1900" t="s">
        <v>4945</v>
      </c>
    </row>
    <row r="1901" spans="1:19" x14ac:dyDescent="0.3">
      <c r="A1901" t="s">
        <v>4946</v>
      </c>
      <c r="B1901" t="s">
        <v>4947</v>
      </c>
      <c r="C1901" t="s">
        <v>114</v>
      </c>
      <c r="D1901" t="s">
        <v>35</v>
      </c>
      <c r="E1901" t="s">
        <v>150</v>
      </c>
      <c r="F1901" t="s">
        <v>114</v>
      </c>
      <c r="G1901" t="s">
        <v>362</v>
      </c>
      <c r="H1901" t="s">
        <v>75</v>
      </c>
      <c r="I1901">
        <v>0</v>
      </c>
      <c r="J1901">
        <v>0</v>
      </c>
      <c r="K1901">
        <v>0</v>
      </c>
      <c r="L1901">
        <v>0</v>
      </c>
      <c r="M1901" t="s">
        <v>76</v>
      </c>
      <c r="N1901" t="s">
        <v>76</v>
      </c>
      <c r="O1901" t="s">
        <v>77</v>
      </c>
      <c r="P1901" t="s">
        <v>76</v>
      </c>
      <c r="S1901" t="s">
        <v>4947</v>
      </c>
    </row>
    <row r="1902" spans="1:19" x14ac:dyDescent="0.3">
      <c r="A1902" t="s">
        <v>4948</v>
      </c>
      <c r="B1902" t="s">
        <v>4949</v>
      </c>
      <c r="C1902" t="s">
        <v>114</v>
      </c>
      <c r="D1902" t="s">
        <v>63</v>
      </c>
      <c r="F1902" t="s">
        <v>114</v>
      </c>
      <c r="G1902" t="s">
        <v>362</v>
      </c>
      <c r="H1902" t="s">
        <v>75</v>
      </c>
      <c r="I1902">
        <v>0</v>
      </c>
      <c r="J1902">
        <v>0</v>
      </c>
      <c r="K1902">
        <v>0</v>
      </c>
      <c r="L1902">
        <v>0</v>
      </c>
      <c r="M1902" t="s">
        <v>76</v>
      </c>
      <c r="N1902" t="s">
        <v>76</v>
      </c>
      <c r="O1902" t="s">
        <v>77</v>
      </c>
      <c r="P1902" t="s">
        <v>76</v>
      </c>
      <c r="S1902" t="s">
        <v>4949</v>
      </c>
    </row>
    <row r="1903" spans="1:19" x14ac:dyDescent="0.3">
      <c r="A1903" t="s">
        <v>4950</v>
      </c>
      <c r="B1903" t="s">
        <v>4951</v>
      </c>
      <c r="C1903" t="s">
        <v>114</v>
      </c>
      <c r="D1903" t="s">
        <v>63</v>
      </c>
      <c r="E1903" t="s">
        <v>74</v>
      </c>
      <c r="F1903" t="s">
        <v>114</v>
      </c>
      <c r="G1903" t="s">
        <v>362</v>
      </c>
      <c r="H1903" t="s">
        <v>75</v>
      </c>
      <c r="I1903">
        <v>0</v>
      </c>
      <c r="J1903">
        <v>0</v>
      </c>
      <c r="K1903">
        <v>0</v>
      </c>
      <c r="L1903">
        <v>0</v>
      </c>
      <c r="M1903" t="s">
        <v>76</v>
      </c>
      <c r="N1903" t="s">
        <v>76</v>
      </c>
      <c r="O1903" t="s">
        <v>77</v>
      </c>
      <c r="P1903" t="s">
        <v>76</v>
      </c>
      <c r="S1903" t="s">
        <v>4951</v>
      </c>
    </row>
    <row r="1904" spans="1:19" x14ac:dyDescent="0.3">
      <c r="A1904" t="s">
        <v>4952</v>
      </c>
      <c r="B1904" t="s">
        <v>4953</v>
      </c>
      <c r="C1904" t="s">
        <v>114</v>
      </c>
      <c r="D1904" t="s">
        <v>63</v>
      </c>
      <c r="E1904" t="s">
        <v>64</v>
      </c>
      <c r="F1904" t="s">
        <v>114</v>
      </c>
      <c r="G1904" t="s">
        <v>362</v>
      </c>
      <c r="H1904" t="s">
        <v>75</v>
      </c>
      <c r="I1904">
        <v>0</v>
      </c>
      <c r="J1904">
        <v>0</v>
      </c>
      <c r="K1904">
        <v>0</v>
      </c>
      <c r="L1904">
        <v>0</v>
      </c>
      <c r="M1904" t="s">
        <v>76</v>
      </c>
      <c r="N1904" t="s">
        <v>76</v>
      </c>
      <c r="O1904" t="s">
        <v>77</v>
      </c>
      <c r="P1904" t="s">
        <v>76</v>
      </c>
      <c r="S1904" t="s">
        <v>4953</v>
      </c>
    </row>
    <row r="1905" spans="1:19" x14ac:dyDescent="0.3">
      <c r="A1905" t="s">
        <v>4954</v>
      </c>
      <c r="B1905" t="s">
        <v>4955</v>
      </c>
      <c r="C1905" t="s">
        <v>114</v>
      </c>
      <c r="D1905" t="s">
        <v>63</v>
      </c>
      <c r="E1905" t="s">
        <v>74</v>
      </c>
      <c r="F1905" t="s">
        <v>114</v>
      </c>
      <c r="G1905" t="s">
        <v>362</v>
      </c>
      <c r="H1905" t="s">
        <v>75</v>
      </c>
      <c r="I1905">
        <v>0</v>
      </c>
      <c r="J1905">
        <v>0</v>
      </c>
      <c r="K1905">
        <v>0</v>
      </c>
      <c r="L1905">
        <v>0</v>
      </c>
      <c r="M1905" t="s">
        <v>76</v>
      </c>
      <c r="N1905" t="s">
        <v>76</v>
      </c>
      <c r="O1905" t="s">
        <v>77</v>
      </c>
      <c r="P1905" t="s">
        <v>76</v>
      </c>
      <c r="S1905" t="s">
        <v>4955</v>
      </c>
    </row>
    <row r="1906" spans="1:19" x14ac:dyDescent="0.3">
      <c r="A1906" t="s">
        <v>4956</v>
      </c>
      <c r="B1906" t="s">
        <v>4957</v>
      </c>
      <c r="C1906" t="s">
        <v>114</v>
      </c>
      <c r="D1906" t="s">
        <v>63</v>
      </c>
      <c r="E1906" t="s">
        <v>74</v>
      </c>
      <c r="F1906" t="s">
        <v>114</v>
      </c>
      <c r="G1906" t="s">
        <v>362</v>
      </c>
      <c r="H1906" t="s">
        <v>75</v>
      </c>
      <c r="I1906">
        <v>0</v>
      </c>
      <c r="J1906">
        <v>0</v>
      </c>
      <c r="K1906">
        <v>0</v>
      </c>
      <c r="L1906">
        <v>0</v>
      </c>
      <c r="M1906" t="s">
        <v>76</v>
      </c>
      <c r="N1906" t="s">
        <v>76</v>
      </c>
      <c r="O1906" t="s">
        <v>77</v>
      </c>
      <c r="P1906" t="s">
        <v>76</v>
      </c>
      <c r="S1906" t="s">
        <v>4957</v>
      </c>
    </row>
    <row r="1907" spans="1:19" x14ac:dyDescent="0.3">
      <c r="A1907" t="s">
        <v>4958</v>
      </c>
      <c r="B1907" t="s">
        <v>4959</v>
      </c>
      <c r="C1907" t="s">
        <v>114</v>
      </c>
      <c r="D1907" t="s">
        <v>63</v>
      </c>
      <c r="F1907" t="s">
        <v>114</v>
      </c>
      <c r="G1907" t="s">
        <v>362</v>
      </c>
      <c r="H1907" t="s">
        <v>75</v>
      </c>
      <c r="I1907">
        <v>0</v>
      </c>
      <c r="J1907">
        <v>0</v>
      </c>
      <c r="K1907">
        <v>0</v>
      </c>
      <c r="L1907">
        <v>0</v>
      </c>
      <c r="M1907" t="s">
        <v>76</v>
      </c>
      <c r="N1907" t="s">
        <v>76</v>
      </c>
      <c r="O1907" t="s">
        <v>77</v>
      </c>
      <c r="P1907" t="s">
        <v>76</v>
      </c>
      <c r="S1907" t="s">
        <v>4959</v>
      </c>
    </row>
    <row r="1908" spans="1:19" x14ac:dyDescent="0.3">
      <c r="A1908" t="s">
        <v>4960</v>
      </c>
      <c r="B1908" t="s">
        <v>4961</v>
      </c>
      <c r="C1908" t="s">
        <v>114</v>
      </c>
      <c r="D1908" t="s">
        <v>63</v>
      </c>
      <c r="E1908" t="s">
        <v>74</v>
      </c>
      <c r="F1908" t="s">
        <v>114</v>
      </c>
      <c r="G1908" t="s">
        <v>362</v>
      </c>
      <c r="H1908" t="s">
        <v>75</v>
      </c>
      <c r="I1908">
        <v>0</v>
      </c>
      <c r="J1908">
        <v>0</v>
      </c>
      <c r="K1908">
        <v>0</v>
      </c>
      <c r="L1908">
        <v>0</v>
      </c>
      <c r="M1908" t="s">
        <v>76</v>
      </c>
      <c r="N1908" t="s">
        <v>76</v>
      </c>
      <c r="O1908" t="s">
        <v>77</v>
      </c>
      <c r="P1908" t="s">
        <v>76</v>
      </c>
      <c r="S1908" t="s">
        <v>4961</v>
      </c>
    </row>
    <row r="1909" spans="1:19" x14ac:dyDescent="0.3">
      <c r="A1909" t="s">
        <v>4962</v>
      </c>
      <c r="B1909" t="s">
        <v>4963</v>
      </c>
      <c r="C1909" t="s">
        <v>43</v>
      </c>
      <c r="F1909" t="s">
        <v>45</v>
      </c>
      <c r="G1909" t="s">
        <v>43</v>
      </c>
      <c r="H1909" t="s">
        <v>26</v>
      </c>
      <c r="I1909">
        <v>0</v>
      </c>
      <c r="J1909">
        <v>0</v>
      </c>
      <c r="K1909">
        <v>0</v>
      </c>
      <c r="L1909">
        <v>0</v>
      </c>
      <c r="M1909" t="s">
        <v>76</v>
      </c>
      <c r="N1909" t="s">
        <v>76</v>
      </c>
      <c r="O1909" t="s">
        <v>77</v>
      </c>
      <c r="P1909" t="s">
        <v>76</v>
      </c>
      <c r="S1909" t="s">
        <v>4963</v>
      </c>
    </row>
    <row r="1910" spans="1:19" x14ac:dyDescent="0.3">
      <c r="A1910" t="s">
        <v>4964</v>
      </c>
      <c r="B1910" t="s">
        <v>4965</v>
      </c>
      <c r="C1910" t="s">
        <v>307</v>
      </c>
      <c r="D1910" t="s">
        <v>63</v>
      </c>
      <c r="E1910" t="s">
        <v>74</v>
      </c>
      <c r="F1910" t="s">
        <v>251</v>
      </c>
      <c r="G1910" t="s">
        <v>307</v>
      </c>
      <c r="H1910" t="s">
        <v>75</v>
      </c>
      <c r="I1910">
        <v>0</v>
      </c>
      <c r="J1910">
        <v>0</v>
      </c>
      <c r="K1910">
        <v>0</v>
      </c>
      <c r="L1910">
        <v>0</v>
      </c>
      <c r="M1910" t="s">
        <v>76</v>
      </c>
      <c r="N1910" t="s">
        <v>76</v>
      </c>
      <c r="O1910" t="s">
        <v>77</v>
      </c>
      <c r="P1910" t="s">
        <v>76</v>
      </c>
      <c r="S1910" t="s">
        <v>4965</v>
      </c>
    </row>
    <row r="1911" spans="1:19" x14ac:dyDescent="0.3">
      <c r="A1911" t="s">
        <v>4966</v>
      </c>
      <c r="B1911" t="s">
        <v>4967</v>
      </c>
      <c r="C1911" t="s">
        <v>73</v>
      </c>
      <c r="D1911" t="s">
        <v>63</v>
      </c>
      <c r="E1911" t="s">
        <v>74</v>
      </c>
      <c r="F1911" t="s">
        <v>73</v>
      </c>
      <c r="G1911" t="s">
        <v>542</v>
      </c>
      <c r="H1911" t="s">
        <v>213</v>
      </c>
      <c r="I1911">
        <v>0</v>
      </c>
      <c r="J1911">
        <v>0</v>
      </c>
      <c r="K1911">
        <v>0</v>
      </c>
      <c r="L1911">
        <v>0</v>
      </c>
      <c r="M1911" t="s">
        <v>76</v>
      </c>
      <c r="N1911" t="s">
        <v>76</v>
      </c>
      <c r="O1911" t="s">
        <v>77</v>
      </c>
      <c r="P1911" t="s">
        <v>76</v>
      </c>
      <c r="S1911" t="s">
        <v>4967</v>
      </c>
    </row>
    <row r="1912" spans="1:19" x14ac:dyDescent="0.3">
      <c r="A1912" t="s">
        <v>4968</v>
      </c>
      <c r="B1912" t="s">
        <v>4969</v>
      </c>
      <c r="C1912" t="s">
        <v>24</v>
      </c>
      <c r="D1912" t="s">
        <v>63</v>
      </c>
      <c r="E1912" t="s">
        <v>315</v>
      </c>
      <c r="F1912" t="s">
        <v>55</v>
      </c>
      <c r="G1912" t="s">
        <v>4970</v>
      </c>
      <c r="H1912" t="s">
        <v>213</v>
      </c>
      <c r="I1912">
        <v>0</v>
      </c>
      <c r="J1912">
        <v>0</v>
      </c>
      <c r="K1912">
        <v>0</v>
      </c>
      <c r="L1912">
        <v>0</v>
      </c>
      <c r="M1912" t="s">
        <v>76</v>
      </c>
      <c r="N1912" t="s">
        <v>76</v>
      </c>
      <c r="O1912" t="s">
        <v>77</v>
      </c>
      <c r="P1912" t="s">
        <v>76</v>
      </c>
      <c r="S1912" t="s">
        <v>4969</v>
      </c>
    </row>
    <row r="1913" spans="1:19" x14ac:dyDescent="0.3">
      <c r="A1913" t="s">
        <v>4971</v>
      </c>
      <c r="B1913" t="s">
        <v>4972</v>
      </c>
      <c r="C1913" t="s">
        <v>251</v>
      </c>
      <c r="D1913" t="s">
        <v>63</v>
      </c>
      <c r="E1913" t="s">
        <v>74</v>
      </c>
      <c r="F1913" t="s">
        <v>251</v>
      </c>
      <c r="G1913" t="s">
        <v>307</v>
      </c>
      <c r="H1913" t="s">
        <v>75</v>
      </c>
      <c r="I1913">
        <v>0</v>
      </c>
      <c r="J1913">
        <v>0</v>
      </c>
      <c r="K1913">
        <v>0</v>
      </c>
      <c r="L1913">
        <v>0</v>
      </c>
      <c r="S1913" t="s">
        <v>4972</v>
      </c>
    </row>
    <row r="1914" spans="1:19" x14ac:dyDescent="0.3">
      <c r="A1914" t="s">
        <v>4973</v>
      </c>
      <c r="B1914" t="s">
        <v>4974</v>
      </c>
      <c r="C1914" t="s">
        <v>43</v>
      </c>
      <c r="D1914" t="s">
        <v>63</v>
      </c>
      <c r="E1914" t="s">
        <v>74</v>
      </c>
      <c r="F1914" t="s">
        <v>45</v>
      </c>
      <c r="G1914" t="s">
        <v>43</v>
      </c>
      <c r="H1914" t="s">
        <v>26</v>
      </c>
      <c r="I1914">
        <v>0</v>
      </c>
      <c r="J1914">
        <v>0</v>
      </c>
      <c r="K1914">
        <v>0</v>
      </c>
      <c r="L1914">
        <v>0</v>
      </c>
      <c r="M1914" t="s">
        <v>76</v>
      </c>
      <c r="N1914" t="s">
        <v>76</v>
      </c>
      <c r="O1914" t="s">
        <v>77</v>
      </c>
      <c r="P1914" t="s">
        <v>76</v>
      </c>
      <c r="S1914" t="s">
        <v>4974</v>
      </c>
    </row>
    <row r="1915" spans="1:19" x14ac:dyDescent="0.3">
      <c r="A1915" t="s">
        <v>4975</v>
      </c>
      <c r="B1915" t="s">
        <v>4976</v>
      </c>
      <c r="C1915" t="s">
        <v>43</v>
      </c>
      <c r="D1915" t="s">
        <v>53</v>
      </c>
      <c r="E1915" t="s">
        <v>74</v>
      </c>
      <c r="F1915" t="s">
        <v>45</v>
      </c>
      <c r="G1915" t="s">
        <v>43</v>
      </c>
      <c r="H1915" t="s">
        <v>26</v>
      </c>
      <c r="I1915">
        <v>0</v>
      </c>
      <c r="J1915">
        <v>0</v>
      </c>
      <c r="K1915">
        <v>0</v>
      </c>
      <c r="L1915">
        <v>0</v>
      </c>
      <c r="M1915" t="s">
        <v>76</v>
      </c>
      <c r="N1915" t="s">
        <v>76</v>
      </c>
      <c r="O1915" t="s">
        <v>77</v>
      </c>
      <c r="P1915" t="s">
        <v>76</v>
      </c>
      <c r="S1915" t="s">
        <v>4976</v>
      </c>
    </row>
    <row r="1916" spans="1:19" x14ac:dyDescent="0.3">
      <c r="A1916" t="s">
        <v>4977</v>
      </c>
      <c r="B1916" t="s">
        <v>4978</v>
      </c>
      <c r="C1916" t="s">
        <v>43</v>
      </c>
      <c r="D1916" t="s">
        <v>63</v>
      </c>
      <c r="E1916" t="s">
        <v>74</v>
      </c>
      <c r="F1916" t="s">
        <v>45</v>
      </c>
      <c r="G1916" t="s">
        <v>43</v>
      </c>
      <c r="H1916" t="s">
        <v>26</v>
      </c>
      <c r="I1916">
        <v>0</v>
      </c>
      <c r="J1916">
        <v>0</v>
      </c>
      <c r="K1916">
        <v>0</v>
      </c>
      <c r="L1916">
        <v>0</v>
      </c>
      <c r="M1916" t="s">
        <v>76</v>
      </c>
      <c r="N1916" t="s">
        <v>76</v>
      </c>
      <c r="O1916" t="s">
        <v>77</v>
      </c>
      <c r="P1916" t="s">
        <v>76</v>
      </c>
      <c r="S1916" t="s">
        <v>4978</v>
      </c>
    </row>
    <row r="1917" spans="1:19" x14ac:dyDescent="0.3">
      <c r="A1917" t="s">
        <v>4979</v>
      </c>
      <c r="B1917" t="s">
        <v>4980</v>
      </c>
      <c r="C1917" t="s">
        <v>43</v>
      </c>
      <c r="D1917" t="s">
        <v>63</v>
      </c>
      <c r="E1917" t="s">
        <v>555</v>
      </c>
      <c r="F1917" t="s">
        <v>45</v>
      </c>
      <c r="G1917" t="s">
        <v>43</v>
      </c>
      <c r="H1917" t="s">
        <v>26</v>
      </c>
      <c r="I1917">
        <v>0</v>
      </c>
      <c r="J1917">
        <v>0</v>
      </c>
      <c r="K1917">
        <v>0</v>
      </c>
      <c r="L1917">
        <v>0</v>
      </c>
      <c r="M1917" t="s">
        <v>76</v>
      </c>
      <c r="N1917" t="s">
        <v>76</v>
      </c>
      <c r="O1917" t="s">
        <v>77</v>
      </c>
      <c r="P1917" t="s">
        <v>76</v>
      </c>
      <c r="S1917" t="s">
        <v>4980</v>
      </c>
    </row>
    <row r="1918" spans="1:19" x14ac:dyDescent="0.3">
      <c r="A1918" t="s">
        <v>4981</v>
      </c>
      <c r="B1918" t="s">
        <v>4982</v>
      </c>
      <c r="C1918" t="s">
        <v>43</v>
      </c>
      <c r="D1918" t="s">
        <v>35</v>
      </c>
      <c r="E1918" t="s">
        <v>278</v>
      </c>
      <c r="F1918" t="s">
        <v>45</v>
      </c>
      <c r="G1918" t="s">
        <v>43</v>
      </c>
      <c r="H1918" t="s">
        <v>26</v>
      </c>
      <c r="I1918">
        <v>0</v>
      </c>
      <c r="J1918">
        <v>0</v>
      </c>
      <c r="K1918">
        <v>0</v>
      </c>
      <c r="L1918">
        <v>0</v>
      </c>
      <c r="M1918" t="s">
        <v>76</v>
      </c>
      <c r="N1918" t="s">
        <v>76</v>
      </c>
      <c r="O1918" t="s">
        <v>77</v>
      </c>
      <c r="P1918" t="s">
        <v>76</v>
      </c>
      <c r="S1918" t="s">
        <v>4982</v>
      </c>
    </row>
    <row r="1919" spans="1:19" x14ac:dyDescent="0.3">
      <c r="A1919" t="s">
        <v>4983</v>
      </c>
      <c r="B1919" t="s">
        <v>4984</v>
      </c>
      <c r="C1919" t="s">
        <v>596</v>
      </c>
      <c r="D1919" t="s">
        <v>63</v>
      </c>
      <c r="E1919" t="s">
        <v>64</v>
      </c>
      <c r="F1919" t="s">
        <v>73</v>
      </c>
      <c r="G1919" t="s">
        <v>596</v>
      </c>
      <c r="H1919" t="s">
        <v>75</v>
      </c>
      <c r="I1919">
        <v>0</v>
      </c>
      <c r="J1919">
        <v>0</v>
      </c>
      <c r="K1919">
        <v>0</v>
      </c>
      <c r="L1919">
        <v>0</v>
      </c>
      <c r="M1919" t="s">
        <v>76</v>
      </c>
      <c r="N1919" t="s">
        <v>76</v>
      </c>
      <c r="O1919" t="s">
        <v>77</v>
      </c>
      <c r="P1919" t="s">
        <v>76</v>
      </c>
      <c r="S1919" t="s">
        <v>4984</v>
      </c>
    </row>
    <row r="1920" spans="1:19" x14ac:dyDescent="0.3">
      <c r="A1920" t="s">
        <v>4985</v>
      </c>
      <c r="B1920" t="s">
        <v>4986</v>
      </c>
      <c r="C1920" t="s">
        <v>43</v>
      </c>
      <c r="D1920" t="s">
        <v>63</v>
      </c>
      <c r="E1920" t="s">
        <v>74</v>
      </c>
      <c r="F1920" t="s">
        <v>45</v>
      </c>
      <c r="G1920" t="s">
        <v>43</v>
      </c>
      <c r="H1920" t="s">
        <v>26</v>
      </c>
      <c r="I1920">
        <v>0</v>
      </c>
      <c r="J1920">
        <v>0</v>
      </c>
      <c r="K1920">
        <v>0</v>
      </c>
      <c r="L1920">
        <v>0</v>
      </c>
      <c r="M1920" t="s">
        <v>76</v>
      </c>
      <c r="N1920" t="s">
        <v>76</v>
      </c>
      <c r="O1920" t="s">
        <v>77</v>
      </c>
      <c r="P1920" t="s">
        <v>76</v>
      </c>
      <c r="S1920" t="s">
        <v>4986</v>
      </c>
    </row>
    <row r="1921" spans="1:19" x14ac:dyDescent="0.3">
      <c r="A1921" t="s">
        <v>4987</v>
      </c>
      <c r="B1921" t="s">
        <v>4988</v>
      </c>
      <c r="C1921" t="s">
        <v>43</v>
      </c>
      <c r="D1921" t="s">
        <v>35</v>
      </c>
      <c r="E1921" t="s">
        <v>150</v>
      </c>
      <c r="F1921" t="s">
        <v>45</v>
      </c>
      <c r="G1921" t="s">
        <v>43</v>
      </c>
      <c r="H1921" t="s">
        <v>26</v>
      </c>
      <c r="I1921">
        <v>0</v>
      </c>
      <c r="J1921">
        <v>0</v>
      </c>
      <c r="K1921">
        <v>0</v>
      </c>
      <c r="L1921">
        <v>0</v>
      </c>
      <c r="M1921" t="s">
        <v>76</v>
      </c>
      <c r="N1921" t="s">
        <v>76</v>
      </c>
      <c r="O1921" t="s">
        <v>77</v>
      </c>
      <c r="P1921" t="s">
        <v>76</v>
      </c>
      <c r="S1921" t="s">
        <v>4988</v>
      </c>
    </row>
    <row r="1922" spans="1:19" x14ac:dyDescent="0.3">
      <c r="A1922" t="s">
        <v>4989</v>
      </c>
      <c r="B1922" t="s">
        <v>4990</v>
      </c>
      <c r="C1922" t="s">
        <v>43</v>
      </c>
      <c r="D1922" t="s">
        <v>63</v>
      </c>
      <c r="E1922" t="s">
        <v>74</v>
      </c>
      <c r="F1922" t="s">
        <v>45</v>
      </c>
      <c r="G1922" t="s">
        <v>43</v>
      </c>
      <c r="H1922" t="s">
        <v>26</v>
      </c>
      <c r="I1922">
        <v>0</v>
      </c>
      <c r="J1922">
        <v>0</v>
      </c>
      <c r="K1922">
        <v>0</v>
      </c>
      <c r="L1922">
        <v>0</v>
      </c>
      <c r="M1922" t="s">
        <v>76</v>
      </c>
      <c r="N1922" t="s">
        <v>76</v>
      </c>
      <c r="O1922" t="s">
        <v>77</v>
      </c>
      <c r="P1922" t="s">
        <v>76</v>
      </c>
      <c r="S1922" t="s">
        <v>4990</v>
      </c>
    </row>
    <row r="1923" spans="1:19" x14ac:dyDescent="0.3">
      <c r="A1923" t="s">
        <v>4991</v>
      </c>
      <c r="B1923" t="s">
        <v>4992</v>
      </c>
      <c r="C1923" t="s">
        <v>43</v>
      </c>
      <c r="D1923" t="s">
        <v>63</v>
      </c>
      <c r="E1923" t="s">
        <v>74</v>
      </c>
      <c r="F1923" t="s">
        <v>45</v>
      </c>
      <c r="G1923" t="s">
        <v>43</v>
      </c>
      <c r="H1923" t="s">
        <v>26</v>
      </c>
      <c r="I1923">
        <v>0</v>
      </c>
      <c r="J1923">
        <v>0</v>
      </c>
      <c r="K1923">
        <v>0</v>
      </c>
      <c r="L1923">
        <v>0</v>
      </c>
      <c r="M1923" t="s">
        <v>76</v>
      </c>
      <c r="N1923" t="s">
        <v>76</v>
      </c>
      <c r="O1923" t="s">
        <v>77</v>
      </c>
      <c r="P1923" t="s">
        <v>76</v>
      </c>
      <c r="S1923" t="s">
        <v>4992</v>
      </c>
    </row>
    <row r="1924" spans="1:19" x14ac:dyDescent="0.3">
      <c r="A1924" t="s">
        <v>4993</v>
      </c>
      <c r="B1924" t="s">
        <v>4994</v>
      </c>
      <c r="C1924" t="s">
        <v>43</v>
      </c>
      <c r="D1924" t="s">
        <v>63</v>
      </c>
      <c r="E1924" t="s">
        <v>74</v>
      </c>
      <c r="F1924" t="s">
        <v>45</v>
      </c>
      <c r="G1924" t="s">
        <v>43</v>
      </c>
      <c r="H1924" t="s">
        <v>26</v>
      </c>
      <c r="I1924">
        <v>0</v>
      </c>
      <c r="J1924">
        <v>0</v>
      </c>
      <c r="K1924">
        <v>0</v>
      </c>
      <c r="L1924">
        <v>0</v>
      </c>
      <c r="M1924" t="s">
        <v>76</v>
      </c>
      <c r="N1924" t="s">
        <v>76</v>
      </c>
      <c r="O1924" t="s">
        <v>77</v>
      </c>
      <c r="P1924" t="s">
        <v>76</v>
      </c>
      <c r="S1924" t="s">
        <v>4994</v>
      </c>
    </row>
    <row r="1925" spans="1:19" x14ac:dyDescent="0.3">
      <c r="A1925" t="s">
        <v>4995</v>
      </c>
      <c r="B1925" t="s">
        <v>4996</v>
      </c>
      <c r="C1925" t="s">
        <v>43</v>
      </c>
      <c r="D1925" t="s">
        <v>35</v>
      </c>
      <c r="E1925" t="s">
        <v>80</v>
      </c>
      <c r="F1925" t="s">
        <v>45</v>
      </c>
      <c r="G1925" t="s">
        <v>43</v>
      </c>
      <c r="H1925" t="s">
        <v>26</v>
      </c>
      <c r="I1925">
        <v>0</v>
      </c>
      <c r="J1925">
        <v>0</v>
      </c>
      <c r="K1925">
        <v>0</v>
      </c>
      <c r="L1925">
        <v>0</v>
      </c>
      <c r="M1925" t="s">
        <v>76</v>
      </c>
      <c r="N1925" t="s">
        <v>76</v>
      </c>
      <c r="O1925" t="s">
        <v>77</v>
      </c>
      <c r="P1925" t="s">
        <v>76</v>
      </c>
      <c r="S1925" t="s">
        <v>4996</v>
      </c>
    </row>
    <row r="1926" spans="1:19" x14ac:dyDescent="0.3">
      <c r="A1926" t="s">
        <v>4997</v>
      </c>
      <c r="B1926" t="s">
        <v>4998</v>
      </c>
      <c r="C1926" t="s">
        <v>43</v>
      </c>
      <c r="F1926" t="s">
        <v>45</v>
      </c>
      <c r="G1926" t="s">
        <v>43</v>
      </c>
      <c r="H1926" t="s">
        <v>26</v>
      </c>
      <c r="I1926">
        <v>0</v>
      </c>
      <c r="J1926">
        <v>0</v>
      </c>
      <c r="K1926">
        <v>0</v>
      </c>
      <c r="L1926">
        <v>0</v>
      </c>
      <c r="M1926" t="s">
        <v>76</v>
      </c>
      <c r="N1926" t="s">
        <v>76</v>
      </c>
      <c r="O1926" t="s">
        <v>77</v>
      </c>
      <c r="P1926" t="s">
        <v>76</v>
      </c>
      <c r="S1926" t="s">
        <v>4998</v>
      </c>
    </row>
    <row r="1927" spans="1:19" x14ac:dyDescent="0.3">
      <c r="A1927" t="s">
        <v>4999</v>
      </c>
      <c r="B1927" t="s">
        <v>5000</v>
      </c>
      <c r="C1927" t="s">
        <v>43</v>
      </c>
      <c r="D1927" t="s">
        <v>63</v>
      </c>
      <c r="E1927" t="s">
        <v>74</v>
      </c>
      <c r="F1927" t="s">
        <v>45</v>
      </c>
      <c r="G1927" t="s">
        <v>43</v>
      </c>
      <c r="H1927" t="s">
        <v>26</v>
      </c>
      <c r="I1927">
        <v>0</v>
      </c>
      <c r="J1927">
        <v>0</v>
      </c>
      <c r="K1927">
        <v>0</v>
      </c>
      <c r="L1927">
        <v>0</v>
      </c>
      <c r="M1927" t="s">
        <v>76</v>
      </c>
      <c r="N1927" t="s">
        <v>76</v>
      </c>
      <c r="O1927" t="s">
        <v>77</v>
      </c>
      <c r="P1927" t="s">
        <v>76</v>
      </c>
      <c r="S1927" t="s">
        <v>5000</v>
      </c>
    </row>
    <row r="1928" spans="1:19" x14ac:dyDescent="0.3">
      <c r="A1928" t="s">
        <v>5001</v>
      </c>
      <c r="B1928" t="s">
        <v>5002</v>
      </c>
      <c r="C1928" t="s">
        <v>114</v>
      </c>
      <c r="D1928" t="s">
        <v>63</v>
      </c>
      <c r="E1928" t="s">
        <v>74</v>
      </c>
      <c r="F1928" t="s">
        <v>114</v>
      </c>
      <c r="G1928" t="s">
        <v>115</v>
      </c>
      <c r="H1928" t="s">
        <v>75</v>
      </c>
      <c r="I1928">
        <v>0</v>
      </c>
      <c r="J1928">
        <v>0</v>
      </c>
      <c r="K1928">
        <v>0</v>
      </c>
      <c r="L1928">
        <v>0</v>
      </c>
      <c r="M1928" t="s">
        <v>76</v>
      </c>
      <c r="N1928" t="s">
        <v>76</v>
      </c>
      <c r="O1928" t="s">
        <v>77</v>
      </c>
      <c r="P1928" t="s">
        <v>76</v>
      </c>
      <c r="S1928" t="s">
        <v>5002</v>
      </c>
    </row>
    <row r="1929" spans="1:19" x14ac:dyDescent="0.3">
      <c r="A1929" t="s">
        <v>5003</v>
      </c>
      <c r="B1929" t="s">
        <v>5004</v>
      </c>
      <c r="C1929" t="s">
        <v>43</v>
      </c>
      <c r="D1929" t="s">
        <v>35</v>
      </c>
      <c r="E1929" t="s">
        <v>36</v>
      </c>
      <c r="F1929" t="s">
        <v>45</v>
      </c>
      <c r="G1929" t="s">
        <v>43</v>
      </c>
      <c r="H1929" t="s">
        <v>26</v>
      </c>
      <c r="I1929">
        <v>0</v>
      </c>
      <c r="J1929">
        <v>0</v>
      </c>
      <c r="K1929">
        <v>0</v>
      </c>
      <c r="L1929">
        <v>0</v>
      </c>
      <c r="M1929" t="s">
        <v>76</v>
      </c>
      <c r="N1929" t="s">
        <v>76</v>
      </c>
      <c r="O1929" t="s">
        <v>77</v>
      </c>
      <c r="P1929" t="s">
        <v>76</v>
      </c>
      <c r="S1929" t="s">
        <v>5004</v>
      </c>
    </row>
    <row r="1930" spans="1:19" x14ac:dyDescent="0.3">
      <c r="A1930" t="s">
        <v>5005</v>
      </c>
      <c r="B1930" t="s">
        <v>5006</v>
      </c>
      <c r="C1930" t="s">
        <v>43</v>
      </c>
      <c r="F1930" t="s">
        <v>45</v>
      </c>
      <c r="G1930" t="s">
        <v>43</v>
      </c>
      <c r="H1930" t="s">
        <v>26</v>
      </c>
      <c r="I1930">
        <v>0</v>
      </c>
      <c r="J1930">
        <v>0</v>
      </c>
      <c r="K1930">
        <v>0</v>
      </c>
      <c r="L1930">
        <v>0</v>
      </c>
      <c r="M1930" t="s">
        <v>76</v>
      </c>
      <c r="N1930" t="s">
        <v>76</v>
      </c>
      <c r="O1930" t="s">
        <v>77</v>
      </c>
      <c r="P1930" t="s">
        <v>76</v>
      </c>
      <c r="S1930" t="s">
        <v>5006</v>
      </c>
    </row>
    <row r="1931" spans="1:19" x14ac:dyDescent="0.3">
      <c r="A1931" t="s">
        <v>5007</v>
      </c>
      <c r="B1931" t="s">
        <v>5008</v>
      </c>
      <c r="C1931" t="s">
        <v>43</v>
      </c>
      <c r="D1931" t="s">
        <v>63</v>
      </c>
      <c r="E1931" t="s">
        <v>74</v>
      </c>
      <c r="F1931" t="s">
        <v>45</v>
      </c>
      <c r="G1931" t="s">
        <v>43</v>
      </c>
      <c r="H1931" t="s">
        <v>26</v>
      </c>
      <c r="I1931">
        <v>0</v>
      </c>
      <c r="J1931">
        <v>0</v>
      </c>
      <c r="K1931">
        <v>0</v>
      </c>
      <c r="L1931">
        <v>0</v>
      </c>
      <c r="M1931" t="s">
        <v>76</v>
      </c>
      <c r="N1931" t="s">
        <v>76</v>
      </c>
      <c r="O1931" t="s">
        <v>77</v>
      </c>
      <c r="P1931" t="s">
        <v>76</v>
      </c>
      <c r="S1931" t="s">
        <v>5008</v>
      </c>
    </row>
    <row r="1932" spans="1:19" x14ac:dyDescent="0.3">
      <c r="A1932" t="s">
        <v>5009</v>
      </c>
      <c r="B1932" t="s">
        <v>5010</v>
      </c>
      <c r="C1932" t="s">
        <v>43</v>
      </c>
      <c r="D1932" t="s">
        <v>63</v>
      </c>
      <c r="E1932" t="s">
        <v>74</v>
      </c>
      <c r="F1932" t="s">
        <v>45</v>
      </c>
      <c r="G1932" t="s">
        <v>43</v>
      </c>
      <c r="H1932" t="s">
        <v>26</v>
      </c>
      <c r="I1932">
        <v>0</v>
      </c>
      <c r="J1932">
        <v>0</v>
      </c>
      <c r="K1932">
        <v>0</v>
      </c>
      <c r="L1932">
        <v>0</v>
      </c>
      <c r="M1932" t="s">
        <v>76</v>
      </c>
      <c r="N1932" t="s">
        <v>76</v>
      </c>
      <c r="O1932" t="s">
        <v>77</v>
      </c>
      <c r="P1932" t="s">
        <v>76</v>
      </c>
      <c r="S1932" t="s">
        <v>5010</v>
      </c>
    </row>
    <row r="1933" spans="1:19" x14ac:dyDescent="0.3">
      <c r="A1933" t="s">
        <v>5011</v>
      </c>
      <c r="B1933" t="s">
        <v>5012</v>
      </c>
      <c r="C1933" t="s">
        <v>43</v>
      </c>
      <c r="D1933" t="s">
        <v>63</v>
      </c>
      <c r="E1933" t="s">
        <v>74</v>
      </c>
      <c r="F1933" t="s">
        <v>45</v>
      </c>
      <c r="G1933" t="s">
        <v>43</v>
      </c>
      <c r="H1933" t="s">
        <v>26</v>
      </c>
      <c r="I1933">
        <v>0</v>
      </c>
      <c r="J1933">
        <v>0</v>
      </c>
      <c r="K1933">
        <v>0</v>
      </c>
      <c r="L1933">
        <v>0</v>
      </c>
      <c r="M1933" t="s">
        <v>76</v>
      </c>
      <c r="N1933" t="s">
        <v>76</v>
      </c>
      <c r="O1933" t="s">
        <v>77</v>
      </c>
      <c r="P1933" t="s">
        <v>76</v>
      </c>
      <c r="S1933" t="s">
        <v>5012</v>
      </c>
    </row>
    <row r="1934" spans="1:19" x14ac:dyDescent="0.3">
      <c r="A1934" t="s">
        <v>5013</v>
      </c>
      <c r="B1934" t="s">
        <v>5014</v>
      </c>
      <c r="C1934" t="s">
        <v>43</v>
      </c>
      <c r="D1934" t="s">
        <v>63</v>
      </c>
      <c r="E1934" t="s">
        <v>74</v>
      </c>
      <c r="F1934" t="s">
        <v>45</v>
      </c>
      <c r="G1934" t="s">
        <v>43</v>
      </c>
      <c r="H1934" t="s">
        <v>26</v>
      </c>
      <c r="I1934">
        <v>0</v>
      </c>
      <c r="J1934">
        <v>0</v>
      </c>
      <c r="K1934">
        <v>0</v>
      </c>
      <c r="L1934">
        <v>0</v>
      </c>
      <c r="M1934" t="s">
        <v>76</v>
      </c>
      <c r="N1934" t="s">
        <v>76</v>
      </c>
      <c r="O1934" t="s">
        <v>77</v>
      </c>
      <c r="P1934" t="s">
        <v>76</v>
      </c>
      <c r="S1934" t="s">
        <v>5014</v>
      </c>
    </row>
    <row r="1935" spans="1:19" x14ac:dyDescent="0.3">
      <c r="A1935" t="s">
        <v>5015</v>
      </c>
      <c r="B1935" t="s">
        <v>5016</v>
      </c>
      <c r="C1935" t="s">
        <v>43</v>
      </c>
      <c r="D1935" t="s">
        <v>63</v>
      </c>
      <c r="E1935" t="s">
        <v>74</v>
      </c>
      <c r="F1935" t="s">
        <v>45</v>
      </c>
      <c r="G1935" t="s">
        <v>43</v>
      </c>
      <c r="H1935" t="s">
        <v>26</v>
      </c>
      <c r="I1935">
        <v>0</v>
      </c>
      <c r="J1935">
        <v>0</v>
      </c>
      <c r="K1935">
        <v>0</v>
      </c>
      <c r="L1935">
        <v>0</v>
      </c>
      <c r="M1935" t="s">
        <v>76</v>
      </c>
      <c r="N1935" t="s">
        <v>76</v>
      </c>
      <c r="O1935" t="s">
        <v>77</v>
      </c>
      <c r="P1935" t="s">
        <v>76</v>
      </c>
      <c r="S1935" t="s">
        <v>5016</v>
      </c>
    </row>
    <row r="1936" spans="1:19" x14ac:dyDescent="0.3">
      <c r="A1936" t="s">
        <v>5017</v>
      </c>
      <c r="B1936" t="s">
        <v>5018</v>
      </c>
      <c r="C1936" t="s">
        <v>24</v>
      </c>
      <c r="F1936" t="s">
        <v>144</v>
      </c>
      <c r="G1936" t="s">
        <v>1848</v>
      </c>
      <c r="H1936" t="s">
        <v>213</v>
      </c>
      <c r="I1936">
        <v>0</v>
      </c>
      <c r="J1936">
        <v>0</v>
      </c>
      <c r="K1936">
        <v>0</v>
      </c>
      <c r="L1936">
        <v>0</v>
      </c>
      <c r="M1936" t="s">
        <v>76</v>
      </c>
      <c r="N1936" t="s">
        <v>76</v>
      </c>
      <c r="O1936" t="s">
        <v>77</v>
      </c>
      <c r="P1936" t="s">
        <v>76</v>
      </c>
      <c r="S1936" t="s">
        <v>5018</v>
      </c>
    </row>
    <row r="1937" spans="1:19" x14ac:dyDescent="0.3">
      <c r="A1937" t="s">
        <v>5019</v>
      </c>
      <c r="B1937" t="s">
        <v>5020</v>
      </c>
      <c r="C1937" t="s">
        <v>24</v>
      </c>
      <c r="D1937" t="s">
        <v>53</v>
      </c>
      <c r="E1937" t="s">
        <v>560</v>
      </c>
      <c r="F1937" t="s">
        <v>144</v>
      </c>
      <c r="G1937" t="s">
        <v>5021</v>
      </c>
      <c r="H1937" t="s">
        <v>213</v>
      </c>
      <c r="I1937">
        <v>0</v>
      </c>
      <c r="J1937">
        <v>0</v>
      </c>
      <c r="K1937">
        <v>0</v>
      </c>
      <c r="L1937">
        <v>0</v>
      </c>
      <c r="M1937" t="s">
        <v>76</v>
      </c>
      <c r="N1937" t="s">
        <v>76</v>
      </c>
      <c r="O1937" t="s">
        <v>77</v>
      </c>
      <c r="P1937" t="s">
        <v>76</v>
      </c>
      <c r="S1937" t="s">
        <v>5020</v>
      </c>
    </row>
    <row r="1938" spans="1:19" x14ac:dyDescent="0.3">
      <c r="A1938" t="s">
        <v>5022</v>
      </c>
      <c r="B1938" t="s">
        <v>5023</v>
      </c>
      <c r="C1938" t="s">
        <v>43</v>
      </c>
      <c r="F1938" t="s">
        <v>45</v>
      </c>
      <c r="G1938" t="s">
        <v>43</v>
      </c>
      <c r="H1938" t="s">
        <v>26</v>
      </c>
      <c r="I1938">
        <v>0</v>
      </c>
      <c r="J1938">
        <v>0</v>
      </c>
      <c r="K1938">
        <v>0</v>
      </c>
      <c r="L1938">
        <v>0</v>
      </c>
      <c r="M1938" t="s">
        <v>76</v>
      </c>
      <c r="N1938" t="s">
        <v>76</v>
      </c>
      <c r="O1938" t="s">
        <v>77</v>
      </c>
      <c r="P1938" t="s">
        <v>76</v>
      </c>
      <c r="S1938" t="s">
        <v>5023</v>
      </c>
    </row>
    <row r="1939" spans="1:19" x14ac:dyDescent="0.3">
      <c r="A1939" t="s">
        <v>5024</v>
      </c>
      <c r="B1939" t="s">
        <v>5025</v>
      </c>
      <c r="C1939" t="s">
        <v>24</v>
      </c>
      <c r="D1939" t="s">
        <v>63</v>
      </c>
      <c r="E1939" t="s">
        <v>323</v>
      </c>
      <c r="F1939" t="s">
        <v>144</v>
      </c>
      <c r="G1939" t="s">
        <v>5026</v>
      </c>
      <c r="H1939" t="s">
        <v>213</v>
      </c>
      <c r="I1939">
        <v>0</v>
      </c>
      <c r="J1939">
        <v>0</v>
      </c>
      <c r="K1939">
        <v>0</v>
      </c>
      <c r="L1939">
        <v>0</v>
      </c>
      <c r="M1939" t="s">
        <v>63</v>
      </c>
      <c r="N1939" t="s">
        <v>28</v>
      </c>
      <c r="O1939" t="s">
        <v>86</v>
      </c>
      <c r="P1939" t="s">
        <v>30</v>
      </c>
      <c r="Q1939" t="s">
        <v>5027</v>
      </c>
      <c r="R1939" t="s">
        <v>734</v>
      </c>
      <c r="S1939" t="s">
        <v>5025</v>
      </c>
    </row>
    <row r="1940" spans="1:19" x14ac:dyDescent="0.3">
      <c r="A1940" t="s">
        <v>5028</v>
      </c>
      <c r="B1940" t="s">
        <v>5029</v>
      </c>
      <c r="C1940" t="s">
        <v>196</v>
      </c>
      <c r="D1940" t="s">
        <v>63</v>
      </c>
      <c r="E1940" t="s">
        <v>74</v>
      </c>
      <c r="F1940" t="s">
        <v>228</v>
      </c>
      <c r="G1940" t="s">
        <v>196</v>
      </c>
      <c r="H1940" t="s">
        <v>75</v>
      </c>
      <c r="I1940">
        <v>0</v>
      </c>
      <c r="J1940">
        <v>0</v>
      </c>
      <c r="K1940">
        <v>0</v>
      </c>
      <c r="L1940">
        <v>0</v>
      </c>
      <c r="M1940" t="s">
        <v>76</v>
      </c>
      <c r="N1940" t="s">
        <v>76</v>
      </c>
      <c r="O1940" t="s">
        <v>77</v>
      </c>
      <c r="P1940" t="s">
        <v>76</v>
      </c>
      <c r="S1940" t="s">
        <v>5029</v>
      </c>
    </row>
    <row r="1941" spans="1:19" x14ac:dyDescent="0.3">
      <c r="A1941" t="s">
        <v>5030</v>
      </c>
      <c r="B1941" t="s">
        <v>5031</v>
      </c>
      <c r="C1941" t="s">
        <v>1053</v>
      </c>
      <c r="D1941" t="s">
        <v>63</v>
      </c>
      <c r="E1941" t="s">
        <v>74</v>
      </c>
      <c r="F1941" t="s">
        <v>314</v>
      </c>
      <c r="G1941" t="s">
        <v>1053</v>
      </c>
      <c r="H1941" t="s">
        <v>75</v>
      </c>
      <c r="I1941">
        <v>0</v>
      </c>
      <c r="J1941">
        <v>0</v>
      </c>
      <c r="K1941">
        <v>0</v>
      </c>
      <c r="L1941">
        <v>0</v>
      </c>
      <c r="M1941" t="s">
        <v>76</v>
      </c>
      <c r="N1941" t="s">
        <v>76</v>
      </c>
      <c r="O1941" t="s">
        <v>77</v>
      </c>
      <c r="P1941" t="s">
        <v>76</v>
      </c>
      <c r="S1941" t="s">
        <v>5031</v>
      </c>
    </row>
    <row r="1942" spans="1:19" x14ac:dyDescent="0.3">
      <c r="A1942" t="s">
        <v>5032</v>
      </c>
      <c r="B1942" t="s">
        <v>5033</v>
      </c>
      <c r="C1942" t="s">
        <v>45</v>
      </c>
      <c r="D1942" t="s">
        <v>63</v>
      </c>
      <c r="E1942" t="s">
        <v>323</v>
      </c>
      <c r="F1942" t="s">
        <v>45</v>
      </c>
      <c r="G1942" t="s">
        <v>5034</v>
      </c>
      <c r="H1942" t="s">
        <v>26</v>
      </c>
      <c r="I1942">
        <v>0</v>
      </c>
      <c r="J1942">
        <v>0</v>
      </c>
      <c r="K1942">
        <v>0</v>
      </c>
      <c r="L1942">
        <v>0</v>
      </c>
      <c r="M1942" t="s">
        <v>76</v>
      </c>
      <c r="N1942" t="s">
        <v>76</v>
      </c>
      <c r="O1942" t="s">
        <v>77</v>
      </c>
      <c r="P1942" t="s">
        <v>76</v>
      </c>
      <c r="S1942" t="s">
        <v>5033</v>
      </c>
    </row>
    <row r="1943" spans="1:19" x14ac:dyDescent="0.3">
      <c r="A1943" t="s">
        <v>5035</v>
      </c>
      <c r="B1943" t="s">
        <v>5036</v>
      </c>
      <c r="C1943" t="s">
        <v>21</v>
      </c>
      <c r="D1943" t="s">
        <v>63</v>
      </c>
      <c r="E1943" t="s">
        <v>64</v>
      </c>
      <c r="F1943" t="s">
        <v>24</v>
      </c>
      <c r="G1943" t="s">
        <v>21</v>
      </c>
      <c r="H1943" t="s">
        <v>26</v>
      </c>
      <c r="I1943">
        <v>0</v>
      </c>
      <c r="J1943">
        <v>0</v>
      </c>
      <c r="K1943">
        <v>0</v>
      </c>
      <c r="L1943">
        <v>0</v>
      </c>
      <c r="M1943" t="s">
        <v>121</v>
      </c>
      <c r="N1943" t="s">
        <v>122</v>
      </c>
      <c r="O1943" t="s">
        <v>123</v>
      </c>
      <c r="P1943" t="s">
        <v>124</v>
      </c>
      <c r="Q1943" t="s">
        <v>2114</v>
      </c>
      <c r="R1943" t="s">
        <v>2115</v>
      </c>
      <c r="S1943" t="s">
        <v>5036</v>
      </c>
    </row>
    <row r="1944" spans="1:19" x14ac:dyDescent="0.3">
      <c r="A1944" t="s">
        <v>5037</v>
      </c>
      <c r="B1944" t="s">
        <v>5038</v>
      </c>
      <c r="C1944" t="s">
        <v>21</v>
      </c>
      <c r="D1944" t="s">
        <v>63</v>
      </c>
      <c r="E1944" t="s">
        <v>74</v>
      </c>
      <c r="F1944" t="s">
        <v>24</v>
      </c>
      <c r="G1944" t="s">
        <v>21</v>
      </c>
      <c r="H1944" t="s">
        <v>26</v>
      </c>
      <c r="I1944">
        <v>0</v>
      </c>
      <c r="J1944">
        <v>0</v>
      </c>
      <c r="K1944">
        <v>0</v>
      </c>
      <c r="L1944">
        <v>0</v>
      </c>
      <c r="M1944" t="s">
        <v>76</v>
      </c>
      <c r="N1944" t="s">
        <v>76</v>
      </c>
      <c r="O1944" t="s">
        <v>77</v>
      </c>
      <c r="P1944" t="s">
        <v>76</v>
      </c>
      <c r="S1944" t="s">
        <v>5038</v>
      </c>
    </row>
    <row r="1945" spans="1:19" x14ac:dyDescent="0.3">
      <c r="A1945" t="s">
        <v>5039</v>
      </c>
      <c r="B1945" t="s">
        <v>5040</v>
      </c>
      <c r="C1945" t="s">
        <v>21</v>
      </c>
      <c r="D1945" t="s">
        <v>63</v>
      </c>
      <c r="E1945" t="s">
        <v>74</v>
      </c>
      <c r="F1945" t="s">
        <v>24</v>
      </c>
      <c r="G1945" t="s">
        <v>21</v>
      </c>
      <c r="H1945" t="s">
        <v>26</v>
      </c>
      <c r="I1945">
        <v>0</v>
      </c>
      <c r="J1945">
        <v>0</v>
      </c>
      <c r="K1945">
        <v>0</v>
      </c>
      <c r="L1945">
        <v>0</v>
      </c>
      <c r="M1945" t="s">
        <v>76</v>
      </c>
      <c r="N1945" t="s">
        <v>76</v>
      </c>
      <c r="O1945" t="s">
        <v>77</v>
      </c>
      <c r="P1945" t="s">
        <v>76</v>
      </c>
      <c r="S1945" t="s">
        <v>5040</v>
      </c>
    </row>
    <row r="1946" spans="1:19" x14ac:dyDescent="0.3">
      <c r="A1946" t="s">
        <v>5041</v>
      </c>
      <c r="B1946" t="s">
        <v>5042</v>
      </c>
      <c r="C1946" t="s">
        <v>21</v>
      </c>
      <c r="D1946" t="s">
        <v>63</v>
      </c>
      <c r="E1946" t="s">
        <v>74</v>
      </c>
      <c r="F1946" t="s">
        <v>24</v>
      </c>
      <c r="G1946" t="s">
        <v>21</v>
      </c>
      <c r="H1946" t="s">
        <v>26</v>
      </c>
      <c r="I1946">
        <v>0</v>
      </c>
      <c r="J1946">
        <v>0</v>
      </c>
      <c r="K1946">
        <v>0</v>
      </c>
      <c r="L1946">
        <v>0</v>
      </c>
      <c r="M1946" t="s">
        <v>76</v>
      </c>
      <c r="N1946" t="s">
        <v>76</v>
      </c>
      <c r="O1946" t="s">
        <v>77</v>
      </c>
      <c r="P1946" t="s">
        <v>76</v>
      </c>
      <c r="S1946" t="s">
        <v>5042</v>
      </c>
    </row>
    <row r="1947" spans="1:19" x14ac:dyDescent="0.3">
      <c r="A1947" t="s">
        <v>5043</v>
      </c>
      <c r="B1947" t="s">
        <v>5044</v>
      </c>
      <c r="C1947" t="s">
        <v>21</v>
      </c>
      <c r="D1947" t="s">
        <v>63</v>
      </c>
      <c r="E1947" t="s">
        <v>74</v>
      </c>
      <c r="F1947" t="s">
        <v>24</v>
      </c>
      <c r="G1947" t="s">
        <v>21</v>
      </c>
      <c r="H1947" t="s">
        <v>26</v>
      </c>
      <c r="I1947">
        <v>0</v>
      </c>
      <c r="J1947">
        <v>0</v>
      </c>
      <c r="K1947">
        <v>0</v>
      </c>
      <c r="L1947">
        <v>0</v>
      </c>
      <c r="M1947" t="s">
        <v>76</v>
      </c>
      <c r="N1947" t="s">
        <v>76</v>
      </c>
      <c r="O1947" t="s">
        <v>77</v>
      </c>
      <c r="P1947" t="s">
        <v>76</v>
      </c>
      <c r="S1947" t="s">
        <v>5044</v>
      </c>
    </row>
    <row r="1948" spans="1:19" x14ac:dyDescent="0.3">
      <c r="A1948" t="s">
        <v>5045</v>
      </c>
      <c r="B1948" t="s">
        <v>5046</v>
      </c>
      <c r="C1948" t="s">
        <v>21</v>
      </c>
      <c r="D1948" t="s">
        <v>63</v>
      </c>
      <c r="E1948" t="s">
        <v>74</v>
      </c>
      <c r="F1948" t="s">
        <v>24</v>
      </c>
      <c r="G1948" t="s">
        <v>21</v>
      </c>
      <c r="H1948" t="s">
        <v>26</v>
      </c>
      <c r="I1948">
        <v>0</v>
      </c>
      <c r="J1948">
        <v>0</v>
      </c>
      <c r="K1948">
        <v>0</v>
      </c>
      <c r="L1948">
        <v>0</v>
      </c>
      <c r="M1948" t="s">
        <v>76</v>
      </c>
      <c r="N1948" t="s">
        <v>76</v>
      </c>
      <c r="O1948" t="s">
        <v>77</v>
      </c>
      <c r="P1948" t="s">
        <v>76</v>
      </c>
      <c r="S1948" t="s">
        <v>5046</v>
      </c>
    </row>
    <row r="1949" spans="1:19" x14ac:dyDescent="0.3">
      <c r="A1949" t="s">
        <v>5047</v>
      </c>
      <c r="B1949" t="s">
        <v>5048</v>
      </c>
      <c r="C1949" t="s">
        <v>21</v>
      </c>
      <c r="D1949" t="s">
        <v>63</v>
      </c>
      <c r="E1949" t="s">
        <v>74</v>
      </c>
      <c r="F1949" t="s">
        <v>109</v>
      </c>
      <c r="G1949" t="s">
        <v>21</v>
      </c>
      <c r="H1949" t="s">
        <v>26</v>
      </c>
      <c r="I1949">
        <v>0</v>
      </c>
      <c r="J1949">
        <v>0</v>
      </c>
      <c r="K1949">
        <v>0</v>
      </c>
      <c r="L1949">
        <v>0</v>
      </c>
      <c r="M1949" t="s">
        <v>76</v>
      </c>
      <c r="N1949" t="s">
        <v>76</v>
      </c>
      <c r="O1949" t="s">
        <v>77</v>
      </c>
      <c r="P1949" t="s">
        <v>76</v>
      </c>
      <c r="S1949" t="s">
        <v>5048</v>
      </c>
    </row>
    <row r="1950" spans="1:19" x14ac:dyDescent="0.3">
      <c r="A1950" t="s">
        <v>5049</v>
      </c>
      <c r="B1950" t="s">
        <v>5050</v>
      </c>
      <c r="C1950" t="s">
        <v>21</v>
      </c>
      <c r="D1950" t="s">
        <v>63</v>
      </c>
      <c r="E1950" t="s">
        <v>74</v>
      </c>
      <c r="F1950" t="s">
        <v>24</v>
      </c>
      <c r="G1950" t="s">
        <v>21</v>
      </c>
      <c r="H1950" t="s">
        <v>26</v>
      </c>
      <c r="I1950">
        <v>0</v>
      </c>
      <c r="J1950">
        <v>0</v>
      </c>
      <c r="K1950">
        <v>0</v>
      </c>
      <c r="L1950">
        <v>0</v>
      </c>
      <c r="M1950" t="s">
        <v>76</v>
      </c>
      <c r="N1950" t="s">
        <v>76</v>
      </c>
      <c r="O1950" t="s">
        <v>77</v>
      </c>
      <c r="P1950" t="s">
        <v>76</v>
      </c>
      <c r="S1950" t="s">
        <v>5050</v>
      </c>
    </row>
    <row r="1951" spans="1:19" x14ac:dyDescent="0.3">
      <c r="A1951" t="s">
        <v>5051</v>
      </c>
      <c r="B1951" t="s">
        <v>5052</v>
      </c>
      <c r="C1951" t="s">
        <v>21</v>
      </c>
      <c r="D1951" t="s">
        <v>63</v>
      </c>
      <c r="E1951" t="s">
        <v>74</v>
      </c>
      <c r="F1951" t="s">
        <v>24</v>
      </c>
      <c r="G1951" t="s">
        <v>21</v>
      </c>
      <c r="H1951" t="s">
        <v>26</v>
      </c>
      <c r="I1951">
        <v>0</v>
      </c>
      <c r="J1951">
        <v>0</v>
      </c>
      <c r="K1951">
        <v>0</v>
      </c>
      <c r="L1951">
        <v>0</v>
      </c>
      <c r="M1951" t="s">
        <v>76</v>
      </c>
      <c r="N1951" t="s">
        <v>76</v>
      </c>
      <c r="O1951" t="s">
        <v>77</v>
      </c>
      <c r="P1951" t="s">
        <v>76</v>
      </c>
      <c r="S1951" t="s">
        <v>5052</v>
      </c>
    </row>
    <row r="1952" spans="1:19" x14ac:dyDescent="0.3">
      <c r="A1952" t="s">
        <v>5053</v>
      </c>
      <c r="B1952" t="s">
        <v>5054</v>
      </c>
      <c r="C1952" t="s">
        <v>21</v>
      </c>
      <c r="D1952" t="s">
        <v>63</v>
      </c>
      <c r="E1952" t="s">
        <v>74</v>
      </c>
      <c r="F1952" t="s">
        <v>24</v>
      </c>
      <c r="G1952" t="s">
        <v>21</v>
      </c>
      <c r="H1952" t="s">
        <v>26</v>
      </c>
      <c r="I1952">
        <v>0</v>
      </c>
      <c r="J1952">
        <v>0</v>
      </c>
      <c r="K1952">
        <v>0</v>
      </c>
      <c r="L1952">
        <v>0</v>
      </c>
      <c r="M1952" t="s">
        <v>76</v>
      </c>
      <c r="N1952" t="s">
        <v>76</v>
      </c>
      <c r="O1952" t="s">
        <v>77</v>
      </c>
      <c r="P1952" t="s">
        <v>76</v>
      </c>
      <c r="S1952" t="s">
        <v>5054</v>
      </c>
    </row>
    <row r="1953" spans="1:19" x14ac:dyDescent="0.3">
      <c r="A1953" t="s">
        <v>5055</v>
      </c>
      <c r="B1953" t="s">
        <v>5056</v>
      </c>
      <c r="C1953" t="s">
        <v>21</v>
      </c>
      <c r="D1953" t="s">
        <v>63</v>
      </c>
      <c r="E1953" t="s">
        <v>555</v>
      </c>
      <c r="F1953" t="s">
        <v>24</v>
      </c>
      <c r="G1953" t="s">
        <v>21</v>
      </c>
      <c r="H1953" t="s">
        <v>26</v>
      </c>
      <c r="I1953">
        <v>0</v>
      </c>
      <c r="J1953">
        <v>0</v>
      </c>
      <c r="K1953">
        <v>0</v>
      </c>
      <c r="L1953">
        <v>0</v>
      </c>
      <c r="M1953" t="s">
        <v>76</v>
      </c>
      <c r="N1953" t="s">
        <v>76</v>
      </c>
      <c r="O1953" t="s">
        <v>77</v>
      </c>
      <c r="P1953" t="s">
        <v>76</v>
      </c>
      <c r="S1953" t="s">
        <v>5056</v>
      </c>
    </row>
    <row r="1954" spans="1:19" x14ac:dyDescent="0.3">
      <c r="A1954" t="s">
        <v>5057</v>
      </c>
      <c r="B1954" t="s">
        <v>5058</v>
      </c>
      <c r="C1954" t="s">
        <v>1053</v>
      </c>
      <c r="D1954" t="s">
        <v>35</v>
      </c>
      <c r="E1954" t="s">
        <v>178</v>
      </c>
      <c r="F1954" t="s">
        <v>314</v>
      </c>
      <c r="G1954" t="s">
        <v>1053</v>
      </c>
      <c r="H1954" t="s">
        <v>75</v>
      </c>
      <c r="I1954">
        <v>0</v>
      </c>
      <c r="J1954">
        <v>0</v>
      </c>
      <c r="K1954">
        <v>0</v>
      </c>
      <c r="L1954">
        <v>0</v>
      </c>
      <c r="M1954" t="s">
        <v>76</v>
      </c>
      <c r="N1954" t="s">
        <v>76</v>
      </c>
      <c r="O1954" t="s">
        <v>77</v>
      </c>
      <c r="P1954" t="s">
        <v>76</v>
      </c>
      <c r="S1954" t="s">
        <v>5058</v>
      </c>
    </row>
    <row r="1955" spans="1:19" x14ac:dyDescent="0.3">
      <c r="A1955" t="s">
        <v>5059</v>
      </c>
      <c r="B1955" t="s">
        <v>5060</v>
      </c>
      <c r="C1955" t="s">
        <v>21</v>
      </c>
      <c r="F1955" t="s">
        <v>24</v>
      </c>
      <c r="G1955" t="s">
        <v>21</v>
      </c>
      <c r="H1955" t="s">
        <v>26</v>
      </c>
      <c r="I1955">
        <v>0</v>
      </c>
      <c r="J1955">
        <v>0</v>
      </c>
      <c r="K1955">
        <v>0</v>
      </c>
      <c r="L1955">
        <v>0</v>
      </c>
      <c r="M1955" t="s">
        <v>76</v>
      </c>
      <c r="N1955" t="s">
        <v>76</v>
      </c>
      <c r="O1955" t="s">
        <v>77</v>
      </c>
      <c r="P1955" t="s">
        <v>76</v>
      </c>
      <c r="S1955" t="s">
        <v>5060</v>
      </c>
    </row>
    <row r="1956" spans="1:19" x14ac:dyDescent="0.3">
      <c r="A1956" t="s">
        <v>5061</v>
      </c>
      <c r="B1956" t="s">
        <v>5062</v>
      </c>
      <c r="C1956" t="s">
        <v>21</v>
      </c>
      <c r="D1956" t="s">
        <v>63</v>
      </c>
      <c r="F1956" t="s">
        <v>24</v>
      </c>
      <c r="G1956" t="s">
        <v>21</v>
      </c>
      <c r="H1956" t="s">
        <v>26</v>
      </c>
      <c r="I1956">
        <v>0</v>
      </c>
      <c r="J1956">
        <v>0</v>
      </c>
      <c r="K1956">
        <v>0</v>
      </c>
      <c r="L1956">
        <v>0</v>
      </c>
      <c r="M1956" t="s">
        <v>76</v>
      </c>
      <c r="N1956" t="s">
        <v>76</v>
      </c>
      <c r="O1956" t="s">
        <v>77</v>
      </c>
      <c r="P1956" t="s">
        <v>76</v>
      </c>
      <c r="S1956" t="s">
        <v>5062</v>
      </c>
    </row>
    <row r="1957" spans="1:19" x14ac:dyDescent="0.3">
      <c r="A1957" t="s">
        <v>5063</v>
      </c>
      <c r="B1957" t="s">
        <v>5064</v>
      </c>
      <c r="C1957" t="s">
        <v>21</v>
      </c>
      <c r="D1957" t="s">
        <v>63</v>
      </c>
      <c r="E1957" t="s">
        <v>74</v>
      </c>
      <c r="F1957" t="s">
        <v>24</v>
      </c>
      <c r="G1957" t="s">
        <v>21</v>
      </c>
      <c r="H1957" t="s">
        <v>26</v>
      </c>
      <c r="I1957">
        <v>0</v>
      </c>
      <c r="J1957">
        <v>0</v>
      </c>
      <c r="K1957">
        <v>0</v>
      </c>
      <c r="L1957">
        <v>0</v>
      </c>
      <c r="M1957" t="s">
        <v>76</v>
      </c>
      <c r="N1957" t="s">
        <v>76</v>
      </c>
      <c r="O1957" t="s">
        <v>77</v>
      </c>
      <c r="P1957" t="s">
        <v>76</v>
      </c>
      <c r="S1957" t="s">
        <v>5064</v>
      </c>
    </row>
    <row r="1958" spans="1:19" x14ac:dyDescent="0.3">
      <c r="A1958" t="s">
        <v>5065</v>
      </c>
      <c r="B1958" t="s">
        <v>5066</v>
      </c>
      <c r="C1958" t="s">
        <v>21</v>
      </c>
      <c r="D1958" t="s">
        <v>63</v>
      </c>
      <c r="E1958" t="s">
        <v>74</v>
      </c>
      <c r="F1958" t="s">
        <v>24</v>
      </c>
      <c r="G1958" t="s">
        <v>21</v>
      </c>
      <c r="H1958" t="s">
        <v>26</v>
      </c>
      <c r="I1958">
        <v>0</v>
      </c>
      <c r="J1958">
        <v>0</v>
      </c>
      <c r="K1958">
        <v>0</v>
      </c>
      <c r="L1958">
        <v>0</v>
      </c>
      <c r="M1958" t="s">
        <v>76</v>
      </c>
      <c r="N1958" t="s">
        <v>76</v>
      </c>
      <c r="O1958" t="s">
        <v>77</v>
      </c>
      <c r="P1958" t="s">
        <v>76</v>
      </c>
      <c r="Q1958" t="s">
        <v>2107</v>
      </c>
      <c r="R1958" t="s">
        <v>2108</v>
      </c>
      <c r="S1958" t="s">
        <v>5066</v>
      </c>
    </row>
    <row r="1959" spans="1:19" x14ac:dyDescent="0.3">
      <c r="A1959" t="s">
        <v>5067</v>
      </c>
      <c r="B1959" t="s">
        <v>5068</v>
      </c>
      <c r="C1959" t="s">
        <v>21</v>
      </c>
      <c r="D1959" t="s">
        <v>63</v>
      </c>
      <c r="E1959" t="s">
        <v>74</v>
      </c>
      <c r="F1959" t="s">
        <v>24</v>
      </c>
      <c r="G1959" t="s">
        <v>21</v>
      </c>
      <c r="H1959" t="s">
        <v>26</v>
      </c>
      <c r="I1959">
        <v>0</v>
      </c>
      <c r="J1959">
        <v>0</v>
      </c>
      <c r="K1959">
        <v>0</v>
      </c>
      <c r="L1959">
        <v>0</v>
      </c>
      <c r="M1959" t="s">
        <v>76</v>
      </c>
      <c r="N1959" t="s">
        <v>76</v>
      </c>
      <c r="O1959" t="s">
        <v>77</v>
      </c>
      <c r="P1959" t="s">
        <v>76</v>
      </c>
      <c r="S1959" t="s">
        <v>5068</v>
      </c>
    </row>
    <row r="1960" spans="1:19" x14ac:dyDescent="0.3">
      <c r="A1960" t="s">
        <v>5069</v>
      </c>
      <c r="B1960" t="s">
        <v>5070</v>
      </c>
      <c r="C1960" t="s">
        <v>21</v>
      </c>
      <c r="D1960" t="s">
        <v>63</v>
      </c>
      <c r="E1960" t="s">
        <v>74</v>
      </c>
      <c r="F1960" t="s">
        <v>24</v>
      </c>
      <c r="G1960" t="s">
        <v>21</v>
      </c>
      <c r="H1960" t="s">
        <v>26</v>
      </c>
      <c r="I1960">
        <v>0</v>
      </c>
      <c r="J1960">
        <v>0</v>
      </c>
      <c r="K1960">
        <v>0</v>
      </c>
      <c r="L1960">
        <v>0</v>
      </c>
      <c r="M1960" t="s">
        <v>76</v>
      </c>
      <c r="N1960" t="s">
        <v>76</v>
      </c>
      <c r="O1960" t="s">
        <v>77</v>
      </c>
      <c r="P1960" t="s">
        <v>76</v>
      </c>
      <c r="S1960" t="s">
        <v>5070</v>
      </c>
    </row>
    <row r="1961" spans="1:19" x14ac:dyDescent="0.3">
      <c r="A1961" t="s">
        <v>5071</v>
      </c>
      <c r="B1961" t="s">
        <v>5072</v>
      </c>
      <c r="C1961" t="s">
        <v>21</v>
      </c>
      <c r="D1961" t="s">
        <v>63</v>
      </c>
      <c r="E1961" t="s">
        <v>64</v>
      </c>
      <c r="F1961" t="s">
        <v>24</v>
      </c>
      <c r="G1961" t="s">
        <v>21</v>
      </c>
      <c r="H1961" t="s">
        <v>26</v>
      </c>
      <c r="I1961">
        <v>0</v>
      </c>
      <c r="J1961">
        <v>0</v>
      </c>
      <c r="K1961">
        <v>0</v>
      </c>
      <c r="L1961">
        <v>0</v>
      </c>
      <c r="M1961" t="s">
        <v>76</v>
      </c>
      <c r="N1961" t="s">
        <v>76</v>
      </c>
      <c r="O1961" t="s">
        <v>77</v>
      </c>
      <c r="P1961" t="s">
        <v>76</v>
      </c>
      <c r="S1961" t="s">
        <v>5072</v>
      </c>
    </row>
    <row r="1962" spans="1:19" x14ac:dyDescent="0.3">
      <c r="A1962" t="s">
        <v>5073</v>
      </c>
      <c r="B1962" t="s">
        <v>5074</v>
      </c>
      <c r="C1962" t="s">
        <v>21</v>
      </c>
      <c r="D1962" t="s">
        <v>35</v>
      </c>
      <c r="E1962" t="s">
        <v>80</v>
      </c>
      <c r="F1962" t="s">
        <v>24</v>
      </c>
      <c r="G1962" t="s">
        <v>21</v>
      </c>
      <c r="H1962" t="s">
        <v>26</v>
      </c>
      <c r="I1962">
        <v>0</v>
      </c>
      <c r="J1962">
        <v>0</v>
      </c>
      <c r="K1962">
        <v>0</v>
      </c>
      <c r="L1962">
        <v>0</v>
      </c>
      <c r="M1962" t="s">
        <v>76</v>
      </c>
      <c r="N1962" t="s">
        <v>76</v>
      </c>
      <c r="O1962" t="s">
        <v>77</v>
      </c>
      <c r="P1962" t="s">
        <v>76</v>
      </c>
      <c r="S1962" t="s">
        <v>5074</v>
      </c>
    </row>
    <row r="1963" spans="1:19" x14ac:dyDescent="0.3">
      <c r="A1963" t="s">
        <v>5075</v>
      </c>
      <c r="B1963" t="s">
        <v>5076</v>
      </c>
      <c r="C1963" t="s">
        <v>21</v>
      </c>
      <c r="F1963" t="s">
        <v>24</v>
      </c>
      <c r="G1963" t="s">
        <v>21</v>
      </c>
      <c r="H1963" t="s">
        <v>26</v>
      </c>
      <c r="I1963">
        <v>0</v>
      </c>
      <c r="J1963">
        <v>0</v>
      </c>
      <c r="K1963">
        <v>0</v>
      </c>
      <c r="L1963">
        <v>0</v>
      </c>
      <c r="M1963" t="s">
        <v>76</v>
      </c>
      <c r="N1963" t="s">
        <v>76</v>
      </c>
      <c r="O1963" t="s">
        <v>77</v>
      </c>
      <c r="P1963" t="s">
        <v>76</v>
      </c>
      <c r="S1963" t="s">
        <v>5076</v>
      </c>
    </row>
    <row r="1964" spans="1:19" x14ac:dyDescent="0.3">
      <c r="A1964" t="s">
        <v>5077</v>
      </c>
      <c r="B1964" t="s">
        <v>5078</v>
      </c>
      <c r="C1964" t="s">
        <v>21</v>
      </c>
      <c r="D1964" t="s">
        <v>63</v>
      </c>
      <c r="E1964" t="s">
        <v>85</v>
      </c>
      <c r="F1964" t="s">
        <v>24</v>
      </c>
      <c r="G1964" t="s">
        <v>21</v>
      </c>
      <c r="H1964" t="s">
        <v>26</v>
      </c>
      <c r="I1964">
        <v>0</v>
      </c>
      <c r="J1964">
        <v>0</v>
      </c>
      <c r="K1964">
        <v>0</v>
      </c>
      <c r="L1964">
        <v>0</v>
      </c>
      <c r="M1964" t="s">
        <v>76</v>
      </c>
      <c r="N1964" t="s">
        <v>76</v>
      </c>
      <c r="O1964" t="s">
        <v>77</v>
      </c>
      <c r="P1964" t="s">
        <v>76</v>
      </c>
      <c r="S1964" t="s">
        <v>5078</v>
      </c>
    </row>
    <row r="1965" spans="1:19" x14ac:dyDescent="0.3">
      <c r="A1965" t="s">
        <v>5079</v>
      </c>
      <c r="B1965" t="s">
        <v>5080</v>
      </c>
      <c r="C1965" t="s">
        <v>43</v>
      </c>
      <c r="D1965" t="s">
        <v>63</v>
      </c>
      <c r="E1965" t="s">
        <v>74</v>
      </c>
      <c r="F1965" t="s">
        <v>45</v>
      </c>
      <c r="G1965" t="s">
        <v>43</v>
      </c>
      <c r="H1965" t="s">
        <v>26</v>
      </c>
      <c r="I1965">
        <v>0</v>
      </c>
      <c r="J1965">
        <v>0</v>
      </c>
      <c r="K1965">
        <v>0</v>
      </c>
      <c r="L1965">
        <v>0</v>
      </c>
      <c r="M1965" t="s">
        <v>76</v>
      </c>
      <c r="N1965" t="s">
        <v>76</v>
      </c>
      <c r="O1965" t="s">
        <v>77</v>
      </c>
      <c r="P1965" t="s">
        <v>76</v>
      </c>
      <c r="S1965" t="s">
        <v>5080</v>
      </c>
    </row>
    <row r="1966" spans="1:19" x14ac:dyDescent="0.3">
      <c r="A1966" t="s">
        <v>5081</v>
      </c>
      <c r="B1966" t="s">
        <v>5082</v>
      </c>
      <c r="C1966" t="s">
        <v>21</v>
      </c>
      <c r="D1966" t="s">
        <v>63</v>
      </c>
      <c r="E1966" t="s">
        <v>74</v>
      </c>
      <c r="F1966" t="s">
        <v>24</v>
      </c>
      <c r="G1966" t="s">
        <v>21</v>
      </c>
      <c r="H1966" t="s">
        <v>26</v>
      </c>
      <c r="I1966">
        <v>0</v>
      </c>
      <c r="J1966">
        <v>0</v>
      </c>
      <c r="K1966">
        <v>0</v>
      </c>
      <c r="L1966">
        <v>0</v>
      </c>
      <c r="M1966" t="s">
        <v>76</v>
      </c>
      <c r="N1966" t="s">
        <v>76</v>
      </c>
      <c r="O1966" t="s">
        <v>77</v>
      </c>
      <c r="P1966" t="s">
        <v>76</v>
      </c>
      <c r="S1966" t="s">
        <v>5082</v>
      </c>
    </row>
    <row r="1967" spans="1:19" x14ac:dyDescent="0.3">
      <c r="A1967" t="s">
        <v>5083</v>
      </c>
      <c r="B1967" t="s">
        <v>5084</v>
      </c>
      <c r="C1967" t="s">
        <v>21</v>
      </c>
      <c r="F1967" t="s">
        <v>24</v>
      </c>
      <c r="G1967" t="s">
        <v>21</v>
      </c>
      <c r="H1967" t="s">
        <v>26</v>
      </c>
      <c r="I1967">
        <v>0</v>
      </c>
      <c r="J1967">
        <v>0</v>
      </c>
      <c r="K1967">
        <v>0</v>
      </c>
      <c r="L1967">
        <v>0</v>
      </c>
      <c r="M1967" t="s">
        <v>76</v>
      </c>
      <c r="N1967" t="s">
        <v>76</v>
      </c>
      <c r="O1967" t="s">
        <v>77</v>
      </c>
      <c r="P1967" t="s">
        <v>76</v>
      </c>
      <c r="S1967" t="s">
        <v>5084</v>
      </c>
    </row>
    <row r="1968" spans="1:19" x14ac:dyDescent="0.3">
      <c r="A1968" t="s">
        <v>5085</v>
      </c>
      <c r="B1968" t="s">
        <v>5086</v>
      </c>
      <c r="C1968" t="s">
        <v>21</v>
      </c>
      <c r="D1968" t="s">
        <v>63</v>
      </c>
      <c r="E1968" t="s">
        <v>74</v>
      </c>
      <c r="F1968" t="s">
        <v>24</v>
      </c>
      <c r="G1968" t="s">
        <v>21</v>
      </c>
      <c r="H1968" t="s">
        <v>26</v>
      </c>
      <c r="I1968">
        <v>0</v>
      </c>
      <c r="J1968">
        <v>0</v>
      </c>
      <c r="K1968">
        <v>0</v>
      </c>
      <c r="L1968">
        <v>0</v>
      </c>
      <c r="M1968" t="s">
        <v>76</v>
      </c>
      <c r="N1968" t="s">
        <v>76</v>
      </c>
      <c r="O1968" t="s">
        <v>77</v>
      </c>
      <c r="P1968" t="s">
        <v>76</v>
      </c>
      <c r="S1968" t="s">
        <v>5086</v>
      </c>
    </row>
    <row r="1969" spans="1:19" x14ac:dyDescent="0.3">
      <c r="A1969" t="s">
        <v>5087</v>
      </c>
      <c r="B1969" t="s">
        <v>5088</v>
      </c>
      <c r="C1969" t="s">
        <v>21</v>
      </c>
      <c r="D1969" t="s">
        <v>63</v>
      </c>
      <c r="F1969" t="s">
        <v>109</v>
      </c>
      <c r="G1969" t="s">
        <v>25</v>
      </c>
      <c r="H1969" t="s">
        <v>26</v>
      </c>
      <c r="I1969">
        <v>0</v>
      </c>
      <c r="J1969">
        <v>0</v>
      </c>
      <c r="K1969">
        <v>0</v>
      </c>
      <c r="L1969">
        <v>0</v>
      </c>
      <c r="M1969" t="s">
        <v>76</v>
      </c>
      <c r="N1969" t="s">
        <v>76</v>
      </c>
      <c r="O1969" t="s">
        <v>77</v>
      </c>
      <c r="P1969" t="s">
        <v>76</v>
      </c>
      <c r="S1969" t="s">
        <v>5088</v>
      </c>
    </row>
    <row r="1970" spans="1:19" x14ac:dyDescent="0.3">
      <c r="A1970" t="s">
        <v>5089</v>
      </c>
      <c r="B1970" t="s">
        <v>5090</v>
      </c>
      <c r="C1970" t="s">
        <v>114</v>
      </c>
      <c r="D1970" t="s">
        <v>63</v>
      </c>
      <c r="E1970" t="s">
        <v>74</v>
      </c>
      <c r="F1970" t="s">
        <v>114</v>
      </c>
      <c r="G1970" t="s">
        <v>190</v>
      </c>
      <c r="H1970" t="s">
        <v>75</v>
      </c>
      <c r="I1970">
        <v>0</v>
      </c>
      <c r="J1970">
        <v>0</v>
      </c>
      <c r="K1970">
        <v>0</v>
      </c>
      <c r="L1970">
        <v>0</v>
      </c>
      <c r="M1970" t="s">
        <v>76</v>
      </c>
      <c r="N1970" t="s">
        <v>76</v>
      </c>
      <c r="O1970" t="s">
        <v>77</v>
      </c>
      <c r="P1970" t="s">
        <v>76</v>
      </c>
      <c r="S1970" t="s">
        <v>5090</v>
      </c>
    </row>
    <row r="1971" spans="1:19" x14ac:dyDescent="0.3">
      <c r="A1971" t="s">
        <v>5091</v>
      </c>
      <c r="B1971" t="s">
        <v>5092</v>
      </c>
      <c r="C1971" t="s">
        <v>196</v>
      </c>
      <c r="D1971" t="s">
        <v>35</v>
      </c>
      <c r="E1971" t="s">
        <v>128</v>
      </c>
      <c r="F1971" t="s">
        <v>228</v>
      </c>
      <c r="G1971" t="s">
        <v>196</v>
      </c>
      <c r="H1971" t="s">
        <v>75</v>
      </c>
      <c r="I1971">
        <v>0</v>
      </c>
      <c r="J1971">
        <v>0</v>
      </c>
      <c r="K1971">
        <v>0</v>
      </c>
      <c r="L1971">
        <v>0</v>
      </c>
      <c r="M1971" t="s">
        <v>76</v>
      </c>
      <c r="N1971" t="s">
        <v>76</v>
      </c>
      <c r="O1971" t="s">
        <v>77</v>
      </c>
      <c r="P1971" t="s">
        <v>76</v>
      </c>
      <c r="S1971" t="s">
        <v>5092</v>
      </c>
    </row>
    <row r="1972" spans="1:19" x14ac:dyDescent="0.3">
      <c r="A1972" t="s">
        <v>5093</v>
      </c>
      <c r="B1972" t="s">
        <v>5094</v>
      </c>
      <c r="C1972" t="s">
        <v>21</v>
      </c>
      <c r="D1972" t="s">
        <v>35</v>
      </c>
      <c r="E1972" t="s">
        <v>400</v>
      </c>
      <c r="F1972" t="s">
        <v>24</v>
      </c>
      <c r="G1972" t="s">
        <v>21</v>
      </c>
      <c r="H1972" t="s">
        <v>26</v>
      </c>
      <c r="I1972">
        <v>0</v>
      </c>
      <c r="J1972">
        <v>0</v>
      </c>
      <c r="K1972">
        <v>0</v>
      </c>
      <c r="L1972">
        <v>0</v>
      </c>
      <c r="M1972" t="s">
        <v>76</v>
      </c>
      <c r="N1972" t="s">
        <v>76</v>
      </c>
      <c r="O1972" t="s">
        <v>77</v>
      </c>
      <c r="P1972" t="s">
        <v>76</v>
      </c>
      <c r="S1972" t="s">
        <v>5094</v>
      </c>
    </row>
    <row r="1973" spans="1:19" x14ac:dyDescent="0.3">
      <c r="A1973" t="s">
        <v>5095</v>
      </c>
      <c r="B1973" t="s">
        <v>5096</v>
      </c>
      <c r="C1973" t="s">
        <v>114</v>
      </c>
      <c r="D1973" t="s">
        <v>63</v>
      </c>
      <c r="E1973" t="s">
        <v>74</v>
      </c>
      <c r="F1973" t="s">
        <v>114</v>
      </c>
      <c r="G1973" t="s">
        <v>115</v>
      </c>
      <c r="H1973" t="s">
        <v>75</v>
      </c>
      <c r="I1973">
        <v>0</v>
      </c>
      <c r="J1973">
        <v>0</v>
      </c>
      <c r="K1973">
        <v>0</v>
      </c>
      <c r="L1973">
        <v>0</v>
      </c>
      <c r="M1973" t="s">
        <v>76</v>
      </c>
      <c r="N1973" t="s">
        <v>76</v>
      </c>
      <c r="O1973" t="s">
        <v>77</v>
      </c>
      <c r="P1973" t="s">
        <v>76</v>
      </c>
      <c r="S1973" t="s">
        <v>5096</v>
      </c>
    </row>
    <row r="1974" spans="1:19" x14ac:dyDescent="0.3">
      <c r="A1974" t="s">
        <v>5097</v>
      </c>
      <c r="B1974" t="s">
        <v>5098</v>
      </c>
      <c r="C1974" t="s">
        <v>114</v>
      </c>
      <c r="D1974" t="s">
        <v>63</v>
      </c>
      <c r="E1974" t="s">
        <v>74</v>
      </c>
      <c r="F1974" t="s">
        <v>114</v>
      </c>
      <c r="G1974" t="s">
        <v>115</v>
      </c>
      <c r="H1974" t="s">
        <v>75</v>
      </c>
      <c r="I1974">
        <v>0</v>
      </c>
      <c r="J1974">
        <v>0</v>
      </c>
      <c r="K1974">
        <v>0</v>
      </c>
      <c r="L1974">
        <v>0</v>
      </c>
      <c r="M1974" t="s">
        <v>76</v>
      </c>
      <c r="N1974" t="s">
        <v>76</v>
      </c>
      <c r="O1974" t="s">
        <v>77</v>
      </c>
      <c r="P1974" t="s">
        <v>76</v>
      </c>
      <c r="S1974" t="s">
        <v>5098</v>
      </c>
    </row>
    <row r="1975" spans="1:19" x14ac:dyDescent="0.3">
      <c r="A1975" t="s">
        <v>5099</v>
      </c>
      <c r="B1975" t="s">
        <v>5100</v>
      </c>
      <c r="C1975" t="s">
        <v>21</v>
      </c>
      <c r="D1975" t="s">
        <v>63</v>
      </c>
      <c r="E1975" t="s">
        <v>74</v>
      </c>
      <c r="F1975" t="s">
        <v>24</v>
      </c>
      <c r="G1975" t="s">
        <v>21</v>
      </c>
      <c r="H1975" t="s">
        <v>26</v>
      </c>
      <c r="I1975">
        <v>0</v>
      </c>
      <c r="J1975">
        <v>0</v>
      </c>
      <c r="K1975">
        <v>0</v>
      </c>
      <c r="L1975">
        <v>0</v>
      </c>
      <c r="M1975" t="s">
        <v>76</v>
      </c>
      <c r="N1975" t="s">
        <v>76</v>
      </c>
      <c r="O1975" t="s">
        <v>77</v>
      </c>
      <c r="P1975" t="s">
        <v>76</v>
      </c>
      <c r="S1975" t="s">
        <v>5100</v>
      </c>
    </row>
    <row r="1976" spans="1:19" x14ac:dyDescent="0.3">
      <c r="A1976" t="s">
        <v>5101</v>
      </c>
      <c r="B1976" t="s">
        <v>5102</v>
      </c>
      <c r="C1976" t="s">
        <v>243</v>
      </c>
      <c r="D1976" t="s">
        <v>63</v>
      </c>
      <c r="E1976" t="s">
        <v>74</v>
      </c>
      <c r="F1976" t="s">
        <v>243</v>
      </c>
      <c r="G1976" t="s">
        <v>244</v>
      </c>
      <c r="H1976" t="s">
        <v>75</v>
      </c>
      <c r="I1976">
        <v>0</v>
      </c>
      <c r="J1976">
        <v>0</v>
      </c>
      <c r="K1976">
        <v>0</v>
      </c>
      <c r="L1976">
        <v>0</v>
      </c>
      <c r="M1976" t="s">
        <v>76</v>
      </c>
      <c r="N1976" t="s">
        <v>76</v>
      </c>
      <c r="O1976" t="s">
        <v>77</v>
      </c>
      <c r="P1976" t="s">
        <v>76</v>
      </c>
      <c r="S1976" t="s">
        <v>5102</v>
      </c>
    </row>
    <row r="1977" spans="1:19" x14ac:dyDescent="0.3">
      <c r="A1977" t="s">
        <v>5103</v>
      </c>
      <c r="B1977" t="s">
        <v>5104</v>
      </c>
      <c r="C1977" t="s">
        <v>43</v>
      </c>
      <c r="D1977" t="s">
        <v>63</v>
      </c>
      <c r="E1977" t="s">
        <v>74</v>
      </c>
      <c r="F1977" t="s">
        <v>45</v>
      </c>
      <c r="G1977" t="s">
        <v>43</v>
      </c>
      <c r="H1977" t="s">
        <v>26</v>
      </c>
      <c r="I1977">
        <v>0</v>
      </c>
      <c r="J1977">
        <v>0</v>
      </c>
      <c r="K1977">
        <v>0</v>
      </c>
      <c r="L1977">
        <v>0</v>
      </c>
      <c r="M1977" t="s">
        <v>76</v>
      </c>
      <c r="N1977" t="s">
        <v>76</v>
      </c>
      <c r="O1977" t="s">
        <v>77</v>
      </c>
      <c r="P1977" t="s">
        <v>76</v>
      </c>
      <c r="S1977" t="s">
        <v>5104</v>
      </c>
    </row>
    <row r="1978" spans="1:19" x14ac:dyDescent="0.3">
      <c r="A1978" t="s">
        <v>5105</v>
      </c>
      <c r="B1978" t="s">
        <v>5106</v>
      </c>
      <c r="C1978" t="s">
        <v>43</v>
      </c>
      <c r="D1978" t="s">
        <v>63</v>
      </c>
      <c r="E1978" t="s">
        <v>74</v>
      </c>
      <c r="F1978" t="s">
        <v>45</v>
      </c>
      <c r="G1978" t="s">
        <v>43</v>
      </c>
      <c r="H1978" t="s">
        <v>26</v>
      </c>
      <c r="I1978">
        <v>0</v>
      </c>
      <c r="J1978">
        <v>0</v>
      </c>
      <c r="K1978">
        <v>0</v>
      </c>
      <c r="L1978">
        <v>0</v>
      </c>
      <c r="M1978" t="s">
        <v>76</v>
      </c>
      <c r="N1978" t="s">
        <v>76</v>
      </c>
      <c r="O1978" t="s">
        <v>77</v>
      </c>
      <c r="P1978" t="s">
        <v>76</v>
      </c>
      <c r="S1978" t="s">
        <v>5106</v>
      </c>
    </row>
    <row r="1979" spans="1:19" x14ac:dyDescent="0.3">
      <c r="A1979" t="s">
        <v>5107</v>
      </c>
      <c r="B1979" t="s">
        <v>5108</v>
      </c>
      <c r="C1979" t="s">
        <v>24</v>
      </c>
      <c r="D1979" t="s">
        <v>35</v>
      </c>
      <c r="E1979" t="s">
        <v>2289</v>
      </c>
      <c r="F1979" t="s">
        <v>55</v>
      </c>
      <c r="G1979" t="s">
        <v>5107</v>
      </c>
      <c r="H1979" t="s">
        <v>213</v>
      </c>
      <c r="I1979">
        <v>0</v>
      </c>
      <c r="J1979">
        <v>0</v>
      </c>
      <c r="K1979">
        <v>0</v>
      </c>
      <c r="L1979">
        <v>0</v>
      </c>
      <c r="M1979" t="s">
        <v>76</v>
      </c>
      <c r="N1979" t="s">
        <v>76</v>
      </c>
      <c r="O1979" t="s">
        <v>77</v>
      </c>
      <c r="P1979" t="s">
        <v>76</v>
      </c>
      <c r="S1979" t="s">
        <v>5108</v>
      </c>
    </row>
    <row r="1980" spans="1:19" x14ac:dyDescent="0.3">
      <c r="A1980" t="s">
        <v>5109</v>
      </c>
      <c r="B1980" t="s">
        <v>5110</v>
      </c>
      <c r="C1980" t="s">
        <v>114</v>
      </c>
      <c r="D1980" t="s">
        <v>63</v>
      </c>
      <c r="E1980" t="s">
        <v>74</v>
      </c>
      <c r="F1980" t="s">
        <v>114</v>
      </c>
      <c r="G1980" t="s">
        <v>115</v>
      </c>
      <c r="H1980" t="s">
        <v>75</v>
      </c>
      <c r="I1980">
        <v>0</v>
      </c>
      <c r="J1980">
        <v>0</v>
      </c>
      <c r="K1980">
        <v>0</v>
      </c>
      <c r="L1980">
        <v>0</v>
      </c>
      <c r="M1980" t="s">
        <v>76</v>
      </c>
      <c r="N1980" t="s">
        <v>76</v>
      </c>
      <c r="O1980" t="s">
        <v>77</v>
      </c>
      <c r="P1980" t="s">
        <v>76</v>
      </c>
      <c r="S1980" t="s">
        <v>5110</v>
      </c>
    </row>
    <row r="1981" spans="1:19" x14ac:dyDescent="0.3">
      <c r="A1981" t="s">
        <v>5111</v>
      </c>
      <c r="B1981" t="s">
        <v>5112</v>
      </c>
      <c r="C1981" t="s">
        <v>43</v>
      </c>
      <c r="D1981" t="s">
        <v>63</v>
      </c>
      <c r="E1981" t="s">
        <v>74</v>
      </c>
      <c r="F1981" t="s">
        <v>45</v>
      </c>
      <c r="G1981" t="s">
        <v>43</v>
      </c>
      <c r="H1981" t="s">
        <v>26</v>
      </c>
      <c r="I1981">
        <v>0</v>
      </c>
      <c r="J1981">
        <v>0</v>
      </c>
      <c r="K1981">
        <v>0</v>
      </c>
      <c r="L1981">
        <v>0</v>
      </c>
      <c r="M1981" t="s">
        <v>76</v>
      </c>
      <c r="N1981" t="s">
        <v>76</v>
      </c>
      <c r="O1981" t="s">
        <v>77</v>
      </c>
      <c r="P1981" t="s">
        <v>76</v>
      </c>
      <c r="S1981" t="s">
        <v>5112</v>
      </c>
    </row>
    <row r="1982" spans="1:19" x14ac:dyDescent="0.3">
      <c r="A1982" t="s">
        <v>5113</v>
      </c>
      <c r="B1982" t="s">
        <v>5114</v>
      </c>
      <c r="C1982" t="s">
        <v>43</v>
      </c>
      <c r="D1982" t="s">
        <v>63</v>
      </c>
      <c r="E1982" t="s">
        <v>74</v>
      </c>
      <c r="F1982" t="s">
        <v>45</v>
      </c>
      <c r="G1982" t="s">
        <v>43</v>
      </c>
      <c r="H1982" t="s">
        <v>26</v>
      </c>
      <c r="I1982">
        <v>0</v>
      </c>
      <c r="J1982">
        <v>0</v>
      </c>
      <c r="K1982">
        <v>0</v>
      </c>
      <c r="L1982">
        <v>0</v>
      </c>
      <c r="M1982" t="s">
        <v>76</v>
      </c>
      <c r="N1982" t="s">
        <v>76</v>
      </c>
      <c r="O1982" t="s">
        <v>77</v>
      </c>
      <c r="P1982" t="s">
        <v>76</v>
      </c>
      <c r="S1982" t="s">
        <v>5114</v>
      </c>
    </row>
    <row r="1983" spans="1:19" x14ac:dyDescent="0.3">
      <c r="A1983" t="s">
        <v>5115</v>
      </c>
      <c r="B1983" t="s">
        <v>5116</v>
      </c>
      <c r="C1983" t="s">
        <v>24</v>
      </c>
      <c r="D1983" t="s">
        <v>63</v>
      </c>
      <c r="E1983" t="s">
        <v>85</v>
      </c>
      <c r="F1983" t="s">
        <v>24</v>
      </c>
      <c r="G1983" t="s">
        <v>5117</v>
      </c>
      <c r="H1983" t="s">
        <v>213</v>
      </c>
      <c r="I1983">
        <v>0</v>
      </c>
      <c r="J1983">
        <v>0</v>
      </c>
      <c r="K1983">
        <v>0</v>
      </c>
      <c r="L1983">
        <v>0</v>
      </c>
      <c r="M1983" t="s">
        <v>76</v>
      </c>
      <c r="N1983" t="s">
        <v>76</v>
      </c>
      <c r="O1983" t="s">
        <v>77</v>
      </c>
      <c r="P1983" t="s">
        <v>76</v>
      </c>
      <c r="S1983" t="s">
        <v>5116</v>
      </c>
    </row>
    <row r="1984" spans="1:19" x14ac:dyDescent="0.3">
      <c r="A1984" t="s">
        <v>2581</v>
      </c>
      <c r="B1984" t="s">
        <v>5118</v>
      </c>
      <c r="C1984" t="s">
        <v>24</v>
      </c>
      <c r="D1984" t="s">
        <v>35</v>
      </c>
      <c r="E1984" t="s">
        <v>128</v>
      </c>
      <c r="F1984" t="s">
        <v>24</v>
      </c>
      <c r="G1984" t="s">
        <v>2581</v>
      </c>
      <c r="H1984" t="s">
        <v>213</v>
      </c>
      <c r="I1984">
        <v>0</v>
      </c>
      <c r="J1984">
        <v>0</v>
      </c>
      <c r="K1984">
        <v>0</v>
      </c>
      <c r="L1984">
        <v>0</v>
      </c>
      <c r="M1984" t="s">
        <v>76</v>
      </c>
      <c r="N1984" t="s">
        <v>76</v>
      </c>
      <c r="O1984" t="s">
        <v>77</v>
      </c>
      <c r="P1984" t="s">
        <v>76</v>
      </c>
      <c r="S1984" t="s">
        <v>5118</v>
      </c>
    </row>
    <row r="1985" spans="1:19" x14ac:dyDescent="0.3">
      <c r="A1985" t="s">
        <v>5119</v>
      </c>
      <c r="B1985" t="s">
        <v>5120</v>
      </c>
      <c r="C1985" t="s">
        <v>24</v>
      </c>
      <c r="D1985" t="s">
        <v>63</v>
      </c>
      <c r="E1985" t="s">
        <v>74</v>
      </c>
      <c r="F1985" t="s">
        <v>24</v>
      </c>
      <c r="G1985" t="s">
        <v>2581</v>
      </c>
      <c r="H1985" t="s">
        <v>213</v>
      </c>
      <c r="I1985">
        <v>0</v>
      </c>
      <c r="J1985">
        <v>0</v>
      </c>
      <c r="K1985">
        <v>0</v>
      </c>
      <c r="L1985">
        <v>0</v>
      </c>
      <c r="M1985" t="s">
        <v>76</v>
      </c>
      <c r="N1985" t="s">
        <v>76</v>
      </c>
      <c r="O1985" t="s">
        <v>77</v>
      </c>
      <c r="P1985" t="s">
        <v>76</v>
      </c>
      <c r="S1985" t="s">
        <v>5120</v>
      </c>
    </row>
    <row r="1986" spans="1:19" x14ac:dyDescent="0.3">
      <c r="A1986" t="s">
        <v>5121</v>
      </c>
      <c r="B1986" t="s">
        <v>5122</v>
      </c>
      <c r="C1986" t="s">
        <v>24</v>
      </c>
      <c r="D1986" t="s">
        <v>63</v>
      </c>
      <c r="E1986" t="s">
        <v>323</v>
      </c>
      <c r="F1986" t="s">
        <v>24</v>
      </c>
      <c r="G1986" t="s">
        <v>5123</v>
      </c>
      <c r="H1986" t="s">
        <v>213</v>
      </c>
      <c r="I1986">
        <v>0</v>
      </c>
      <c r="J1986">
        <v>0</v>
      </c>
      <c r="K1986">
        <v>0</v>
      </c>
      <c r="L1986">
        <v>0</v>
      </c>
      <c r="M1986" t="s">
        <v>76</v>
      </c>
      <c r="N1986" t="s">
        <v>76</v>
      </c>
      <c r="O1986" t="s">
        <v>77</v>
      </c>
      <c r="P1986" t="s">
        <v>76</v>
      </c>
      <c r="S1986" t="s">
        <v>5122</v>
      </c>
    </row>
    <row r="1987" spans="1:19" x14ac:dyDescent="0.3">
      <c r="A1987" t="s">
        <v>5124</v>
      </c>
      <c r="B1987" t="s">
        <v>5125</v>
      </c>
      <c r="C1987" t="s">
        <v>24</v>
      </c>
      <c r="D1987" t="s">
        <v>35</v>
      </c>
      <c r="E1987" t="s">
        <v>389</v>
      </c>
      <c r="F1987" t="s">
        <v>24</v>
      </c>
      <c r="G1987" t="s">
        <v>5126</v>
      </c>
      <c r="H1987" t="s">
        <v>213</v>
      </c>
      <c r="I1987">
        <v>0</v>
      </c>
      <c r="J1987">
        <v>0</v>
      </c>
      <c r="K1987">
        <v>0</v>
      </c>
      <c r="L1987">
        <v>0</v>
      </c>
      <c r="M1987" t="s">
        <v>76</v>
      </c>
      <c r="N1987" t="s">
        <v>76</v>
      </c>
      <c r="O1987" t="s">
        <v>77</v>
      </c>
      <c r="P1987" t="s">
        <v>76</v>
      </c>
      <c r="S1987" t="s">
        <v>5125</v>
      </c>
    </row>
    <row r="1988" spans="1:19" x14ac:dyDescent="0.3">
      <c r="A1988" t="s">
        <v>5127</v>
      </c>
      <c r="B1988" t="s">
        <v>5128</v>
      </c>
      <c r="C1988" t="s">
        <v>43</v>
      </c>
      <c r="D1988" t="s">
        <v>63</v>
      </c>
      <c r="E1988" t="s">
        <v>74</v>
      </c>
      <c r="F1988" t="s">
        <v>45</v>
      </c>
      <c r="G1988" t="s">
        <v>43</v>
      </c>
      <c r="H1988" t="s">
        <v>26</v>
      </c>
      <c r="I1988">
        <v>0</v>
      </c>
      <c r="J1988">
        <v>0</v>
      </c>
      <c r="K1988">
        <v>0</v>
      </c>
      <c r="L1988">
        <v>0</v>
      </c>
      <c r="M1988" t="s">
        <v>76</v>
      </c>
      <c r="N1988" t="s">
        <v>76</v>
      </c>
      <c r="O1988" t="s">
        <v>77</v>
      </c>
      <c r="P1988" t="s">
        <v>76</v>
      </c>
      <c r="S1988" t="s">
        <v>5128</v>
      </c>
    </row>
    <row r="1989" spans="1:19" x14ac:dyDescent="0.3">
      <c r="A1989" t="s">
        <v>5129</v>
      </c>
      <c r="B1989" t="s">
        <v>5130</v>
      </c>
      <c r="C1989" t="s">
        <v>43</v>
      </c>
      <c r="D1989" t="s">
        <v>63</v>
      </c>
      <c r="E1989" t="s">
        <v>74</v>
      </c>
      <c r="F1989" t="s">
        <v>45</v>
      </c>
      <c r="G1989" t="s">
        <v>43</v>
      </c>
      <c r="H1989" t="s">
        <v>26</v>
      </c>
      <c r="I1989">
        <v>0</v>
      </c>
      <c r="J1989">
        <v>0</v>
      </c>
      <c r="K1989">
        <v>0</v>
      </c>
      <c r="L1989">
        <v>0</v>
      </c>
      <c r="M1989" t="s">
        <v>76</v>
      </c>
      <c r="N1989" t="s">
        <v>76</v>
      </c>
      <c r="O1989" t="s">
        <v>77</v>
      </c>
      <c r="P1989" t="s">
        <v>76</v>
      </c>
      <c r="S1989" t="s">
        <v>5130</v>
      </c>
    </row>
    <row r="1990" spans="1:19" x14ac:dyDescent="0.3">
      <c r="A1990" t="s">
        <v>5131</v>
      </c>
      <c r="B1990" t="s">
        <v>5132</v>
      </c>
      <c r="C1990" t="s">
        <v>43</v>
      </c>
      <c r="D1990" t="s">
        <v>63</v>
      </c>
      <c r="E1990" t="s">
        <v>74</v>
      </c>
      <c r="F1990" t="s">
        <v>45</v>
      </c>
      <c r="G1990" t="s">
        <v>43</v>
      </c>
      <c r="H1990" t="s">
        <v>26</v>
      </c>
      <c r="I1990">
        <v>0</v>
      </c>
      <c r="J1990">
        <v>0</v>
      </c>
      <c r="K1990">
        <v>0</v>
      </c>
      <c r="L1990">
        <v>0</v>
      </c>
      <c r="M1990" t="s">
        <v>76</v>
      </c>
      <c r="N1990" t="s">
        <v>76</v>
      </c>
      <c r="O1990" t="s">
        <v>77</v>
      </c>
      <c r="P1990" t="s">
        <v>76</v>
      </c>
      <c r="S1990" t="s">
        <v>5132</v>
      </c>
    </row>
    <row r="1991" spans="1:19" x14ac:dyDescent="0.3">
      <c r="A1991" t="s">
        <v>5133</v>
      </c>
      <c r="B1991" t="s">
        <v>5134</v>
      </c>
      <c r="C1991" t="s">
        <v>43</v>
      </c>
      <c r="D1991" t="s">
        <v>35</v>
      </c>
      <c r="E1991" t="s">
        <v>80</v>
      </c>
      <c r="F1991" t="s">
        <v>45</v>
      </c>
      <c r="G1991" t="s">
        <v>43</v>
      </c>
      <c r="H1991" t="s">
        <v>26</v>
      </c>
      <c r="I1991">
        <v>0</v>
      </c>
      <c r="J1991">
        <v>0</v>
      </c>
      <c r="K1991">
        <v>0</v>
      </c>
      <c r="L1991">
        <v>0</v>
      </c>
      <c r="M1991" t="s">
        <v>76</v>
      </c>
      <c r="N1991" t="s">
        <v>76</v>
      </c>
      <c r="O1991" t="s">
        <v>77</v>
      </c>
      <c r="P1991" t="s">
        <v>76</v>
      </c>
      <c r="S1991" t="s">
        <v>5134</v>
      </c>
    </row>
    <row r="1992" spans="1:19" x14ac:dyDescent="0.3">
      <c r="A1992" t="s">
        <v>5135</v>
      </c>
      <c r="B1992" t="s">
        <v>5136</v>
      </c>
      <c r="C1992" t="s">
        <v>43</v>
      </c>
      <c r="D1992" t="s">
        <v>63</v>
      </c>
      <c r="E1992" t="s">
        <v>74</v>
      </c>
      <c r="F1992" t="s">
        <v>45</v>
      </c>
      <c r="G1992" t="s">
        <v>43</v>
      </c>
      <c r="H1992" t="s">
        <v>26</v>
      </c>
      <c r="I1992">
        <v>0</v>
      </c>
      <c r="J1992">
        <v>0</v>
      </c>
      <c r="K1992">
        <v>0</v>
      </c>
      <c r="L1992">
        <v>0</v>
      </c>
      <c r="M1992" t="s">
        <v>76</v>
      </c>
      <c r="N1992" t="s">
        <v>76</v>
      </c>
      <c r="O1992" t="s">
        <v>77</v>
      </c>
      <c r="P1992" t="s">
        <v>76</v>
      </c>
      <c r="S1992" t="s">
        <v>5136</v>
      </c>
    </row>
    <row r="1993" spans="1:19" x14ac:dyDescent="0.3">
      <c r="A1993" t="s">
        <v>5137</v>
      </c>
      <c r="B1993" t="s">
        <v>5138</v>
      </c>
      <c r="C1993" t="s">
        <v>43</v>
      </c>
      <c r="D1993" t="s">
        <v>63</v>
      </c>
      <c r="E1993" t="s">
        <v>74</v>
      </c>
      <c r="F1993" t="s">
        <v>45</v>
      </c>
      <c r="G1993" t="s">
        <v>43</v>
      </c>
      <c r="H1993" t="s">
        <v>26</v>
      </c>
      <c r="I1993">
        <v>0</v>
      </c>
      <c r="J1993">
        <v>0</v>
      </c>
      <c r="K1993">
        <v>0</v>
      </c>
      <c r="L1993">
        <v>0</v>
      </c>
      <c r="M1993" t="s">
        <v>76</v>
      </c>
      <c r="N1993" t="s">
        <v>76</v>
      </c>
      <c r="O1993" t="s">
        <v>77</v>
      </c>
      <c r="P1993" t="s">
        <v>76</v>
      </c>
      <c r="S1993" t="s">
        <v>5138</v>
      </c>
    </row>
    <row r="1994" spans="1:19" x14ac:dyDescent="0.3">
      <c r="A1994" t="s">
        <v>5139</v>
      </c>
      <c r="B1994" t="s">
        <v>5140</v>
      </c>
      <c r="C1994" t="s">
        <v>43</v>
      </c>
      <c r="D1994" t="s">
        <v>63</v>
      </c>
      <c r="E1994" t="s">
        <v>74</v>
      </c>
      <c r="F1994" t="s">
        <v>45</v>
      </c>
      <c r="G1994" t="s">
        <v>43</v>
      </c>
      <c r="H1994" t="s">
        <v>26</v>
      </c>
      <c r="I1994">
        <v>0</v>
      </c>
      <c r="J1994">
        <v>0</v>
      </c>
      <c r="K1994">
        <v>0</v>
      </c>
      <c r="L1994">
        <v>0</v>
      </c>
      <c r="M1994" t="s">
        <v>76</v>
      </c>
      <c r="N1994" t="s">
        <v>76</v>
      </c>
      <c r="O1994" t="s">
        <v>77</v>
      </c>
      <c r="P1994" t="s">
        <v>76</v>
      </c>
      <c r="S1994" t="s">
        <v>5140</v>
      </c>
    </row>
    <row r="1995" spans="1:19" x14ac:dyDescent="0.3">
      <c r="A1995" t="s">
        <v>5141</v>
      </c>
      <c r="B1995" t="s">
        <v>5142</v>
      </c>
      <c r="C1995" t="s">
        <v>21</v>
      </c>
      <c r="D1995" t="s">
        <v>63</v>
      </c>
      <c r="E1995" t="s">
        <v>85</v>
      </c>
      <c r="F1995" t="s">
        <v>24</v>
      </c>
      <c r="G1995" t="s">
        <v>21</v>
      </c>
      <c r="H1995" t="s">
        <v>26</v>
      </c>
      <c r="I1995">
        <v>0</v>
      </c>
      <c r="J1995">
        <v>0</v>
      </c>
      <c r="K1995">
        <v>0</v>
      </c>
      <c r="L1995">
        <v>0</v>
      </c>
      <c r="M1995" t="s">
        <v>76</v>
      </c>
      <c r="N1995" t="s">
        <v>76</v>
      </c>
      <c r="O1995" t="s">
        <v>77</v>
      </c>
      <c r="P1995" t="s">
        <v>76</v>
      </c>
      <c r="S1995" t="s">
        <v>5142</v>
      </c>
    </row>
    <row r="1996" spans="1:19" x14ac:dyDescent="0.3">
      <c r="A1996" t="s">
        <v>5143</v>
      </c>
      <c r="B1996" t="s">
        <v>5144</v>
      </c>
      <c r="C1996" t="s">
        <v>24</v>
      </c>
      <c r="D1996" t="s">
        <v>35</v>
      </c>
      <c r="E1996" t="s">
        <v>80</v>
      </c>
      <c r="F1996" t="s">
        <v>144</v>
      </c>
      <c r="G1996" t="s">
        <v>145</v>
      </c>
      <c r="H1996" t="s">
        <v>26</v>
      </c>
      <c r="I1996">
        <v>0</v>
      </c>
      <c r="J1996">
        <v>0</v>
      </c>
      <c r="K1996">
        <v>0</v>
      </c>
      <c r="L1996">
        <v>0</v>
      </c>
      <c r="M1996" t="s">
        <v>76</v>
      </c>
      <c r="N1996" t="s">
        <v>76</v>
      </c>
      <c r="O1996" t="s">
        <v>77</v>
      </c>
      <c r="P1996" t="s">
        <v>76</v>
      </c>
      <c r="S1996" t="s">
        <v>5144</v>
      </c>
    </row>
    <row r="1997" spans="1:19" x14ac:dyDescent="0.3">
      <c r="A1997" t="s">
        <v>5145</v>
      </c>
      <c r="B1997" t="s">
        <v>5146</v>
      </c>
      <c r="C1997" t="s">
        <v>21</v>
      </c>
      <c r="D1997" t="s">
        <v>35</v>
      </c>
      <c r="E1997" t="s">
        <v>36</v>
      </c>
      <c r="F1997" t="s">
        <v>24</v>
      </c>
      <c r="G1997" t="s">
        <v>21</v>
      </c>
      <c r="H1997" t="s">
        <v>26</v>
      </c>
      <c r="I1997">
        <v>0</v>
      </c>
      <c r="J1997">
        <v>0</v>
      </c>
      <c r="K1997">
        <v>0</v>
      </c>
      <c r="L1997">
        <v>0</v>
      </c>
      <c r="M1997" t="s">
        <v>76</v>
      </c>
      <c r="N1997" t="s">
        <v>76</v>
      </c>
      <c r="O1997" t="s">
        <v>77</v>
      </c>
      <c r="P1997" t="s">
        <v>76</v>
      </c>
      <c r="S1997" t="s">
        <v>5146</v>
      </c>
    </row>
    <row r="1998" spans="1:19" x14ac:dyDescent="0.3">
      <c r="A1998" t="s">
        <v>5147</v>
      </c>
      <c r="B1998" t="s">
        <v>5148</v>
      </c>
      <c r="C1998" t="s">
        <v>21</v>
      </c>
      <c r="D1998" t="s">
        <v>63</v>
      </c>
      <c r="E1998" t="s">
        <v>74</v>
      </c>
      <c r="F1998" t="s">
        <v>24</v>
      </c>
      <c r="G1998" t="s">
        <v>21</v>
      </c>
      <c r="H1998" t="s">
        <v>26</v>
      </c>
      <c r="I1998">
        <v>0</v>
      </c>
      <c r="J1998">
        <v>0</v>
      </c>
      <c r="K1998">
        <v>0</v>
      </c>
      <c r="L1998">
        <v>0</v>
      </c>
      <c r="M1998" t="s">
        <v>76</v>
      </c>
      <c r="N1998" t="s">
        <v>76</v>
      </c>
      <c r="O1998" t="s">
        <v>77</v>
      </c>
      <c r="P1998" t="s">
        <v>76</v>
      </c>
      <c r="S1998" t="s">
        <v>5148</v>
      </c>
    </row>
    <row r="1999" spans="1:19" x14ac:dyDescent="0.3">
      <c r="A1999" t="s">
        <v>5149</v>
      </c>
      <c r="B1999" t="s">
        <v>5150</v>
      </c>
      <c r="C1999" t="s">
        <v>73</v>
      </c>
      <c r="D1999" t="s">
        <v>63</v>
      </c>
      <c r="E1999" t="s">
        <v>74</v>
      </c>
      <c r="F1999" t="s">
        <v>73</v>
      </c>
      <c r="G1999" t="s">
        <v>608</v>
      </c>
      <c r="H1999" t="s">
        <v>213</v>
      </c>
      <c r="I1999">
        <v>0</v>
      </c>
      <c r="J1999">
        <v>0</v>
      </c>
      <c r="K1999">
        <v>0</v>
      </c>
      <c r="L1999">
        <v>0</v>
      </c>
      <c r="M1999" t="s">
        <v>76</v>
      </c>
      <c r="N1999" t="s">
        <v>76</v>
      </c>
      <c r="O1999" t="s">
        <v>77</v>
      </c>
      <c r="P1999" t="s">
        <v>76</v>
      </c>
      <c r="S1999" t="s">
        <v>5150</v>
      </c>
    </row>
    <row r="2000" spans="1:19" x14ac:dyDescent="0.3">
      <c r="A2000" t="s">
        <v>5151</v>
      </c>
      <c r="B2000" t="s">
        <v>5152</v>
      </c>
      <c r="C2000" t="s">
        <v>24</v>
      </c>
      <c r="D2000" t="s">
        <v>63</v>
      </c>
      <c r="E2000" t="s">
        <v>331</v>
      </c>
      <c r="F2000" t="s">
        <v>55</v>
      </c>
      <c r="G2000" t="s">
        <v>5151</v>
      </c>
      <c r="H2000" t="s">
        <v>213</v>
      </c>
      <c r="I2000">
        <v>0</v>
      </c>
      <c r="J2000">
        <v>0</v>
      </c>
      <c r="K2000">
        <v>0</v>
      </c>
      <c r="L2000">
        <v>0</v>
      </c>
      <c r="M2000" t="s">
        <v>76</v>
      </c>
      <c r="N2000" t="s">
        <v>76</v>
      </c>
      <c r="O2000" t="s">
        <v>77</v>
      </c>
      <c r="P2000" t="s">
        <v>76</v>
      </c>
      <c r="S2000" t="s">
        <v>5152</v>
      </c>
    </row>
    <row r="2001" spans="1:19" x14ac:dyDescent="0.3">
      <c r="A2001" t="s">
        <v>5153</v>
      </c>
      <c r="B2001" t="s">
        <v>5154</v>
      </c>
      <c r="C2001" t="s">
        <v>21</v>
      </c>
      <c r="D2001" t="s">
        <v>63</v>
      </c>
      <c r="E2001" t="s">
        <v>74</v>
      </c>
      <c r="F2001" t="s">
        <v>24</v>
      </c>
      <c r="G2001" t="s">
        <v>21</v>
      </c>
      <c r="H2001" t="s">
        <v>26</v>
      </c>
      <c r="I2001">
        <v>0</v>
      </c>
      <c r="J2001">
        <v>0</v>
      </c>
      <c r="K2001">
        <v>0</v>
      </c>
      <c r="L2001">
        <v>0</v>
      </c>
      <c r="M2001" t="s">
        <v>76</v>
      </c>
      <c r="N2001" t="s">
        <v>76</v>
      </c>
      <c r="O2001" t="s">
        <v>77</v>
      </c>
      <c r="P2001" t="s">
        <v>76</v>
      </c>
      <c r="S2001" t="s">
        <v>5154</v>
      </c>
    </row>
    <row r="2002" spans="1:19" x14ac:dyDescent="0.3">
      <c r="A2002" t="s">
        <v>5155</v>
      </c>
      <c r="B2002" t="s">
        <v>5156</v>
      </c>
      <c r="C2002" t="s">
        <v>43</v>
      </c>
      <c r="D2002" t="s">
        <v>63</v>
      </c>
      <c r="E2002" t="s">
        <v>74</v>
      </c>
      <c r="F2002" t="s">
        <v>45</v>
      </c>
      <c r="G2002" t="s">
        <v>43</v>
      </c>
      <c r="H2002" t="s">
        <v>26</v>
      </c>
      <c r="I2002">
        <v>0</v>
      </c>
      <c r="J2002">
        <v>0</v>
      </c>
      <c r="K2002">
        <v>0</v>
      </c>
      <c r="L2002">
        <v>0</v>
      </c>
      <c r="M2002" t="s">
        <v>76</v>
      </c>
      <c r="N2002" t="s">
        <v>76</v>
      </c>
      <c r="O2002" t="s">
        <v>77</v>
      </c>
      <c r="P2002" t="s">
        <v>76</v>
      </c>
      <c r="S2002" t="s">
        <v>5156</v>
      </c>
    </row>
    <row r="2003" spans="1:19" x14ac:dyDescent="0.3">
      <c r="A2003" t="s">
        <v>5157</v>
      </c>
      <c r="B2003" t="s">
        <v>5158</v>
      </c>
      <c r="C2003" t="s">
        <v>21</v>
      </c>
      <c r="D2003" t="s">
        <v>63</v>
      </c>
      <c r="E2003" t="s">
        <v>74</v>
      </c>
      <c r="F2003" t="s">
        <v>24</v>
      </c>
      <c r="G2003" t="s">
        <v>21</v>
      </c>
      <c r="H2003" t="s">
        <v>26</v>
      </c>
      <c r="I2003">
        <v>0</v>
      </c>
      <c r="J2003">
        <v>0</v>
      </c>
      <c r="K2003">
        <v>0</v>
      </c>
      <c r="L2003">
        <v>0</v>
      </c>
      <c r="M2003" t="s">
        <v>76</v>
      </c>
      <c r="N2003" t="s">
        <v>76</v>
      </c>
      <c r="O2003" t="s">
        <v>77</v>
      </c>
      <c r="P2003" t="s">
        <v>76</v>
      </c>
      <c r="S2003" t="s">
        <v>5158</v>
      </c>
    </row>
    <row r="2004" spans="1:19" x14ac:dyDescent="0.3">
      <c r="A2004" t="s">
        <v>5159</v>
      </c>
      <c r="B2004" t="s">
        <v>5160</v>
      </c>
      <c r="C2004" t="s">
        <v>24</v>
      </c>
      <c r="D2004" t="s">
        <v>63</v>
      </c>
      <c r="E2004" t="s">
        <v>323</v>
      </c>
      <c r="F2004" t="s">
        <v>144</v>
      </c>
      <c r="G2004" t="s">
        <v>5161</v>
      </c>
      <c r="H2004" t="s">
        <v>213</v>
      </c>
      <c r="I2004">
        <v>0</v>
      </c>
      <c r="J2004">
        <v>0</v>
      </c>
      <c r="K2004">
        <v>0</v>
      </c>
      <c r="L2004">
        <v>0</v>
      </c>
      <c r="M2004" t="s">
        <v>76</v>
      </c>
      <c r="N2004" t="s">
        <v>76</v>
      </c>
      <c r="O2004" t="s">
        <v>77</v>
      </c>
      <c r="P2004" t="s">
        <v>76</v>
      </c>
      <c r="S2004" t="s">
        <v>5160</v>
      </c>
    </row>
    <row r="2005" spans="1:19" x14ac:dyDescent="0.3">
      <c r="A2005" t="s">
        <v>5162</v>
      </c>
      <c r="B2005" t="s">
        <v>5163</v>
      </c>
      <c r="C2005" t="s">
        <v>45</v>
      </c>
      <c r="D2005" t="s">
        <v>35</v>
      </c>
      <c r="E2005" t="s">
        <v>560</v>
      </c>
      <c r="F2005" t="s">
        <v>144</v>
      </c>
      <c r="G2005" t="s">
        <v>145</v>
      </c>
      <c r="H2005" t="s">
        <v>26</v>
      </c>
      <c r="I2005">
        <v>0</v>
      </c>
      <c r="J2005">
        <v>0</v>
      </c>
      <c r="K2005">
        <v>0</v>
      </c>
      <c r="L2005">
        <v>0</v>
      </c>
      <c r="M2005" t="s">
        <v>76</v>
      </c>
      <c r="N2005" t="s">
        <v>76</v>
      </c>
      <c r="O2005" t="s">
        <v>77</v>
      </c>
      <c r="P2005" t="s">
        <v>76</v>
      </c>
      <c r="S2005" t="s">
        <v>5163</v>
      </c>
    </row>
    <row r="2006" spans="1:19" x14ac:dyDescent="0.3">
      <c r="A2006" t="s">
        <v>5164</v>
      </c>
      <c r="B2006" t="s">
        <v>5165</v>
      </c>
      <c r="C2006" t="s">
        <v>43</v>
      </c>
      <c r="D2006" t="s">
        <v>35</v>
      </c>
      <c r="E2006" t="s">
        <v>80</v>
      </c>
      <c r="F2006" t="s">
        <v>45</v>
      </c>
      <c r="G2006" t="s">
        <v>43</v>
      </c>
      <c r="H2006" t="s">
        <v>26</v>
      </c>
      <c r="I2006">
        <v>0</v>
      </c>
      <c r="J2006">
        <v>0</v>
      </c>
      <c r="K2006">
        <v>0</v>
      </c>
      <c r="L2006">
        <v>0</v>
      </c>
      <c r="M2006" t="s">
        <v>76</v>
      </c>
      <c r="N2006" t="s">
        <v>76</v>
      </c>
      <c r="O2006" t="s">
        <v>77</v>
      </c>
      <c r="P2006" t="s">
        <v>76</v>
      </c>
      <c r="S2006" t="s">
        <v>5165</v>
      </c>
    </row>
    <row r="2007" spans="1:19" x14ac:dyDescent="0.3">
      <c r="A2007" t="s">
        <v>5166</v>
      </c>
      <c r="B2007" t="s">
        <v>5167</v>
      </c>
      <c r="C2007" t="s">
        <v>45</v>
      </c>
      <c r="D2007" t="s">
        <v>63</v>
      </c>
      <c r="E2007" t="s">
        <v>74</v>
      </c>
      <c r="F2007" t="s">
        <v>144</v>
      </c>
      <c r="G2007" t="s">
        <v>145</v>
      </c>
      <c r="H2007" t="s">
        <v>26</v>
      </c>
      <c r="I2007">
        <v>0</v>
      </c>
      <c r="J2007">
        <v>0</v>
      </c>
      <c r="K2007">
        <v>0</v>
      </c>
      <c r="L2007">
        <v>0</v>
      </c>
      <c r="M2007" t="s">
        <v>76</v>
      </c>
      <c r="N2007" t="s">
        <v>76</v>
      </c>
      <c r="O2007" t="s">
        <v>77</v>
      </c>
      <c r="P2007" t="s">
        <v>76</v>
      </c>
      <c r="S2007" t="s">
        <v>5167</v>
      </c>
    </row>
    <row r="2008" spans="1:19" x14ac:dyDescent="0.3">
      <c r="A2008" t="s">
        <v>5168</v>
      </c>
      <c r="B2008" t="s">
        <v>5169</v>
      </c>
      <c r="C2008" t="s">
        <v>43</v>
      </c>
      <c r="D2008" t="s">
        <v>63</v>
      </c>
      <c r="E2008" t="s">
        <v>74</v>
      </c>
      <c r="F2008" t="s">
        <v>45</v>
      </c>
      <c r="G2008" t="s">
        <v>43</v>
      </c>
      <c r="H2008" t="s">
        <v>26</v>
      </c>
      <c r="I2008">
        <v>0</v>
      </c>
      <c r="J2008">
        <v>0</v>
      </c>
      <c r="K2008">
        <v>0</v>
      </c>
      <c r="L2008">
        <v>0</v>
      </c>
      <c r="M2008" t="s">
        <v>76</v>
      </c>
      <c r="N2008" t="s">
        <v>76</v>
      </c>
      <c r="O2008" t="s">
        <v>77</v>
      </c>
      <c r="P2008" t="s">
        <v>76</v>
      </c>
      <c r="S2008" t="s">
        <v>5169</v>
      </c>
    </row>
    <row r="2009" spans="1:19" x14ac:dyDescent="0.3">
      <c r="A2009" t="s">
        <v>5170</v>
      </c>
      <c r="B2009" t="s">
        <v>5171</v>
      </c>
      <c r="C2009" t="s">
        <v>43</v>
      </c>
      <c r="D2009" t="s">
        <v>63</v>
      </c>
      <c r="E2009" t="s">
        <v>74</v>
      </c>
      <c r="F2009" t="s">
        <v>45</v>
      </c>
      <c r="G2009" t="s">
        <v>43</v>
      </c>
      <c r="H2009" t="s">
        <v>26</v>
      </c>
      <c r="I2009">
        <v>0</v>
      </c>
      <c r="J2009">
        <v>0</v>
      </c>
      <c r="K2009">
        <v>0</v>
      </c>
      <c r="L2009">
        <v>0</v>
      </c>
      <c r="M2009" t="s">
        <v>76</v>
      </c>
      <c r="N2009" t="s">
        <v>76</v>
      </c>
      <c r="O2009" t="s">
        <v>77</v>
      </c>
      <c r="P2009" t="s">
        <v>76</v>
      </c>
      <c r="S2009" t="s">
        <v>5171</v>
      </c>
    </row>
    <row r="2010" spans="1:19" x14ac:dyDescent="0.3">
      <c r="A2010" t="s">
        <v>5172</v>
      </c>
      <c r="B2010" t="s">
        <v>5173</v>
      </c>
      <c r="C2010" t="s">
        <v>43</v>
      </c>
      <c r="D2010" t="s">
        <v>63</v>
      </c>
      <c r="E2010" t="s">
        <v>1132</v>
      </c>
      <c r="F2010" t="s">
        <v>45</v>
      </c>
      <c r="G2010" t="s">
        <v>43</v>
      </c>
      <c r="H2010" t="s">
        <v>26</v>
      </c>
      <c r="I2010">
        <v>0</v>
      </c>
      <c r="J2010">
        <v>0</v>
      </c>
      <c r="K2010">
        <v>0</v>
      </c>
      <c r="L2010">
        <v>0</v>
      </c>
      <c r="M2010" t="s">
        <v>76</v>
      </c>
      <c r="N2010" t="s">
        <v>76</v>
      </c>
      <c r="O2010" t="s">
        <v>77</v>
      </c>
      <c r="P2010" t="s">
        <v>76</v>
      </c>
      <c r="S2010" t="s">
        <v>5173</v>
      </c>
    </row>
    <row r="2011" spans="1:19" x14ac:dyDescent="0.3">
      <c r="A2011" t="s">
        <v>5174</v>
      </c>
      <c r="B2011" t="s">
        <v>5175</v>
      </c>
      <c r="C2011" t="s">
        <v>43</v>
      </c>
      <c r="D2011" t="s">
        <v>63</v>
      </c>
      <c r="E2011" t="s">
        <v>74</v>
      </c>
      <c r="F2011" t="s">
        <v>45</v>
      </c>
      <c r="G2011" t="s">
        <v>43</v>
      </c>
      <c r="H2011" t="s">
        <v>26</v>
      </c>
      <c r="I2011">
        <v>0</v>
      </c>
      <c r="J2011">
        <v>0</v>
      </c>
      <c r="K2011">
        <v>0</v>
      </c>
      <c r="L2011">
        <v>0</v>
      </c>
      <c r="M2011" t="s">
        <v>76</v>
      </c>
      <c r="N2011" t="s">
        <v>76</v>
      </c>
      <c r="O2011" t="s">
        <v>77</v>
      </c>
      <c r="P2011" t="s">
        <v>76</v>
      </c>
      <c r="S2011" t="s">
        <v>5175</v>
      </c>
    </row>
    <row r="2012" spans="1:19" x14ac:dyDescent="0.3">
      <c r="A2012" t="s">
        <v>5176</v>
      </c>
      <c r="B2012" t="s">
        <v>5177</v>
      </c>
      <c r="C2012" t="s">
        <v>43</v>
      </c>
      <c r="D2012" t="s">
        <v>63</v>
      </c>
      <c r="E2012" t="s">
        <v>74</v>
      </c>
      <c r="F2012" t="s">
        <v>45</v>
      </c>
      <c r="G2012" t="s">
        <v>43</v>
      </c>
      <c r="H2012" t="s">
        <v>26</v>
      </c>
      <c r="I2012">
        <v>0</v>
      </c>
      <c r="J2012">
        <v>0</v>
      </c>
      <c r="K2012">
        <v>0</v>
      </c>
      <c r="L2012">
        <v>0</v>
      </c>
      <c r="M2012" t="s">
        <v>76</v>
      </c>
      <c r="N2012" t="s">
        <v>76</v>
      </c>
      <c r="O2012" t="s">
        <v>77</v>
      </c>
      <c r="P2012" t="s">
        <v>76</v>
      </c>
      <c r="S2012" t="s">
        <v>5177</v>
      </c>
    </row>
    <row r="2013" spans="1:19" x14ac:dyDescent="0.3">
      <c r="A2013" t="s">
        <v>5178</v>
      </c>
      <c r="B2013" t="s">
        <v>5179</v>
      </c>
      <c r="C2013" t="s">
        <v>43</v>
      </c>
      <c r="D2013" t="s">
        <v>35</v>
      </c>
      <c r="E2013" t="s">
        <v>36</v>
      </c>
      <c r="F2013" t="s">
        <v>45</v>
      </c>
      <c r="G2013" t="s">
        <v>43</v>
      </c>
      <c r="H2013" t="s">
        <v>26</v>
      </c>
      <c r="I2013">
        <v>0</v>
      </c>
      <c r="J2013">
        <v>0</v>
      </c>
      <c r="K2013">
        <v>0</v>
      </c>
      <c r="L2013">
        <v>0</v>
      </c>
      <c r="M2013" t="s">
        <v>76</v>
      </c>
      <c r="N2013" t="s">
        <v>76</v>
      </c>
      <c r="O2013" t="s">
        <v>77</v>
      </c>
      <c r="P2013" t="s">
        <v>76</v>
      </c>
      <c r="S2013" t="s">
        <v>5179</v>
      </c>
    </row>
    <row r="2014" spans="1:19" x14ac:dyDescent="0.3">
      <c r="A2014" t="s">
        <v>5180</v>
      </c>
      <c r="B2014" t="s">
        <v>5181</v>
      </c>
      <c r="C2014" t="s">
        <v>228</v>
      </c>
      <c r="D2014" t="s">
        <v>35</v>
      </c>
      <c r="E2014" t="s">
        <v>389</v>
      </c>
      <c r="F2014" t="s">
        <v>228</v>
      </c>
      <c r="G2014" t="s">
        <v>5182</v>
      </c>
      <c r="H2014" t="s">
        <v>317</v>
      </c>
      <c r="I2014">
        <v>0</v>
      </c>
      <c r="J2014">
        <v>0</v>
      </c>
      <c r="K2014">
        <v>0</v>
      </c>
      <c r="L2014">
        <v>0</v>
      </c>
      <c r="M2014" t="s">
        <v>116</v>
      </c>
      <c r="N2014" t="s">
        <v>116</v>
      </c>
      <c r="O2014" t="s">
        <v>302</v>
      </c>
      <c r="P2014" t="s">
        <v>116</v>
      </c>
      <c r="Q2014" t="s">
        <v>5183</v>
      </c>
      <c r="R2014" t="s">
        <v>5184</v>
      </c>
      <c r="S2014" t="s">
        <v>5181</v>
      </c>
    </row>
    <row r="2015" spans="1:19" x14ac:dyDescent="0.3">
      <c r="A2015" t="s">
        <v>5185</v>
      </c>
      <c r="B2015" t="s">
        <v>5186</v>
      </c>
      <c r="C2015" t="s">
        <v>21</v>
      </c>
      <c r="D2015" t="s">
        <v>53</v>
      </c>
      <c r="E2015" t="s">
        <v>178</v>
      </c>
      <c r="F2015" t="s">
        <v>24</v>
      </c>
      <c r="G2015" t="s">
        <v>21</v>
      </c>
      <c r="H2015" t="s">
        <v>26</v>
      </c>
      <c r="I2015">
        <v>0</v>
      </c>
      <c r="J2015">
        <v>0</v>
      </c>
      <c r="K2015">
        <v>0</v>
      </c>
      <c r="L2015">
        <v>0</v>
      </c>
      <c r="M2015" t="s">
        <v>76</v>
      </c>
      <c r="N2015" t="s">
        <v>76</v>
      </c>
      <c r="O2015" t="s">
        <v>77</v>
      </c>
      <c r="P2015" t="s">
        <v>76</v>
      </c>
      <c r="S2015" t="s">
        <v>5186</v>
      </c>
    </row>
    <row r="2016" spans="1:19" x14ac:dyDescent="0.3">
      <c r="A2016" t="s">
        <v>5187</v>
      </c>
      <c r="B2016" t="s">
        <v>5188</v>
      </c>
      <c r="C2016" t="s">
        <v>243</v>
      </c>
      <c r="D2016" t="s">
        <v>35</v>
      </c>
      <c r="E2016" t="s">
        <v>560</v>
      </c>
      <c r="F2016" t="s">
        <v>243</v>
      </c>
      <c r="G2016" t="s">
        <v>244</v>
      </c>
      <c r="H2016" t="s">
        <v>317</v>
      </c>
      <c r="I2016">
        <v>0</v>
      </c>
      <c r="J2016">
        <v>0</v>
      </c>
      <c r="K2016">
        <v>0</v>
      </c>
      <c r="L2016">
        <v>0</v>
      </c>
      <c r="M2016" t="s">
        <v>76</v>
      </c>
      <c r="N2016" t="s">
        <v>76</v>
      </c>
      <c r="O2016" t="s">
        <v>77</v>
      </c>
      <c r="P2016" t="s">
        <v>76</v>
      </c>
      <c r="S2016" t="s">
        <v>5188</v>
      </c>
    </row>
    <row r="2017" spans="1:19" x14ac:dyDescent="0.3">
      <c r="A2017" t="s">
        <v>5189</v>
      </c>
      <c r="B2017" t="s">
        <v>5190</v>
      </c>
      <c r="C2017" t="s">
        <v>21</v>
      </c>
      <c r="D2017" t="s">
        <v>63</v>
      </c>
      <c r="E2017" t="s">
        <v>2033</v>
      </c>
      <c r="F2017" t="s">
        <v>24</v>
      </c>
      <c r="G2017" t="s">
        <v>21</v>
      </c>
      <c r="H2017" t="s">
        <v>213</v>
      </c>
      <c r="I2017">
        <v>0</v>
      </c>
      <c r="J2017">
        <v>0</v>
      </c>
      <c r="K2017">
        <v>0</v>
      </c>
      <c r="L2017">
        <v>0</v>
      </c>
      <c r="M2017" t="s">
        <v>76</v>
      </c>
      <c r="N2017" t="s">
        <v>76</v>
      </c>
      <c r="O2017" t="s">
        <v>77</v>
      </c>
      <c r="P2017" t="s">
        <v>76</v>
      </c>
      <c r="S2017" t="s">
        <v>5190</v>
      </c>
    </row>
    <row r="2018" spans="1:19" x14ac:dyDescent="0.3">
      <c r="A2018" t="s">
        <v>5191</v>
      </c>
      <c r="B2018" t="s">
        <v>5192</v>
      </c>
      <c r="C2018" t="s">
        <v>21</v>
      </c>
      <c r="D2018" t="s">
        <v>63</v>
      </c>
      <c r="E2018" t="s">
        <v>74</v>
      </c>
      <c r="F2018" t="s">
        <v>24</v>
      </c>
      <c r="G2018" t="s">
        <v>21</v>
      </c>
      <c r="H2018" t="s">
        <v>26</v>
      </c>
      <c r="I2018">
        <v>0</v>
      </c>
      <c r="J2018">
        <v>0</v>
      </c>
      <c r="K2018">
        <v>0</v>
      </c>
      <c r="L2018">
        <v>0</v>
      </c>
      <c r="M2018" t="s">
        <v>76</v>
      </c>
      <c r="N2018" t="s">
        <v>76</v>
      </c>
      <c r="O2018" t="s">
        <v>77</v>
      </c>
      <c r="P2018" t="s">
        <v>76</v>
      </c>
      <c r="S2018" t="s">
        <v>5192</v>
      </c>
    </row>
    <row r="2019" spans="1:19" x14ac:dyDescent="0.3">
      <c r="A2019" t="s">
        <v>5193</v>
      </c>
      <c r="B2019" t="s">
        <v>5194</v>
      </c>
      <c r="C2019" t="s">
        <v>228</v>
      </c>
      <c r="D2019" t="s">
        <v>35</v>
      </c>
      <c r="E2019" t="s">
        <v>80</v>
      </c>
      <c r="F2019" t="s">
        <v>228</v>
      </c>
      <c r="G2019" t="s">
        <v>1046</v>
      </c>
      <c r="H2019" t="s">
        <v>317</v>
      </c>
      <c r="I2019">
        <v>0</v>
      </c>
      <c r="J2019">
        <v>0</v>
      </c>
      <c r="K2019">
        <v>0</v>
      </c>
      <c r="L2019">
        <v>0</v>
      </c>
      <c r="M2019" t="s">
        <v>76</v>
      </c>
      <c r="N2019" t="s">
        <v>76</v>
      </c>
      <c r="O2019" t="s">
        <v>77</v>
      </c>
      <c r="P2019" t="s">
        <v>76</v>
      </c>
      <c r="S2019" t="s">
        <v>5194</v>
      </c>
    </row>
    <row r="2020" spans="1:19" x14ac:dyDescent="0.3">
      <c r="A2020" t="s">
        <v>5195</v>
      </c>
      <c r="B2020" t="s">
        <v>5196</v>
      </c>
      <c r="C2020" t="s">
        <v>228</v>
      </c>
      <c r="D2020" t="s">
        <v>35</v>
      </c>
      <c r="E2020" t="s">
        <v>389</v>
      </c>
      <c r="F2020" t="s">
        <v>228</v>
      </c>
      <c r="G2020" t="s">
        <v>5195</v>
      </c>
      <c r="H2020" t="s">
        <v>317</v>
      </c>
      <c r="I2020">
        <v>0</v>
      </c>
      <c r="J2020">
        <v>0</v>
      </c>
      <c r="K2020">
        <v>0</v>
      </c>
      <c r="L2020">
        <v>0</v>
      </c>
      <c r="M2020" t="s">
        <v>76</v>
      </c>
      <c r="N2020" t="s">
        <v>76</v>
      </c>
      <c r="O2020" t="s">
        <v>77</v>
      </c>
      <c r="P2020" t="s">
        <v>76</v>
      </c>
      <c r="S2020" t="s">
        <v>5196</v>
      </c>
    </row>
    <row r="2021" spans="1:19" x14ac:dyDescent="0.3">
      <c r="A2021" t="s">
        <v>5197</v>
      </c>
      <c r="B2021" t="s">
        <v>5198</v>
      </c>
      <c r="C2021" t="s">
        <v>228</v>
      </c>
      <c r="D2021" t="s">
        <v>35</v>
      </c>
      <c r="E2021" t="s">
        <v>560</v>
      </c>
      <c r="F2021" t="s">
        <v>228</v>
      </c>
      <c r="G2021" t="s">
        <v>5199</v>
      </c>
      <c r="H2021" t="s">
        <v>317</v>
      </c>
      <c r="I2021">
        <v>0</v>
      </c>
      <c r="J2021">
        <v>0</v>
      </c>
      <c r="K2021">
        <v>0</v>
      </c>
      <c r="L2021">
        <v>0</v>
      </c>
      <c r="M2021" t="s">
        <v>76</v>
      </c>
      <c r="N2021" t="s">
        <v>76</v>
      </c>
      <c r="O2021" t="s">
        <v>77</v>
      </c>
      <c r="P2021" t="s">
        <v>76</v>
      </c>
      <c r="S2021" t="s">
        <v>5198</v>
      </c>
    </row>
    <row r="2022" spans="1:19" x14ac:dyDescent="0.3">
      <c r="A2022" t="s">
        <v>5200</v>
      </c>
      <c r="B2022" t="s">
        <v>5201</v>
      </c>
      <c r="C2022" t="s">
        <v>45</v>
      </c>
      <c r="D2022" t="s">
        <v>35</v>
      </c>
      <c r="E2022" t="s">
        <v>178</v>
      </c>
      <c r="F2022" t="s">
        <v>144</v>
      </c>
      <c r="G2022" t="s">
        <v>145</v>
      </c>
      <c r="H2022" t="s">
        <v>26</v>
      </c>
      <c r="I2022">
        <v>0</v>
      </c>
      <c r="J2022">
        <v>0</v>
      </c>
      <c r="K2022">
        <v>0</v>
      </c>
      <c r="L2022">
        <v>0</v>
      </c>
      <c r="M2022" t="s">
        <v>76</v>
      </c>
      <c r="N2022" t="s">
        <v>76</v>
      </c>
      <c r="O2022" t="s">
        <v>77</v>
      </c>
      <c r="P2022" t="s">
        <v>76</v>
      </c>
      <c r="S2022" t="s">
        <v>5201</v>
      </c>
    </row>
    <row r="2023" spans="1:19" x14ac:dyDescent="0.3">
      <c r="A2023" t="s">
        <v>5202</v>
      </c>
      <c r="B2023" t="s">
        <v>5203</v>
      </c>
      <c r="C2023" t="s">
        <v>24</v>
      </c>
      <c r="D2023" t="s">
        <v>63</v>
      </c>
      <c r="E2023" t="s">
        <v>74</v>
      </c>
      <c r="F2023" t="s">
        <v>144</v>
      </c>
      <c r="G2023" t="s">
        <v>261</v>
      </c>
      <c r="H2023" t="s">
        <v>26</v>
      </c>
      <c r="I2023">
        <v>0</v>
      </c>
      <c r="J2023">
        <v>0</v>
      </c>
      <c r="K2023">
        <v>0</v>
      </c>
      <c r="L2023">
        <v>0</v>
      </c>
      <c r="M2023" t="s">
        <v>76</v>
      </c>
      <c r="N2023" t="s">
        <v>76</v>
      </c>
      <c r="O2023" t="s">
        <v>77</v>
      </c>
      <c r="P2023" t="s">
        <v>76</v>
      </c>
      <c r="S2023" t="s">
        <v>5203</v>
      </c>
    </row>
    <row r="2024" spans="1:19" x14ac:dyDescent="0.3">
      <c r="A2024" t="s">
        <v>5204</v>
      </c>
      <c r="B2024" t="s">
        <v>5205</v>
      </c>
      <c r="C2024" t="s">
        <v>314</v>
      </c>
      <c r="D2024" t="s">
        <v>63</v>
      </c>
      <c r="E2024" t="s">
        <v>74</v>
      </c>
      <c r="F2024" t="s">
        <v>314</v>
      </c>
      <c r="G2024" t="s">
        <v>5204</v>
      </c>
      <c r="H2024" t="s">
        <v>75</v>
      </c>
      <c r="I2024">
        <v>0</v>
      </c>
      <c r="J2024">
        <v>0</v>
      </c>
      <c r="K2024">
        <v>0</v>
      </c>
      <c r="L2024">
        <v>0</v>
      </c>
      <c r="M2024" t="s">
        <v>76</v>
      </c>
      <c r="N2024" t="s">
        <v>76</v>
      </c>
      <c r="O2024" t="s">
        <v>77</v>
      </c>
      <c r="P2024" t="s">
        <v>76</v>
      </c>
      <c r="S2024" t="s">
        <v>5205</v>
      </c>
    </row>
    <row r="2025" spans="1:19" x14ac:dyDescent="0.3">
      <c r="A2025" t="s">
        <v>5206</v>
      </c>
      <c r="B2025" t="s">
        <v>5207</v>
      </c>
      <c r="C2025" t="s">
        <v>314</v>
      </c>
      <c r="D2025" t="s">
        <v>35</v>
      </c>
      <c r="E2025" t="s">
        <v>560</v>
      </c>
      <c r="F2025" t="s">
        <v>314</v>
      </c>
      <c r="G2025" t="s">
        <v>3538</v>
      </c>
      <c r="H2025" t="s">
        <v>317</v>
      </c>
      <c r="I2025">
        <v>0</v>
      </c>
      <c r="J2025">
        <v>0</v>
      </c>
      <c r="K2025">
        <v>0</v>
      </c>
      <c r="L2025">
        <v>0</v>
      </c>
      <c r="M2025" t="s">
        <v>76</v>
      </c>
      <c r="N2025" t="s">
        <v>76</v>
      </c>
      <c r="O2025" t="s">
        <v>77</v>
      </c>
      <c r="P2025" t="s">
        <v>76</v>
      </c>
      <c r="S2025" t="s">
        <v>5207</v>
      </c>
    </row>
    <row r="2026" spans="1:19" x14ac:dyDescent="0.3">
      <c r="A2026" t="s">
        <v>5208</v>
      </c>
      <c r="B2026" t="s">
        <v>5209</v>
      </c>
      <c r="C2026" t="s">
        <v>73</v>
      </c>
      <c r="D2026" t="s">
        <v>53</v>
      </c>
      <c r="E2026" t="s">
        <v>400</v>
      </c>
      <c r="F2026" t="s">
        <v>73</v>
      </c>
      <c r="G2026" t="s">
        <v>5208</v>
      </c>
      <c r="H2026" t="s">
        <v>317</v>
      </c>
      <c r="I2026">
        <v>0</v>
      </c>
      <c r="J2026">
        <v>0</v>
      </c>
      <c r="K2026">
        <v>0</v>
      </c>
      <c r="L2026">
        <v>0</v>
      </c>
      <c r="M2026" t="s">
        <v>76</v>
      </c>
      <c r="N2026" t="s">
        <v>76</v>
      </c>
      <c r="O2026" t="s">
        <v>77</v>
      </c>
      <c r="P2026" t="s">
        <v>76</v>
      </c>
      <c r="S2026" t="s">
        <v>5209</v>
      </c>
    </row>
    <row r="2027" spans="1:19" x14ac:dyDescent="0.3">
      <c r="A2027" t="s">
        <v>5210</v>
      </c>
      <c r="B2027" t="s">
        <v>5211</v>
      </c>
      <c r="C2027" t="s">
        <v>73</v>
      </c>
      <c r="D2027" t="s">
        <v>189</v>
      </c>
      <c r="F2027" t="s">
        <v>73</v>
      </c>
      <c r="G2027" t="s">
        <v>876</v>
      </c>
      <c r="H2027" t="s">
        <v>75</v>
      </c>
      <c r="I2027">
        <v>0</v>
      </c>
      <c r="J2027">
        <v>0</v>
      </c>
      <c r="K2027">
        <v>0</v>
      </c>
      <c r="L2027">
        <v>0</v>
      </c>
      <c r="M2027" t="s">
        <v>57</v>
      </c>
      <c r="N2027" t="s">
        <v>28</v>
      </c>
      <c r="O2027" t="s">
        <v>58</v>
      </c>
      <c r="P2027" t="s">
        <v>30</v>
      </c>
      <c r="Q2027" t="s">
        <v>899</v>
      </c>
      <c r="R2027" t="s">
        <v>900</v>
      </c>
      <c r="S2027" t="s">
        <v>901</v>
      </c>
    </row>
    <row r="2028" spans="1:19" x14ac:dyDescent="0.3">
      <c r="A2028" t="s">
        <v>5212</v>
      </c>
      <c r="B2028" t="s">
        <v>5213</v>
      </c>
      <c r="C2028" t="s">
        <v>114</v>
      </c>
      <c r="D2028" t="s">
        <v>63</v>
      </c>
      <c r="E2028" t="s">
        <v>555</v>
      </c>
      <c r="F2028" t="s">
        <v>114</v>
      </c>
      <c r="G2028" t="s">
        <v>190</v>
      </c>
      <c r="H2028" t="s">
        <v>75</v>
      </c>
      <c r="I2028">
        <v>0</v>
      </c>
      <c r="J2028">
        <v>0</v>
      </c>
      <c r="K2028">
        <v>0</v>
      </c>
      <c r="L2028">
        <v>0</v>
      </c>
      <c r="M2028" t="s">
        <v>76</v>
      </c>
      <c r="N2028" t="s">
        <v>76</v>
      </c>
      <c r="O2028" t="s">
        <v>77</v>
      </c>
      <c r="P2028" t="s">
        <v>76</v>
      </c>
      <c r="S2028" t="s">
        <v>5213</v>
      </c>
    </row>
    <row r="2029" spans="1:19" x14ac:dyDescent="0.3">
      <c r="A2029" t="s">
        <v>5214</v>
      </c>
      <c r="B2029" t="s">
        <v>5215</v>
      </c>
      <c r="C2029" t="s">
        <v>114</v>
      </c>
      <c r="D2029" t="s">
        <v>63</v>
      </c>
      <c r="F2029" t="s">
        <v>114</v>
      </c>
      <c r="G2029" t="s">
        <v>190</v>
      </c>
      <c r="H2029" t="s">
        <v>75</v>
      </c>
      <c r="I2029">
        <v>0</v>
      </c>
      <c r="J2029">
        <v>0</v>
      </c>
      <c r="K2029">
        <v>0</v>
      </c>
      <c r="L2029">
        <v>0</v>
      </c>
      <c r="M2029" t="s">
        <v>76</v>
      </c>
      <c r="N2029" t="s">
        <v>76</v>
      </c>
      <c r="O2029" t="s">
        <v>77</v>
      </c>
      <c r="P2029" t="s">
        <v>76</v>
      </c>
      <c r="S2029" t="s">
        <v>5215</v>
      </c>
    </row>
    <row r="2030" spans="1:19" x14ac:dyDescent="0.3">
      <c r="A2030" t="s">
        <v>5216</v>
      </c>
      <c r="B2030" t="s">
        <v>5217</v>
      </c>
      <c r="C2030" t="s">
        <v>114</v>
      </c>
      <c r="D2030" t="s">
        <v>63</v>
      </c>
      <c r="E2030" t="s">
        <v>74</v>
      </c>
      <c r="F2030" t="s">
        <v>45</v>
      </c>
      <c r="G2030" t="s">
        <v>5218</v>
      </c>
      <c r="H2030" t="s">
        <v>317</v>
      </c>
      <c r="I2030">
        <v>0</v>
      </c>
      <c r="J2030">
        <v>0</v>
      </c>
      <c r="K2030">
        <v>0</v>
      </c>
      <c r="L2030">
        <v>0</v>
      </c>
      <c r="M2030" t="s">
        <v>76</v>
      </c>
      <c r="N2030" t="s">
        <v>76</v>
      </c>
      <c r="O2030" t="s">
        <v>77</v>
      </c>
      <c r="P2030" t="s">
        <v>76</v>
      </c>
      <c r="S2030" t="s">
        <v>5217</v>
      </c>
    </row>
    <row r="2031" spans="1:19" x14ac:dyDescent="0.3">
      <c r="A2031" t="s">
        <v>5219</v>
      </c>
      <c r="B2031" t="s">
        <v>5220</v>
      </c>
      <c r="C2031" t="s">
        <v>73</v>
      </c>
      <c r="D2031" t="s">
        <v>35</v>
      </c>
      <c r="E2031" t="s">
        <v>44</v>
      </c>
      <c r="F2031" t="s">
        <v>73</v>
      </c>
      <c r="G2031" t="s">
        <v>5221</v>
      </c>
      <c r="H2031" t="s">
        <v>317</v>
      </c>
      <c r="I2031">
        <v>0</v>
      </c>
      <c r="J2031">
        <v>0</v>
      </c>
      <c r="K2031">
        <v>0</v>
      </c>
      <c r="L2031">
        <v>0</v>
      </c>
      <c r="M2031" t="s">
        <v>76</v>
      </c>
      <c r="N2031" t="s">
        <v>76</v>
      </c>
      <c r="O2031" t="s">
        <v>77</v>
      </c>
      <c r="P2031" t="s">
        <v>76</v>
      </c>
      <c r="S2031" t="s">
        <v>5220</v>
      </c>
    </row>
    <row r="2032" spans="1:19" x14ac:dyDescent="0.3">
      <c r="A2032" t="s">
        <v>5222</v>
      </c>
      <c r="B2032" t="s">
        <v>5223</v>
      </c>
      <c r="C2032" t="s">
        <v>73</v>
      </c>
      <c r="D2032" t="s">
        <v>35</v>
      </c>
      <c r="E2032" t="s">
        <v>389</v>
      </c>
      <c r="F2032" t="s">
        <v>73</v>
      </c>
      <c r="G2032" t="s">
        <v>5222</v>
      </c>
      <c r="H2032" t="s">
        <v>317</v>
      </c>
      <c r="I2032">
        <v>0</v>
      </c>
      <c r="J2032">
        <v>0</v>
      </c>
      <c r="K2032">
        <v>0</v>
      </c>
      <c r="L2032">
        <v>0</v>
      </c>
      <c r="M2032" t="s">
        <v>76</v>
      </c>
      <c r="N2032" t="s">
        <v>76</v>
      </c>
      <c r="O2032" t="s">
        <v>77</v>
      </c>
      <c r="P2032" t="s">
        <v>76</v>
      </c>
      <c r="S2032" t="s">
        <v>5223</v>
      </c>
    </row>
    <row r="2033" spans="1:19" x14ac:dyDescent="0.3">
      <c r="A2033" t="s">
        <v>5224</v>
      </c>
      <c r="B2033" t="s">
        <v>5225</v>
      </c>
      <c r="C2033" t="s">
        <v>73</v>
      </c>
      <c r="D2033" t="s">
        <v>63</v>
      </c>
      <c r="E2033" t="s">
        <v>1751</v>
      </c>
      <c r="F2033" t="s">
        <v>73</v>
      </c>
      <c r="G2033" t="s">
        <v>5224</v>
      </c>
      <c r="H2033" t="s">
        <v>75</v>
      </c>
      <c r="I2033">
        <v>0</v>
      </c>
      <c r="J2033">
        <v>0</v>
      </c>
      <c r="K2033">
        <v>0</v>
      </c>
      <c r="L2033">
        <v>0</v>
      </c>
      <c r="M2033" t="s">
        <v>63</v>
      </c>
      <c r="N2033" t="s">
        <v>28</v>
      </c>
      <c r="O2033" t="s">
        <v>86</v>
      </c>
      <c r="P2033" t="s">
        <v>30</v>
      </c>
      <c r="Q2033" t="s">
        <v>5226</v>
      </c>
      <c r="R2033" t="s">
        <v>5227</v>
      </c>
      <c r="S2033" t="s">
        <v>5225</v>
      </c>
    </row>
    <row r="2034" spans="1:19" x14ac:dyDescent="0.3">
      <c r="A2034" t="s">
        <v>5228</v>
      </c>
      <c r="B2034" t="s">
        <v>5229</v>
      </c>
      <c r="C2034" t="s">
        <v>73</v>
      </c>
      <c r="D2034" t="s">
        <v>63</v>
      </c>
      <c r="E2034" t="s">
        <v>74</v>
      </c>
      <c r="F2034" t="s">
        <v>73</v>
      </c>
      <c r="G2034" t="s">
        <v>5228</v>
      </c>
      <c r="H2034" t="s">
        <v>75</v>
      </c>
      <c r="I2034">
        <v>0</v>
      </c>
      <c r="J2034">
        <v>0</v>
      </c>
      <c r="K2034">
        <v>0</v>
      </c>
      <c r="L2034">
        <v>0</v>
      </c>
      <c r="M2034" t="s">
        <v>76</v>
      </c>
      <c r="N2034" t="s">
        <v>76</v>
      </c>
      <c r="O2034" t="s">
        <v>77</v>
      </c>
      <c r="P2034" t="s">
        <v>76</v>
      </c>
      <c r="S2034" t="s">
        <v>5229</v>
      </c>
    </row>
    <row r="2035" spans="1:19" x14ac:dyDescent="0.3">
      <c r="A2035" t="s">
        <v>5230</v>
      </c>
      <c r="B2035" t="s">
        <v>5231</v>
      </c>
      <c r="C2035" t="s">
        <v>114</v>
      </c>
      <c r="D2035" t="s">
        <v>63</v>
      </c>
      <c r="E2035" t="s">
        <v>74</v>
      </c>
      <c r="F2035" t="s">
        <v>114</v>
      </c>
      <c r="G2035" t="s">
        <v>190</v>
      </c>
      <c r="H2035" t="s">
        <v>75</v>
      </c>
      <c r="I2035">
        <v>0</v>
      </c>
      <c r="J2035">
        <v>0</v>
      </c>
      <c r="K2035">
        <v>0</v>
      </c>
      <c r="L2035">
        <v>0</v>
      </c>
      <c r="M2035" t="s">
        <v>76</v>
      </c>
      <c r="N2035" t="s">
        <v>76</v>
      </c>
      <c r="O2035" t="s">
        <v>77</v>
      </c>
      <c r="P2035" t="s">
        <v>76</v>
      </c>
      <c r="S2035" t="s">
        <v>5231</v>
      </c>
    </row>
    <row r="2036" spans="1:19" x14ac:dyDescent="0.3">
      <c r="A2036" t="s">
        <v>5232</v>
      </c>
      <c r="B2036" t="s">
        <v>5233</v>
      </c>
      <c r="C2036" t="s">
        <v>314</v>
      </c>
      <c r="D2036" t="s">
        <v>63</v>
      </c>
      <c r="E2036" t="s">
        <v>74</v>
      </c>
      <c r="F2036" t="s">
        <v>314</v>
      </c>
      <c r="G2036" t="s">
        <v>5232</v>
      </c>
      <c r="H2036" t="s">
        <v>317</v>
      </c>
      <c r="I2036">
        <v>0</v>
      </c>
      <c r="J2036">
        <v>0</v>
      </c>
      <c r="K2036">
        <v>0</v>
      </c>
      <c r="L2036">
        <v>0</v>
      </c>
      <c r="M2036" t="s">
        <v>76</v>
      </c>
      <c r="N2036" t="s">
        <v>76</v>
      </c>
      <c r="O2036" t="s">
        <v>77</v>
      </c>
      <c r="P2036" t="s">
        <v>76</v>
      </c>
      <c r="S2036" t="s">
        <v>5233</v>
      </c>
    </row>
    <row r="2037" spans="1:19" x14ac:dyDescent="0.3">
      <c r="A2037" t="s">
        <v>5234</v>
      </c>
      <c r="B2037" t="s">
        <v>5235</v>
      </c>
      <c r="C2037" t="s">
        <v>314</v>
      </c>
      <c r="D2037" t="s">
        <v>35</v>
      </c>
      <c r="E2037" t="s">
        <v>44</v>
      </c>
      <c r="F2037" t="s">
        <v>314</v>
      </c>
      <c r="G2037" t="s">
        <v>5234</v>
      </c>
      <c r="H2037" t="s">
        <v>317</v>
      </c>
      <c r="I2037">
        <v>0</v>
      </c>
      <c r="J2037">
        <v>0</v>
      </c>
      <c r="K2037">
        <v>0</v>
      </c>
      <c r="L2037">
        <v>0</v>
      </c>
      <c r="M2037" t="s">
        <v>76</v>
      </c>
      <c r="N2037" t="s">
        <v>76</v>
      </c>
      <c r="O2037" t="s">
        <v>77</v>
      </c>
      <c r="P2037" t="s">
        <v>76</v>
      </c>
      <c r="S2037" t="s">
        <v>5235</v>
      </c>
    </row>
    <row r="2038" spans="1:19" x14ac:dyDescent="0.3">
      <c r="A2038" t="s">
        <v>5236</v>
      </c>
      <c r="B2038" t="s">
        <v>5237</v>
      </c>
      <c r="C2038" t="s">
        <v>43</v>
      </c>
      <c r="D2038" t="s">
        <v>63</v>
      </c>
      <c r="E2038" t="s">
        <v>74</v>
      </c>
      <c r="F2038" t="s">
        <v>45</v>
      </c>
      <c r="G2038" t="s">
        <v>43</v>
      </c>
      <c r="H2038" t="s">
        <v>26</v>
      </c>
      <c r="I2038">
        <v>0</v>
      </c>
      <c r="J2038">
        <v>0</v>
      </c>
      <c r="K2038">
        <v>0</v>
      </c>
      <c r="L2038">
        <v>0</v>
      </c>
      <c r="M2038" t="s">
        <v>76</v>
      </c>
      <c r="N2038" t="s">
        <v>76</v>
      </c>
      <c r="O2038" t="s">
        <v>77</v>
      </c>
      <c r="P2038" t="s">
        <v>76</v>
      </c>
      <c r="S2038" t="s">
        <v>5237</v>
      </c>
    </row>
    <row r="2039" spans="1:19" x14ac:dyDescent="0.3">
      <c r="A2039" t="s">
        <v>5238</v>
      </c>
      <c r="B2039" t="s">
        <v>5239</v>
      </c>
      <c r="C2039" t="s">
        <v>314</v>
      </c>
      <c r="F2039" t="s">
        <v>314</v>
      </c>
      <c r="G2039" t="s">
        <v>3646</v>
      </c>
      <c r="H2039" t="s">
        <v>317</v>
      </c>
      <c r="I2039">
        <v>0</v>
      </c>
      <c r="J2039">
        <v>0</v>
      </c>
      <c r="K2039">
        <v>0</v>
      </c>
      <c r="L2039">
        <v>0</v>
      </c>
      <c r="M2039" t="s">
        <v>76</v>
      </c>
      <c r="N2039" t="s">
        <v>76</v>
      </c>
      <c r="O2039" t="s">
        <v>77</v>
      </c>
      <c r="P2039" t="s">
        <v>76</v>
      </c>
      <c r="S2039" t="s">
        <v>5239</v>
      </c>
    </row>
    <row r="2040" spans="1:19" x14ac:dyDescent="0.3">
      <c r="A2040" t="s">
        <v>5240</v>
      </c>
      <c r="B2040" t="s">
        <v>5241</v>
      </c>
      <c r="C2040" t="s">
        <v>114</v>
      </c>
      <c r="D2040" t="s">
        <v>63</v>
      </c>
      <c r="E2040" t="s">
        <v>74</v>
      </c>
      <c r="F2040" t="s">
        <v>114</v>
      </c>
      <c r="G2040" t="s">
        <v>362</v>
      </c>
      <c r="H2040" t="s">
        <v>317</v>
      </c>
      <c r="I2040">
        <v>0</v>
      </c>
      <c r="J2040">
        <v>0</v>
      </c>
      <c r="K2040">
        <v>0</v>
      </c>
      <c r="L2040">
        <v>0</v>
      </c>
      <c r="M2040" t="s">
        <v>76</v>
      </c>
      <c r="N2040" t="s">
        <v>76</v>
      </c>
      <c r="O2040" t="s">
        <v>77</v>
      </c>
      <c r="P2040" t="s">
        <v>76</v>
      </c>
      <c r="S2040" t="s">
        <v>5241</v>
      </c>
    </row>
    <row r="2041" spans="1:19" x14ac:dyDescent="0.3">
      <c r="A2041" t="s">
        <v>5242</v>
      </c>
      <c r="B2041" t="s">
        <v>5243</v>
      </c>
      <c r="C2041" t="s">
        <v>73</v>
      </c>
      <c r="D2041" t="s">
        <v>63</v>
      </c>
      <c r="E2041" t="s">
        <v>2033</v>
      </c>
      <c r="F2041" t="s">
        <v>73</v>
      </c>
      <c r="G2041" t="s">
        <v>5242</v>
      </c>
      <c r="H2041" t="s">
        <v>317</v>
      </c>
      <c r="I2041">
        <v>0</v>
      </c>
      <c r="J2041">
        <v>0</v>
      </c>
      <c r="K2041">
        <v>0</v>
      </c>
      <c r="L2041">
        <v>0</v>
      </c>
      <c r="M2041" t="s">
        <v>76</v>
      </c>
      <c r="N2041" t="s">
        <v>76</v>
      </c>
      <c r="O2041" t="s">
        <v>77</v>
      </c>
      <c r="P2041" t="s">
        <v>76</v>
      </c>
      <c r="Q2041" t="s">
        <v>707</v>
      </c>
      <c r="S2041" t="s">
        <v>5243</v>
      </c>
    </row>
    <row r="2042" spans="1:19" x14ac:dyDescent="0.3">
      <c r="A2042" t="s">
        <v>5244</v>
      </c>
      <c r="B2042" t="s">
        <v>5245</v>
      </c>
      <c r="C2042" t="s">
        <v>228</v>
      </c>
      <c r="D2042" t="s">
        <v>63</v>
      </c>
      <c r="E2042" t="s">
        <v>331</v>
      </c>
      <c r="F2042" t="s">
        <v>228</v>
      </c>
      <c r="G2042" t="s">
        <v>5246</v>
      </c>
      <c r="H2042" t="s">
        <v>317</v>
      </c>
      <c r="I2042">
        <v>0</v>
      </c>
      <c r="J2042">
        <v>0</v>
      </c>
      <c r="K2042">
        <v>0</v>
      </c>
      <c r="L2042">
        <v>0</v>
      </c>
      <c r="M2042" t="s">
        <v>76</v>
      </c>
      <c r="N2042" t="s">
        <v>76</v>
      </c>
      <c r="O2042" t="s">
        <v>77</v>
      </c>
      <c r="P2042" t="s">
        <v>76</v>
      </c>
      <c r="S2042" t="s">
        <v>5245</v>
      </c>
    </row>
    <row r="2043" spans="1:19" x14ac:dyDescent="0.3">
      <c r="A2043" t="s">
        <v>5247</v>
      </c>
      <c r="B2043" t="s">
        <v>5248</v>
      </c>
      <c r="C2043" t="s">
        <v>314</v>
      </c>
      <c r="F2043" t="s">
        <v>314</v>
      </c>
      <c r="G2043" t="s">
        <v>5249</v>
      </c>
      <c r="H2043" t="s">
        <v>317</v>
      </c>
      <c r="I2043">
        <v>0</v>
      </c>
      <c r="J2043">
        <v>0</v>
      </c>
      <c r="K2043">
        <v>0</v>
      </c>
      <c r="L2043">
        <v>0</v>
      </c>
      <c r="M2043" t="s">
        <v>76</v>
      </c>
      <c r="N2043" t="s">
        <v>76</v>
      </c>
      <c r="O2043" t="s">
        <v>77</v>
      </c>
      <c r="P2043" t="s">
        <v>76</v>
      </c>
      <c r="Q2043" t="s">
        <v>707</v>
      </c>
      <c r="S2043" t="s">
        <v>5248</v>
      </c>
    </row>
    <row r="2044" spans="1:19" x14ac:dyDescent="0.3">
      <c r="A2044" t="s">
        <v>5250</v>
      </c>
      <c r="B2044" t="s">
        <v>5251</v>
      </c>
      <c r="C2044" t="s">
        <v>43</v>
      </c>
      <c r="D2044" t="s">
        <v>63</v>
      </c>
      <c r="E2044" t="s">
        <v>555</v>
      </c>
      <c r="F2044" t="s">
        <v>45</v>
      </c>
      <c r="G2044" t="s">
        <v>43</v>
      </c>
      <c r="H2044" t="s">
        <v>26</v>
      </c>
      <c r="I2044">
        <v>0</v>
      </c>
      <c r="J2044">
        <v>0</v>
      </c>
      <c r="K2044">
        <v>0</v>
      </c>
      <c r="L2044">
        <v>0</v>
      </c>
      <c r="M2044" t="s">
        <v>76</v>
      </c>
      <c r="N2044" t="s">
        <v>76</v>
      </c>
      <c r="O2044" t="s">
        <v>77</v>
      </c>
      <c r="P2044" t="s">
        <v>76</v>
      </c>
      <c r="S2044" t="s">
        <v>5251</v>
      </c>
    </row>
    <row r="2045" spans="1:19" x14ac:dyDescent="0.3">
      <c r="A2045" t="s">
        <v>5252</v>
      </c>
      <c r="B2045" t="s">
        <v>5253</v>
      </c>
      <c r="C2045" t="s">
        <v>73</v>
      </c>
      <c r="D2045" t="s">
        <v>63</v>
      </c>
      <c r="E2045" t="s">
        <v>323</v>
      </c>
      <c r="F2045" t="s">
        <v>73</v>
      </c>
      <c r="G2045" t="s">
        <v>5254</v>
      </c>
      <c r="H2045" t="s">
        <v>317</v>
      </c>
      <c r="I2045">
        <v>0</v>
      </c>
      <c r="J2045">
        <v>0</v>
      </c>
      <c r="K2045">
        <v>0</v>
      </c>
      <c r="L2045">
        <v>0</v>
      </c>
      <c r="M2045" t="s">
        <v>76</v>
      </c>
      <c r="N2045" t="s">
        <v>76</v>
      </c>
      <c r="O2045" t="s">
        <v>77</v>
      </c>
      <c r="P2045" t="s">
        <v>76</v>
      </c>
      <c r="S2045" t="s">
        <v>5253</v>
      </c>
    </row>
    <row r="2046" spans="1:19" x14ac:dyDescent="0.3">
      <c r="A2046" t="s">
        <v>5255</v>
      </c>
      <c r="B2046" t="s">
        <v>5256</v>
      </c>
      <c r="C2046" t="s">
        <v>338</v>
      </c>
      <c r="D2046" t="s">
        <v>63</v>
      </c>
      <c r="E2046" t="s">
        <v>74</v>
      </c>
      <c r="F2046" t="s">
        <v>314</v>
      </c>
      <c r="G2046" t="s">
        <v>5257</v>
      </c>
      <c r="H2046" t="s">
        <v>317</v>
      </c>
      <c r="I2046">
        <v>0</v>
      </c>
      <c r="J2046">
        <v>0</v>
      </c>
      <c r="K2046">
        <v>0</v>
      </c>
      <c r="L2046">
        <v>0</v>
      </c>
      <c r="M2046" t="s">
        <v>76</v>
      </c>
      <c r="N2046" t="s">
        <v>76</v>
      </c>
      <c r="O2046" t="s">
        <v>77</v>
      </c>
      <c r="P2046" t="s">
        <v>76</v>
      </c>
      <c r="S2046" t="s">
        <v>5256</v>
      </c>
    </row>
    <row r="2047" spans="1:19" x14ac:dyDescent="0.3">
      <c r="A2047" t="s">
        <v>5258</v>
      </c>
      <c r="B2047" t="s">
        <v>5259</v>
      </c>
      <c r="C2047" t="s">
        <v>73</v>
      </c>
      <c r="D2047" t="s">
        <v>35</v>
      </c>
      <c r="E2047" t="s">
        <v>389</v>
      </c>
      <c r="F2047" t="s">
        <v>73</v>
      </c>
      <c r="G2047" t="s">
        <v>5258</v>
      </c>
      <c r="H2047" t="s">
        <v>317</v>
      </c>
      <c r="I2047">
        <v>0</v>
      </c>
      <c r="J2047">
        <v>0</v>
      </c>
      <c r="K2047">
        <v>0</v>
      </c>
      <c r="L2047">
        <v>0</v>
      </c>
      <c r="M2047" t="s">
        <v>76</v>
      </c>
      <c r="N2047" t="s">
        <v>76</v>
      </c>
      <c r="O2047" t="s">
        <v>77</v>
      </c>
      <c r="P2047" t="s">
        <v>76</v>
      </c>
      <c r="S2047" t="s">
        <v>5259</v>
      </c>
    </row>
    <row r="2048" spans="1:19" x14ac:dyDescent="0.3">
      <c r="A2048" t="s">
        <v>5257</v>
      </c>
      <c r="B2048" t="s">
        <v>5260</v>
      </c>
      <c r="C2048" t="s">
        <v>338</v>
      </c>
      <c r="D2048" t="s">
        <v>63</v>
      </c>
      <c r="E2048" t="s">
        <v>128</v>
      </c>
      <c r="F2048" t="s">
        <v>314</v>
      </c>
      <c r="G2048" t="s">
        <v>5257</v>
      </c>
      <c r="H2048" t="s">
        <v>317</v>
      </c>
      <c r="I2048">
        <v>0</v>
      </c>
      <c r="J2048">
        <v>0</v>
      </c>
      <c r="K2048">
        <v>0</v>
      </c>
      <c r="L2048">
        <v>0</v>
      </c>
      <c r="M2048" t="s">
        <v>76</v>
      </c>
      <c r="N2048" t="s">
        <v>76</v>
      </c>
      <c r="O2048" t="s">
        <v>77</v>
      </c>
      <c r="P2048" t="s">
        <v>76</v>
      </c>
      <c r="S2048" t="s">
        <v>5260</v>
      </c>
    </row>
    <row r="2049" spans="1:19" x14ac:dyDescent="0.3">
      <c r="A2049" t="s">
        <v>316</v>
      </c>
      <c r="B2049" t="s">
        <v>5261</v>
      </c>
      <c r="C2049" t="s">
        <v>314</v>
      </c>
      <c r="E2049" t="s">
        <v>389</v>
      </c>
      <c r="F2049" t="s">
        <v>314</v>
      </c>
      <c r="G2049" t="s">
        <v>316</v>
      </c>
      <c r="H2049" t="s">
        <v>317</v>
      </c>
      <c r="I2049">
        <v>0</v>
      </c>
      <c r="J2049">
        <v>0</v>
      </c>
      <c r="K2049">
        <v>0</v>
      </c>
      <c r="L2049">
        <v>0</v>
      </c>
      <c r="M2049" t="s">
        <v>76</v>
      </c>
      <c r="N2049" t="s">
        <v>76</v>
      </c>
      <c r="O2049" t="s">
        <v>77</v>
      </c>
      <c r="P2049" t="s">
        <v>76</v>
      </c>
      <c r="Q2049" t="s">
        <v>5262</v>
      </c>
      <c r="R2049" t="s">
        <v>5263</v>
      </c>
      <c r="S2049" t="s">
        <v>2263</v>
      </c>
    </row>
    <row r="2050" spans="1:19" x14ac:dyDescent="0.3">
      <c r="A2050" t="s">
        <v>5264</v>
      </c>
      <c r="B2050" t="s">
        <v>5265</v>
      </c>
      <c r="C2050" t="s">
        <v>73</v>
      </c>
      <c r="D2050" t="s">
        <v>63</v>
      </c>
      <c r="E2050" t="s">
        <v>74</v>
      </c>
      <c r="F2050" t="s">
        <v>73</v>
      </c>
      <c r="G2050" t="s">
        <v>5266</v>
      </c>
      <c r="H2050" t="s">
        <v>317</v>
      </c>
      <c r="I2050">
        <v>0</v>
      </c>
      <c r="J2050">
        <v>0</v>
      </c>
      <c r="K2050">
        <v>0</v>
      </c>
      <c r="L2050">
        <v>0</v>
      </c>
      <c r="M2050" t="s">
        <v>76</v>
      </c>
      <c r="N2050" t="s">
        <v>76</v>
      </c>
      <c r="O2050" t="s">
        <v>77</v>
      </c>
      <c r="P2050" t="s">
        <v>76</v>
      </c>
      <c r="S2050" t="s">
        <v>5265</v>
      </c>
    </row>
    <row r="2051" spans="1:19" x14ac:dyDescent="0.3">
      <c r="A2051" t="s">
        <v>5267</v>
      </c>
      <c r="B2051" t="s">
        <v>5268</v>
      </c>
      <c r="C2051" t="s">
        <v>114</v>
      </c>
      <c r="D2051" t="s">
        <v>63</v>
      </c>
      <c r="E2051" t="s">
        <v>331</v>
      </c>
      <c r="F2051" t="s">
        <v>114</v>
      </c>
      <c r="G2051" t="s">
        <v>5269</v>
      </c>
      <c r="H2051" t="s">
        <v>317</v>
      </c>
      <c r="I2051">
        <v>0</v>
      </c>
      <c r="J2051">
        <v>0</v>
      </c>
      <c r="K2051">
        <v>0</v>
      </c>
      <c r="L2051">
        <v>0</v>
      </c>
      <c r="M2051" t="s">
        <v>76</v>
      </c>
      <c r="N2051" t="s">
        <v>76</v>
      </c>
      <c r="O2051" t="s">
        <v>77</v>
      </c>
      <c r="P2051" t="s">
        <v>76</v>
      </c>
      <c r="S2051" t="s">
        <v>5268</v>
      </c>
    </row>
    <row r="2052" spans="1:19" x14ac:dyDescent="0.3">
      <c r="A2052" t="s">
        <v>5270</v>
      </c>
      <c r="B2052" t="s">
        <v>5271</v>
      </c>
      <c r="C2052" t="s">
        <v>73</v>
      </c>
      <c r="D2052" t="s">
        <v>35</v>
      </c>
      <c r="E2052" t="s">
        <v>44</v>
      </c>
      <c r="F2052" t="s">
        <v>73</v>
      </c>
      <c r="G2052" t="s">
        <v>4299</v>
      </c>
      <c r="H2052" t="s">
        <v>317</v>
      </c>
      <c r="I2052">
        <v>0</v>
      </c>
      <c r="J2052">
        <v>0</v>
      </c>
      <c r="K2052">
        <v>0</v>
      </c>
      <c r="L2052">
        <v>0</v>
      </c>
      <c r="M2052" t="s">
        <v>76</v>
      </c>
      <c r="N2052" t="s">
        <v>76</v>
      </c>
      <c r="O2052" t="s">
        <v>77</v>
      </c>
      <c r="P2052" t="s">
        <v>76</v>
      </c>
      <c r="S2052" t="s">
        <v>5271</v>
      </c>
    </row>
    <row r="2053" spans="1:19" x14ac:dyDescent="0.3">
      <c r="A2053" t="s">
        <v>5272</v>
      </c>
      <c r="B2053" t="s">
        <v>5273</v>
      </c>
      <c r="C2053" t="s">
        <v>228</v>
      </c>
      <c r="D2053" t="s">
        <v>63</v>
      </c>
      <c r="E2053" t="s">
        <v>74</v>
      </c>
      <c r="F2053" t="s">
        <v>228</v>
      </c>
      <c r="G2053" t="s">
        <v>5274</v>
      </c>
      <c r="H2053" t="s">
        <v>317</v>
      </c>
      <c r="I2053">
        <v>0</v>
      </c>
      <c r="J2053">
        <v>0</v>
      </c>
      <c r="K2053">
        <v>0</v>
      </c>
      <c r="L2053">
        <v>0</v>
      </c>
      <c r="M2053" t="s">
        <v>76</v>
      </c>
      <c r="N2053" t="s">
        <v>76</v>
      </c>
      <c r="O2053" t="s">
        <v>77</v>
      </c>
      <c r="P2053" t="s">
        <v>76</v>
      </c>
      <c r="S2053" t="s">
        <v>5273</v>
      </c>
    </row>
    <row r="2054" spans="1:19" x14ac:dyDescent="0.3">
      <c r="A2054" t="s">
        <v>5275</v>
      </c>
      <c r="B2054" t="s">
        <v>5276</v>
      </c>
      <c r="C2054" t="s">
        <v>314</v>
      </c>
      <c r="D2054" t="s">
        <v>63</v>
      </c>
      <c r="E2054" t="s">
        <v>315</v>
      </c>
      <c r="F2054" t="s">
        <v>314</v>
      </c>
      <c r="G2054" t="s">
        <v>5277</v>
      </c>
      <c r="H2054" t="s">
        <v>317</v>
      </c>
      <c r="I2054">
        <v>0</v>
      </c>
      <c r="J2054">
        <v>0</v>
      </c>
      <c r="K2054">
        <v>0</v>
      </c>
      <c r="L2054">
        <v>0</v>
      </c>
      <c r="M2054" t="s">
        <v>308</v>
      </c>
      <c r="N2054" t="s">
        <v>160</v>
      </c>
      <c r="O2054" t="s">
        <v>309</v>
      </c>
      <c r="P2054" t="s">
        <v>124</v>
      </c>
      <c r="Q2054" t="s">
        <v>5278</v>
      </c>
      <c r="R2054" t="s">
        <v>5279</v>
      </c>
      <c r="S2054" t="s">
        <v>5276</v>
      </c>
    </row>
    <row r="2055" spans="1:19" x14ac:dyDescent="0.3">
      <c r="A2055" t="s">
        <v>5280</v>
      </c>
      <c r="B2055" t="s">
        <v>5281</v>
      </c>
      <c r="C2055" t="s">
        <v>228</v>
      </c>
      <c r="D2055" t="s">
        <v>63</v>
      </c>
      <c r="E2055" t="s">
        <v>315</v>
      </c>
      <c r="F2055" t="s">
        <v>228</v>
      </c>
      <c r="G2055" t="s">
        <v>5280</v>
      </c>
      <c r="H2055" t="s">
        <v>317</v>
      </c>
      <c r="I2055">
        <v>0</v>
      </c>
      <c r="J2055">
        <v>0</v>
      </c>
      <c r="K2055">
        <v>0</v>
      </c>
      <c r="L2055">
        <v>0</v>
      </c>
      <c r="M2055" t="s">
        <v>76</v>
      </c>
      <c r="N2055" t="s">
        <v>76</v>
      </c>
      <c r="O2055" t="s">
        <v>77</v>
      </c>
      <c r="P2055" t="s">
        <v>76</v>
      </c>
      <c r="S2055" t="s">
        <v>5281</v>
      </c>
    </row>
    <row r="2056" spans="1:19" x14ac:dyDescent="0.3">
      <c r="A2056" t="s">
        <v>5282</v>
      </c>
      <c r="B2056" t="s">
        <v>5283</v>
      </c>
      <c r="C2056" t="s">
        <v>114</v>
      </c>
      <c r="D2056" t="s">
        <v>63</v>
      </c>
      <c r="F2056" t="s">
        <v>114</v>
      </c>
      <c r="G2056" t="s">
        <v>5284</v>
      </c>
      <c r="H2056" t="s">
        <v>317</v>
      </c>
      <c r="I2056">
        <v>0</v>
      </c>
      <c r="J2056">
        <v>0</v>
      </c>
      <c r="K2056">
        <v>0</v>
      </c>
      <c r="L2056">
        <v>0</v>
      </c>
      <c r="M2056" t="s">
        <v>76</v>
      </c>
      <c r="N2056" t="s">
        <v>76</v>
      </c>
      <c r="O2056" t="s">
        <v>77</v>
      </c>
      <c r="P2056" t="s">
        <v>76</v>
      </c>
      <c r="S2056" t="s">
        <v>5283</v>
      </c>
    </row>
    <row r="2057" spans="1:19" x14ac:dyDescent="0.3">
      <c r="A2057" t="s">
        <v>5285</v>
      </c>
      <c r="B2057" t="s">
        <v>5286</v>
      </c>
      <c r="C2057" t="s">
        <v>243</v>
      </c>
      <c r="D2057" t="s">
        <v>63</v>
      </c>
      <c r="E2057" t="s">
        <v>74</v>
      </c>
      <c r="F2057" t="s">
        <v>73</v>
      </c>
      <c r="G2057" t="s">
        <v>71</v>
      </c>
      <c r="H2057" t="s">
        <v>75</v>
      </c>
      <c r="I2057">
        <v>0</v>
      </c>
      <c r="J2057">
        <v>0</v>
      </c>
      <c r="K2057">
        <v>0</v>
      </c>
      <c r="L2057">
        <v>0</v>
      </c>
      <c r="M2057" t="s">
        <v>76</v>
      </c>
      <c r="N2057" t="s">
        <v>76</v>
      </c>
      <c r="O2057" t="s">
        <v>77</v>
      </c>
      <c r="P2057" t="s">
        <v>76</v>
      </c>
      <c r="S2057" t="s">
        <v>5286</v>
      </c>
    </row>
    <row r="2058" spans="1:19" x14ac:dyDescent="0.3">
      <c r="A2058" t="s">
        <v>5287</v>
      </c>
      <c r="B2058" t="s">
        <v>5288</v>
      </c>
      <c r="C2058" t="s">
        <v>73</v>
      </c>
      <c r="D2058" t="s">
        <v>63</v>
      </c>
      <c r="E2058" t="s">
        <v>74</v>
      </c>
      <c r="F2058" t="s">
        <v>73</v>
      </c>
      <c r="G2058" t="s">
        <v>5289</v>
      </c>
      <c r="H2058" t="s">
        <v>317</v>
      </c>
      <c r="I2058">
        <v>0</v>
      </c>
      <c r="J2058">
        <v>0</v>
      </c>
      <c r="K2058">
        <v>0</v>
      </c>
      <c r="L2058">
        <v>0</v>
      </c>
      <c r="M2058" t="s">
        <v>76</v>
      </c>
      <c r="N2058" t="s">
        <v>76</v>
      </c>
      <c r="O2058" t="s">
        <v>77</v>
      </c>
      <c r="P2058" t="s">
        <v>76</v>
      </c>
      <c r="S2058" t="s">
        <v>5288</v>
      </c>
    </row>
    <row r="2059" spans="1:19" x14ac:dyDescent="0.3">
      <c r="A2059" t="s">
        <v>5290</v>
      </c>
      <c r="B2059" t="s">
        <v>5291</v>
      </c>
      <c r="C2059" t="s">
        <v>73</v>
      </c>
      <c r="D2059" t="s">
        <v>63</v>
      </c>
      <c r="E2059" t="s">
        <v>74</v>
      </c>
      <c r="F2059" t="s">
        <v>73</v>
      </c>
      <c r="G2059" t="s">
        <v>5290</v>
      </c>
      <c r="H2059" t="s">
        <v>317</v>
      </c>
      <c r="I2059">
        <v>0</v>
      </c>
      <c r="J2059">
        <v>0</v>
      </c>
      <c r="K2059">
        <v>0</v>
      </c>
      <c r="L2059">
        <v>0</v>
      </c>
      <c r="M2059" t="s">
        <v>76</v>
      </c>
      <c r="N2059" t="s">
        <v>76</v>
      </c>
      <c r="O2059" t="s">
        <v>77</v>
      </c>
      <c r="P2059" t="s">
        <v>76</v>
      </c>
      <c r="S2059" t="s">
        <v>5291</v>
      </c>
    </row>
    <row r="2060" spans="1:19" x14ac:dyDescent="0.3">
      <c r="A2060" t="s">
        <v>5292</v>
      </c>
      <c r="B2060" t="s">
        <v>5293</v>
      </c>
      <c r="C2060" t="s">
        <v>73</v>
      </c>
      <c r="D2060" t="s">
        <v>63</v>
      </c>
      <c r="E2060" t="s">
        <v>74</v>
      </c>
      <c r="F2060" t="s">
        <v>73</v>
      </c>
      <c r="G2060" t="s">
        <v>5290</v>
      </c>
      <c r="H2060" t="s">
        <v>317</v>
      </c>
      <c r="I2060">
        <v>0</v>
      </c>
      <c r="J2060">
        <v>0</v>
      </c>
      <c r="K2060">
        <v>0</v>
      </c>
      <c r="L2060">
        <v>0</v>
      </c>
      <c r="M2060" t="s">
        <v>76</v>
      </c>
      <c r="N2060" t="s">
        <v>76</v>
      </c>
      <c r="O2060" t="s">
        <v>77</v>
      </c>
      <c r="P2060" t="s">
        <v>76</v>
      </c>
      <c r="S2060" t="s">
        <v>5293</v>
      </c>
    </row>
    <row r="2061" spans="1:19" x14ac:dyDescent="0.3">
      <c r="A2061" t="s">
        <v>5294</v>
      </c>
      <c r="B2061" t="s">
        <v>5295</v>
      </c>
      <c r="C2061" t="s">
        <v>314</v>
      </c>
      <c r="D2061" t="s">
        <v>35</v>
      </c>
      <c r="E2061" t="s">
        <v>389</v>
      </c>
      <c r="F2061" t="s">
        <v>314</v>
      </c>
      <c r="G2061" t="s">
        <v>316</v>
      </c>
      <c r="H2061" t="s">
        <v>317</v>
      </c>
      <c r="I2061">
        <v>0</v>
      </c>
      <c r="J2061">
        <v>0</v>
      </c>
      <c r="K2061">
        <v>0</v>
      </c>
      <c r="L2061">
        <v>0</v>
      </c>
      <c r="M2061" t="s">
        <v>76</v>
      </c>
      <c r="N2061" t="s">
        <v>76</v>
      </c>
      <c r="O2061" t="s">
        <v>77</v>
      </c>
      <c r="P2061" t="s">
        <v>76</v>
      </c>
      <c r="S2061" t="s">
        <v>5295</v>
      </c>
    </row>
    <row r="2062" spans="1:19" x14ac:dyDescent="0.3">
      <c r="A2062" t="s">
        <v>5296</v>
      </c>
      <c r="B2062" t="s">
        <v>5297</v>
      </c>
      <c r="C2062" t="s">
        <v>73</v>
      </c>
      <c r="D2062" t="s">
        <v>63</v>
      </c>
      <c r="E2062" t="s">
        <v>74</v>
      </c>
      <c r="F2062" t="s">
        <v>73</v>
      </c>
      <c r="G2062" t="s">
        <v>2529</v>
      </c>
      <c r="H2062" t="s">
        <v>317</v>
      </c>
      <c r="I2062">
        <v>0</v>
      </c>
      <c r="J2062">
        <v>0</v>
      </c>
      <c r="K2062">
        <v>0</v>
      </c>
      <c r="L2062">
        <v>0</v>
      </c>
      <c r="M2062" t="s">
        <v>76</v>
      </c>
      <c r="N2062" t="s">
        <v>76</v>
      </c>
      <c r="O2062" t="s">
        <v>77</v>
      </c>
      <c r="P2062" t="s">
        <v>76</v>
      </c>
      <c r="S2062" t="s">
        <v>5297</v>
      </c>
    </row>
    <row r="2063" spans="1:19" x14ac:dyDescent="0.3">
      <c r="A2063" t="s">
        <v>5298</v>
      </c>
      <c r="B2063" t="s">
        <v>5299</v>
      </c>
      <c r="C2063" t="s">
        <v>73</v>
      </c>
      <c r="D2063" t="s">
        <v>63</v>
      </c>
      <c r="E2063" t="s">
        <v>74</v>
      </c>
      <c r="F2063" t="s">
        <v>73</v>
      </c>
      <c r="G2063" t="s">
        <v>2529</v>
      </c>
      <c r="H2063" t="s">
        <v>317</v>
      </c>
      <c r="I2063">
        <v>0</v>
      </c>
      <c r="J2063">
        <v>0</v>
      </c>
      <c r="K2063">
        <v>0</v>
      </c>
      <c r="L2063">
        <v>0</v>
      </c>
      <c r="M2063" t="s">
        <v>76</v>
      </c>
      <c r="N2063" t="s">
        <v>76</v>
      </c>
      <c r="O2063" t="s">
        <v>77</v>
      </c>
      <c r="P2063" t="s">
        <v>76</v>
      </c>
      <c r="S2063" t="s">
        <v>5299</v>
      </c>
    </row>
    <row r="2064" spans="1:19" x14ac:dyDescent="0.3">
      <c r="A2064" t="s">
        <v>5300</v>
      </c>
      <c r="B2064" t="s">
        <v>5301</v>
      </c>
      <c r="C2064" t="s">
        <v>73</v>
      </c>
      <c r="D2064" t="s">
        <v>63</v>
      </c>
      <c r="E2064" t="s">
        <v>74</v>
      </c>
      <c r="F2064" t="s">
        <v>73</v>
      </c>
      <c r="G2064" t="s">
        <v>5302</v>
      </c>
      <c r="H2064" t="s">
        <v>317</v>
      </c>
      <c r="I2064">
        <v>0</v>
      </c>
      <c r="J2064">
        <v>0</v>
      </c>
      <c r="K2064">
        <v>0</v>
      </c>
      <c r="L2064">
        <v>0</v>
      </c>
      <c r="M2064" t="s">
        <v>76</v>
      </c>
      <c r="N2064" t="s">
        <v>76</v>
      </c>
      <c r="O2064" t="s">
        <v>77</v>
      </c>
      <c r="P2064" t="s">
        <v>76</v>
      </c>
      <c r="S2064" t="s">
        <v>5301</v>
      </c>
    </row>
    <row r="2065" spans="1:19" x14ac:dyDescent="0.3">
      <c r="A2065" t="s">
        <v>5303</v>
      </c>
      <c r="B2065" t="s">
        <v>5304</v>
      </c>
      <c r="C2065" t="s">
        <v>243</v>
      </c>
      <c r="D2065" t="s">
        <v>63</v>
      </c>
      <c r="E2065" t="s">
        <v>74</v>
      </c>
      <c r="F2065" t="s">
        <v>243</v>
      </c>
      <c r="G2065" t="s">
        <v>244</v>
      </c>
      <c r="H2065" t="s">
        <v>75</v>
      </c>
      <c r="I2065">
        <v>0</v>
      </c>
      <c r="J2065">
        <v>0</v>
      </c>
      <c r="K2065">
        <v>0</v>
      </c>
      <c r="L2065">
        <v>0</v>
      </c>
      <c r="M2065" t="s">
        <v>76</v>
      </c>
      <c r="N2065" t="s">
        <v>76</v>
      </c>
      <c r="O2065" t="s">
        <v>77</v>
      </c>
      <c r="P2065" t="s">
        <v>76</v>
      </c>
      <c r="S2065" t="s">
        <v>5304</v>
      </c>
    </row>
    <row r="2066" spans="1:19" x14ac:dyDescent="0.3">
      <c r="A2066" t="s">
        <v>5305</v>
      </c>
      <c r="B2066" t="s">
        <v>5306</v>
      </c>
      <c r="C2066" t="s">
        <v>43</v>
      </c>
      <c r="D2066" t="s">
        <v>63</v>
      </c>
      <c r="E2066" t="s">
        <v>74</v>
      </c>
      <c r="F2066" t="s">
        <v>45</v>
      </c>
      <c r="G2066" t="s">
        <v>43</v>
      </c>
      <c r="H2066" t="s">
        <v>26</v>
      </c>
      <c r="I2066">
        <v>0</v>
      </c>
      <c r="J2066">
        <v>0</v>
      </c>
      <c r="K2066">
        <v>0</v>
      </c>
      <c r="L2066">
        <v>0</v>
      </c>
      <c r="M2066" t="s">
        <v>76</v>
      </c>
      <c r="N2066" t="s">
        <v>76</v>
      </c>
      <c r="O2066" t="s">
        <v>77</v>
      </c>
      <c r="P2066" t="s">
        <v>76</v>
      </c>
      <c r="S2066" t="s">
        <v>5306</v>
      </c>
    </row>
    <row r="2067" spans="1:19" x14ac:dyDescent="0.3">
      <c r="A2067" t="s">
        <v>5307</v>
      </c>
      <c r="B2067" t="s">
        <v>5308</v>
      </c>
      <c r="C2067" t="s">
        <v>43</v>
      </c>
      <c r="D2067" t="s">
        <v>63</v>
      </c>
      <c r="E2067" t="s">
        <v>74</v>
      </c>
      <c r="F2067" t="s">
        <v>45</v>
      </c>
      <c r="G2067" t="s">
        <v>43</v>
      </c>
      <c r="H2067" t="s">
        <v>26</v>
      </c>
      <c r="I2067">
        <v>0</v>
      </c>
      <c r="J2067">
        <v>0</v>
      </c>
      <c r="K2067">
        <v>0</v>
      </c>
      <c r="L2067">
        <v>0</v>
      </c>
      <c r="M2067" t="s">
        <v>76</v>
      </c>
      <c r="N2067" t="s">
        <v>76</v>
      </c>
      <c r="O2067" t="s">
        <v>77</v>
      </c>
      <c r="P2067" t="s">
        <v>76</v>
      </c>
      <c r="S2067" t="s">
        <v>5308</v>
      </c>
    </row>
    <row r="2068" spans="1:19" x14ac:dyDescent="0.3">
      <c r="A2068" t="s">
        <v>5309</v>
      </c>
      <c r="B2068" t="s">
        <v>5310</v>
      </c>
      <c r="C2068" t="s">
        <v>73</v>
      </c>
      <c r="D2068" t="s">
        <v>63</v>
      </c>
      <c r="E2068" t="s">
        <v>74</v>
      </c>
      <c r="F2068" t="s">
        <v>73</v>
      </c>
      <c r="G2068" t="s">
        <v>5309</v>
      </c>
      <c r="H2068" t="s">
        <v>75</v>
      </c>
      <c r="I2068">
        <v>0</v>
      </c>
      <c r="J2068">
        <v>0</v>
      </c>
      <c r="K2068">
        <v>0</v>
      </c>
      <c r="L2068">
        <v>0</v>
      </c>
      <c r="M2068" t="s">
        <v>76</v>
      </c>
      <c r="N2068" t="s">
        <v>76</v>
      </c>
      <c r="O2068" t="s">
        <v>77</v>
      </c>
      <c r="P2068" t="s">
        <v>76</v>
      </c>
      <c r="S2068" t="s">
        <v>5310</v>
      </c>
    </row>
    <row r="2069" spans="1:19" x14ac:dyDescent="0.3">
      <c r="A2069" t="s">
        <v>5311</v>
      </c>
      <c r="B2069" t="s">
        <v>5312</v>
      </c>
      <c r="C2069" t="s">
        <v>228</v>
      </c>
      <c r="D2069" t="s">
        <v>63</v>
      </c>
      <c r="E2069" t="s">
        <v>74</v>
      </c>
      <c r="F2069" t="s">
        <v>228</v>
      </c>
      <c r="G2069" t="s">
        <v>1869</v>
      </c>
      <c r="H2069" t="s">
        <v>317</v>
      </c>
      <c r="I2069">
        <v>0</v>
      </c>
      <c r="J2069">
        <v>0</v>
      </c>
      <c r="K2069">
        <v>0</v>
      </c>
      <c r="L2069">
        <v>0</v>
      </c>
      <c r="M2069" t="s">
        <v>76</v>
      </c>
      <c r="N2069" t="s">
        <v>76</v>
      </c>
      <c r="O2069" t="s">
        <v>77</v>
      </c>
      <c r="P2069" t="s">
        <v>76</v>
      </c>
      <c r="S2069" t="s">
        <v>5312</v>
      </c>
    </row>
    <row r="2070" spans="1:19" x14ac:dyDescent="0.3">
      <c r="A2070" t="s">
        <v>5313</v>
      </c>
      <c r="B2070" t="s">
        <v>5314</v>
      </c>
      <c r="C2070" t="s">
        <v>73</v>
      </c>
      <c r="D2070" t="s">
        <v>63</v>
      </c>
      <c r="E2070" t="s">
        <v>74</v>
      </c>
      <c r="F2070" t="s">
        <v>73</v>
      </c>
      <c r="G2070" t="s">
        <v>5315</v>
      </c>
      <c r="H2070" t="s">
        <v>317</v>
      </c>
      <c r="I2070">
        <v>0</v>
      </c>
      <c r="J2070">
        <v>0</v>
      </c>
      <c r="K2070">
        <v>0</v>
      </c>
      <c r="L2070">
        <v>0</v>
      </c>
      <c r="M2070" t="s">
        <v>76</v>
      </c>
      <c r="N2070" t="s">
        <v>76</v>
      </c>
      <c r="O2070" t="s">
        <v>77</v>
      </c>
      <c r="P2070" t="s">
        <v>76</v>
      </c>
      <c r="S2070" t="s">
        <v>5314</v>
      </c>
    </row>
    <row r="2071" spans="1:19" x14ac:dyDescent="0.3">
      <c r="A2071" t="s">
        <v>5316</v>
      </c>
      <c r="B2071" t="s">
        <v>5317</v>
      </c>
      <c r="C2071" t="s">
        <v>73</v>
      </c>
      <c r="D2071" t="s">
        <v>63</v>
      </c>
      <c r="E2071" t="s">
        <v>74</v>
      </c>
      <c r="F2071" t="s">
        <v>73</v>
      </c>
      <c r="G2071" t="s">
        <v>741</v>
      </c>
      <c r="H2071" t="s">
        <v>75</v>
      </c>
      <c r="I2071">
        <v>0</v>
      </c>
      <c r="J2071">
        <v>0</v>
      </c>
      <c r="K2071">
        <v>0</v>
      </c>
      <c r="L2071">
        <v>0</v>
      </c>
      <c r="M2071" t="s">
        <v>76</v>
      </c>
      <c r="N2071" t="s">
        <v>76</v>
      </c>
      <c r="O2071" t="s">
        <v>77</v>
      </c>
      <c r="P2071" t="s">
        <v>76</v>
      </c>
      <c r="S2071" t="s">
        <v>5317</v>
      </c>
    </row>
    <row r="2072" spans="1:19" x14ac:dyDescent="0.3">
      <c r="A2072" t="s">
        <v>5318</v>
      </c>
      <c r="B2072" t="s">
        <v>5319</v>
      </c>
      <c r="C2072" t="s">
        <v>73</v>
      </c>
      <c r="D2072" t="s">
        <v>53</v>
      </c>
      <c r="E2072" t="s">
        <v>150</v>
      </c>
      <c r="F2072" t="s">
        <v>73</v>
      </c>
      <c r="G2072" t="s">
        <v>5320</v>
      </c>
      <c r="H2072" t="s">
        <v>317</v>
      </c>
      <c r="I2072">
        <v>0</v>
      </c>
      <c r="J2072">
        <v>0</v>
      </c>
      <c r="K2072">
        <v>0</v>
      </c>
      <c r="L2072">
        <v>0</v>
      </c>
      <c r="M2072" t="s">
        <v>76</v>
      </c>
      <c r="N2072" t="s">
        <v>76</v>
      </c>
      <c r="O2072" t="s">
        <v>77</v>
      </c>
      <c r="P2072" t="s">
        <v>76</v>
      </c>
      <c r="S2072" t="s">
        <v>5319</v>
      </c>
    </row>
    <row r="2073" spans="1:19" x14ac:dyDescent="0.3">
      <c r="A2073" t="s">
        <v>5321</v>
      </c>
      <c r="B2073" t="s">
        <v>5322</v>
      </c>
      <c r="C2073" t="s">
        <v>314</v>
      </c>
      <c r="F2073" t="s">
        <v>314</v>
      </c>
      <c r="G2073" t="s">
        <v>5323</v>
      </c>
      <c r="H2073" t="s">
        <v>317</v>
      </c>
      <c r="I2073">
        <v>0</v>
      </c>
      <c r="J2073">
        <v>0</v>
      </c>
      <c r="K2073">
        <v>0</v>
      </c>
      <c r="L2073">
        <v>0</v>
      </c>
      <c r="M2073" t="s">
        <v>76</v>
      </c>
      <c r="N2073" t="s">
        <v>76</v>
      </c>
      <c r="O2073" t="s">
        <v>77</v>
      </c>
      <c r="P2073" t="s">
        <v>76</v>
      </c>
      <c r="S2073" t="s">
        <v>5322</v>
      </c>
    </row>
    <row r="2074" spans="1:19" x14ac:dyDescent="0.3">
      <c r="A2074" t="s">
        <v>5324</v>
      </c>
      <c r="B2074" t="s">
        <v>5325</v>
      </c>
      <c r="C2074" t="s">
        <v>114</v>
      </c>
      <c r="D2074" t="s">
        <v>63</v>
      </c>
      <c r="E2074" t="s">
        <v>74</v>
      </c>
      <c r="F2074" t="s">
        <v>45</v>
      </c>
      <c r="G2074" t="s">
        <v>5326</v>
      </c>
      <c r="H2074" t="s">
        <v>317</v>
      </c>
      <c r="I2074">
        <v>0</v>
      </c>
      <c r="J2074">
        <v>0</v>
      </c>
      <c r="K2074">
        <v>0</v>
      </c>
      <c r="L2074">
        <v>0</v>
      </c>
      <c r="M2074" t="s">
        <v>76</v>
      </c>
      <c r="N2074" t="s">
        <v>76</v>
      </c>
      <c r="O2074" t="s">
        <v>77</v>
      </c>
      <c r="P2074" t="s">
        <v>76</v>
      </c>
      <c r="S2074" t="s">
        <v>5325</v>
      </c>
    </row>
    <row r="2075" spans="1:19" x14ac:dyDescent="0.3">
      <c r="A2075" t="s">
        <v>5327</v>
      </c>
      <c r="B2075" t="s">
        <v>5328</v>
      </c>
      <c r="C2075" t="s">
        <v>73</v>
      </c>
      <c r="D2075" t="s">
        <v>35</v>
      </c>
      <c r="E2075" t="s">
        <v>80</v>
      </c>
      <c r="F2075" t="s">
        <v>73</v>
      </c>
      <c r="G2075" t="s">
        <v>5327</v>
      </c>
      <c r="H2075" t="s">
        <v>317</v>
      </c>
      <c r="I2075">
        <v>0</v>
      </c>
      <c r="J2075">
        <v>0</v>
      </c>
      <c r="K2075">
        <v>0</v>
      </c>
      <c r="L2075">
        <v>0</v>
      </c>
      <c r="M2075" t="s">
        <v>76</v>
      </c>
      <c r="N2075" t="s">
        <v>76</v>
      </c>
      <c r="O2075" t="s">
        <v>77</v>
      </c>
      <c r="P2075" t="s">
        <v>76</v>
      </c>
      <c r="S2075" t="s">
        <v>5328</v>
      </c>
    </row>
    <row r="2076" spans="1:19" x14ac:dyDescent="0.3">
      <c r="A2076" t="s">
        <v>5329</v>
      </c>
      <c r="B2076" t="s">
        <v>5330</v>
      </c>
      <c r="C2076" t="s">
        <v>243</v>
      </c>
      <c r="D2076" t="s">
        <v>63</v>
      </c>
      <c r="E2076" t="s">
        <v>74</v>
      </c>
      <c r="F2076" t="s">
        <v>73</v>
      </c>
      <c r="G2076" t="s">
        <v>5331</v>
      </c>
      <c r="H2076" t="s">
        <v>317</v>
      </c>
      <c r="I2076">
        <v>0</v>
      </c>
      <c r="J2076">
        <v>0</v>
      </c>
      <c r="K2076">
        <v>0</v>
      </c>
      <c r="L2076">
        <v>0</v>
      </c>
      <c r="M2076" t="s">
        <v>57</v>
      </c>
      <c r="N2076" t="s">
        <v>28</v>
      </c>
      <c r="O2076" t="s">
        <v>58</v>
      </c>
      <c r="P2076" t="s">
        <v>30</v>
      </c>
      <c r="Q2076" t="s">
        <v>899</v>
      </c>
      <c r="R2076" t="s">
        <v>900</v>
      </c>
      <c r="S2076" t="s">
        <v>901</v>
      </c>
    </row>
    <row r="2077" spans="1:19" x14ac:dyDescent="0.3">
      <c r="A2077" t="s">
        <v>1606</v>
      </c>
      <c r="B2077" t="s">
        <v>5332</v>
      </c>
      <c r="C2077" t="s">
        <v>45</v>
      </c>
      <c r="F2077" t="s">
        <v>45</v>
      </c>
      <c r="G2077" t="s">
        <v>1606</v>
      </c>
      <c r="H2077" t="s">
        <v>26</v>
      </c>
      <c r="I2077">
        <v>0</v>
      </c>
      <c r="J2077">
        <v>0</v>
      </c>
      <c r="K2077">
        <v>0</v>
      </c>
      <c r="L2077">
        <v>0</v>
      </c>
      <c r="M2077" t="s">
        <v>76</v>
      </c>
      <c r="N2077" t="s">
        <v>76</v>
      </c>
      <c r="O2077" t="s">
        <v>77</v>
      </c>
      <c r="P2077" t="s">
        <v>76</v>
      </c>
      <c r="S2077" t="s">
        <v>5332</v>
      </c>
    </row>
    <row r="2078" spans="1:19" x14ac:dyDescent="0.3">
      <c r="A2078" t="s">
        <v>5333</v>
      </c>
      <c r="B2078" t="s">
        <v>5334</v>
      </c>
      <c r="C2078" t="s">
        <v>45</v>
      </c>
      <c r="D2078" t="s">
        <v>63</v>
      </c>
      <c r="E2078" t="s">
        <v>74</v>
      </c>
      <c r="F2078" t="s">
        <v>45</v>
      </c>
      <c r="G2078" t="s">
        <v>145</v>
      </c>
      <c r="H2078" t="s">
        <v>26</v>
      </c>
      <c r="I2078">
        <v>0</v>
      </c>
      <c r="J2078">
        <v>0</v>
      </c>
      <c r="K2078">
        <v>0</v>
      </c>
      <c r="L2078">
        <v>0</v>
      </c>
      <c r="M2078" t="s">
        <v>76</v>
      </c>
      <c r="N2078" t="s">
        <v>76</v>
      </c>
      <c r="O2078" t="s">
        <v>77</v>
      </c>
      <c r="P2078" t="s">
        <v>76</v>
      </c>
      <c r="S2078" t="s">
        <v>5334</v>
      </c>
    </row>
    <row r="2079" spans="1:19" x14ac:dyDescent="0.3">
      <c r="A2079" t="s">
        <v>5335</v>
      </c>
      <c r="B2079" t="s">
        <v>5336</v>
      </c>
      <c r="C2079" t="s">
        <v>43</v>
      </c>
      <c r="F2079" t="s">
        <v>45</v>
      </c>
      <c r="G2079" t="s">
        <v>43</v>
      </c>
      <c r="H2079" t="s">
        <v>26</v>
      </c>
      <c r="I2079">
        <v>0</v>
      </c>
      <c r="J2079">
        <v>0</v>
      </c>
      <c r="K2079">
        <v>0</v>
      </c>
      <c r="L2079">
        <v>0</v>
      </c>
      <c r="M2079" t="s">
        <v>76</v>
      </c>
      <c r="N2079" t="s">
        <v>76</v>
      </c>
      <c r="O2079" t="s">
        <v>77</v>
      </c>
      <c r="P2079" t="s">
        <v>76</v>
      </c>
      <c r="S2079" t="s">
        <v>5336</v>
      </c>
    </row>
    <row r="2080" spans="1:19" x14ac:dyDescent="0.3">
      <c r="A2080" t="s">
        <v>5337</v>
      </c>
      <c r="B2080" t="s">
        <v>5338</v>
      </c>
      <c r="C2080" t="s">
        <v>73</v>
      </c>
      <c r="D2080" t="s">
        <v>35</v>
      </c>
      <c r="E2080" t="s">
        <v>80</v>
      </c>
      <c r="F2080" t="s">
        <v>73</v>
      </c>
      <c r="G2080" t="s">
        <v>5337</v>
      </c>
      <c r="H2080" t="s">
        <v>317</v>
      </c>
      <c r="I2080">
        <v>0</v>
      </c>
      <c r="J2080">
        <v>0</v>
      </c>
      <c r="K2080">
        <v>0</v>
      </c>
      <c r="L2080">
        <v>0</v>
      </c>
      <c r="M2080" t="s">
        <v>76</v>
      </c>
      <c r="N2080" t="s">
        <v>76</v>
      </c>
      <c r="O2080" t="s">
        <v>77</v>
      </c>
      <c r="P2080" t="s">
        <v>76</v>
      </c>
      <c r="S2080" t="s">
        <v>5338</v>
      </c>
    </row>
    <row r="2081" spans="1:19" x14ac:dyDescent="0.3">
      <c r="A2081" t="s">
        <v>5339</v>
      </c>
      <c r="B2081" t="s">
        <v>5340</v>
      </c>
      <c r="C2081" t="s">
        <v>596</v>
      </c>
      <c r="D2081" t="s">
        <v>63</v>
      </c>
      <c r="E2081" t="s">
        <v>555</v>
      </c>
      <c r="F2081" t="s">
        <v>73</v>
      </c>
      <c r="G2081" t="s">
        <v>596</v>
      </c>
      <c r="H2081" t="s">
        <v>75</v>
      </c>
      <c r="I2081">
        <v>0</v>
      </c>
      <c r="J2081">
        <v>0</v>
      </c>
      <c r="K2081">
        <v>0</v>
      </c>
      <c r="L2081">
        <v>0</v>
      </c>
      <c r="M2081" t="s">
        <v>76</v>
      </c>
      <c r="N2081" t="s">
        <v>76</v>
      </c>
      <c r="O2081" t="s">
        <v>77</v>
      </c>
      <c r="P2081" t="s">
        <v>76</v>
      </c>
      <c r="S2081" t="s">
        <v>5340</v>
      </c>
    </row>
    <row r="2082" spans="1:19" x14ac:dyDescent="0.3">
      <c r="A2082" t="s">
        <v>5341</v>
      </c>
      <c r="B2082" t="s">
        <v>5342</v>
      </c>
      <c r="C2082" t="s">
        <v>73</v>
      </c>
      <c r="D2082" t="s">
        <v>63</v>
      </c>
      <c r="E2082" t="s">
        <v>74</v>
      </c>
      <c r="F2082" t="s">
        <v>73</v>
      </c>
      <c r="G2082" t="s">
        <v>5343</v>
      </c>
      <c r="H2082" t="s">
        <v>317</v>
      </c>
      <c r="I2082">
        <v>0</v>
      </c>
      <c r="J2082">
        <v>0</v>
      </c>
      <c r="K2082">
        <v>0</v>
      </c>
      <c r="L2082">
        <v>0</v>
      </c>
      <c r="M2082" t="s">
        <v>76</v>
      </c>
      <c r="N2082" t="s">
        <v>76</v>
      </c>
      <c r="O2082" t="s">
        <v>77</v>
      </c>
      <c r="P2082" t="s">
        <v>76</v>
      </c>
      <c r="S2082" t="s">
        <v>5342</v>
      </c>
    </row>
    <row r="2083" spans="1:19" x14ac:dyDescent="0.3">
      <c r="A2083" t="s">
        <v>5344</v>
      </c>
      <c r="B2083" t="s">
        <v>5345</v>
      </c>
      <c r="C2083" t="s">
        <v>73</v>
      </c>
      <c r="D2083" t="s">
        <v>95</v>
      </c>
      <c r="E2083" t="s">
        <v>74</v>
      </c>
      <c r="F2083" t="s">
        <v>73</v>
      </c>
      <c r="G2083" t="s">
        <v>5346</v>
      </c>
      <c r="H2083" t="s">
        <v>317</v>
      </c>
      <c r="I2083">
        <v>0</v>
      </c>
      <c r="J2083">
        <v>0</v>
      </c>
      <c r="K2083">
        <v>0</v>
      </c>
      <c r="L2083">
        <v>0</v>
      </c>
      <c r="M2083" t="s">
        <v>76</v>
      </c>
      <c r="N2083" t="s">
        <v>76</v>
      </c>
      <c r="O2083" t="s">
        <v>77</v>
      </c>
      <c r="P2083" t="s">
        <v>76</v>
      </c>
      <c r="S2083" t="s">
        <v>5345</v>
      </c>
    </row>
    <row r="2084" spans="1:19" x14ac:dyDescent="0.3">
      <c r="A2084" t="s">
        <v>5347</v>
      </c>
      <c r="B2084" t="s">
        <v>5348</v>
      </c>
      <c r="C2084" t="s">
        <v>314</v>
      </c>
      <c r="D2084" t="s">
        <v>189</v>
      </c>
      <c r="E2084" t="s">
        <v>5349</v>
      </c>
      <c r="F2084" t="s">
        <v>314</v>
      </c>
      <c r="G2084" t="s">
        <v>5323</v>
      </c>
      <c r="H2084" t="s">
        <v>317</v>
      </c>
      <c r="I2084">
        <v>0</v>
      </c>
      <c r="J2084">
        <v>0</v>
      </c>
      <c r="K2084">
        <v>0</v>
      </c>
      <c r="L2084">
        <v>0</v>
      </c>
      <c r="M2084" t="s">
        <v>76</v>
      </c>
      <c r="N2084" t="s">
        <v>76</v>
      </c>
      <c r="O2084" t="s">
        <v>77</v>
      </c>
      <c r="P2084" t="s">
        <v>76</v>
      </c>
      <c r="S2084" t="s">
        <v>5348</v>
      </c>
    </row>
    <row r="2085" spans="1:19" x14ac:dyDescent="0.3">
      <c r="A2085" t="s">
        <v>5350</v>
      </c>
      <c r="B2085" t="s">
        <v>5351</v>
      </c>
      <c r="C2085" t="s">
        <v>228</v>
      </c>
      <c r="D2085" t="s">
        <v>63</v>
      </c>
      <c r="E2085" t="s">
        <v>74</v>
      </c>
      <c r="F2085" t="s">
        <v>228</v>
      </c>
      <c r="G2085" t="s">
        <v>196</v>
      </c>
      <c r="H2085" t="s">
        <v>75</v>
      </c>
      <c r="I2085">
        <v>0</v>
      </c>
      <c r="J2085">
        <v>0</v>
      </c>
      <c r="K2085">
        <v>0</v>
      </c>
      <c r="L2085">
        <v>0</v>
      </c>
      <c r="M2085" t="s">
        <v>76</v>
      </c>
      <c r="N2085" t="s">
        <v>76</v>
      </c>
      <c r="O2085" t="s">
        <v>77</v>
      </c>
      <c r="P2085" t="s">
        <v>76</v>
      </c>
      <c r="S2085" t="s">
        <v>5351</v>
      </c>
    </row>
    <row r="2086" spans="1:19" x14ac:dyDescent="0.3">
      <c r="A2086" t="s">
        <v>5323</v>
      </c>
      <c r="B2086" t="s">
        <v>5352</v>
      </c>
      <c r="C2086" t="s">
        <v>314</v>
      </c>
      <c r="D2086" t="s">
        <v>35</v>
      </c>
      <c r="E2086" t="s">
        <v>44</v>
      </c>
      <c r="F2086" t="s">
        <v>314</v>
      </c>
      <c r="G2086" t="s">
        <v>5323</v>
      </c>
      <c r="H2086" t="s">
        <v>317</v>
      </c>
      <c r="I2086">
        <v>0</v>
      </c>
      <c r="J2086">
        <v>0</v>
      </c>
      <c r="K2086">
        <v>0</v>
      </c>
      <c r="L2086">
        <v>0</v>
      </c>
      <c r="M2086" t="s">
        <v>76</v>
      </c>
      <c r="N2086" t="s">
        <v>76</v>
      </c>
      <c r="O2086" t="s">
        <v>77</v>
      </c>
      <c r="P2086" t="s">
        <v>76</v>
      </c>
      <c r="S2086" t="s">
        <v>5352</v>
      </c>
    </row>
    <row r="2087" spans="1:19" x14ac:dyDescent="0.3">
      <c r="A2087" t="s">
        <v>5353</v>
      </c>
      <c r="B2087" t="s">
        <v>5354</v>
      </c>
      <c r="C2087" t="s">
        <v>73</v>
      </c>
      <c r="D2087" t="s">
        <v>63</v>
      </c>
      <c r="E2087" t="s">
        <v>74</v>
      </c>
      <c r="F2087" t="s">
        <v>73</v>
      </c>
      <c r="G2087" t="s">
        <v>5355</v>
      </c>
      <c r="H2087" t="s">
        <v>317</v>
      </c>
      <c r="I2087">
        <v>0</v>
      </c>
      <c r="J2087">
        <v>0</v>
      </c>
      <c r="K2087">
        <v>0</v>
      </c>
      <c r="L2087">
        <v>0</v>
      </c>
      <c r="M2087" t="s">
        <v>76</v>
      </c>
      <c r="N2087" t="s">
        <v>76</v>
      </c>
      <c r="O2087" t="s">
        <v>77</v>
      </c>
      <c r="P2087" t="s">
        <v>76</v>
      </c>
      <c r="S2087" t="s">
        <v>5354</v>
      </c>
    </row>
    <row r="2088" spans="1:19" x14ac:dyDescent="0.3">
      <c r="A2088" t="s">
        <v>5356</v>
      </c>
      <c r="B2088" t="s">
        <v>5357</v>
      </c>
      <c r="C2088" t="s">
        <v>228</v>
      </c>
      <c r="D2088" t="s">
        <v>63</v>
      </c>
      <c r="E2088" t="s">
        <v>323</v>
      </c>
      <c r="F2088" t="s">
        <v>228</v>
      </c>
      <c r="G2088" t="s">
        <v>5358</v>
      </c>
      <c r="H2088" t="s">
        <v>213</v>
      </c>
      <c r="I2088">
        <v>0</v>
      </c>
      <c r="J2088">
        <v>0</v>
      </c>
      <c r="K2088">
        <v>0</v>
      </c>
      <c r="L2088">
        <v>0</v>
      </c>
      <c r="M2088" t="s">
        <v>76</v>
      </c>
      <c r="N2088" t="s">
        <v>76</v>
      </c>
      <c r="O2088" t="s">
        <v>77</v>
      </c>
      <c r="P2088" t="s">
        <v>76</v>
      </c>
      <c r="S2088" t="s">
        <v>5357</v>
      </c>
    </row>
    <row r="2089" spans="1:19" x14ac:dyDescent="0.3">
      <c r="A2089" t="s">
        <v>5359</v>
      </c>
      <c r="B2089" t="s">
        <v>5360</v>
      </c>
      <c r="C2089" t="s">
        <v>73</v>
      </c>
      <c r="D2089" t="s">
        <v>35</v>
      </c>
      <c r="E2089" t="s">
        <v>389</v>
      </c>
      <c r="F2089" t="s">
        <v>73</v>
      </c>
      <c r="G2089" t="s">
        <v>5361</v>
      </c>
      <c r="H2089" t="s">
        <v>317</v>
      </c>
      <c r="I2089">
        <v>0</v>
      </c>
      <c r="J2089">
        <v>0</v>
      </c>
      <c r="K2089">
        <v>0</v>
      </c>
      <c r="L2089">
        <v>0</v>
      </c>
      <c r="M2089" t="s">
        <v>76</v>
      </c>
      <c r="N2089" t="s">
        <v>76</v>
      </c>
      <c r="O2089" t="s">
        <v>77</v>
      </c>
      <c r="P2089" t="s">
        <v>76</v>
      </c>
      <c r="S2089" t="s">
        <v>5360</v>
      </c>
    </row>
    <row r="2090" spans="1:19" x14ac:dyDescent="0.3">
      <c r="A2090" t="s">
        <v>5362</v>
      </c>
      <c r="B2090" t="s">
        <v>5363</v>
      </c>
      <c r="C2090" t="s">
        <v>43</v>
      </c>
      <c r="D2090" t="s">
        <v>35</v>
      </c>
      <c r="E2090" t="s">
        <v>36</v>
      </c>
      <c r="F2090" t="s">
        <v>45</v>
      </c>
      <c r="G2090" t="s">
        <v>43</v>
      </c>
      <c r="H2090" t="s">
        <v>26</v>
      </c>
      <c r="I2090">
        <v>0</v>
      </c>
      <c r="J2090">
        <v>0</v>
      </c>
      <c r="K2090">
        <v>0</v>
      </c>
      <c r="L2090">
        <v>0</v>
      </c>
      <c r="M2090" t="s">
        <v>76</v>
      </c>
      <c r="N2090" t="s">
        <v>76</v>
      </c>
      <c r="O2090" t="s">
        <v>77</v>
      </c>
      <c r="P2090" t="s">
        <v>76</v>
      </c>
      <c r="S2090" t="s">
        <v>5363</v>
      </c>
    </row>
    <row r="2091" spans="1:19" x14ac:dyDescent="0.3">
      <c r="A2091" t="s">
        <v>5364</v>
      </c>
      <c r="B2091" t="s">
        <v>5365</v>
      </c>
      <c r="C2091" t="s">
        <v>73</v>
      </c>
      <c r="D2091" t="s">
        <v>63</v>
      </c>
      <c r="E2091" t="s">
        <v>74</v>
      </c>
      <c r="F2091" t="s">
        <v>73</v>
      </c>
      <c r="G2091" t="s">
        <v>5361</v>
      </c>
      <c r="H2091" t="s">
        <v>317</v>
      </c>
      <c r="I2091">
        <v>0</v>
      </c>
      <c r="J2091">
        <v>0</v>
      </c>
      <c r="K2091">
        <v>0</v>
      </c>
      <c r="L2091">
        <v>0</v>
      </c>
      <c r="M2091" t="s">
        <v>76</v>
      </c>
      <c r="N2091" t="s">
        <v>76</v>
      </c>
      <c r="O2091" t="s">
        <v>77</v>
      </c>
      <c r="P2091" t="s">
        <v>76</v>
      </c>
      <c r="S2091" t="s">
        <v>5365</v>
      </c>
    </row>
    <row r="2092" spans="1:19" x14ac:dyDescent="0.3">
      <c r="A2092" t="s">
        <v>5366</v>
      </c>
      <c r="B2092" t="s">
        <v>5367</v>
      </c>
      <c r="C2092" t="s">
        <v>21</v>
      </c>
      <c r="D2092" t="s">
        <v>63</v>
      </c>
      <c r="E2092" t="s">
        <v>64</v>
      </c>
      <c r="F2092" t="s">
        <v>24</v>
      </c>
      <c r="G2092" t="s">
        <v>21</v>
      </c>
      <c r="H2092" t="s">
        <v>26</v>
      </c>
      <c r="I2092">
        <v>0</v>
      </c>
      <c r="J2092">
        <v>0</v>
      </c>
      <c r="K2092">
        <v>0</v>
      </c>
      <c r="L2092">
        <v>0</v>
      </c>
      <c r="M2092" t="s">
        <v>76</v>
      </c>
      <c r="N2092" t="s">
        <v>76</v>
      </c>
      <c r="O2092" t="s">
        <v>77</v>
      </c>
      <c r="P2092" t="s">
        <v>76</v>
      </c>
      <c r="S2092" t="s">
        <v>5367</v>
      </c>
    </row>
    <row r="2093" spans="1:19" x14ac:dyDescent="0.3">
      <c r="A2093" t="s">
        <v>5368</v>
      </c>
      <c r="B2093" t="s">
        <v>5369</v>
      </c>
      <c r="C2093" t="s">
        <v>21</v>
      </c>
      <c r="D2093" t="s">
        <v>63</v>
      </c>
      <c r="E2093" t="s">
        <v>74</v>
      </c>
      <c r="F2093" t="s">
        <v>24</v>
      </c>
      <c r="G2093" t="s">
        <v>21</v>
      </c>
      <c r="H2093" t="s">
        <v>26</v>
      </c>
      <c r="I2093">
        <v>0</v>
      </c>
      <c r="J2093">
        <v>0</v>
      </c>
      <c r="K2093">
        <v>0</v>
      </c>
      <c r="L2093">
        <v>0</v>
      </c>
      <c r="M2093" t="s">
        <v>76</v>
      </c>
      <c r="N2093" t="s">
        <v>76</v>
      </c>
      <c r="O2093" t="s">
        <v>77</v>
      </c>
      <c r="P2093" t="s">
        <v>76</v>
      </c>
      <c r="S2093" t="s">
        <v>5369</v>
      </c>
    </row>
    <row r="2094" spans="1:19" x14ac:dyDescent="0.3">
      <c r="A2094" t="s">
        <v>5370</v>
      </c>
      <c r="B2094" t="s">
        <v>5371</v>
      </c>
      <c r="C2094" t="s">
        <v>228</v>
      </c>
      <c r="D2094" t="s">
        <v>63</v>
      </c>
      <c r="E2094" t="s">
        <v>315</v>
      </c>
      <c r="F2094" t="s">
        <v>228</v>
      </c>
      <c r="G2094" t="s">
        <v>5370</v>
      </c>
      <c r="H2094" t="s">
        <v>213</v>
      </c>
      <c r="I2094">
        <v>0</v>
      </c>
      <c r="J2094">
        <v>0</v>
      </c>
      <c r="K2094">
        <v>0</v>
      </c>
      <c r="L2094">
        <v>0</v>
      </c>
      <c r="M2094" t="s">
        <v>76</v>
      </c>
      <c r="N2094" t="s">
        <v>76</v>
      </c>
      <c r="O2094" t="s">
        <v>77</v>
      </c>
      <c r="P2094" t="s">
        <v>76</v>
      </c>
      <c r="S2094" t="s">
        <v>5371</v>
      </c>
    </row>
    <row r="2095" spans="1:19" x14ac:dyDescent="0.3">
      <c r="A2095" t="s">
        <v>5372</v>
      </c>
      <c r="B2095" t="s">
        <v>5373</v>
      </c>
      <c r="C2095" t="s">
        <v>314</v>
      </c>
      <c r="D2095" t="s">
        <v>35</v>
      </c>
      <c r="E2095" t="s">
        <v>389</v>
      </c>
      <c r="F2095" t="s">
        <v>314</v>
      </c>
      <c r="G2095" t="s">
        <v>5372</v>
      </c>
      <c r="H2095" t="s">
        <v>317</v>
      </c>
      <c r="I2095">
        <v>0</v>
      </c>
      <c r="J2095">
        <v>0</v>
      </c>
      <c r="K2095">
        <v>0</v>
      </c>
      <c r="L2095">
        <v>0</v>
      </c>
      <c r="M2095" t="s">
        <v>76</v>
      </c>
      <c r="N2095" t="s">
        <v>76</v>
      </c>
      <c r="O2095" t="s">
        <v>77</v>
      </c>
      <c r="P2095" t="s">
        <v>76</v>
      </c>
      <c r="S2095" t="s">
        <v>5373</v>
      </c>
    </row>
    <row r="2096" spans="1:19" x14ac:dyDescent="0.3">
      <c r="A2096" t="s">
        <v>5374</v>
      </c>
      <c r="B2096" t="s">
        <v>5375</v>
      </c>
      <c r="C2096" t="s">
        <v>73</v>
      </c>
      <c r="D2096" t="s">
        <v>63</v>
      </c>
      <c r="E2096" t="s">
        <v>74</v>
      </c>
      <c r="F2096" t="s">
        <v>73</v>
      </c>
      <c r="G2096" t="s">
        <v>5337</v>
      </c>
      <c r="H2096" t="s">
        <v>317</v>
      </c>
      <c r="I2096">
        <v>0</v>
      </c>
      <c r="J2096">
        <v>0</v>
      </c>
      <c r="K2096">
        <v>0</v>
      </c>
      <c r="L2096">
        <v>0</v>
      </c>
      <c r="M2096" t="s">
        <v>76</v>
      </c>
      <c r="N2096" t="s">
        <v>76</v>
      </c>
      <c r="O2096" t="s">
        <v>77</v>
      </c>
      <c r="P2096" t="s">
        <v>76</v>
      </c>
      <c r="S2096" t="s">
        <v>5375</v>
      </c>
    </row>
    <row r="2097" spans="1:19" x14ac:dyDescent="0.3">
      <c r="A2097" t="s">
        <v>5376</v>
      </c>
      <c r="B2097" t="s">
        <v>5377</v>
      </c>
      <c r="C2097" t="s">
        <v>24</v>
      </c>
      <c r="D2097" t="s">
        <v>63</v>
      </c>
      <c r="E2097" t="s">
        <v>74</v>
      </c>
      <c r="F2097" t="s">
        <v>144</v>
      </c>
      <c r="G2097" t="s">
        <v>145</v>
      </c>
      <c r="H2097" t="s">
        <v>26</v>
      </c>
      <c r="I2097">
        <v>0</v>
      </c>
      <c r="J2097">
        <v>0</v>
      </c>
      <c r="K2097">
        <v>0</v>
      </c>
      <c r="L2097">
        <v>0</v>
      </c>
      <c r="M2097" t="s">
        <v>76</v>
      </c>
      <c r="N2097" t="s">
        <v>76</v>
      </c>
      <c r="O2097" t="s">
        <v>77</v>
      </c>
      <c r="P2097" t="s">
        <v>76</v>
      </c>
      <c r="S2097" t="s">
        <v>5377</v>
      </c>
    </row>
    <row r="2098" spans="1:19" x14ac:dyDescent="0.3">
      <c r="A2098" t="s">
        <v>5378</v>
      </c>
      <c r="B2098" t="s">
        <v>5379</v>
      </c>
      <c r="C2098" t="s">
        <v>45</v>
      </c>
      <c r="F2098" t="s">
        <v>144</v>
      </c>
      <c r="G2098" t="s">
        <v>145</v>
      </c>
      <c r="H2098" t="s">
        <v>26</v>
      </c>
      <c r="I2098">
        <v>0</v>
      </c>
      <c r="J2098">
        <v>0</v>
      </c>
      <c r="K2098">
        <v>0</v>
      </c>
      <c r="L2098">
        <v>0</v>
      </c>
      <c r="M2098" t="s">
        <v>76</v>
      </c>
      <c r="N2098" t="s">
        <v>76</v>
      </c>
      <c r="O2098" t="s">
        <v>77</v>
      </c>
      <c r="P2098" t="s">
        <v>76</v>
      </c>
      <c r="S2098" t="s">
        <v>5379</v>
      </c>
    </row>
    <row r="2099" spans="1:19" x14ac:dyDescent="0.3">
      <c r="A2099" t="s">
        <v>5380</v>
      </c>
      <c r="B2099" t="s">
        <v>5381</v>
      </c>
      <c r="C2099" t="s">
        <v>24</v>
      </c>
      <c r="D2099" t="s">
        <v>63</v>
      </c>
      <c r="E2099" t="s">
        <v>74</v>
      </c>
      <c r="F2099" t="s">
        <v>144</v>
      </c>
      <c r="G2099" t="s">
        <v>5382</v>
      </c>
      <c r="H2099" t="s">
        <v>26</v>
      </c>
      <c r="I2099">
        <v>0</v>
      </c>
      <c r="J2099">
        <v>0</v>
      </c>
      <c r="K2099">
        <v>0</v>
      </c>
      <c r="L2099">
        <v>0</v>
      </c>
      <c r="M2099" t="s">
        <v>76</v>
      </c>
      <c r="N2099" t="s">
        <v>76</v>
      </c>
      <c r="O2099" t="s">
        <v>77</v>
      </c>
      <c r="P2099" t="s">
        <v>76</v>
      </c>
      <c r="S2099" t="s">
        <v>5381</v>
      </c>
    </row>
    <row r="2100" spans="1:19" x14ac:dyDescent="0.3">
      <c r="A2100" t="s">
        <v>5383</v>
      </c>
      <c r="B2100" t="s">
        <v>5384</v>
      </c>
      <c r="C2100" t="s">
        <v>24</v>
      </c>
      <c r="D2100" t="s">
        <v>35</v>
      </c>
      <c r="E2100" t="s">
        <v>128</v>
      </c>
      <c r="F2100" t="s">
        <v>144</v>
      </c>
      <c r="G2100" t="s">
        <v>261</v>
      </c>
      <c r="H2100" t="s">
        <v>26</v>
      </c>
      <c r="I2100">
        <v>0</v>
      </c>
      <c r="J2100">
        <v>0</v>
      </c>
      <c r="K2100">
        <v>0</v>
      </c>
      <c r="L2100">
        <v>0</v>
      </c>
      <c r="M2100" t="s">
        <v>76</v>
      </c>
      <c r="N2100" t="s">
        <v>76</v>
      </c>
      <c r="O2100" t="s">
        <v>77</v>
      </c>
      <c r="P2100" t="s">
        <v>76</v>
      </c>
      <c r="S2100" t="s">
        <v>5384</v>
      </c>
    </row>
    <row r="2101" spans="1:19" x14ac:dyDescent="0.3">
      <c r="A2101" t="s">
        <v>5385</v>
      </c>
      <c r="B2101" t="s">
        <v>5386</v>
      </c>
      <c r="C2101" t="s">
        <v>24</v>
      </c>
      <c r="D2101" t="s">
        <v>35</v>
      </c>
      <c r="E2101" t="s">
        <v>80</v>
      </c>
      <c r="F2101" t="s">
        <v>144</v>
      </c>
      <c r="G2101" t="s">
        <v>145</v>
      </c>
      <c r="H2101" t="s">
        <v>26</v>
      </c>
      <c r="I2101">
        <v>0</v>
      </c>
      <c r="J2101">
        <v>0</v>
      </c>
      <c r="K2101">
        <v>0</v>
      </c>
      <c r="L2101">
        <v>0</v>
      </c>
      <c r="M2101" t="s">
        <v>76</v>
      </c>
      <c r="N2101" t="s">
        <v>76</v>
      </c>
      <c r="O2101" t="s">
        <v>77</v>
      </c>
      <c r="P2101" t="s">
        <v>76</v>
      </c>
      <c r="S2101" t="s">
        <v>5386</v>
      </c>
    </row>
    <row r="2102" spans="1:19" x14ac:dyDescent="0.3">
      <c r="A2102" t="s">
        <v>5387</v>
      </c>
      <c r="B2102" t="s">
        <v>5388</v>
      </c>
      <c r="C2102" t="s">
        <v>24</v>
      </c>
      <c r="D2102" t="s">
        <v>35</v>
      </c>
      <c r="E2102" t="s">
        <v>36</v>
      </c>
      <c r="F2102" t="s">
        <v>144</v>
      </c>
      <c r="G2102" t="s">
        <v>145</v>
      </c>
      <c r="H2102" t="s">
        <v>26</v>
      </c>
      <c r="I2102">
        <v>0</v>
      </c>
      <c r="J2102">
        <v>0</v>
      </c>
      <c r="K2102">
        <v>0</v>
      </c>
      <c r="L2102">
        <v>0</v>
      </c>
      <c r="M2102" t="s">
        <v>76</v>
      </c>
      <c r="N2102" t="s">
        <v>76</v>
      </c>
      <c r="O2102" t="s">
        <v>77</v>
      </c>
      <c r="P2102" t="s">
        <v>76</v>
      </c>
      <c r="S2102" t="s">
        <v>5388</v>
      </c>
    </row>
    <row r="2103" spans="1:19" x14ac:dyDescent="0.3">
      <c r="A2103" t="s">
        <v>5389</v>
      </c>
      <c r="B2103" t="s">
        <v>5390</v>
      </c>
      <c r="C2103" t="s">
        <v>45</v>
      </c>
      <c r="D2103" t="s">
        <v>63</v>
      </c>
      <c r="E2103" t="s">
        <v>74</v>
      </c>
      <c r="F2103" t="s">
        <v>144</v>
      </c>
      <c r="G2103" t="s">
        <v>145</v>
      </c>
      <c r="H2103" t="s">
        <v>26</v>
      </c>
      <c r="I2103">
        <v>0</v>
      </c>
      <c r="J2103">
        <v>0</v>
      </c>
      <c r="K2103">
        <v>0</v>
      </c>
      <c r="L2103">
        <v>0</v>
      </c>
      <c r="M2103" t="s">
        <v>76</v>
      </c>
      <c r="N2103" t="s">
        <v>76</v>
      </c>
      <c r="O2103" t="s">
        <v>77</v>
      </c>
      <c r="P2103" t="s">
        <v>76</v>
      </c>
      <c r="S2103" t="s">
        <v>5390</v>
      </c>
    </row>
    <row r="2104" spans="1:19" x14ac:dyDescent="0.3">
      <c r="A2104" t="s">
        <v>5391</v>
      </c>
      <c r="B2104" t="s">
        <v>5392</v>
      </c>
      <c r="C2104" t="s">
        <v>45</v>
      </c>
      <c r="D2104" t="s">
        <v>63</v>
      </c>
      <c r="E2104" t="s">
        <v>74</v>
      </c>
      <c r="F2104" t="s">
        <v>144</v>
      </c>
      <c r="G2104" t="s">
        <v>145</v>
      </c>
      <c r="H2104" t="s">
        <v>26</v>
      </c>
      <c r="I2104">
        <v>0</v>
      </c>
      <c r="J2104">
        <v>0</v>
      </c>
      <c r="K2104">
        <v>0</v>
      </c>
      <c r="L2104">
        <v>0</v>
      </c>
      <c r="M2104" t="s">
        <v>76</v>
      </c>
      <c r="N2104" t="s">
        <v>76</v>
      </c>
      <c r="O2104" t="s">
        <v>77</v>
      </c>
      <c r="P2104" t="s">
        <v>76</v>
      </c>
      <c r="S2104" t="s">
        <v>5392</v>
      </c>
    </row>
    <row r="2105" spans="1:19" x14ac:dyDescent="0.3">
      <c r="A2105" t="s">
        <v>5393</v>
      </c>
      <c r="B2105" t="s">
        <v>5394</v>
      </c>
      <c r="C2105" t="s">
        <v>45</v>
      </c>
      <c r="D2105" t="s">
        <v>63</v>
      </c>
      <c r="E2105" t="s">
        <v>74</v>
      </c>
      <c r="F2105" t="s">
        <v>144</v>
      </c>
      <c r="G2105" t="s">
        <v>145</v>
      </c>
      <c r="H2105" t="s">
        <v>26</v>
      </c>
      <c r="I2105">
        <v>0</v>
      </c>
      <c r="J2105">
        <v>0</v>
      </c>
      <c r="K2105">
        <v>0</v>
      </c>
      <c r="L2105">
        <v>0</v>
      </c>
      <c r="M2105" t="s">
        <v>76</v>
      </c>
      <c r="N2105" t="s">
        <v>76</v>
      </c>
      <c r="O2105" t="s">
        <v>77</v>
      </c>
      <c r="P2105" t="s">
        <v>76</v>
      </c>
      <c r="S2105" t="s">
        <v>5394</v>
      </c>
    </row>
    <row r="2106" spans="1:19" x14ac:dyDescent="0.3">
      <c r="A2106" t="s">
        <v>5395</v>
      </c>
      <c r="B2106" t="s">
        <v>5396</v>
      </c>
      <c r="C2106" t="s">
        <v>24</v>
      </c>
      <c r="D2106" t="s">
        <v>63</v>
      </c>
      <c r="E2106" t="s">
        <v>74</v>
      </c>
      <c r="F2106" t="s">
        <v>144</v>
      </c>
      <c r="G2106" t="s">
        <v>1073</v>
      </c>
      <c r="H2106" t="s">
        <v>26</v>
      </c>
      <c r="I2106">
        <v>0</v>
      </c>
      <c r="J2106">
        <v>0</v>
      </c>
      <c r="K2106">
        <v>0</v>
      </c>
      <c r="L2106">
        <v>0</v>
      </c>
      <c r="M2106" t="s">
        <v>76</v>
      </c>
      <c r="N2106" t="s">
        <v>76</v>
      </c>
      <c r="O2106" t="s">
        <v>77</v>
      </c>
      <c r="P2106" t="s">
        <v>76</v>
      </c>
      <c r="S2106" t="s">
        <v>5396</v>
      </c>
    </row>
    <row r="2107" spans="1:19" x14ac:dyDescent="0.3">
      <c r="A2107" t="s">
        <v>2593</v>
      </c>
      <c r="B2107" t="s">
        <v>5397</v>
      </c>
      <c r="C2107" t="s">
        <v>73</v>
      </c>
      <c r="D2107" t="s">
        <v>63</v>
      </c>
      <c r="E2107" t="s">
        <v>74</v>
      </c>
      <c r="F2107" t="s">
        <v>73</v>
      </c>
      <c r="G2107" t="s">
        <v>2593</v>
      </c>
      <c r="H2107" t="s">
        <v>317</v>
      </c>
      <c r="I2107">
        <v>0</v>
      </c>
      <c r="J2107">
        <v>0</v>
      </c>
      <c r="K2107">
        <v>0</v>
      </c>
      <c r="L2107">
        <v>0</v>
      </c>
      <c r="M2107" t="s">
        <v>76</v>
      </c>
      <c r="N2107" t="s">
        <v>76</v>
      </c>
      <c r="O2107" t="s">
        <v>77</v>
      </c>
      <c r="P2107" t="s">
        <v>76</v>
      </c>
      <c r="S2107" t="s">
        <v>5397</v>
      </c>
    </row>
    <row r="2108" spans="1:19" x14ac:dyDescent="0.3">
      <c r="A2108" t="s">
        <v>5398</v>
      </c>
      <c r="B2108" t="s">
        <v>5399</v>
      </c>
      <c r="D2108" t="s">
        <v>63</v>
      </c>
      <c r="F2108" t="s">
        <v>1605</v>
      </c>
      <c r="G2108" t="s">
        <v>853</v>
      </c>
      <c r="H2108" t="s">
        <v>26</v>
      </c>
      <c r="I2108">
        <v>0</v>
      </c>
      <c r="J2108">
        <v>0</v>
      </c>
      <c r="K2108">
        <v>0</v>
      </c>
      <c r="L2108">
        <v>0</v>
      </c>
      <c r="M2108" t="s">
        <v>76</v>
      </c>
      <c r="N2108" t="s">
        <v>76</v>
      </c>
      <c r="O2108" t="s">
        <v>77</v>
      </c>
      <c r="P2108" t="s">
        <v>76</v>
      </c>
      <c r="S2108" t="s">
        <v>5399</v>
      </c>
    </row>
    <row r="2109" spans="1:19" x14ac:dyDescent="0.3">
      <c r="A2109" t="s">
        <v>5400</v>
      </c>
      <c r="B2109" t="s">
        <v>5401</v>
      </c>
      <c r="C2109" t="s">
        <v>45</v>
      </c>
      <c r="D2109" t="s">
        <v>63</v>
      </c>
      <c r="E2109" t="s">
        <v>5402</v>
      </c>
      <c r="F2109" t="s">
        <v>1605</v>
      </c>
      <c r="G2109" t="s">
        <v>5403</v>
      </c>
      <c r="H2109" t="s">
        <v>26</v>
      </c>
      <c r="I2109">
        <v>0</v>
      </c>
      <c r="J2109">
        <v>0</v>
      </c>
      <c r="K2109">
        <v>0</v>
      </c>
      <c r="L2109">
        <v>0</v>
      </c>
      <c r="M2109" t="s">
        <v>76</v>
      </c>
      <c r="N2109" t="s">
        <v>76</v>
      </c>
      <c r="O2109" t="s">
        <v>77</v>
      </c>
      <c r="P2109" t="s">
        <v>76</v>
      </c>
      <c r="S2109" t="s">
        <v>5401</v>
      </c>
    </row>
    <row r="2110" spans="1:19" x14ac:dyDescent="0.3">
      <c r="A2110" t="s">
        <v>5404</v>
      </c>
      <c r="B2110" t="s">
        <v>5405</v>
      </c>
      <c r="D2110" t="s">
        <v>63</v>
      </c>
      <c r="F2110" t="s">
        <v>114</v>
      </c>
      <c r="G2110" t="s">
        <v>190</v>
      </c>
      <c r="H2110" t="s">
        <v>26</v>
      </c>
      <c r="I2110">
        <v>0</v>
      </c>
      <c r="J2110">
        <v>0</v>
      </c>
      <c r="K2110">
        <v>0</v>
      </c>
      <c r="L2110">
        <v>0</v>
      </c>
      <c r="M2110" t="s">
        <v>76</v>
      </c>
      <c r="N2110" t="s">
        <v>76</v>
      </c>
      <c r="O2110" t="s">
        <v>77</v>
      </c>
      <c r="P2110" t="s">
        <v>76</v>
      </c>
      <c r="S2110" t="s">
        <v>5405</v>
      </c>
    </row>
    <row r="2111" spans="1:19" x14ac:dyDescent="0.3">
      <c r="A2111" t="s">
        <v>5400</v>
      </c>
      <c r="B2111" t="s">
        <v>5406</v>
      </c>
      <c r="F2111" t="s">
        <v>45</v>
      </c>
      <c r="H2111" t="s">
        <v>26</v>
      </c>
      <c r="I2111">
        <v>0</v>
      </c>
      <c r="J2111">
        <v>0</v>
      </c>
      <c r="K2111">
        <v>0</v>
      </c>
      <c r="L2111">
        <v>0</v>
      </c>
      <c r="M2111" t="s">
        <v>76</v>
      </c>
      <c r="N2111" t="s">
        <v>76</v>
      </c>
      <c r="O2111" t="s">
        <v>77</v>
      </c>
      <c r="P2111" t="s">
        <v>76</v>
      </c>
      <c r="S2111" t="s">
        <v>5406</v>
      </c>
    </row>
    <row r="2112" spans="1:19" x14ac:dyDescent="0.3">
      <c r="A2112" t="s">
        <v>5407</v>
      </c>
      <c r="B2112" t="s">
        <v>5408</v>
      </c>
      <c r="C2112" t="s">
        <v>228</v>
      </c>
      <c r="D2112" t="s">
        <v>63</v>
      </c>
      <c r="E2112" t="s">
        <v>315</v>
      </c>
      <c r="F2112" t="s">
        <v>228</v>
      </c>
      <c r="G2112" t="s">
        <v>5409</v>
      </c>
      <c r="H2112" t="s">
        <v>317</v>
      </c>
      <c r="I2112">
        <v>0</v>
      </c>
      <c r="J2112">
        <v>0</v>
      </c>
      <c r="K2112">
        <v>0</v>
      </c>
      <c r="L2112">
        <v>0</v>
      </c>
      <c r="M2112" t="s">
        <v>76</v>
      </c>
      <c r="N2112" t="s">
        <v>76</v>
      </c>
      <c r="O2112" t="s">
        <v>77</v>
      </c>
      <c r="P2112" t="s">
        <v>76</v>
      </c>
      <c r="S2112" t="s">
        <v>5408</v>
      </c>
    </row>
    <row r="2113" spans="1:19" x14ac:dyDescent="0.3">
      <c r="A2113" t="s">
        <v>5410</v>
      </c>
      <c r="B2113" t="s">
        <v>5411</v>
      </c>
      <c r="C2113" t="s">
        <v>228</v>
      </c>
      <c r="D2113" t="s">
        <v>63</v>
      </c>
      <c r="E2113" t="s">
        <v>323</v>
      </c>
      <c r="F2113" t="s">
        <v>228</v>
      </c>
      <c r="G2113" t="s">
        <v>5412</v>
      </c>
      <c r="H2113" t="s">
        <v>317</v>
      </c>
      <c r="I2113">
        <v>0</v>
      </c>
      <c r="J2113">
        <v>0</v>
      </c>
      <c r="K2113">
        <v>0</v>
      </c>
      <c r="L2113">
        <v>0</v>
      </c>
      <c r="M2113" t="s">
        <v>76</v>
      </c>
      <c r="N2113" t="s">
        <v>76</v>
      </c>
      <c r="O2113" t="s">
        <v>77</v>
      </c>
      <c r="P2113" t="s">
        <v>76</v>
      </c>
      <c r="S2113" t="s">
        <v>5411</v>
      </c>
    </row>
    <row r="2114" spans="1:19" x14ac:dyDescent="0.3">
      <c r="A2114" t="s">
        <v>5413</v>
      </c>
      <c r="B2114" t="s">
        <v>5414</v>
      </c>
      <c r="C2114" t="s">
        <v>243</v>
      </c>
      <c r="F2114" t="s">
        <v>114</v>
      </c>
      <c r="G2114" t="s">
        <v>244</v>
      </c>
      <c r="H2114" t="s">
        <v>317</v>
      </c>
      <c r="I2114">
        <v>0</v>
      </c>
      <c r="J2114">
        <v>0</v>
      </c>
      <c r="K2114">
        <v>0</v>
      </c>
      <c r="L2114">
        <v>0</v>
      </c>
      <c r="M2114" t="s">
        <v>63</v>
      </c>
      <c r="N2114" t="s">
        <v>28</v>
      </c>
      <c r="O2114" t="s">
        <v>86</v>
      </c>
      <c r="P2114" t="s">
        <v>30</v>
      </c>
      <c r="Q2114" t="s">
        <v>1421</v>
      </c>
      <c r="R2114" t="s">
        <v>1422</v>
      </c>
      <c r="S2114" t="s">
        <v>1423</v>
      </c>
    </row>
    <row r="2115" spans="1:19" x14ac:dyDescent="0.3">
      <c r="A2115" t="s">
        <v>5415</v>
      </c>
      <c r="B2115" t="s">
        <v>5416</v>
      </c>
      <c r="C2115" t="s">
        <v>73</v>
      </c>
      <c r="D2115" t="s">
        <v>63</v>
      </c>
      <c r="E2115" t="s">
        <v>74</v>
      </c>
      <c r="F2115" t="s">
        <v>73</v>
      </c>
      <c r="G2115" t="s">
        <v>5417</v>
      </c>
      <c r="H2115" t="s">
        <v>317</v>
      </c>
      <c r="I2115">
        <v>0</v>
      </c>
      <c r="J2115">
        <v>0</v>
      </c>
      <c r="K2115">
        <v>0</v>
      </c>
      <c r="L2115">
        <v>0</v>
      </c>
      <c r="M2115" t="s">
        <v>76</v>
      </c>
      <c r="N2115" t="s">
        <v>76</v>
      </c>
      <c r="O2115" t="s">
        <v>77</v>
      </c>
      <c r="P2115" t="s">
        <v>76</v>
      </c>
      <c r="S2115" t="s">
        <v>5416</v>
      </c>
    </row>
    <row r="2116" spans="1:19" x14ac:dyDescent="0.3">
      <c r="A2116" t="s">
        <v>5418</v>
      </c>
      <c r="B2116" t="s">
        <v>5419</v>
      </c>
      <c r="C2116" t="s">
        <v>43</v>
      </c>
      <c r="D2116" t="s">
        <v>63</v>
      </c>
      <c r="E2116" t="s">
        <v>74</v>
      </c>
      <c r="F2116" t="s">
        <v>45</v>
      </c>
      <c r="G2116" t="s">
        <v>43</v>
      </c>
      <c r="H2116" t="s">
        <v>26</v>
      </c>
      <c r="I2116">
        <v>0</v>
      </c>
      <c r="J2116">
        <v>0</v>
      </c>
      <c r="K2116">
        <v>0</v>
      </c>
      <c r="L2116">
        <v>0</v>
      </c>
      <c r="M2116" t="s">
        <v>76</v>
      </c>
      <c r="N2116" t="s">
        <v>76</v>
      </c>
      <c r="O2116" t="s">
        <v>77</v>
      </c>
      <c r="P2116" t="s">
        <v>76</v>
      </c>
      <c r="S2116" t="s">
        <v>5419</v>
      </c>
    </row>
    <row r="2117" spans="1:19" x14ac:dyDescent="0.3">
      <c r="A2117" t="s">
        <v>5420</v>
      </c>
      <c r="B2117" t="s">
        <v>5421</v>
      </c>
      <c r="C2117" t="s">
        <v>43</v>
      </c>
      <c r="D2117" t="s">
        <v>35</v>
      </c>
      <c r="E2117" t="s">
        <v>80</v>
      </c>
      <c r="F2117" t="s">
        <v>45</v>
      </c>
      <c r="G2117" t="s">
        <v>43</v>
      </c>
      <c r="H2117" t="s">
        <v>26</v>
      </c>
      <c r="I2117">
        <v>0</v>
      </c>
      <c r="J2117">
        <v>0</v>
      </c>
      <c r="K2117">
        <v>0</v>
      </c>
      <c r="L2117">
        <v>0</v>
      </c>
      <c r="M2117" t="s">
        <v>76</v>
      </c>
      <c r="N2117" t="s">
        <v>76</v>
      </c>
      <c r="O2117" t="s">
        <v>77</v>
      </c>
      <c r="P2117" t="s">
        <v>76</v>
      </c>
      <c r="S2117" t="s">
        <v>5421</v>
      </c>
    </row>
    <row r="2118" spans="1:19" x14ac:dyDescent="0.3">
      <c r="A2118" t="s">
        <v>5422</v>
      </c>
      <c r="B2118" t="s">
        <v>5423</v>
      </c>
      <c r="C2118" t="s">
        <v>45</v>
      </c>
      <c r="D2118" t="s">
        <v>63</v>
      </c>
      <c r="E2118" t="s">
        <v>74</v>
      </c>
      <c r="F2118" t="s">
        <v>45</v>
      </c>
      <c r="G2118" t="s">
        <v>5424</v>
      </c>
      <c r="H2118" t="s">
        <v>26</v>
      </c>
      <c r="I2118">
        <v>0</v>
      </c>
      <c r="J2118">
        <v>0</v>
      </c>
      <c r="K2118">
        <v>0</v>
      </c>
      <c r="L2118">
        <v>0</v>
      </c>
      <c r="M2118" t="s">
        <v>76</v>
      </c>
      <c r="N2118" t="s">
        <v>76</v>
      </c>
      <c r="O2118" t="s">
        <v>77</v>
      </c>
      <c r="P2118" t="s">
        <v>76</v>
      </c>
      <c r="S2118" t="s">
        <v>5423</v>
      </c>
    </row>
    <row r="2119" spans="1:19" x14ac:dyDescent="0.3">
      <c r="A2119" t="s">
        <v>5425</v>
      </c>
      <c r="B2119" t="s">
        <v>5426</v>
      </c>
      <c r="C2119" t="s">
        <v>73</v>
      </c>
      <c r="D2119" t="s">
        <v>63</v>
      </c>
      <c r="E2119" t="s">
        <v>1734</v>
      </c>
      <c r="F2119" t="s">
        <v>73</v>
      </c>
      <c r="G2119" t="s">
        <v>4299</v>
      </c>
      <c r="H2119" t="s">
        <v>317</v>
      </c>
      <c r="I2119">
        <v>0</v>
      </c>
      <c r="J2119">
        <v>0</v>
      </c>
      <c r="K2119">
        <v>0</v>
      </c>
      <c r="L2119">
        <v>0</v>
      </c>
      <c r="M2119" t="s">
        <v>76</v>
      </c>
      <c r="N2119" t="s">
        <v>76</v>
      </c>
      <c r="O2119" t="s">
        <v>77</v>
      </c>
      <c r="P2119" t="s">
        <v>76</v>
      </c>
      <c r="S2119" t="s">
        <v>5426</v>
      </c>
    </row>
    <row r="2120" spans="1:19" x14ac:dyDescent="0.3">
      <c r="A2120" t="s">
        <v>5427</v>
      </c>
      <c r="B2120" t="s">
        <v>5428</v>
      </c>
      <c r="C2120" t="s">
        <v>43</v>
      </c>
      <c r="D2120" t="s">
        <v>63</v>
      </c>
      <c r="E2120" t="s">
        <v>74</v>
      </c>
      <c r="F2120" t="s">
        <v>45</v>
      </c>
      <c r="G2120" t="s">
        <v>43</v>
      </c>
      <c r="H2120" t="s">
        <v>26</v>
      </c>
      <c r="I2120">
        <v>0</v>
      </c>
      <c r="J2120">
        <v>0</v>
      </c>
      <c r="K2120">
        <v>0</v>
      </c>
      <c r="L2120">
        <v>0</v>
      </c>
      <c r="M2120" t="s">
        <v>76</v>
      </c>
      <c r="N2120" t="s">
        <v>76</v>
      </c>
      <c r="O2120" t="s">
        <v>77</v>
      </c>
      <c r="P2120" t="s">
        <v>76</v>
      </c>
      <c r="S2120" t="s">
        <v>5428</v>
      </c>
    </row>
    <row r="2121" spans="1:19" x14ac:dyDescent="0.3">
      <c r="A2121" t="s">
        <v>5429</v>
      </c>
      <c r="B2121" t="s">
        <v>5430</v>
      </c>
      <c r="C2121" t="s">
        <v>596</v>
      </c>
      <c r="D2121" t="s">
        <v>63</v>
      </c>
      <c r="E2121" t="s">
        <v>64</v>
      </c>
      <c r="F2121" t="s">
        <v>73</v>
      </c>
      <c r="G2121" t="s">
        <v>596</v>
      </c>
      <c r="H2121" t="s">
        <v>75</v>
      </c>
      <c r="I2121">
        <v>0</v>
      </c>
      <c r="J2121">
        <v>0</v>
      </c>
      <c r="K2121">
        <v>0</v>
      </c>
      <c r="L2121">
        <v>0</v>
      </c>
      <c r="M2121" t="s">
        <v>76</v>
      </c>
      <c r="N2121" t="s">
        <v>76</v>
      </c>
      <c r="O2121" t="s">
        <v>77</v>
      </c>
      <c r="P2121" t="s">
        <v>76</v>
      </c>
      <c r="S2121" t="s">
        <v>5430</v>
      </c>
    </row>
    <row r="2122" spans="1:19" x14ac:dyDescent="0.3">
      <c r="A2122" t="s">
        <v>5431</v>
      </c>
      <c r="B2122" t="s">
        <v>5432</v>
      </c>
      <c r="C2122" t="s">
        <v>24</v>
      </c>
      <c r="D2122" t="s">
        <v>63</v>
      </c>
      <c r="E2122" t="s">
        <v>1132</v>
      </c>
      <c r="F2122" t="s">
        <v>24</v>
      </c>
      <c r="G2122" t="s">
        <v>211</v>
      </c>
      <c r="H2122" t="s">
        <v>213</v>
      </c>
      <c r="I2122">
        <v>0</v>
      </c>
      <c r="J2122">
        <v>0</v>
      </c>
      <c r="K2122">
        <v>0</v>
      </c>
      <c r="L2122">
        <v>0</v>
      </c>
      <c r="M2122" t="s">
        <v>76</v>
      </c>
      <c r="N2122" t="s">
        <v>76</v>
      </c>
      <c r="O2122" t="s">
        <v>77</v>
      </c>
      <c r="P2122" t="s">
        <v>76</v>
      </c>
      <c r="S2122" t="s">
        <v>5432</v>
      </c>
    </row>
    <row r="2123" spans="1:19" x14ac:dyDescent="0.3">
      <c r="A2123" t="s">
        <v>5433</v>
      </c>
      <c r="B2123" t="s">
        <v>5434</v>
      </c>
      <c r="C2123" t="s">
        <v>21</v>
      </c>
      <c r="D2123" t="s">
        <v>63</v>
      </c>
      <c r="E2123" t="s">
        <v>74</v>
      </c>
      <c r="F2123" t="s">
        <v>24</v>
      </c>
      <c r="G2123" t="s">
        <v>21</v>
      </c>
      <c r="H2123" t="s">
        <v>26</v>
      </c>
      <c r="I2123">
        <v>0</v>
      </c>
      <c r="J2123">
        <v>0</v>
      </c>
      <c r="K2123">
        <v>0</v>
      </c>
      <c r="L2123">
        <v>0</v>
      </c>
      <c r="M2123" t="s">
        <v>76</v>
      </c>
      <c r="N2123" t="s">
        <v>76</v>
      </c>
      <c r="O2123" t="s">
        <v>77</v>
      </c>
      <c r="P2123" t="s">
        <v>76</v>
      </c>
      <c r="S2123" t="s">
        <v>5434</v>
      </c>
    </row>
    <row r="2124" spans="1:19" x14ac:dyDescent="0.3">
      <c r="A2124" t="s">
        <v>5435</v>
      </c>
      <c r="B2124" t="s">
        <v>5436</v>
      </c>
      <c r="C2124" t="s">
        <v>21</v>
      </c>
      <c r="F2124" t="s">
        <v>24</v>
      </c>
      <c r="G2124" t="s">
        <v>21</v>
      </c>
      <c r="H2124" t="s">
        <v>26</v>
      </c>
      <c r="I2124">
        <v>0</v>
      </c>
      <c r="J2124">
        <v>0</v>
      </c>
      <c r="K2124">
        <v>0</v>
      </c>
      <c r="L2124">
        <v>0</v>
      </c>
      <c r="M2124" t="s">
        <v>76</v>
      </c>
      <c r="N2124" t="s">
        <v>76</v>
      </c>
      <c r="O2124" t="s">
        <v>77</v>
      </c>
      <c r="P2124" t="s">
        <v>76</v>
      </c>
      <c r="S2124" t="s">
        <v>5436</v>
      </c>
    </row>
    <row r="2125" spans="1:19" x14ac:dyDescent="0.3">
      <c r="A2125" t="s">
        <v>5437</v>
      </c>
      <c r="B2125" t="s">
        <v>5438</v>
      </c>
      <c r="C2125" t="s">
        <v>21</v>
      </c>
      <c r="D2125" t="s">
        <v>63</v>
      </c>
      <c r="E2125" t="s">
        <v>74</v>
      </c>
      <c r="F2125" t="s">
        <v>24</v>
      </c>
      <c r="G2125" t="s">
        <v>21</v>
      </c>
      <c r="H2125" t="s">
        <v>26</v>
      </c>
      <c r="I2125">
        <v>0</v>
      </c>
      <c r="J2125">
        <v>0</v>
      </c>
      <c r="K2125">
        <v>0</v>
      </c>
      <c r="L2125">
        <v>0</v>
      </c>
      <c r="M2125" t="s">
        <v>76</v>
      </c>
      <c r="N2125" t="s">
        <v>76</v>
      </c>
      <c r="O2125" t="s">
        <v>77</v>
      </c>
      <c r="P2125" t="s">
        <v>76</v>
      </c>
      <c r="S2125" t="s">
        <v>5438</v>
      </c>
    </row>
    <row r="2126" spans="1:19" x14ac:dyDescent="0.3">
      <c r="A2126" t="s">
        <v>5439</v>
      </c>
      <c r="B2126" t="s">
        <v>5440</v>
      </c>
      <c r="C2126" t="s">
        <v>21</v>
      </c>
      <c r="D2126" t="s">
        <v>63</v>
      </c>
      <c r="E2126" t="s">
        <v>74</v>
      </c>
      <c r="F2126" t="s">
        <v>24</v>
      </c>
      <c r="G2126" t="s">
        <v>21</v>
      </c>
      <c r="H2126" t="s">
        <v>26</v>
      </c>
      <c r="I2126">
        <v>0</v>
      </c>
      <c r="J2126">
        <v>0</v>
      </c>
      <c r="K2126">
        <v>0</v>
      </c>
      <c r="L2126">
        <v>0</v>
      </c>
      <c r="M2126" t="s">
        <v>76</v>
      </c>
      <c r="N2126" t="s">
        <v>76</v>
      </c>
      <c r="O2126" t="s">
        <v>77</v>
      </c>
      <c r="P2126" t="s">
        <v>76</v>
      </c>
      <c r="S2126" t="s">
        <v>5440</v>
      </c>
    </row>
    <row r="2127" spans="1:19" x14ac:dyDescent="0.3">
      <c r="A2127" t="s">
        <v>5441</v>
      </c>
      <c r="B2127" t="s">
        <v>5442</v>
      </c>
      <c r="C2127" t="s">
        <v>21</v>
      </c>
      <c r="D2127" t="s">
        <v>63</v>
      </c>
      <c r="E2127" t="s">
        <v>74</v>
      </c>
      <c r="F2127" t="s">
        <v>24</v>
      </c>
      <c r="G2127" t="s">
        <v>21</v>
      </c>
      <c r="H2127" t="s">
        <v>26</v>
      </c>
      <c r="I2127">
        <v>0</v>
      </c>
      <c r="J2127">
        <v>0</v>
      </c>
      <c r="K2127">
        <v>0</v>
      </c>
      <c r="L2127">
        <v>0</v>
      </c>
      <c r="M2127" t="s">
        <v>76</v>
      </c>
      <c r="N2127" t="s">
        <v>76</v>
      </c>
      <c r="O2127" t="s">
        <v>77</v>
      </c>
      <c r="P2127" t="s">
        <v>76</v>
      </c>
      <c r="S2127" t="s">
        <v>5442</v>
      </c>
    </row>
    <row r="2128" spans="1:19" x14ac:dyDescent="0.3">
      <c r="A2128" t="s">
        <v>5443</v>
      </c>
      <c r="B2128" t="s">
        <v>5444</v>
      </c>
      <c r="C2128" t="s">
        <v>21</v>
      </c>
      <c r="F2128" t="s">
        <v>24</v>
      </c>
      <c r="G2128" t="s">
        <v>21</v>
      </c>
      <c r="H2128" t="s">
        <v>26</v>
      </c>
      <c r="I2128">
        <v>0</v>
      </c>
      <c r="J2128">
        <v>0</v>
      </c>
      <c r="K2128">
        <v>0</v>
      </c>
      <c r="L2128">
        <v>0</v>
      </c>
      <c r="M2128" t="s">
        <v>76</v>
      </c>
      <c r="N2128" t="s">
        <v>76</v>
      </c>
      <c r="O2128" t="s">
        <v>77</v>
      </c>
      <c r="P2128" t="s">
        <v>76</v>
      </c>
      <c r="S2128" t="s">
        <v>5444</v>
      </c>
    </row>
    <row r="2129" spans="1:19" x14ac:dyDescent="0.3">
      <c r="A2129" t="s">
        <v>5445</v>
      </c>
      <c r="B2129" t="s">
        <v>5446</v>
      </c>
      <c r="C2129" t="s">
        <v>21</v>
      </c>
      <c r="D2129" t="s">
        <v>35</v>
      </c>
      <c r="E2129" t="s">
        <v>80</v>
      </c>
      <c r="F2129" t="s">
        <v>24</v>
      </c>
      <c r="G2129" t="s">
        <v>21</v>
      </c>
      <c r="H2129" t="s">
        <v>26</v>
      </c>
      <c r="I2129">
        <v>0</v>
      </c>
      <c r="J2129">
        <v>0</v>
      </c>
      <c r="K2129">
        <v>0</v>
      </c>
      <c r="L2129">
        <v>0</v>
      </c>
      <c r="M2129" t="s">
        <v>76</v>
      </c>
      <c r="N2129" t="s">
        <v>76</v>
      </c>
      <c r="O2129" t="s">
        <v>77</v>
      </c>
      <c r="P2129" t="s">
        <v>76</v>
      </c>
      <c r="S2129" t="s">
        <v>5446</v>
      </c>
    </row>
    <row r="2130" spans="1:19" x14ac:dyDescent="0.3">
      <c r="A2130" t="s">
        <v>5447</v>
      </c>
      <c r="B2130" t="s">
        <v>5448</v>
      </c>
      <c r="C2130" t="s">
        <v>21</v>
      </c>
      <c r="D2130" t="s">
        <v>63</v>
      </c>
      <c r="E2130" t="s">
        <v>74</v>
      </c>
      <c r="F2130" t="s">
        <v>24</v>
      </c>
      <c r="G2130" t="s">
        <v>21</v>
      </c>
      <c r="H2130" t="s">
        <v>26</v>
      </c>
      <c r="I2130">
        <v>0</v>
      </c>
      <c r="J2130">
        <v>0</v>
      </c>
      <c r="K2130">
        <v>0</v>
      </c>
      <c r="L2130">
        <v>0</v>
      </c>
      <c r="M2130" t="s">
        <v>76</v>
      </c>
      <c r="N2130" t="s">
        <v>76</v>
      </c>
      <c r="O2130" t="s">
        <v>77</v>
      </c>
      <c r="P2130" t="s">
        <v>76</v>
      </c>
      <c r="S2130" t="s">
        <v>5448</v>
      </c>
    </row>
    <row r="2131" spans="1:19" x14ac:dyDescent="0.3">
      <c r="A2131" t="s">
        <v>5449</v>
      </c>
      <c r="B2131" t="s">
        <v>5450</v>
      </c>
      <c r="C2131" t="s">
        <v>21</v>
      </c>
      <c r="D2131" t="s">
        <v>63</v>
      </c>
      <c r="E2131" t="s">
        <v>74</v>
      </c>
      <c r="F2131" t="s">
        <v>24</v>
      </c>
      <c r="G2131" t="s">
        <v>21</v>
      </c>
      <c r="H2131" t="s">
        <v>26</v>
      </c>
      <c r="I2131">
        <v>0</v>
      </c>
      <c r="J2131">
        <v>0</v>
      </c>
      <c r="K2131">
        <v>0</v>
      </c>
      <c r="L2131">
        <v>0</v>
      </c>
      <c r="M2131" t="s">
        <v>76</v>
      </c>
      <c r="N2131" t="s">
        <v>76</v>
      </c>
      <c r="O2131" t="s">
        <v>77</v>
      </c>
      <c r="P2131" t="s">
        <v>76</v>
      </c>
      <c r="S2131" t="s">
        <v>5450</v>
      </c>
    </row>
    <row r="2132" spans="1:19" x14ac:dyDescent="0.3">
      <c r="A2132" t="s">
        <v>5451</v>
      </c>
      <c r="B2132" t="s">
        <v>5452</v>
      </c>
      <c r="C2132" t="s">
        <v>21</v>
      </c>
      <c r="D2132" t="s">
        <v>63</v>
      </c>
      <c r="E2132" t="s">
        <v>74</v>
      </c>
      <c r="F2132" t="s">
        <v>24</v>
      </c>
      <c r="G2132" t="s">
        <v>21</v>
      </c>
      <c r="H2132" t="s">
        <v>26</v>
      </c>
      <c r="I2132">
        <v>0</v>
      </c>
      <c r="J2132">
        <v>0</v>
      </c>
      <c r="K2132">
        <v>0</v>
      </c>
      <c r="L2132">
        <v>0</v>
      </c>
      <c r="M2132" t="s">
        <v>76</v>
      </c>
      <c r="N2132" t="s">
        <v>76</v>
      </c>
      <c r="O2132" t="s">
        <v>77</v>
      </c>
      <c r="P2132" t="s">
        <v>76</v>
      </c>
      <c r="S2132" t="s">
        <v>5452</v>
      </c>
    </row>
    <row r="2133" spans="1:19" x14ac:dyDescent="0.3">
      <c r="A2133" t="s">
        <v>5453</v>
      </c>
      <c r="B2133" t="s">
        <v>5454</v>
      </c>
      <c r="C2133" t="s">
        <v>21</v>
      </c>
      <c r="D2133" t="s">
        <v>63</v>
      </c>
      <c r="E2133" t="s">
        <v>74</v>
      </c>
      <c r="F2133" t="s">
        <v>24</v>
      </c>
      <c r="G2133" t="s">
        <v>21</v>
      </c>
      <c r="H2133" t="s">
        <v>26</v>
      </c>
      <c r="I2133">
        <v>0</v>
      </c>
      <c r="J2133">
        <v>0</v>
      </c>
      <c r="K2133">
        <v>0</v>
      </c>
      <c r="L2133">
        <v>0</v>
      </c>
      <c r="M2133" t="s">
        <v>76</v>
      </c>
      <c r="N2133" t="s">
        <v>76</v>
      </c>
      <c r="O2133" t="s">
        <v>77</v>
      </c>
      <c r="P2133" t="s">
        <v>76</v>
      </c>
      <c r="S2133" t="s">
        <v>5454</v>
      </c>
    </row>
    <row r="2134" spans="1:19" x14ac:dyDescent="0.3">
      <c r="A2134" t="s">
        <v>5455</v>
      </c>
      <c r="B2134" t="s">
        <v>5456</v>
      </c>
      <c r="C2134" t="s">
        <v>43</v>
      </c>
      <c r="D2134" t="s">
        <v>63</v>
      </c>
      <c r="E2134" t="s">
        <v>74</v>
      </c>
      <c r="F2134" t="s">
        <v>45</v>
      </c>
      <c r="G2134" t="s">
        <v>43</v>
      </c>
      <c r="H2134" t="s">
        <v>26</v>
      </c>
      <c r="I2134">
        <v>0</v>
      </c>
      <c r="J2134">
        <v>0</v>
      </c>
      <c r="K2134">
        <v>0</v>
      </c>
      <c r="L2134">
        <v>0</v>
      </c>
      <c r="M2134" t="s">
        <v>76</v>
      </c>
      <c r="N2134" t="s">
        <v>76</v>
      </c>
      <c r="O2134" t="s">
        <v>77</v>
      </c>
      <c r="P2134" t="s">
        <v>76</v>
      </c>
      <c r="S2134" t="s">
        <v>5456</v>
      </c>
    </row>
    <row r="2135" spans="1:19" x14ac:dyDescent="0.3">
      <c r="A2135" t="s">
        <v>5457</v>
      </c>
      <c r="B2135" t="s">
        <v>5458</v>
      </c>
      <c r="C2135" t="s">
        <v>43</v>
      </c>
      <c r="D2135" t="s">
        <v>63</v>
      </c>
      <c r="E2135" t="s">
        <v>74</v>
      </c>
      <c r="F2135" t="s">
        <v>45</v>
      </c>
      <c r="G2135" t="s">
        <v>43</v>
      </c>
      <c r="H2135" t="s">
        <v>26</v>
      </c>
      <c r="I2135">
        <v>0</v>
      </c>
      <c r="J2135">
        <v>0</v>
      </c>
      <c r="K2135">
        <v>0</v>
      </c>
      <c r="L2135">
        <v>0</v>
      </c>
      <c r="M2135" t="s">
        <v>76</v>
      </c>
      <c r="N2135" t="s">
        <v>76</v>
      </c>
      <c r="O2135" t="s">
        <v>77</v>
      </c>
      <c r="P2135" t="s">
        <v>76</v>
      </c>
      <c r="S2135" t="s">
        <v>5458</v>
      </c>
    </row>
    <row r="2136" spans="1:19" x14ac:dyDescent="0.3">
      <c r="A2136" t="s">
        <v>5459</v>
      </c>
      <c r="B2136" t="s">
        <v>5460</v>
      </c>
      <c r="C2136" t="s">
        <v>43</v>
      </c>
      <c r="D2136" t="s">
        <v>63</v>
      </c>
      <c r="E2136" t="s">
        <v>74</v>
      </c>
      <c r="F2136" t="s">
        <v>45</v>
      </c>
      <c r="G2136" t="s">
        <v>43</v>
      </c>
      <c r="H2136" t="s">
        <v>26</v>
      </c>
      <c r="I2136">
        <v>0</v>
      </c>
      <c r="J2136">
        <v>0</v>
      </c>
      <c r="K2136">
        <v>0</v>
      </c>
      <c r="L2136">
        <v>0</v>
      </c>
      <c r="M2136" t="s">
        <v>76</v>
      </c>
      <c r="N2136" t="s">
        <v>76</v>
      </c>
      <c r="O2136" t="s">
        <v>77</v>
      </c>
      <c r="P2136" t="s">
        <v>76</v>
      </c>
      <c r="S2136" t="s">
        <v>5460</v>
      </c>
    </row>
    <row r="2137" spans="1:19" x14ac:dyDescent="0.3">
      <c r="A2137" t="s">
        <v>5461</v>
      </c>
      <c r="B2137" t="s">
        <v>5462</v>
      </c>
      <c r="C2137" t="s">
        <v>243</v>
      </c>
      <c r="D2137" t="s">
        <v>63</v>
      </c>
      <c r="E2137" t="s">
        <v>74</v>
      </c>
      <c r="F2137" t="s">
        <v>243</v>
      </c>
      <c r="G2137" t="s">
        <v>244</v>
      </c>
      <c r="H2137" t="s">
        <v>75</v>
      </c>
      <c r="I2137">
        <v>0</v>
      </c>
      <c r="J2137">
        <v>0</v>
      </c>
      <c r="K2137">
        <v>0</v>
      </c>
      <c r="L2137">
        <v>0</v>
      </c>
      <c r="M2137" t="s">
        <v>76</v>
      </c>
      <c r="N2137" t="s">
        <v>76</v>
      </c>
      <c r="O2137" t="s">
        <v>77</v>
      </c>
      <c r="P2137" t="s">
        <v>76</v>
      </c>
      <c r="S2137" t="s">
        <v>5462</v>
      </c>
    </row>
    <row r="2138" spans="1:19" x14ac:dyDescent="0.3">
      <c r="A2138" t="s">
        <v>5463</v>
      </c>
      <c r="B2138" t="s">
        <v>5464</v>
      </c>
      <c r="C2138" t="s">
        <v>243</v>
      </c>
      <c r="D2138" t="s">
        <v>35</v>
      </c>
      <c r="E2138" t="s">
        <v>150</v>
      </c>
      <c r="F2138" t="s">
        <v>243</v>
      </c>
      <c r="G2138" t="s">
        <v>244</v>
      </c>
      <c r="H2138" t="s">
        <v>75</v>
      </c>
      <c r="I2138">
        <v>0</v>
      </c>
      <c r="J2138">
        <v>0</v>
      </c>
      <c r="K2138">
        <v>0</v>
      </c>
      <c r="L2138">
        <v>0</v>
      </c>
      <c r="M2138" t="s">
        <v>76</v>
      </c>
      <c r="N2138" t="s">
        <v>76</v>
      </c>
      <c r="O2138" t="s">
        <v>77</v>
      </c>
      <c r="P2138" t="s">
        <v>76</v>
      </c>
      <c r="S2138" t="s">
        <v>5464</v>
      </c>
    </row>
    <row r="2139" spans="1:19" x14ac:dyDescent="0.3">
      <c r="A2139" t="s">
        <v>5465</v>
      </c>
      <c r="B2139" t="s">
        <v>5466</v>
      </c>
      <c r="C2139" t="s">
        <v>43</v>
      </c>
      <c r="D2139" t="s">
        <v>63</v>
      </c>
      <c r="E2139" t="s">
        <v>74</v>
      </c>
      <c r="F2139" t="s">
        <v>45</v>
      </c>
      <c r="G2139" t="s">
        <v>43</v>
      </c>
      <c r="H2139" t="s">
        <v>26</v>
      </c>
      <c r="I2139">
        <v>0</v>
      </c>
      <c r="J2139">
        <v>0</v>
      </c>
      <c r="K2139">
        <v>0</v>
      </c>
      <c r="L2139">
        <v>0</v>
      </c>
      <c r="M2139" t="s">
        <v>76</v>
      </c>
      <c r="N2139" t="s">
        <v>76</v>
      </c>
      <c r="O2139" t="s">
        <v>77</v>
      </c>
      <c r="P2139" t="s">
        <v>76</v>
      </c>
      <c r="S2139" t="s">
        <v>5466</v>
      </c>
    </row>
    <row r="2140" spans="1:19" x14ac:dyDescent="0.3">
      <c r="A2140" t="s">
        <v>5467</v>
      </c>
      <c r="B2140" t="s">
        <v>5468</v>
      </c>
      <c r="C2140" t="s">
        <v>43</v>
      </c>
      <c r="D2140" t="s">
        <v>63</v>
      </c>
      <c r="E2140" t="s">
        <v>74</v>
      </c>
      <c r="F2140" t="s">
        <v>45</v>
      </c>
      <c r="G2140" t="s">
        <v>43</v>
      </c>
      <c r="H2140" t="s">
        <v>26</v>
      </c>
      <c r="I2140">
        <v>0</v>
      </c>
      <c r="J2140">
        <v>0</v>
      </c>
      <c r="K2140">
        <v>0</v>
      </c>
      <c r="L2140">
        <v>0</v>
      </c>
      <c r="M2140" t="s">
        <v>76</v>
      </c>
      <c r="N2140" t="s">
        <v>76</v>
      </c>
      <c r="O2140" t="s">
        <v>77</v>
      </c>
      <c r="P2140" t="s">
        <v>76</v>
      </c>
      <c r="S2140" t="s">
        <v>5468</v>
      </c>
    </row>
    <row r="2141" spans="1:19" x14ac:dyDescent="0.3">
      <c r="A2141" t="s">
        <v>5469</v>
      </c>
      <c r="B2141" t="s">
        <v>5470</v>
      </c>
      <c r="C2141" t="s">
        <v>43</v>
      </c>
      <c r="D2141" t="s">
        <v>63</v>
      </c>
      <c r="E2141" t="s">
        <v>74</v>
      </c>
      <c r="F2141" t="s">
        <v>45</v>
      </c>
      <c r="G2141" t="s">
        <v>43</v>
      </c>
      <c r="H2141" t="s">
        <v>26</v>
      </c>
      <c r="I2141">
        <v>0</v>
      </c>
      <c r="J2141">
        <v>0</v>
      </c>
      <c r="K2141">
        <v>0</v>
      </c>
      <c r="L2141">
        <v>0</v>
      </c>
      <c r="M2141" t="s">
        <v>76</v>
      </c>
      <c r="N2141" t="s">
        <v>76</v>
      </c>
      <c r="O2141" t="s">
        <v>77</v>
      </c>
      <c r="P2141" t="s">
        <v>76</v>
      </c>
      <c r="S2141" t="s">
        <v>5470</v>
      </c>
    </row>
    <row r="2142" spans="1:19" x14ac:dyDescent="0.3">
      <c r="A2142" t="s">
        <v>5471</v>
      </c>
      <c r="B2142" t="s">
        <v>5472</v>
      </c>
      <c r="C2142" t="s">
        <v>243</v>
      </c>
      <c r="D2142" t="s">
        <v>63</v>
      </c>
      <c r="E2142" t="s">
        <v>74</v>
      </c>
      <c r="F2142" t="s">
        <v>243</v>
      </c>
      <c r="G2142" t="s">
        <v>244</v>
      </c>
      <c r="H2142" t="s">
        <v>75</v>
      </c>
      <c r="I2142">
        <v>0</v>
      </c>
      <c r="J2142">
        <v>0</v>
      </c>
      <c r="K2142">
        <v>0</v>
      </c>
      <c r="L2142">
        <v>0</v>
      </c>
      <c r="M2142" t="s">
        <v>76</v>
      </c>
      <c r="N2142" t="s">
        <v>76</v>
      </c>
      <c r="O2142" t="s">
        <v>77</v>
      </c>
      <c r="P2142" t="s">
        <v>76</v>
      </c>
      <c r="S2142" t="s">
        <v>5472</v>
      </c>
    </row>
    <row r="2143" spans="1:19" x14ac:dyDescent="0.3">
      <c r="A2143" t="s">
        <v>5473</v>
      </c>
      <c r="B2143" t="s">
        <v>5474</v>
      </c>
      <c r="C2143" t="s">
        <v>596</v>
      </c>
      <c r="D2143" t="s">
        <v>35</v>
      </c>
      <c r="E2143" t="s">
        <v>80</v>
      </c>
      <c r="F2143" t="s">
        <v>73</v>
      </c>
      <c r="G2143" t="s">
        <v>596</v>
      </c>
      <c r="H2143" t="s">
        <v>75</v>
      </c>
      <c r="I2143">
        <v>0</v>
      </c>
      <c r="J2143">
        <v>0</v>
      </c>
      <c r="K2143">
        <v>0</v>
      </c>
      <c r="L2143">
        <v>0</v>
      </c>
      <c r="M2143" t="s">
        <v>76</v>
      </c>
      <c r="N2143" t="s">
        <v>76</v>
      </c>
      <c r="O2143" t="s">
        <v>77</v>
      </c>
      <c r="P2143" t="s">
        <v>76</v>
      </c>
      <c r="S2143" t="s">
        <v>5474</v>
      </c>
    </row>
    <row r="2144" spans="1:19" x14ac:dyDescent="0.3">
      <c r="A2144" t="s">
        <v>5475</v>
      </c>
      <c r="B2144" t="s">
        <v>5476</v>
      </c>
      <c r="C2144" t="s">
        <v>24</v>
      </c>
      <c r="D2144" t="s">
        <v>35</v>
      </c>
      <c r="E2144" t="s">
        <v>150</v>
      </c>
      <c r="F2144" t="s">
        <v>144</v>
      </c>
      <c r="G2144" t="s">
        <v>1073</v>
      </c>
      <c r="H2144" t="s">
        <v>26</v>
      </c>
      <c r="I2144">
        <v>0</v>
      </c>
      <c r="J2144">
        <v>0</v>
      </c>
      <c r="K2144">
        <v>0</v>
      </c>
      <c r="L2144">
        <v>0</v>
      </c>
      <c r="M2144" t="s">
        <v>76</v>
      </c>
      <c r="N2144" t="s">
        <v>76</v>
      </c>
      <c r="O2144" t="s">
        <v>77</v>
      </c>
      <c r="P2144" t="s">
        <v>76</v>
      </c>
      <c r="S2144" t="s">
        <v>5476</v>
      </c>
    </row>
    <row r="2145" spans="1:19" x14ac:dyDescent="0.3">
      <c r="A2145" t="s">
        <v>5477</v>
      </c>
      <c r="B2145" t="s">
        <v>5478</v>
      </c>
      <c r="C2145" t="s">
        <v>43</v>
      </c>
      <c r="D2145" t="s">
        <v>63</v>
      </c>
      <c r="E2145" t="s">
        <v>64</v>
      </c>
      <c r="F2145" t="s">
        <v>45</v>
      </c>
      <c r="G2145" t="s">
        <v>43</v>
      </c>
      <c r="H2145" t="s">
        <v>26</v>
      </c>
      <c r="I2145">
        <v>0</v>
      </c>
      <c r="J2145">
        <v>0</v>
      </c>
      <c r="K2145">
        <v>0</v>
      </c>
      <c r="L2145">
        <v>0</v>
      </c>
      <c r="M2145" t="s">
        <v>76</v>
      </c>
      <c r="N2145" t="s">
        <v>76</v>
      </c>
      <c r="O2145" t="s">
        <v>77</v>
      </c>
      <c r="P2145" t="s">
        <v>76</v>
      </c>
      <c r="S2145" t="s">
        <v>5478</v>
      </c>
    </row>
    <row r="2146" spans="1:19" x14ac:dyDescent="0.3">
      <c r="A2146" t="s">
        <v>5479</v>
      </c>
      <c r="B2146" t="s">
        <v>5480</v>
      </c>
      <c r="C2146" t="s">
        <v>43</v>
      </c>
      <c r="D2146" t="s">
        <v>63</v>
      </c>
      <c r="E2146" t="s">
        <v>74</v>
      </c>
      <c r="F2146" t="s">
        <v>45</v>
      </c>
      <c r="G2146" t="s">
        <v>43</v>
      </c>
      <c r="H2146" t="s">
        <v>26</v>
      </c>
      <c r="I2146">
        <v>0</v>
      </c>
      <c r="J2146">
        <v>0</v>
      </c>
      <c r="K2146">
        <v>0</v>
      </c>
      <c r="L2146">
        <v>0</v>
      </c>
      <c r="M2146" t="s">
        <v>76</v>
      </c>
      <c r="N2146" t="s">
        <v>76</v>
      </c>
      <c r="O2146" t="s">
        <v>77</v>
      </c>
      <c r="P2146" t="s">
        <v>76</v>
      </c>
      <c r="S2146" t="s">
        <v>5480</v>
      </c>
    </row>
    <row r="2147" spans="1:19" x14ac:dyDescent="0.3">
      <c r="A2147" t="s">
        <v>5481</v>
      </c>
      <c r="B2147" t="s">
        <v>5482</v>
      </c>
      <c r="C2147" t="s">
        <v>596</v>
      </c>
      <c r="D2147" t="s">
        <v>63</v>
      </c>
      <c r="E2147" t="s">
        <v>64</v>
      </c>
      <c r="F2147" t="s">
        <v>73</v>
      </c>
      <c r="G2147" t="s">
        <v>596</v>
      </c>
      <c r="H2147" t="s">
        <v>75</v>
      </c>
      <c r="I2147">
        <v>0</v>
      </c>
      <c r="J2147">
        <v>0</v>
      </c>
      <c r="K2147">
        <v>0</v>
      </c>
      <c r="L2147">
        <v>0</v>
      </c>
      <c r="M2147" t="s">
        <v>76</v>
      </c>
      <c r="N2147" t="s">
        <v>76</v>
      </c>
      <c r="O2147" t="s">
        <v>77</v>
      </c>
      <c r="P2147" t="s">
        <v>76</v>
      </c>
      <c r="S2147" t="s">
        <v>5482</v>
      </c>
    </row>
    <row r="2148" spans="1:19" x14ac:dyDescent="0.3">
      <c r="A2148" t="s">
        <v>5483</v>
      </c>
      <c r="B2148" t="s">
        <v>5484</v>
      </c>
      <c r="C2148" t="s">
        <v>24</v>
      </c>
      <c r="D2148" t="s">
        <v>63</v>
      </c>
      <c r="E2148" t="s">
        <v>331</v>
      </c>
      <c r="F2148" t="s">
        <v>24</v>
      </c>
      <c r="G2148" t="s">
        <v>3612</v>
      </c>
      <c r="H2148" t="s">
        <v>213</v>
      </c>
      <c r="I2148">
        <v>0</v>
      </c>
      <c r="J2148">
        <v>0</v>
      </c>
      <c r="K2148">
        <v>0</v>
      </c>
      <c r="L2148">
        <v>0</v>
      </c>
      <c r="M2148" t="s">
        <v>76</v>
      </c>
      <c r="N2148" t="s">
        <v>76</v>
      </c>
      <c r="O2148" t="s">
        <v>77</v>
      </c>
      <c r="P2148" t="s">
        <v>76</v>
      </c>
      <c r="S2148" t="s">
        <v>5484</v>
      </c>
    </row>
    <row r="2149" spans="1:19" x14ac:dyDescent="0.3">
      <c r="A2149" t="s">
        <v>5485</v>
      </c>
      <c r="B2149" t="s">
        <v>5486</v>
      </c>
      <c r="C2149" t="s">
        <v>43</v>
      </c>
      <c r="D2149" t="s">
        <v>63</v>
      </c>
      <c r="E2149" t="s">
        <v>74</v>
      </c>
      <c r="F2149" t="s">
        <v>45</v>
      </c>
      <c r="G2149" t="s">
        <v>43</v>
      </c>
      <c r="H2149" t="s">
        <v>26</v>
      </c>
      <c r="I2149">
        <v>0</v>
      </c>
      <c r="J2149">
        <v>0</v>
      </c>
      <c r="K2149">
        <v>0</v>
      </c>
      <c r="L2149">
        <v>0</v>
      </c>
      <c r="M2149" t="s">
        <v>76</v>
      </c>
      <c r="N2149" t="s">
        <v>76</v>
      </c>
      <c r="O2149" t="s">
        <v>77</v>
      </c>
      <c r="P2149" t="s">
        <v>76</v>
      </c>
      <c r="S2149" t="s">
        <v>5486</v>
      </c>
    </row>
    <row r="2150" spans="1:19" x14ac:dyDescent="0.3">
      <c r="A2150" t="s">
        <v>5487</v>
      </c>
      <c r="B2150" t="s">
        <v>5488</v>
      </c>
      <c r="C2150" t="s">
        <v>43</v>
      </c>
      <c r="D2150" t="s">
        <v>63</v>
      </c>
      <c r="E2150" t="s">
        <v>74</v>
      </c>
      <c r="F2150" t="s">
        <v>45</v>
      </c>
      <c r="G2150" t="s">
        <v>43</v>
      </c>
      <c r="H2150" t="s">
        <v>26</v>
      </c>
      <c r="I2150">
        <v>0</v>
      </c>
      <c r="J2150">
        <v>0</v>
      </c>
      <c r="K2150">
        <v>0</v>
      </c>
      <c r="L2150">
        <v>0</v>
      </c>
      <c r="M2150" t="s">
        <v>76</v>
      </c>
      <c r="N2150" t="s">
        <v>76</v>
      </c>
      <c r="O2150" t="s">
        <v>77</v>
      </c>
      <c r="P2150" t="s">
        <v>76</v>
      </c>
      <c r="S2150" t="s">
        <v>5488</v>
      </c>
    </row>
    <row r="2151" spans="1:19" x14ac:dyDescent="0.3">
      <c r="A2151" t="s">
        <v>5489</v>
      </c>
      <c r="B2151" t="s">
        <v>5490</v>
      </c>
      <c r="C2151" t="s">
        <v>45</v>
      </c>
      <c r="D2151" t="s">
        <v>63</v>
      </c>
      <c r="E2151" t="s">
        <v>74</v>
      </c>
      <c r="F2151" t="s">
        <v>45</v>
      </c>
      <c r="G2151" t="s">
        <v>2706</v>
      </c>
      <c r="H2151" t="s">
        <v>26</v>
      </c>
      <c r="I2151">
        <v>0</v>
      </c>
      <c r="J2151">
        <v>0</v>
      </c>
      <c r="K2151">
        <v>0</v>
      </c>
      <c r="L2151">
        <v>0</v>
      </c>
      <c r="M2151" t="s">
        <v>76</v>
      </c>
      <c r="N2151" t="s">
        <v>76</v>
      </c>
      <c r="O2151" t="s">
        <v>77</v>
      </c>
      <c r="P2151" t="s">
        <v>76</v>
      </c>
      <c r="S2151" t="s">
        <v>5490</v>
      </c>
    </row>
    <row r="2152" spans="1:19" x14ac:dyDescent="0.3">
      <c r="A2152" t="s">
        <v>2706</v>
      </c>
      <c r="B2152" t="s">
        <v>5491</v>
      </c>
      <c r="C2152" t="s">
        <v>45</v>
      </c>
      <c r="D2152" t="s">
        <v>2796</v>
      </c>
      <c r="F2152" t="s">
        <v>45</v>
      </c>
      <c r="G2152" t="s">
        <v>2706</v>
      </c>
      <c r="H2152" t="s">
        <v>26</v>
      </c>
      <c r="I2152">
        <v>0</v>
      </c>
      <c r="J2152">
        <v>0</v>
      </c>
      <c r="K2152">
        <v>0</v>
      </c>
      <c r="L2152">
        <v>0</v>
      </c>
      <c r="M2152" t="s">
        <v>76</v>
      </c>
      <c r="N2152" t="s">
        <v>76</v>
      </c>
      <c r="O2152" t="s">
        <v>77</v>
      </c>
      <c r="P2152" t="s">
        <v>76</v>
      </c>
      <c r="S2152" t="s">
        <v>5491</v>
      </c>
    </row>
    <row r="2153" spans="1:19" x14ac:dyDescent="0.3">
      <c r="A2153" t="s">
        <v>5492</v>
      </c>
      <c r="B2153" t="s">
        <v>5493</v>
      </c>
      <c r="C2153" t="s">
        <v>43</v>
      </c>
      <c r="D2153" t="s">
        <v>63</v>
      </c>
      <c r="E2153" t="s">
        <v>555</v>
      </c>
      <c r="F2153" t="s">
        <v>45</v>
      </c>
      <c r="G2153" t="s">
        <v>43</v>
      </c>
      <c r="H2153" t="s">
        <v>26</v>
      </c>
      <c r="I2153">
        <v>0</v>
      </c>
      <c r="J2153">
        <v>0</v>
      </c>
      <c r="K2153">
        <v>0</v>
      </c>
      <c r="L2153">
        <v>0</v>
      </c>
      <c r="M2153" t="s">
        <v>76</v>
      </c>
      <c r="N2153" t="s">
        <v>76</v>
      </c>
      <c r="O2153" t="s">
        <v>77</v>
      </c>
      <c r="P2153" t="s">
        <v>76</v>
      </c>
      <c r="S2153" t="s">
        <v>5493</v>
      </c>
    </row>
    <row r="2154" spans="1:19" x14ac:dyDescent="0.3">
      <c r="A2154" t="s">
        <v>5494</v>
      </c>
      <c r="B2154" t="s">
        <v>5495</v>
      </c>
      <c r="C2154" t="s">
        <v>243</v>
      </c>
      <c r="D2154" t="s">
        <v>2796</v>
      </c>
      <c r="F2154" t="s">
        <v>243</v>
      </c>
      <c r="G2154" t="s">
        <v>244</v>
      </c>
      <c r="H2154" t="s">
        <v>75</v>
      </c>
      <c r="I2154">
        <v>0</v>
      </c>
      <c r="J2154">
        <v>0</v>
      </c>
      <c r="K2154">
        <v>0</v>
      </c>
      <c r="L2154">
        <v>0</v>
      </c>
      <c r="M2154" t="s">
        <v>76</v>
      </c>
      <c r="N2154" t="s">
        <v>76</v>
      </c>
      <c r="O2154" t="s">
        <v>77</v>
      </c>
      <c r="P2154" t="s">
        <v>76</v>
      </c>
      <c r="S2154" t="s">
        <v>5495</v>
      </c>
    </row>
    <row r="2155" spans="1:19" x14ac:dyDescent="0.3">
      <c r="A2155" t="s">
        <v>5496</v>
      </c>
      <c r="B2155" t="s">
        <v>5497</v>
      </c>
      <c r="C2155" t="s">
        <v>43</v>
      </c>
      <c r="D2155" t="s">
        <v>63</v>
      </c>
      <c r="E2155" t="s">
        <v>74</v>
      </c>
      <c r="F2155" t="s">
        <v>45</v>
      </c>
      <c r="G2155" t="s">
        <v>43</v>
      </c>
      <c r="H2155" t="s">
        <v>26</v>
      </c>
      <c r="I2155">
        <v>0</v>
      </c>
      <c r="J2155">
        <v>0</v>
      </c>
      <c r="K2155">
        <v>0</v>
      </c>
      <c r="L2155">
        <v>0</v>
      </c>
      <c r="M2155" t="s">
        <v>76</v>
      </c>
      <c r="N2155" t="s">
        <v>76</v>
      </c>
      <c r="O2155" t="s">
        <v>77</v>
      </c>
      <c r="P2155" t="s">
        <v>76</v>
      </c>
      <c r="S2155" t="s">
        <v>5497</v>
      </c>
    </row>
    <row r="2156" spans="1:19" x14ac:dyDescent="0.3">
      <c r="A2156" t="s">
        <v>5498</v>
      </c>
      <c r="B2156" t="s">
        <v>5499</v>
      </c>
      <c r="C2156" t="s">
        <v>43</v>
      </c>
      <c r="D2156" t="s">
        <v>35</v>
      </c>
      <c r="E2156" t="s">
        <v>80</v>
      </c>
      <c r="F2156" t="s">
        <v>45</v>
      </c>
      <c r="G2156" t="s">
        <v>43</v>
      </c>
      <c r="H2156" t="s">
        <v>26</v>
      </c>
      <c r="I2156">
        <v>0</v>
      </c>
      <c r="J2156">
        <v>0</v>
      </c>
      <c r="K2156">
        <v>0</v>
      </c>
      <c r="L2156">
        <v>0</v>
      </c>
      <c r="M2156" t="s">
        <v>76</v>
      </c>
      <c r="N2156" t="s">
        <v>76</v>
      </c>
      <c r="O2156" t="s">
        <v>77</v>
      </c>
      <c r="P2156" t="s">
        <v>76</v>
      </c>
      <c r="S2156" t="s">
        <v>5499</v>
      </c>
    </row>
    <row r="2157" spans="1:19" x14ac:dyDescent="0.3">
      <c r="A2157" t="s">
        <v>5500</v>
      </c>
      <c r="B2157" t="s">
        <v>5501</v>
      </c>
      <c r="C2157" t="s">
        <v>43</v>
      </c>
      <c r="D2157" t="s">
        <v>63</v>
      </c>
      <c r="E2157" t="s">
        <v>74</v>
      </c>
      <c r="F2157" t="s">
        <v>45</v>
      </c>
      <c r="G2157" t="s">
        <v>43</v>
      </c>
      <c r="H2157" t="s">
        <v>26</v>
      </c>
      <c r="I2157">
        <v>0</v>
      </c>
      <c r="J2157">
        <v>0</v>
      </c>
      <c r="K2157">
        <v>0</v>
      </c>
      <c r="L2157">
        <v>0</v>
      </c>
      <c r="M2157" t="s">
        <v>76</v>
      </c>
      <c r="N2157" t="s">
        <v>76</v>
      </c>
      <c r="O2157" t="s">
        <v>77</v>
      </c>
      <c r="P2157" t="s">
        <v>76</v>
      </c>
      <c r="S2157" t="s">
        <v>5501</v>
      </c>
    </row>
    <row r="2158" spans="1:19" x14ac:dyDescent="0.3">
      <c r="A2158" t="s">
        <v>5502</v>
      </c>
      <c r="B2158" t="s">
        <v>5503</v>
      </c>
      <c r="C2158" t="s">
        <v>43</v>
      </c>
      <c r="D2158" t="s">
        <v>63</v>
      </c>
      <c r="E2158" t="s">
        <v>74</v>
      </c>
      <c r="F2158" t="s">
        <v>45</v>
      </c>
      <c r="G2158" t="s">
        <v>43</v>
      </c>
      <c r="H2158" t="s">
        <v>26</v>
      </c>
      <c r="I2158">
        <v>0</v>
      </c>
      <c r="J2158">
        <v>0</v>
      </c>
      <c r="K2158">
        <v>0</v>
      </c>
      <c r="L2158">
        <v>0</v>
      </c>
      <c r="M2158" t="s">
        <v>76</v>
      </c>
      <c r="N2158" t="s">
        <v>76</v>
      </c>
      <c r="O2158" t="s">
        <v>77</v>
      </c>
      <c r="P2158" t="s">
        <v>76</v>
      </c>
      <c r="S2158" t="s">
        <v>5503</v>
      </c>
    </row>
    <row r="2159" spans="1:19" x14ac:dyDescent="0.3">
      <c r="A2159" t="s">
        <v>5504</v>
      </c>
      <c r="B2159" t="s">
        <v>5505</v>
      </c>
      <c r="C2159" t="s">
        <v>73</v>
      </c>
      <c r="D2159" t="s">
        <v>63</v>
      </c>
      <c r="E2159" t="s">
        <v>74</v>
      </c>
      <c r="F2159" t="s">
        <v>73</v>
      </c>
      <c r="G2159" t="s">
        <v>542</v>
      </c>
      <c r="H2159" t="s">
        <v>75</v>
      </c>
      <c r="I2159">
        <v>0</v>
      </c>
      <c r="J2159">
        <v>0</v>
      </c>
      <c r="K2159">
        <v>0</v>
      </c>
      <c r="L2159">
        <v>0</v>
      </c>
      <c r="M2159" t="s">
        <v>76</v>
      </c>
      <c r="N2159" t="s">
        <v>76</v>
      </c>
      <c r="O2159" t="s">
        <v>77</v>
      </c>
      <c r="P2159" t="s">
        <v>76</v>
      </c>
      <c r="S2159" t="s">
        <v>5505</v>
      </c>
    </row>
    <row r="2160" spans="1:19" x14ac:dyDescent="0.3">
      <c r="A2160" t="s">
        <v>5506</v>
      </c>
      <c r="B2160" t="s">
        <v>5507</v>
      </c>
      <c r="C2160" t="s">
        <v>43</v>
      </c>
      <c r="D2160" t="s">
        <v>63</v>
      </c>
      <c r="E2160" t="s">
        <v>74</v>
      </c>
      <c r="F2160" t="s">
        <v>45</v>
      </c>
      <c r="G2160" t="s">
        <v>43</v>
      </c>
      <c r="H2160" t="s">
        <v>26</v>
      </c>
      <c r="I2160">
        <v>0</v>
      </c>
      <c r="J2160">
        <v>0</v>
      </c>
      <c r="K2160">
        <v>0</v>
      </c>
      <c r="L2160">
        <v>0</v>
      </c>
      <c r="M2160" t="s">
        <v>76</v>
      </c>
      <c r="N2160" t="s">
        <v>76</v>
      </c>
      <c r="O2160" t="s">
        <v>77</v>
      </c>
      <c r="P2160" t="s">
        <v>76</v>
      </c>
      <c r="S2160" t="s">
        <v>5507</v>
      </c>
    </row>
    <row r="2161" spans="1:19" x14ac:dyDescent="0.3">
      <c r="A2161" t="s">
        <v>5508</v>
      </c>
      <c r="B2161" t="s">
        <v>5509</v>
      </c>
      <c r="C2161" t="s">
        <v>596</v>
      </c>
      <c r="D2161" t="s">
        <v>35</v>
      </c>
      <c r="E2161" t="s">
        <v>150</v>
      </c>
      <c r="F2161" t="s">
        <v>73</v>
      </c>
      <c r="G2161" t="s">
        <v>596</v>
      </c>
      <c r="H2161" t="s">
        <v>75</v>
      </c>
      <c r="I2161">
        <v>0</v>
      </c>
      <c r="J2161">
        <v>0</v>
      </c>
      <c r="K2161">
        <v>0</v>
      </c>
      <c r="L2161">
        <v>0</v>
      </c>
      <c r="M2161" t="s">
        <v>76</v>
      </c>
      <c r="N2161" t="s">
        <v>76</v>
      </c>
      <c r="O2161" t="s">
        <v>77</v>
      </c>
      <c r="P2161" t="s">
        <v>76</v>
      </c>
      <c r="S2161" t="s">
        <v>5509</v>
      </c>
    </row>
    <row r="2162" spans="1:19" x14ac:dyDescent="0.3">
      <c r="A2162" t="s">
        <v>5510</v>
      </c>
      <c r="B2162" t="s">
        <v>5511</v>
      </c>
      <c r="C2162" t="s">
        <v>21</v>
      </c>
      <c r="D2162" t="s">
        <v>35</v>
      </c>
      <c r="E2162" t="s">
        <v>36</v>
      </c>
      <c r="F2162" t="s">
        <v>24</v>
      </c>
      <c r="G2162" t="s">
        <v>21</v>
      </c>
      <c r="H2162" t="s">
        <v>26</v>
      </c>
      <c r="I2162">
        <v>0</v>
      </c>
      <c r="J2162">
        <v>0</v>
      </c>
      <c r="K2162">
        <v>0</v>
      </c>
      <c r="L2162">
        <v>0</v>
      </c>
      <c r="M2162" t="s">
        <v>76</v>
      </c>
      <c r="N2162" t="s">
        <v>76</v>
      </c>
      <c r="O2162" t="s">
        <v>77</v>
      </c>
      <c r="P2162" t="s">
        <v>76</v>
      </c>
      <c r="S2162" t="s">
        <v>4865</v>
      </c>
    </row>
    <row r="2163" spans="1:19" x14ac:dyDescent="0.3">
      <c r="A2163" t="s">
        <v>5512</v>
      </c>
      <c r="B2163" t="s">
        <v>5513</v>
      </c>
      <c r="C2163" t="s">
        <v>43</v>
      </c>
      <c r="D2163" t="s">
        <v>35</v>
      </c>
      <c r="E2163" t="s">
        <v>36</v>
      </c>
      <c r="F2163" t="s">
        <v>45</v>
      </c>
      <c r="G2163" t="s">
        <v>43</v>
      </c>
      <c r="H2163" t="s">
        <v>26</v>
      </c>
      <c r="I2163">
        <v>0</v>
      </c>
      <c r="J2163">
        <v>0</v>
      </c>
      <c r="K2163">
        <v>0</v>
      </c>
      <c r="L2163">
        <v>0</v>
      </c>
      <c r="M2163" t="s">
        <v>37</v>
      </c>
      <c r="N2163" t="s">
        <v>28</v>
      </c>
      <c r="O2163" t="s">
        <v>38</v>
      </c>
      <c r="P2163" t="s">
        <v>30</v>
      </c>
      <c r="Q2163" t="s">
        <v>5514</v>
      </c>
      <c r="R2163" t="s">
        <v>5515</v>
      </c>
      <c r="S2163" t="s">
        <v>5513</v>
      </c>
    </row>
    <row r="2164" spans="1:19" x14ac:dyDescent="0.3">
      <c r="A2164" t="s">
        <v>5516</v>
      </c>
      <c r="B2164" t="s">
        <v>5517</v>
      </c>
      <c r="C2164" t="s">
        <v>43</v>
      </c>
      <c r="D2164" t="s">
        <v>35</v>
      </c>
      <c r="E2164" t="s">
        <v>36</v>
      </c>
      <c r="F2164" t="s">
        <v>45</v>
      </c>
      <c r="G2164" t="s">
        <v>43</v>
      </c>
      <c r="H2164" t="s">
        <v>26</v>
      </c>
      <c r="I2164">
        <v>0</v>
      </c>
      <c r="J2164">
        <v>0</v>
      </c>
      <c r="K2164">
        <v>0</v>
      </c>
      <c r="L2164">
        <v>0</v>
      </c>
      <c r="M2164" t="s">
        <v>76</v>
      </c>
      <c r="N2164" t="s">
        <v>76</v>
      </c>
      <c r="O2164" t="s">
        <v>77</v>
      </c>
      <c r="P2164" t="s">
        <v>76</v>
      </c>
      <c r="S2164" t="s">
        <v>5517</v>
      </c>
    </row>
    <row r="2165" spans="1:19" x14ac:dyDescent="0.3">
      <c r="A2165" t="s">
        <v>5518</v>
      </c>
      <c r="B2165" t="s">
        <v>5519</v>
      </c>
      <c r="C2165" t="s">
        <v>21</v>
      </c>
      <c r="F2165" t="s">
        <v>24</v>
      </c>
      <c r="G2165" t="s">
        <v>21</v>
      </c>
      <c r="H2165" t="s">
        <v>26</v>
      </c>
      <c r="I2165">
        <v>0</v>
      </c>
      <c r="J2165">
        <v>0</v>
      </c>
      <c r="K2165">
        <v>0</v>
      </c>
      <c r="L2165">
        <v>0</v>
      </c>
      <c r="M2165" t="s">
        <v>76</v>
      </c>
      <c r="N2165" t="s">
        <v>76</v>
      </c>
      <c r="O2165" t="s">
        <v>77</v>
      </c>
      <c r="P2165" t="s">
        <v>76</v>
      </c>
      <c r="S2165" t="s">
        <v>5519</v>
      </c>
    </row>
    <row r="2166" spans="1:19" x14ac:dyDescent="0.3">
      <c r="A2166" t="s">
        <v>5520</v>
      </c>
      <c r="B2166" t="s">
        <v>5521</v>
      </c>
      <c r="C2166" t="s">
        <v>24</v>
      </c>
      <c r="D2166" t="s">
        <v>35</v>
      </c>
      <c r="E2166" t="s">
        <v>128</v>
      </c>
      <c r="F2166" t="s">
        <v>24</v>
      </c>
      <c r="G2166" t="s">
        <v>4240</v>
      </c>
      <c r="H2166" t="s">
        <v>213</v>
      </c>
      <c r="I2166">
        <v>0</v>
      </c>
      <c r="J2166">
        <v>0</v>
      </c>
      <c r="K2166">
        <v>0</v>
      </c>
      <c r="L2166">
        <v>0</v>
      </c>
      <c r="M2166" t="s">
        <v>76</v>
      </c>
      <c r="N2166" t="s">
        <v>76</v>
      </c>
      <c r="O2166" t="s">
        <v>77</v>
      </c>
      <c r="P2166" t="s">
        <v>76</v>
      </c>
      <c r="S2166" t="s">
        <v>5521</v>
      </c>
    </row>
    <row r="2167" spans="1:19" x14ac:dyDescent="0.3">
      <c r="A2167" t="s">
        <v>5522</v>
      </c>
      <c r="B2167" t="s">
        <v>5523</v>
      </c>
      <c r="C2167" t="s">
        <v>43</v>
      </c>
      <c r="D2167" t="s">
        <v>63</v>
      </c>
      <c r="E2167" t="s">
        <v>74</v>
      </c>
      <c r="F2167" t="s">
        <v>45</v>
      </c>
      <c r="G2167" t="s">
        <v>43</v>
      </c>
      <c r="H2167" t="s">
        <v>26</v>
      </c>
      <c r="I2167">
        <v>0</v>
      </c>
      <c r="J2167">
        <v>0</v>
      </c>
      <c r="K2167">
        <v>0</v>
      </c>
      <c r="L2167">
        <v>0</v>
      </c>
      <c r="M2167" t="s">
        <v>76</v>
      </c>
      <c r="N2167" t="s">
        <v>76</v>
      </c>
      <c r="O2167" t="s">
        <v>77</v>
      </c>
      <c r="P2167" t="s">
        <v>76</v>
      </c>
      <c r="S2167" t="s">
        <v>5523</v>
      </c>
    </row>
    <row r="2168" spans="1:19" x14ac:dyDescent="0.3">
      <c r="A2168" t="s">
        <v>5524</v>
      </c>
      <c r="B2168" t="s">
        <v>5525</v>
      </c>
      <c r="C2168" t="s">
        <v>24</v>
      </c>
      <c r="D2168" t="s">
        <v>63</v>
      </c>
      <c r="E2168" t="s">
        <v>2033</v>
      </c>
      <c r="F2168" t="s">
        <v>144</v>
      </c>
      <c r="G2168" t="s">
        <v>5526</v>
      </c>
      <c r="H2168" t="s">
        <v>26</v>
      </c>
      <c r="I2168">
        <v>0</v>
      </c>
      <c r="J2168">
        <v>0</v>
      </c>
      <c r="K2168">
        <v>0</v>
      </c>
      <c r="L2168">
        <v>0</v>
      </c>
      <c r="M2168" t="s">
        <v>76</v>
      </c>
      <c r="N2168" t="s">
        <v>76</v>
      </c>
      <c r="O2168" t="s">
        <v>77</v>
      </c>
      <c r="P2168" t="s">
        <v>76</v>
      </c>
      <c r="S2168" t="s">
        <v>5525</v>
      </c>
    </row>
    <row r="2169" spans="1:19" x14ac:dyDescent="0.3">
      <c r="A2169" t="s">
        <v>5527</v>
      </c>
      <c r="B2169" t="s">
        <v>5528</v>
      </c>
      <c r="C2169" t="s">
        <v>24</v>
      </c>
      <c r="D2169" t="s">
        <v>35</v>
      </c>
      <c r="E2169" t="s">
        <v>389</v>
      </c>
      <c r="F2169" t="s">
        <v>144</v>
      </c>
      <c r="G2169" t="s">
        <v>2294</v>
      </c>
      <c r="H2169" t="s">
        <v>26</v>
      </c>
      <c r="I2169">
        <v>0</v>
      </c>
      <c r="J2169">
        <v>0</v>
      </c>
      <c r="K2169">
        <v>0</v>
      </c>
      <c r="L2169">
        <v>0</v>
      </c>
      <c r="M2169" t="s">
        <v>76</v>
      </c>
      <c r="N2169" t="s">
        <v>76</v>
      </c>
      <c r="O2169" t="s">
        <v>77</v>
      </c>
      <c r="P2169" t="s">
        <v>76</v>
      </c>
      <c r="S2169" t="s">
        <v>5528</v>
      </c>
    </row>
    <row r="2170" spans="1:19" x14ac:dyDescent="0.3">
      <c r="A2170" t="s">
        <v>5529</v>
      </c>
      <c r="B2170" t="s">
        <v>5530</v>
      </c>
      <c r="C2170" t="s">
        <v>43</v>
      </c>
      <c r="D2170" t="s">
        <v>63</v>
      </c>
      <c r="E2170" t="s">
        <v>74</v>
      </c>
      <c r="F2170" t="s">
        <v>45</v>
      </c>
      <c r="G2170" t="s">
        <v>43</v>
      </c>
      <c r="H2170" t="s">
        <v>26</v>
      </c>
      <c r="I2170">
        <v>0</v>
      </c>
      <c r="J2170">
        <v>0</v>
      </c>
      <c r="K2170">
        <v>0</v>
      </c>
      <c r="L2170">
        <v>0</v>
      </c>
      <c r="M2170" t="s">
        <v>76</v>
      </c>
      <c r="N2170" t="s">
        <v>76</v>
      </c>
      <c r="O2170" t="s">
        <v>77</v>
      </c>
      <c r="P2170" t="s">
        <v>76</v>
      </c>
      <c r="S2170" t="s">
        <v>5530</v>
      </c>
    </row>
    <row r="2171" spans="1:19" x14ac:dyDescent="0.3">
      <c r="A2171" t="s">
        <v>5531</v>
      </c>
      <c r="B2171" t="s">
        <v>5532</v>
      </c>
      <c r="C2171" t="s">
        <v>43</v>
      </c>
      <c r="F2171" t="s">
        <v>45</v>
      </c>
      <c r="G2171" t="s">
        <v>43</v>
      </c>
      <c r="H2171" t="s">
        <v>26</v>
      </c>
      <c r="I2171">
        <v>0</v>
      </c>
      <c r="J2171">
        <v>0</v>
      </c>
      <c r="K2171">
        <v>0</v>
      </c>
      <c r="L2171">
        <v>0</v>
      </c>
      <c r="M2171" t="s">
        <v>76</v>
      </c>
      <c r="N2171" t="s">
        <v>76</v>
      </c>
      <c r="O2171" t="s">
        <v>77</v>
      </c>
      <c r="P2171" t="s">
        <v>76</v>
      </c>
      <c r="S2171" t="s">
        <v>5532</v>
      </c>
    </row>
    <row r="2172" spans="1:19" x14ac:dyDescent="0.3">
      <c r="A2172" t="s">
        <v>5533</v>
      </c>
      <c r="B2172" t="s">
        <v>5534</v>
      </c>
      <c r="C2172" t="s">
        <v>45</v>
      </c>
      <c r="D2172" t="s">
        <v>63</v>
      </c>
      <c r="E2172" t="s">
        <v>74</v>
      </c>
      <c r="F2172" t="s">
        <v>45</v>
      </c>
      <c r="G2172" t="s">
        <v>145</v>
      </c>
      <c r="H2172" t="s">
        <v>26</v>
      </c>
      <c r="I2172">
        <v>0</v>
      </c>
      <c r="J2172">
        <v>0</v>
      </c>
      <c r="K2172">
        <v>0</v>
      </c>
      <c r="L2172">
        <v>0</v>
      </c>
      <c r="M2172" t="s">
        <v>76</v>
      </c>
      <c r="N2172" t="s">
        <v>76</v>
      </c>
      <c r="O2172" t="s">
        <v>77</v>
      </c>
      <c r="P2172" t="s">
        <v>76</v>
      </c>
      <c r="S2172" t="s">
        <v>5534</v>
      </c>
    </row>
    <row r="2173" spans="1:19" x14ac:dyDescent="0.3">
      <c r="A2173" t="s">
        <v>5535</v>
      </c>
      <c r="B2173" t="s">
        <v>5536</v>
      </c>
      <c r="C2173" t="s">
        <v>24</v>
      </c>
      <c r="D2173" t="s">
        <v>35</v>
      </c>
      <c r="E2173" t="s">
        <v>389</v>
      </c>
      <c r="F2173" t="s">
        <v>24</v>
      </c>
      <c r="G2173" t="s">
        <v>4330</v>
      </c>
      <c r="H2173" t="s">
        <v>213</v>
      </c>
      <c r="I2173">
        <v>0</v>
      </c>
      <c r="J2173">
        <v>0</v>
      </c>
      <c r="K2173">
        <v>0</v>
      </c>
      <c r="L2173">
        <v>0</v>
      </c>
      <c r="M2173" t="s">
        <v>308</v>
      </c>
      <c r="N2173" t="s">
        <v>160</v>
      </c>
      <c r="O2173" t="s">
        <v>309</v>
      </c>
      <c r="P2173" t="s">
        <v>124</v>
      </c>
      <c r="Q2173" t="s">
        <v>5537</v>
      </c>
      <c r="R2173" t="s">
        <v>5538</v>
      </c>
      <c r="S2173" t="s">
        <v>5536</v>
      </c>
    </row>
    <row r="2174" spans="1:19" x14ac:dyDescent="0.3">
      <c r="A2174" t="s">
        <v>5539</v>
      </c>
      <c r="B2174" t="s">
        <v>5540</v>
      </c>
      <c r="C2174" t="s">
        <v>43</v>
      </c>
      <c r="F2174" t="s">
        <v>45</v>
      </c>
      <c r="G2174" t="s">
        <v>43</v>
      </c>
      <c r="H2174" t="s">
        <v>26</v>
      </c>
      <c r="I2174">
        <v>0</v>
      </c>
      <c r="J2174">
        <v>0</v>
      </c>
      <c r="K2174">
        <v>0</v>
      </c>
      <c r="L2174">
        <v>0</v>
      </c>
      <c r="M2174" t="s">
        <v>76</v>
      </c>
      <c r="N2174" t="s">
        <v>76</v>
      </c>
      <c r="O2174" t="s">
        <v>77</v>
      </c>
      <c r="P2174" t="s">
        <v>76</v>
      </c>
      <c r="S2174" t="s">
        <v>5540</v>
      </c>
    </row>
    <row r="2175" spans="1:19" x14ac:dyDescent="0.3">
      <c r="A2175" t="s">
        <v>5541</v>
      </c>
      <c r="B2175" t="s">
        <v>5542</v>
      </c>
      <c r="C2175" t="s">
        <v>24</v>
      </c>
      <c r="D2175" t="s">
        <v>35</v>
      </c>
      <c r="E2175" t="s">
        <v>128</v>
      </c>
      <c r="F2175" t="s">
        <v>24</v>
      </c>
      <c r="G2175" t="s">
        <v>4240</v>
      </c>
      <c r="H2175" t="s">
        <v>213</v>
      </c>
      <c r="I2175">
        <v>0</v>
      </c>
      <c r="J2175">
        <v>0</v>
      </c>
      <c r="K2175">
        <v>0</v>
      </c>
      <c r="L2175">
        <v>0</v>
      </c>
      <c r="M2175" t="s">
        <v>76</v>
      </c>
      <c r="N2175" t="s">
        <v>76</v>
      </c>
      <c r="O2175" t="s">
        <v>77</v>
      </c>
      <c r="P2175" t="s">
        <v>76</v>
      </c>
      <c r="S2175" t="s">
        <v>5542</v>
      </c>
    </row>
    <row r="2176" spans="1:19" x14ac:dyDescent="0.3">
      <c r="A2176" t="s">
        <v>5543</v>
      </c>
      <c r="B2176" t="s">
        <v>5544</v>
      </c>
      <c r="C2176" t="s">
        <v>43</v>
      </c>
      <c r="D2176" t="s">
        <v>63</v>
      </c>
      <c r="E2176" t="s">
        <v>74</v>
      </c>
      <c r="F2176" t="s">
        <v>45</v>
      </c>
      <c r="G2176" t="s">
        <v>43</v>
      </c>
      <c r="H2176" t="s">
        <v>26</v>
      </c>
      <c r="I2176">
        <v>0</v>
      </c>
      <c r="J2176">
        <v>0</v>
      </c>
      <c r="K2176">
        <v>0</v>
      </c>
      <c r="L2176">
        <v>0</v>
      </c>
      <c r="M2176" t="s">
        <v>76</v>
      </c>
      <c r="N2176" t="s">
        <v>76</v>
      </c>
      <c r="O2176" t="s">
        <v>77</v>
      </c>
      <c r="P2176" t="s">
        <v>76</v>
      </c>
      <c r="S2176" t="s">
        <v>5544</v>
      </c>
    </row>
    <row r="2177" spans="1:19" x14ac:dyDescent="0.3">
      <c r="A2177" t="s">
        <v>5545</v>
      </c>
      <c r="B2177" t="s">
        <v>5546</v>
      </c>
      <c r="C2177" t="s">
        <v>43</v>
      </c>
      <c r="D2177" t="s">
        <v>2796</v>
      </c>
      <c r="E2177" t="s">
        <v>74</v>
      </c>
      <c r="F2177" t="s">
        <v>45</v>
      </c>
      <c r="G2177" t="s">
        <v>43</v>
      </c>
      <c r="H2177" t="s">
        <v>26</v>
      </c>
      <c r="I2177">
        <v>0</v>
      </c>
      <c r="J2177">
        <v>0</v>
      </c>
      <c r="K2177">
        <v>0</v>
      </c>
      <c r="L2177">
        <v>0</v>
      </c>
      <c r="M2177" t="s">
        <v>76</v>
      </c>
      <c r="N2177" t="s">
        <v>76</v>
      </c>
      <c r="O2177" t="s">
        <v>77</v>
      </c>
      <c r="P2177" t="s">
        <v>76</v>
      </c>
      <c r="S2177" t="s">
        <v>5546</v>
      </c>
    </row>
    <row r="2178" spans="1:19" x14ac:dyDescent="0.3">
      <c r="A2178" t="s">
        <v>5547</v>
      </c>
      <c r="B2178" t="s">
        <v>5548</v>
      </c>
      <c r="C2178" t="s">
        <v>43</v>
      </c>
      <c r="D2178" t="s">
        <v>63</v>
      </c>
      <c r="E2178" t="s">
        <v>555</v>
      </c>
      <c r="F2178" t="s">
        <v>45</v>
      </c>
      <c r="G2178" t="s">
        <v>43</v>
      </c>
      <c r="H2178" t="s">
        <v>26</v>
      </c>
      <c r="I2178">
        <v>0</v>
      </c>
      <c r="J2178">
        <v>0</v>
      </c>
      <c r="K2178">
        <v>0</v>
      </c>
      <c r="L2178">
        <v>0</v>
      </c>
      <c r="M2178" t="s">
        <v>76</v>
      </c>
      <c r="N2178" t="s">
        <v>76</v>
      </c>
      <c r="O2178" t="s">
        <v>77</v>
      </c>
      <c r="P2178" t="s">
        <v>76</v>
      </c>
      <c r="S2178" t="s">
        <v>5548</v>
      </c>
    </row>
    <row r="2179" spans="1:19" x14ac:dyDescent="0.3">
      <c r="A2179" t="s">
        <v>5549</v>
      </c>
      <c r="B2179" t="s">
        <v>5550</v>
      </c>
      <c r="C2179" t="s">
        <v>243</v>
      </c>
      <c r="D2179" t="s">
        <v>63</v>
      </c>
      <c r="E2179" t="s">
        <v>74</v>
      </c>
      <c r="F2179" t="s">
        <v>243</v>
      </c>
      <c r="G2179" t="s">
        <v>244</v>
      </c>
      <c r="H2179" t="s">
        <v>75</v>
      </c>
      <c r="I2179">
        <v>0</v>
      </c>
      <c r="J2179">
        <v>0</v>
      </c>
      <c r="K2179">
        <v>0</v>
      </c>
      <c r="L2179">
        <v>0</v>
      </c>
      <c r="M2179" t="s">
        <v>76</v>
      </c>
      <c r="N2179" t="s">
        <v>76</v>
      </c>
      <c r="O2179" t="s">
        <v>77</v>
      </c>
      <c r="P2179" t="s">
        <v>76</v>
      </c>
      <c r="S2179" t="s">
        <v>5550</v>
      </c>
    </row>
    <row r="2180" spans="1:19" x14ac:dyDescent="0.3">
      <c r="A2180" t="s">
        <v>3135</v>
      </c>
      <c r="B2180" t="s">
        <v>5551</v>
      </c>
      <c r="C2180" t="s">
        <v>314</v>
      </c>
      <c r="D2180" t="s">
        <v>63</v>
      </c>
      <c r="E2180" t="s">
        <v>74</v>
      </c>
      <c r="F2180" t="s">
        <v>314</v>
      </c>
      <c r="G2180" t="s">
        <v>3135</v>
      </c>
      <c r="H2180" t="s">
        <v>75</v>
      </c>
      <c r="I2180">
        <v>0</v>
      </c>
      <c r="J2180">
        <v>0</v>
      </c>
      <c r="K2180">
        <v>0</v>
      </c>
      <c r="L2180">
        <v>0</v>
      </c>
      <c r="M2180" t="s">
        <v>76</v>
      </c>
      <c r="N2180" t="s">
        <v>76</v>
      </c>
      <c r="O2180" t="s">
        <v>77</v>
      </c>
      <c r="P2180" t="s">
        <v>76</v>
      </c>
      <c r="S2180" t="s">
        <v>5551</v>
      </c>
    </row>
    <row r="2181" spans="1:19" x14ac:dyDescent="0.3">
      <c r="A2181" t="s">
        <v>5552</v>
      </c>
      <c r="B2181" t="s">
        <v>5553</v>
      </c>
      <c r="C2181" t="s">
        <v>1053</v>
      </c>
      <c r="D2181" t="s">
        <v>63</v>
      </c>
      <c r="E2181" t="s">
        <v>74</v>
      </c>
      <c r="F2181" t="s">
        <v>314</v>
      </c>
      <c r="G2181" t="s">
        <v>1053</v>
      </c>
      <c r="H2181" t="s">
        <v>75</v>
      </c>
      <c r="I2181">
        <v>0</v>
      </c>
      <c r="J2181">
        <v>0</v>
      </c>
      <c r="K2181">
        <v>0</v>
      </c>
      <c r="L2181">
        <v>0</v>
      </c>
      <c r="M2181" t="s">
        <v>76</v>
      </c>
      <c r="N2181" t="s">
        <v>76</v>
      </c>
      <c r="O2181" t="s">
        <v>77</v>
      </c>
      <c r="P2181" t="s">
        <v>76</v>
      </c>
      <c r="S2181" t="s">
        <v>5553</v>
      </c>
    </row>
    <row r="2182" spans="1:19" x14ac:dyDescent="0.3">
      <c r="A2182" t="s">
        <v>5554</v>
      </c>
      <c r="B2182" t="s">
        <v>5555</v>
      </c>
      <c r="C2182" t="s">
        <v>1053</v>
      </c>
      <c r="D2182" t="s">
        <v>63</v>
      </c>
      <c r="E2182" t="s">
        <v>74</v>
      </c>
      <c r="F2182" t="s">
        <v>314</v>
      </c>
      <c r="G2182" t="s">
        <v>1053</v>
      </c>
      <c r="H2182" t="s">
        <v>75</v>
      </c>
      <c r="I2182">
        <v>0</v>
      </c>
      <c r="J2182">
        <v>0</v>
      </c>
      <c r="K2182">
        <v>0</v>
      </c>
      <c r="L2182">
        <v>0</v>
      </c>
      <c r="M2182" t="s">
        <v>76</v>
      </c>
      <c r="N2182" t="s">
        <v>76</v>
      </c>
      <c r="O2182" t="s">
        <v>77</v>
      </c>
      <c r="P2182" t="s">
        <v>76</v>
      </c>
      <c r="S2182" t="s">
        <v>5555</v>
      </c>
    </row>
    <row r="2183" spans="1:19" x14ac:dyDescent="0.3">
      <c r="A2183" t="s">
        <v>5556</v>
      </c>
      <c r="B2183" t="s">
        <v>5557</v>
      </c>
      <c r="C2183" t="s">
        <v>43</v>
      </c>
      <c r="D2183" t="s">
        <v>63</v>
      </c>
      <c r="E2183" t="s">
        <v>85</v>
      </c>
      <c r="F2183" t="s">
        <v>45</v>
      </c>
      <c r="G2183" t="s">
        <v>43</v>
      </c>
      <c r="H2183" t="s">
        <v>26</v>
      </c>
      <c r="I2183">
        <v>0</v>
      </c>
      <c r="J2183">
        <v>0</v>
      </c>
      <c r="K2183">
        <v>0</v>
      </c>
      <c r="L2183">
        <v>0</v>
      </c>
      <c r="M2183" t="s">
        <v>76</v>
      </c>
      <c r="N2183" t="s">
        <v>76</v>
      </c>
      <c r="O2183" t="s">
        <v>77</v>
      </c>
      <c r="P2183" t="s">
        <v>76</v>
      </c>
      <c r="S2183" t="s">
        <v>5557</v>
      </c>
    </row>
    <row r="2184" spans="1:19" x14ac:dyDescent="0.3">
      <c r="A2184" t="s">
        <v>5558</v>
      </c>
      <c r="B2184" t="s">
        <v>5559</v>
      </c>
      <c r="C2184" t="s">
        <v>43</v>
      </c>
      <c r="D2184" t="s">
        <v>63</v>
      </c>
      <c r="E2184" t="s">
        <v>74</v>
      </c>
      <c r="F2184" t="s">
        <v>45</v>
      </c>
      <c r="G2184" t="s">
        <v>43</v>
      </c>
      <c r="H2184" t="s">
        <v>26</v>
      </c>
      <c r="I2184">
        <v>0</v>
      </c>
      <c r="J2184">
        <v>0</v>
      </c>
      <c r="K2184">
        <v>0</v>
      </c>
      <c r="L2184">
        <v>0</v>
      </c>
      <c r="M2184" t="s">
        <v>76</v>
      </c>
      <c r="N2184" t="s">
        <v>76</v>
      </c>
      <c r="O2184" t="s">
        <v>77</v>
      </c>
      <c r="P2184" t="s">
        <v>76</v>
      </c>
      <c r="S2184" t="s">
        <v>5559</v>
      </c>
    </row>
    <row r="2185" spans="1:19" x14ac:dyDescent="0.3">
      <c r="A2185" t="s">
        <v>5560</v>
      </c>
      <c r="B2185" t="s">
        <v>5561</v>
      </c>
      <c r="C2185" t="s">
        <v>21</v>
      </c>
      <c r="D2185" t="s">
        <v>35</v>
      </c>
      <c r="E2185" t="s">
        <v>36</v>
      </c>
      <c r="F2185" t="s">
        <v>24</v>
      </c>
      <c r="G2185" t="s">
        <v>21</v>
      </c>
      <c r="H2185" t="s">
        <v>26</v>
      </c>
      <c r="I2185">
        <v>0</v>
      </c>
      <c r="J2185">
        <v>0</v>
      </c>
      <c r="K2185">
        <v>0</v>
      </c>
      <c r="L2185">
        <v>0</v>
      </c>
      <c r="M2185" t="s">
        <v>76</v>
      </c>
      <c r="N2185" t="s">
        <v>76</v>
      </c>
      <c r="O2185" t="s">
        <v>77</v>
      </c>
      <c r="P2185" t="s">
        <v>76</v>
      </c>
      <c r="S2185" t="s">
        <v>5561</v>
      </c>
    </row>
    <row r="2186" spans="1:19" x14ac:dyDescent="0.3">
      <c r="A2186" t="s">
        <v>5562</v>
      </c>
      <c r="B2186" t="s">
        <v>5563</v>
      </c>
      <c r="C2186" t="s">
        <v>45</v>
      </c>
      <c r="D2186" t="s">
        <v>63</v>
      </c>
      <c r="E2186" t="s">
        <v>331</v>
      </c>
      <c r="F2186" t="s">
        <v>45</v>
      </c>
      <c r="G2186" t="s">
        <v>5564</v>
      </c>
      <c r="H2186" t="s">
        <v>26</v>
      </c>
      <c r="I2186">
        <v>0</v>
      </c>
      <c r="J2186">
        <v>0</v>
      </c>
      <c r="K2186">
        <v>0</v>
      </c>
      <c r="L2186">
        <v>0</v>
      </c>
      <c r="M2186" t="s">
        <v>76</v>
      </c>
      <c r="N2186" t="s">
        <v>76</v>
      </c>
      <c r="O2186" t="s">
        <v>77</v>
      </c>
      <c r="P2186" t="s">
        <v>76</v>
      </c>
      <c r="S2186" t="s">
        <v>5563</v>
      </c>
    </row>
    <row r="2187" spans="1:19" x14ac:dyDescent="0.3">
      <c r="A2187" t="s">
        <v>5565</v>
      </c>
      <c r="B2187" t="s">
        <v>5566</v>
      </c>
      <c r="C2187" t="s">
        <v>73</v>
      </c>
      <c r="D2187" t="s">
        <v>63</v>
      </c>
      <c r="E2187" t="s">
        <v>74</v>
      </c>
      <c r="F2187" t="s">
        <v>73</v>
      </c>
      <c r="G2187" t="s">
        <v>2593</v>
      </c>
      <c r="H2187" t="s">
        <v>317</v>
      </c>
      <c r="I2187">
        <v>0</v>
      </c>
      <c r="J2187">
        <v>0</v>
      </c>
      <c r="K2187">
        <v>0</v>
      </c>
      <c r="L2187">
        <v>0</v>
      </c>
      <c r="M2187" t="s">
        <v>76</v>
      </c>
      <c r="N2187" t="s">
        <v>76</v>
      </c>
      <c r="O2187" t="s">
        <v>77</v>
      </c>
      <c r="P2187" t="s">
        <v>76</v>
      </c>
      <c r="S2187" t="s">
        <v>5566</v>
      </c>
    </row>
    <row r="2188" spans="1:19" x14ac:dyDescent="0.3">
      <c r="A2188" t="s">
        <v>5567</v>
      </c>
      <c r="B2188" t="s">
        <v>5568</v>
      </c>
      <c r="C2188" t="s">
        <v>73</v>
      </c>
      <c r="D2188" t="s">
        <v>63</v>
      </c>
      <c r="E2188" t="s">
        <v>74</v>
      </c>
      <c r="F2188" t="s">
        <v>73</v>
      </c>
      <c r="G2188" t="s">
        <v>5569</v>
      </c>
      <c r="H2188" t="s">
        <v>317</v>
      </c>
      <c r="I2188">
        <v>0</v>
      </c>
      <c r="J2188">
        <v>0</v>
      </c>
      <c r="K2188">
        <v>0</v>
      </c>
      <c r="L2188">
        <v>0</v>
      </c>
      <c r="M2188" t="s">
        <v>57</v>
      </c>
      <c r="N2188" t="s">
        <v>28</v>
      </c>
      <c r="O2188" t="s">
        <v>58</v>
      </c>
      <c r="P2188" t="s">
        <v>30</v>
      </c>
      <c r="Q2188" t="s">
        <v>899</v>
      </c>
      <c r="R2188" t="s">
        <v>900</v>
      </c>
      <c r="S2188" t="s">
        <v>901</v>
      </c>
    </row>
    <row r="2189" spans="1:19" x14ac:dyDescent="0.3">
      <c r="A2189" t="s">
        <v>5570</v>
      </c>
      <c r="B2189" t="s">
        <v>5571</v>
      </c>
      <c r="C2189" t="s">
        <v>114</v>
      </c>
      <c r="D2189" t="s">
        <v>35</v>
      </c>
      <c r="E2189" t="s">
        <v>36</v>
      </c>
      <c r="F2189" t="s">
        <v>114</v>
      </c>
      <c r="G2189" t="s">
        <v>5570</v>
      </c>
      <c r="H2189" t="s">
        <v>213</v>
      </c>
      <c r="I2189">
        <v>0</v>
      </c>
      <c r="J2189">
        <v>0</v>
      </c>
      <c r="K2189">
        <v>0</v>
      </c>
      <c r="L2189">
        <v>0</v>
      </c>
      <c r="M2189" t="s">
        <v>76</v>
      </c>
      <c r="N2189" t="s">
        <v>76</v>
      </c>
      <c r="O2189" t="s">
        <v>77</v>
      </c>
      <c r="P2189" t="s">
        <v>76</v>
      </c>
      <c r="S2189" t="s">
        <v>5571</v>
      </c>
    </row>
    <row r="2190" spans="1:19" x14ac:dyDescent="0.3">
      <c r="A2190" t="s">
        <v>5572</v>
      </c>
      <c r="B2190" t="s">
        <v>5573</v>
      </c>
      <c r="C2190" t="s">
        <v>43</v>
      </c>
      <c r="D2190" t="s">
        <v>63</v>
      </c>
      <c r="E2190" t="s">
        <v>74</v>
      </c>
      <c r="F2190" t="s">
        <v>45</v>
      </c>
      <c r="G2190" t="s">
        <v>43</v>
      </c>
      <c r="H2190" t="s">
        <v>26</v>
      </c>
      <c r="I2190">
        <v>0</v>
      </c>
      <c r="J2190">
        <v>0</v>
      </c>
      <c r="K2190">
        <v>0</v>
      </c>
      <c r="L2190">
        <v>0</v>
      </c>
      <c r="M2190" t="s">
        <v>76</v>
      </c>
      <c r="N2190" t="s">
        <v>76</v>
      </c>
      <c r="O2190" t="s">
        <v>77</v>
      </c>
      <c r="P2190" t="s">
        <v>76</v>
      </c>
      <c r="S2190" t="s">
        <v>5573</v>
      </c>
    </row>
    <row r="2191" spans="1:19" x14ac:dyDescent="0.3">
      <c r="A2191" t="s">
        <v>5574</v>
      </c>
      <c r="B2191" t="s">
        <v>5575</v>
      </c>
      <c r="C2191" t="s">
        <v>43</v>
      </c>
      <c r="D2191" t="s">
        <v>63</v>
      </c>
      <c r="E2191" t="s">
        <v>74</v>
      </c>
      <c r="F2191" t="s">
        <v>45</v>
      </c>
      <c r="G2191" t="s">
        <v>43</v>
      </c>
      <c r="H2191" t="s">
        <v>26</v>
      </c>
      <c r="I2191">
        <v>0</v>
      </c>
      <c r="J2191">
        <v>0</v>
      </c>
      <c r="K2191">
        <v>0</v>
      </c>
      <c r="L2191">
        <v>0</v>
      </c>
      <c r="M2191" t="s">
        <v>63</v>
      </c>
      <c r="N2191" t="s">
        <v>28</v>
      </c>
      <c r="O2191" t="s">
        <v>86</v>
      </c>
      <c r="P2191" t="s">
        <v>30</v>
      </c>
      <c r="Q2191" t="s">
        <v>5576</v>
      </c>
      <c r="R2191" t="s">
        <v>734</v>
      </c>
      <c r="S2191" t="s">
        <v>5575</v>
      </c>
    </row>
    <row r="2192" spans="1:19" x14ac:dyDescent="0.3">
      <c r="A2192" t="s">
        <v>5577</v>
      </c>
      <c r="B2192" t="s">
        <v>5578</v>
      </c>
      <c r="C2192" t="s">
        <v>24</v>
      </c>
      <c r="D2192" t="s">
        <v>63</v>
      </c>
      <c r="E2192" t="s">
        <v>74</v>
      </c>
      <c r="F2192" t="s">
        <v>24</v>
      </c>
      <c r="G2192" t="s">
        <v>1828</v>
      </c>
      <c r="H2192" t="s">
        <v>26</v>
      </c>
      <c r="I2192">
        <v>0</v>
      </c>
      <c r="J2192">
        <v>0</v>
      </c>
      <c r="K2192">
        <v>0</v>
      </c>
      <c r="L2192">
        <v>0</v>
      </c>
      <c r="M2192" t="s">
        <v>76</v>
      </c>
      <c r="N2192" t="s">
        <v>76</v>
      </c>
      <c r="O2192" t="s">
        <v>77</v>
      </c>
      <c r="P2192" t="s">
        <v>76</v>
      </c>
      <c r="S2192" t="s">
        <v>5578</v>
      </c>
    </row>
    <row r="2193" spans="1:19" x14ac:dyDescent="0.3">
      <c r="A2193" t="s">
        <v>5579</v>
      </c>
      <c r="B2193" t="s">
        <v>5580</v>
      </c>
      <c r="C2193" t="s">
        <v>73</v>
      </c>
      <c r="D2193" t="s">
        <v>63</v>
      </c>
      <c r="E2193" t="s">
        <v>74</v>
      </c>
      <c r="F2193" t="s">
        <v>73</v>
      </c>
      <c r="G2193" t="s">
        <v>5581</v>
      </c>
      <c r="H2193" t="s">
        <v>317</v>
      </c>
      <c r="I2193">
        <v>0</v>
      </c>
      <c r="J2193">
        <v>0</v>
      </c>
      <c r="K2193">
        <v>0</v>
      </c>
      <c r="L2193">
        <v>0</v>
      </c>
      <c r="M2193" t="s">
        <v>76</v>
      </c>
      <c r="N2193" t="s">
        <v>76</v>
      </c>
      <c r="O2193" t="s">
        <v>77</v>
      </c>
      <c r="P2193" t="s">
        <v>76</v>
      </c>
      <c r="S2193" t="s">
        <v>5580</v>
      </c>
    </row>
    <row r="2194" spans="1:19" x14ac:dyDescent="0.3">
      <c r="A2194" t="s">
        <v>5582</v>
      </c>
      <c r="B2194" t="s">
        <v>5583</v>
      </c>
      <c r="C2194" t="s">
        <v>596</v>
      </c>
      <c r="D2194" t="s">
        <v>63</v>
      </c>
      <c r="E2194" t="s">
        <v>74</v>
      </c>
      <c r="F2194" t="s">
        <v>73</v>
      </c>
      <c r="G2194" t="s">
        <v>596</v>
      </c>
      <c r="H2194" t="s">
        <v>75</v>
      </c>
      <c r="I2194">
        <v>0</v>
      </c>
      <c r="J2194">
        <v>0</v>
      </c>
      <c r="K2194">
        <v>0</v>
      </c>
      <c r="L2194">
        <v>0</v>
      </c>
      <c r="M2194" t="s">
        <v>76</v>
      </c>
      <c r="N2194" t="s">
        <v>76</v>
      </c>
      <c r="O2194" t="s">
        <v>77</v>
      </c>
      <c r="P2194" t="s">
        <v>76</v>
      </c>
      <c r="S2194" t="s">
        <v>5583</v>
      </c>
    </row>
    <row r="2195" spans="1:19" x14ac:dyDescent="0.3">
      <c r="A2195" t="s">
        <v>5584</v>
      </c>
      <c r="B2195" t="s">
        <v>5585</v>
      </c>
      <c r="C2195" t="s">
        <v>73</v>
      </c>
      <c r="D2195" t="s">
        <v>63</v>
      </c>
      <c r="E2195" t="s">
        <v>575</v>
      </c>
      <c r="F2195" t="s">
        <v>73</v>
      </c>
      <c r="G2195" t="s">
        <v>5569</v>
      </c>
      <c r="H2195" t="s">
        <v>317</v>
      </c>
      <c r="I2195">
        <v>0</v>
      </c>
      <c r="J2195">
        <v>0</v>
      </c>
      <c r="K2195">
        <v>0</v>
      </c>
      <c r="L2195">
        <v>0</v>
      </c>
      <c r="M2195" t="s">
        <v>57</v>
      </c>
      <c r="N2195" t="s">
        <v>28</v>
      </c>
      <c r="O2195" t="s">
        <v>58</v>
      </c>
      <c r="P2195" t="s">
        <v>30</v>
      </c>
      <c r="Q2195" t="s">
        <v>899</v>
      </c>
      <c r="R2195" t="s">
        <v>900</v>
      </c>
      <c r="S2195" t="s">
        <v>901</v>
      </c>
    </row>
    <row r="2196" spans="1:19" x14ac:dyDescent="0.3">
      <c r="A2196" t="s">
        <v>5320</v>
      </c>
      <c r="B2196" t="s">
        <v>5586</v>
      </c>
      <c r="C2196" t="s">
        <v>73</v>
      </c>
      <c r="D2196" t="s">
        <v>63</v>
      </c>
      <c r="E2196" t="s">
        <v>74</v>
      </c>
      <c r="F2196" t="s">
        <v>73</v>
      </c>
      <c r="G2196" t="s">
        <v>5320</v>
      </c>
      <c r="H2196" t="s">
        <v>317</v>
      </c>
      <c r="I2196">
        <v>0</v>
      </c>
      <c r="J2196">
        <v>0</v>
      </c>
      <c r="K2196">
        <v>0</v>
      </c>
      <c r="L2196">
        <v>0</v>
      </c>
      <c r="M2196" t="s">
        <v>116</v>
      </c>
      <c r="N2196" t="s">
        <v>116</v>
      </c>
      <c r="O2196" t="s">
        <v>116</v>
      </c>
      <c r="P2196" t="s">
        <v>116</v>
      </c>
      <c r="Q2196" t="s">
        <v>5587</v>
      </c>
      <c r="R2196" t="s">
        <v>5588</v>
      </c>
      <c r="S2196" t="s">
        <v>5586</v>
      </c>
    </row>
    <row r="2197" spans="1:19" x14ac:dyDescent="0.3">
      <c r="A2197" t="s">
        <v>5589</v>
      </c>
      <c r="B2197" t="s">
        <v>5590</v>
      </c>
      <c r="C2197" t="s">
        <v>73</v>
      </c>
      <c r="D2197" t="s">
        <v>35</v>
      </c>
      <c r="E2197" t="s">
        <v>389</v>
      </c>
      <c r="F2197" t="s">
        <v>73</v>
      </c>
      <c r="G2197" t="s">
        <v>5589</v>
      </c>
      <c r="H2197" t="s">
        <v>317</v>
      </c>
      <c r="I2197">
        <v>0</v>
      </c>
      <c r="J2197">
        <v>0</v>
      </c>
      <c r="K2197">
        <v>0</v>
      </c>
      <c r="L2197">
        <v>0</v>
      </c>
      <c r="M2197" t="s">
        <v>76</v>
      </c>
      <c r="N2197" t="s">
        <v>76</v>
      </c>
      <c r="O2197" t="s">
        <v>77</v>
      </c>
      <c r="P2197" t="s">
        <v>76</v>
      </c>
      <c r="S2197" t="s">
        <v>5590</v>
      </c>
    </row>
    <row r="2198" spans="1:19" x14ac:dyDescent="0.3">
      <c r="A2198" t="s">
        <v>5591</v>
      </c>
      <c r="B2198" t="s">
        <v>5592</v>
      </c>
      <c r="C2198" t="s">
        <v>228</v>
      </c>
      <c r="D2198" t="s">
        <v>63</v>
      </c>
      <c r="E2198" t="s">
        <v>323</v>
      </c>
      <c r="F2198" t="s">
        <v>228</v>
      </c>
      <c r="G2198" t="s">
        <v>5593</v>
      </c>
      <c r="H2198" t="s">
        <v>317</v>
      </c>
      <c r="I2198">
        <v>0</v>
      </c>
      <c r="J2198">
        <v>0</v>
      </c>
      <c r="K2198">
        <v>0</v>
      </c>
      <c r="L2198">
        <v>0</v>
      </c>
      <c r="M2198" t="s">
        <v>308</v>
      </c>
      <c r="N2198" t="s">
        <v>160</v>
      </c>
      <c r="O2198" t="s">
        <v>309</v>
      </c>
      <c r="P2198" t="s">
        <v>124</v>
      </c>
      <c r="Q2198" t="s">
        <v>5594</v>
      </c>
      <c r="R2198" t="s">
        <v>5595</v>
      </c>
      <c r="S2198" t="s">
        <v>5592</v>
      </c>
    </row>
    <row r="2199" spans="1:19" x14ac:dyDescent="0.3">
      <c r="A2199" t="s">
        <v>5596</v>
      </c>
      <c r="B2199" t="s">
        <v>5597</v>
      </c>
      <c r="C2199" t="s">
        <v>73</v>
      </c>
      <c r="D2199" t="s">
        <v>63</v>
      </c>
      <c r="E2199" t="s">
        <v>323</v>
      </c>
      <c r="F2199" t="s">
        <v>73</v>
      </c>
      <c r="G2199" t="s">
        <v>5598</v>
      </c>
      <c r="H2199" t="s">
        <v>317</v>
      </c>
      <c r="I2199">
        <v>0</v>
      </c>
      <c r="J2199">
        <v>0</v>
      </c>
      <c r="K2199">
        <v>0</v>
      </c>
      <c r="L2199">
        <v>0</v>
      </c>
      <c r="M2199" t="s">
        <v>76</v>
      </c>
      <c r="N2199" t="s">
        <v>76</v>
      </c>
      <c r="O2199" t="s">
        <v>77</v>
      </c>
      <c r="P2199" t="s">
        <v>76</v>
      </c>
      <c r="S2199" t="s">
        <v>5597</v>
      </c>
    </row>
    <row r="2200" spans="1:19" x14ac:dyDescent="0.3">
      <c r="A2200" t="s">
        <v>5417</v>
      </c>
      <c r="B2200" t="s">
        <v>5599</v>
      </c>
      <c r="C2200" t="s">
        <v>73</v>
      </c>
      <c r="D2200" t="s">
        <v>63</v>
      </c>
      <c r="E2200" t="s">
        <v>74</v>
      </c>
      <c r="F2200" t="s">
        <v>73</v>
      </c>
      <c r="G2200" t="s">
        <v>5417</v>
      </c>
      <c r="H2200" t="s">
        <v>213</v>
      </c>
      <c r="I2200">
        <v>0</v>
      </c>
      <c r="J2200">
        <v>0</v>
      </c>
      <c r="K2200">
        <v>0</v>
      </c>
      <c r="L2200">
        <v>0</v>
      </c>
      <c r="M2200" t="s">
        <v>76</v>
      </c>
      <c r="N2200" t="s">
        <v>76</v>
      </c>
      <c r="O2200" t="s">
        <v>77</v>
      </c>
      <c r="P2200" t="s">
        <v>76</v>
      </c>
      <c r="S2200" t="s">
        <v>5599</v>
      </c>
    </row>
    <row r="2201" spans="1:19" x14ac:dyDescent="0.3">
      <c r="A2201" t="s">
        <v>5600</v>
      </c>
      <c r="B2201" t="s">
        <v>5601</v>
      </c>
      <c r="C2201" t="s">
        <v>73</v>
      </c>
      <c r="D2201" t="s">
        <v>63</v>
      </c>
      <c r="E2201" t="s">
        <v>74</v>
      </c>
      <c r="F2201" t="s">
        <v>73</v>
      </c>
      <c r="G2201" t="s">
        <v>5600</v>
      </c>
      <c r="H2201" t="s">
        <v>213</v>
      </c>
      <c r="I2201">
        <v>0</v>
      </c>
      <c r="J2201">
        <v>0</v>
      </c>
      <c r="K2201">
        <v>0</v>
      </c>
      <c r="L2201">
        <v>0</v>
      </c>
      <c r="M2201" t="s">
        <v>76</v>
      </c>
      <c r="N2201" t="s">
        <v>76</v>
      </c>
      <c r="O2201" t="s">
        <v>77</v>
      </c>
      <c r="P2201" t="s">
        <v>76</v>
      </c>
      <c r="S2201" t="s">
        <v>5601</v>
      </c>
    </row>
    <row r="2202" spans="1:19" x14ac:dyDescent="0.3">
      <c r="A2202" t="s">
        <v>5602</v>
      </c>
      <c r="B2202" t="s">
        <v>5603</v>
      </c>
      <c r="C2202" t="s">
        <v>45</v>
      </c>
      <c r="D2202" t="s">
        <v>63</v>
      </c>
      <c r="E2202" t="s">
        <v>74</v>
      </c>
      <c r="F2202" t="s">
        <v>45</v>
      </c>
      <c r="G2202" t="s">
        <v>5602</v>
      </c>
      <c r="H2202" t="s">
        <v>26</v>
      </c>
      <c r="I2202">
        <v>0</v>
      </c>
      <c r="J2202">
        <v>0</v>
      </c>
      <c r="K2202">
        <v>0</v>
      </c>
      <c r="L2202">
        <v>0</v>
      </c>
      <c r="M2202" t="s">
        <v>76</v>
      </c>
      <c r="N2202" t="s">
        <v>76</v>
      </c>
      <c r="O2202" t="s">
        <v>77</v>
      </c>
      <c r="P2202" t="s">
        <v>76</v>
      </c>
      <c r="S2202" t="s">
        <v>5603</v>
      </c>
    </row>
    <row r="2203" spans="1:19" x14ac:dyDescent="0.3">
      <c r="A2203" t="s">
        <v>5604</v>
      </c>
      <c r="B2203" t="s">
        <v>5605</v>
      </c>
      <c r="C2203" t="s">
        <v>596</v>
      </c>
      <c r="D2203" t="s">
        <v>63</v>
      </c>
      <c r="E2203" t="s">
        <v>64</v>
      </c>
      <c r="F2203" t="s">
        <v>73</v>
      </c>
      <c r="G2203" t="s">
        <v>596</v>
      </c>
      <c r="H2203" t="s">
        <v>75</v>
      </c>
      <c r="I2203">
        <v>0</v>
      </c>
      <c r="J2203">
        <v>0</v>
      </c>
      <c r="K2203">
        <v>0</v>
      </c>
      <c r="L2203">
        <v>0</v>
      </c>
      <c r="M2203" t="s">
        <v>76</v>
      </c>
      <c r="N2203" t="s">
        <v>76</v>
      </c>
      <c r="O2203" t="s">
        <v>77</v>
      </c>
      <c r="P2203" t="s">
        <v>76</v>
      </c>
      <c r="S2203" t="s">
        <v>5605</v>
      </c>
    </row>
    <row r="2204" spans="1:19" x14ac:dyDescent="0.3">
      <c r="A2204" t="s">
        <v>5606</v>
      </c>
      <c r="B2204" t="s">
        <v>5607</v>
      </c>
      <c r="C2204" t="s">
        <v>24</v>
      </c>
      <c r="D2204" t="s">
        <v>35</v>
      </c>
      <c r="E2204" t="s">
        <v>54</v>
      </c>
      <c r="F2204" t="s">
        <v>24</v>
      </c>
      <c r="G2204" t="s">
        <v>650</v>
      </c>
      <c r="H2204" t="s">
        <v>213</v>
      </c>
      <c r="I2204">
        <v>0</v>
      </c>
      <c r="J2204">
        <v>0</v>
      </c>
      <c r="K2204">
        <v>0</v>
      </c>
      <c r="L2204">
        <v>0</v>
      </c>
      <c r="M2204" t="s">
        <v>76</v>
      </c>
      <c r="N2204" t="s">
        <v>76</v>
      </c>
      <c r="O2204" t="s">
        <v>77</v>
      </c>
      <c r="P2204" t="s">
        <v>76</v>
      </c>
      <c r="S2204" t="s">
        <v>5607</v>
      </c>
    </row>
    <row r="2205" spans="1:19" x14ac:dyDescent="0.3">
      <c r="A2205" t="s">
        <v>5608</v>
      </c>
      <c r="B2205" t="s">
        <v>5609</v>
      </c>
      <c r="C2205" t="s">
        <v>43</v>
      </c>
      <c r="D2205" t="s">
        <v>63</v>
      </c>
      <c r="E2205" t="s">
        <v>64</v>
      </c>
      <c r="F2205" t="s">
        <v>45</v>
      </c>
      <c r="G2205" t="s">
        <v>43</v>
      </c>
      <c r="H2205" t="s">
        <v>26</v>
      </c>
      <c r="I2205">
        <v>0</v>
      </c>
      <c r="J2205">
        <v>0</v>
      </c>
      <c r="K2205">
        <v>0</v>
      </c>
      <c r="L2205">
        <v>0</v>
      </c>
      <c r="M2205" t="s">
        <v>76</v>
      </c>
      <c r="N2205" t="s">
        <v>76</v>
      </c>
      <c r="O2205" t="s">
        <v>77</v>
      </c>
      <c r="P2205" t="s">
        <v>76</v>
      </c>
      <c r="S2205" t="s">
        <v>5609</v>
      </c>
    </row>
    <row r="2206" spans="1:19" x14ac:dyDescent="0.3">
      <c r="A2206" t="s">
        <v>5610</v>
      </c>
      <c r="B2206" t="s">
        <v>5611</v>
      </c>
      <c r="C2206" t="s">
        <v>45</v>
      </c>
      <c r="D2206" t="s">
        <v>35</v>
      </c>
      <c r="E2206" t="s">
        <v>36</v>
      </c>
      <c r="F2206" t="s">
        <v>45</v>
      </c>
      <c r="G2206" t="s">
        <v>3804</v>
      </c>
      <c r="H2206" t="s">
        <v>26</v>
      </c>
      <c r="I2206">
        <v>0</v>
      </c>
      <c r="J2206">
        <v>0</v>
      </c>
      <c r="K2206">
        <v>0</v>
      </c>
      <c r="L2206">
        <v>0</v>
      </c>
      <c r="M2206" t="s">
        <v>76</v>
      </c>
      <c r="N2206" t="s">
        <v>76</v>
      </c>
      <c r="O2206" t="s">
        <v>77</v>
      </c>
      <c r="P2206" t="s">
        <v>76</v>
      </c>
      <c r="S2206" t="s">
        <v>5611</v>
      </c>
    </row>
    <row r="2207" spans="1:19" x14ac:dyDescent="0.3">
      <c r="A2207" t="s">
        <v>5612</v>
      </c>
      <c r="B2207" t="s">
        <v>5613</v>
      </c>
      <c r="C2207" t="s">
        <v>43</v>
      </c>
      <c r="F2207" t="s">
        <v>45</v>
      </c>
      <c r="G2207" t="s">
        <v>43</v>
      </c>
      <c r="H2207" t="s">
        <v>26</v>
      </c>
      <c r="I2207">
        <v>0</v>
      </c>
      <c r="J2207">
        <v>0</v>
      </c>
      <c r="K2207">
        <v>0</v>
      </c>
      <c r="L2207">
        <v>0</v>
      </c>
      <c r="M2207" t="s">
        <v>76</v>
      </c>
      <c r="N2207" t="s">
        <v>76</v>
      </c>
      <c r="O2207" t="s">
        <v>77</v>
      </c>
      <c r="P2207" t="s">
        <v>76</v>
      </c>
      <c r="S2207" t="s">
        <v>5613</v>
      </c>
    </row>
    <row r="2208" spans="1:19" x14ac:dyDescent="0.3">
      <c r="A2208" t="s">
        <v>5614</v>
      </c>
      <c r="B2208" t="s">
        <v>5615</v>
      </c>
      <c r="C2208" t="s">
        <v>24</v>
      </c>
      <c r="D2208" t="s">
        <v>63</v>
      </c>
      <c r="E2208" t="s">
        <v>74</v>
      </c>
      <c r="F2208" t="s">
        <v>144</v>
      </c>
      <c r="G2208" t="s">
        <v>1073</v>
      </c>
      <c r="H2208" t="s">
        <v>26</v>
      </c>
      <c r="I2208">
        <v>0</v>
      </c>
      <c r="J2208">
        <v>0</v>
      </c>
      <c r="K2208">
        <v>0</v>
      </c>
      <c r="L2208">
        <v>0</v>
      </c>
      <c r="M2208" t="s">
        <v>76</v>
      </c>
      <c r="N2208" t="s">
        <v>76</v>
      </c>
      <c r="O2208" t="s">
        <v>77</v>
      </c>
      <c r="P2208" t="s">
        <v>76</v>
      </c>
      <c r="S2208" t="s">
        <v>5615</v>
      </c>
    </row>
    <row r="2209" spans="1:19" x14ac:dyDescent="0.3">
      <c r="A2209" t="s">
        <v>5616</v>
      </c>
      <c r="B2209" t="s">
        <v>5617</v>
      </c>
      <c r="C2209" t="s">
        <v>24</v>
      </c>
      <c r="D2209" t="s">
        <v>63</v>
      </c>
      <c r="E2209" t="s">
        <v>74</v>
      </c>
      <c r="F2209" t="s">
        <v>144</v>
      </c>
      <c r="G2209" t="s">
        <v>1073</v>
      </c>
      <c r="H2209" t="s">
        <v>26</v>
      </c>
      <c r="I2209">
        <v>0</v>
      </c>
      <c r="J2209">
        <v>0</v>
      </c>
      <c r="K2209">
        <v>0</v>
      </c>
      <c r="L2209">
        <v>0</v>
      </c>
      <c r="M2209" t="s">
        <v>76</v>
      </c>
      <c r="N2209" t="s">
        <v>76</v>
      </c>
      <c r="O2209" t="s">
        <v>77</v>
      </c>
      <c r="P2209" t="s">
        <v>76</v>
      </c>
      <c r="S2209" t="s">
        <v>5617</v>
      </c>
    </row>
    <row r="2210" spans="1:19" x14ac:dyDescent="0.3">
      <c r="A2210" t="s">
        <v>5618</v>
      </c>
      <c r="B2210" t="s">
        <v>5619</v>
      </c>
      <c r="C2210" t="s">
        <v>43</v>
      </c>
      <c r="D2210" t="s">
        <v>35</v>
      </c>
      <c r="E2210" t="s">
        <v>80</v>
      </c>
      <c r="F2210" t="s">
        <v>45</v>
      </c>
      <c r="G2210" t="s">
        <v>43</v>
      </c>
      <c r="H2210" t="s">
        <v>26</v>
      </c>
      <c r="I2210">
        <v>0</v>
      </c>
      <c r="J2210">
        <v>0</v>
      </c>
      <c r="K2210">
        <v>0</v>
      </c>
      <c r="L2210">
        <v>0</v>
      </c>
      <c r="M2210" t="s">
        <v>76</v>
      </c>
      <c r="N2210" t="s">
        <v>76</v>
      </c>
      <c r="O2210" t="s">
        <v>77</v>
      </c>
      <c r="P2210" t="s">
        <v>76</v>
      </c>
      <c r="S2210" t="s">
        <v>5619</v>
      </c>
    </row>
    <row r="2211" spans="1:19" x14ac:dyDescent="0.3">
      <c r="A2211" t="s">
        <v>5620</v>
      </c>
      <c r="B2211" t="s">
        <v>5621</v>
      </c>
      <c r="C2211" t="s">
        <v>43</v>
      </c>
      <c r="D2211" t="s">
        <v>63</v>
      </c>
      <c r="E2211" t="s">
        <v>64</v>
      </c>
      <c r="F2211" t="s">
        <v>45</v>
      </c>
      <c r="G2211" t="s">
        <v>43</v>
      </c>
      <c r="H2211" t="s">
        <v>26</v>
      </c>
      <c r="I2211">
        <v>0</v>
      </c>
      <c r="J2211">
        <v>0</v>
      </c>
      <c r="K2211">
        <v>0</v>
      </c>
      <c r="L2211">
        <v>0</v>
      </c>
      <c r="M2211" t="s">
        <v>76</v>
      </c>
      <c r="N2211" t="s">
        <v>76</v>
      </c>
      <c r="O2211" t="s">
        <v>77</v>
      </c>
      <c r="P2211" t="s">
        <v>76</v>
      </c>
      <c r="S2211" t="s">
        <v>5621</v>
      </c>
    </row>
    <row r="2212" spans="1:19" x14ac:dyDescent="0.3">
      <c r="A2212" t="s">
        <v>5622</v>
      </c>
      <c r="B2212" t="s">
        <v>5623</v>
      </c>
      <c r="C2212" t="s">
        <v>43</v>
      </c>
      <c r="D2212" t="s">
        <v>63</v>
      </c>
      <c r="E2212" t="s">
        <v>74</v>
      </c>
      <c r="F2212" t="s">
        <v>45</v>
      </c>
      <c r="G2212" t="s">
        <v>43</v>
      </c>
      <c r="H2212" t="s">
        <v>26</v>
      </c>
      <c r="I2212">
        <v>0</v>
      </c>
      <c r="J2212">
        <v>0</v>
      </c>
      <c r="K2212">
        <v>0</v>
      </c>
      <c r="L2212">
        <v>0</v>
      </c>
      <c r="M2212" t="s">
        <v>76</v>
      </c>
      <c r="N2212" t="s">
        <v>76</v>
      </c>
      <c r="O2212" t="s">
        <v>77</v>
      </c>
      <c r="P2212" t="s">
        <v>76</v>
      </c>
      <c r="S2212" t="s">
        <v>5623</v>
      </c>
    </row>
    <row r="2213" spans="1:19" x14ac:dyDescent="0.3">
      <c r="A2213" t="s">
        <v>5624</v>
      </c>
      <c r="B2213" t="s">
        <v>5625</v>
      </c>
      <c r="C2213" t="s">
        <v>21</v>
      </c>
      <c r="D2213" t="s">
        <v>189</v>
      </c>
      <c r="E2213" t="s">
        <v>74</v>
      </c>
      <c r="F2213" t="s">
        <v>45</v>
      </c>
      <c r="G2213" t="s">
        <v>21</v>
      </c>
      <c r="H2213" t="s">
        <v>26</v>
      </c>
      <c r="I2213">
        <v>0</v>
      </c>
      <c r="J2213">
        <v>0</v>
      </c>
      <c r="K2213">
        <v>0</v>
      </c>
      <c r="L2213">
        <v>0</v>
      </c>
      <c r="M2213" t="s">
        <v>76</v>
      </c>
      <c r="N2213" t="s">
        <v>76</v>
      </c>
      <c r="O2213" t="s">
        <v>77</v>
      </c>
      <c r="P2213" t="s">
        <v>76</v>
      </c>
      <c r="S2213" t="s">
        <v>5625</v>
      </c>
    </row>
    <row r="2214" spans="1:19" x14ac:dyDescent="0.3">
      <c r="A2214" t="s">
        <v>5626</v>
      </c>
      <c r="B2214" t="s">
        <v>5627</v>
      </c>
      <c r="C2214" t="s">
        <v>21</v>
      </c>
      <c r="F2214" t="s">
        <v>24</v>
      </c>
      <c r="G2214" t="s">
        <v>21</v>
      </c>
      <c r="H2214" t="s">
        <v>26</v>
      </c>
      <c r="I2214">
        <v>0</v>
      </c>
      <c r="J2214">
        <v>0</v>
      </c>
      <c r="K2214">
        <v>0</v>
      </c>
      <c r="L2214">
        <v>0</v>
      </c>
      <c r="M2214" t="s">
        <v>76</v>
      </c>
      <c r="N2214" t="s">
        <v>76</v>
      </c>
      <c r="O2214" t="s">
        <v>77</v>
      </c>
      <c r="P2214" t="s">
        <v>76</v>
      </c>
      <c r="S2214" t="s">
        <v>5627</v>
      </c>
    </row>
    <row r="2215" spans="1:19" x14ac:dyDescent="0.3">
      <c r="A2215" t="s">
        <v>5628</v>
      </c>
      <c r="B2215" t="s">
        <v>5629</v>
      </c>
      <c r="C2215" t="s">
        <v>45</v>
      </c>
      <c r="F2215" t="s">
        <v>45</v>
      </c>
      <c r="H2215" t="s">
        <v>26</v>
      </c>
      <c r="I2215">
        <v>0</v>
      </c>
      <c r="J2215">
        <v>0</v>
      </c>
      <c r="K2215">
        <v>0</v>
      </c>
      <c r="L2215">
        <v>0</v>
      </c>
      <c r="M2215" t="s">
        <v>76</v>
      </c>
      <c r="N2215" t="s">
        <v>76</v>
      </c>
      <c r="O2215" t="s">
        <v>77</v>
      </c>
      <c r="P2215" t="s">
        <v>76</v>
      </c>
      <c r="S2215" t="s">
        <v>5629</v>
      </c>
    </row>
    <row r="2216" spans="1:19" x14ac:dyDescent="0.3">
      <c r="A2216" t="s">
        <v>5630</v>
      </c>
      <c r="B2216" t="s">
        <v>5631</v>
      </c>
      <c r="C2216" t="s">
        <v>45</v>
      </c>
      <c r="F2216" t="s">
        <v>45</v>
      </c>
      <c r="H2216" t="s">
        <v>26</v>
      </c>
      <c r="I2216">
        <v>0</v>
      </c>
      <c r="J2216">
        <v>0</v>
      </c>
      <c r="K2216">
        <v>0</v>
      </c>
      <c r="L2216">
        <v>0</v>
      </c>
      <c r="M2216" t="s">
        <v>76</v>
      </c>
      <c r="N2216" t="s">
        <v>76</v>
      </c>
      <c r="O2216" t="s">
        <v>77</v>
      </c>
      <c r="P2216" t="s">
        <v>76</v>
      </c>
      <c r="S2216" t="s">
        <v>5631</v>
      </c>
    </row>
    <row r="2217" spans="1:19" x14ac:dyDescent="0.3">
      <c r="A2217" t="s">
        <v>5632</v>
      </c>
      <c r="B2217" t="s">
        <v>5633</v>
      </c>
      <c r="C2217" t="s">
        <v>24</v>
      </c>
      <c r="F2217" t="s">
        <v>24</v>
      </c>
      <c r="H2217" t="s">
        <v>26</v>
      </c>
      <c r="I2217">
        <v>0</v>
      </c>
      <c r="J2217">
        <v>0</v>
      </c>
      <c r="K2217">
        <v>0</v>
      </c>
      <c r="L2217">
        <v>0</v>
      </c>
      <c r="M2217" t="s">
        <v>76</v>
      </c>
      <c r="N2217" t="s">
        <v>76</v>
      </c>
      <c r="O2217" t="s">
        <v>77</v>
      </c>
      <c r="P2217" t="s">
        <v>76</v>
      </c>
      <c r="S2217" t="s">
        <v>5633</v>
      </c>
    </row>
    <row r="2218" spans="1:19" x14ac:dyDescent="0.3">
      <c r="A2218" t="s">
        <v>5634</v>
      </c>
      <c r="B2218" t="s">
        <v>5635</v>
      </c>
      <c r="C2218" t="s">
        <v>21</v>
      </c>
      <c r="D2218" t="s">
        <v>63</v>
      </c>
      <c r="E2218" t="s">
        <v>64</v>
      </c>
      <c r="F2218" t="s">
        <v>24</v>
      </c>
      <c r="G2218" t="s">
        <v>21</v>
      </c>
      <c r="H2218" t="s">
        <v>26</v>
      </c>
      <c r="I2218">
        <v>0</v>
      </c>
      <c r="J2218">
        <v>0</v>
      </c>
      <c r="K2218">
        <v>0</v>
      </c>
      <c r="L2218">
        <v>0</v>
      </c>
      <c r="M2218" t="s">
        <v>76</v>
      </c>
      <c r="N2218" t="s">
        <v>76</v>
      </c>
      <c r="O2218" t="s">
        <v>77</v>
      </c>
      <c r="P2218" t="s">
        <v>76</v>
      </c>
      <c r="S2218" t="s">
        <v>5635</v>
      </c>
    </row>
    <row r="2219" spans="1:19" x14ac:dyDescent="0.3">
      <c r="A2219" t="s">
        <v>5636</v>
      </c>
      <c r="B2219" t="s">
        <v>5637</v>
      </c>
      <c r="C2219" t="s">
        <v>21</v>
      </c>
      <c r="D2219" t="s">
        <v>63</v>
      </c>
      <c r="E2219" t="s">
        <v>74</v>
      </c>
      <c r="F2219" t="s">
        <v>24</v>
      </c>
      <c r="G2219" t="s">
        <v>21</v>
      </c>
      <c r="H2219" t="s">
        <v>26</v>
      </c>
      <c r="I2219">
        <v>0</v>
      </c>
      <c r="J2219">
        <v>0</v>
      </c>
      <c r="K2219">
        <v>0</v>
      </c>
      <c r="L2219">
        <v>0</v>
      </c>
      <c r="M2219" t="s">
        <v>76</v>
      </c>
      <c r="N2219" t="s">
        <v>76</v>
      </c>
      <c r="O2219" t="s">
        <v>77</v>
      </c>
      <c r="P2219" t="s">
        <v>76</v>
      </c>
      <c r="S2219" t="s">
        <v>5637</v>
      </c>
    </row>
    <row r="2220" spans="1:19" x14ac:dyDescent="0.3">
      <c r="A2220" t="s">
        <v>741</v>
      </c>
      <c r="B2220" t="s">
        <v>5638</v>
      </c>
      <c r="C2220" t="s">
        <v>73</v>
      </c>
      <c r="D2220" t="s">
        <v>63</v>
      </c>
      <c r="E2220" t="s">
        <v>74</v>
      </c>
      <c r="F2220" t="s">
        <v>73</v>
      </c>
      <c r="G2220" t="s">
        <v>741</v>
      </c>
      <c r="H2220" t="s">
        <v>75</v>
      </c>
      <c r="I2220">
        <v>0</v>
      </c>
      <c r="J2220">
        <v>0</v>
      </c>
      <c r="K2220">
        <v>0</v>
      </c>
      <c r="L2220">
        <v>0</v>
      </c>
      <c r="M2220" t="s">
        <v>76</v>
      </c>
      <c r="N2220" t="s">
        <v>76</v>
      </c>
      <c r="O2220" t="s">
        <v>77</v>
      </c>
      <c r="P2220" t="s">
        <v>76</v>
      </c>
      <c r="S2220" t="s">
        <v>5638</v>
      </c>
    </row>
    <row r="2221" spans="1:19" x14ac:dyDescent="0.3">
      <c r="A2221" t="s">
        <v>5639</v>
      </c>
      <c r="B2221" t="s">
        <v>5640</v>
      </c>
      <c r="C2221" t="s">
        <v>24</v>
      </c>
      <c r="E2221" t="s">
        <v>389</v>
      </c>
      <c r="F2221" t="s">
        <v>144</v>
      </c>
      <c r="H2221" t="s">
        <v>26</v>
      </c>
      <c r="I2221">
        <v>0</v>
      </c>
      <c r="J2221">
        <v>0</v>
      </c>
      <c r="K2221">
        <v>0</v>
      </c>
      <c r="L2221">
        <v>0</v>
      </c>
      <c r="M2221" t="s">
        <v>76</v>
      </c>
      <c r="N2221" t="s">
        <v>76</v>
      </c>
      <c r="O2221" t="s">
        <v>77</v>
      </c>
      <c r="P2221" t="s">
        <v>76</v>
      </c>
      <c r="S2221" t="s">
        <v>5640</v>
      </c>
    </row>
    <row r="2222" spans="1:19" x14ac:dyDescent="0.3">
      <c r="A2222" t="s">
        <v>5641</v>
      </c>
      <c r="B2222" t="s">
        <v>5642</v>
      </c>
      <c r="C2222" t="s">
        <v>43</v>
      </c>
      <c r="D2222" t="s">
        <v>63</v>
      </c>
      <c r="E2222" t="s">
        <v>74</v>
      </c>
      <c r="F2222" t="s">
        <v>45</v>
      </c>
      <c r="G2222" t="s">
        <v>43</v>
      </c>
      <c r="H2222" t="s">
        <v>26</v>
      </c>
      <c r="I2222">
        <v>0</v>
      </c>
      <c r="J2222">
        <v>0</v>
      </c>
      <c r="K2222">
        <v>0</v>
      </c>
      <c r="L2222">
        <v>0</v>
      </c>
      <c r="M2222" t="s">
        <v>76</v>
      </c>
      <c r="N2222" t="s">
        <v>76</v>
      </c>
      <c r="O2222" t="s">
        <v>77</v>
      </c>
      <c r="P2222" t="s">
        <v>76</v>
      </c>
      <c r="S2222" t="s">
        <v>5642</v>
      </c>
    </row>
    <row r="2223" spans="1:19" x14ac:dyDescent="0.3">
      <c r="A2223" t="s">
        <v>5643</v>
      </c>
      <c r="B2223" t="s">
        <v>5644</v>
      </c>
      <c r="C2223" t="s">
        <v>43</v>
      </c>
      <c r="D2223" t="s">
        <v>35</v>
      </c>
      <c r="E2223" t="s">
        <v>74</v>
      </c>
      <c r="F2223" t="s">
        <v>45</v>
      </c>
      <c r="G2223" t="s">
        <v>43</v>
      </c>
      <c r="H2223" t="s">
        <v>26</v>
      </c>
      <c r="I2223">
        <v>0</v>
      </c>
      <c r="J2223">
        <v>0</v>
      </c>
      <c r="K2223">
        <v>0</v>
      </c>
      <c r="L2223">
        <v>0</v>
      </c>
      <c r="M2223" t="s">
        <v>76</v>
      </c>
      <c r="N2223" t="s">
        <v>76</v>
      </c>
      <c r="O2223" t="s">
        <v>77</v>
      </c>
      <c r="P2223" t="s">
        <v>76</v>
      </c>
      <c r="S2223" t="s">
        <v>5644</v>
      </c>
    </row>
    <row r="2224" spans="1:19" x14ac:dyDescent="0.3">
      <c r="A2224" t="s">
        <v>5645</v>
      </c>
      <c r="B2224" t="s">
        <v>5646</v>
      </c>
      <c r="C2224" t="s">
        <v>43</v>
      </c>
      <c r="F2224" t="s">
        <v>45</v>
      </c>
      <c r="G2224" t="s">
        <v>43</v>
      </c>
      <c r="H2224" t="s">
        <v>26</v>
      </c>
      <c r="I2224">
        <v>0</v>
      </c>
      <c r="J2224">
        <v>0</v>
      </c>
      <c r="K2224">
        <v>0</v>
      </c>
      <c r="L2224">
        <v>0</v>
      </c>
      <c r="M2224" t="s">
        <v>76</v>
      </c>
      <c r="N2224" t="s">
        <v>76</v>
      </c>
      <c r="O2224" t="s">
        <v>77</v>
      </c>
      <c r="P2224" t="s">
        <v>76</v>
      </c>
      <c r="S2224" t="s">
        <v>5646</v>
      </c>
    </row>
    <row r="2225" spans="1:19" x14ac:dyDescent="0.3">
      <c r="A2225" t="s">
        <v>5647</v>
      </c>
      <c r="B2225" t="s">
        <v>5648</v>
      </c>
      <c r="C2225" t="s">
        <v>228</v>
      </c>
      <c r="D2225" t="s">
        <v>63</v>
      </c>
      <c r="E2225" t="s">
        <v>315</v>
      </c>
      <c r="F2225" t="s">
        <v>228</v>
      </c>
      <c r="G2225" t="s">
        <v>5647</v>
      </c>
      <c r="H2225" t="s">
        <v>75</v>
      </c>
      <c r="I2225">
        <v>0</v>
      </c>
      <c r="J2225">
        <v>0</v>
      </c>
      <c r="K2225">
        <v>0</v>
      </c>
      <c r="L2225">
        <v>0</v>
      </c>
      <c r="M2225" t="s">
        <v>63</v>
      </c>
      <c r="N2225" t="s">
        <v>28</v>
      </c>
      <c r="O2225" t="s">
        <v>86</v>
      </c>
      <c r="P2225" t="s">
        <v>30</v>
      </c>
      <c r="Q2225" t="s">
        <v>5649</v>
      </c>
      <c r="R2225" t="s">
        <v>5650</v>
      </c>
      <c r="S2225" t="s">
        <v>5648</v>
      </c>
    </row>
    <row r="2226" spans="1:19" x14ac:dyDescent="0.3">
      <c r="A2226" t="s">
        <v>5651</v>
      </c>
      <c r="B2226" t="s">
        <v>5652</v>
      </c>
      <c r="C2226" t="s">
        <v>73</v>
      </c>
      <c r="D2226" t="s">
        <v>63</v>
      </c>
      <c r="E2226" t="s">
        <v>74</v>
      </c>
      <c r="F2226" t="s">
        <v>73</v>
      </c>
      <c r="G2226" t="s">
        <v>5651</v>
      </c>
      <c r="H2226" t="s">
        <v>317</v>
      </c>
      <c r="I2226">
        <v>0</v>
      </c>
      <c r="J2226">
        <v>0</v>
      </c>
      <c r="K2226">
        <v>0</v>
      </c>
      <c r="L2226">
        <v>0</v>
      </c>
      <c r="M2226" t="s">
        <v>76</v>
      </c>
      <c r="N2226" t="s">
        <v>76</v>
      </c>
      <c r="O2226" t="s">
        <v>77</v>
      </c>
      <c r="P2226" t="s">
        <v>76</v>
      </c>
      <c r="S2226" t="s">
        <v>5652</v>
      </c>
    </row>
    <row r="2227" spans="1:19" x14ac:dyDescent="0.3">
      <c r="A2227" t="s">
        <v>5653</v>
      </c>
      <c r="B2227" t="s">
        <v>5654</v>
      </c>
      <c r="C2227" t="s">
        <v>596</v>
      </c>
      <c r="D2227" t="s">
        <v>2796</v>
      </c>
      <c r="F2227" t="s">
        <v>73</v>
      </c>
      <c r="G2227" t="s">
        <v>596</v>
      </c>
      <c r="H2227" t="s">
        <v>75</v>
      </c>
      <c r="I2227">
        <v>0</v>
      </c>
      <c r="J2227">
        <v>0</v>
      </c>
      <c r="K2227">
        <v>0</v>
      </c>
      <c r="L2227">
        <v>0</v>
      </c>
      <c r="M2227" t="s">
        <v>76</v>
      </c>
      <c r="N2227" t="s">
        <v>76</v>
      </c>
      <c r="O2227" t="s">
        <v>77</v>
      </c>
      <c r="P2227" t="s">
        <v>76</v>
      </c>
      <c r="S2227" t="s">
        <v>5654</v>
      </c>
    </row>
    <row r="2228" spans="1:19" x14ac:dyDescent="0.3">
      <c r="A2228" t="s">
        <v>5655</v>
      </c>
      <c r="B2228" t="s">
        <v>5656</v>
      </c>
      <c r="C2228" t="s">
        <v>73</v>
      </c>
      <c r="D2228" t="s">
        <v>63</v>
      </c>
      <c r="E2228" t="s">
        <v>74</v>
      </c>
      <c r="F2228" t="s">
        <v>73</v>
      </c>
      <c r="G2228" t="s">
        <v>5655</v>
      </c>
      <c r="H2228" t="s">
        <v>317</v>
      </c>
      <c r="I2228">
        <v>0</v>
      </c>
      <c r="J2228">
        <v>0</v>
      </c>
      <c r="K2228">
        <v>0</v>
      </c>
      <c r="L2228">
        <v>0</v>
      </c>
      <c r="M2228" t="s">
        <v>76</v>
      </c>
      <c r="N2228" t="s">
        <v>76</v>
      </c>
      <c r="O2228" t="s">
        <v>77</v>
      </c>
      <c r="P2228" t="s">
        <v>76</v>
      </c>
      <c r="S2228" t="s">
        <v>5656</v>
      </c>
    </row>
    <row r="2229" spans="1:19" x14ac:dyDescent="0.3">
      <c r="A2229" t="s">
        <v>5657</v>
      </c>
      <c r="B2229" t="s">
        <v>5658</v>
      </c>
      <c r="C2229" t="s">
        <v>596</v>
      </c>
      <c r="D2229" t="s">
        <v>63</v>
      </c>
      <c r="E2229" t="s">
        <v>74</v>
      </c>
      <c r="F2229" t="s">
        <v>73</v>
      </c>
      <c r="G2229" t="s">
        <v>596</v>
      </c>
      <c r="H2229" t="s">
        <v>75</v>
      </c>
      <c r="I2229">
        <v>0</v>
      </c>
      <c r="J2229">
        <v>0</v>
      </c>
      <c r="K2229">
        <v>0</v>
      </c>
      <c r="L2229">
        <v>0</v>
      </c>
      <c r="M2229" t="s">
        <v>76</v>
      </c>
      <c r="N2229" t="s">
        <v>76</v>
      </c>
      <c r="O2229" t="s">
        <v>77</v>
      </c>
      <c r="P2229" t="s">
        <v>76</v>
      </c>
      <c r="S2229" t="s">
        <v>5658</v>
      </c>
    </row>
    <row r="2230" spans="1:19" x14ac:dyDescent="0.3">
      <c r="A2230" t="s">
        <v>5659</v>
      </c>
      <c r="B2230" t="s">
        <v>5660</v>
      </c>
      <c r="C2230" t="s">
        <v>243</v>
      </c>
      <c r="D2230" t="s">
        <v>63</v>
      </c>
      <c r="E2230" t="s">
        <v>74</v>
      </c>
      <c r="F2230" t="s">
        <v>73</v>
      </c>
      <c r="G2230" t="s">
        <v>5659</v>
      </c>
      <c r="H2230" t="s">
        <v>213</v>
      </c>
      <c r="I2230">
        <v>0</v>
      </c>
      <c r="J2230">
        <v>0</v>
      </c>
      <c r="K2230">
        <v>0</v>
      </c>
      <c r="L2230">
        <v>0</v>
      </c>
      <c r="M2230" t="s">
        <v>363</v>
      </c>
      <c r="N2230" t="s">
        <v>363</v>
      </c>
      <c r="O2230" t="s">
        <v>363</v>
      </c>
      <c r="P2230" t="s">
        <v>363</v>
      </c>
      <c r="Q2230" t="s">
        <v>5661</v>
      </c>
      <c r="R2230" t="s">
        <v>5662</v>
      </c>
      <c r="S2230" t="s">
        <v>5660</v>
      </c>
    </row>
    <row r="2231" spans="1:19" x14ac:dyDescent="0.3">
      <c r="A2231" t="s">
        <v>5663</v>
      </c>
      <c r="B2231" t="s">
        <v>5664</v>
      </c>
      <c r="C2231" t="s">
        <v>73</v>
      </c>
      <c r="D2231" t="s">
        <v>63</v>
      </c>
      <c r="E2231" t="s">
        <v>74</v>
      </c>
      <c r="F2231" t="s">
        <v>73</v>
      </c>
      <c r="G2231" t="s">
        <v>5663</v>
      </c>
      <c r="H2231" t="s">
        <v>317</v>
      </c>
      <c r="I2231">
        <v>0</v>
      </c>
      <c r="J2231">
        <v>0</v>
      </c>
      <c r="K2231">
        <v>0</v>
      </c>
      <c r="L2231">
        <v>0</v>
      </c>
      <c r="M2231" t="s">
        <v>76</v>
      </c>
      <c r="N2231" t="s">
        <v>76</v>
      </c>
      <c r="O2231" t="s">
        <v>77</v>
      </c>
      <c r="P2231" t="s">
        <v>76</v>
      </c>
      <c r="S2231" t="s">
        <v>5664</v>
      </c>
    </row>
    <row r="2232" spans="1:19" x14ac:dyDescent="0.3">
      <c r="A2232" t="s">
        <v>5665</v>
      </c>
      <c r="B2232" t="s">
        <v>5666</v>
      </c>
      <c r="C2232" t="s">
        <v>43</v>
      </c>
      <c r="D2232" t="s">
        <v>63</v>
      </c>
      <c r="F2232" t="s">
        <v>45</v>
      </c>
      <c r="G2232" t="s">
        <v>43</v>
      </c>
      <c r="H2232" t="s">
        <v>26</v>
      </c>
      <c r="I2232">
        <v>0</v>
      </c>
      <c r="J2232">
        <v>0</v>
      </c>
      <c r="K2232">
        <v>0</v>
      </c>
      <c r="L2232">
        <v>0</v>
      </c>
      <c r="M2232" t="s">
        <v>76</v>
      </c>
      <c r="N2232" t="s">
        <v>76</v>
      </c>
      <c r="O2232" t="s">
        <v>77</v>
      </c>
      <c r="P2232" t="s">
        <v>76</v>
      </c>
      <c r="S2232" t="s">
        <v>5666</v>
      </c>
    </row>
    <row r="2233" spans="1:19" x14ac:dyDescent="0.3">
      <c r="A2233" t="s">
        <v>5667</v>
      </c>
      <c r="B2233" t="s">
        <v>5668</v>
      </c>
      <c r="C2233" t="s">
        <v>596</v>
      </c>
      <c r="D2233" t="s">
        <v>63</v>
      </c>
      <c r="E2233" t="s">
        <v>74</v>
      </c>
      <c r="F2233" t="s">
        <v>73</v>
      </c>
      <c r="G2233" t="s">
        <v>596</v>
      </c>
      <c r="H2233" t="s">
        <v>75</v>
      </c>
      <c r="I2233">
        <v>0</v>
      </c>
      <c r="J2233">
        <v>0</v>
      </c>
      <c r="K2233">
        <v>0</v>
      </c>
      <c r="L2233">
        <v>0</v>
      </c>
      <c r="M2233" t="s">
        <v>76</v>
      </c>
      <c r="N2233" t="s">
        <v>76</v>
      </c>
      <c r="O2233" t="s">
        <v>77</v>
      </c>
      <c r="P2233" t="s">
        <v>76</v>
      </c>
      <c r="S2233" t="s">
        <v>5668</v>
      </c>
    </row>
    <row r="2234" spans="1:19" x14ac:dyDescent="0.3">
      <c r="A2234" t="s">
        <v>5669</v>
      </c>
      <c r="B2234" t="s">
        <v>5670</v>
      </c>
      <c r="C2234" t="s">
        <v>24</v>
      </c>
      <c r="D2234" t="s">
        <v>63</v>
      </c>
      <c r="E2234" t="s">
        <v>74</v>
      </c>
      <c r="F2234" t="s">
        <v>24</v>
      </c>
      <c r="G2234" t="s">
        <v>1073</v>
      </c>
      <c r="H2234" t="s">
        <v>26</v>
      </c>
      <c r="I2234">
        <v>0</v>
      </c>
      <c r="J2234">
        <v>0</v>
      </c>
      <c r="K2234">
        <v>0</v>
      </c>
      <c r="L2234">
        <v>0</v>
      </c>
      <c r="M2234" t="s">
        <v>76</v>
      </c>
      <c r="N2234" t="s">
        <v>76</v>
      </c>
      <c r="O2234" t="s">
        <v>77</v>
      </c>
      <c r="P2234" t="s">
        <v>76</v>
      </c>
      <c r="S2234" t="s">
        <v>5670</v>
      </c>
    </row>
    <row r="2235" spans="1:19" x14ac:dyDescent="0.3">
      <c r="A2235" t="s">
        <v>5671</v>
      </c>
      <c r="B2235" t="s">
        <v>5672</v>
      </c>
      <c r="C2235" t="s">
        <v>43</v>
      </c>
      <c r="D2235" t="s">
        <v>63</v>
      </c>
      <c r="E2235" t="s">
        <v>555</v>
      </c>
      <c r="F2235" t="s">
        <v>45</v>
      </c>
      <c r="G2235" t="s">
        <v>43</v>
      </c>
      <c r="H2235" t="s">
        <v>26</v>
      </c>
      <c r="I2235">
        <v>0</v>
      </c>
      <c r="J2235">
        <v>0</v>
      </c>
      <c r="K2235">
        <v>0</v>
      </c>
      <c r="L2235">
        <v>0</v>
      </c>
      <c r="M2235" t="s">
        <v>76</v>
      </c>
      <c r="N2235" t="s">
        <v>76</v>
      </c>
      <c r="O2235" t="s">
        <v>77</v>
      </c>
      <c r="P2235" t="s">
        <v>76</v>
      </c>
      <c r="S2235" t="s">
        <v>5672</v>
      </c>
    </row>
    <row r="2236" spans="1:19" x14ac:dyDescent="0.3">
      <c r="A2236" t="s">
        <v>5673</v>
      </c>
      <c r="B2236" t="s">
        <v>5674</v>
      </c>
      <c r="C2236" t="s">
        <v>43</v>
      </c>
      <c r="D2236" t="s">
        <v>63</v>
      </c>
      <c r="E2236" t="s">
        <v>555</v>
      </c>
      <c r="F2236" t="s">
        <v>45</v>
      </c>
      <c r="G2236" t="s">
        <v>43</v>
      </c>
      <c r="H2236" t="s">
        <v>26</v>
      </c>
      <c r="I2236">
        <v>0</v>
      </c>
      <c r="J2236">
        <v>0</v>
      </c>
      <c r="K2236">
        <v>0</v>
      </c>
      <c r="L2236">
        <v>0</v>
      </c>
      <c r="M2236" t="s">
        <v>76</v>
      </c>
      <c r="N2236" t="s">
        <v>76</v>
      </c>
      <c r="O2236" t="s">
        <v>77</v>
      </c>
      <c r="P2236" t="s">
        <v>76</v>
      </c>
      <c r="S2236" t="s">
        <v>5674</v>
      </c>
    </row>
    <row r="2237" spans="1:19" x14ac:dyDescent="0.3">
      <c r="A2237" t="s">
        <v>5675</v>
      </c>
      <c r="B2237" t="s">
        <v>5676</v>
      </c>
      <c r="C2237" t="s">
        <v>596</v>
      </c>
      <c r="D2237" t="s">
        <v>63</v>
      </c>
      <c r="E2237" t="s">
        <v>74</v>
      </c>
      <c r="F2237" t="s">
        <v>73</v>
      </c>
      <c r="G2237" t="s">
        <v>596</v>
      </c>
      <c r="H2237" t="s">
        <v>75</v>
      </c>
      <c r="I2237">
        <v>0</v>
      </c>
      <c r="J2237">
        <v>0</v>
      </c>
      <c r="K2237">
        <v>0</v>
      </c>
      <c r="L2237">
        <v>0</v>
      </c>
      <c r="M2237" t="s">
        <v>76</v>
      </c>
      <c r="N2237" t="s">
        <v>76</v>
      </c>
      <c r="O2237" t="s">
        <v>77</v>
      </c>
      <c r="P2237" t="s">
        <v>76</v>
      </c>
      <c r="S2237" t="s">
        <v>5676</v>
      </c>
    </row>
    <row r="2238" spans="1:19" x14ac:dyDescent="0.3">
      <c r="A2238" t="s">
        <v>5677</v>
      </c>
      <c r="B2238" t="s">
        <v>5678</v>
      </c>
      <c r="C2238" t="s">
        <v>596</v>
      </c>
      <c r="D2238" t="s">
        <v>63</v>
      </c>
      <c r="E2238" t="s">
        <v>74</v>
      </c>
      <c r="F2238" t="s">
        <v>73</v>
      </c>
      <c r="G2238" t="s">
        <v>596</v>
      </c>
      <c r="H2238" t="s">
        <v>75</v>
      </c>
      <c r="I2238">
        <v>0</v>
      </c>
      <c r="J2238">
        <v>0</v>
      </c>
      <c r="K2238">
        <v>0</v>
      </c>
      <c r="L2238">
        <v>0</v>
      </c>
      <c r="M2238" t="s">
        <v>76</v>
      </c>
      <c r="N2238" t="s">
        <v>76</v>
      </c>
      <c r="O2238" t="s">
        <v>77</v>
      </c>
      <c r="P2238" t="s">
        <v>76</v>
      </c>
      <c r="S2238" t="s">
        <v>5678</v>
      </c>
    </row>
    <row r="2239" spans="1:19" x14ac:dyDescent="0.3">
      <c r="A2239" t="s">
        <v>5679</v>
      </c>
      <c r="B2239" t="s">
        <v>5680</v>
      </c>
      <c r="C2239" t="s">
        <v>43</v>
      </c>
      <c r="D2239" t="s">
        <v>63</v>
      </c>
      <c r="E2239" t="s">
        <v>74</v>
      </c>
      <c r="F2239" t="s">
        <v>45</v>
      </c>
      <c r="G2239" t="s">
        <v>43</v>
      </c>
      <c r="H2239" t="s">
        <v>26</v>
      </c>
      <c r="I2239">
        <v>0</v>
      </c>
      <c r="J2239">
        <v>0</v>
      </c>
      <c r="K2239">
        <v>0</v>
      </c>
      <c r="L2239">
        <v>0</v>
      </c>
      <c r="M2239" t="s">
        <v>76</v>
      </c>
      <c r="N2239" t="s">
        <v>76</v>
      </c>
      <c r="O2239" t="s">
        <v>77</v>
      </c>
      <c r="P2239" t="s">
        <v>76</v>
      </c>
      <c r="S2239" t="s">
        <v>5680</v>
      </c>
    </row>
    <row r="2240" spans="1:19" x14ac:dyDescent="0.3">
      <c r="A2240" t="s">
        <v>5681</v>
      </c>
      <c r="B2240" t="s">
        <v>5682</v>
      </c>
      <c r="C2240" t="s">
        <v>43</v>
      </c>
      <c r="F2240" t="s">
        <v>45</v>
      </c>
      <c r="G2240" t="s">
        <v>43</v>
      </c>
      <c r="H2240" t="s">
        <v>26</v>
      </c>
      <c r="I2240">
        <v>0</v>
      </c>
      <c r="J2240">
        <v>0</v>
      </c>
      <c r="K2240">
        <v>0</v>
      </c>
      <c r="L2240">
        <v>0</v>
      </c>
      <c r="M2240" t="s">
        <v>76</v>
      </c>
      <c r="N2240" t="s">
        <v>76</v>
      </c>
      <c r="O2240" t="s">
        <v>77</v>
      </c>
      <c r="P2240" t="s">
        <v>76</v>
      </c>
      <c r="S2240" t="s">
        <v>5682</v>
      </c>
    </row>
    <row r="2241" spans="1:19" x14ac:dyDescent="0.3">
      <c r="A2241" t="s">
        <v>5683</v>
      </c>
      <c r="B2241" t="s">
        <v>5684</v>
      </c>
      <c r="C2241" t="s">
        <v>73</v>
      </c>
      <c r="D2241" t="s">
        <v>35</v>
      </c>
      <c r="E2241" t="s">
        <v>80</v>
      </c>
      <c r="F2241" t="s">
        <v>73</v>
      </c>
      <c r="G2241" t="s">
        <v>5685</v>
      </c>
      <c r="H2241" t="s">
        <v>317</v>
      </c>
      <c r="I2241">
        <v>0</v>
      </c>
      <c r="J2241">
        <v>0</v>
      </c>
      <c r="K2241">
        <v>0</v>
      </c>
      <c r="L2241">
        <v>0</v>
      </c>
      <c r="M2241" t="s">
        <v>76</v>
      </c>
      <c r="N2241" t="s">
        <v>76</v>
      </c>
      <c r="O2241" t="s">
        <v>77</v>
      </c>
      <c r="P2241" t="s">
        <v>76</v>
      </c>
      <c r="S2241" t="s">
        <v>5684</v>
      </c>
    </row>
    <row r="2242" spans="1:19" x14ac:dyDescent="0.3">
      <c r="A2242" t="s">
        <v>5686</v>
      </c>
      <c r="B2242" t="s">
        <v>5687</v>
      </c>
      <c r="C2242" t="s">
        <v>196</v>
      </c>
      <c r="D2242" t="s">
        <v>2796</v>
      </c>
      <c r="F2242" t="s">
        <v>228</v>
      </c>
      <c r="G2242" t="s">
        <v>196</v>
      </c>
      <c r="H2242" t="s">
        <v>75</v>
      </c>
      <c r="I2242">
        <v>0</v>
      </c>
      <c r="J2242">
        <v>0</v>
      </c>
      <c r="K2242">
        <v>0</v>
      </c>
      <c r="L2242">
        <v>0</v>
      </c>
      <c r="M2242" t="s">
        <v>76</v>
      </c>
      <c r="N2242" t="s">
        <v>76</v>
      </c>
      <c r="O2242" t="s">
        <v>77</v>
      </c>
      <c r="P2242" t="s">
        <v>76</v>
      </c>
      <c r="S2242" t="s">
        <v>5687</v>
      </c>
    </row>
    <row r="2243" spans="1:19" x14ac:dyDescent="0.3">
      <c r="A2243" t="s">
        <v>5688</v>
      </c>
      <c r="B2243" t="s">
        <v>5689</v>
      </c>
      <c r="C2243" t="s">
        <v>307</v>
      </c>
      <c r="D2243" t="s">
        <v>2796</v>
      </c>
      <c r="F2243" t="s">
        <v>251</v>
      </c>
      <c r="G2243" t="s">
        <v>307</v>
      </c>
      <c r="H2243" t="s">
        <v>75</v>
      </c>
      <c r="I2243">
        <v>0</v>
      </c>
      <c r="J2243">
        <v>0</v>
      </c>
      <c r="K2243">
        <v>0</v>
      </c>
      <c r="L2243">
        <v>0</v>
      </c>
      <c r="M2243" t="s">
        <v>76</v>
      </c>
      <c r="N2243" t="s">
        <v>76</v>
      </c>
      <c r="O2243" t="s">
        <v>77</v>
      </c>
      <c r="P2243" t="s">
        <v>76</v>
      </c>
      <c r="S2243" t="s">
        <v>5689</v>
      </c>
    </row>
    <row r="2244" spans="1:19" x14ac:dyDescent="0.3">
      <c r="A2244" t="s">
        <v>5690</v>
      </c>
      <c r="B2244" t="s">
        <v>5691</v>
      </c>
      <c r="C2244" t="s">
        <v>43</v>
      </c>
      <c r="D2244" t="s">
        <v>63</v>
      </c>
      <c r="E2244" t="s">
        <v>74</v>
      </c>
      <c r="F2244" t="s">
        <v>45</v>
      </c>
      <c r="G2244" t="s">
        <v>43</v>
      </c>
      <c r="H2244" t="s">
        <v>26</v>
      </c>
      <c r="I2244">
        <v>0</v>
      </c>
      <c r="J2244">
        <v>0</v>
      </c>
      <c r="K2244">
        <v>0</v>
      </c>
      <c r="L2244">
        <v>0</v>
      </c>
      <c r="M2244" t="s">
        <v>76</v>
      </c>
      <c r="N2244" t="s">
        <v>76</v>
      </c>
      <c r="O2244" t="s">
        <v>77</v>
      </c>
      <c r="P2244" t="s">
        <v>76</v>
      </c>
      <c r="S2244" t="s">
        <v>5691</v>
      </c>
    </row>
    <row r="2245" spans="1:19" x14ac:dyDescent="0.3">
      <c r="A2245" t="s">
        <v>5692</v>
      </c>
      <c r="B2245" t="s">
        <v>5693</v>
      </c>
      <c r="C2245" t="s">
        <v>73</v>
      </c>
      <c r="D2245" t="s">
        <v>63</v>
      </c>
      <c r="E2245" t="s">
        <v>74</v>
      </c>
      <c r="F2245" t="s">
        <v>73</v>
      </c>
      <c r="G2245" t="s">
        <v>5692</v>
      </c>
      <c r="H2245" t="s">
        <v>317</v>
      </c>
      <c r="I2245">
        <v>0</v>
      </c>
      <c r="J2245">
        <v>0</v>
      </c>
      <c r="K2245">
        <v>0</v>
      </c>
      <c r="L2245">
        <v>0</v>
      </c>
      <c r="M2245" t="s">
        <v>76</v>
      </c>
      <c r="N2245" t="s">
        <v>76</v>
      </c>
      <c r="O2245" t="s">
        <v>77</v>
      </c>
      <c r="P2245" t="s">
        <v>76</v>
      </c>
      <c r="S2245" t="s">
        <v>5693</v>
      </c>
    </row>
    <row r="2246" spans="1:19" x14ac:dyDescent="0.3">
      <c r="A2246" t="s">
        <v>5694</v>
      </c>
      <c r="B2246" t="s">
        <v>5695</v>
      </c>
      <c r="C2246" t="s">
        <v>228</v>
      </c>
      <c r="D2246" t="s">
        <v>63</v>
      </c>
      <c r="E2246" t="s">
        <v>74</v>
      </c>
      <c r="F2246" t="s">
        <v>228</v>
      </c>
      <c r="G2246" t="s">
        <v>5696</v>
      </c>
      <c r="H2246" t="s">
        <v>75</v>
      </c>
      <c r="I2246">
        <v>0</v>
      </c>
      <c r="J2246">
        <v>0</v>
      </c>
      <c r="K2246">
        <v>0</v>
      </c>
      <c r="L2246">
        <v>0</v>
      </c>
      <c r="M2246" t="s">
        <v>76</v>
      </c>
      <c r="N2246" t="s">
        <v>76</v>
      </c>
      <c r="O2246" t="s">
        <v>77</v>
      </c>
      <c r="P2246" t="s">
        <v>76</v>
      </c>
      <c r="S2246" t="s">
        <v>5695</v>
      </c>
    </row>
    <row r="2247" spans="1:19" x14ac:dyDescent="0.3">
      <c r="A2247" t="s">
        <v>5199</v>
      </c>
      <c r="B2247" t="s">
        <v>5697</v>
      </c>
      <c r="C2247" t="s">
        <v>228</v>
      </c>
      <c r="D2247" t="s">
        <v>63</v>
      </c>
      <c r="E2247" t="s">
        <v>575</v>
      </c>
      <c r="F2247" t="s">
        <v>228</v>
      </c>
      <c r="G2247" t="s">
        <v>5199</v>
      </c>
      <c r="H2247" t="s">
        <v>317</v>
      </c>
      <c r="I2247">
        <v>0</v>
      </c>
      <c r="J2247">
        <v>0</v>
      </c>
      <c r="K2247">
        <v>0</v>
      </c>
      <c r="L2247">
        <v>0</v>
      </c>
      <c r="M2247" t="s">
        <v>76</v>
      </c>
      <c r="N2247" t="s">
        <v>76</v>
      </c>
      <c r="O2247" t="s">
        <v>77</v>
      </c>
      <c r="P2247" t="s">
        <v>76</v>
      </c>
      <c r="S2247" t="s">
        <v>5697</v>
      </c>
    </row>
    <row r="2248" spans="1:19" x14ac:dyDescent="0.3">
      <c r="A2248" t="s">
        <v>5698</v>
      </c>
      <c r="B2248" t="s">
        <v>5699</v>
      </c>
      <c r="C2248" t="s">
        <v>228</v>
      </c>
      <c r="D2248" t="s">
        <v>63</v>
      </c>
      <c r="E2248" t="s">
        <v>315</v>
      </c>
      <c r="F2248" t="s">
        <v>228</v>
      </c>
      <c r="G2248" t="s">
        <v>5698</v>
      </c>
      <c r="H2248" t="s">
        <v>317</v>
      </c>
      <c r="I2248">
        <v>0</v>
      </c>
      <c r="J2248">
        <v>0</v>
      </c>
      <c r="K2248">
        <v>0</v>
      </c>
      <c r="L2248">
        <v>0</v>
      </c>
      <c r="M2248" t="s">
        <v>76</v>
      </c>
      <c r="N2248" t="s">
        <v>76</v>
      </c>
      <c r="O2248" t="s">
        <v>77</v>
      </c>
      <c r="P2248" t="s">
        <v>76</v>
      </c>
      <c r="S2248" t="s">
        <v>5699</v>
      </c>
    </row>
    <row r="2249" spans="1:19" x14ac:dyDescent="0.3">
      <c r="A2249" t="s">
        <v>5700</v>
      </c>
      <c r="B2249" t="s">
        <v>5701</v>
      </c>
      <c r="C2249" t="s">
        <v>228</v>
      </c>
      <c r="D2249" t="s">
        <v>35</v>
      </c>
      <c r="E2249" t="s">
        <v>389</v>
      </c>
      <c r="F2249" t="s">
        <v>228</v>
      </c>
      <c r="G2249" t="s">
        <v>5702</v>
      </c>
      <c r="H2249" t="s">
        <v>317</v>
      </c>
      <c r="I2249">
        <v>0</v>
      </c>
      <c r="J2249">
        <v>0</v>
      </c>
      <c r="K2249">
        <v>0</v>
      </c>
      <c r="L2249">
        <v>0</v>
      </c>
      <c r="M2249" t="s">
        <v>76</v>
      </c>
      <c r="N2249" t="s">
        <v>76</v>
      </c>
      <c r="O2249" t="s">
        <v>77</v>
      </c>
      <c r="P2249" t="s">
        <v>76</v>
      </c>
      <c r="S2249" t="s">
        <v>5701</v>
      </c>
    </row>
    <row r="2250" spans="1:19" x14ac:dyDescent="0.3">
      <c r="A2250" t="s">
        <v>1046</v>
      </c>
      <c r="B2250" t="s">
        <v>5703</v>
      </c>
      <c r="C2250" t="s">
        <v>228</v>
      </c>
      <c r="D2250" t="s">
        <v>63</v>
      </c>
      <c r="E2250" t="s">
        <v>74</v>
      </c>
      <c r="F2250" t="s">
        <v>228</v>
      </c>
      <c r="G2250" t="s">
        <v>1046</v>
      </c>
      <c r="H2250" t="s">
        <v>317</v>
      </c>
      <c r="I2250">
        <v>0</v>
      </c>
      <c r="J2250">
        <v>0</v>
      </c>
      <c r="K2250">
        <v>0</v>
      </c>
      <c r="L2250">
        <v>0</v>
      </c>
      <c r="M2250" t="s">
        <v>76</v>
      </c>
      <c r="N2250" t="s">
        <v>76</v>
      </c>
      <c r="O2250" t="s">
        <v>77</v>
      </c>
      <c r="P2250" t="s">
        <v>76</v>
      </c>
      <c r="S2250" t="s">
        <v>5703</v>
      </c>
    </row>
    <row r="2251" spans="1:19" x14ac:dyDescent="0.3">
      <c r="A2251" t="s">
        <v>5704</v>
      </c>
      <c r="B2251" t="s">
        <v>5705</v>
      </c>
      <c r="C2251" t="s">
        <v>228</v>
      </c>
      <c r="D2251" t="s">
        <v>63</v>
      </c>
      <c r="E2251" t="s">
        <v>331</v>
      </c>
      <c r="F2251" t="s">
        <v>228</v>
      </c>
      <c r="G2251" t="s">
        <v>5704</v>
      </c>
      <c r="H2251" t="s">
        <v>317</v>
      </c>
      <c r="I2251">
        <v>0</v>
      </c>
      <c r="J2251">
        <v>0</v>
      </c>
      <c r="K2251">
        <v>0</v>
      </c>
      <c r="L2251">
        <v>0</v>
      </c>
      <c r="M2251" t="s">
        <v>76</v>
      </c>
      <c r="N2251" t="s">
        <v>76</v>
      </c>
      <c r="O2251" t="s">
        <v>77</v>
      </c>
      <c r="P2251" t="s">
        <v>76</v>
      </c>
      <c r="S2251" t="s">
        <v>5705</v>
      </c>
    </row>
    <row r="2252" spans="1:19" x14ac:dyDescent="0.3">
      <c r="A2252" t="s">
        <v>5706</v>
      </c>
      <c r="B2252" t="s">
        <v>5707</v>
      </c>
      <c r="C2252" t="s">
        <v>43</v>
      </c>
      <c r="D2252" t="s">
        <v>63</v>
      </c>
      <c r="E2252" t="s">
        <v>74</v>
      </c>
      <c r="F2252" t="s">
        <v>45</v>
      </c>
      <c r="G2252" t="s">
        <v>43</v>
      </c>
      <c r="H2252" t="s">
        <v>26</v>
      </c>
      <c r="I2252">
        <v>0</v>
      </c>
      <c r="J2252">
        <v>0</v>
      </c>
      <c r="K2252">
        <v>0</v>
      </c>
      <c r="L2252">
        <v>0</v>
      </c>
      <c r="M2252" t="s">
        <v>76</v>
      </c>
      <c r="N2252" t="s">
        <v>76</v>
      </c>
      <c r="O2252" t="s">
        <v>77</v>
      </c>
      <c r="P2252" t="s">
        <v>76</v>
      </c>
      <c r="S2252" t="s">
        <v>5707</v>
      </c>
    </row>
    <row r="2253" spans="1:19" x14ac:dyDescent="0.3">
      <c r="A2253" t="s">
        <v>5708</v>
      </c>
      <c r="B2253" t="s">
        <v>5709</v>
      </c>
      <c r="C2253" t="s">
        <v>596</v>
      </c>
      <c r="D2253" t="s">
        <v>63</v>
      </c>
      <c r="E2253" t="s">
        <v>74</v>
      </c>
      <c r="F2253" t="s">
        <v>73</v>
      </c>
      <c r="G2253" t="s">
        <v>596</v>
      </c>
      <c r="H2253" t="s">
        <v>75</v>
      </c>
      <c r="I2253">
        <v>0</v>
      </c>
      <c r="J2253">
        <v>0</v>
      </c>
      <c r="K2253">
        <v>0</v>
      </c>
      <c r="L2253">
        <v>0</v>
      </c>
      <c r="M2253" t="s">
        <v>76</v>
      </c>
      <c r="N2253" t="s">
        <v>76</v>
      </c>
      <c r="O2253" t="s">
        <v>77</v>
      </c>
      <c r="P2253" t="s">
        <v>76</v>
      </c>
      <c r="S2253" t="s">
        <v>5709</v>
      </c>
    </row>
    <row r="2254" spans="1:19" x14ac:dyDescent="0.3">
      <c r="A2254" t="s">
        <v>5710</v>
      </c>
      <c r="B2254" t="s">
        <v>5711</v>
      </c>
      <c r="C2254" t="s">
        <v>45</v>
      </c>
      <c r="D2254" t="s">
        <v>63</v>
      </c>
      <c r="E2254" t="s">
        <v>74</v>
      </c>
      <c r="F2254" t="s">
        <v>45</v>
      </c>
      <c r="G2254" t="s">
        <v>5710</v>
      </c>
      <c r="H2254" t="s">
        <v>26</v>
      </c>
      <c r="I2254">
        <v>0</v>
      </c>
      <c r="J2254">
        <v>0</v>
      </c>
      <c r="K2254">
        <v>0</v>
      </c>
      <c r="L2254">
        <v>0</v>
      </c>
      <c r="M2254" t="s">
        <v>76</v>
      </c>
      <c r="N2254" t="s">
        <v>76</v>
      </c>
      <c r="O2254" t="s">
        <v>77</v>
      </c>
      <c r="P2254" t="s">
        <v>76</v>
      </c>
      <c r="S2254" t="s">
        <v>5711</v>
      </c>
    </row>
    <row r="2255" spans="1:19" x14ac:dyDescent="0.3">
      <c r="A2255" t="s">
        <v>5712</v>
      </c>
      <c r="B2255" t="s">
        <v>5713</v>
      </c>
      <c r="C2255" t="s">
        <v>24</v>
      </c>
      <c r="D2255" t="s">
        <v>63</v>
      </c>
      <c r="E2255" t="s">
        <v>345</v>
      </c>
      <c r="F2255" t="s">
        <v>24</v>
      </c>
      <c r="G2255" t="s">
        <v>2929</v>
      </c>
      <c r="H2255" t="s">
        <v>26</v>
      </c>
      <c r="I2255">
        <v>0</v>
      </c>
      <c r="J2255">
        <v>0</v>
      </c>
      <c r="K2255">
        <v>0</v>
      </c>
      <c r="L2255">
        <v>0</v>
      </c>
      <c r="M2255" t="s">
        <v>76</v>
      </c>
      <c r="N2255" t="s">
        <v>76</v>
      </c>
      <c r="O2255" t="s">
        <v>77</v>
      </c>
      <c r="P2255" t="s">
        <v>76</v>
      </c>
      <c r="S2255" t="s">
        <v>5713</v>
      </c>
    </row>
    <row r="2256" spans="1:19" x14ac:dyDescent="0.3">
      <c r="A2256" t="s">
        <v>5714</v>
      </c>
      <c r="B2256" t="s">
        <v>5715</v>
      </c>
      <c r="C2256" t="s">
        <v>45</v>
      </c>
      <c r="D2256" t="s">
        <v>63</v>
      </c>
      <c r="E2256" t="s">
        <v>74</v>
      </c>
      <c r="F2256" t="s">
        <v>45</v>
      </c>
      <c r="G2256" t="s">
        <v>5716</v>
      </c>
      <c r="H2256" t="s">
        <v>26</v>
      </c>
      <c r="I2256">
        <v>0</v>
      </c>
      <c r="J2256">
        <v>0</v>
      </c>
      <c r="K2256">
        <v>0</v>
      </c>
      <c r="L2256">
        <v>0</v>
      </c>
      <c r="M2256" t="s">
        <v>76</v>
      </c>
      <c r="N2256" t="s">
        <v>76</v>
      </c>
      <c r="O2256" t="s">
        <v>77</v>
      </c>
      <c r="P2256" t="s">
        <v>76</v>
      </c>
      <c r="S2256" t="s">
        <v>5715</v>
      </c>
    </row>
    <row r="2257" spans="1:19" x14ac:dyDescent="0.3">
      <c r="A2257" t="s">
        <v>5717</v>
      </c>
      <c r="B2257" t="s">
        <v>5718</v>
      </c>
      <c r="C2257" t="s">
        <v>45</v>
      </c>
      <c r="D2257" t="s">
        <v>63</v>
      </c>
      <c r="E2257" t="s">
        <v>74</v>
      </c>
      <c r="F2257" t="s">
        <v>45</v>
      </c>
      <c r="G2257" t="s">
        <v>5719</v>
      </c>
      <c r="H2257" t="s">
        <v>26</v>
      </c>
      <c r="I2257">
        <v>0</v>
      </c>
      <c r="J2257">
        <v>0</v>
      </c>
      <c r="K2257">
        <v>0</v>
      </c>
      <c r="L2257">
        <v>0</v>
      </c>
      <c r="M2257" t="s">
        <v>76</v>
      </c>
      <c r="N2257" t="s">
        <v>76</v>
      </c>
      <c r="O2257" t="s">
        <v>77</v>
      </c>
      <c r="P2257" t="s">
        <v>76</v>
      </c>
      <c r="S2257" t="s">
        <v>5718</v>
      </c>
    </row>
    <row r="2258" spans="1:19" x14ac:dyDescent="0.3">
      <c r="A2258" t="s">
        <v>5720</v>
      </c>
      <c r="B2258" t="s">
        <v>5721</v>
      </c>
      <c r="C2258" t="s">
        <v>45</v>
      </c>
      <c r="F2258" t="s">
        <v>45</v>
      </c>
      <c r="G2258" t="s">
        <v>2260</v>
      </c>
      <c r="H2258" t="s">
        <v>26</v>
      </c>
      <c r="I2258">
        <v>0</v>
      </c>
      <c r="J2258">
        <v>0</v>
      </c>
      <c r="K2258">
        <v>0</v>
      </c>
      <c r="L2258">
        <v>0</v>
      </c>
      <c r="M2258" t="s">
        <v>76</v>
      </c>
      <c r="N2258" t="s">
        <v>76</v>
      </c>
      <c r="O2258" t="s">
        <v>77</v>
      </c>
      <c r="P2258" t="s">
        <v>76</v>
      </c>
      <c r="S2258" t="s">
        <v>5721</v>
      </c>
    </row>
    <row r="2259" spans="1:19" x14ac:dyDescent="0.3">
      <c r="A2259" t="s">
        <v>5722</v>
      </c>
      <c r="B2259" t="s">
        <v>5723</v>
      </c>
      <c r="C2259" t="s">
        <v>24</v>
      </c>
      <c r="D2259" t="s">
        <v>35</v>
      </c>
      <c r="E2259" t="s">
        <v>560</v>
      </c>
      <c r="F2259" t="s">
        <v>144</v>
      </c>
      <c r="G2259" t="s">
        <v>5722</v>
      </c>
      <c r="H2259" t="s">
        <v>26</v>
      </c>
      <c r="I2259">
        <v>0</v>
      </c>
      <c r="J2259">
        <v>0</v>
      </c>
      <c r="K2259">
        <v>0</v>
      </c>
      <c r="L2259">
        <v>0</v>
      </c>
      <c r="M2259" t="s">
        <v>76</v>
      </c>
      <c r="N2259" t="s">
        <v>76</v>
      </c>
      <c r="O2259" t="s">
        <v>77</v>
      </c>
      <c r="P2259" t="s">
        <v>76</v>
      </c>
      <c r="S2259" t="s">
        <v>5723</v>
      </c>
    </row>
    <row r="2260" spans="1:19" x14ac:dyDescent="0.3">
      <c r="A2260" t="s">
        <v>5724</v>
      </c>
      <c r="B2260" t="s">
        <v>5725</v>
      </c>
      <c r="C2260" t="s">
        <v>24</v>
      </c>
      <c r="D2260" t="s">
        <v>35</v>
      </c>
      <c r="E2260" t="s">
        <v>389</v>
      </c>
      <c r="F2260" t="s">
        <v>144</v>
      </c>
      <c r="G2260" t="s">
        <v>5724</v>
      </c>
      <c r="H2260" t="s">
        <v>26</v>
      </c>
      <c r="I2260">
        <v>0</v>
      </c>
      <c r="J2260">
        <v>0</v>
      </c>
      <c r="K2260">
        <v>0</v>
      </c>
      <c r="L2260">
        <v>0</v>
      </c>
      <c r="M2260" t="s">
        <v>76</v>
      </c>
      <c r="N2260" t="s">
        <v>76</v>
      </c>
      <c r="O2260" t="s">
        <v>77</v>
      </c>
      <c r="P2260" t="s">
        <v>76</v>
      </c>
      <c r="S2260" t="s">
        <v>5725</v>
      </c>
    </row>
    <row r="2261" spans="1:19" x14ac:dyDescent="0.3">
      <c r="A2261" t="s">
        <v>5726</v>
      </c>
      <c r="B2261" t="s">
        <v>5727</v>
      </c>
      <c r="C2261" t="s">
        <v>45</v>
      </c>
      <c r="D2261" t="s">
        <v>63</v>
      </c>
      <c r="E2261" t="s">
        <v>74</v>
      </c>
      <c r="F2261" t="s">
        <v>144</v>
      </c>
      <c r="G2261" t="s">
        <v>5728</v>
      </c>
      <c r="H2261" t="s">
        <v>26</v>
      </c>
      <c r="I2261">
        <v>0</v>
      </c>
      <c r="J2261">
        <v>0</v>
      </c>
      <c r="K2261">
        <v>0</v>
      </c>
      <c r="L2261">
        <v>0</v>
      </c>
      <c r="M2261" t="s">
        <v>76</v>
      </c>
      <c r="N2261" t="s">
        <v>76</v>
      </c>
      <c r="O2261" t="s">
        <v>77</v>
      </c>
      <c r="P2261" t="s">
        <v>76</v>
      </c>
      <c r="S2261" t="s">
        <v>5727</v>
      </c>
    </row>
    <row r="2262" spans="1:19" x14ac:dyDescent="0.3">
      <c r="A2262" t="s">
        <v>5729</v>
      </c>
      <c r="B2262" t="s">
        <v>5730</v>
      </c>
      <c r="C2262" t="s">
        <v>24</v>
      </c>
      <c r="D2262" t="s">
        <v>63</v>
      </c>
      <c r="E2262" t="s">
        <v>323</v>
      </c>
      <c r="F2262" t="s">
        <v>24</v>
      </c>
      <c r="G2262" t="s">
        <v>2988</v>
      </c>
      <c r="H2262" t="s">
        <v>26</v>
      </c>
      <c r="I2262">
        <v>0</v>
      </c>
      <c r="J2262">
        <v>0</v>
      </c>
      <c r="K2262">
        <v>0</v>
      </c>
      <c r="L2262">
        <v>0</v>
      </c>
      <c r="M2262" t="s">
        <v>76</v>
      </c>
      <c r="N2262" t="s">
        <v>76</v>
      </c>
      <c r="O2262" t="s">
        <v>77</v>
      </c>
      <c r="P2262" t="s">
        <v>76</v>
      </c>
      <c r="S2262" t="s">
        <v>5730</v>
      </c>
    </row>
    <row r="2263" spans="1:19" x14ac:dyDescent="0.3">
      <c r="A2263" t="s">
        <v>5731</v>
      </c>
      <c r="B2263" t="s">
        <v>5732</v>
      </c>
      <c r="C2263" t="s">
        <v>24</v>
      </c>
      <c r="D2263" t="s">
        <v>63</v>
      </c>
      <c r="E2263" t="s">
        <v>1132</v>
      </c>
      <c r="F2263" t="s">
        <v>24</v>
      </c>
      <c r="G2263" t="s">
        <v>5733</v>
      </c>
      <c r="H2263" t="s">
        <v>26</v>
      </c>
      <c r="I2263">
        <v>0</v>
      </c>
      <c r="J2263">
        <v>0</v>
      </c>
      <c r="K2263">
        <v>0</v>
      </c>
      <c r="L2263">
        <v>0</v>
      </c>
      <c r="M2263" t="s">
        <v>76</v>
      </c>
      <c r="N2263" t="s">
        <v>76</v>
      </c>
      <c r="O2263" t="s">
        <v>77</v>
      </c>
      <c r="P2263" t="s">
        <v>76</v>
      </c>
      <c r="S2263" t="s">
        <v>5732</v>
      </c>
    </row>
    <row r="2264" spans="1:19" x14ac:dyDescent="0.3">
      <c r="A2264" t="s">
        <v>5734</v>
      </c>
      <c r="B2264" t="s">
        <v>5735</v>
      </c>
      <c r="C2264" t="s">
        <v>24</v>
      </c>
      <c r="D2264" t="s">
        <v>63</v>
      </c>
      <c r="E2264" t="s">
        <v>74</v>
      </c>
      <c r="F2264" t="s">
        <v>24</v>
      </c>
      <c r="G2264" t="s">
        <v>5736</v>
      </c>
      <c r="H2264" t="s">
        <v>26</v>
      </c>
      <c r="I2264">
        <v>0</v>
      </c>
      <c r="J2264">
        <v>0</v>
      </c>
      <c r="K2264">
        <v>0</v>
      </c>
      <c r="L2264">
        <v>0</v>
      </c>
      <c r="M2264" t="s">
        <v>76</v>
      </c>
      <c r="N2264" t="s">
        <v>76</v>
      </c>
      <c r="O2264" t="s">
        <v>77</v>
      </c>
      <c r="P2264" t="s">
        <v>76</v>
      </c>
      <c r="S2264" t="s">
        <v>5735</v>
      </c>
    </row>
    <row r="2265" spans="1:19" x14ac:dyDescent="0.3">
      <c r="A2265" t="s">
        <v>5737</v>
      </c>
      <c r="B2265" t="s">
        <v>5738</v>
      </c>
      <c r="C2265" t="s">
        <v>73</v>
      </c>
      <c r="D2265" t="s">
        <v>63</v>
      </c>
      <c r="E2265" t="s">
        <v>74</v>
      </c>
      <c r="F2265" t="s">
        <v>73</v>
      </c>
      <c r="G2265" t="s">
        <v>5739</v>
      </c>
      <c r="H2265" t="s">
        <v>317</v>
      </c>
      <c r="I2265">
        <v>0</v>
      </c>
      <c r="J2265">
        <v>0</v>
      </c>
      <c r="K2265">
        <v>0</v>
      </c>
      <c r="L2265">
        <v>0</v>
      </c>
      <c r="M2265" t="s">
        <v>76</v>
      </c>
      <c r="N2265" t="s">
        <v>76</v>
      </c>
      <c r="O2265" t="s">
        <v>77</v>
      </c>
      <c r="P2265" t="s">
        <v>76</v>
      </c>
      <c r="S2265" t="s">
        <v>5738</v>
      </c>
    </row>
    <row r="2266" spans="1:19" x14ac:dyDescent="0.3">
      <c r="A2266" t="s">
        <v>5740</v>
      </c>
      <c r="B2266" t="s">
        <v>5741</v>
      </c>
      <c r="C2266" t="s">
        <v>228</v>
      </c>
      <c r="D2266" t="s">
        <v>63</v>
      </c>
      <c r="E2266" t="s">
        <v>575</v>
      </c>
      <c r="F2266" t="s">
        <v>228</v>
      </c>
      <c r="G2266" t="s">
        <v>5742</v>
      </c>
      <c r="H2266" t="s">
        <v>317</v>
      </c>
      <c r="I2266">
        <v>0</v>
      </c>
      <c r="J2266">
        <v>0</v>
      </c>
      <c r="K2266">
        <v>0</v>
      </c>
      <c r="L2266">
        <v>0</v>
      </c>
      <c r="M2266" t="s">
        <v>76</v>
      </c>
      <c r="N2266" t="s">
        <v>76</v>
      </c>
      <c r="O2266" t="s">
        <v>77</v>
      </c>
      <c r="P2266" t="s">
        <v>76</v>
      </c>
      <c r="S2266" t="s">
        <v>5741</v>
      </c>
    </row>
    <row r="2267" spans="1:19" x14ac:dyDescent="0.3">
      <c r="A2267" t="s">
        <v>5743</v>
      </c>
      <c r="B2267" t="s">
        <v>5744</v>
      </c>
      <c r="C2267" t="s">
        <v>24</v>
      </c>
      <c r="D2267" t="s">
        <v>35</v>
      </c>
      <c r="E2267" t="s">
        <v>389</v>
      </c>
      <c r="F2267" t="s">
        <v>144</v>
      </c>
      <c r="G2267" t="s">
        <v>4416</v>
      </c>
      <c r="H2267" t="s">
        <v>213</v>
      </c>
      <c r="I2267">
        <v>0</v>
      </c>
      <c r="J2267">
        <v>0</v>
      </c>
      <c r="K2267">
        <v>0</v>
      </c>
      <c r="L2267">
        <v>0</v>
      </c>
      <c r="M2267" t="s">
        <v>76</v>
      </c>
      <c r="N2267" t="s">
        <v>76</v>
      </c>
      <c r="O2267" t="s">
        <v>77</v>
      </c>
      <c r="P2267" t="s">
        <v>76</v>
      </c>
      <c r="S2267" t="s">
        <v>5744</v>
      </c>
    </row>
    <row r="2268" spans="1:19" x14ac:dyDescent="0.3">
      <c r="A2268" t="s">
        <v>5745</v>
      </c>
      <c r="B2268" t="s">
        <v>5746</v>
      </c>
      <c r="C2268" t="s">
        <v>73</v>
      </c>
      <c r="D2268" t="s">
        <v>35</v>
      </c>
      <c r="E2268" t="s">
        <v>44</v>
      </c>
      <c r="F2268" t="s">
        <v>73</v>
      </c>
      <c r="G2268" t="s">
        <v>5745</v>
      </c>
      <c r="H2268" t="s">
        <v>317</v>
      </c>
      <c r="I2268">
        <v>0</v>
      </c>
      <c r="J2268">
        <v>0</v>
      </c>
      <c r="K2268">
        <v>0</v>
      </c>
      <c r="L2268">
        <v>0</v>
      </c>
      <c r="M2268" t="s">
        <v>57</v>
      </c>
      <c r="N2268" t="s">
        <v>28</v>
      </c>
      <c r="O2268" t="s">
        <v>58</v>
      </c>
      <c r="P2268" t="s">
        <v>30</v>
      </c>
      <c r="Q2268" t="s">
        <v>899</v>
      </c>
      <c r="R2268" t="s">
        <v>900</v>
      </c>
      <c r="S2268" t="s">
        <v>901</v>
      </c>
    </row>
    <row r="2269" spans="1:19" x14ac:dyDescent="0.3">
      <c r="A2269" t="s">
        <v>5747</v>
      </c>
      <c r="B2269" t="s">
        <v>5748</v>
      </c>
      <c r="C2269" t="s">
        <v>228</v>
      </c>
      <c r="D2269" t="s">
        <v>63</v>
      </c>
      <c r="E2269" t="s">
        <v>23</v>
      </c>
      <c r="F2269" t="s">
        <v>228</v>
      </c>
      <c r="G2269" t="s">
        <v>5747</v>
      </c>
      <c r="H2269" t="s">
        <v>317</v>
      </c>
      <c r="I2269">
        <v>0</v>
      </c>
      <c r="J2269">
        <v>0</v>
      </c>
      <c r="K2269">
        <v>0</v>
      </c>
      <c r="L2269">
        <v>0</v>
      </c>
      <c r="M2269" t="s">
        <v>76</v>
      </c>
      <c r="N2269" t="s">
        <v>76</v>
      </c>
      <c r="O2269" t="s">
        <v>77</v>
      </c>
      <c r="P2269" t="s">
        <v>76</v>
      </c>
      <c r="S2269" t="s">
        <v>5748</v>
      </c>
    </row>
    <row r="2270" spans="1:19" x14ac:dyDescent="0.3">
      <c r="A2270" t="s">
        <v>5749</v>
      </c>
      <c r="B2270" t="s">
        <v>5750</v>
      </c>
      <c r="C2270" t="s">
        <v>228</v>
      </c>
      <c r="D2270" t="s">
        <v>63</v>
      </c>
      <c r="E2270" t="s">
        <v>23</v>
      </c>
      <c r="F2270" t="s">
        <v>228</v>
      </c>
      <c r="G2270" t="s">
        <v>1046</v>
      </c>
      <c r="H2270" t="s">
        <v>317</v>
      </c>
      <c r="I2270">
        <v>0</v>
      </c>
      <c r="J2270">
        <v>0</v>
      </c>
      <c r="K2270">
        <v>0</v>
      </c>
      <c r="L2270">
        <v>0</v>
      </c>
      <c r="M2270" t="s">
        <v>76</v>
      </c>
      <c r="N2270" t="s">
        <v>76</v>
      </c>
      <c r="O2270" t="s">
        <v>77</v>
      </c>
      <c r="P2270" t="s">
        <v>76</v>
      </c>
      <c r="S2270" t="s">
        <v>5750</v>
      </c>
    </row>
    <row r="2271" spans="1:19" x14ac:dyDescent="0.3">
      <c r="A2271" t="s">
        <v>5751</v>
      </c>
      <c r="B2271" t="s">
        <v>5752</v>
      </c>
      <c r="C2271" t="s">
        <v>228</v>
      </c>
      <c r="D2271" t="s">
        <v>63</v>
      </c>
      <c r="E2271" t="s">
        <v>74</v>
      </c>
      <c r="F2271" t="s">
        <v>228</v>
      </c>
      <c r="G2271" t="s">
        <v>5747</v>
      </c>
      <c r="H2271" t="s">
        <v>317</v>
      </c>
      <c r="I2271">
        <v>0</v>
      </c>
      <c r="J2271">
        <v>0</v>
      </c>
      <c r="K2271">
        <v>0</v>
      </c>
      <c r="L2271">
        <v>0</v>
      </c>
      <c r="M2271" t="s">
        <v>76</v>
      </c>
      <c r="N2271" t="s">
        <v>76</v>
      </c>
      <c r="O2271" t="s">
        <v>77</v>
      </c>
      <c r="P2271" t="s">
        <v>76</v>
      </c>
      <c r="S2271" t="s">
        <v>5752</v>
      </c>
    </row>
    <row r="2272" spans="1:19" x14ac:dyDescent="0.3">
      <c r="A2272" t="s">
        <v>5753</v>
      </c>
      <c r="B2272" t="s">
        <v>5754</v>
      </c>
      <c r="C2272" t="s">
        <v>73</v>
      </c>
      <c r="D2272" t="s">
        <v>35</v>
      </c>
      <c r="E2272" t="s">
        <v>560</v>
      </c>
      <c r="F2272" t="s">
        <v>73</v>
      </c>
      <c r="G2272" t="s">
        <v>5753</v>
      </c>
      <c r="H2272" t="s">
        <v>317</v>
      </c>
      <c r="I2272">
        <v>0</v>
      </c>
      <c r="J2272">
        <v>0</v>
      </c>
      <c r="K2272">
        <v>0</v>
      </c>
      <c r="L2272">
        <v>0</v>
      </c>
      <c r="M2272" t="s">
        <v>57</v>
      </c>
      <c r="N2272" t="s">
        <v>28</v>
      </c>
      <c r="O2272" t="s">
        <v>58</v>
      </c>
      <c r="P2272" t="s">
        <v>30</v>
      </c>
      <c r="Q2272" t="s">
        <v>5755</v>
      </c>
      <c r="R2272" t="s">
        <v>548</v>
      </c>
      <c r="S2272" t="s">
        <v>5754</v>
      </c>
    </row>
    <row r="2273" spans="1:19" x14ac:dyDescent="0.3">
      <c r="A2273" t="s">
        <v>5756</v>
      </c>
      <c r="B2273" t="s">
        <v>5757</v>
      </c>
      <c r="C2273" t="s">
        <v>228</v>
      </c>
      <c r="D2273" t="s">
        <v>63</v>
      </c>
      <c r="E2273" t="s">
        <v>323</v>
      </c>
      <c r="F2273" t="s">
        <v>228</v>
      </c>
      <c r="G2273" t="s">
        <v>5758</v>
      </c>
      <c r="H2273" t="s">
        <v>317</v>
      </c>
      <c r="I2273">
        <v>0</v>
      </c>
      <c r="J2273">
        <v>0</v>
      </c>
      <c r="K2273">
        <v>0</v>
      </c>
      <c r="L2273">
        <v>0</v>
      </c>
      <c r="M2273" t="s">
        <v>76</v>
      </c>
      <c r="N2273" t="s">
        <v>76</v>
      </c>
      <c r="O2273" t="s">
        <v>77</v>
      </c>
      <c r="P2273" t="s">
        <v>76</v>
      </c>
      <c r="S2273" t="s">
        <v>5757</v>
      </c>
    </row>
    <row r="2274" spans="1:19" x14ac:dyDescent="0.3">
      <c r="A2274" t="s">
        <v>5759</v>
      </c>
      <c r="B2274" t="s">
        <v>5760</v>
      </c>
      <c r="C2274" t="s">
        <v>228</v>
      </c>
      <c r="D2274" t="s">
        <v>63</v>
      </c>
      <c r="E2274" t="s">
        <v>74</v>
      </c>
      <c r="F2274" t="s">
        <v>228</v>
      </c>
      <c r="G2274" t="s">
        <v>5761</v>
      </c>
      <c r="H2274" t="s">
        <v>317</v>
      </c>
      <c r="I2274">
        <v>0</v>
      </c>
      <c r="J2274">
        <v>0</v>
      </c>
      <c r="K2274">
        <v>0</v>
      </c>
      <c r="L2274">
        <v>0</v>
      </c>
      <c r="M2274" t="s">
        <v>76</v>
      </c>
      <c r="N2274" t="s">
        <v>76</v>
      </c>
      <c r="O2274" t="s">
        <v>77</v>
      </c>
      <c r="P2274" t="s">
        <v>76</v>
      </c>
      <c r="S2274" t="s">
        <v>5760</v>
      </c>
    </row>
    <row r="2275" spans="1:19" x14ac:dyDescent="0.3">
      <c r="A2275" t="s">
        <v>5762</v>
      </c>
      <c r="B2275" t="s">
        <v>5763</v>
      </c>
      <c r="C2275" t="s">
        <v>228</v>
      </c>
      <c r="D2275" t="s">
        <v>63</v>
      </c>
      <c r="E2275" t="s">
        <v>315</v>
      </c>
      <c r="F2275" t="s">
        <v>228</v>
      </c>
      <c r="G2275" t="s">
        <v>5762</v>
      </c>
      <c r="H2275" t="s">
        <v>317</v>
      </c>
      <c r="I2275">
        <v>0</v>
      </c>
      <c r="J2275">
        <v>0</v>
      </c>
      <c r="K2275">
        <v>0</v>
      </c>
      <c r="L2275">
        <v>0</v>
      </c>
      <c r="M2275" t="s">
        <v>76</v>
      </c>
      <c r="N2275" t="s">
        <v>76</v>
      </c>
      <c r="O2275" t="s">
        <v>77</v>
      </c>
      <c r="P2275" t="s">
        <v>76</v>
      </c>
      <c r="S2275" t="s">
        <v>5763</v>
      </c>
    </row>
    <row r="2276" spans="1:19" x14ac:dyDescent="0.3">
      <c r="A2276" t="s">
        <v>5764</v>
      </c>
      <c r="B2276" t="s">
        <v>5765</v>
      </c>
      <c r="C2276" t="s">
        <v>114</v>
      </c>
      <c r="D2276" t="s">
        <v>63</v>
      </c>
      <c r="E2276" t="s">
        <v>74</v>
      </c>
      <c r="F2276" t="s">
        <v>45</v>
      </c>
      <c r="G2276" t="s">
        <v>2017</v>
      </c>
      <c r="H2276" t="s">
        <v>317</v>
      </c>
      <c r="I2276">
        <v>0</v>
      </c>
      <c r="J2276">
        <v>0</v>
      </c>
      <c r="K2276">
        <v>0</v>
      </c>
      <c r="L2276">
        <v>0</v>
      </c>
      <c r="M2276" t="s">
        <v>76</v>
      </c>
      <c r="N2276" t="s">
        <v>76</v>
      </c>
      <c r="O2276" t="s">
        <v>77</v>
      </c>
      <c r="P2276" t="s">
        <v>76</v>
      </c>
      <c r="S2276" t="s">
        <v>5765</v>
      </c>
    </row>
    <row r="2277" spans="1:19" x14ac:dyDescent="0.3">
      <c r="A2277" t="s">
        <v>5766</v>
      </c>
      <c r="B2277" t="s">
        <v>5767</v>
      </c>
      <c r="C2277" t="s">
        <v>45</v>
      </c>
      <c r="D2277" t="s">
        <v>63</v>
      </c>
      <c r="E2277" t="s">
        <v>345</v>
      </c>
      <c r="F2277" t="s">
        <v>45</v>
      </c>
      <c r="G2277" t="s">
        <v>5768</v>
      </c>
      <c r="H2277" t="s">
        <v>26</v>
      </c>
      <c r="I2277">
        <v>0</v>
      </c>
      <c r="J2277">
        <v>0</v>
      </c>
      <c r="K2277">
        <v>0</v>
      </c>
      <c r="L2277">
        <v>0</v>
      </c>
      <c r="M2277" t="s">
        <v>76</v>
      </c>
      <c r="N2277" t="s">
        <v>76</v>
      </c>
      <c r="O2277" t="s">
        <v>77</v>
      </c>
      <c r="P2277" t="s">
        <v>76</v>
      </c>
      <c r="S2277" t="s">
        <v>5767</v>
      </c>
    </row>
    <row r="2278" spans="1:19" x14ac:dyDescent="0.3">
      <c r="A2278" t="s">
        <v>5769</v>
      </c>
      <c r="B2278" t="s">
        <v>5770</v>
      </c>
      <c r="C2278" t="s">
        <v>24</v>
      </c>
      <c r="D2278" t="s">
        <v>35</v>
      </c>
      <c r="E2278" t="s">
        <v>278</v>
      </c>
      <c r="F2278" t="s">
        <v>144</v>
      </c>
      <c r="G2278" t="s">
        <v>5771</v>
      </c>
      <c r="H2278" t="s">
        <v>213</v>
      </c>
      <c r="I2278">
        <v>0</v>
      </c>
      <c r="J2278">
        <v>0</v>
      </c>
      <c r="K2278">
        <v>0</v>
      </c>
      <c r="L2278">
        <v>0</v>
      </c>
      <c r="M2278" t="s">
        <v>76</v>
      </c>
      <c r="N2278" t="s">
        <v>76</v>
      </c>
      <c r="O2278" t="s">
        <v>77</v>
      </c>
      <c r="P2278" t="s">
        <v>76</v>
      </c>
      <c r="S2278" t="s">
        <v>5770</v>
      </c>
    </row>
    <row r="2279" spans="1:19" x14ac:dyDescent="0.3">
      <c r="A2279" t="s">
        <v>5772</v>
      </c>
      <c r="B2279" t="s">
        <v>5773</v>
      </c>
      <c r="C2279" t="s">
        <v>24</v>
      </c>
      <c r="D2279" t="s">
        <v>63</v>
      </c>
      <c r="E2279" t="s">
        <v>1132</v>
      </c>
      <c r="F2279" t="s">
        <v>55</v>
      </c>
      <c r="G2279" t="s">
        <v>5774</v>
      </c>
      <c r="H2279" t="s">
        <v>213</v>
      </c>
      <c r="I2279">
        <v>0</v>
      </c>
      <c r="J2279">
        <v>0</v>
      </c>
      <c r="K2279">
        <v>0</v>
      </c>
      <c r="L2279">
        <v>0</v>
      </c>
      <c r="M2279" t="s">
        <v>76</v>
      </c>
      <c r="N2279" t="s">
        <v>76</v>
      </c>
      <c r="O2279" t="s">
        <v>77</v>
      </c>
      <c r="P2279" t="s">
        <v>76</v>
      </c>
      <c r="S2279" t="s">
        <v>5773</v>
      </c>
    </row>
    <row r="2280" spans="1:19" x14ac:dyDescent="0.3">
      <c r="A2280" t="s">
        <v>5775</v>
      </c>
      <c r="B2280" t="s">
        <v>5776</v>
      </c>
      <c r="C2280" t="s">
        <v>73</v>
      </c>
      <c r="D2280" t="s">
        <v>63</v>
      </c>
      <c r="E2280" t="s">
        <v>74</v>
      </c>
      <c r="F2280" t="s">
        <v>73</v>
      </c>
      <c r="G2280" t="s">
        <v>5777</v>
      </c>
      <c r="H2280" t="s">
        <v>317</v>
      </c>
      <c r="I2280">
        <v>0</v>
      </c>
      <c r="J2280">
        <v>0</v>
      </c>
      <c r="K2280">
        <v>0</v>
      </c>
      <c r="L2280">
        <v>0</v>
      </c>
      <c r="M2280" t="s">
        <v>76</v>
      </c>
      <c r="N2280" t="s">
        <v>76</v>
      </c>
      <c r="O2280" t="s">
        <v>77</v>
      </c>
      <c r="P2280" t="s">
        <v>76</v>
      </c>
      <c r="S2280" t="s">
        <v>5776</v>
      </c>
    </row>
    <row r="2281" spans="1:19" x14ac:dyDescent="0.3">
      <c r="A2281" t="s">
        <v>5778</v>
      </c>
      <c r="B2281" t="s">
        <v>5779</v>
      </c>
      <c r="C2281" t="s">
        <v>24</v>
      </c>
      <c r="D2281" t="s">
        <v>35</v>
      </c>
      <c r="E2281" t="s">
        <v>5780</v>
      </c>
      <c r="F2281" t="s">
        <v>55</v>
      </c>
      <c r="G2281" t="s">
        <v>343</v>
      </c>
      <c r="H2281" t="s">
        <v>213</v>
      </c>
      <c r="I2281">
        <v>0</v>
      </c>
      <c r="J2281">
        <v>0</v>
      </c>
      <c r="K2281">
        <v>0</v>
      </c>
      <c r="L2281">
        <v>0</v>
      </c>
      <c r="M2281" t="s">
        <v>76</v>
      </c>
      <c r="N2281" t="s">
        <v>76</v>
      </c>
      <c r="O2281" t="s">
        <v>77</v>
      </c>
      <c r="P2281" t="s">
        <v>76</v>
      </c>
      <c r="S2281" t="s">
        <v>5779</v>
      </c>
    </row>
    <row r="2282" spans="1:19" x14ac:dyDescent="0.3">
      <c r="A2282" t="s">
        <v>5781</v>
      </c>
      <c r="B2282" t="s">
        <v>5782</v>
      </c>
      <c r="C2282" t="s">
        <v>24</v>
      </c>
      <c r="D2282" t="s">
        <v>63</v>
      </c>
      <c r="F2282" t="s">
        <v>24</v>
      </c>
      <c r="G2282" t="s">
        <v>2907</v>
      </c>
      <c r="H2282" t="s">
        <v>213</v>
      </c>
      <c r="I2282">
        <v>0</v>
      </c>
      <c r="J2282">
        <v>0</v>
      </c>
      <c r="K2282">
        <v>0</v>
      </c>
      <c r="L2282">
        <v>0</v>
      </c>
      <c r="M2282" t="s">
        <v>76</v>
      </c>
      <c r="N2282" t="s">
        <v>76</v>
      </c>
      <c r="O2282" t="s">
        <v>77</v>
      </c>
      <c r="P2282" t="s">
        <v>76</v>
      </c>
      <c r="S2282" t="s">
        <v>5782</v>
      </c>
    </row>
    <row r="2283" spans="1:19" x14ac:dyDescent="0.3">
      <c r="A2283" t="s">
        <v>5783</v>
      </c>
      <c r="B2283" t="s">
        <v>5784</v>
      </c>
      <c r="C2283" t="s">
        <v>24</v>
      </c>
      <c r="D2283" t="s">
        <v>35</v>
      </c>
      <c r="E2283" t="s">
        <v>560</v>
      </c>
      <c r="F2283" t="s">
        <v>24</v>
      </c>
      <c r="G2283" t="s">
        <v>5783</v>
      </c>
      <c r="H2283" t="s">
        <v>26</v>
      </c>
      <c r="I2283">
        <v>0</v>
      </c>
      <c r="J2283">
        <v>0</v>
      </c>
      <c r="K2283">
        <v>0</v>
      </c>
      <c r="L2283">
        <v>0</v>
      </c>
      <c r="M2283" t="s">
        <v>76</v>
      </c>
      <c r="N2283" t="s">
        <v>76</v>
      </c>
      <c r="O2283" t="s">
        <v>77</v>
      </c>
      <c r="P2283" t="s">
        <v>76</v>
      </c>
      <c r="S2283" t="s">
        <v>5784</v>
      </c>
    </row>
    <row r="2284" spans="1:19" x14ac:dyDescent="0.3">
      <c r="A2284" t="s">
        <v>5785</v>
      </c>
      <c r="B2284" t="s">
        <v>5786</v>
      </c>
      <c r="C2284" t="s">
        <v>73</v>
      </c>
      <c r="D2284" t="s">
        <v>63</v>
      </c>
      <c r="E2284" t="s">
        <v>74</v>
      </c>
      <c r="F2284" t="s">
        <v>73</v>
      </c>
      <c r="G2284" t="s">
        <v>5785</v>
      </c>
      <c r="H2284" t="s">
        <v>317</v>
      </c>
      <c r="I2284">
        <v>0</v>
      </c>
      <c r="J2284">
        <v>0</v>
      </c>
      <c r="K2284">
        <v>0</v>
      </c>
      <c r="L2284">
        <v>0</v>
      </c>
      <c r="M2284" t="s">
        <v>76</v>
      </c>
      <c r="N2284" t="s">
        <v>76</v>
      </c>
      <c r="O2284" t="s">
        <v>77</v>
      </c>
      <c r="P2284" t="s">
        <v>76</v>
      </c>
      <c r="S2284" t="s">
        <v>5786</v>
      </c>
    </row>
    <row r="2285" spans="1:19" x14ac:dyDescent="0.3">
      <c r="A2285" t="s">
        <v>5787</v>
      </c>
      <c r="B2285" t="s">
        <v>5788</v>
      </c>
      <c r="C2285" t="s">
        <v>73</v>
      </c>
      <c r="D2285" t="s">
        <v>63</v>
      </c>
      <c r="E2285" t="s">
        <v>23</v>
      </c>
      <c r="F2285" t="s">
        <v>73</v>
      </c>
      <c r="G2285" t="s">
        <v>1754</v>
      </c>
      <c r="H2285" t="s">
        <v>317</v>
      </c>
      <c r="I2285">
        <v>0</v>
      </c>
      <c r="J2285">
        <v>0</v>
      </c>
      <c r="K2285">
        <v>0</v>
      </c>
      <c r="L2285">
        <v>0</v>
      </c>
      <c r="M2285" t="s">
        <v>76</v>
      </c>
      <c r="N2285" t="s">
        <v>76</v>
      </c>
      <c r="O2285" t="s">
        <v>77</v>
      </c>
      <c r="P2285" t="s">
        <v>76</v>
      </c>
      <c r="S2285" t="s">
        <v>5788</v>
      </c>
    </row>
    <row r="2286" spans="1:19" x14ac:dyDescent="0.3">
      <c r="A2286" t="s">
        <v>5789</v>
      </c>
      <c r="B2286" t="s">
        <v>5790</v>
      </c>
      <c r="C2286" t="s">
        <v>73</v>
      </c>
      <c r="D2286" t="s">
        <v>63</v>
      </c>
      <c r="E2286" t="s">
        <v>74</v>
      </c>
      <c r="F2286" t="s">
        <v>73</v>
      </c>
      <c r="G2286" t="s">
        <v>5789</v>
      </c>
      <c r="H2286" t="s">
        <v>317</v>
      </c>
      <c r="I2286">
        <v>0</v>
      </c>
      <c r="J2286">
        <v>0</v>
      </c>
      <c r="K2286">
        <v>0</v>
      </c>
      <c r="L2286">
        <v>0</v>
      </c>
      <c r="M2286" t="s">
        <v>76</v>
      </c>
      <c r="N2286" t="s">
        <v>76</v>
      </c>
      <c r="O2286" t="s">
        <v>77</v>
      </c>
      <c r="P2286" t="s">
        <v>76</v>
      </c>
      <c r="Q2286" t="s">
        <v>5791</v>
      </c>
      <c r="R2286" t="s">
        <v>5792</v>
      </c>
      <c r="S2286" t="s">
        <v>5790</v>
      </c>
    </row>
    <row r="2287" spans="1:19" x14ac:dyDescent="0.3">
      <c r="A2287" t="s">
        <v>5793</v>
      </c>
      <c r="B2287" t="s">
        <v>5794</v>
      </c>
      <c r="C2287" t="s">
        <v>73</v>
      </c>
      <c r="D2287" t="s">
        <v>63</v>
      </c>
      <c r="E2287" t="s">
        <v>74</v>
      </c>
      <c r="F2287" t="s">
        <v>73</v>
      </c>
      <c r="G2287" t="s">
        <v>5795</v>
      </c>
      <c r="H2287" t="s">
        <v>26</v>
      </c>
      <c r="I2287">
        <v>0</v>
      </c>
      <c r="J2287">
        <v>0</v>
      </c>
      <c r="K2287">
        <v>0</v>
      </c>
      <c r="L2287">
        <v>0</v>
      </c>
      <c r="M2287" t="s">
        <v>76</v>
      </c>
      <c r="N2287" t="s">
        <v>76</v>
      </c>
      <c r="O2287" t="s">
        <v>77</v>
      </c>
      <c r="P2287" t="s">
        <v>76</v>
      </c>
      <c r="S2287" t="s">
        <v>5794</v>
      </c>
    </row>
    <row r="2288" spans="1:19" x14ac:dyDescent="0.3">
      <c r="A2288" t="s">
        <v>5796</v>
      </c>
      <c r="B2288" t="s">
        <v>5797</v>
      </c>
      <c r="C2288" t="s">
        <v>73</v>
      </c>
      <c r="D2288" t="s">
        <v>63</v>
      </c>
      <c r="E2288" t="s">
        <v>74</v>
      </c>
      <c r="F2288" t="s">
        <v>73</v>
      </c>
      <c r="G2288" t="s">
        <v>5796</v>
      </c>
      <c r="H2288" t="s">
        <v>317</v>
      </c>
      <c r="I2288">
        <v>0</v>
      </c>
      <c r="J2288">
        <v>0</v>
      </c>
      <c r="K2288">
        <v>0</v>
      </c>
      <c r="L2288">
        <v>0</v>
      </c>
      <c r="M2288" t="s">
        <v>63</v>
      </c>
      <c r="N2288" t="s">
        <v>28</v>
      </c>
      <c r="O2288" t="s">
        <v>86</v>
      </c>
      <c r="P2288" t="s">
        <v>30</v>
      </c>
      <c r="Q2288" t="s">
        <v>5798</v>
      </c>
      <c r="R2288" t="s">
        <v>5799</v>
      </c>
      <c r="S2288" t="s">
        <v>5797</v>
      </c>
    </row>
    <row r="2289" spans="1:19" x14ac:dyDescent="0.3">
      <c r="A2289" t="s">
        <v>5800</v>
      </c>
      <c r="B2289" t="s">
        <v>5801</v>
      </c>
      <c r="C2289" t="s">
        <v>24</v>
      </c>
      <c r="D2289" t="s">
        <v>35</v>
      </c>
      <c r="E2289" t="s">
        <v>44</v>
      </c>
      <c r="F2289" t="s">
        <v>144</v>
      </c>
      <c r="G2289" t="s">
        <v>5802</v>
      </c>
      <c r="H2289" t="s">
        <v>213</v>
      </c>
      <c r="I2289">
        <v>0</v>
      </c>
      <c r="J2289">
        <v>0</v>
      </c>
      <c r="K2289">
        <v>0</v>
      </c>
      <c r="L2289">
        <v>0</v>
      </c>
      <c r="M2289" t="s">
        <v>76</v>
      </c>
      <c r="N2289" t="s">
        <v>76</v>
      </c>
      <c r="O2289" t="s">
        <v>77</v>
      </c>
      <c r="P2289" t="s">
        <v>76</v>
      </c>
      <c r="Q2289" t="s">
        <v>1525</v>
      </c>
      <c r="R2289" t="s">
        <v>1526</v>
      </c>
      <c r="S2289" t="s">
        <v>5801</v>
      </c>
    </row>
    <row r="2290" spans="1:19" x14ac:dyDescent="0.3">
      <c r="A2290" t="s">
        <v>5803</v>
      </c>
      <c r="B2290" t="s">
        <v>5804</v>
      </c>
      <c r="C2290" t="s">
        <v>24</v>
      </c>
      <c r="D2290" t="s">
        <v>35</v>
      </c>
      <c r="E2290" t="s">
        <v>150</v>
      </c>
      <c r="F2290" t="s">
        <v>24</v>
      </c>
      <c r="G2290" t="s">
        <v>650</v>
      </c>
      <c r="H2290" t="s">
        <v>213</v>
      </c>
      <c r="I2290">
        <v>0</v>
      </c>
      <c r="J2290">
        <v>0</v>
      </c>
      <c r="K2290">
        <v>0</v>
      </c>
      <c r="L2290">
        <v>0</v>
      </c>
      <c r="M2290" t="s">
        <v>76</v>
      </c>
      <c r="N2290" t="s">
        <v>76</v>
      </c>
      <c r="O2290" t="s">
        <v>77</v>
      </c>
      <c r="P2290" t="s">
        <v>76</v>
      </c>
      <c r="S2290" t="s">
        <v>5804</v>
      </c>
    </row>
    <row r="2291" spans="1:19" x14ac:dyDescent="0.3">
      <c r="A2291" t="s">
        <v>5805</v>
      </c>
      <c r="B2291" t="s">
        <v>5806</v>
      </c>
      <c r="C2291" t="s">
        <v>73</v>
      </c>
      <c r="E2291" t="s">
        <v>389</v>
      </c>
      <c r="F2291" t="s">
        <v>73</v>
      </c>
      <c r="G2291" t="s">
        <v>5807</v>
      </c>
      <c r="H2291" t="s">
        <v>317</v>
      </c>
      <c r="I2291">
        <v>0</v>
      </c>
      <c r="J2291">
        <v>0</v>
      </c>
      <c r="K2291">
        <v>0</v>
      </c>
      <c r="L2291">
        <v>0</v>
      </c>
      <c r="M2291" t="s">
        <v>76</v>
      </c>
      <c r="N2291" t="s">
        <v>76</v>
      </c>
      <c r="O2291" t="s">
        <v>77</v>
      </c>
      <c r="P2291" t="s">
        <v>76</v>
      </c>
      <c r="S2291" t="s">
        <v>5806</v>
      </c>
    </row>
    <row r="2292" spans="1:19" x14ac:dyDescent="0.3">
      <c r="A2292" t="s">
        <v>5808</v>
      </c>
      <c r="B2292" t="s">
        <v>5809</v>
      </c>
      <c r="C2292" t="s">
        <v>73</v>
      </c>
      <c r="D2292" t="s">
        <v>35</v>
      </c>
      <c r="E2292" t="s">
        <v>560</v>
      </c>
      <c r="F2292" t="s">
        <v>73</v>
      </c>
      <c r="G2292" t="s">
        <v>5810</v>
      </c>
      <c r="H2292" t="s">
        <v>317</v>
      </c>
      <c r="I2292">
        <v>0</v>
      </c>
      <c r="J2292">
        <v>0</v>
      </c>
      <c r="K2292">
        <v>0</v>
      </c>
      <c r="L2292">
        <v>0</v>
      </c>
      <c r="M2292" t="s">
        <v>57</v>
      </c>
      <c r="N2292" t="s">
        <v>28</v>
      </c>
      <c r="O2292" t="s">
        <v>58</v>
      </c>
      <c r="P2292" t="s">
        <v>30</v>
      </c>
      <c r="Q2292" t="s">
        <v>899</v>
      </c>
      <c r="R2292" t="s">
        <v>900</v>
      </c>
      <c r="S2292" t="s">
        <v>901</v>
      </c>
    </row>
    <row r="2293" spans="1:19" x14ac:dyDescent="0.3">
      <c r="A2293" t="s">
        <v>5811</v>
      </c>
      <c r="B2293" t="s">
        <v>5812</v>
      </c>
      <c r="C2293" t="s">
        <v>73</v>
      </c>
      <c r="D2293" t="s">
        <v>35</v>
      </c>
      <c r="E2293" t="s">
        <v>389</v>
      </c>
      <c r="F2293" t="s">
        <v>73</v>
      </c>
      <c r="G2293" t="s">
        <v>5811</v>
      </c>
      <c r="H2293" t="s">
        <v>317</v>
      </c>
      <c r="I2293">
        <v>0</v>
      </c>
      <c r="J2293">
        <v>0</v>
      </c>
      <c r="K2293">
        <v>0</v>
      </c>
      <c r="L2293">
        <v>0</v>
      </c>
      <c r="M2293" t="s">
        <v>76</v>
      </c>
      <c r="N2293" t="s">
        <v>76</v>
      </c>
      <c r="O2293" t="s">
        <v>77</v>
      </c>
      <c r="P2293" t="s">
        <v>76</v>
      </c>
      <c r="S2293" t="s">
        <v>5812</v>
      </c>
    </row>
    <row r="2294" spans="1:19" x14ac:dyDescent="0.3">
      <c r="A2294" t="s">
        <v>5813</v>
      </c>
      <c r="B2294" t="s">
        <v>5814</v>
      </c>
      <c r="C2294" t="s">
        <v>73</v>
      </c>
      <c r="D2294" t="s">
        <v>63</v>
      </c>
      <c r="E2294" t="s">
        <v>74</v>
      </c>
      <c r="F2294" t="s">
        <v>73</v>
      </c>
      <c r="G2294" t="s">
        <v>5815</v>
      </c>
      <c r="H2294" t="s">
        <v>317</v>
      </c>
      <c r="I2294">
        <v>0</v>
      </c>
      <c r="J2294">
        <v>0</v>
      </c>
      <c r="K2294">
        <v>0</v>
      </c>
      <c r="L2294">
        <v>0</v>
      </c>
      <c r="M2294" t="s">
        <v>76</v>
      </c>
      <c r="N2294" t="s">
        <v>76</v>
      </c>
      <c r="O2294" t="s">
        <v>77</v>
      </c>
      <c r="P2294" t="s">
        <v>76</v>
      </c>
      <c r="S2294" t="s">
        <v>5814</v>
      </c>
    </row>
    <row r="2295" spans="1:19" x14ac:dyDescent="0.3">
      <c r="A2295" t="s">
        <v>5816</v>
      </c>
      <c r="B2295" t="s">
        <v>5817</v>
      </c>
      <c r="C2295" t="s">
        <v>73</v>
      </c>
      <c r="F2295" t="s">
        <v>73</v>
      </c>
      <c r="G2295" t="s">
        <v>1237</v>
      </c>
      <c r="H2295" t="s">
        <v>317</v>
      </c>
      <c r="I2295">
        <v>0</v>
      </c>
      <c r="J2295">
        <v>0</v>
      </c>
      <c r="K2295">
        <v>0</v>
      </c>
      <c r="L2295">
        <v>0</v>
      </c>
      <c r="M2295" t="s">
        <v>76</v>
      </c>
      <c r="N2295" t="s">
        <v>76</v>
      </c>
      <c r="O2295" t="s">
        <v>77</v>
      </c>
      <c r="P2295" t="s">
        <v>76</v>
      </c>
      <c r="S2295" t="s">
        <v>5817</v>
      </c>
    </row>
    <row r="2296" spans="1:19" x14ac:dyDescent="0.3">
      <c r="A2296" t="s">
        <v>5818</v>
      </c>
      <c r="B2296" t="s">
        <v>5819</v>
      </c>
      <c r="C2296" t="s">
        <v>73</v>
      </c>
      <c r="D2296" t="s">
        <v>35</v>
      </c>
      <c r="E2296" t="s">
        <v>2289</v>
      </c>
      <c r="F2296" t="s">
        <v>73</v>
      </c>
      <c r="G2296" t="s">
        <v>2529</v>
      </c>
      <c r="H2296" t="s">
        <v>317</v>
      </c>
      <c r="I2296">
        <v>0</v>
      </c>
      <c r="J2296">
        <v>0</v>
      </c>
      <c r="K2296">
        <v>0</v>
      </c>
      <c r="L2296">
        <v>0</v>
      </c>
      <c r="M2296" t="s">
        <v>76</v>
      </c>
      <c r="N2296" t="s">
        <v>76</v>
      </c>
      <c r="O2296" t="s">
        <v>77</v>
      </c>
      <c r="P2296" t="s">
        <v>76</v>
      </c>
      <c r="S2296" t="s">
        <v>5819</v>
      </c>
    </row>
    <row r="2297" spans="1:19" x14ac:dyDescent="0.3">
      <c r="A2297" t="s">
        <v>5820</v>
      </c>
      <c r="B2297" t="s">
        <v>5821</v>
      </c>
      <c r="C2297" t="s">
        <v>24</v>
      </c>
      <c r="D2297" t="s">
        <v>63</v>
      </c>
      <c r="E2297" t="s">
        <v>1734</v>
      </c>
      <c r="F2297" t="s">
        <v>144</v>
      </c>
      <c r="G2297" t="s">
        <v>5822</v>
      </c>
      <c r="H2297" t="s">
        <v>26</v>
      </c>
      <c r="I2297">
        <v>0</v>
      </c>
      <c r="J2297">
        <v>0</v>
      </c>
      <c r="K2297">
        <v>0</v>
      </c>
      <c r="L2297">
        <v>0</v>
      </c>
      <c r="M2297" t="s">
        <v>76</v>
      </c>
      <c r="N2297" t="s">
        <v>76</v>
      </c>
      <c r="O2297" t="s">
        <v>77</v>
      </c>
      <c r="P2297" t="s">
        <v>76</v>
      </c>
      <c r="S2297" t="s">
        <v>5821</v>
      </c>
    </row>
    <row r="2298" spans="1:19" x14ac:dyDescent="0.3">
      <c r="A2298" t="s">
        <v>5823</v>
      </c>
      <c r="B2298" t="s">
        <v>5824</v>
      </c>
      <c r="C2298" t="s">
        <v>24</v>
      </c>
      <c r="D2298" t="s">
        <v>63</v>
      </c>
      <c r="E2298" t="s">
        <v>323</v>
      </c>
      <c r="F2298" t="s">
        <v>55</v>
      </c>
      <c r="G2298" t="s">
        <v>5825</v>
      </c>
      <c r="H2298" t="s">
        <v>213</v>
      </c>
      <c r="I2298">
        <v>0</v>
      </c>
      <c r="J2298">
        <v>0</v>
      </c>
      <c r="K2298">
        <v>0</v>
      </c>
      <c r="L2298">
        <v>0</v>
      </c>
      <c r="M2298" t="s">
        <v>76</v>
      </c>
      <c r="N2298" t="s">
        <v>76</v>
      </c>
      <c r="O2298" t="s">
        <v>77</v>
      </c>
      <c r="P2298" t="s">
        <v>76</v>
      </c>
      <c r="S2298" t="s">
        <v>5824</v>
      </c>
    </row>
    <row r="2299" spans="1:19" x14ac:dyDescent="0.3">
      <c r="A2299" t="s">
        <v>5826</v>
      </c>
      <c r="B2299" t="s">
        <v>5827</v>
      </c>
      <c r="C2299" t="s">
        <v>24</v>
      </c>
      <c r="D2299" t="s">
        <v>35</v>
      </c>
      <c r="E2299" t="s">
        <v>36</v>
      </c>
      <c r="F2299" t="s">
        <v>24</v>
      </c>
      <c r="G2299" t="s">
        <v>4552</v>
      </c>
      <c r="H2299" t="s">
        <v>26</v>
      </c>
      <c r="I2299">
        <v>0</v>
      </c>
      <c r="J2299">
        <v>0</v>
      </c>
      <c r="K2299">
        <v>0</v>
      </c>
      <c r="L2299">
        <v>0</v>
      </c>
      <c r="M2299" t="s">
        <v>76</v>
      </c>
      <c r="N2299" t="s">
        <v>76</v>
      </c>
      <c r="O2299" t="s">
        <v>77</v>
      </c>
      <c r="P2299" t="s">
        <v>76</v>
      </c>
      <c r="S2299" t="s">
        <v>5827</v>
      </c>
    </row>
    <row r="2300" spans="1:19" x14ac:dyDescent="0.3">
      <c r="A2300" t="s">
        <v>5828</v>
      </c>
      <c r="B2300" t="s">
        <v>5829</v>
      </c>
      <c r="C2300" t="s">
        <v>314</v>
      </c>
      <c r="D2300" t="s">
        <v>63</v>
      </c>
      <c r="E2300" t="s">
        <v>315</v>
      </c>
      <c r="F2300" t="s">
        <v>314</v>
      </c>
      <c r="G2300" t="s">
        <v>5828</v>
      </c>
      <c r="H2300" t="s">
        <v>317</v>
      </c>
      <c r="I2300">
        <v>0</v>
      </c>
      <c r="J2300">
        <v>0</v>
      </c>
      <c r="K2300">
        <v>0</v>
      </c>
      <c r="L2300">
        <v>0</v>
      </c>
      <c r="M2300" t="s">
        <v>76</v>
      </c>
      <c r="N2300" t="s">
        <v>76</v>
      </c>
      <c r="O2300" t="s">
        <v>77</v>
      </c>
      <c r="P2300" t="s">
        <v>76</v>
      </c>
      <c r="S2300" t="s">
        <v>5829</v>
      </c>
    </row>
    <row r="2301" spans="1:19" x14ac:dyDescent="0.3">
      <c r="A2301" t="s">
        <v>5830</v>
      </c>
      <c r="B2301" t="s">
        <v>5831</v>
      </c>
      <c r="C2301" t="s">
        <v>24</v>
      </c>
      <c r="D2301" t="s">
        <v>63</v>
      </c>
      <c r="E2301" t="s">
        <v>74</v>
      </c>
      <c r="F2301" t="s">
        <v>24</v>
      </c>
      <c r="G2301" t="s">
        <v>5830</v>
      </c>
      <c r="H2301" t="s">
        <v>26</v>
      </c>
      <c r="I2301">
        <v>0</v>
      </c>
      <c r="J2301">
        <v>0</v>
      </c>
      <c r="K2301">
        <v>0</v>
      </c>
      <c r="L2301">
        <v>0</v>
      </c>
      <c r="M2301" t="s">
        <v>76</v>
      </c>
      <c r="N2301" t="s">
        <v>76</v>
      </c>
      <c r="O2301" t="s">
        <v>77</v>
      </c>
      <c r="P2301" t="s">
        <v>76</v>
      </c>
      <c r="S2301" t="s">
        <v>5831</v>
      </c>
    </row>
    <row r="2302" spans="1:19" x14ac:dyDescent="0.3">
      <c r="A2302" t="s">
        <v>5832</v>
      </c>
      <c r="B2302" t="s">
        <v>5833</v>
      </c>
      <c r="C2302" t="s">
        <v>24</v>
      </c>
      <c r="D2302" t="s">
        <v>35</v>
      </c>
      <c r="E2302" t="s">
        <v>389</v>
      </c>
      <c r="F2302" t="s">
        <v>24</v>
      </c>
      <c r="G2302" t="s">
        <v>4556</v>
      </c>
      <c r="H2302" t="s">
        <v>26</v>
      </c>
      <c r="I2302">
        <v>0</v>
      </c>
      <c r="J2302">
        <v>0</v>
      </c>
      <c r="K2302">
        <v>0</v>
      </c>
      <c r="L2302">
        <v>0</v>
      </c>
      <c r="M2302" t="s">
        <v>76</v>
      </c>
      <c r="N2302" t="s">
        <v>76</v>
      </c>
      <c r="O2302" t="s">
        <v>77</v>
      </c>
      <c r="P2302" t="s">
        <v>76</v>
      </c>
      <c r="S2302" t="s">
        <v>5833</v>
      </c>
    </row>
    <row r="2303" spans="1:19" x14ac:dyDescent="0.3">
      <c r="A2303" t="s">
        <v>5834</v>
      </c>
      <c r="B2303" t="s">
        <v>5835</v>
      </c>
      <c r="C2303" t="s">
        <v>24</v>
      </c>
      <c r="D2303" t="s">
        <v>63</v>
      </c>
      <c r="E2303" t="s">
        <v>1751</v>
      </c>
      <c r="F2303" t="s">
        <v>144</v>
      </c>
      <c r="G2303" t="s">
        <v>5836</v>
      </c>
      <c r="H2303" t="s">
        <v>26</v>
      </c>
      <c r="I2303">
        <v>0</v>
      </c>
      <c r="J2303">
        <v>0</v>
      </c>
      <c r="K2303">
        <v>0</v>
      </c>
      <c r="L2303">
        <v>0</v>
      </c>
      <c r="M2303" t="s">
        <v>76</v>
      </c>
      <c r="N2303" t="s">
        <v>76</v>
      </c>
      <c r="O2303" t="s">
        <v>77</v>
      </c>
      <c r="P2303" t="s">
        <v>76</v>
      </c>
      <c r="S2303" t="s">
        <v>5835</v>
      </c>
    </row>
    <row r="2304" spans="1:19" x14ac:dyDescent="0.3">
      <c r="A2304" t="s">
        <v>5837</v>
      </c>
      <c r="B2304" t="s">
        <v>5838</v>
      </c>
      <c r="C2304" t="s">
        <v>73</v>
      </c>
      <c r="D2304" t="s">
        <v>63</v>
      </c>
      <c r="E2304" t="s">
        <v>74</v>
      </c>
      <c r="F2304" t="s">
        <v>73</v>
      </c>
      <c r="G2304" t="s">
        <v>5837</v>
      </c>
      <c r="H2304" t="s">
        <v>317</v>
      </c>
      <c r="I2304">
        <v>0</v>
      </c>
      <c r="J2304">
        <v>0</v>
      </c>
      <c r="K2304">
        <v>0</v>
      </c>
      <c r="L2304">
        <v>0</v>
      </c>
      <c r="M2304" t="s">
        <v>76</v>
      </c>
      <c r="N2304" t="s">
        <v>76</v>
      </c>
      <c r="O2304" t="s">
        <v>77</v>
      </c>
      <c r="P2304" t="s">
        <v>76</v>
      </c>
      <c r="S2304" t="s">
        <v>5838</v>
      </c>
    </row>
    <row r="2305" spans="1:19" x14ac:dyDescent="0.3">
      <c r="A2305" t="s">
        <v>5839</v>
      </c>
      <c r="B2305" t="s">
        <v>5840</v>
      </c>
      <c r="C2305" t="s">
        <v>24</v>
      </c>
      <c r="D2305" t="s">
        <v>35</v>
      </c>
      <c r="E2305" t="s">
        <v>560</v>
      </c>
      <c r="F2305" t="s">
        <v>24</v>
      </c>
      <c r="G2305" t="s">
        <v>4552</v>
      </c>
      <c r="H2305" t="s">
        <v>213</v>
      </c>
      <c r="I2305">
        <v>0</v>
      </c>
      <c r="J2305">
        <v>0</v>
      </c>
      <c r="K2305">
        <v>0</v>
      </c>
      <c r="L2305">
        <v>0</v>
      </c>
      <c r="M2305" t="s">
        <v>76</v>
      </c>
      <c r="N2305" t="s">
        <v>76</v>
      </c>
      <c r="O2305" t="s">
        <v>77</v>
      </c>
      <c r="P2305" t="s">
        <v>76</v>
      </c>
      <c r="S2305" t="s">
        <v>5840</v>
      </c>
    </row>
    <row r="2306" spans="1:19" x14ac:dyDescent="0.3">
      <c r="A2306" t="s">
        <v>5841</v>
      </c>
      <c r="B2306" t="s">
        <v>5842</v>
      </c>
      <c r="C2306" t="s">
        <v>45</v>
      </c>
      <c r="D2306" t="s">
        <v>63</v>
      </c>
      <c r="E2306" t="s">
        <v>1132</v>
      </c>
      <c r="F2306" t="s">
        <v>45</v>
      </c>
      <c r="G2306" t="s">
        <v>301</v>
      </c>
      <c r="H2306" t="s">
        <v>213</v>
      </c>
      <c r="I2306">
        <v>0</v>
      </c>
      <c r="J2306">
        <v>0</v>
      </c>
      <c r="K2306">
        <v>0</v>
      </c>
      <c r="L2306">
        <v>0</v>
      </c>
      <c r="M2306" t="s">
        <v>76</v>
      </c>
      <c r="N2306" t="s">
        <v>76</v>
      </c>
      <c r="O2306" t="s">
        <v>77</v>
      </c>
      <c r="P2306" t="s">
        <v>76</v>
      </c>
      <c r="S2306" t="s">
        <v>5842</v>
      </c>
    </row>
    <row r="2307" spans="1:19" x14ac:dyDescent="0.3">
      <c r="A2307" t="s">
        <v>5843</v>
      </c>
      <c r="B2307" t="s">
        <v>5844</v>
      </c>
      <c r="C2307" t="s">
        <v>43</v>
      </c>
      <c r="D2307" t="s">
        <v>63</v>
      </c>
      <c r="E2307" t="s">
        <v>74</v>
      </c>
      <c r="F2307" t="s">
        <v>45</v>
      </c>
      <c r="G2307" t="s">
        <v>43</v>
      </c>
      <c r="H2307" t="s">
        <v>26</v>
      </c>
      <c r="I2307">
        <v>0</v>
      </c>
      <c r="J2307">
        <v>0</v>
      </c>
      <c r="K2307">
        <v>0</v>
      </c>
      <c r="L2307">
        <v>0</v>
      </c>
      <c r="M2307" t="s">
        <v>76</v>
      </c>
      <c r="N2307" t="s">
        <v>76</v>
      </c>
      <c r="O2307" t="s">
        <v>77</v>
      </c>
      <c r="P2307" t="s">
        <v>76</v>
      </c>
      <c r="S2307" t="s">
        <v>5844</v>
      </c>
    </row>
    <row r="2308" spans="1:19" x14ac:dyDescent="0.3">
      <c r="A2308" t="s">
        <v>5845</v>
      </c>
      <c r="B2308" t="s">
        <v>5846</v>
      </c>
      <c r="C2308" t="s">
        <v>73</v>
      </c>
      <c r="D2308" t="s">
        <v>63</v>
      </c>
      <c r="E2308" t="s">
        <v>74</v>
      </c>
      <c r="F2308" t="s">
        <v>73</v>
      </c>
      <c r="G2308" t="s">
        <v>5837</v>
      </c>
      <c r="H2308" t="s">
        <v>317</v>
      </c>
      <c r="I2308">
        <v>0</v>
      </c>
      <c r="J2308">
        <v>0</v>
      </c>
      <c r="K2308">
        <v>0</v>
      </c>
      <c r="L2308">
        <v>0</v>
      </c>
      <c r="M2308" t="s">
        <v>63</v>
      </c>
      <c r="N2308" t="s">
        <v>28</v>
      </c>
      <c r="O2308" t="s">
        <v>86</v>
      </c>
      <c r="P2308" t="s">
        <v>30</v>
      </c>
      <c r="Q2308" t="s">
        <v>5847</v>
      </c>
      <c r="R2308" t="s">
        <v>548</v>
      </c>
      <c r="S2308" t="s">
        <v>5846</v>
      </c>
    </row>
    <row r="2309" spans="1:19" x14ac:dyDescent="0.3">
      <c r="A2309" t="s">
        <v>5848</v>
      </c>
      <c r="B2309" t="s">
        <v>5849</v>
      </c>
      <c r="C2309" t="s">
        <v>73</v>
      </c>
      <c r="D2309" t="s">
        <v>63</v>
      </c>
      <c r="E2309" t="s">
        <v>74</v>
      </c>
      <c r="F2309" t="s">
        <v>73</v>
      </c>
      <c r="G2309" t="s">
        <v>5848</v>
      </c>
      <c r="H2309" t="s">
        <v>317</v>
      </c>
      <c r="I2309">
        <v>0</v>
      </c>
      <c r="J2309">
        <v>0</v>
      </c>
      <c r="K2309">
        <v>0</v>
      </c>
      <c r="L2309">
        <v>0</v>
      </c>
      <c r="M2309" t="s">
        <v>57</v>
      </c>
      <c r="N2309" t="s">
        <v>28</v>
      </c>
      <c r="O2309" t="s">
        <v>58</v>
      </c>
      <c r="P2309" t="s">
        <v>30</v>
      </c>
      <c r="Q2309" t="s">
        <v>5850</v>
      </c>
      <c r="R2309" t="s">
        <v>1335</v>
      </c>
      <c r="S2309" t="s">
        <v>901</v>
      </c>
    </row>
    <row r="2310" spans="1:19" x14ac:dyDescent="0.3">
      <c r="A2310" t="s">
        <v>5851</v>
      </c>
      <c r="B2310" t="s">
        <v>5852</v>
      </c>
      <c r="C2310" t="s">
        <v>24</v>
      </c>
      <c r="D2310" t="s">
        <v>35</v>
      </c>
      <c r="E2310" t="s">
        <v>560</v>
      </c>
      <c r="F2310" t="s">
        <v>24</v>
      </c>
      <c r="G2310" t="s">
        <v>5853</v>
      </c>
      <c r="H2310" t="s">
        <v>26</v>
      </c>
      <c r="I2310">
        <v>0</v>
      </c>
      <c r="J2310">
        <v>0</v>
      </c>
      <c r="K2310">
        <v>0</v>
      </c>
      <c r="L2310">
        <v>0</v>
      </c>
      <c r="M2310" t="s">
        <v>76</v>
      </c>
      <c r="N2310" t="s">
        <v>76</v>
      </c>
      <c r="O2310" t="s">
        <v>77</v>
      </c>
      <c r="P2310" t="s">
        <v>76</v>
      </c>
      <c r="S2310" t="s">
        <v>5852</v>
      </c>
    </row>
    <row r="2311" spans="1:19" x14ac:dyDescent="0.3">
      <c r="A2311" t="s">
        <v>5315</v>
      </c>
      <c r="B2311" t="s">
        <v>5854</v>
      </c>
      <c r="C2311" t="s">
        <v>73</v>
      </c>
      <c r="D2311" t="s">
        <v>53</v>
      </c>
      <c r="E2311" t="s">
        <v>389</v>
      </c>
      <c r="F2311" t="s">
        <v>73</v>
      </c>
      <c r="G2311" t="s">
        <v>5855</v>
      </c>
      <c r="H2311" t="s">
        <v>317</v>
      </c>
      <c r="I2311">
        <v>0</v>
      </c>
      <c r="J2311">
        <v>0</v>
      </c>
      <c r="K2311">
        <v>0</v>
      </c>
      <c r="L2311">
        <v>0</v>
      </c>
      <c r="M2311" t="s">
        <v>57</v>
      </c>
      <c r="N2311" t="s">
        <v>28</v>
      </c>
      <c r="O2311" t="s">
        <v>58</v>
      </c>
      <c r="P2311" t="s">
        <v>30</v>
      </c>
      <c r="Q2311" t="s">
        <v>5856</v>
      </c>
      <c r="R2311" t="s">
        <v>5857</v>
      </c>
      <c r="S2311" t="s">
        <v>5854</v>
      </c>
    </row>
    <row r="2312" spans="1:19" x14ac:dyDescent="0.3">
      <c r="A2312" t="s">
        <v>5858</v>
      </c>
      <c r="B2312" t="s">
        <v>5859</v>
      </c>
      <c r="C2312" t="s">
        <v>45</v>
      </c>
      <c r="D2312" t="s">
        <v>63</v>
      </c>
      <c r="E2312" t="s">
        <v>74</v>
      </c>
      <c r="F2312" t="s">
        <v>45</v>
      </c>
      <c r="G2312" t="s">
        <v>5860</v>
      </c>
      <c r="H2312" t="s">
        <v>26</v>
      </c>
      <c r="I2312">
        <v>0</v>
      </c>
      <c r="J2312">
        <v>0</v>
      </c>
      <c r="K2312">
        <v>0</v>
      </c>
      <c r="L2312">
        <v>0</v>
      </c>
      <c r="M2312" t="s">
        <v>76</v>
      </c>
      <c r="N2312" t="s">
        <v>76</v>
      </c>
      <c r="O2312" t="s">
        <v>77</v>
      </c>
      <c r="P2312" t="s">
        <v>76</v>
      </c>
      <c r="S2312" t="s">
        <v>5859</v>
      </c>
    </row>
    <row r="2313" spans="1:19" x14ac:dyDescent="0.3">
      <c r="A2313" t="s">
        <v>5861</v>
      </c>
      <c r="B2313" t="s">
        <v>5862</v>
      </c>
      <c r="C2313" t="s">
        <v>24</v>
      </c>
      <c r="D2313" t="s">
        <v>35</v>
      </c>
      <c r="E2313" t="s">
        <v>331</v>
      </c>
      <c r="F2313" t="s">
        <v>24</v>
      </c>
      <c r="G2313" t="s">
        <v>5863</v>
      </c>
      <c r="H2313" t="s">
        <v>213</v>
      </c>
      <c r="I2313">
        <v>0</v>
      </c>
      <c r="J2313">
        <v>0</v>
      </c>
      <c r="K2313">
        <v>0</v>
      </c>
      <c r="L2313">
        <v>0</v>
      </c>
      <c r="M2313" t="s">
        <v>76</v>
      </c>
      <c r="N2313" t="s">
        <v>76</v>
      </c>
      <c r="O2313" t="s">
        <v>77</v>
      </c>
      <c r="P2313" t="s">
        <v>76</v>
      </c>
      <c r="S2313" t="s">
        <v>5862</v>
      </c>
    </row>
    <row r="2314" spans="1:19" x14ac:dyDescent="0.3">
      <c r="A2314" t="s">
        <v>5864</v>
      </c>
      <c r="B2314" t="s">
        <v>5865</v>
      </c>
      <c r="C2314" t="s">
        <v>24</v>
      </c>
      <c r="D2314" t="s">
        <v>35</v>
      </c>
      <c r="E2314" t="s">
        <v>80</v>
      </c>
      <c r="F2314" t="s">
        <v>55</v>
      </c>
      <c r="G2314" t="s">
        <v>5864</v>
      </c>
      <c r="H2314" t="s">
        <v>213</v>
      </c>
      <c r="I2314">
        <v>0</v>
      </c>
      <c r="J2314">
        <v>0</v>
      </c>
      <c r="K2314">
        <v>0</v>
      </c>
      <c r="L2314">
        <v>0</v>
      </c>
      <c r="M2314" t="s">
        <v>76</v>
      </c>
      <c r="N2314" t="s">
        <v>76</v>
      </c>
      <c r="O2314" t="s">
        <v>77</v>
      </c>
      <c r="P2314" t="s">
        <v>76</v>
      </c>
      <c r="S2314" t="s">
        <v>5865</v>
      </c>
    </row>
    <row r="2315" spans="1:19" x14ac:dyDescent="0.3">
      <c r="A2315" t="s">
        <v>5866</v>
      </c>
      <c r="B2315" t="s">
        <v>5867</v>
      </c>
      <c r="C2315" t="s">
        <v>45</v>
      </c>
      <c r="D2315" t="s">
        <v>63</v>
      </c>
      <c r="E2315" t="s">
        <v>1132</v>
      </c>
      <c r="F2315" t="s">
        <v>144</v>
      </c>
      <c r="G2315" t="s">
        <v>301</v>
      </c>
      <c r="H2315" t="s">
        <v>26</v>
      </c>
      <c r="I2315">
        <v>0</v>
      </c>
      <c r="J2315">
        <v>0</v>
      </c>
      <c r="K2315">
        <v>0</v>
      </c>
      <c r="L2315">
        <v>0</v>
      </c>
      <c r="M2315" t="s">
        <v>76</v>
      </c>
      <c r="N2315" t="s">
        <v>76</v>
      </c>
      <c r="O2315" t="s">
        <v>77</v>
      </c>
      <c r="P2315" t="s">
        <v>76</v>
      </c>
      <c r="S2315" t="s">
        <v>5867</v>
      </c>
    </row>
    <row r="2316" spans="1:19" x14ac:dyDescent="0.3">
      <c r="A2316" t="s">
        <v>5868</v>
      </c>
      <c r="B2316" t="s">
        <v>5869</v>
      </c>
      <c r="C2316" t="s">
        <v>24</v>
      </c>
      <c r="D2316" t="s">
        <v>63</v>
      </c>
      <c r="E2316" t="s">
        <v>575</v>
      </c>
      <c r="F2316" t="s">
        <v>24</v>
      </c>
      <c r="G2316" t="s">
        <v>5868</v>
      </c>
      <c r="H2316" t="s">
        <v>213</v>
      </c>
      <c r="I2316">
        <v>0</v>
      </c>
      <c r="J2316">
        <v>0</v>
      </c>
      <c r="K2316">
        <v>0</v>
      </c>
      <c r="L2316">
        <v>0</v>
      </c>
      <c r="M2316" t="s">
        <v>76</v>
      </c>
      <c r="N2316" t="s">
        <v>76</v>
      </c>
      <c r="O2316" t="s">
        <v>77</v>
      </c>
      <c r="P2316" t="s">
        <v>76</v>
      </c>
      <c r="S2316" t="s">
        <v>5869</v>
      </c>
    </row>
    <row r="2317" spans="1:19" x14ac:dyDescent="0.3">
      <c r="A2317" t="s">
        <v>5870</v>
      </c>
      <c r="B2317" t="s">
        <v>5871</v>
      </c>
      <c r="C2317" t="s">
        <v>45</v>
      </c>
      <c r="D2317" t="s">
        <v>63</v>
      </c>
      <c r="E2317" t="s">
        <v>74</v>
      </c>
      <c r="F2317" t="s">
        <v>45</v>
      </c>
      <c r="G2317" t="s">
        <v>1769</v>
      </c>
      <c r="H2317" t="s">
        <v>26</v>
      </c>
      <c r="I2317">
        <v>0</v>
      </c>
      <c r="J2317">
        <v>0</v>
      </c>
      <c r="K2317">
        <v>0</v>
      </c>
      <c r="L2317">
        <v>0</v>
      </c>
      <c r="M2317" t="s">
        <v>76</v>
      </c>
      <c r="N2317" t="s">
        <v>76</v>
      </c>
      <c r="O2317" t="s">
        <v>77</v>
      </c>
      <c r="P2317" t="s">
        <v>76</v>
      </c>
      <c r="S2317" t="s">
        <v>5871</v>
      </c>
    </row>
    <row r="2318" spans="1:19" x14ac:dyDescent="0.3">
      <c r="A2318" t="s">
        <v>5872</v>
      </c>
      <c r="B2318" t="s">
        <v>5873</v>
      </c>
      <c r="C2318" t="s">
        <v>24</v>
      </c>
      <c r="D2318" t="s">
        <v>63</v>
      </c>
      <c r="E2318" t="s">
        <v>315</v>
      </c>
      <c r="F2318" t="s">
        <v>55</v>
      </c>
      <c r="G2318" t="s">
        <v>5874</v>
      </c>
      <c r="H2318" t="s">
        <v>213</v>
      </c>
      <c r="I2318">
        <v>0</v>
      </c>
      <c r="J2318">
        <v>0</v>
      </c>
      <c r="K2318">
        <v>0</v>
      </c>
      <c r="L2318">
        <v>0</v>
      </c>
      <c r="M2318" t="s">
        <v>76</v>
      </c>
      <c r="N2318" t="s">
        <v>76</v>
      </c>
      <c r="O2318" t="s">
        <v>77</v>
      </c>
      <c r="P2318" t="s">
        <v>76</v>
      </c>
      <c r="S2318" t="s">
        <v>5873</v>
      </c>
    </row>
    <row r="2319" spans="1:19" x14ac:dyDescent="0.3">
      <c r="A2319" t="s">
        <v>2345</v>
      </c>
      <c r="B2319" t="s">
        <v>5875</v>
      </c>
      <c r="C2319" t="s">
        <v>73</v>
      </c>
      <c r="D2319" t="s">
        <v>63</v>
      </c>
      <c r="E2319" t="s">
        <v>74</v>
      </c>
      <c r="F2319" t="s">
        <v>73</v>
      </c>
      <c r="G2319" t="s">
        <v>2345</v>
      </c>
      <c r="H2319" t="s">
        <v>317</v>
      </c>
      <c r="I2319">
        <v>0</v>
      </c>
      <c r="J2319">
        <v>0</v>
      </c>
      <c r="K2319">
        <v>0</v>
      </c>
      <c r="L2319">
        <v>0</v>
      </c>
      <c r="M2319" t="s">
        <v>76</v>
      </c>
      <c r="N2319" t="s">
        <v>76</v>
      </c>
      <c r="O2319" t="s">
        <v>77</v>
      </c>
      <c r="P2319" t="s">
        <v>76</v>
      </c>
      <c r="S2319" t="s">
        <v>5875</v>
      </c>
    </row>
    <row r="2320" spans="1:19" x14ac:dyDescent="0.3">
      <c r="A2320" t="s">
        <v>5876</v>
      </c>
      <c r="B2320" t="s">
        <v>5877</v>
      </c>
      <c r="C2320" t="s">
        <v>73</v>
      </c>
      <c r="D2320" t="s">
        <v>63</v>
      </c>
      <c r="E2320" t="s">
        <v>74</v>
      </c>
      <c r="F2320" t="s">
        <v>73</v>
      </c>
      <c r="G2320" t="s">
        <v>5876</v>
      </c>
      <c r="H2320" t="s">
        <v>317</v>
      </c>
      <c r="I2320">
        <v>0</v>
      </c>
      <c r="J2320">
        <v>0</v>
      </c>
      <c r="K2320">
        <v>0</v>
      </c>
      <c r="L2320">
        <v>0</v>
      </c>
      <c r="M2320" t="s">
        <v>76</v>
      </c>
      <c r="N2320" t="s">
        <v>76</v>
      </c>
      <c r="O2320" t="s">
        <v>77</v>
      </c>
      <c r="P2320" t="s">
        <v>76</v>
      </c>
      <c r="S2320" t="s">
        <v>5877</v>
      </c>
    </row>
    <row r="2321" spans="1:19" x14ac:dyDescent="0.3">
      <c r="A2321" t="s">
        <v>5878</v>
      </c>
      <c r="B2321" t="s">
        <v>5879</v>
      </c>
      <c r="C2321" t="s">
        <v>45</v>
      </c>
      <c r="D2321" t="s">
        <v>63</v>
      </c>
      <c r="E2321" t="s">
        <v>74</v>
      </c>
      <c r="F2321" t="s">
        <v>144</v>
      </c>
      <c r="G2321" t="s">
        <v>301</v>
      </c>
      <c r="H2321" t="s">
        <v>26</v>
      </c>
      <c r="I2321">
        <v>0</v>
      </c>
      <c r="J2321">
        <v>0</v>
      </c>
      <c r="K2321">
        <v>0</v>
      </c>
      <c r="L2321">
        <v>0</v>
      </c>
      <c r="M2321" t="s">
        <v>76</v>
      </c>
      <c r="N2321" t="s">
        <v>76</v>
      </c>
      <c r="O2321" t="s">
        <v>77</v>
      </c>
      <c r="P2321" t="s">
        <v>76</v>
      </c>
      <c r="S2321" t="s">
        <v>5879</v>
      </c>
    </row>
    <row r="2322" spans="1:19" x14ac:dyDescent="0.3">
      <c r="A2322" t="s">
        <v>5880</v>
      </c>
      <c r="B2322" t="s">
        <v>5881</v>
      </c>
      <c r="C2322" t="s">
        <v>24</v>
      </c>
      <c r="D2322" t="s">
        <v>63</v>
      </c>
      <c r="E2322" t="s">
        <v>74</v>
      </c>
      <c r="F2322" t="s">
        <v>144</v>
      </c>
      <c r="G2322" t="s">
        <v>5882</v>
      </c>
      <c r="H2322" t="s">
        <v>213</v>
      </c>
      <c r="I2322">
        <v>0</v>
      </c>
      <c r="J2322">
        <v>0</v>
      </c>
      <c r="K2322">
        <v>0</v>
      </c>
      <c r="L2322">
        <v>0</v>
      </c>
      <c r="M2322" t="s">
        <v>76</v>
      </c>
      <c r="N2322" t="s">
        <v>76</v>
      </c>
      <c r="O2322" t="s">
        <v>77</v>
      </c>
      <c r="P2322" t="s">
        <v>76</v>
      </c>
      <c r="S2322" t="s">
        <v>5881</v>
      </c>
    </row>
    <row r="2323" spans="1:19" x14ac:dyDescent="0.3">
      <c r="A2323" t="s">
        <v>5883</v>
      </c>
      <c r="B2323" t="s">
        <v>5884</v>
      </c>
      <c r="C2323" t="s">
        <v>73</v>
      </c>
      <c r="D2323" t="s">
        <v>63</v>
      </c>
      <c r="E2323" t="s">
        <v>74</v>
      </c>
      <c r="F2323" t="s">
        <v>73</v>
      </c>
      <c r="G2323" t="s">
        <v>5883</v>
      </c>
      <c r="H2323" t="s">
        <v>317</v>
      </c>
      <c r="I2323">
        <v>0</v>
      </c>
      <c r="J2323">
        <v>0</v>
      </c>
      <c r="K2323">
        <v>0</v>
      </c>
      <c r="L2323">
        <v>0</v>
      </c>
      <c r="M2323" t="s">
        <v>76</v>
      </c>
      <c r="N2323" t="s">
        <v>76</v>
      </c>
      <c r="O2323" t="s">
        <v>77</v>
      </c>
      <c r="P2323" t="s">
        <v>76</v>
      </c>
      <c r="S2323" t="s">
        <v>5884</v>
      </c>
    </row>
    <row r="2324" spans="1:19" x14ac:dyDescent="0.3">
      <c r="A2324" t="s">
        <v>5885</v>
      </c>
      <c r="B2324" t="s">
        <v>5886</v>
      </c>
      <c r="C2324" t="s">
        <v>43</v>
      </c>
      <c r="F2324" t="s">
        <v>45</v>
      </c>
      <c r="G2324" t="s">
        <v>43</v>
      </c>
      <c r="H2324" t="s">
        <v>213</v>
      </c>
      <c r="I2324">
        <v>0</v>
      </c>
      <c r="J2324">
        <v>0</v>
      </c>
      <c r="K2324">
        <v>0</v>
      </c>
      <c r="L2324">
        <v>0</v>
      </c>
      <c r="M2324" t="s">
        <v>76</v>
      </c>
      <c r="N2324" t="s">
        <v>76</v>
      </c>
      <c r="O2324" t="s">
        <v>77</v>
      </c>
      <c r="P2324" t="s">
        <v>76</v>
      </c>
      <c r="S2324" t="s">
        <v>5886</v>
      </c>
    </row>
    <row r="2325" spans="1:19" x14ac:dyDescent="0.3">
      <c r="A2325" t="s">
        <v>5887</v>
      </c>
      <c r="B2325" t="s">
        <v>5888</v>
      </c>
      <c r="C2325" t="s">
        <v>73</v>
      </c>
      <c r="D2325" t="s">
        <v>35</v>
      </c>
      <c r="E2325" t="s">
        <v>389</v>
      </c>
      <c r="F2325" t="s">
        <v>73</v>
      </c>
      <c r="G2325" t="s">
        <v>5887</v>
      </c>
      <c r="H2325" t="s">
        <v>317</v>
      </c>
      <c r="I2325">
        <v>0</v>
      </c>
      <c r="J2325">
        <v>0</v>
      </c>
      <c r="K2325">
        <v>0</v>
      </c>
      <c r="L2325">
        <v>0</v>
      </c>
      <c r="M2325" t="s">
        <v>57</v>
      </c>
      <c r="N2325" t="s">
        <v>28</v>
      </c>
      <c r="O2325" t="s">
        <v>58</v>
      </c>
      <c r="P2325" t="s">
        <v>30</v>
      </c>
      <c r="Q2325" t="s">
        <v>899</v>
      </c>
      <c r="R2325" t="s">
        <v>900</v>
      </c>
      <c r="S2325" t="s">
        <v>901</v>
      </c>
    </row>
    <row r="2326" spans="1:19" x14ac:dyDescent="0.3">
      <c r="A2326" t="s">
        <v>5889</v>
      </c>
      <c r="B2326" t="s">
        <v>5890</v>
      </c>
      <c r="C2326" t="s">
        <v>24</v>
      </c>
      <c r="D2326" t="s">
        <v>63</v>
      </c>
      <c r="E2326" t="s">
        <v>74</v>
      </c>
      <c r="F2326" t="s">
        <v>24</v>
      </c>
      <c r="G2326" t="s">
        <v>4539</v>
      </c>
      <c r="H2326" t="s">
        <v>26</v>
      </c>
      <c r="I2326">
        <v>0</v>
      </c>
      <c r="J2326">
        <v>0</v>
      </c>
      <c r="K2326">
        <v>0</v>
      </c>
      <c r="L2326">
        <v>0</v>
      </c>
      <c r="M2326" t="s">
        <v>76</v>
      </c>
      <c r="N2326" t="s">
        <v>76</v>
      </c>
      <c r="O2326" t="s">
        <v>77</v>
      </c>
      <c r="P2326" t="s">
        <v>76</v>
      </c>
      <c r="S2326" t="s">
        <v>5890</v>
      </c>
    </row>
    <row r="2327" spans="1:19" x14ac:dyDescent="0.3">
      <c r="A2327" t="s">
        <v>5891</v>
      </c>
      <c r="B2327" t="s">
        <v>5892</v>
      </c>
      <c r="C2327" t="s">
        <v>73</v>
      </c>
      <c r="D2327" t="s">
        <v>63</v>
      </c>
      <c r="E2327" t="s">
        <v>323</v>
      </c>
      <c r="F2327" t="s">
        <v>73</v>
      </c>
      <c r="G2327" t="s">
        <v>5891</v>
      </c>
      <c r="H2327" t="s">
        <v>317</v>
      </c>
      <c r="I2327">
        <v>0</v>
      </c>
      <c r="J2327">
        <v>0</v>
      </c>
      <c r="K2327">
        <v>0</v>
      </c>
      <c r="L2327">
        <v>0</v>
      </c>
      <c r="M2327" t="s">
        <v>76</v>
      </c>
      <c r="N2327" t="s">
        <v>76</v>
      </c>
      <c r="O2327" t="s">
        <v>77</v>
      </c>
      <c r="P2327" t="s">
        <v>76</v>
      </c>
      <c r="S2327" t="s">
        <v>5892</v>
      </c>
    </row>
    <row r="2328" spans="1:19" x14ac:dyDescent="0.3">
      <c r="A2328" t="s">
        <v>5893</v>
      </c>
      <c r="B2328" t="s">
        <v>5894</v>
      </c>
      <c r="C2328" t="s">
        <v>73</v>
      </c>
      <c r="D2328" t="s">
        <v>63</v>
      </c>
      <c r="E2328" t="s">
        <v>74</v>
      </c>
      <c r="F2328" t="s">
        <v>73</v>
      </c>
      <c r="G2328" t="s">
        <v>5893</v>
      </c>
      <c r="H2328" t="s">
        <v>317</v>
      </c>
      <c r="I2328">
        <v>0</v>
      </c>
      <c r="J2328">
        <v>0</v>
      </c>
      <c r="K2328">
        <v>0</v>
      </c>
      <c r="L2328">
        <v>0</v>
      </c>
      <c r="M2328" t="s">
        <v>76</v>
      </c>
      <c r="N2328" t="s">
        <v>76</v>
      </c>
      <c r="O2328" t="s">
        <v>77</v>
      </c>
      <c r="P2328" t="s">
        <v>76</v>
      </c>
      <c r="S2328" t="s">
        <v>5894</v>
      </c>
    </row>
    <row r="2329" spans="1:19" x14ac:dyDescent="0.3">
      <c r="A2329" t="s">
        <v>5895</v>
      </c>
      <c r="B2329" t="s">
        <v>5896</v>
      </c>
      <c r="C2329" t="s">
        <v>73</v>
      </c>
      <c r="E2329" t="s">
        <v>128</v>
      </c>
      <c r="F2329" t="s">
        <v>73</v>
      </c>
      <c r="G2329" t="s">
        <v>5581</v>
      </c>
      <c r="H2329" t="s">
        <v>317</v>
      </c>
      <c r="I2329">
        <v>0</v>
      </c>
      <c r="J2329">
        <v>0</v>
      </c>
      <c r="K2329">
        <v>0</v>
      </c>
      <c r="L2329">
        <v>0</v>
      </c>
      <c r="M2329" t="s">
        <v>76</v>
      </c>
      <c r="N2329" t="s">
        <v>76</v>
      </c>
      <c r="O2329" t="s">
        <v>77</v>
      </c>
      <c r="P2329" t="s">
        <v>76</v>
      </c>
      <c r="Q2329" t="s">
        <v>5897</v>
      </c>
      <c r="R2329" t="s">
        <v>548</v>
      </c>
      <c r="S2329" t="s">
        <v>5896</v>
      </c>
    </row>
    <row r="2330" spans="1:19" x14ac:dyDescent="0.3">
      <c r="A2330" t="s">
        <v>5898</v>
      </c>
      <c r="B2330" t="s">
        <v>5899</v>
      </c>
      <c r="C2330" t="s">
        <v>73</v>
      </c>
      <c r="D2330" t="s">
        <v>63</v>
      </c>
      <c r="E2330" t="s">
        <v>74</v>
      </c>
      <c r="F2330" t="s">
        <v>73</v>
      </c>
      <c r="G2330" t="s">
        <v>5898</v>
      </c>
      <c r="H2330" t="s">
        <v>317</v>
      </c>
      <c r="I2330">
        <v>0</v>
      </c>
      <c r="J2330">
        <v>0</v>
      </c>
      <c r="K2330">
        <v>0</v>
      </c>
      <c r="L2330">
        <v>0</v>
      </c>
      <c r="M2330" t="s">
        <v>76</v>
      </c>
      <c r="N2330" t="s">
        <v>76</v>
      </c>
      <c r="O2330" t="s">
        <v>77</v>
      </c>
      <c r="P2330" t="s">
        <v>76</v>
      </c>
      <c r="S2330" t="s">
        <v>5899</v>
      </c>
    </row>
    <row r="2331" spans="1:19" x14ac:dyDescent="0.3">
      <c r="A2331" t="s">
        <v>5900</v>
      </c>
      <c r="B2331" t="s">
        <v>5901</v>
      </c>
      <c r="C2331" t="s">
        <v>45</v>
      </c>
      <c r="D2331" t="s">
        <v>63</v>
      </c>
      <c r="E2331" t="s">
        <v>323</v>
      </c>
      <c r="F2331" t="s">
        <v>45</v>
      </c>
      <c r="G2331" t="s">
        <v>5900</v>
      </c>
      <c r="H2331" t="s">
        <v>26</v>
      </c>
      <c r="I2331">
        <v>0</v>
      </c>
      <c r="J2331">
        <v>0</v>
      </c>
      <c r="K2331">
        <v>0</v>
      </c>
      <c r="L2331">
        <v>0</v>
      </c>
      <c r="M2331" t="s">
        <v>76</v>
      </c>
      <c r="N2331" t="s">
        <v>76</v>
      </c>
      <c r="O2331" t="s">
        <v>77</v>
      </c>
      <c r="P2331" t="s">
        <v>76</v>
      </c>
      <c r="S2331" t="s">
        <v>5901</v>
      </c>
    </row>
    <row r="2332" spans="1:19" x14ac:dyDescent="0.3">
      <c r="A2332" t="s">
        <v>2739</v>
      </c>
      <c r="B2332" t="s">
        <v>5902</v>
      </c>
      <c r="C2332" t="s">
        <v>45</v>
      </c>
      <c r="D2332" t="s">
        <v>63</v>
      </c>
      <c r="E2332" t="s">
        <v>345</v>
      </c>
      <c r="F2332" t="s">
        <v>45</v>
      </c>
      <c r="G2332" t="s">
        <v>2739</v>
      </c>
      <c r="H2332" t="s">
        <v>26</v>
      </c>
      <c r="I2332">
        <v>0</v>
      </c>
      <c r="J2332">
        <v>0</v>
      </c>
      <c r="K2332">
        <v>0</v>
      </c>
      <c r="L2332">
        <v>0</v>
      </c>
      <c r="M2332" t="s">
        <v>76</v>
      </c>
      <c r="N2332" t="s">
        <v>76</v>
      </c>
      <c r="O2332" t="s">
        <v>77</v>
      </c>
      <c r="P2332" t="s">
        <v>76</v>
      </c>
      <c r="S2332" t="s">
        <v>5902</v>
      </c>
    </row>
    <row r="2333" spans="1:19" x14ac:dyDescent="0.3">
      <c r="A2333" t="s">
        <v>5903</v>
      </c>
      <c r="B2333" t="s">
        <v>5904</v>
      </c>
      <c r="C2333" t="s">
        <v>45</v>
      </c>
      <c r="D2333" t="s">
        <v>63</v>
      </c>
      <c r="E2333" t="s">
        <v>74</v>
      </c>
      <c r="F2333" t="s">
        <v>144</v>
      </c>
      <c r="G2333" t="s">
        <v>5903</v>
      </c>
      <c r="H2333" t="s">
        <v>213</v>
      </c>
      <c r="I2333">
        <v>0</v>
      </c>
      <c r="J2333">
        <v>0</v>
      </c>
      <c r="K2333">
        <v>0</v>
      </c>
      <c r="L2333">
        <v>0</v>
      </c>
      <c r="M2333" t="s">
        <v>76</v>
      </c>
      <c r="N2333" t="s">
        <v>76</v>
      </c>
      <c r="O2333" t="s">
        <v>77</v>
      </c>
      <c r="P2333" t="s">
        <v>76</v>
      </c>
      <c r="S2333" t="s">
        <v>5904</v>
      </c>
    </row>
    <row r="2334" spans="1:19" x14ac:dyDescent="0.3">
      <c r="A2334" t="s">
        <v>5905</v>
      </c>
      <c r="B2334" t="s">
        <v>5906</v>
      </c>
      <c r="C2334" t="s">
        <v>21</v>
      </c>
      <c r="D2334" t="s">
        <v>63</v>
      </c>
      <c r="E2334" t="s">
        <v>1132</v>
      </c>
      <c r="F2334" t="s">
        <v>24</v>
      </c>
      <c r="G2334" t="s">
        <v>21</v>
      </c>
      <c r="H2334" t="s">
        <v>26</v>
      </c>
      <c r="I2334">
        <v>0</v>
      </c>
      <c r="J2334">
        <v>0</v>
      </c>
      <c r="K2334">
        <v>0</v>
      </c>
      <c r="L2334">
        <v>0</v>
      </c>
      <c r="M2334" t="s">
        <v>76</v>
      </c>
      <c r="N2334" t="s">
        <v>76</v>
      </c>
      <c r="O2334" t="s">
        <v>77</v>
      </c>
      <c r="P2334" t="s">
        <v>76</v>
      </c>
      <c r="S2334" t="s">
        <v>5906</v>
      </c>
    </row>
    <row r="2335" spans="1:19" x14ac:dyDescent="0.3">
      <c r="A2335" t="s">
        <v>5907</v>
      </c>
      <c r="B2335" t="s">
        <v>5908</v>
      </c>
      <c r="C2335" t="s">
        <v>45</v>
      </c>
      <c r="D2335" t="s">
        <v>63</v>
      </c>
      <c r="E2335" t="s">
        <v>74</v>
      </c>
      <c r="F2335" t="s">
        <v>45</v>
      </c>
      <c r="G2335" t="s">
        <v>2706</v>
      </c>
      <c r="H2335" t="s">
        <v>26</v>
      </c>
      <c r="I2335">
        <v>0</v>
      </c>
      <c r="J2335">
        <v>0</v>
      </c>
      <c r="K2335">
        <v>0</v>
      </c>
      <c r="L2335">
        <v>0</v>
      </c>
      <c r="M2335" t="s">
        <v>76</v>
      </c>
      <c r="N2335" t="s">
        <v>76</v>
      </c>
      <c r="O2335" t="s">
        <v>77</v>
      </c>
      <c r="P2335" t="s">
        <v>76</v>
      </c>
      <c r="S2335" t="s">
        <v>5908</v>
      </c>
    </row>
    <row r="2336" spans="1:19" x14ac:dyDescent="0.3">
      <c r="A2336" t="s">
        <v>5909</v>
      </c>
      <c r="B2336" t="s">
        <v>5910</v>
      </c>
      <c r="C2336" t="s">
        <v>24</v>
      </c>
      <c r="D2336" t="s">
        <v>63</v>
      </c>
      <c r="E2336" t="s">
        <v>1751</v>
      </c>
      <c r="F2336" t="s">
        <v>24</v>
      </c>
      <c r="G2336" t="s">
        <v>5911</v>
      </c>
      <c r="H2336" t="s">
        <v>26</v>
      </c>
      <c r="I2336">
        <v>0</v>
      </c>
      <c r="J2336">
        <v>0</v>
      </c>
      <c r="K2336">
        <v>0</v>
      </c>
      <c r="L2336">
        <v>0</v>
      </c>
      <c r="M2336" t="s">
        <v>76</v>
      </c>
      <c r="N2336" t="s">
        <v>76</v>
      </c>
      <c r="O2336" t="s">
        <v>77</v>
      </c>
      <c r="P2336" t="s">
        <v>76</v>
      </c>
      <c r="S2336" t="s">
        <v>5910</v>
      </c>
    </row>
    <row r="2337" spans="1:19" x14ac:dyDescent="0.3">
      <c r="A2337" t="s">
        <v>5912</v>
      </c>
      <c r="B2337" t="s">
        <v>5913</v>
      </c>
      <c r="C2337" t="s">
        <v>45</v>
      </c>
      <c r="D2337" t="s">
        <v>63</v>
      </c>
      <c r="E2337" t="s">
        <v>2033</v>
      </c>
      <c r="F2337" t="s">
        <v>45</v>
      </c>
      <c r="G2337" t="s">
        <v>5914</v>
      </c>
      <c r="H2337" t="s">
        <v>26</v>
      </c>
      <c r="I2337">
        <v>0</v>
      </c>
      <c r="J2337">
        <v>0</v>
      </c>
      <c r="K2337">
        <v>0</v>
      </c>
      <c r="L2337">
        <v>0</v>
      </c>
      <c r="M2337" t="s">
        <v>76</v>
      </c>
      <c r="N2337" t="s">
        <v>76</v>
      </c>
      <c r="O2337" t="s">
        <v>77</v>
      </c>
      <c r="P2337" t="s">
        <v>76</v>
      </c>
      <c r="S2337" t="s">
        <v>5913</v>
      </c>
    </row>
    <row r="2338" spans="1:19" x14ac:dyDescent="0.3">
      <c r="A2338" t="s">
        <v>5915</v>
      </c>
      <c r="B2338" t="s">
        <v>5916</v>
      </c>
      <c r="C2338" t="s">
        <v>21</v>
      </c>
      <c r="D2338" t="s">
        <v>35</v>
      </c>
      <c r="E2338" t="s">
        <v>36</v>
      </c>
      <c r="F2338" t="s">
        <v>24</v>
      </c>
      <c r="G2338" t="s">
        <v>21</v>
      </c>
      <c r="H2338" t="s">
        <v>26</v>
      </c>
      <c r="I2338">
        <v>0</v>
      </c>
      <c r="J2338">
        <v>0</v>
      </c>
      <c r="K2338">
        <v>0</v>
      </c>
      <c r="L2338">
        <v>0</v>
      </c>
      <c r="M2338" t="s">
        <v>76</v>
      </c>
      <c r="N2338" t="s">
        <v>76</v>
      </c>
      <c r="O2338" t="s">
        <v>77</v>
      </c>
      <c r="P2338" t="s">
        <v>76</v>
      </c>
      <c r="S2338" t="s">
        <v>5916</v>
      </c>
    </row>
    <row r="2339" spans="1:19" x14ac:dyDescent="0.3">
      <c r="A2339" t="s">
        <v>5917</v>
      </c>
      <c r="B2339" t="s">
        <v>5918</v>
      </c>
      <c r="C2339" t="s">
        <v>24</v>
      </c>
      <c r="D2339" t="s">
        <v>63</v>
      </c>
      <c r="E2339" t="s">
        <v>74</v>
      </c>
      <c r="F2339" t="s">
        <v>144</v>
      </c>
      <c r="G2339" t="s">
        <v>5919</v>
      </c>
      <c r="H2339" t="s">
        <v>26</v>
      </c>
      <c r="I2339">
        <v>0</v>
      </c>
      <c r="J2339">
        <v>0</v>
      </c>
      <c r="K2339">
        <v>0</v>
      </c>
      <c r="L2339">
        <v>0</v>
      </c>
      <c r="M2339" t="s">
        <v>76</v>
      </c>
      <c r="N2339" t="s">
        <v>76</v>
      </c>
      <c r="O2339" t="s">
        <v>77</v>
      </c>
      <c r="P2339" t="s">
        <v>76</v>
      </c>
      <c r="S2339" t="s">
        <v>5918</v>
      </c>
    </row>
    <row r="2340" spans="1:19" x14ac:dyDescent="0.3">
      <c r="A2340" t="s">
        <v>5920</v>
      </c>
      <c r="B2340" t="s">
        <v>5921</v>
      </c>
      <c r="C2340" t="s">
        <v>21</v>
      </c>
      <c r="D2340" t="s">
        <v>35</v>
      </c>
      <c r="E2340" t="s">
        <v>36</v>
      </c>
      <c r="F2340" t="s">
        <v>24</v>
      </c>
      <c r="G2340" t="s">
        <v>21</v>
      </c>
      <c r="H2340" t="s">
        <v>26</v>
      </c>
      <c r="I2340">
        <v>0</v>
      </c>
      <c r="J2340">
        <v>0</v>
      </c>
      <c r="K2340">
        <v>0</v>
      </c>
      <c r="L2340">
        <v>0</v>
      </c>
      <c r="M2340" t="s">
        <v>76</v>
      </c>
      <c r="N2340" t="s">
        <v>76</v>
      </c>
      <c r="O2340" t="s">
        <v>77</v>
      </c>
      <c r="P2340" t="s">
        <v>76</v>
      </c>
      <c r="S2340" t="s">
        <v>5921</v>
      </c>
    </row>
    <row r="2341" spans="1:19" x14ac:dyDescent="0.3">
      <c r="A2341" t="s">
        <v>4567</v>
      </c>
      <c r="B2341" t="s">
        <v>5922</v>
      </c>
      <c r="C2341" t="s">
        <v>24</v>
      </c>
      <c r="D2341" t="s">
        <v>35</v>
      </c>
      <c r="E2341" t="s">
        <v>400</v>
      </c>
      <c r="F2341" t="s">
        <v>55</v>
      </c>
      <c r="G2341" t="s">
        <v>4567</v>
      </c>
      <c r="H2341" t="s">
        <v>213</v>
      </c>
      <c r="I2341">
        <v>0</v>
      </c>
      <c r="J2341">
        <v>0</v>
      </c>
      <c r="K2341">
        <v>0</v>
      </c>
      <c r="L2341">
        <v>0</v>
      </c>
      <c r="M2341" t="s">
        <v>76</v>
      </c>
      <c r="N2341" t="s">
        <v>76</v>
      </c>
      <c r="O2341" t="s">
        <v>77</v>
      </c>
      <c r="P2341" t="s">
        <v>76</v>
      </c>
      <c r="S2341" t="s">
        <v>5922</v>
      </c>
    </row>
    <row r="2342" spans="1:19" x14ac:dyDescent="0.3">
      <c r="A2342" t="s">
        <v>5923</v>
      </c>
      <c r="B2342" t="s">
        <v>5924</v>
      </c>
      <c r="C2342" t="s">
        <v>45</v>
      </c>
      <c r="D2342" t="s">
        <v>63</v>
      </c>
      <c r="E2342" t="s">
        <v>74</v>
      </c>
      <c r="F2342" t="s">
        <v>144</v>
      </c>
      <c r="G2342" t="s">
        <v>5925</v>
      </c>
      <c r="H2342" t="s">
        <v>26</v>
      </c>
      <c r="I2342">
        <v>0</v>
      </c>
      <c r="J2342">
        <v>0</v>
      </c>
      <c r="K2342">
        <v>0</v>
      </c>
      <c r="L2342">
        <v>0</v>
      </c>
      <c r="M2342" t="s">
        <v>287</v>
      </c>
      <c r="N2342" t="s">
        <v>287</v>
      </c>
      <c r="O2342" t="s">
        <v>288</v>
      </c>
      <c r="P2342" t="s">
        <v>30</v>
      </c>
      <c r="Q2342" t="s">
        <v>5926</v>
      </c>
      <c r="R2342" t="s">
        <v>5927</v>
      </c>
      <c r="S2342" t="s">
        <v>5924</v>
      </c>
    </row>
    <row r="2343" spans="1:19" x14ac:dyDescent="0.3">
      <c r="A2343" t="s">
        <v>5928</v>
      </c>
      <c r="B2343" t="s">
        <v>335</v>
      </c>
      <c r="C2343" t="s">
        <v>228</v>
      </c>
      <c r="D2343" t="s">
        <v>35</v>
      </c>
      <c r="E2343" t="s">
        <v>400</v>
      </c>
      <c r="F2343" t="s">
        <v>228</v>
      </c>
      <c r="G2343" t="s">
        <v>5928</v>
      </c>
      <c r="H2343" t="s">
        <v>317</v>
      </c>
      <c r="I2343">
        <v>0</v>
      </c>
      <c r="J2343">
        <v>0</v>
      </c>
      <c r="K2343">
        <v>0</v>
      </c>
      <c r="L2343">
        <v>0</v>
      </c>
      <c r="M2343" t="s">
        <v>57</v>
      </c>
      <c r="N2343" t="s">
        <v>28</v>
      </c>
      <c r="O2343" t="s">
        <v>58</v>
      </c>
      <c r="P2343" t="s">
        <v>30</v>
      </c>
      <c r="Q2343" t="s">
        <v>5929</v>
      </c>
      <c r="R2343" t="s">
        <v>5930</v>
      </c>
      <c r="S2343" t="s">
        <v>335</v>
      </c>
    </row>
    <row r="2344" spans="1:19" x14ac:dyDescent="0.3">
      <c r="A2344" t="s">
        <v>5931</v>
      </c>
      <c r="B2344" t="s">
        <v>5932</v>
      </c>
      <c r="C2344" t="s">
        <v>73</v>
      </c>
      <c r="D2344" t="s">
        <v>2796</v>
      </c>
      <c r="E2344" t="s">
        <v>5933</v>
      </c>
      <c r="F2344" t="s">
        <v>73</v>
      </c>
      <c r="G2344" t="s">
        <v>5931</v>
      </c>
      <c r="H2344" t="s">
        <v>317</v>
      </c>
      <c r="I2344">
        <v>0</v>
      </c>
      <c r="J2344">
        <v>0</v>
      </c>
      <c r="K2344">
        <v>0</v>
      </c>
      <c r="L2344">
        <v>0</v>
      </c>
      <c r="M2344" t="s">
        <v>76</v>
      </c>
      <c r="N2344" t="s">
        <v>76</v>
      </c>
      <c r="O2344" t="s">
        <v>77</v>
      </c>
      <c r="P2344" t="s">
        <v>76</v>
      </c>
      <c r="S2344" t="s">
        <v>5932</v>
      </c>
    </row>
    <row r="2345" spans="1:19" x14ac:dyDescent="0.3">
      <c r="A2345" t="s">
        <v>5934</v>
      </c>
      <c r="B2345" t="s">
        <v>5935</v>
      </c>
      <c r="C2345" t="s">
        <v>73</v>
      </c>
      <c r="D2345" t="s">
        <v>63</v>
      </c>
      <c r="E2345" t="s">
        <v>74</v>
      </c>
      <c r="F2345" t="s">
        <v>73</v>
      </c>
      <c r="G2345" t="s">
        <v>876</v>
      </c>
      <c r="H2345" t="s">
        <v>75</v>
      </c>
      <c r="I2345">
        <v>0</v>
      </c>
      <c r="J2345">
        <v>0</v>
      </c>
      <c r="K2345">
        <v>0</v>
      </c>
      <c r="L2345">
        <v>0</v>
      </c>
      <c r="M2345" t="s">
        <v>57</v>
      </c>
      <c r="N2345" t="s">
        <v>28</v>
      </c>
      <c r="O2345" t="s">
        <v>58</v>
      </c>
      <c r="P2345" t="s">
        <v>30</v>
      </c>
      <c r="Q2345" t="s">
        <v>899</v>
      </c>
      <c r="R2345" t="s">
        <v>900</v>
      </c>
      <c r="S2345" t="s">
        <v>901</v>
      </c>
    </row>
    <row r="2346" spans="1:19" x14ac:dyDescent="0.3">
      <c r="A2346" t="s">
        <v>5936</v>
      </c>
      <c r="B2346" t="s">
        <v>5937</v>
      </c>
      <c r="C2346" t="s">
        <v>73</v>
      </c>
      <c r="D2346" t="s">
        <v>63</v>
      </c>
      <c r="E2346" t="s">
        <v>74</v>
      </c>
      <c r="F2346" t="s">
        <v>73</v>
      </c>
      <c r="G2346" t="s">
        <v>5936</v>
      </c>
      <c r="H2346" t="s">
        <v>317</v>
      </c>
      <c r="I2346">
        <v>0</v>
      </c>
      <c r="J2346">
        <v>0</v>
      </c>
      <c r="K2346">
        <v>0</v>
      </c>
      <c r="L2346">
        <v>0</v>
      </c>
      <c r="M2346" t="s">
        <v>76</v>
      </c>
      <c r="N2346" t="s">
        <v>76</v>
      </c>
      <c r="O2346" t="s">
        <v>77</v>
      </c>
      <c r="P2346" t="s">
        <v>76</v>
      </c>
      <c r="S2346" t="s">
        <v>5937</v>
      </c>
    </row>
    <row r="2347" spans="1:19" x14ac:dyDescent="0.3">
      <c r="A2347" t="s">
        <v>5938</v>
      </c>
      <c r="B2347" t="s">
        <v>5939</v>
      </c>
      <c r="C2347" t="s">
        <v>73</v>
      </c>
      <c r="D2347" t="s">
        <v>63</v>
      </c>
      <c r="E2347" t="s">
        <v>74</v>
      </c>
      <c r="F2347" t="s">
        <v>73</v>
      </c>
      <c r="G2347" t="s">
        <v>5938</v>
      </c>
      <c r="H2347" t="s">
        <v>317</v>
      </c>
      <c r="I2347">
        <v>0</v>
      </c>
      <c r="J2347">
        <v>0</v>
      </c>
      <c r="K2347">
        <v>0</v>
      </c>
      <c r="L2347">
        <v>0</v>
      </c>
      <c r="M2347" t="s">
        <v>76</v>
      </c>
      <c r="N2347" t="s">
        <v>76</v>
      </c>
      <c r="O2347" t="s">
        <v>77</v>
      </c>
      <c r="P2347" t="s">
        <v>76</v>
      </c>
      <c r="S2347" t="s">
        <v>5939</v>
      </c>
    </row>
    <row r="2348" spans="1:19" x14ac:dyDescent="0.3">
      <c r="A2348" t="s">
        <v>5810</v>
      </c>
      <c r="B2348" t="s">
        <v>5940</v>
      </c>
      <c r="C2348" t="s">
        <v>73</v>
      </c>
      <c r="D2348" t="s">
        <v>63</v>
      </c>
      <c r="E2348" t="s">
        <v>74</v>
      </c>
      <c r="F2348" t="s">
        <v>73</v>
      </c>
      <c r="G2348" t="s">
        <v>5810</v>
      </c>
      <c r="H2348" t="s">
        <v>317</v>
      </c>
      <c r="I2348">
        <v>0</v>
      </c>
      <c r="J2348">
        <v>0</v>
      </c>
      <c r="K2348">
        <v>0</v>
      </c>
      <c r="L2348">
        <v>0</v>
      </c>
      <c r="M2348" t="s">
        <v>63</v>
      </c>
      <c r="N2348" t="s">
        <v>28</v>
      </c>
      <c r="O2348" t="s">
        <v>86</v>
      </c>
      <c r="P2348" t="s">
        <v>30</v>
      </c>
      <c r="Q2348" t="s">
        <v>5941</v>
      </c>
      <c r="R2348" t="s">
        <v>5942</v>
      </c>
      <c r="S2348" t="s">
        <v>5940</v>
      </c>
    </row>
    <row r="2349" spans="1:19" x14ac:dyDescent="0.3">
      <c r="A2349" t="s">
        <v>5302</v>
      </c>
      <c r="B2349" t="s">
        <v>5943</v>
      </c>
      <c r="C2349" t="s">
        <v>73</v>
      </c>
      <c r="D2349" t="s">
        <v>63</v>
      </c>
      <c r="E2349" t="s">
        <v>74</v>
      </c>
      <c r="F2349" t="s">
        <v>73</v>
      </c>
      <c r="G2349" t="s">
        <v>5302</v>
      </c>
      <c r="H2349" t="s">
        <v>317</v>
      </c>
      <c r="I2349">
        <v>0</v>
      </c>
      <c r="J2349">
        <v>0</v>
      </c>
      <c r="K2349">
        <v>0</v>
      </c>
      <c r="L2349">
        <v>0</v>
      </c>
      <c r="M2349" t="s">
        <v>76</v>
      </c>
      <c r="N2349" t="s">
        <v>76</v>
      </c>
      <c r="O2349" t="s">
        <v>77</v>
      </c>
      <c r="P2349" t="s">
        <v>76</v>
      </c>
      <c r="S2349" t="s">
        <v>5943</v>
      </c>
    </row>
    <row r="2350" spans="1:19" x14ac:dyDescent="0.3">
      <c r="A2350" t="s">
        <v>5944</v>
      </c>
      <c r="B2350" t="s">
        <v>5945</v>
      </c>
      <c r="C2350" t="s">
        <v>243</v>
      </c>
      <c r="D2350" t="s">
        <v>63</v>
      </c>
      <c r="E2350" t="s">
        <v>74</v>
      </c>
      <c r="F2350" t="s">
        <v>73</v>
      </c>
      <c r="G2350" t="s">
        <v>5946</v>
      </c>
      <c r="H2350" t="s">
        <v>317</v>
      </c>
      <c r="I2350">
        <v>0</v>
      </c>
      <c r="J2350">
        <v>0</v>
      </c>
      <c r="K2350">
        <v>0</v>
      </c>
      <c r="L2350">
        <v>0</v>
      </c>
      <c r="M2350" t="s">
        <v>57</v>
      </c>
      <c r="N2350" t="s">
        <v>28</v>
      </c>
      <c r="O2350" t="s">
        <v>58</v>
      </c>
      <c r="P2350" t="s">
        <v>30</v>
      </c>
      <c r="Q2350" t="s">
        <v>899</v>
      </c>
      <c r="R2350" t="s">
        <v>900</v>
      </c>
      <c r="S2350" t="s">
        <v>901</v>
      </c>
    </row>
    <row r="2351" spans="1:19" x14ac:dyDescent="0.3">
      <c r="A2351" t="s">
        <v>5947</v>
      </c>
      <c r="B2351" t="s">
        <v>5948</v>
      </c>
      <c r="C2351" t="s">
        <v>73</v>
      </c>
      <c r="D2351" t="s">
        <v>63</v>
      </c>
      <c r="E2351" t="s">
        <v>74</v>
      </c>
      <c r="F2351" t="s">
        <v>73</v>
      </c>
      <c r="G2351" t="s">
        <v>5949</v>
      </c>
      <c r="H2351" t="s">
        <v>317</v>
      </c>
      <c r="I2351">
        <v>0</v>
      </c>
      <c r="J2351">
        <v>0</v>
      </c>
      <c r="K2351">
        <v>0</v>
      </c>
      <c r="L2351">
        <v>0</v>
      </c>
      <c r="M2351" t="s">
        <v>76</v>
      </c>
      <c r="N2351" t="s">
        <v>76</v>
      </c>
      <c r="O2351" t="s">
        <v>77</v>
      </c>
      <c r="P2351" t="s">
        <v>76</v>
      </c>
      <c r="S2351" t="s">
        <v>5948</v>
      </c>
    </row>
    <row r="2352" spans="1:19" x14ac:dyDescent="0.3">
      <c r="A2352" t="s">
        <v>5950</v>
      </c>
      <c r="B2352" t="s">
        <v>5951</v>
      </c>
      <c r="C2352" t="s">
        <v>73</v>
      </c>
      <c r="D2352" t="s">
        <v>35</v>
      </c>
      <c r="E2352" t="s">
        <v>389</v>
      </c>
      <c r="F2352" t="s">
        <v>73</v>
      </c>
      <c r="G2352" t="s">
        <v>5343</v>
      </c>
      <c r="H2352" t="s">
        <v>317</v>
      </c>
      <c r="I2352">
        <v>0</v>
      </c>
      <c r="J2352">
        <v>0</v>
      </c>
      <c r="K2352">
        <v>0</v>
      </c>
      <c r="L2352">
        <v>0</v>
      </c>
      <c r="M2352" t="s">
        <v>76</v>
      </c>
      <c r="N2352" t="s">
        <v>76</v>
      </c>
      <c r="O2352" t="s">
        <v>77</v>
      </c>
      <c r="P2352" t="s">
        <v>76</v>
      </c>
      <c r="S2352" t="s">
        <v>5951</v>
      </c>
    </row>
    <row r="2353" spans="1:19" x14ac:dyDescent="0.3">
      <c r="A2353" t="s">
        <v>5952</v>
      </c>
      <c r="B2353" t="s">
        <v>5953</v>
      </c>
      <c r="C2353" t="s">
        <v>73</v>
      </c>
      <c r="D2353" t="s">
        <v>63</v>
      </c>
      <c r="E2353" t="s">
        <v>74</v>
      </c>
      <c r="F2353" t="s">
        <v>73</v>
      </c>
      <c r="G2353" t="s">
        <v>741</v>
      </c>
      <c r="H2353" t="s">
        <v>75</v>
      </c>
      <c r="I2353">
        <v>0</v>
      </c>
      <c r="J2353">
        <v>0</v>
      </c>
      <c r="K2353">
        <v>0</v>
      </c>
      <c r="L2353">
        <v>0</v>
      </c>
      <c r="M2353" t="s">
        <v>76</v>
      </c>
      <c r="N2353" t="s">
        <v>76</v>
      </c>
      <c r="O2353" t="s">
        <v>77</v>
      </c>
      <c r="P2353" t="s">
        <v>76</v>
      </c>
      <c r="S2353" t="s">
        <v>5953</v>
      </c>
    </row>
    <row r="2354" spans="1:19" x14ac:dyDescent="0.3">
      <c r="A2354" t="s">
        <v>5954</v>
      </c>
      <c r="B2354" t="s">
        <v>5955</v>
      </c>
      <c r="C2354" t="s">
        <v>114</v>
      </c>
      <c r="D2354" t="s">
        <v>63</v>
      </c>
      <c r="E2354" t="s">
        <v>315</v>
      </c>
      <c r="F2354" t="s">
        <v>114</v>
      </c>
      <c r="G2354" t="s">
        <v>5954</v>
      </c>
      <c r="H2354" t="s">
        <v>317</v>
      </c>
      <c r="I2354">
        <v>0</v>
      </c>
      <c r="J2354">
        <v>0</v>
      </c>
      <c r="K2354">
        <v>0</v>
      </c>
      <c r="L2354">
        <v>0</v>
      </c>
      <c r="M2354" t="s">
        <v>76</v>
      </c>
      <c r="N2354" t="s">
        <v>76</v>
      </c>
      <c r="O2354" t="s">
        <v>77</v>
      </c>
      <c r="P2354" t="s">
        <v>76</v>
      </c>
      <c r="S2354" t="s">
        <v>5955</v>
      </c>
    </row>
    <row r="2355" spans="1:19" x14ac:dyDescent="0.3">
      <c r="A2355" t="s">
        <v>5956</v>
      </c>
      <c r="B2355" t="s">
        <v>5957</v>
      </c>
      <c r="C2355" t="s">
        <v>73</v>
      </c>
      <c r="D2355" t="s">
        <v>63</v>
      </c>
      <c r="E2355" t="s">
        <v>74</v>
      </c>
      <c r="F2355" t="s">
        <v>73</v>
      </c>
      <c r="G2355" t="s">
        <v>71</v>
      </c>
      <c r="H2355" t="s">
        <v>75</v>
      </c>
      <c r="I2355">
        <v>0</v>
      </c>
      <c r="J2355">
        <v>0</v>
      </c>
      <c r="K2355">
        <v>0</v>
      </c>
      <c r="L2355">
        <v>0</v>
      </c>
      <c r="M2355" t="s">
        <v>76</v>
      </c>
      <c r="N2355" t="s">
        <v>76</v>
      </c>
      <c r="O2355" t="s">
        <v>77</v>
      </c>
      <c r="P2355" t="s">
        <v>76</v>
      </c>
      <c r="S2355" t="s">
        <v>5957</v>
      </c>
    </row>
    <row r="2356" spans="1:19" x14ac:dyDescent="0.3">
      <c r="A2356" t="s">
        <v>5958</v>
      </c>
      <c r="B2356" t="s">
        <v>5959</v>
      </c>
      <c r="C2356" t="s">
        <v>114</v>
      </c>
      <c r="D2356" t="s">
        <v>63</v>
      </c>
      <c r="E2356" t="s">
        <v>74</v>
      </c>
      <c r="F2356" t="s">
        <v>114</v>
      </c>
      <c r="G2356" t="s">
        <v>5960</v>
      </c>
      <c r="H2356" t="s">
        <v>213</v>
      </c>
      <c r="I2356">
        <v>0</v>
      </c>
      <c r="J2356">
        <v>0</v>
      </c>
      <c r="K2356">
        <v>0</v>
      </c>
      <c r="L2356">
        <v>0</v>
      </c>
      <c r="S2356" t="s">
        <v>5959</v>
      </c>
    </row>
    <row r="2357" spans="1:19" x14ac:dyDescent="0.3">
      <c r="A2357" t="s">
        <v>5961</v>
      </c>
      <c r="B2357" t="s">
        <v>5962</v>
      </c>
      <c r="C2357" t="s">
        <v>243</v>
      </c>
      <c r="D2357" t="s">
        <v>63</v>
      </c>
      <c r="E2357" t="s">
        <v>74</v>
      </c>
      <c r="F2357" t="s">
        <v>243</v>
      </c>
      <c r="G2357" t="s">
        <v>244</v>
      </c>
      <c r="H2357" t="s">
        <v>75</v>
      </c>
      <c r="I2357">
        <v>0</v>
      </c>
      <c r="J2357">
        <v>0</v>
      </c>
      <c r="K2357">
        <v>0</v>
      </c>
      <c r="L2357">
        <v>0</v>
      </c>
      <c r="S2357" t="s">
        <v>5962</v>
      </c>
    </row>
    <row r="2358" spans="1:19" x14ac:dyDescent="0.3">
      <c r="A2358" t="s">
        <v>5963</v>
      </c>
      <c r="B2358" t="s">
        <v>5964</v>
      </c>
      <c r="C2358" t="s">
        <v>114</v>
      </c>
      <c r="D2358" t="s">
        <v>63</v>
      </c>
      <c r="E2358" t="s">
        <v>323</v>
      </c>
      <c r="F2358" t="s">
        <v>114</v>
      </c>
      <c r="G2358" t="s">
        <v>3837</v>
      </c>
      <c r="H2358" t="s">
        <v>213</v>
      </c>
      <c r="I2358">
        <v>0</v>
      </c>
      <c r="J2358">
        <v>0</v>
      </c>
      <c r="K2358">
        <v>0</v>
      </c>
      <c r="L2358">
        <v>0</v>
      </c>
      <c r="S2358" t="s">
        <v>5964</v>
      </c>
    </row>
    <row r="2359" spans="1:19" x14ac:dyDescent="0.3">
      <c r="A2359" t="s">
        <v>5965</v>
      </c>
      <c r="B2359" t="s">
        <v>5966</v>
      </c>
      <c r="C2359" t="s">
        <v>251</v>
      </c>
      <c r="D2359" t="s">
        <v>63</v>
      </c>
      <c r="E2359" t="s">
        <v>323</v>
      </c>
      <c r="F2359" t="s">
        <v>251</v>
      </c>
      <c r="G2359" t="s">
        <v>5965</v>
      </c>
      <c r="H2359" t="s">
        <v>317</v>
      </c>
      <c r="I2359">
        <v>0</v>
      </c>
      <c r="J2359">
        <v>0</v>
      </c>
      <c r="K2359">
        <v>0</v>
      </c>
      <c r="L2359">
        <v>0</v>
      </c>
      <c r="S2359" t="s">
        <v>5966</v>
      </c>
    </row>
    <row r="2360" spans="1:19" x14ac:dyDescent="0.3">
      <c r="A2360" t="s">
        <v>5967</v>
      </c>
      <c r="B2360" t="s">
        <v>5968</v>
      </c>
      <c r="C2360" t="s">
        <v>251</v>
      </c>
      <c r="D2360" t="s">
        <v>63</v>
      </c>
      <c r="E2360" t="s">
        <v>315</v>
      </c>
      <c r="F2360" t="s">
        <v>251</v>
      </c>
      <c r="G2360" t="s">
        <v>5967</v>
      </c>
      <c r="H2360" t="s">
        <v>317</v>
      </c>
      <c r="I2360">
        <v>0</v>
      </c>
      <c r="J2360">
        <v>0</v>
      </c>
      <c r="K2360">
        <v>0</v>
      </c>
      <c r="L2360">
        <v>0</v>
      </c>
      <c r="S2360" t="s">
        <v>5968</v>
      </c>
    </row>
    <row r="2361" spans="1:19" x14ac:dyDescent="0.3">
      <c r="A2361" t="s">
        <v>5969</v>
      </c>
      <c r="B2361" t="s">
        <v>5970</v>
      </c>
      <c r="C2361" t="s">
        <v>251</v>
      </c>
      <c r="D2361" t="s">
        <v>63</v>
      </c>
      <c r="E2361" t="s">
        <v>323</v>
      </c>
      <c r="F2361" t="s">
        <v>251</v>
      </c>
      <c r="G2361" t="s">
        <v>5971</v>
      </c>
      <c r="H2361" t="s">
        <v>75</v>
      </c>
      <c r="I2361">
        <v>0</v>
      </c>
      <c r="J2361">
        <v>0</v>
      </c>
      <c r="K2361">
        <v>0</v>
      </c>
      <c r="L2361">
        <v>0</v>
      </c>
      <c r="S2361" t="s">
        <v>5970</v>
      </c>
    </row>
    <row r="2362" spans="1:19" x14ac:dyDescent="0.3">
      <c r="A2362" t="s">
        <v>5972</v>
      </c>
      <c r="B2362" t="s">
        <v>5973</v>
      </c>
      <c r="C2362" t="s">
        <v>251</v>
      </c>
      <c r="D2362" t="s">
        <v>63</v>
      </c>
      <c r="E2362" t="s">
        <v>74</v>
      </c>
      <c r="F2362" t="s">
        <v>251</v>
      </c>
      <c r="G2362" t="s">
        <v>5972</v>
      </c>
      <c r="H2362" t="s">
        <v>317</v>
      </c>
      <c r="I2362">
        <v>0</v>
      </c>
      <c r="J2362">
        <v>0</v>
      </c>
      <c r="K2362">
        <v>0</v>
      </c>
      <c r="L2362">
        <v>0</v>
      </c>
      <c r="S2362" t="s">
        <v>5973</v>
      </c>
    </row>
    <row r="2363" spans="1:19" x14ac:dyDescent="0.3">
      <c r="A2363" t="s">
        <v>5974</v>
      </c>
      <c r="B2363" t="s">
        <v>5975</v>
      </c>
      <c r="C2363" t="s">
        <v>73</v>
      </c>
      <c r="D2363" t="s">
        <v>53</v>
      </c>
      <c r="E2363" t="s">
        <v>2422</v>
      </c>
      <c r="F2363" t="s">
        <v>73</v>
      </c>
      <c r="G2363" t="s">
        <v>1192</v>
      </c>
      <c r="H2363" t="s">
        <v>317</v>
      </c>
      <c r="I2363">
        <v>0</v>
      </c>
      <c r="J2363">
        <v>0</v>
      </c>
      <c r="K2363">
        <v>0</v>
      </c>
      <c r="L2363">
        <v>0</v>
      </c>
      <c r="M2363" t="s">
        <v>57</v>
      </c>
      <c r="N2363" t="s">
        <v>28</v>
      </c>
      <c r="O2363" t="s">
        <v>58</v>
      </c>
      <c r="P2363" t="s">
        <v>30</v>
      </c>
      <c r="Q2363" t="s">
        <v>899</v>
      </c>
      <c r="R2363" t="s">
        <v>900</v>
      </c>
      <c r="S2363" t="s">
        <v>901</v>
      </c>
    </row>
    <row r="2364" spans="1:19" x14ac:dyDescent="0.3">
      <c r="A2364" t="s">
        <v>5976</v>
      </c>
      <c r="B2364" t="s">
        <v>5977</v>
      </c>
      <c r="C2364" t="s">
        <v>251</v>
      </c>
      <c r="D2364" t="s">
        <v>35</v>
      </c>
      <c r="E2364" t="s">
        <v>389</v>
      </c>
      <c r="F2364" t="s">
        <v>251</v>
      </c>
      <c r="G2364" t="s">
        <v>5976</v>
      </c>
      <c r="H2364" t="s">
        <v>317</v>
      </c>
      <c r="I2364">
        <v>0</v>
      </c>
      <c r="J2364">
        <v>0</v>
      </c>
      <c r="K2364">
        <v>0</v>
      </c>
      <c r="L2364">
        <v>0</v>
      </c>
      <c r="S2364" t="s">
        <v>5977</v>
      </c>
    </row>
    <row r="2365" spans="1:19" x14ac:dyDescent="0.3">
      <c r="A2365" t="s">
        <v>5978</v>
      </c>
      <c r="B2365" t="s">
        <v>5979</v>
      </c>
      <c r="C2365" t="s">
        <v>251</v>
      </c>
      <c r="D2365" t="s">
        <v>63</v>
      </c>
      <c r="E2365" t="s">
        <v>1751</v>
      </c>
      <c r="F2365" t="s">
        <v>251</v>
      </c>
      <c r="G2365" t="s">
        <v>5980</v>
      </c>
      <c r="H2365" t="s">
        <v>317</v>
      </c>
      <c r="I2365">
        <v>0</v>
      </c>
      <c r="J2365">
        <v>0</v>
      </c>
      <c r="K2365">
        <v>0</v>
      </c>
      <c r="L2365">
        <v>0</v>
      </c>
      <c r="S2365" t="s">
        <v>5979</v>
      </c>
    </row>
    <row r="2366" spans="1:19" x14ac:dyDescent="0.3">
      <c r="A2366" t="s">
        <v>5981</v>
      </c>
      <c r="B2366" t="s">
        <v>5982</v>
      </c>
      <c r="C2366" t="s">
        <v>114</v>
      </c>
      <c r="D2366" t="s">
        <v>63</v>
      </c>
      <c r="E2366" t="s">
        <v>331</v>
      </c>
      <c r="F2366" t="s">
        <v>114</v>
      </c>
      <c r="G2366" t="s">
        <v>5983</v>
      </c>
      <c r="H2366" t="s">
        <v>317</v>
      </c>
      <c r="I2366">
        <v>0</v>
      </c>
      <c r="J2366">
        <v>0</v>
      </c>
      <c r="K2366">
        <v>0</v>
      </c>
      <c r="L2366">
        <v>0</v>
      </c>
      <c r="Q2366" t="s">
        <v>5984</v>
      </c>
      <c r="R2366" t="s">
        <v>5985</v>
      </c>
      <c r="S2366" t="s">
        <v>5982</v>
      </c>
    </row>
    <row r="2367" spans="1:19" x14ac:dyDescent="0.3">
      <c r="A2367" t="s">
        <v>5986</v>
      </c>
      <c r="B2367" t="s">
        <v>5987</v>
      </c>
      <c r="C2367" t="s">
        <v>243</v>
      </c>
      <c r="D2367" t="s">
        <v>35</v>
      </c>
      <c r="E2367" t="s">
        <v>128</v>
      </c>
      <c r="F2367" t="s">
        <v>243</v>
      </c>
      <c r="G2367" t="s">
        <v>5986</v>
      </c>
      <c r="H2367" t="s">
        <v>75</v>
      </c>
      <c r="I2367">
        <v>0</v>
      </c>
      <c r="J2367">
        <v>0</v>
      </c>
      <c r="K2367">
        <v>0</v>
      </c>
      <c r="L2367">
        <v>0</v>
      </c>
      <c r="S2367" t="s">
        <v>5987</v>
      </c>
    </row>
    <row r="2368" spans="1:19" x14ac:dyDescent="0.3">
      <c r="A2368" t="s">
        <v>5988</v>
      </c>
      <c r="B2368" t="s">
        <v>5989</v>
      </c>
      <c r="C2368" t="s">
        <v>114</v>
      </c>
      <c r="D2368" t="s">
        <v>63</v>
      </c>
      <c r="E2368" t="s">
        <v>74</v>
      </c>
      <c r="F2368" t="s">
        <v>114</v>
      </c>
      <c r="G2368" t="s">
        <v>2017</v>
      </c>
      <c r="H2368" t="s">
        <v>317</v>
      </c>
      <c r="I2368">
        <v>0</v>
      </c>
      <c r="J2368">
        <v>0</v>
      </c>
      <c r="K2368">
        <v>0</v>
      </c>
      <c r="L2368">
        <v>0</v>
      </c>
      <c r="S2368" t="s">
        <v>5989</v>
      </c>
    </row>
    <row r="2369" spans="1:19" x14ac:dyDescent="0.3">
      <c r="A2369" t="s">
        <v>5990</v>
      </c>
      <c r="B2369" t="s">
        <v>5991</v>
      </c>
      <c r="C2369" t="s">
        <v>251</v>
      </c>
      <c r="D2369" t="s">
        <v>63</v>
      </c>
      <c r="E2369" t="s">
        <v>323</v>
      </c>
      <c r="F2369" t="s">
        <v>251</v>
      </c>
      <c r="G2369" t="s">
        <v>5990</v>
      </c>
      <c r="H2369" t="s">
        <v>317</v>
      </c>
      <c r="I2369">
        <v>0</v>
      </c>
      <c r="J2369">
        <v>0</v>
      </c>
      <c r="K2369">
        <v>0</v>
      </c>
      <c r="L2369">
        <v>0</v>
      </c>
      <c r="S2369" t="s">
        <v>5991</v>
      </c>
    </row>
    <row r="2370" spans="1:19" x14ac:dyDescent="0.3">
      <c r="A2370" t="s">
        <v>5992</v>
      </c>
      <c r="B2370" t="s">
        <v>5993</v>
      </c>
      <c r="C2370" t="s">
        <v>251</v>
      </c>
      <c r="D2370" t="s">
        <v>63</v>
      </c>
      <c r="E2370" t="s">
        <v>323</v>
      </c>
      <c r="F2370" t="s">
        <v>251</v>
      </c>
      <c r="G2370" t="s">
        <v>5994</v>
      </c>
      <c r="H2370" t="s">
        <v>317</v>
      </c>
      <c r="I2370">
        <v>0</v>
      </c>
      <c r="J2370">
        <v>0</v>
      </c>
      <c r="K2370">
        <v>0</v>
      </c>
      <c r="L2370">
        <v>0</v>
      </c>
      <c r="S2370" t="s">
        <v>5993</v>
      </c>
    </row>
    <row r="2371" spans="1:19" x14ac:dyDescent="0.3">
      <c r="A2371" t="s">
        <v>5995</v>
      </c>
      <c r="B2371" t="s">
        <v>5996</v>
      </c>
      <c r="C2371" t="s">
        <v>251</v>
      </c>
      <c r="D2371" t="s">
        <v>63</v>
      </c>
      <c r="E2371" t="s">
        <v>315</v>
      </c>
      <c r="F2371" t="s">
        <v>251</v>
      </c>
      <c r="G2371" t="s">
        <v>5994</v>
      </c>
      <c r="H2371" t="s">
        <v>317</v>
      </c>
      <c r="I2371">
        <v>0</v>
      </c>
      <c r="J2371">
        <v>0</v>
      </c>
      <c r="K2371">
        <v>0</v>
      </c>
      <c r="L2371">
        <v>0</v>
      </c>
      <c r="S2371" t="s">
        <v>5996</v>
      </c>
    </row>
    <row r="2372" spans="1:19" x14ac:dyDescent="0.3">
      <c r="A2372" t="s">
        <v>5997</v>
      </c>
      <c r="B2372" t="s">
        <v>5998</v>
      </c>
      <c r="C2372" t="s">
        <v>243</v>
      </c>
      <c r="D2372" t="s">
        <v>63</v>
      </c>
      <c r="E2372" t="s">
        <v>331</v>
      </c>
      <c r="F2372" t="s">
        <v>243</v>
      </c>
      <c r="G2372" t="s">
        <v>5999</v>
      </c>
      <c r="H2372" t="s">
        <v>317</v>
      </c>
      <c r="I2372">
        <v>0</v>
      </c>
      <c r="J2372">
        <v>0</v>
      </c>
      <c r="K2372">
        <v>0</v>
      </c>
      <c r="L2372">
        <v>0</v>
      </c>
      <c r="Q2372" t="s">
        <v>6000</v>
      </c>
      <c r="R2372" t="s">
        <v>6001</v>
      </c>
      <c r="S2372" t="s">
        <v>5998</v>
      </c>
    </row>
    <row r="2373" spans="1:19" x14ac:dyDescent="0.3">
      <c r="A2373" t="s">
        <v>6002</v>
      </c>
      <c r="B2373" t="s">
        <v>6003</v>
      </c>
      <c r="C2373" t="s">
        <v>114</v>
      </c>
      <c r="D2373" t="s">
        <v>63</v>
      </c>
      <c r="E2373" t="s">
        <v>74</v>
      </c>
      <c r="F2373" t="s">
        <v>114</v>
      </c>
      <c r="G2373" t="s">
        <v>1891</v>
      </c>
      <c r="H2373" t="s">
        <v>75</v>
      </c>
      <c r="I2373">
        <v>0</v>
      </c>
      <c r="J2373">
        <v>0</v>
      </c>
      <c r="K2373">
        <v>0</v>
      </c>
      <c r="L2373">
        <v>0</v>
      </c>
      <c r="S2373" t="s">
        <v>6003</v>
      </c>
    </row>
    <row r="2374" spans="1:19" x14ac:dyDescent="0.3">
      <c r="A2374" t="s">
        <v>6004</v>
      </c>
      <c r="B2374" t="s">
        <v>6005</v>
      </c>
      <c r="C2374" t="s">
        <v>114</v>
      </c>
      <c r="D2374" t="s">
        <v>35</v>
      </c>
      <c r="E2374" t="s">
        <v>54</v>
      </c>
      <c r="F2374" t="s">
        <v>114</v>
      </c>
      <c r="G2374" t="s">
        <v>1891</v>
      </c>
      <c r="H2374" t="s">
        <v>75</v>
      </c>
      <c r="I2374">
        <v>0</v>
      </c>
      <c r="J2374">
        <v>0</v>
      </c>
      <c r="K2374">
        <v>0</v>
      </c>
      <c r="L2374">
        <v>0</v>
      </c>
      <c r="S2374" t="s">
        <v>6005</v>
      </c>
    </row>
    <row r="2375" spans="1:19" x14ac:dyDescent="0.3">
      <c r="A2375" t="s">
        <v>1891</v>
      </c>
      <c r="B2375" t="s">
        <v>6006</v>
      </c>
      <c r="C2375" t="s">
        <v>114</v>
      </c>
      <c r="D2375" t="s">
        <v>63</v>
      </c>
      <c r="E2375" t="s">
        <v>74</v>
      </c>
      <c r="F2375" t="s">
        <v>114</v>
      </c>
      <c r="G2375" t="s">
        <v>1891</v>
      </c>
      <c r="H2375" t="s">
        <v>75</v>
      </c>
      <c r="I2375">
        <v>0</v>
      </c>
      <c r="J2375">
        <v>0</v>
      </c>
      <c r="K2375">
        <v>0</v>
      </c>
      <c r="L2375">
        <v>0</v>
      </c>
      <c r="S2375" t="s">
        <v>6006</v>
      </c>
    </row>
    <row r="2376" spans="1:19" x14ac:dyDescent="0.3">
      <c r="A2376" t="s">
        <v>6007</v>
      </c>
      <c r="B2376" t="s">
        <v>6008</v>
      </c>
      <c r="C2376" t="s">
        <v>251</v>
      </c>
      <c r="D2376" t="s">
        <v>63</v>
      </c>
      <c r="E2376" t="s">
        <v>315</v>
      </c>
      <c r="F2376" t="s">
        <v>251</v>
      </c>
      <c r="G2376" t="s">
        <v>6007</v>
      </c>
      <c r="H2376" t="s">
        <v>317</v>
      </c>
      <c r="I2376">
        <v>0</v>
      </c>
      <c r="J2376">
        <v>0</v>
      </c>
      <c r="K2376">
        <v>0</v>
      </c>
      <c r="L2376">
        <v>0</v>
      </c>
      <c r="M2376" t="s">
        <v>57</v>
      </c>
      <c r="N2376" t="s">
        <v>28</v>
      </c>
      <c r="O2376" t="s">
        <v>58</v>
      </c>
      <c r="P2376" t="s">
        <v>30</v>
      </c>
      <c r="Q2376" t="s">
        <v>6009</v>
      </c>
      <c r="R2376" t="s">
        <v>6010</v>
      </c>
      <c r="S2376" t="s">
        <v>1559</v>
      </c>
    </row>
    <row r="2377" spans="1:19" x14ac:dyDescent="0.3">
      <c r="A2377" t="s">
        <v>6011</v>
      </c>
      <c r="B2377" t="s">
        <v>6012</v>
      </c>
      <c r="C2377" t="s">
        <v>251</v>
      </c>
      <c r="D2377" t="s">
        <v>35</v>
      </c>
      <c r="E2377" t="s">
        <v>560</v>
      </c>
      <c r="F2377" t="s">
        <v>251</v>
      </c>
      <c r="G2377" t="s">
        <v>6011</v>
      </c>
      <c r="H2377" t="s">
        <v>317</v>
      </c>
      <c r="I2377">
        <v>0</v>
      </c>
      <c r="J2377">
        <v>0</v>
      </c>
      <c r="K2377">
        <v>0</v>
      </c>
      <c r="L2377">
        <v>0</v>
      </c>
      <c r="Q2377" t="s">
        <v>707</v>
      </c>
      <c r="S2377" t="s">
        <v>6012</v>
      </c>
    </row>
    <row r="2378" spans="1:19" x14ac:dyDescent="0.3">
      <c r="A2378" t="s">
        <v>6013</v>
      </c>
      <c r="B2378" t="s">
        <v>6014</v>
      </c>
      <c r="C2378" t="s">
        <v>243</v>
      </c>
      <c r="D2378" t="s">
        <v>63</v>
      </c>
      <c r="E2378" t="s">
        <v>74</v>
      </c>
      <c r="F2378" t="s">
        <v>243</v>
      </c>
      <c r="G2378" t="s">
        <v>4388</v>
      </c>
      <c r="H2378" t="s">
        <v>317</v>
      </c>
      <c r="I2378">
        <v>0</v>
      </c>
      <c r="J2378">
        <v>0</v>
      </c>
      <c r="K2378">
        <v>0</v>
      </c>
      <c r="L2378">
        <v>0</v>
      </c>
      <c r="S2378" t="s">
        <v>6014</v>
      </c>
    </row>
    <row r="2379" spans="1:19" x14ac:dyDescent="0.3">
      <c r="A2379" t="s">
        <v>6015</v>
      </c>
      <c r="B2379" t="s">
        <v>6016</v>
      </c>
      <c r="C2379" t="s">
        <v>251</v>
      </c>
      <c r="D2379" t="s">
        <v>63</v>
      </c>
      <c r="E2379" t="s">
        <v>74</v>
      </c>
      <c r="F2379" t="s">
        <v>251</v>
      </c>
      <c r="G2379" t="s">
        <v>6015</v>
      </c>
      <c r="H2379" t="s">
        <v>317</v>
      </c>
      <c r="I2379">
        <v>0</v>
      </c>
      <c r="J2379">
        <v>0</v>
      </c>
      <c r="K2379">
        <v>0</v>
      </c>
      <c r="L2379">
        <v>0</v>
      </c>
      <c r="S2379" t="s">
        <v>6016</v>
      </c>
    </row>
    <row r="2380" spans="1:19" x14ac:dyDescent="0.3">
      <c r="A2380" t="s">
        <v>6017</v>
      </c>
      <c r="B2380" t="s">
        <v>6018</v>
      </c>
      <c r="C2380" t="s">
        <v>114</v>
      </c>
      <c r="D2380" t="s">
        <v>63</v>
      </c>
      <c r="E2380" t="s">
        <v>331</v>
      </c>
      <c r="F2380" t="s">
        <v>114</v>
      </c>
      <c r="G2380" t="s">
        <v>3837</v>
      </c>
      <c r="H2380" t="s">
        <v>317</v>
      </c>
      <c r="I2380">
        <v>0</v>
      </c>
      <c r="J2380">
        <v>0</v>
      </c>
      <c r="K2380">
        <v>0</v>
      </c>
      <c r="L2380">
        <v>0</v>
      </c>
      <c r="S2380" t="s">
        <v>6018</v>
      </c>
    </row>
    <row r="2381" spans="1:19" x14ac:dyDescent="0.3">
      <c r="A2381" t="s">
        <v>6019</v>
      </c>
      <c r="B2381" t="s">
        <v>6020</v>
      </c>
      <c r="C2381" t="s">
        <v>114</v>
      </c>
      <c r="D2381" t="s">
        <v>63</v>
      </c>
      <c r="E2381" t="s">
        <v>6021</v>
      </c>
      <c r="F2381" t="s">
        <v>114</v>
      </c>
      <c r="G2381" t="s">
        <v>3837</v>
      </c>
      <c r="H2381" t="s">
        <v>75</v>
      </c>
      <c r="I2381">
        <v>0</v>
      </c>
      <c r="J2381">
        <v>0</v>
      </c>
      <c r="K2381">
        <v>0</v>
      </c>
      <c r="L2381">
        <v>0</v>
      </c>
      <c r="S2381" t="s">
        <v>6020</v>
      </c>
    </row>
    <row r="2382" spans="1:19" x14ac:dyDescent="0.3">
      <c r="A2382" t="s">
        <v>6022</v>
      </c>
      <c r="B2382" t="s">
        <v>6023</v>
      </c>
      <c r="C2382" t="s">
        <v>251</v>
      </c>
      <c r="D2382" t="s">
        <v>63</v>
      </c>
      <c r="E2382" t="s">
        <v>331</v>
      </c>
      <c r="F2382" t="s">
        <v>251</v>
      </c>
      <c r="G2382" t="s">
        <v>6024</v>
      </c>
      <c r="H2382" t="s">
        <v>75</v>
      </c>
      <c r="I2382">
        <v>0</v>
      </c>
      <c r="J2382">
        <v>0</v>
      </c>
      <c r="K2382">
        <v>0</v>
      </c>
      <c r="L2382">
        <v>0</v>
      </c>
      <c r="S2382" t="s">
        <v>6023</v>
      </c>
    </row>
    <row r="2383" spans="1:19" x14ac:dyDescent="0.3">
      <c r="A2383" t="s">
        <v>6025</v>
      </c>
      <c r="B2383" t="s">
        <v>6026</v>
      </c>
      <c r="C2383" t="s">
        <v>251</v>
      </c>
      <c r="D2383" t="s">
        <v>63</v>
      </c>
      <c r="E2383" t="s">
        <v>1751</v>
      </c>
      <c r="F2383" t="s">
        <v>251</v>
      </c>
      <c r="G2383" t="s">
        <v>6025</v>
      </c>
      <c r="H2383" t="s">
        <v>317</v>
      </c>
      <c r="I2383">
        <v>0</v>
      </c>
      <c r="J2383">
        <v>0</v>
      </c>
      <c r="K2383">
        <v>0</v>
      </c>
      <c r="L2383">
        <v>0</v>
      </c>
      <c r="S2383" t="s">
        <v>6026</v>
      </c>
    </row>
    <row r="2384" spans="1:19" x14ac:dyDescent="0.3">
      <c r="A2384" t="s">
        <v>6027</v>
      </c>
      <c r="B2384" t="s">
        <v>6028</v>
      </c>
      <c r="C2384" t="s">
        <v>251</v>
      </c>
      <c r="D2384" t="s">
        <v>35</v>
      </c>
      <c r="E2384" t="s">
        <v>44</v>
      </c>
      <c r="F2384" t="s">
        <v>251</v>
      </c>
      <c r="G2384" t="s">
        <v>6029</v>
      </c>
      <c r="H2384" t="s">
        <v>317</v>
      </c>
      <c r="I2384">
        <v>0</v>
      </c>
      <c r="J2384">
        <v>0</v>
      </c>
      <c r="K2384">
        <v>0</v>
      </c>
      <c r="L2384">
        <v>0</v>
      </c>
      <c r="S2384" t="s">
        <v>6028</v>
      </c>
    </row>
    <row r="2385" spans="1:19" x14ac:dyDescent="0.3">
      <c r="A2385" t="s">
        <v>6030</v>
      </c>
      <c r="B2385" t="s">
        <v>6031</v>
      </c>
      <c r="C2385" t="s">
        <v>243</v>
      </c>
      <c r="D2385" t="s">
        <v>63</v>
      </c>
      <c r="E2385" t="s">
        <v>74</v>
      </c>
      <c r="F2385" t="s">
        <v>243</v>
      </c>
      <c r="G2385" t="s">
        <v>6030</v>
      </c>
      <c r="H2385" t="s">
        <v>317</v>
      </c>
      <c r="I2385">
        <v>0</v>
      </c>
      <c r="J2385">
        <v>0</v>
      </c>
      <c r="K2385">
        <v>0</v>
      </c>
      <c r="L2385">
        <v>0</v>
      </c>
      <c r="S2385" t="s">
        <v>6031</v>
      </c>
    </row>
    <row r="2386" spans="1:19" x14ac:dyDescent="0.3">
      <c r="A2386" t="s">
        <v>6032</v>
      </c>
      <c r="B2386" t="s">
        <v>6033</v>
      </c>
      <c r="C2386" t="s">
        <v>243</v>
      </c>
      <c r="F2386" t="s">
        <v>243</v>
      </c>
      <c r="G2386" t="s">
        <v>5986</v>
      </c>
      <c r="H2386" t="s">
        <v>75</v>
      </c>
      <c r="I2386">
        <v>0</v>
      </c>
      <c r="J2386">
        <v>0</v>
      </c>
      <c r="K2386">
        <v>0</v>
      </c>
      <c r="L2386">
        <v>0</v>
      </c>
      <c r="S2386" t="s">
        <v>6033</v>
      </c>
    </row>
    <row r="2387" spans="1:19" x14ac:dyDescent="0.3">
      <c r="A2387" t="s">
        <v>6034</v>
      </c>
      <c r="B2387" t="s">
        <v>6035</v>
      </c>
      <c r="C2387" t="s">
        <v>243</v>
      </c>
      <c r="D2387" t="s">
        <v>63</v>
      </c>
      <c r="F2387" t="s">
        <v>243</v>
      </c>
      <c r="G2387" t="s">
        <v>2026</v>
      </c>
      <c r="H2387" t="s">
        <v>75</v>
      </c>
      <c r="I2387">
        <v>0</v>
      </c>
      <c r="J2387">
        <v>0</v>
      </c>
      <c r="K2387">
        <v>0</v>
      </c>
      <c r="L2387">
        <v>0</v>
      </c>
      <c r="M2387" t="s">
        <v>63</v>
      </c>
      <c r="N2387" t="s">
        <v>28</v>
      </c>
      <c r="O2387" t="s">
        <v>86</v>
      </c>
      <c r="P2387" t="s">
        <v>30</v>
      </c>
      <c r="Q2387" t="s">
        <v>1825</v>
      </c>
      <c r="R2387" t="s">
        <v>1372</v>
      </c>
      <c r="S2387" t="s">
        <v>768</v>
      </c>
    </row>
    <row r="2388" spans="1:19" x14ac:dyDescent="0.3">
      <c r="A2388" t="s">
        <v>6036</v>
      </c>
      <c r="B2388" t="s">
        <v>6037</v>
      </c>
      <c r="C2388" t="s">
        <v>243</v>
      </c>
      <c r="D2388" t="s">
        <v>63</v>
      </c>
      <c r="E2388" t="s">
        <v>74</v>
      </c>
      <c r="F2388" t="s">
        <v>243</v>
      </c>
      <c r="G2388" t="s">
        <v>573</v>
      </c>
      <c r="H2388" t="s">
        <v>317</v>
      </c>
      <c r="I2388">
        <v>0</v>
      </c>
      <c r="J2388">
        <v>0</v>
      </c>
      <c r="K2388">
        <v>0</v>
      </c>
      <c r="L2388">
        <v>0</v>
      </c>
      <c r="Q2388" t="s">
        <v>580</v>
      </c>
      <c r="R2388" t="s">
        <v>581</v>
      </c>
      <c r="S2388" t="s">
        <v>574</v>
      </c>
    </row>
    <row r="2389" spans="1:19" x14ac:dyDescent="0.3">
      <c r="A2389" t="s">
        <v>6038</v>
      </c>
      <c r="B2389" t="s">
        <v>6039</v>
      </c>
      <c r="C2389" t="s">
        <v>243</v>
      </c>
      <c r="D2389" t="s">
        <v>63</v>
      </c>
      <c r="E2389" t="s">
        <v>74</v>
      </c>
      <c r="F2389" t="s">
        <v>243</v>
      </c>
      <c r="G2389" t="s">
        <v>6030</v>
      </c>
      <c r="H2389" t="s">
        <v>317</v>
      </c>
      <c r="I2389">
        <v>0</v>
      </c>
      <c r="J2389">
        <v>0</v>
      </c>
      <c r="K2389">
        <v>0</v>
      </c>
      <c r="L2389">
        <v>0</v>
      </c>
      <c r="S2389" t="s">
        <v>6039</v>
      </c>
    </row>
    <row r="2390" spans="1:19" x14ac:dyDescent="0.3">
      <c r="A2390" t="s">
        <v>6040</v>
      </c>
      <c r="B2390" t="s">
        <v>6041</v>
      </c>
      <c r="C2390" t="s">
        <v>251</v>
      </c>
      <c r="D2390" t="s">
        <v>63</v>
      </c>
      <c r="E2390" t="s">
        <v>74</v>
      </c>
      <c r="F2390" t="s">
        <v>251</v>
      </c>
      <c r="G2390" t="s">
        <v>6040</v>
      </c>
      <c r="H2390" t="s">
        <v>317</v>
      </c>
      <c r="I2390">
        <v>0</v>
      </c>
      <c r="J2390">
        <v>0</v>
      </c>
      <c r="K2390">
        <v>0</v>
      </c>
      <c r="L2390">
        <v>0</v>
      </c>
      <c r="S2390" t="s">
        <v>6041</v>
      </c>
    </row>
    <row r="2391" spans="1:19" x14ac:dyDescent="0.3">
      <c r="A2391" t="s">
        <v>6042</v>
      </c>
      <c r="B2391" t="s">
        <v>6043</v>
      </c>
      <c r="C2391" t="s">
        <v>251</v>
      </c>
      <c r="D2391" t="s">
        <v>35</v>
      </c>
      <c r="E2391" t="s">
        <v>389</v>
      </c>
      <c r="F2391" t="s">
        <v>251</v>
      </c>
      <c r="G2391" t="s">
        <v>6042</v>
      </c>
      <c r="H2391" t="s">
        <v>317</v>
      </c>
      <c r="I2391">
        <v>0</v>
      </c>
      <c r="J2391">
        <v>0</v>
      </c>
      <c r="K2391">
        <v>0</v>
      </c>
      <c r="L2391">
        <v>0</v>
      </c>
      <c r="S2391" t="s">
        <v>6043</v>
      </c>
    </row>
    <row r="2392" spans="1:19" x14ac:dyDescent="0.3">
      <c r="A2392" t="s">
        <v>6044</v>
      </c>
      <c r="B2392" t="s">
        <v>6045</v>
      </c>
      <c r="C2392" t="s">
        <v>251</v>
      </c>
      <c r="D2392" t="s">
        <v>63</v>
      </c>
      <c r="E2392" t="s">
        <v>323</v>
      </c>
      <c r="F2392" t="s">
        <v>251</v>
      </c>
      <c r="G2392" t="s">
        <v>6046</v>
      </c>
      <c r="H2392" t="s">
        <v>317</v>
      </c>
      <c r="I2392">
        <v>0</v>
      </c>
      <c r="J2392">
        <v>0</v>
      </c>
      <c r="K2392">
        <v>0</v>
      </c>
      <c r="L2392">
        <v>0</v>
      </c>
      <c r="S2392" t="s">
        <v>6045</v>
      </c>
    </row>
    <row r="2393" spans="1:19" x14ac:dyDescent="0.3">
      <c r="A2393" t="s">
        <v>6047</v>
      </c>
      <c r="B2393" t="s">
        <v>6048</v>
      </c>
      <c r="C2393" t="s">
        <v>251</v>
      </c>
      <c r="D2393" t="s">
        <v>63</v>
      </c>
      <c r="E2393" t="s">
        <v>74</v>
      </c>
      <c r="F2393" t="s">
        <v>251</v>
      </c>
      <c r="G2393" t="s">
        <v>6049</v>
      </c>
      <c r="H2393" t="s">
        <v>317</v>
      </c>
      <c r="I2393">
        <v>0</v>
      </c>
      <c r="J2393">
        <v>0</v>
      </c>
      <c r="K2393">
        <v>0</v>
      </c>
      <c r="L2393">
        <v>0</v>
      </c>
      <c r="S2393" t="s">
        <v>6048</v>
      </c>
    </row>
    <row r="2394" spans="1:19" x14ac:dyDescent="0.3">
      <c r="A2394" t="s">
        <v>6050</v>
      </c>
      <c r="B2394" t="s">
        <v>6051</v>
      </c>
      <c r="C2394" t="s">
        <v>251</v>
      </c>
      <c r="D2394" t="s">
        <v>35</v>
      </c>
      <c r="E2394" t="s">
        <v>389</v>
      </c>
      <c r="F2394" t="s">
        <v>251</v>
      </c>
      <c r="G2394" t="s">
        <v>6040</v>
      </c>
      <c r="H2394" t="s">
        <v>75</v>
      </c>
      <c r="I2394">
        <v>0</v>
      </c>
      <c r="J2394">
        <v>0</v>
      </c>
      <c r="K2394">
        <v>0</v>
      </c>
      <c r="L2394">
        <v>0</v>
      </c>
      <c r="S2394" t="s">
        <v>6051</v>
      </c>
    </row>
    <row r="2395" spans="1:19" x14ac:dyDescent="0.3">
      <c r="A2395" t="s">
        <v>6052</v>
      </c>
      <c r="B2395" t="s">
        <v>6053</v>
      </c>
      <c r="C2395" t="s">
        <v>251</v>
      </c>
      <c r="D2395" t="s">
        <v>35</v>
      </c>
      <c r="E2395" t="s">
        <v>44</v>
      </c>
      <c r="F2395" t="s">
        <v>251</v>
      </c>
      <c r="G2395" t="s">
        <v>6025</v>
      </c>
      <c r="H2395" t="s">
        <v>317</v>
      </c>
      <c r="I2395">
        <v>0</v>
      </c>
      <c r="J2395">
        <v>0</v>
      </c>
      <c r="K2395">
        <v>0</v>
      </c>
      <c r="L2395">
        <v>0</v>
      </c>
      <c r="S2395" t="s">
        <v>6053</v>
      </c>
    </row>
    <row r="2396" spans="1:19" x14ac:dyDescent="0.3">
      <c r="A2396" t="s">
        <v>6054</v>
      </c>
      <c r="B2396" t="s">
        <v>6055</v>
      </c>
      <c r="C2396" t="s">
        <v>251</v>
      </c>
      <c r="D2396" t="s">
        <v>63</v>
      </c>
      <c r="E2396" t="s">
        <v>74</v>
      </c>
      <c r="F2396" t="s">
        <v>251</v>
      </c>
      <c r="G2396" t="s">
        <v>6054</v>
      </c>
      <c r="H2396" t="s">
        <v>317</v>
      </c>
      <c r="I2396">
        <v>0</v>
      </c>
      <c r="J2396">
        <v>0</v>
      </c>
      <c r="K2396">
        <v>0</v>
      </c>
      <c r="L2396">
        <v>0</v>
      </c>
      <c r="S2396" t="s">
        <v>6055</v>
      </c>
    </row>
    <row r="2397" spans="1:19" x14ac:dyDescent="0.3">
      <c r="A2397" t="s">
        <v>6056</v>
      </c>
      <c r="B2397" t="s">
        <v>6057</v>
      </c>
      <c r="C2397" t="s">
        <v>251</v>
      </c>
      <c r="D2397" t="s">
        <v>63</v>
      </c>
      <c r="E2397" t="s">
        <v>74</v>
      </c>
      <c r="F2397" t="s">
        <v>251</v>
      </c>
      <c r="G2397" t="s">
        <v>6056</v>
      </c>
      <c r="H2397" t="s">
        <v>317</v>
      </c>
      <c r="I2397">
        <v>0</v>
      </c>
      <c r="J2397">
        <v>0</v>
      </c>
      <c r="K2397">
        <v>0</v>
      </c>
      <c r="L2397">
        <v>0</v>
      </c>
      <c r="S2397" t="s">
        <v>6057</v>
      </c>
    </row>
    <row r="2398" spans="1:19" x14ac:dyDescent="0.3">
      <c r="A2398" t="s">
        <v>6058</v>
      </c>
      <c r="B2398" t="s">
        <v>6059</v>
      </c>
      <c r="C2398" t="s">
        <v>251</v>
      </c>
      <c r="D2398" t="s">
        <v>35</v>
      </c>
      <c r="E2398" t="s">
        <v>389</v>
      </c>
      <c r="F2398" t="s">
        <v>251</v>
      </c>
      <c r="G2398" t="s">
        <v>6058</v>
      </c>
      <c r="H2398" t="s">
        <v>317</v>
      </c>
      <c r="I2398">
        <v>0</v>
      </c>
      <c r="J2398">
        <v>0</v>
      </c>
      <c r="K2398">
        <v>0</v>
      </c>
      <c r="L2398">
        <v>0</v>
      </c>
      <c r="S2398" t="s">
        <v>6059</v>
      </c>
    </row>
    <row r="2399" spans="1:19" x14ac:dyDescent="0.3">
      <c r="A2399" t="s">
        <v>6060</v>
      </c>
      <c r="B2399" t="s">
        <v>6061</v>
      </c>
      <c r="C2399" t="s">
        <v>251</v>
      </c>
      <c r="D2399" t="s">
        <v>35</v>
      </c>
      <c r="E2399" t="s">
        <v>560</v>
      </c>
      <c r="F2399" t="s">
        <v>251</v>
      </c>
      <c r="G2399" t="s">
        <v>6060</v>
      </c>
      <c r="H2399" t="s">
        <v>317</v>
      </c>
      <c r="I2399">
        <v>0</v>
      </c>
      <c r="J2399">
        <v>0</v>
      </c>
      <c r="K2399">
        <v>0</v>
      </c>
      <c r="L2399">
        <v>0</v>
      </c>
      <c r="S2399" t="s">
        <v>6061</v>
      </c>
    </row>
    <row r="2400" spans="1:19" x14ac:dyDescent="0.3">
      <c r="A2400" t="s">
        <v>6029</v>
      </c>
      <c r="B2400" t="s">
        <v>6062</v>
      </c>
      <c r="C2400" t="s">
        <v>251</v>
      </c>
      <c r="D2400" t="s">
        <v>63</v>
      </c>
      <c r="E2400" t="s">
        <v>575</v>
      </c>
      <c r="F2400" t="s">
        <v>251</v>
      </c>
      <c r="G2400" t="s">
        <v>6029</v>
      </c>
      <c r="H2400" t="s">
        <v>317</v>
      </c>
      <c r="I2400">
        <v>0</v>
      </c>
      <c r="J2400">
        <v>0</v>
      </c>
      <c r="K2400">
        <v>0</v>
      </c>
      <c r="L2400">
        <v>0</v>
      </c>
      <c r="S2400" t="s">
        <v>6062</v>
      </c>
    </row>
    <row r="2401" spans="1:19" x14ac:dyDescent="0.3">
      <c r="A2401" t="s">
        <v>6063</v>
      </c>
      <c r="B2401" t="s">
        <v>6064</v>
      </c>
      <c r="C2401" t="s">
        <v>251</v>
      </c>
      <c r="D2401" t="s">
        <v>63</v>
      </c>
      <c r="E2401" t="s">
        <v>315</v>
      </c>
      <c r="F2401" t="s">
        <v>251</v>
      </c>
      <c r="G2401" t="s">
        <v>6065</v>
      </c>
      <c r="H2401" t="s">
        <v>317</v>
      </c>
      <c r="I2401">
        <v>0</v>
      </c>
      <c r="J2401">
        <v>0</v>
      </c>
      <c r="K2401">
        <v>0</v>
      </c>
      <c r="L2401">
        <v>0</v>
      </c>
      <c r="S2401" t="s">
        <v>6064</v>
      </c>
    </row>
    <row r="2402" spans="1:19" x14ac:dyDescent="0.3">
      <c r="A2402" t="s">
        <v>6066</v>
      </c>
      <c r="B2402" t="s">
        <v>6067</v>
      </c>
      <c r="C2402" t="s">
        <v>114</v>
      </c>
      <c r="D2402" t="s">
        <v>53</v>
      </c>
      <c r="E2402" t="s">
        <v>560</v>
      </c>
      <c r="F2402" t="s">
        <v>114</v>
      </c>
      <c r="G2402" t="s">
        <v>6068</v>
      </c>
      <c r="H2402" t="s">
        <v>213</v>
      </c>
      <c r="I2402">
        <v>0</v>
      </c>
      <c r="J2402">
        <v>0</v>
      </c>
      <c r="K2402">
        <v>0</v>
      </c>
      <c r="L2402">
        <v>0</v>
      </c>
      <c r="Q2402" t="s">
        <v>6000</v>
      </c>
      <c r="R2402" t="s">
        <v>6001</v>
      </c>
      <c r="S2402" t="s">
        <v>6067</v>
      </c>
    </row>
    <row r="2403" spans="1:19" x14ac:dyDescent="0.3">
      <c r="A2403" t="s">
        <v>6069</v>
      </c>
      <c r="B2403" t="s">
        <v>6070</v>
      </c>
      <c r="C2403" t="s">
        <v>243</v>
      </c>
      <c r="D2403" t="s">
        <v>63</v>
      </c>
      <c r="E2403" t="s">
        <v>74</v>
      </c>
      <c r="F2403" t="s">
        <v>243</v>
      </c>
      <c r="G2403" t="s">
        <v>6071</v>
      </c>
      <c r="H2403" t="s">
        <v>75</v>
      </c>
      <c r="I2403">
        <v>0</v>
      </c>
      <c r="J2403">
        <v>0</v>
      </c>
      <c r="K2403">
        <v>0</v>
      </c>
      <c r="L2403">
        <v>0</v>
      </c>
      <c r="S2403" t="s">
        <v>6070</v>
      </c>
    </row>
    <row r="2404" spans="1:19" x14ac:dyDescent="0.3">
      <c r="A2404" t="s">
        <v>6072</v>
      </c>
      <c r="B2404" t="s">
        <v>6073</v>
      </c>
      <c r="C2404" t="s">
        <v>251</v>
      </c>
      <c r="D2404" t="s">
        <v>63</v>
      </c>
      <c r="E2404" t="s">
        <v>331</v>
      </c>
      <c r="F2404" t="s">
        <v>251</v>
      </c>
      <c r="G2404" t="s">
        <v>6074</v>
      </c>
      <c r="H2404" t="s">
        <v>317</v>
      </c>
      <c r="I2404">
        <v>0</v>
      </c>
      <c r="J2404">
        <v>0</v>
      </c>
      <c r="K2404">
        <v>0</v>
      </c>
      <c r="L2404">
        <v>0</v>
      </c>
      <c r="S2404" t="s">
        <v>6073</v>
      </c>
    </row>
    <row r="2405" spans="1:19" x14ac:dyDescent="0.3">
      <c r="A2405" t="s">
        <v>6075</v>
      </c>
      <c r="B2405" t="s">
        <v>6076</v>
      </c>
      <c r="C2405" t="s">
        <v>251</v>
      </c>
      <c r="D2405" t="s">
        <v>63</v>
      </c>
      <c r="E2405" t="s">
        <v>1751</v>
      </c>
      <c r="F2405" t="s">
        <v>251</v>
      </c>
      <c r="G2405" t="s">
        <v>6075</v>
      </c>
      <c r="H2405" t="s">
        <v>317</v>
      </c>
      <c r="I2405">
        <v>0</v>
      </c>
      <c r="J2405">
        <v>0</v>
      </c>
      <c r="K2405">
        <v>0</v>
      </c>
      <c r="L2405">
        <v>0</v>
      </c>
      <c r="S2405" t="s">
        <v>6076</v>
      </c>
    </row>
    <row r="2406" spans="1:19" x14ac:dyDescent="0.3">
      <c r="A2406" t="s">
        <v>6077</v>
      </c>
      <c r="B2406" t="s">
        <v>6078</v>
      </c>
      <c r="C2406" t="s">
        <v>251</v>
      </c>
      <c r="D2406" t="s">
        <v>63</v>
      </c>
      <c r="E2406" t="s">
        <v>575</v>
      </c>
      <c r="F2406" t="s">
        <v>251</v>
      </c>
      <c r="G2406" t="s">
        <v>6079</v>
      </c>
      <c r="H2406" t="s">
        <v>317</v>
      </c>
      <c r="I2406">
        <v>0</v>
      </c>
      <c r="J2406">
        <v>0</v>
      </c>
      <c r="K2406">
        <v>0</v>
      </c>
      <c r="L2406">
        <v>0</v>
      </c>
      <c r="S2406" t="s">
        <v>6078</v>
      </c>
    </row>
    <row r="2407" spans="1:19" x14ac:dyDescent="0.3">
      <c r="A2407" t="s">
        <v>6080</v>
      </c>
      <c r="B2407" t="s">
        <v>6081</v>
      </c>
      <c r="C2407" t="s">
        <v>251</v>
      </c>
      <c r="D2407" t="s">
        <v>63</v>
      </c>
      <c r="E2407" t="s">
        <v>74</v>
      </c>
      <c r="F2407" t="s">
        <v>251</v>
      </c>
      <c r="G2407" t="s">
        <v>6029</v>
      </c>
      <c r="H2407" t="s">
        <v>317</v>
      </c>
      <c r="I2407">
        <v>0</v>
      </c>
      <c r="J2407">
        <v>0</v>
      </c>
      <c r="K2407">
        <v>0</v>
      </c>
      <c r="L2407">
        <v>0</v>
      </c>
      <c r="S2407" t="s">
        <v>6081</v>
      </c>
    </row>
    <row r="2408" spans="1:19" x14ac:dyDescent="0.3">
      <c r="A2408" t="s">
        <v>6082</v>
      </c>
      <c r="B2408" t="s">
        <v>6083</v>
      </c>
      <c r="C2408" t="s">
        <v>251</v>
      </c>
      <c r="D2408" t="s">
        <v>63</v>
      </c>
      <c r="E2408" t="s">
        <v>524</v>
      </c>
      <c r="F2408" t="s">
        <v>251</v>
      </c>
      <c r="G2408" t="s">
        <v>6082</v>
      </c>
      <c r="H2408" t="s">
        <v>317</v>
      </c>
      <c r="I2408">
        <v>0</v>
      </c>
      <c r="J2408">
        <v>0</v>
      </c>
      <c r="K2408">
        <v>0</v>
      </c>
      <c r="L2408">
        <v>0</v>
      </c>
      <c r="S2408" t="s">
        <v>6083</v>
      </c>
    </row>
    <row r="2409" spans="1:19" x14ac:dyDescent="0.3">
      <c r="A2409" t="s">
        <v>6084</v>
      </c>
      <c r="B2409" t="s">
        <v>6085</v>
      </c>
      <c r="C2409" t="s">
        <v>114</v>
      </c>
      <c r="D2409" t="s">
        <v>63</v>
      </c>
      <c r="E2409" t="s">
        <v>74</v>
      </c>
      <c r="F2409" t="s">
        <v>114</v>
      </c>
      <c r="G2409" t="s">
        <v>2017</v>
      </c>
      <c r="H2409" t="s">
        <v>317</v>
      </c>
      <c r="I2409">
        <v>0</v>
      </c>
      <c r="J2409">
        <v>0</v>
      </c>
      <c r="K2409">
        <v>0</v>
      </c>
      <c r="L2409">
        <v>0</v>
      </c>
      <c r="S2409" t="s">
        <v>6085</v>
      </c>
    </row>
    <row r="2410" spans="1:19" x14ac:dyDescent="0.3">
      <c r="A2410" t="s">
        <v>6086</v>
      </c>
      <c r="B2410" t="s">
        <v>6087</v>
      </c>
      <c r="C2410" t="s">
        <v>243</v>
      </c>
      <c r="D2410" t="s">
        <v>63</v>
      </c>
      <c r="E2410" t="s">
        <v>323</v>
      </c>
      <c r="F2410" t="s">
        <v>243</v>
      </c>
      <c r="G2410" t="s">
        <v>6088</v>
      </c>
      <c r="H2410" t="s">
        <v>213</v>
      </c>
      <c r="I2410">
        <v>0</v>
      </c>
      <c r="J2410">
        <v>0</v>
      </c>
      <c r="K2410">
        <v>0</v>
      </c>
      <c r="L2410">
        <v>0</v>
      </c>
      <c r="S2410" t="s">
        <v>6087</v>
      </c>
    </row>
    <row r="2411" spans="1:19" x14ac:dyDescent="0.3">
      <c r="A2411" t="s">
        <v>6089</v>
      </c>
      <c r="B2411" t="s">
        <v>6090</v>
      </c>
      <c r="C2411" t="s">
        <v>243</v>
      </c>
      <c r="D2411" t="s">
        <v>63</v>
      </c>
      <c r="E2411" t="s">
        <v>74</v>
      </c>
      <c r="F2411" t="s">
        <v>243</v>
      </c>
      <c r="G2411" t="s">
        <v>6089</v>
      </c>
      <c r="H2411" t="s">
        <v>213</v>
      </c>
      <c r="I2411">
        <v>0</v>
      </c>
      <c r="J2411">
        <v>0</v>
      </c>
      <c r="K2411">
        <v>0</v>
      </c>
      <c r="L2411">
        <v>0</v>
      </c>
      <c r="Q2411" t="s">
        <v>6091</v>
      </c>
      <c r="R2411" t="s">
        <v>6092</v>
      </c>
      <c r="S2411" t="s">
        <v>6090</v>
      </c>
    </row>
    <row r="2412" spans="1:19" x14ac:dyDescent="0.3">
      <c r="A2412" t="s">
        <v>6093</v>
      </c>
      <c r="B2412" t="s">
        <v>6094</v>
      </c>
      <c r="C2412" t="s">
        <v>114</v>
      </c>
      <c r="D2412" t="s">
        <v>63</v>
      </c>
      <c r="E2412" t="s">
        <v>74</v>
      </c>
      <c r="F2412" t="s">
        <v>114</v>
      </c>
      <c r="G2412" t="s">
        <v>6068</v>
      </c>
      <c r="H2412" t="s">
        <v>75</v>
      </c>
      <c r="I2412">
        <v>0</v>
      </c>
      <c r="J2412">
        <v>0</v>
      </c>
      <c r="K2412">
        <v>0</v>
      </c>
      <c r="L2412">
        <v>0</v>
      </c>
      <c r="Q2412" t="s">
        <v>6095</v>
      </c>
      <c r="R2412" t="s">
        <v>6096</v>
      </c>
      <c r="S2412" t="s">
        <v>6094</v>
      </c>
    </row>
    <row r="2413" spans="1:19" x14ac:dyDescent="0.3">
      <c r="A2413" t="s">
        <v>6097</v>
      </c>
      <c r="B2413" t="s">
        <v>6098</v>
      </c>
      <c r="C2413" t="s">
        <v>251</v>
      </c>
      <c r="D2413" t="s">
        <v>63</v>
      </c>
      <c r="E2413" t="s">
        <v>74</v>
      </c>
      <c r="F2413" t="s">
        <v>251</v>
      </c>
      <c r="G2413" t="s">
        <v>6097</v>
      </c>
      <c r="H2413" t="s">
        <v>317</v>
      </c>
      <c r="I2413">
        <v>0</v>
      </c>
      <c r="J2413">
        <v>0</v>
      </c>
      <c r="K2413">
        <v>0</v>
      </c>
      <c r="L2413">
        <v>0</v>
      </c>
      <c r="S2413" t="s">
        <v>6098</v>
      </c>
    </row>
    <row r="2414" spans="1:19" x14ac:dyDescent="0.3">
      <c r="A2414" t="s">
        <v>6099</v>
      </c>
      <c r="B2414" t="s">
        <v>6100</v>
      </c>
      <c r="C2414" t="s">
        <v>114</v>
      </c>
      <c r="F2414" t="s">
        <v>114</v>
      </c>
      <c r="G2414" t="s">
        <v>6101</v>
      </c>
      <c r="H2414" t="s">
        <v>317</v>
      </c>
      <c r="I2414">
        <v>0</v>
      </c>
      <c r="J2414">
        <v>0</v>
      </c>
      <c r="K2414">
        <v>0</v>
      </c>
      <c r="L2414">
        <v>0</v>
      </c>
      <c r="M2414" t="s">
        <v>63</v>
      </c>
      <c r="N2414" t="s">
        <v>28</v>
      </c>
      <c r="O2414" t="s">
        <v>86</v>
      </c>
      <c r="P2414" t="s">
        <v>30</v>
      </c>
      <c r="Q2414" t="s">
        <v>1421</v>
      </c>
      <c r="R2414" t="s">
        <v>1422</v>
      </c>
      <c r="S2414" t="s">
        <v>1423</v>
      </c>
    </row>
    <row r="2415" spans="1:19" x14ac:dyDescent="0.3">
      <c r="A2415" t="s">
        <v>6102</v>
      </c>
      <c r="B2415" t="s">
        <v>6103</v>
      </c>
      <c r="C2415" t="s">
        <v>243</v>
      </c>
      <c r="D2415" t="s">
        <v>63</v>
      </c>
      <c r="E2415" t="s">
        <v>74</v>
      </c>
      <c r="F2415" t="s">
        <v>114</v>
      </c>
      <c r="G2415" t="s">
        <v>6102</v>
      </c>
      <c r="H2415" t="s">
        <v>75</v>
      </c>
      <c r="I2415">
        <v>0</v>
      </c>
      <c r="J2415">
        <v>0</v>
      </c>
      <c r="K2415">
        <v>0</v>
      </c>
      <c r="L2415">
        <v>0</v>
      </c>
      <c r="S2415" t="s">
        <v>6103</v>
      </c>
    </row>
    <row r="2416" spans="1:19" x14ac:dyDescent="0.3">
      <c r="A2416" t="s">
        <v>6104</v>
      </c>
      <c r="B2416" t="s">
        <v>6105</v>
      </c>
      <c r="C2416" t="s">
        <v>251</v>
      </c>
      <c r="D2416" t="s">
        <v>63</v>
      </c>
      <c r="E2416" t="s">
        <v>315</v>
      </c>
      <c r="F2416" t="s">
        <v>251</v>
      </c>
      <c r="G2416" t="s">
        <v>6104</v>
      </c>
      <c r="H2416" t="s">
        <v>317</v>
      </c>
      <c r="I2416">
        <v>0</v>
      </c>
      <c r="J2416">
        <v>0</v>
      </c>
      <c r="K2416">
        <v>0</v>
      </c>
      <c r="L2416">
        <v>0</v>
      </c>
      <c r="S2416" t="s">
        <v>6105</v>
      </c>
    </row>
    <row r="2417" spans="1:19" x14ac:dyDescent="0.3">
      <c r="A2417" t="s">
        <v>6106</v>
      </c>
      <c r="B2417" t="s">
        <v>6107</v>
      </c>
      <c r="C2417" t="s">
        <v>114</v>
      </c>
      <c r="D2417" t="s">
        <v>63</v>
      </c>
      <c r="E2417" t="s">
        <v>315</v>
      </c>
      <c r="F2417" t="s">
        <v>114</v>
      </c>
      <c r="G2417" t="s">
        <v>6108</v>
      </c>
      <c r="H2417" t="s">
        <v>213</v>
      </c>
      <c r="I2417">
        <v>0</v>
      </c>
      <c r="J2417">
        <v>0</v>
      </c>
      <c r="K2417">
        <v>0</v>
      </c>
      <c r="L2417">
        <v>0</v>
      </c>
      <c r="Q2417" t="s">
        <v>6109</v>
      </c>
      <c r="R2417" t="s">
        <v>6110</v>
      </c>
      <c r="S2417" t="s">
        <v>6107</v>
      </c>
    </row>
    <row r="2418" spans="1:19" x14ac:dyDescent="0.3">
      <c r="A2418" t="s">
        <v>6111</v>
      </c>
      <c r="B2418" t="s">
        <v>6112</v>
      </c>
      <c r="C2418" t="s">
        <v>114</v>
      </c>
      <c r="D2418" t="s">
        <v>63</v>
      </c>
      <c r="E2418" t="s">
        <v>6113</v>
      </c>
      <c r="F2418" t="s">
        <v>114</v>
      </c>
      <c r="G2418" t="s">
        <v>6068</v>
      </c>
      <c r="H2418" t="s">
        <v>213</v>
      </c>
      <c r="I2418">
        <v>0</v>
      </c>
      <c r="J2418">
        <v>0</v>
      </c>
      <c r="K2418">
        <v>0</v>
      </c>
      <c r="L2418">
        <v>0</v>
      </c>
      <c r="Q2418" t="s">
        <v>6000</v>
      </c>
      <c r="R2418" t="s">
        <v>6001</v>
      </c>
      <c r="S2418" t="s">
        <v>6112</v>
      </c>
    </row>
    <row r="2419" spans="1:19" x14ac:dyDescent="0.3">
      <c r="A2419" t="s">
        <v>6114</v>
      </c>
      <c r="B2419" t="s">
        <v>6115</v>
      </c>
      <c r="C2419" t="s">
        <v>251</v>
      </c>
      <c r="D2419" t="s">
        <v>63</v>
      </c>
      <c r="E2419" t="s">
        <v>524</v>
      </c>
      <c r="F2419" t="s">
        <v>251</v>
      </c>
      <c r="G2419" t="s">
        <v>6114</v>
      </c>
      <c r="H2419" t="s">
        <v>317</v>
      </c>
      <c r="I2419">
        <v>0</v>
      </c>
      <c r="J2419">
        <v>0</v>
      </c>
      <c r="K2419">
        <v>0</v>
      </c>
      <c r="L2419">
        <v>0</v>
      </c>
      <c r="S2419" t="s">
        <v>6115</v>
      </c>
    </row>
    <row r="2420" spans="1:19" x14ac:dyDescent="0.3">
      <c r="A2420" t="s">
        <v>6116</v>
      </c>
      <c r="B2420" t="s">
        <v>6117</v>
      </c>
      <c r="C2420" t="s">
        <v>251</v>
      </c>
      <c r="D2420" t="s">
        <v>63</v>
      </c>
      <c r="E2420" t="s">
        <v>315</v>
      </c>
      <c r="F2420" t="s">
        <v>251</v>
      </c>
      <c r="G2420" t="s">
        <v>6118</v>
      </c>
      <c r="H2420" t="s">
        <v>317</v>
      </c>
      <c r="I2420">
        <v>0</v>
      </c>
      <c r="J2420">
        <v>0</v>
      </c>
      <c r="K2420">
        <v>0</v>
      </c>
      <c r="L2420">
        <v>0</v>
      </c>
      <c r="S2420" t="s">
        <v>6117</v>
      </c>
    </row>
    <row r="2421" spans="1:19" x14ac:dyDescent="0.3">
      <c r="A2421" t="s">
        <v>6119</v>
      </c>
      <c r="B2421" t="s">
        <v>6120</v>
      </c>
      <c r="C2421" t="s">
        <v>243</v>
      </c>
      <c r="D2421" t="s">
        <v>63</v>
      </c>
      <c r="E2421" t="s">
        <v>331</v>
      </c>
      <c r="F2421" t="s">
        <v>243</v>
      </c>
      <c r="G2421" t="s">
        <v>6121</v>
      </c>
      <c r="H2421" t="s">
        <v>213</v>
      </c>
      <c r="I2421">
        <v>0</v>
      </c>
      <c r="J2421">
        <v>0</v>
      </c>
      <c r="K2421">
        <v>0</v>
      </c>
      <c r="L2421">
        <v>0</v>
      </c>
      <c r="S2421" t="s">
        <v>6120</v>
      </c>
    </row>
    <row r="2422" spans="1:19" x14ac:dyDescent="0.3">
      <c r="A2422" t="s">
        <v>6122</v>
      </c>
      <c r="B2422" t="s">
        <v>6123</v>
      </c>
      <c r="C2422" t="s">
        <v>114</v>
      </c>
      <c r="D2422" t="s">
        <v>63</v>
      </c>
      <c r="E2422" t="s">
        <v>323</v>
      </c>
      <c r="F2422" t="s">
        <v>243</v>
      </c>
      <c r="G2422" t="s">
        <v>190</v>
      </c>
      <c r="H2422" t="s">
        <v>213</v>
      </c>
      <c r="I2422">
        <v>0</v>
      </c>
      <c r="J2422">
        <v>0</v>
      </c>
      <c r="K2422">
        <v>0</v>
      </c>
      <c r="L2422">
        <v>0</v>
      </c>
      <c r="S2422" t="s">
        <v>6123</v>
      </c>
    </row>
    <row r="2423" spans="1:19" x14ac:dyDescent="0.3">
      <c r="A2423" t="s">
        <v>6124</v>
      </c>
      <c r="B2423" t="s">
        <v>6125</v>
      </c>
      <c r="C2423" t="s">
        <v>251</v>
      </c>
      <c r="F2423" t="s">
        <v>251</v>
      </c>
      <c r="G2423" t="s">
        <v>6114</v>
      </c>
      <c r="H2423" t="s">
        <v>317</v>
      </c>
      <c r="I2423">
        <v>0</v>
      </c>
      <c r="J2423">
        <v>0</v>
      </c>
      <c r="K2423">
        <v>0</v>
      </c>
      <c r="L2423">
        <v>0</v>
      </c>
      <c r="S2423" t="s">
        <v>6125</v>
      </c>
    </row>
    <row r="2424" spans="1:19" x14ac:dyDescent="0.3">
      <c r="A2424" t="s">
        <v>6126</v>
      </c>
      <c r="B2424" t="s">
        <v>6127</v>
      </c>
      <c r="C2424" t="s">
        <v>243</v>
      </c>
      <c r="D2424" t="s">
        <v>63</v>
      </c>
      <c r="E2424" t="s">
        <v>74</v>
      </c>
      <c r="F2424" t="s">
        <v>243</v>
      </c>
      <c r="G2424" t="s">
        <v>6128</v>
      </c>
      <c r="H2424" t="s">
        <v>75</v>
      </c>
      <c r="I2424">
        <v>0</v>
      </c>
      <c r="J2424">
        <v>0</v>
      </c>
      <c r="K2424">
        <v>0</v>
      </c>
      <c r="L2424">
        <v>0</v>
      </c>
      <c r="S2424" t="s">
        <v>6127</v>
      </c>
    </row>
    <row r="2425" spans="1:19" x14ac:dyDescent="0.3">
      <c r="A2425" t="s">
        <v>6129</v>
      </c>
      <c r="B2425" t="s">
        <v>6130</v>
      </c>
      <c r="C2425" t="s">
        <v>114</v>
      </c>
      <c r="D2425" t="s">
        <v>63</v>
      </c>
      <c r="E2425" t="s">
        <v>2897</v>
      </c>
      <c r="F2425" t="s">
        <v>114</v>
      </c>
      <c r="G2425" t="s">
        <v>5783</v>
      </c>
      <c r="H2425" t="s">
        <v>213</v>
      </c>
      <c r="I2425">
        <v>0</v>
      </c>
      <c r="J2425">
        <v>0</v>
      </c>
      <c r="K2425">
        <v>0</v>
      </c>
      <c r="L2425">
        <v>0</v>
      </c>
      <c r="S2425" t="s">
        <v>6130</v>
      </c>
    </row>
    <row r="2426" spans="1:19" x14ac:dyDescent="0.3">
      <c r="A2426" t="s">
        <v>6131</v>
      </c>
      <c r="B2426" t="s">
        <v>6132</v>
      </c>
      <c r="C2426" t="s">
        <v>114</v>
      </c>
      <c r="D2426" t="s">
        <v>63</v>
      </c>
      <c r="E2426" t="s">
        <v>331</v>
      </c>
      <c r="F2426" t="s">
        <v>114</v>
      </c>
      <c r="G2426" t="s">
        <v>6068</v>
      </c>
      <c r="H2426" t="s">
        <v>213</v>
      </c>
      <c r="I2426">
        <v>0</v>
      </c>
      <c r="J2426">
        <v>0</v>
      </c>
      <c r="K2426">
        <v>0</v>
      </c>
      <c r="L2426">
        <v>0</v>
      </c>
      <c r="Q2426" t="s">
        <v>6133</v>
      </c>
      <c r="R2426" t="s">
        <v>6134</v>
      </c>
      <c r="S2426" t="s">
        <v>6132</v>
      </c>
    </row>
    <row r="2427" spans="1:19" x14ac:dyDescent="0.3">
      <c r="A2427" t="s">
        <v>6135</v>
      </c>
      <c r="B2427" t="s">
        <v>6136</v>
      </c>
      <c r="C2427" t="s">
        <v>114</v>
      </c>
      <c r="D2427" t="s">
        <v>63</v>
      </c>
      <c r="E2427" t="s">
        <v>331</v>
      </c>
      <c r="F2427" t="s">
        <v>114</v>
      </c>
      <c r="G2427" t="s">
        <v>6137</v>
      </c>
      <c r="H2427" t="s">
        <v>75</v>
      </c>
      <c r="I2427">
        <v>0</v>
      </c>
      <c r="J2427">
        <v>0</v>
      </c>
      <c r="K2427">
        <v>0</v>
      </c>
      <c r="L2427">
        <v>0</v>
      </c>
      <c r="S2427" t="s">
        <v>6136</v>
      </c>
    </row>
    <row r="2428" spans="1:19" x14ac:dyDescent="0.3">
      <c r="A2428" t="s">
        <v>6138</v>
      </c>
      <c r="B2428" t="s">
        <v>6139</v>
      </c>
      <c r="C2428" t="s">
        <v>114</v>
      </c>
      <c r="D2428" t="s">
        <v>63</v>
      </c>
      <c r="E2428" t="s">
        <v>331</v>
      </c>
      <c r="F2428" t="s">
        <v>114</v>
      </c>
      <c r="G2428" t="s">
        <v>1891</v>
      </c>
      <c r="H2428" t="s">
        <v>75</v>
      </c>
      <c r="I2428">
        <v>0</v>
      </c>
      <c r="J2428">
        <v>0</v>
      </c>
      <c r="K2428">
        <v>0</v>
      </c>
      <c r="L2428">
        <v>0</v>
      </c>
      <c r="S2428" t="s">
        <v>6139</v>
      </c>
    </row>
    <row r="2429" spans="1:19" x14ac:dyDescent="0.3">
      <c r="A2429" t="s">
        <v>6140</v>
      </c>
      <c r="B2429" t="s">
        <v>6141</v>
      </c>
      <c r="C2429" t="s">
        <v>251</v>
      </c>
      <c r="D2429" t="s">
        <v>63</v>
      </c>
      <c r="E2429" t="s">
        <v>323</v>
      </c>
      <c r="F2429" t="s">
        <v>251</v>
      </c>
      <c r="G2429" t="s">
        <v>2318</v>
      </c>
      <c r="H2429" t="s">
        <v>213</v>
      </c>
      <c r="I2429">
        <v>0</v>
      </c>
      <c r="J2429">
        <v>0</v>
      </c>
      <c r="K2429">
        <v>0</v>
      </c>
      <c r="L2429">
        <v>0</v>
      </c>
      <c r="S2429" t="s">
        <v>6141</v>
      </c>
    </row>
    <row r="2430" spans="1:19" x14ac:dyDescent="0.3">
      <c r="A2430" t="s">
        <v>6142</v>
      </c>
      <c r="B2430" t="s">
        <v>6143</v>
      </c>
      <c r="C2430" t="s">
        <v>251</v>
      </c>
      <c r="D2430" t="s">
        <v>63</v>
      </c>
      <c r="E2430" t="s">
        <v>74</v>
      </c>
      <c r="F2430" t="s">
        <v>251</v>
      </c>
      <c r="G2430" t="s">
        <v>6142</v>
      </c>
      <c r="H2430" t="s">
        <v>75</v>
      </c>
      <c r="I2430">
        <v>0</v>
      </c>
      <c r="J2430">
        <v>0</v>
      </c>
      <c r="K2430">
        <v>0</v>
      </c>
      <c r="L2430">
        <v>0</v>
      </c>
      <c r="S2430" t="s">
        <v>6143</v>
      </c>
    </row>
    <row r="2431" spans="1:19" x14ac:dyDescent="0.3">
      <c r="A2431" t="s">
        <v>2423</v>
      </c>
      <c r="B2431" t="s">
        <v>6144</v>
      </c>
      <c r="C2431" t="s">
        <v>251</v>
      </c>
      <c r="D2431" t="s">
        <v>63</v>
      </c>
      <c r="E2431" t="s">
        <v>575</v>
      </c>
      <c r="F2431" t="s">
        <v>251</v>
      </c>
      <c r="G2431" t="s">
        <v>2423</v>
      </c>
      <c r="H2431" t="s">
        <v>213</v>
      </c>
      <c r="I2431">
        <v>0</v>
      </c>
      <c r="J2431">
        <v>0</v>
      </c>
      <c r="K2431">
        <v>0</v>
      </c>
      <c r="L2431">
        <v>0</v>
      </c>
      <c r="S2431" t="s">
        <v>6144</v>
      </c>
    </row>
    <row r="2432" spans="1:19" x14ac:dyDescent="0.3">
      <c r="A2432" t="s">
        <v>6145</v>
      </c>
      <c r="B2432" t="s">
        <v>6146</v>
      </c>
      <c r="C2432" t="s">
        <v>251</v>
      </c>
      <c r="D2432" t="s">
        <v>63</v>
      </c>
      <c r="E2432" t="s">
        <v>323</v>
      </c>
      <c r="F2432" t="s">
        <v>251</v>
      </c>
      <c r="G2432" t="s">
        <v>6147</v>
      </c>
      <c r="H2432" t="s">
        <v>317</v>
      </c>
      <c r="I2432">
        <v>0</v>
      </c>
      <c r="J2432">
        <v>0</v>
      </c>
      <c r="K2432">
        <v>0</v>
      </c>
      <c r="L2432">
        <v>0</v>
      </c>
      <c r="S2432" t="s">
        <v>6146</v>
      </c>
    </row>
    <row r="2433" spans="1:19" x14ac:dyDescent="0.3">
      <c r="A2433" t="s">
        <v>6148</v>
      </c>
      <c r="B2433" t="s">
        <v>6149</v>
      </c>
      <c r="C2433" t="s">
        <v>251</v>
      </c>
      <c r="D2433" t="s">
        <v>63</v>
      </c>
      <c r="E2433" t="s">
        <v>323</v>
      </c>
      <c r="F2433" t="s">
        <v>251</v>
      </c>
      <c r="G2433" t="s">
        <v>2267</v>
      </c>
      <c r="H2433" t="s">
        <v>317</v>
      </c>
      <c r="I2433">
        <v>0</v>
      </c>
      <c r="J2433">
        <v>0</v>
      </c>
      <c r="K2433">
        <v>0</v>
      </c>
      <c r="L2433">
        <v>0</v>
      </c>
      <c r="S2433" t="s">
        <v>6149</v>
      </c>
    </row>
    <row r="2434" spans="1:19" x14ac:dyDescent="0.3">
      <c r="A2434" t="s">
        <v>6150</v>
      </c>
      <c r="B2434" t="s">
        <v>6151</v>
      </c>
      <c r="C2434" t="s">
        <v>251</v>
      </c>
      <c r="D2434" t="s">
        <v>63</v>
      </c>
      <c r="E2434" t="s">
        <v>315</v>
      </c>
      <c r="F2434" t="s">
        <v>251</v>
      </c>
      <c r="G2434" t="s">
        <v>6150</v>
      </c>
      <c r="H2434" t="s">
        <v>213</v>
      </c>
      <c r="I2434">
        <v>0</v>
      </c>
      <c r="J2434">
        <v>0</v>
      </c>
      <c r="K2434">
        <v>0</v>
      </c>
      <c r="L2434">
        <v>0</v>
      </c>
      <c r="S2434" t="s">
        <v>6151</v>
      </c>
    </row>
    <row r="2435" spans="1:19" x14ac:dyDescent="0.3">
      <c r="A2435" t="s">
        <v>2017</v>
      </c>
      <c r="B2435" t="s">
        <v>6152</v>
      </c>
      <c r="C2435" t="s">
        <v>114</v>
      </c>
      <c r="D2435" t="s">
        <v>63</v>
      </c>
      <c r="E2435" t="s">
        <v>74</v>
      </c>
      <c r="F2435" t="s">
        <v>114</v>
      </c>
      <c r="G2435" t="s">
        <v>2017</v>
      </c>
      <c r="H2435" t="s">
        <v>75</v>
      </c>
      <c r="I2435">
        <v>0</v>
      </c>
      <c r="J2435">
        <v>0</v>
      </c>
      <c r="K2435">
        <v>0</v>
      </c>
      <c r="L2435">
        <v>0</v>
      </c>
      <c r="S2435" t="s">
        <v>6152</v>
      </c>
    </row>
    <row r="2436" spans="1:19" x14ac:dyDescent="0.3">
      <c r="A2436" t="s">
        <v>6153</v>
      </c>
      <c r="B2436" t="s">
        <v>6154</v>
      </c>
      <c r="C2436" t="s">
        <v>251</v>
      </c>
      <c r="D2436" t="s">
        <v>63</v>
      </c>
      <c r="E2436" t="s">
        <v>74</v>
      </c>
      <c r="F2436" t="s">
        <v>251</v>
      </c>
      <c r="G2436" t="s">
        <v>6155</v>
      </c>
      <c r="H2436" t="s">
        <v>317</v>
      </c>
      <c r="I2436">
        <v>0</v>
      </c>
      <c r="J2436">
        <v>0</v>
      </c>
      <c r="K2436">
        <v>0</v>
      </c>
      <c r="L2436">
        <v>0</v>
      </c>
      <c r="S2436" t="s">
        <v>6154</v>
      </c>
    </row>
    <row r="2437" spans="1:19" x14ac:dyDescent="0.3">
      <c r="A2437" t="s">
        <v>6156</v>
      </c>
      <c r="B2437" t="s">
        <v>6157</v>
      </c>
      <c r="C2437" t="s">
        <v>251</v>
      </c>
      <c r="D2437" t="s">
        <v>63</v>
      </c>
      <c r="E2437" t="s">
        <v>74</v>
      </c>
      <c r="F2437" t="s">
        <v>251</v>
      </c>
      <c r="G2437" t="s">
        <v>6158</v>
      </c>
      <c r="H2437" t="s">
        <v>317</v>
      </c>
      <c r="I2437">
        <v>0</v>
      </c>
      <c r="J2437">
        <v>0</v>
      </c>
      <c r="K2437">
        <v>0</v>
      </c>
      <c r="L2437">
        <v>0</v>
      </c>
      <c r="S2437" t="s">
        <v>6157</v>
      </c>
    </row>
    <row r="2438" spans="1:19" x14ac:dyDescent="0.3">
      <c r="A2438" t="s">
        <v>6159</v>
      </c>
      <c r="B2438" t="s">
        <v>6160</v>
      </c>
      <c r="C2438" t="s">
        <v>251</v>
      </c>
      <c r="D2438" t="s">
        <v>63</v>
      </c>
      <c r="E2438" t="s">
        <v>323</v>
      </c>
      <c r="F2438" t="s">
        <v>251</v>
      </c>
      <c r="G2438" t="s">
        <v>6161</v>
      </c>
      <c r="H2438" t="s">
        <v>317</v>
      </c>
      <c r="I2438">
        <v>0</v>
      </c>
      <c r="J2438">
        <v>0</v>
      </c>
      <c r="K2438">
        <v>0</v>
      </c>
      <c r="L2438">
        <v>0</v>
      </c>
      <c r="S2438" t="s">
        <v>6160</v>
      </c>
    </row>
    <row r="2439" spans="1:19" x14ac:dyDescent="0.3">
      <c r="A2439" t="s">
        <v>6162</v>
      </c>
      <c r="B2439" t="s">
        <v>6163</v>
      </c>
      <c r="C2439" t="s">
        <v>251</v>
      </c>
      <c r="D2439" t="s">
        <v>35</v>
      </c>
      <c r="E2439" t="s">
        <v>389</v>
      </c>
      <c r="F2439" t="s">
        <v>251</v>
      </c>
      <c r="G2439" t="s">
        <v>5762</v>
      </c>
      <c r="H2439" t="s">
        <v>317</v>
      </c>
      <c r="I2439">
        <v>0</v>
      </c>
      <c r="J2439">
        <v>0</v>
      </c>
      <c r="K2439">
        <v>0</v>
      </c>
      <c r="L2439">
        <v>0</v>
      </c>
      <c r="S2439" t="s">
        <v>6163</v>
      </c>
    </row>
    <row r="2440" spans="1:19" x14ac:dyDescent="0.3">
      <c r="A2440" t="s">
        <v>6164</v>
      </c>
      <c r="B2440" t="s">
        <v>6165</v>
      </c>
      <c r="C2440" t="s">
        <v>251</v>
      </c>
      <c r="D2440" t="s">
        <v>63</v>
      </c>
      <c r="E2440" t="s">
        <v>315</v>
      </c>
      <c r="F2440" t="s">
        <v>251</v>
      </c>
      <c r="G2440" t="s">
        <v>6166</v>
      </c>
      <c r="H2440" t="s">
        <v>317</v>
      </c>
      <c r="I2440">
        <v>0</v>
      </c>
      <c r="J2440">
        <v>0</v>
      </c>
      <c r="K2440">
        <v>0</v>
      </c>
      <c r="L2440">
        <v>0</v>
      </c>
      <c r="S2440" t="s">
        <v>6165</v>
      </c>
    </row>
    <row r="2441" spans="1:19" x14ac:dyDescent="0.3">
      <c r="A2441" t="s">
        <v>6167</v>
      </c>
      <c r="B2441" t="s">
        <v>6168</v>
      </c>
      <c r="C2441" t="s">
        <v>114</v>
      </c>
      <c r="D2441" t="s">
        <v>63</v>
      </c>
      <c r="E2441" t="s">
        <v>74</v>
      </c>
      <c r="F2441" t="s">
        <v>114</v>
      </c>
      <c r="G2441" t="s">
        <v>2017</v>
      </c>
      <c r="H2441" t="s">
        <v>317</v>
      </c>
      <c r="I2441">
        <v>0</v>
      </c>
      <c r="J2441">
        <v>0</v>
      </c>
      <c r="K2441">
        <v>0</v>
      </c>
      <c r="L2441">
        <v>0</v>
      </c>
      <c r="S2441" t="s">
        <v>6168</v>
      </c>
    </row>
    <row r="2442" spans="1:19" x14ac:dyDescent="0.3">
      <c r="A2442" t="s">
        <v>6169</v>
      </c>
      <c r="B2442" t="s">
        <v>6170</v>
      </c>
      <c r="C2442" t="s">
        <v>114</v>
      </c>
      <c r="D2442" t="s">
        <v>63</v>
      </c>
      <c r="E2442" t="s">
        <v>74</v>
      </c>
      <c r="F2442" t="s">
        <v>114</v>
      </c>
      <c r="G2442" t="s">
        <v>2017</v>
      </c>
      <c r="H2442" t="s">
        <v>317</v>
      </c>
      <c r="I2442">
        <v>0</v>
      </c>
      <c r="J2442">
        <v>0</v>
      </c>
      <c r="K2442">
        <v>0</v>
      </c>
      <c r="L2442">
        <v>0</v>
      </c>
      <c r="S2442" t="s">
        <v>6170</v>
      </c>
    </row>
    <row r="2443" spans="1:19" x14ac:dyDescent="0.3">
      <c r="A2443" t="s">
        <v>4388</v>
      </c>
      <c r="B2443" t="s">
        <v>6171</v>
      </c>
      <c r="C2443" t="s">
        <v>243</v>
      </c>
      <c r="D2443" t="s">
        <v>35</v>
      </c>
      <c r="E2443" t="s">
        <v>128</v>
      </c>
      <c r="F2443" t="s">
        <v>243</v>
      </c>
      <c r="G2443" t="s">
        <v>4388</v>
      </c>
      <c r="H2443" t="s">
        <v>317</v>
      </c>
      <c r="I2443">
        <v>0</v>
      </c>
      <c r="J2443">
        <v>0</v>
      </c>
      <c r="K2443">
        <v>0</v>
      </c>
      <c r="L2443">
        <v>0</v>
      </c>
      <c r="S2443" t="s">
        <v>6171</v>
      </c>
    </row>
    <row r="2444" spans="1:19" x14ac:dyDescent="0.3">
      <c r="A2444" t="s">
        <v>6172</v>
      </c>
      <c r="B2444" t="s">
        <v>6173</v>
      </c>
      <c r="C2444" t="s">
        <v>243</v>
      </c>
      <c r="D2444" t="s">
        <v>63</v>
      </c>
      <c r="E2444" t="s">
        <v>74</v>
      </c>
      <c r="F2444" t="s">
        <v>243</v>
      </c>
      <c r="G2444" t="s">
        <v>6172</v>
      </c>
      <c r="H2444" t="s">
        <v>317</v>
      </c>
      <c r="I2444">
        <v>0</v>
      </c>
      <c r="J2444">
        <v>0</v>
      </c>
      <c r="K2444">
        <v>0</v>
      </c>
      <c r="L2444">
        <v>0</v>
      </c>
      <c r="S2444" t="s">
        <v>6173</v>
      </c>
    </row>
    <row r="2445" spans="1:19" x14ac:dyDescent="0.3">
      <c r="A2445" t="s">
        <v>6174</v>
      </c>
      <c r="B2445" t="s">
        <v>6175</v>
      </c>
      <c r="C2445" t="s">
        <v>114</v>
      </c>
      <c r="D2445" t="s">
        <v>63</v>
      </c>
      <c r="E2445" t="s">
        <v>323</v>
      </c>
      <c r="F2445" t="s">
        <v>114</v>
      </c>
      <c r="G2445" t="s">
        <v>6174</v>
      </c>
      <c r="H2445" t="s">
        <v>213</v>
      </c>
      <c r="I2445">
        <v>0</v>
      </c>
      <c r="J2445">
        <v>0</v>
      </c>
      <c r="K2445">
        <v>0</v>
      </c>
      <c r="L2445">
        <v>0</v>
      </c>
      <c r="S2445" t="s">
        <v>6175</v>
      </c>
    </row>
    <row r="2446" spans="1:19" x14ac:dyDescent="0.3">
      <c r="A2446" t="s">
        <v>6176</v>
      </c>
      <c r="B2446" t="s">
        <v>6177</v>
      </c>
      <c r="C2446" t="s">
        <v>114</v>
      </c>
      <c r="D2446" t="s">
        <v>35</v>
      </c>
      <c r="E2446" t="s">
        <v>560</v>
      </c>
      <c r="F2446" t="s">
        <v>114</v>
      </c>
      <c r="G2446" t="s">
        <v>6176</v>
      </c>
      <c r="H2446" t="s">
        <v>213</v>
      </c>
      <c r="I2446">
        <v>0</v>
      </c>
      <c r="J2446">
        <v>0</v>
      </c>
      <c r="K2446">
        <v>0</v>
      </c>
      <c r="L2446">
        <v>0</v>
      </c>
      <c r="Q2446" t="s">
        <v>6178</v>
      </c>
      <c r="R2446" t="s">
        <v>6179</v>
      </c>
      <c r="S2446" t="s">
        <v>6177</v>
      </c>
    </row>
    <row r="2447" spans="1:19" x14ac:dyDescent="0.3">
      <c r="A2447" t="s">
        <v>6180</v>
      </c>
      <c r="B2447" t="s">
        <v>6181</v>
      </c>
      <c r="C2447" t="s">
        <v>114</v>
      </c>
      <c r="D2447" t="s">
        <v>63</v>
      </c>
      <c r="E2447" t="s">
        <v>323</v>
      </c>
      <c r="F2447" t="s">
        <v>114</v>
      </c>
      <c r="G2447" t="s">
        <v>6180</v>
      </c>
      <c r="H2447" t="s">
        <v>213</v>
      </c>
      <c r="I2447">
        <v>0</v>
      </c>
      <c r="J2447">
        <v>0</v>
      </c>
      <c r="K2447">
        <v>0</v>
      </c>
      <c r="L2447">
        <v>0</v>
      </c>
      <c r="S2447" t="s">
        <v>6181</v>
      </c>
    </row>
    <row r="2448" spans="1:19" x14ac:dyDescent="0.3">
      <c r="A2448" t="s">
        <v>6182</v>
      </c>
      <c r="B2448" t="s">
        <v>6183</v>
      </c>
      <c r="C2448" t="s">
        <v>114</v>
      </c>
      <c r="D2448" t="s">
        <v>35</v>
      </c>
      <c r="F2448" t="s">
        <v>114</v>
      </c>
      <c r="G2448" t="s">
        <v>6182</v>
      </c>
      <c r="H2448" t="s">
        <v>213</v>
      </c>
      <c r="I2448">
        <v>0</v>
      </c>
      <c r="J2448">
        <v>0</v>
      </c>
      <c r="K2448">
        <v>0</v>
      </c>
      <c r="L2448">
        <v>0</v>
      </c>
      <c r="S2448" t="s">
        <v>6183</v>
      </c>
    </row>
    <row r="2449" spans="1:19" x14ac:dyDescent="0.3">
      <c r="A2449" t="s">
        <v>6184</v>
      </c>
      <c r="B2449" t="s">
        <v>6185</v>
      </c>
      <c r="C2449" t="s">
        <v>114</v>
      </c>
      <c r="D2449" t="s">
        <v>63</v>
      </c>
      <c r="E2449" t="s">
        <v>6021</v>
      </c>
      <c r="F2449" t="s">
        <v>114</v>
      </c>
      <c r="G2449" t="s">
        <v>6186</v>
      </c>
      <c r="H2449" t="s">
        <v>213</v>
      </c>
      <c r="I2449">
        <v>0</v>
      </c>
      <c r="J2449">
        <v>0</v>
      </c>
      <c r="K2449">
        <v>0</v>
      </c>
      <c r="L2449">
        <v>0</v>
      </c>
      <c r="Q2449" t="s">
        <v>707</v>
      </c>
      <c r="S2449" t="s">
        <v>6185</v>
      </c>
    </row>
    <row r="2450" spans="1:19" x14ac:dyDescent="0.3">
      <c r="A2450" t="s">
        <v>6187</v>
      </c>
      <c r="B2450" t="s">
        <v>6188</v>
      </c>
      <c r="C2450" t="s">
        <v>114</v>
      </c>
      <c r="D2450" t="s">
        <v>63</v>
      </c>
      <c r="E2450" t="s">
        <v>331</v>
      </c>
      <c r="F2450" t="s">
        <v>114</v>
      </c>
      <c r="G2450" t="s">
        <v>1349</v>
      </c>
      <c r="H2450" t="s">
        <v>213</v>
      </c>
      <c r="I2450">
        <v>0</v>
      </c>
      <c r="J2450">
        <v>0</v>
      </c>
      <c r="K2450">
        <v>0</v>
      </c>
      <c r="L2450">
        <v>0</v>
      </c>
      <c r="S2450" t="s">
        <v>6188</v>
      </c>
    </row>
    <row r="2451" spans="1:19" x14ac:dyDescent="0.3">
      <c r="A2451" t="s">
        <v>6189</v>
      </c>
      <c r="B2451" t="s">
        <v>6190</v>
      </c>
      <c r="C2451" t="s">
        <v>114</v>
      </c>
      <c r="D2451" t="s">
        <v>63</v>
      </c>
      <c r="E2451" t="s">
        <v>74</v>
      </c>
      <c r="F2451" t="s">
        <v>114</v>
      </c>
      <c r="G2451" t="s">
        <v>1349</v>
      </c>
      <c r="H2451" t="s">
        <v>213</v>
      </c>
      <c r="I2451">
        <v>0</v>
      </c>
      <c r="J2451">
        <v>0</v>
      </c>
      <c r="K2451">
        <v>0</v>
      </c>
      <c r="L2451">
        <v>0</v>
      </c>
      <c r="S2451" t="s">
        <v>6190</v>
      </c>
    </row>
    <row r="2452" spans="1:19" x14ac:dyDescent="0.3">
      <c r="A2452" t="s">
        <v>6191</v>
      </c>
      <c r="B2452" t="s">
        <v>6192</v>
      </c>
      <c r="C2452" t="s">
        <v>114</v>
      </c>
      <c r="D2452" t="s">
        <v>63</v>
      </c>
      <c r="E2452" t="s">
        <v>331</v>
      </c>
      <c r="F2452" t="s">
        <v>114</v>
      </c>
      <c r="G2452" t="s">
        <v>6193</v>
      </c>
      <c r="H2452" t="s">
        <v>213</v>
      </c>
      <c r="I2452">
        <v>0</v>
      </c>
      <c r="J2452">
        <v>0</v>
      </c>
      <c r="K2452">
        <v>0</v>
      </c>
      <c r="L2452">
        <v>0</v>
      </c>
      <c r="S2452" t="s">
        <v>6192</v>
      </c>
    </row>
    <row r="2453" spans="1:19" x14ac:dyDescent="0.3">
      <c r="A2453" t="s">
        <v>6194</v>
      </c>
      <c r="B2453" t="s">
        <v>6195</v>
      </c>
      <c r="C2453" t="s">
        <v>114</v>
      </c>
      <c r="D2453" t="s">
        <v>63</v>
      </c>
      <c r="E2453" t="s">
        <v>6021</v>
      </c>
      <c r="F2453" t="s">
        <v>114</v>
      </c>
      <c r="G2453" t="s">
        <v>6186</v>
      </c>
      <c r="H2453" t="s">
        <v>213</v>
      </c>
      <c r="I2453">
        <v>0</v>
      </c>
      <c r="J2453">
        <v>0</v>
      </c>
      <c r="K2453">
        <v>0</v>
      </c>
      <c r="L2453">
        <v>0</v>
      </c>
      <c r="S2453" t="s">
        <v>6195</v>
      </c>
    </row>
    <row r="2454" spans="1:19" x14ac:dyDescent="0.3">
      <c r="A2454" t="s">
        <v>6196</v>
      </c>
      <c r="B2454" t="s">
        <v>6197</v>
      </c>
      <c r="C2454" t="s">
        <v>114</v>
      </c>
      <c r="D2454" t="s">
        <v>63</v>
      </c>
      <c r="E2454" t="s">
        <v>315</v>
      </c>
      <c r="F2454" t="s">
        <v>114</v>
      </c>
      <c r="G2454" t="s">
        <v>6198</v>
      </c>
      <c r="H2454" t="s">
        <v>213</v>
      </c>
      <c r="I2454">
        <v>0</v>
      </c>
      <c r="J2454">
        <v>0</v>
      </c>
      <c r="K2454">
        <v>0</v>
      </c>
      <c r="L2454">
        <v>0</v>
      </c>
      <c r="S2454" t="s">
        <v>6197</v>
      </c>
    </row>
    <row r="2455" spans="1:19" x14ac:dyDescent="0.3">
      <c r="A2455" t="s">
        <v>6199</v>
      </c>
      <c r="B2455" t="s">
        <v>6200</v>
      </c>
      <c r="C2455" t="s">
        <v>243</v>
      </c>
      <c r="F2455" t="s">
        <v>243</v>
      </c>
      <c r="G2455" t="s">
        <v>6201</v>
      </c>
      <c r="H2455" t="s">
        <v>213</v>
      </c>
      <c r="I2455">
        <v>0</v>
      </c>
      <c r="J2455">
        <v>0</v>
      </c>
      <c r="K2455">
        <v>0</v>
      </c>
      <c r="L2455">
        <v>0</v>
      </c>
      <c r="S2455" t="s">
        <v>6200</v>
      </c>
    </row>
    <row r="2456" spans="1:19" x14ac:dyDescent="0.3">
      <c r="A2456" t="s">
        <v>6202</v>
      </c>
      <c r="B2456" t="s">
        <v>6203</v>
      </c>
      <c r="C2456" t="s">
        <v>114</v>
      </c>
      <c r="D2456" t="s">
        <v>63</v>
      </c>
      <c r="E2456" t="s">
        <v>331</v>
      </c>
      <c r="F2456" t="s">
        <v>114</v>
      </c>
      <c r="G2456" t="s">
        <v>6204</v>
      </c>
      <c r="H2456" t="s">
        <v>213</v>
      </c>
      <c r="I2456">
        <v>0</v>
      </c>
      <c r="J2456">
        <v>0</v>
      </c>
      <c r="K2456">
        <v>0</v>
      </c>
      <c r="L2456">
        <v>0</v>
      </c>
      <c r="S2456" t="s">
        <v>6203</v>
      </c>
    </row>
    <row r="2457" spans="1:19" x14ac:dyDescent="0.3">
      <c r="A2457" t="s">
        <v>6205</v>
      </c>
      <c r="B2457" t="s">
        <v>6206</v>
      </c>
      <c r="C2457" t="s">
        <v>243</v>
      </c>
      <c r="D2457" t="s">
        <v>63</v>
      </c>
      <c r="E2457" t="s">
        <v>6021</v>
      </c>
      <c r="F2457" t="s">
        <v>243</v>
      </c>
      <c r="G2457" t="s">
        <v>6205</v>
      </c>
      <c r="H2457" t="s">
        <v>213</v>
      </c>
      <c r="I2457">
        <v>0</v>
      </c>
      <c r="J2457">
        <v>0</v>
      </c>
      <c r="K2457">
        <v>0</v>
      </c>
      <c r="L2457">
        <v>0</v>
      </c>
      <c r="S2457" t="s">
        <v>6206</v>
      </c>
    </row>
    <row r="2458" spans="1:19" x14ac:dyDescent="0.3">
      <c r="A2458" t="s">
        <v>6207</v>
      </c>
      <c r="B2458" t="s">
        <v>6208</v>
      </c>
      <c r="C2458" t="s">
        <v>243</v>
      </c>
      <c r="F2458" t="s">
        <v>243</v>
      </c>
      <c r="G2458" t="s">
        <v>6207</v>
      </c>
      <c r="H2458" t="s">
        <v>213</v>
      </c>
      <c r="I2458">
        <v>0</v>
      </c>
      <c r="J2458">
        <v>0</v>
      </c>
      <c r="K2458">
        <v>0</v>
      </c>
      <c r="L2458">
        <v>0</v>
      </c>
      <c r="S2458" t="s">
        <v>6208</v>
      </c>
    </row>
    <row r="2459" spans="1:19" x14ac:dyDescent="0.3">
      <c r="A2459" t="s">
        <v>6209</v>
      </c>
      <c r="B2459" t="s">
        <v>6210</v>
      </c>
      <c r="C2459" t="s">
        <v>243</v>
      </c>
      <c r="D2459" t="s">
        <v>63</v>
      </c>
      <c r="E2459" t="s">
        <v>323</v>
      </c>
      <c r="F2459" t="s">
        <v>243</v>
      </c>
      <c r="G2459" t="s">
        <v>6209</v>
      </c>
      <c r="H2459" t="s">
        <v>213</v>
      </c>
      <c r="I2459">
        <v>0</v>
      </c>
      <c r="J2459">
        <v>0</v>
      </c>
      <c r="K2459">
        <v>0</v>
      </c>
      <c r="L2459">
        <v>0</v>
      </c>
      <c r="S2459" t="s">
        <v>6210</v>
      </c>
    </row>
    <row r="2460" spans="1:19" x14ac:dyDescent="0.3">
      <c r="A2460" t="s">
        <v>6211</v>
      </c>
      <c r="B2460" t="s">
        <v>6212</v>
      </c>
      <c r="C2460" t="s">
        <v>114</v>
      </c>
      <c r="D2460" t="s">
        <v>63</v>
      </c>
      <c r="E2460" t="s">
        <v>6021</v>
      </c>
      <c r="F2460" t="s">
        <v>114</v>
      </c>
      <c r="G2460" t="s">
        <v>6213</v>
      </c>
      <c r="H2460" t="s">
        <v>213</v>
      </c>
      <c r="I2460">
        <v>0</v>
      </c>
      <c r="J2460">
        <v>0</v>
      </c>
      <c r="K2460">
        <v>0</v>
      </c>
      <c r="L2460">
        <v>0</v>
      </c>
      <c r="S2460" t="s">
        <v>6212</v>
      </c>
    </row>
    <row r="2461" spans="1:19" x14ac:dyDescent="0.3">
      <c r="A2461" t="s">
        <v>6214</v>
      </c>
      <c r="B2461" t="s">
        <v>6215</v>
      </c>
      <c r="C2461" t="s">
        <v>243</v>
      </c>
      <c r="D2461" t="s">
        <v>63</v>
      </c>
      <c r="E2461" t="s">
        <v>6021</v>
      </c>
      <c r="F2461" t="s">
        <v>243</v>
      </c>
      <c r="G2461" t="s">
        <v>6214</v>
      </c>
      <c r="H2461" t="s">
        <v>213</v>
      </c>
      <c r="I2461">
        <v>0</v>
      </c>
      <c r="J2461">
        <v>0</v>
      </c>
      <c r="K2461">
        <v>0</v>
      </c>
      <c r="L2461">
        <v>0</v>
      </c>
      <c r="S2461" t="s">
        <v>6215</v>
      </c>
    </row>
    <row r="2462" spans="1:19" x14ac:dyDescent="0.3">
      <c r="A2462" t="s">
        <v>6216</v>
      </c>
      <c r="B2462" t="s">
        <v>6217</v>
      </c>
      <c r="C2462" t="s">
        <v>243</v>
      </c>
      <c r="F2462" t="s">
        <v>243</v>
      </c>
      <c r="G2462" t="s">
        <v>6209</v>
      </c>
      <c r="H2462" t="s">
        <v>213</v>
      </c>
      <c r="I2462">
        <v>0</v>
      </c>
      <c r="J2462">
        <v>0</v>
      </c>
      <c r="K2462">
        <v>0</v>
      </c>
      <c r="L2462">
        <v>0</v>
      </c>
      <c r="S2462" t="s">
        <v>6217</v>
      </c>
    </row>
    <row r="2463" spans="1:19" x14ac:dyDescent="0.3">
      <c r="A2463" t="s">
        <v>6218</v>
      </c>
      <c r="B2463" t="s">
        <v>6219</v>
      </c>
      <c r="C2463" t="s">
        <v>251</v>
      </c>
      <c r="D2463" t="s">
        <v>35</v>
      </c>
      <c r="E2463" t="s">
        <v>389</v>
      </c>
      <c r="F2463" t="s">
        <v>251</v>
      </c>
      <c r="G2463" t="s">
        <v>6220</v>
      </c>
      <c r="H2463" t="s">
        <v>213</v>
      </c>
      <c r="I2463">
        <v>0</v>
      </c>
      <c r="J2463">
        <v>0</v>
      </c>
      <c r="K2463">
        <v>0</v>
      </c>
      <c r="L2463">
        <v>0</v>
      </c>
      <c r="S2463" t="s">
        <v>6219</v>
      </c>
    </row>
    <row r="2464" spans="1:19" x14ac:dyDescent="0.3">
      <c r="A2464" t="s">
        <v>1399</v>
      </c>
      <c r="B2464" t="s">
        <v>6221</v>
      </c>
      <c r="C2464" t="s">
        <v>251</v>
      </c>
      <c r="D2464" t="s">
        <v>35</v>
      </c>
      <c r="E2464" t="s">
        <v>400</v>
      </c>
      <c r="F2464" t="s">
        <v>251</v>
      </c>
      <c r="G2464" t="s">
        <v>1399</v>
      </c>
      <c r="H2464" t="s">
        <v>75</v>
      </c>
      <c r="I2464">
        <v>0</v>
      </c>
      <c r="J2464">
        <v>0</v>
      </c>
      <c r="K2464">
        <v>0</v>
      </c>
      <c r="L2464">
        <v>0</v>
      </c>
      <c r="S2464" t="s">
        <v>6221</v>
      </c>
    </row>
    <row r="2465" spans="1:19" x14ac:dyDescent="0.3">
      <c r="A2465" t="s">
        <v>6222</v>
      </c>
      <c r="B2465" t="s">
        <v>6223</v>
      </c>
      <c r="C2465" t="s">
        <v>243</v>
      </c>
      <c r="D2465" t="s">
        <v>63</v>
      </c>
      <c r="E2465" t="s">
        <v>323</v>
      </c>
      <c r="F2465" t="s">
        <v>243</v>
      </c>
      <c r="G2465" t="s">
        <v>6224</v>
      </c>
      <c r="H2465" t="s">
        <v>317</v>
      </c>
      <c r="I2465">
        <v>0</v>
      </c>
      <c r="J2465">
        <v>0</v>
      </c>
      <c r="K2465">
        <v>0</v>
      </c>
      <c r="L2465">
        <v>0</v>
      </c>
      <c r="M2465" t="s">
        <v>57</v>
      </c>
      <c r="N2465" t="s">
        <v>28</v>
      </c>
      <c r="O2465" t="s">
        <v>58</v>
      </c>
      <c r="P2465" t="s">
        <v>30</v>
      </c>
      <c r="Q2465" t="s">
        <v>899</v>
      </c>
      <c r="R2465" t="s">
        <v>900</v>
      </c>
      <c r="S2465" t="s">
        <v>901</v>
      </c>
    </row>
    <row r="2466" spans="1:19" x14ac:dyDescent="0.3">
      <c r="A2466" t="s">
        <v>6068</v>
      </c>
      <c r="B2466" t="s">
        <v>6225</v>
      </c>
      <c r="C2466" t="s">
        <v>114</v>
      </c>
      <c r="D2466" t="s">
        <v>35</v>
      </c>
      <c r="E2466" t="s">
        <v>44</v>
      </c>
      <c r="F2466" t="s">
        <v>114</v>
      </c>
      <c r="G2466" t="s">
        <v>6068</v>
      </c>
      <c r="H2466" t="s">
        <v>213</v>
      </c>
      <c r="I2466">
        <v>0</v>
      </c>
      <c r="J2466">
        <v>0</v>
      </c>
      <c r="K2466">
        <v>0</v>
      </c>
      <c r="L2466">
        <v>0</v>
      </c>
      <c r="S2466" t="s">
        <v>6225</v>
      </c>
    </row>
    <row r="2467" spans="1:19" x14ac:dyDescent="0.3">
      <c r="A2467" t="s">
        <v>2250</v>
      </c>
      <c r="B2467" t="s">
        <v>6226</v>
      </c>
      <c r="C2467" t="s">
        <v>251</v>
      </c>
      <c r="D2467" t="s">
        <v>63</v>
      </c>
      <c r="E2467" t="s">
        <v>315</v>
      </c>
      <c r="F2467" t="s">
        <v>251</v>
      </c>
      <c r="G2467" t="s">
        <v>2250</v>
      </c>
      <c r="H2467" t="s">
        <v>213</v>
      </c>
      <c r="I2467">
        <v>0</v>
      </c>
      <c r="J2467">
        <v>0</v>
      </c>
      <c r="K2467">
        <v>0</v>
      </c>
      <c r="L2467">
        <v>0</v>
      </c>
      <c r="S2467" t="s">
        <v>6226</v>
      </c>
    </row>
    <row r="2468" spans="1:19" x14ac:dyDescent="0.3">
      <c r="A2468" t="s">
        <v>6227</v>
      </c>
      <c r="B2468" t="s">
        <v>6228</v>
      </c>
      <c r="C2468" t="s">
        <v>243</v>
      </c>
      <c r="D2468" t="s">
        <v>63</v>
      </c>
      <c r="E2468" t="s">
        <v>74</v>
      </c>
      <c r="F2468" t="s">
        <v>243</v>
      </c>
      <c r="G2468" t="s">
        <v>1020</v>
      </c>
      <c r="H2468" t="s">
        <v>317</v>
      </c>
      <c r="I2468">
        <v>0</v>
      </c>
      <c r="J2468">
        <v>0</v>
      </c>
      <c r="K2468">
        <v>0</v>
      </c>
      <c r="L2468">
        <v>0</v>
      </c>
      <c r="S2468" t="s">
        <v>6228</v>
      </c>
    </row>
    <row r="2469" spans="1:19" x14ac:dyDescent="0.3">
      <c r="A2469" t="s">
        <v>1139</v>
      </c>
      <c r="B2469" t="s">
        <v>6229</v>
      </c>
      <c r="C2469" t="s">
        <v>251</v>
      </c>
      <c r="D2469" t="s">
        <v>63</v>
      </c>
      <c r="E2469" t="s">
        <v>315</v>
      </c>
      <c r="F2469" t="s">
        <v>251</v>
      </c>
      <c r="G2469" t="s">
        <v>1139</v>
      </c>
      <c r="H2469" t="s">
        <v>213</v>
      </c>
      <c r="I2469">
        <v>0</v>
      </c>
      <c r="J2469">
        <v>0</v>
      </c>
      <c r="K2469">
        <v>0</v>
      </c>
      <c r="L2469">
        <v>0</v>
      </c>
      <c r="S2469" t="s">
        <v>6229</v>
      </c>
    </row>
    <row r="2470" spans="1:19" x14ac:dyDescent="0.3">
      <c r="A2470" t="s">
        <v>6230</v>
      </c>
      <c r="B2470" t="s">
        <v>6231</v>
      </c>
      <c r="C2470" t="s">
        <v>251</v>
      </c>
      <c r="D2470" t="s">
        <v>63</v>
      </c>
      <c r="E2470" t="s">
        <v>323</v>
      </c>
      <c r="F2470" t="s">
        <v>251</v>
      </c>
      <c r="G2470" t="s">
        <v>6056</v>
      </c>
      <c r="H2470" t="s">
        <v>317</v>
      </c>
      <c r="I2470">
        <v>0</v>
      </c>
      <c r="J2470">
        <v>0</v>
      </c>
      <c r="K2470">
        <v>0</v>
      </c>
      <c r="L2470">
        <v>0</v>
      </c>
      <c r="S2470" t="s">
        <v>6231</v>
      </c>
    </row>
    <row r="2471" spans="1:19" x14ac:dyDescent="0.3">
      <c r="A2471" t="s">
        <v>6232</v>
      </c>
      <c r="B2471" t="s">
        <v>6233</v>
      </c>
      <c r="C2471" t="s">
        <v>251</v>
      </c>
      <c r="D2471" t="s">
        <v>63</v>
      </c>
      <c r="E2471" t="s">
        <v>315</v>
      </c>
      <c r="F2471" t="s">
        <v>251</v>
      </c>
      <c r="G2471" t="s">
        <v>6232</v>
      </c>
      <c r="H2471" t="s">
        <v>317</v>
      </c>
      <c r="I2471">
        <v>0</v>
      </c>
      <c r="J2471">
        <v>0</v>
      </c>
      <c r="K2471">
        <v>0</v>
      </c>
      <c r="L2471">
        <v>0</v>
      </c>
      <c r="S2471" t="s">
        <v>6233</v>
      </c>
    </row>
    <row r="2472" spans="1:19" x14ac:dyDescent="0.3">
      <c r="A2472" t="s">
        <v>6234</v>
      </c>
      <c r="B2472" t="s">
        <v>6235</v>
      </c>
      <c r="C2472" t="s">
        <v>251</v>
      </c>
      <c r="D2472" t="s">
        <v>63</v>
      </c>
      <c r="E2472" t="s">
        <v>331</v>
      </c>
      <c r="F2472" t="s">
        <v>251</v>
      </c>
      <c r="G2472" t="s">
        <v>6236</v>
      </c>
      <c r="H2472" t="s">
        <v>317</v>
      </c>
      <c r="I2472">
        <v>0</v>
      </c>
      <c r="J2472">
        <v>0</v>
      </c>
      <c r="K2472">
        <v>0</v>
      </c>
      <c r="L2472">
        <v>0</v>
      </c>
      <c r="S2472" t="s">
        <v>6235</v>
      </c>
    </row>
    <row r="2473" spans="1:19" x14ac:dyDescent="0.3">
      <c r="A2473" t="s">
        <v>2318</v>
      </c>
      <c r="B2473" t="s">
        <v>6237</v>
      </c>
      <c r="C2473" t="s">
        <v>251</v>
      </c>
      <c r="D2473" t="s">
        <v>63</v>
      </c>
      <c r="E2473" t="s">
        <v>74</v>
      </c>
      <c r="F2473" t="s">
        <v>251</v>
      </c>
      <c r="G2473" t="s">
        <v>2318</v>
      </c>
      <c r="H2473" t="s">
        <v>317</v>
      </c>
      <c r="I2473">
        <v>0</v>
      </c>
      <c r="J2473">
        <v>0</v>
      </c>
      <c r="K2473">
        <v>0</v>
      </c>
      <c r="L2473">
        <v>0</v>
      </c>
      <c r="S2473" t="s">
        <v>6237</v>
      </c>
    </row>
    <row r="2474" spans="1:19" x14ac:dyDescent="0.3">
      <c r="A2474" t="s">
        <v>6238</v>
      </c>
      <c r="B2474" t="s">
        <v>6239</v>
      </c>
      <c r="C2474" t="s">
        <v>251</v>
      </c>
      <c r="D2474" t="s">
        <v>63</v>
      </c>
      <c r="E2474" t="s">
        <v>74</v>
      </c>
      <c r="F2474" t="s">
        <v>251</v>
      </c>
      <c r="G2474" t="s">
        <v>6240</v>
      </c>
      <c r="H2474" t="s">
        <v>317</v>
      </c>
      <c r="I2474">
        <v>0</v>
      </c>
      <c r="J2474">
        <v>0</v>
      </c>
      <c r="K2474">
        <v>0</v>
      </c>
      <c r="L2474">
        <v>0</v>
      </c>
      <c r="S2474" t="s">
        <v>6239</v>
      </c>
    </row>
    <row r="2475" spans="1:19" x14ac:dyDescent="0.3">
      <c r="A2475" t="s">
        <v>6241</v>
      </c>
      <c r="B2475" t="s">
        <v>6242</v>
      </c>
      <c r="C2475" t="s">
        <v>251</v>
      </c>
      <c r="D2475" t="s">
        <v>53</v>
      </c>
      <c r="E2475" t="s">
        <v>389</v>
      </c>
      <c r="F2475" t="s">
        <v>251</v>
      </c>
      <c r="G2475" t="s">
        <v>6241</v>
      </c>
      <c r="H2475" t="s">
        <v>317</v>
      </c>
      <c r="I2475">
        <v>0</v>
      </c>
      <c r="J2475">
        <v>0</v>
      </c>
      <c r="K2475">
        <v>0</v>
      </c>
      <c r="L2475">
        <v>0</v>
      </c>
      <c r="S2475" t="s">
        <v>6242</v>
      </c>
    </row>
    <row r="2476" spans="1:19" x14ac:dyDescent="0.3">
      <c r="A2476" t="s">
        <v>6243</v>
      </c>
      <c r="B2476" t="s">
        <v>6244</v>
      </c>
      <c r="C2476" t="s">
        <v>251</v>
      </c>
      <c r="D2476" t="s">
        <v>63</v>
      </c>
      <c r="E2476" t="s">
        <v>74</v>
      </c>
      <c r="F2476" t="s">
        <v>251</v>
      </c>
      <c r="G2476" t="s">
        <v>6245</v>
      </c>
      <c r="H2476" t="s">
        <v>75</v>
      </c>
      <c r="I2476">
        <v>0</v>
      </c>
      <c r="J2476">
        <v>0</v>
      </c>
      <c r="K2476">
        <v>0</v>
      </c>
      <c r="L2476">
        <v>0</v>
      </c>
      <c r="S2476" t="s">
        <v>6244</v>
      </c>
    </row>
    <row r="2477" spans="1:19" x14ac:dyDescent="0.3">
      <c r="A2477" t="s">
        <v>6246</v>
      </c>
      <c r="B2477" t="s">
        <v>6247</v>
      </c>
      <c r="C2477" t="s">
        <v>251</v>
      </c>
      <c r="D2477" t="s">
        <v>35</v>
      </c>
      <c r="E2477" t="s">
        <v>389</v>
      </c>
      <c r="F2477" t="s">
        <v>251</v>
      </c>
      <c r="G2477" t="s">
        <v>2318</v>
      </c>
      <c r="H2477" t="s">
        <v>317</v>
      </c>
      <c r="I2477">
        <v>0</v>
      </c>
      <c r="J2477">
        <v>0</v>
      </c>
      <c r="K2477">
        <v>0</v>
      </c>
      <c r="L2477">
        <v>0</v>
      </c>
      <c r="S2477" t="s">
        <v>6247</v>
      </c>
    </row>
    <row r="2478" spans="1:19" x14ac:dyDescent="0.3">
      <c r="A2478" t="s">
        <v>6248</v>
      </c>
      <c r="B2478" t="s">
        <v>6249</v>
      </c>
      <c r="C2478" t="s">
        <v>243</v>
      </c>
      <c r="F2478" t="s">
        <v>243</v>
      </c>
      <c r="G2478" t="s">
        <v>2514</v>
      </c>
      <c r="H2478" t="s">
        <v>317</v>
      </c>
      <c r="I2478">
        <v>0</v>
      </c>
      <c r="J2478">
        <v>0</v>
      </c>
      <c r="K2478">
        <v>0</v>
      </c>
      <c r="L2478">
        <v>0</v>
      </c>
      <c r="S2478" t="s">
        <v>6249</v>
      </c>
    </row>
    <row r="2479" spans="1:19" x14ac:dyDescent="0.3">
      <c r="A2479" t="s">
        <v>6250</v>
      </c>
      <c r="B2479" t="s">
        <v>6251</v>
      </c>
      <c r="C2479" t="s">
        <v>243</v>
      </c>
      <c r="F2479" t="s">
        <v>243</v>
      </c>
      <c r="G2479" t="s">
        <v>6252</v>
      </c>
      <c r="H2479" t="s">
        <v>75</v>
      </c>
      <c r="I2479">
        <v>0</v>
      </c>
      <c r="J2479">
        <v>0</v>
      </c>
      <c r="K2479">
        <v>0</v>
      </c>
      <c r="L2479">
        <v>0</v>
      </c>
      <c r="S2479" t="s">
        <v>6251</v>
      </c>
    </row>
    <row r="2480" spans="1:19" x14ac:dyDescent="0.3">
      <c r="A2480" t="s">
        <v>6252</v>
      </c>
      <c r="B2480" t="s">
        <v>6253</v>
      </c>
      <c r="C2480" t="s">
        <v>243</v>
      </c>
      <c r="D2480" t="s">
        <v>63</v>
      </c>
      <c r="E2480" t="s">
        <v>74</v>
      </c>
      <c r="F2480" t="s">
        <v>243</v>
      </c>
      <c r="G2480" t="s">
        <v>6252</v>
      </c>
      <c r="H2480" t="s">
        <v>317</v>
      </c>
      <c r="I2480">
        <v>0</v>
      </c>
      <c r="J2480">
        <v>0</v>
      </c>
      <c r="K2480">
        <v>0</v>
      </c>
      <c r="L2480">
        <v>0</v>
      </c>
      <c r="Q2480" t="s">
        <v>6254</v>
      </c>
      <c r="R2480" t="s">
        <v>6255</v>
      </c>
      <c r="S2480" t="s">
        <v>6253</v>
      </c>
    </row>
    <row r="2481" spans="1:19" x14ac:dyDescent="0.3">
      <c r="A2481" t="s">
        <v>6256</v>
      </c>
      <c r="B2481" t="s">
        <v>6257</v>
      </c>
      <c r="C2481" t="s">
        <v>243</v>
      </c>
      <c r="F2481" t="s">
        <v>243</v>
      </c>
      <c r="G2481" t="s">
        <v>2486</v>
      </c>
      <c r="H2481" t="s">
        <v>317</v>
      </c>
      <c r="I2481">
        <v>0</v>
      </c>
      <c r="J2481">
        <v>0</v>
      </c>
      <c r="K2481">
        <v>0</v>
      </c>
      <c r="L2481">
        <v>0</v>
      </c>
      <c r="S2481" t="s">
        <v>6257</v>
      </c>
    </row>
    <row r="2482" spans="1:19" x14ac:dyDescent="0.3">
      <c r="A2482" t="s">
        <v>6258</v>
      </c>
      <c r="B2482" t="s">
        <v>6259</v>
      </c>
      <c r="C2482" t="s">
        <v>43</v>
      </c>
      <c r="D2482" t="s">
        <v>63</v>
      </c>
      <c r="E2482" t="s">
        <v>74</v>
      </c>
      <c r="F2482" t="s">
        <v>45</v>
      </c>
      <c r="G2482" t="s">
        <v>43</v>
      </c>
      <c r="H2482" t="s">
        <v>26</v>
      </c>
      <c r="I2482">
        <v>0</v>
      </c>
      <c r="J2482">
        <v>0</v>
      </c>
      <c r="K2482">
        <v>0</v>
      </c>
      <c r="L2482">
        <v>0</v>
      </c>
      <c r="M2482" t="s">
        <v>239</v>
      </c>
      <c r="N2482" t="s">
        <v>239</v>
      </c>
      <c r="O2482" t="s">
        <v>240</v>
      </c>
      <c r="P2482" t="s">
        <v>239</v>
      </c>
      <c r="Q2482" t="s">
        <v>6260</v>
      </c>
      <c r="R2482" t="s">
        <v>6261</v>
      </c>
      <c r="S2482" t="s">
        <v>6259</v>
      </c>
    </row>
    <row r="2483" spans="1:19" x14ac:dyDescent="0.3">
      <c r="A2483" t="s">
        <v>6262</v>
      </c>
      <c r="B2483" t="s">
        <v>6263</v>
      </c>
      <c r="C2483" t="s">
        <v>228</v>
      </c>
      <c r="D2483" t="s">
        <v>35</v>
      </c>
      <c r="E2483" t="s">
        <v>389</v>
      </c>
      <c r="F2483" t="s">
        <v>228</v>
      </c>
      <c r="G2483" t="s">
        <v>6264</v>
      </c>
      <c r="H2483" t="s">
        <v>75</v>
      </c>
      <c r="I2483">
        <v>0</v>
      </c>
      <c r="J2483">
        <v>0</v>
      </c>
      <c r="K2483">
        <v>0</v>
      </c>
      <c r="L2483">
        <v>0</v>
      </c>
      <c r="M2483" t="s">
        <v>239</v>
      </c>
      <c r="N2483" t="s">
        <v>239</v>
      </c>
      <c r="O2483" t="s">
        <v>240</v>
      </c>
      <c r="P2483" t="s">
        <v>239</v>
      </c>
      <c r="S2483" t="s">
        <v>6263</v>
      </c>
    </row>
    <row r="2484" spans="1:19" x14ac:dyDescent="0.3">
      <c r="A2484" t="s">
        <v>6265</v>
      </c>
      <c r="B2484" t="s">
        <v>6266</v>
      </c>
      <c r="C2484" t="s">
        <v>228</v>
      </c>
      <c r="D2484" t="s">
        <v>35</v>
      </c>
      <c r="E2484" t="s">
        <v>389</v>
      </c>
      <c r="F2484" t="s">
        <v>228</v>
      </c>
      <c r="G2484" t="s">
        <v>6079</v>
      </c>
      <c r="H2484" t="s">
        <v>75</v>
      </c>
      <c r="I2484">
        <v>0</v>
      </c>
      <c r="J2484">
        <v>0</v>
      </c>
      <c r="K2484">
        <v>0</v>
      </c>
      <c r="L2484">
        <v>0</v>
      </c>
      <c r="M2484" t="s">
        <v>239</v>
      </c>
      <c r="N2484" t="s">
        <v>239</v>
      </c>
      <c r="O2484" t="s">
        <v>240</v>
      </c>
      <c r="P2484" t="s">
        <v>239</v>
      </c>
      <c r="Q2484" t="s">
        <v>6267</v>
      </c>
      <c r="R2484" t="s">
        <v>1223</v>
      </c>
      <c r="S2484" t="s">
        <v>6266</v>
      </c>
    </row>
    <row r="2485" spans="1:19" x14ac:dyDescent="0.3">
      <c r="A2485" t="s">
        <v>6268</v>
      </c>
      <c r="B2485" t="s">
        <v>6269</v>
      </c>
      <c r="C2485" t="s">
        <v>73</v>
      </c>
      <c r="D2485" t="s">
        <v>63</v>
      </c>
      <c r="E2485" t="s">
        <v>575</v>
      </c>
      <c r="F2485" t="s">
        <v>73</v>
      </c>
      <c r="G2485" t="s">
        <v>6270</v>
      </c>
      <c r="H2485" t="s">
        <v>75</v>
      </c>
      <c r="I2485">
        <v>0</v>
      </c>
      <c r="J2485">
        <v>0</v>
      </c>
      <c r="K2485">
        <v>0</v>
      </c>
      <c r="L2485">
        <v>0</v>
      </c>
      <c r="M2485" t="s">
        <v>239</v>
      </c>
      <c r="N2485" t="s">
        <v>239</v>
      </c>
      <c r="O2485" t="s">
        <v>240</v>
      </c>
      <c r="P2485" t="s">
        <v>239</v>
      </c>
      <c r="S2485" t="s">
        <v>6269</v>
      </c>
    </row>
    <row r="2486" spans="1:19" x14ac:dyDescent="0.3">
      <c r="A2486" t="s">
        <v>6271</v>
      </c>
      <c r="B2486" t="s">
        <v>6272</v>
      </c>
      <c r="C2486" t="s">
        <v>314</v>
      </c>
      <c r="D2486" t="s">
        <v>35</v>
      </c>
      <c r="E2486" t="s">
        <v>389</v>
      </c>
      <c r="F2486" t="s">
        <v>314</v>
      </c>
      <c r="G2486" t="s">
        <v>6273</v>
      </c>
      <c r="H2486" t="s">
        <v>75</v>
      </c>
      <c r="I2486">
        <v>0</v>
      </c>
      <c r="J2486">
        <v>0</v>
      </c>
      <c r="K2486">
        <v>0</v>
      </c>
      <c r="L2486">
        <v>0</v>
      </c>
      <c r="M2486" t="s">
        <v>239</v>
      </c>
      <c r="N2486" t="s">
        <v>239</v>
      </c>
      <c r="O2486" t="s">
        <v>240</v>
      </c>
      <c r="P2486" t="s">
        <v>239</v>
      </c>
      <c r="S2486" t="s">
        <v>6272</v>
      </c>
    </row>
    <row r="2487" spans="1:19" x14ac:dyDescent="0.3">
      <c r="A2487" t="s">
        <v>6274</v>
      </c>
      <c r="B2487" t="s">
        <v>6275</v>
      </c>
      <c r="C2487" t="s">
        <v>228</v>
      </c>
      <c r="D2487" t="s">
        <v>63</v>
      </c>
      <c r="E2487" t="s">
        <v>74</v>
      </c>
      <c r="F2487" t="s">
        <v>228</v>
      </c>
      <c r="G2487" t="s">
        <v>2588</v>
      </c>
      <c r="H2487" t="s">
        <v>75</v>
      </c>
      <c r="I2487">
        <v>0</v>
      </c>
      <c r="J2487">
        <v>0</v>
      </c>
      <c r="K2487">
        <v>0</v>
      </c>
      <c r="L2487">
        <v>0</v>
      </c>
      <c r="M2487" t="s">
        <v>239</v>
      </c>
      <c r="N2487" t="s">
        <v>239</v>
      </c>
      <c r="O2487" t="s">
        <v>240</v>
      </c>
      <c r="P2487" t="s">
        <v>239</v>
      </c>
      <c r="S2487" t="s">
        <v>6275</v>
      </c>
    </row>
    <row r="2488" spans="1:19" x14ac:dyDescent="0.3">
      <c r="A2488" t="s">
        <v>6276</v>
      </c>
      <c r="B2488" t="s">
        <v>6277</v>
      </c>
      <c r="C2488" t="s">
        <v>314</v>
      </c>
      <c r="D2488" t="s">
        <v>53</v>
      </c>
      <c r="E2488" t="s">
        <v>6278</v>
      </c>
      <c r="F2488" t="s">
        <v>314</v>
      </c>
      <c r="G2488" t="s">
        <v>6276</v>
      </c>
      <c r="H2488" t="s">
        <v>317</v>
      </c>
      <c r="I2488">
        <v>0</v>
      </c>
      <c r="J2488">
        <v>0</v>
      </c>
      <c r="K2488">
        <v>0</v>
      </c>
      <c r="L2488">
        <v>0</v>
      </c>
      <c r="M2488" t="s">
        <v>239</v>
      </c>
      <c r="N2488" t="s">
        <v>239</v>
      </c>
      <c r="O2488" t="s">
        <v>240</v>
      </c>
      <c r="P2488" t="s">
        <v>239</v>
      </c>
      <c r="S2488" t="s">
        <v>6277</v>
      </c>
    </row>
    <row r="2489" spans="1:19" x14ac:dyDescent="0.3">
      <c r="A2489" t="s">
        <v>6279</v>
      </c>
      <c r="B2489" t="s">
        <v>6280</v>
      </c>
      <c r="C2489" t="s">
        <v>228</v>
      </c>
      <c r="D2489" t="s">
        <v>35</v>
      </c>
      <c r="E2489" t="s">
        <v>80</v>
      </c>
      <c r="F2489" t="s">
        <v>228</v>
      </c>
      <c r="G2489" t="s">
        <v>6097</v>
      </c>
      <c r="H2489" t="s">
        <v>75</v>
      </c>
      <c r="I2489">
        <v>0</v>
      </c>
      <c r="J2489">
        <v>0</v>
      </c>
      <c r="K2489">
        <v>0</v>
      </c>
      <c r="L2489">
        <v>0</v>
      </c>
      <c r="M2489" t="s">
        <v>239</v>
      </c>
      <c r="N2489" t="s">
        <v>239</v>
      </c>
      <c r="O2489" t="s">
        <v>240</v>
      </c>
      <c r="P2489" t="s">
        <v>239</v>
      </c>
      <c r="S2489" t="s">
        <v>6280</v>
      </c>
    </row>
    <row r="2490" spans="1:19" x14ac:dyDescent="0.3">
      <c r="A2490" t="s">
        <v>6281</v>
      </c>
      <c r="B2490" t="s">
        <v>6282</v>
      </c>
      <c r="C2490" t="s">
        <v>251</v>
      </c>
      <c r="D2490" t="s">
        <v>35</v>
      </c>
      <c r="E2490" t="s">
        <v>400</v>
      </c>
      <c r="F2490" t="s">
        <v>228</v>
      </c>
      <c r="G2490" t="s">
        <v>6056</v>
      </c>
      <c r="H2490" t="s">
        <v>75</v>
      </c>
      <c r="I2490">
        <v>0</v>
      </c>
      <c r="J2490">
        <v>0</v>
      </c>
      <c r="K2490">
        <v>0</v>
      </c>
      <c r="L2490">
        <v>0</v>
      </c>
      <c r="M2490" t="s">
        <v>239</v>
      </c>
      <c r="N2490" t="s">
        <v>239</v>
      </c>
      <c r="O2490" t="s">
        <v>240</v>
      </c>
      <c r="P2490" t="s">
        <v>239</v>
      </c>
      <c r="S2490" t="s">
        <v>6282</v>
      </c>
    </row>
    <row r="2491" spans="1:19" x14ac:dyDescent="0.3">
      <c r="A2491" t="s">
        <v>6283</v>
      </c>
      <c r="B2491" t="s">
        <v>6284</v>
      </c>
      <c r="C2491" t="s">
        <v>314</v>
      </c>
      <c r="D2491" t="s">
        <v>35</v>
      </c>
      <c r="E2491" t="s">
        <v>389</v>
      </c>
      <c r="F2491" t="s">
        <v>314</v>
      </c>
      <c r="G2491" t="s">
        <v>6283</v>
      </c>
      <c r="H2491" t="s">
        <v>75</v>
      </c>
      <c r="I2491">
        <v>0</v>
      </c>
      <c r="J2491">
        <v>0</v>
      </c>
      <c r="K2491">
        <v>0</v>
      </c>
      <c r="L2491">
        <v>0</v>
      </c>
      <c r="M2491" t="s">
        <v>239</v>
      </c>
      <c r="N2491" t="s">
        <v>239</v>
      </c>
      <c r="O2491" t="s">
        <v>240</v>
      </c>
      <c r="P2491" t="s">
        <v>239</v>
      </c>
      <c r="Q2491" t="s">
        <v>6285</v>
      </c>
      <c r="R2491" t="s">
        <v>6286</v>
      </c>
      <c r="S2491" t="s">
        <v>6284</v>
      </c>
    </row>
    <row r="2492" spans="1:19" x14ac:dyDescent="0.3">
      <c r="A2492" t="s">
        <v>6287</v>
      </c>
      <c r="B2492" t="s">
        <v>6288</v>
      </c>
      <c r="C2492" t="s">
        <v>24</v>
      </c>
      <c r="D2492" t="s">
        <v>35</v>
      </c>
      <c r="E2492" t="s">
        <v>389</v>
      </c>
      <c r="F2492" t="s">
        <v>24</v>
      </c>
      <c r="G2492" t="s">
        <v>6289</v>
      </c>
      <c r="H2492" t="s">
        <v>26</v>
      </c>
      <c r="I2492">
        <v>0</v>
      </c>
      <c r="J2492">
        <v>0</v>
      </c>
      <c r="K2492">
        <v>0</v>
      </c>
      <c r="L2492">
        <v>0</v>
      </c>
      <c r="M2492" t="s">
        <v>239</v>
      </c>
      <c r="N2492" t="s">
        <v>239</v>
      </c>
      <c r="O2492" t="s">
        <v>240</v>
      </c>
      <c r="P2492" t="s">
        <v>239</v>
      </c>
      <c r="Q2492" t="s">
        <v>6290</v>
      </c>
      <c r="R2492" t="s">
        <v>6291</v>
      </c>
      <c r="S2492" t="s">
        <v>6288</v>
      </c>
    </row>
    <row r="2493" spans="1:19" x14ac:dyDescent="0.3">
      <c r="A2493" t="s">
        <v>2554</v>
      </c>
      <c r="B2493" t="s">
        <v>6292</v>
      </c>
      <c r="C2493" t="s">
        <v>24</v>
      </c>
      <c r="D2493" t="s">
        <v>35</v>
      </c>
      <c r="E2493" t="s">
        <v>128</v>
      </c>
      <c r="F2493" t="s">
        <v>24</v>
      </c>
      <c r="G2493" t="s">
        <v>2554</v>
      </c>
      <c r="H2493" t="s">
        <v>213</v>
      </c>
      <c r="I2493">
        <v>0</v>
      </c>
      <c r="J2493">
        <v>0</v>
      </c>
      <c r="K2493">
        <v>0</v>
      </c>
      <c r="L2493">
        <v>0</v>
      </c>
      <c r="M2493" t="s">
        <v>239</v>
      </c>
      <c r="N2493" t="s">
        <v>239</v>
      </c>
      <c r="O2493" t="s">
        <v>240</v>
      </c>
      <c r="P2493" t="s">
        <v>239</v>
      </c>
      <c r="S2493" t="s">
        <v>6292</v>
      </c>
    </row>
    <row r="2494" spans="1:19" x14ac:dyDescent="0.3">
      <c r="A2494" t="s">
        <v>6293</v>
      </c>
      <c r="B2494" t="s">
        <v>6294</v>
      </c>
      <c r="C2494" t="s">
        <v>21</v>
      </c>
      <c r="D2494" t="s">
        <v>35</v>
      </c>
      <c r="E2494" t="s">
        <v>36</v>
      </c>
      <c r="F2494" t="s">
        <v>24</v>
      </c>
      <c r="G2494" t="s">
        <v>21</v>
      </c>
      <c r="H2494" t="s">
        <v>213</v>
      </c>
      <c r="I2494">
        <v>0</v>
      </c>
      <c r="J2494">
        <v>0</v>
      </c>
      <c r="K2494">
        <v>0</v>
      </c>
      <c r="L2494">
        <v>0</v>
      </c>
      <c r="M2494" t="s">
        <v>239</v>
      </c>
      <c r="N2494" t="s">
        <v>239</v>
      </c>
      <c r="O2494" t="s">
        <v>240</v>
      </c>
      <c r="P2494" t="s">
        <v>239</v>
      </c>
      <c r="S2494" t="s">
        <v>6294</v>
      </c>
    </row>
    <row r="2495" spans="1:19" x14ac:dyDescent="0.3">
      <c r="A2495" t="s">
        <v>6295</v>
      </c>
      <c r="B2495" t="s">
        <v>6296</v>
      </c>
      <c r="C2495" t="s">
        <v>114</v>
      </c>
      <c r="F2495" t="s">
        <v>114</v>
      </c>
      <c r="G2495" t="s">
        <v>6297</v>
      </c>
      <c r="H2495" t="s">
        <v>213</v>
      </c>
      <c r="I2495">
        <v>0</v>
      </c>
      <c r="J2495">
        <v>0</v>
      </c>
      <c r="K2495">
        <v>0</v>
      </c>
      <c r="L2495">
        <v>0</v>
      </c>
      <c r="M2495" t="s">
        <v>239</v>
      </c>
      <c r="N2495" t="s">
        <v>239</v>
      </c>
      <c r="O2495" t="s">
        <v>240</v>
      </c>
      <c r="P2495" t="s">
        <v>239</v>
      </c>
      <c r="S2495" t="s">
        <v>6296</v>
      </c>
    </row>
    <row r="2496" spans="1:19" x14ac:dyDescent="0.3">
      <c r="A2496" t="s">
        <v>6298</v>
      </c>
      <c r="B2496" t="s">
        <v>6299</v>
      </c>
      <c r="C2496" t="s">
        <v>43</v>
      </c>
      <c r="D2496" t="s">
        <v>1138</v>
      </c>
      <c r="F2496" t="s">
        <v>45</v>
      </c>
      <c r="G2496" t="s">
        <v>43</v>
      </c>
      <c r="H2496" t="s">
        <v>26</v>
      </c>
      <c r="I2496">
        <v>0</v>
      </c>
      <c r="J2496">
        <v>0</v>
      </c>
      <c r="K2496">
        <v>0</v>
      </c>
      <c r="L2496">
        <v>0</v>
      </c>
      <c r="M2496" t="s">
        <v>239</v>
      </c>
      <c r="N2496" t="s">
        <v>239</v>
      </c>
      <c r="O2496" t="s">
        <v>240</v>
      </c>
      <c r="P2496" t="s">
        <v>239</v>
      </c>
      <c r="S2496" t="s">
        <v>6299</v>
      </c>
    </row>
    <row r="2497" spans="1:19" x14ac:dyDescent="0.3">
      <c r="A2497" t="s">
        <v>6300</v>
      </c>
      <c r="B2497" t="s">
        <v>6301</v>
      </c>
      <c r="C2497" t="s">
        <v>114</v>
      </c>
      <c r="D2497" t="s">
        <v>63</v>
      </c>
      <c r="E2497" t="s">
        <v>6021</v>
      </c>
      <c r="F2497" t="s">
        <v>114</v>
      </c>
      <c r="G2497" t="s">
        <v>6302</v>
      </c>
      <c r="H2497" t="s">
        <v>75</v>
      </c>
      <c r="I2497">
        <v>0</v>
      </c>
      <c r="J2497">
        <v>0</v>
      </c>
      <c r="K2497">
        <v>0</v>
      </c>
      <c r="L2497">
        <v>0</v>
      </c>
      <c r="M2497" t="s">
        <v>239</v>
      </c>
      <c r="N2497" t="s">
        <v>239</v>
      </c>
      <c r="O2497" t="s">
        <v>240</v>
      </c>
      <c r="P2497" t="s">
        <v>239</v>
      </c>
      <c r="S2497" t="s">
        <v>6301</v>
      </c>
    </row>
    <row r="2498" spans="1:19" x14ac:dyDescent="0.3">
      <c r="A2498" t="s">
        <v>6303</v>
      </c>
      <c r="B2498" t="s">
        <v>6304</v>
      </c>
      <c r="C2498" t="s">
        <v>45</v>
      </c>
      <c r="D2498" t="s">
        <v>35</v>
      </c>
      <c r="E2498" t="s">
        <v>128</v>
      </c>
      <c r="F2498" t="s">
        <v>45</v>
      </c>
      <c r="G2498" t="s">
        <v>1872</v>
      </c>
      <c r="H2498" t="s">
        <v>26</v>
      </c>
      <c r="I2498">
        <v>0</v>
      </c>
      <c r="J2498">
        <v>0</v>
      </c>
      <c r="K2498">
        <v>0</v>
      </c>
      <c r="L2498">
        <v>0</v>
      </c>
      <c r="M2498" t="s">
        <v>239</v>
      </c>
      <c r="N2498" t="s">
        <v>239</v>
      </c>
      <c r="O2498" t="s">
        <v>240</v>
      </c>
      <c r="P2498" t="s">
        <v>239</v>
      </c>
      <c r="S2498" t="s">
        <v>6304</v>
      </c>
    </row>
    <row r="2499" spans="1:19" x14ac:dyDescent="0.3">
      <c r="A2499" t="s">
        <v>6305</v>
      </c>
      <c r="B2499" t="s">
        <v>6306</v>
      </c>
      <c r="C2499" t="s">
        <v>21</v>
      </c>
      <c r="D2499" t="s">
        <v>63</v>
      </c>
      <c r="E2499" t="s">
        <v>23</v>
      </c>
      <c r="F2499" t="s">
        <v>24</v>
      </c>
      <c r="G2499" t="s">
        <v>21</v>
      </c>
      <c r="H2499" t="s">
        <v>213</v>
      </c>
      <c r="I2499">
        <v>0</v>
      </c>
      <c r="J2499">
        <v>0</v>
      </c>
      <c r="K2499">
        <v>0</v>
      </c>
      <c r="L2499">
        <v>0</v>
      </c>
      <c r="M2499" t="s">
        <v>239</v>
      </c>
      <c r="N2499" t="s">
        <v>239</v>
      </c>
      <c r="O2499" t="s">
        <v>240</v>
      </c>
      <c r="P2499" t="s">
        <v>239</v>
      </c>
      <c r="S2499" t="s">
        <v>6306</v>
      </c>
    </row>
    <row r="2500" spans="1:19" x14ac:dyDescent="0.3">
      <c r="A2500" t="s">
        <v>6307</v>
      </c>
      <c r="B2500" t="s">
        <v>6308</v>
      </c>
      <c r="C2500" t="s">
        <v>43</v>
      </c>
      <c r="D2500" t="s">
        <v>35</v>
      </c>
      <c r="E2500" t="s">
        <v>36</v>
      </c>
      <c r="F2500" t="s">
        <v>45</v>
      </c>
      <c r="G2500" t="s">
        <v>43</v>
      </c>
      <c r="H2500" t="s">
        <v>26</v>
      </c>
      <c r="I2500">
        <v>0</v>
      </c>
      <c r="J2500">
        <v>0</v>
      </c>
      <c r="K2500">
        <v>0</v>
      </c>
      <c r="L2500">
        <v>0</v>
      </c>
      <c r="M2500" t="s">
        <v>239</v>
      </c>
      <c r="N2500" t="s">
        <v>239</v>
      </c>
      <c r="O2500" t="s">
        <v>240</v>
      </c>
      <c r="P2500" t="s">
        <v>239</v>
      </c>
      <c r="S2500" t="s">
        <v>6308</v>
      </c>
    </row>
    <row r="2501" spans="1:19" x14ac:dyDescent="0.3">
      <c r="A2501" t="s">
        <v>6309</v>
      </c>
      <c r="B2501" t="s">
        <v>6310</v>
      </c>
      <c r="E2501" t="s">
        <v>389</v>
      </c>
      <c r="F2501" t="s">
        <v>195</v>
      </c>
      <c r="G2501" t="s">
        <v>6311</v>
      </c>
      <c r="H2501" t="s">
        <v>75</v>
      </c>
      <c r="I2501">
        <v>0</v>
      </c>
      <c r="J2501">
        <v>0</v>
      </c>
      <c r="K2501">
        <v>0</v>
      </c>
      <c r="L2501">
        <v>0</v>
      </c>
      <c r="M2501" t="s">
        <v>76</v>
      </c>
      <c r="N2501" t="s">
        <v>76</v>
      </c>
      <c r="O2501" t="s">
        <v>77</v>
      </c>
      <c r="P2501" t="s">
        <v>76</v>
      </c>
      <c r="S2501" t="s">
        <v>6310</v>
      </c>
    </row>
    <row r="2502" spans="1:19" x14ac:dyDescent="0.3">
      <c r="A2502" t="s">
        <v>6312</v>
      </c>
      <c r="B2502" t="s">
        <v>6313</v>
      </c>
      <c r="E2502" t="s">
        <v>400</v>
      </c>
      <c r="F2502" t="s">
        <v>237</v>
      </c>
      <c r="G2502" t="s">
        <v>741</v>
      </c>
      <c r="H2502" t="s">
        <v>75</v>
      </c>
      <c r="I2502">
        <v>0</v>
      </c>
      <c r="J2502">
        <v>0</v>
      </c>
      <c r="K2502">
        <v>0</v>
      </c>
      <c r="L2502">
        <v>0</v>
      </c>
      <c r="M2502" t="s">
        <v>76</v>
      </c>
      <c r="N2502" t="s">
        <v>76</v>
      </c>
      <c r="O2502" t="s">
        <v>77</v>
      </c>
      <c r="P2502" t="s">
        <v>76</v>
      </c>
      <c r="S2502" t="s">
        <v>6313</v>
      </c>
    </row>
    <row r="2503" spans="1:19" x14ac:dyDescent="0.3">
      <c r="A2503" t="s">
        <v>6314</v>
      </c>
      <c r="B2503" t="s">
        <v>6315</v>
      </c>
      <c r="E2503" t="s">
        <v>54</v>
      </c>
      <c r="F2503" t="s">
        <v>144</v>
      </c>
      <c r="G2503" t="s">
        <v>145</v>
      </c>
      <c r="H2503" t="s">
        <v>26</v>
      </c>
      <c r="I2503">
        <v>0</v>
      </c>
      <c r="J2503">
        <v>0</v>
      </c>
      <c r="K2503">
        <v>0</v>
      </c>
      <c r="L2503">
        <v>0</v>
      </c>
      <c r="M2503" t="s">
        <v>76</v>
      </c>
      <c r="N2503" t="s">
        <v>76</v>
      </c>
      <c r="O2503" t="s">
        <v>77</v>
      </c>
      <c r="P2503" t="s">
        <v>76</v>
      </c>
      <c r="S2503" t="s">
        <v>6315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P59"/>
  <sheetViews>
    <sheetView workbookViewId="0"/>
  </sheetViews>
  <sheetFormatPr defaultRowHeight="14.4" x14ac:dyDescent="0.3"/>
  <cols>
    <col min="1" max="1" width="15.44140625" style="30" bestFit="1" customWidth="1"/>
    <col min="2" max="2" width="27.6640625" style="30" bestFit="1" customWidth="1"/>
    <col min="3" max="3" width="47.6640625" style="30" bestFit="1" customWidth="1"/>
    <col min="4" max="4" width="4" style="30" bestFit="1" customWidth="1"/>
    <col min="5" max="5" width="26.44140625" style="30" bestFit="1" customWidth="1"/>
    <col min="6" max="6" width="43.5546875" style="30" bestFit="1" customWidth="1"/>
    <col min="7" max="7" width="2.6640625" style="30" bestFit="1" customWidth="1"/>
    <col min="8" max="8" width="27.6640625" style="30" bestFit="1" customWidth="1"/>
    <col min="9" max="9" width="47.6640625" style="30" bestFit="1" customWidth="1"/>
    <col min="10" max="13" width="18.44140625" style="31" bestFit="1" customWidth="1"/>
    <col min="14" max="15" width="30.6640625" style="31" bestFit="1" customWidth="1"/>
    <col min="16" max="16" width="18.44140625" style="31" bestFit="1" customWidth="1"/>
  </cols>
  <sheetData>
    <row r="1" spans="1:15" ht="16.05" customHeight="1" x14ac:dyDescent="0.3">
      <c r="A1" s="1"/>
      <c r="B1" s="1"/>
      <c r="C1" s="1"/>
      <c r="D1" s="1"/>
      <c r="E1" s="1"/>
      <c r="F1" s="1"/>
      <c r="G1" s="1"/>
      <c r="H1" s="1"/>
    </row>
    <row r="2" spans="1:15" ht="16.05" customHeight="1" x14ac:dyDescent="0.3">
      <c r="A2" s="1"/>
      <c r="B2" s="1" t="s">
        <v>6316</v>
      </c>
      <c r="C2" s="1" t="s">
        <v>6317</v>
      </c>
      <c r="D2" s="1"/>
      <c r="E2" s="2" t="s">
        <v>6316</v>
      </c>
      <c r="F2" s="2" t="s">
        <v>6317</v>
      </c>
      <c r="G2" s="1"/>
      <c r="H2" s="1" t="s">
        <v>6316</v>
      </c>
      <c r="I2" s="1" t="s">
        <v>6317</v>
      </c>
    </row>
    <row r="3" spans="1:15" ht="16.05" customHeight="1" x14ac:dyDescent="0.3">
      <c r="B3" s="1"/>
      <c r="C3" s="1"/>
      <c r="E3" s="2"/>
      <c r="F3" s="1"/>
      <c r="H3" s="1"/>
      <c r="I3" s="1"/>
    </row>
    <row r="4" spans="1:15" ht="16.05" customHeight="1" x14ac:dyDescent="0.3">
      <c r="B4" s="1" t="s">
        <v>6318</v>
      </c>
      <c r="C4" s="1" t="s">
        <v>6319</v>
      </c>
      <c r="E4" s="2" t="s">
        <v>6318</v>
      </c>
      <c r="F4" s="2" t="s">
        <v>6319</v>
      </c>
      <c r="H4" s="1" t="s">
        <v>6318</v>
      </c>
      <c r="I4" s="1" t="s">
        <v>6319</v>
      </c>
    </row>
    <row r="5" spans="1:15" ht="16.05" customHeight="1" x14ac:dyDescent="0.3">
      <c r="B5" s="1" t="s">
        <v>363</v>
      </c>
      <c r="C5" s="1">
        <v>26.12172149686468</v>
      </c>
      <c r="E5" s="2" t="s">
        <v>363</v>
      </c>
      <c r="F5" s="2">
        <v>26.12172149686468</v>
      </c>
      <c r="H5" s="1" t="s">
        <v>363</v>
      </c>
      <c r="I5" s="1">
        <v>26.12172149686468</v>
      </c>
    </row>
    <row r="6" spans="1:15" ht="16.05" customHeight="1" x14ac:dyDescent="0.3">
      <c r="B6" s="1" t="s">
        <v>124</v>
      </c>
      <c r="C6" s="1">
        <v>515.43290556038448</v>
      </c>
      <c r="E6" s="2" t="s">
        <v>287</v>
      </c>
      <c r="F6" s="2">
        <v>188.71136844361359</v>
      </c>
      <c r="H6" s="1" t="s">
        <v>57</v>
      </c>
      <c r="I6" s="1">
        <v>427.12362451105707</v>
      </c>
    </row>
    <row r="7" spans="1:15" ht="16.05" customHeight="1" x14ac:dyDescent="0.3">
      <c r="B7" s="1" t="s">
        <v>76</v>
      </c>
      <c r="C7" s="1">
        <v>442.31504745714</v>
      </c>
      <c r="D7" s="2"/>
      <c r="E7" s="2" t="s">
        <v>76</v>
      </c>
      <c r="F7" s="2">
        <v>442.31504745714</v>
      </c>
      <c r="G7" s="2"/>
      <c r="H7" s="1" t="s">
        <v>37</v>
      </c>
      <c r="I7" s="1">
        <v>516.39024290799773</v>
      </c>
    </row>
    <row r="8" spans="1:15" ht="16.05" customHeight="1" x14ac:dyDescent="0.3">
      <c r="B8" s="1" t="s">
        <v>30</v>
      </c>
      <c r="C8" s="1">
        <v>2244.5340554309951</v>
      </c>
      <c r="D8" s="2"/>
      <c r="E8" s="2" t="s">
        <v>28</v>
      </c>
      <c r="F8" s="2">
        <v>2055.8226869873811</v>
      </c>
      <c r="G8" s="2"/>
      <c r="H8" s="1" t="s">
        <v>121</v>
      </c>
      <c r="I8" s="1">
        <v>337.38252069707141</v>
      </c>
    </row>
    <row r="9" spans="1:15" ht="16.05" customHeight="1" x14ac:dyDescent="0.3">
      <c r="B9" s="1" t="s">
        <v>407</v>
      </c>
      <c r="C9" s="1">
        <v>13.391290309961549</v>
      </c>
      <c r="D9" s="1"/>
      <c r="E9" s="2" t="s">
        <v>122</v>
      </c>
      <c r="F9" s="2">
        <v>337.38252069707141</v>
      </c>
      <c r="G9" s="2"/>
      <c r="H9" s="1" t="s">
        <v>287</v>
      </c>
      <c r="I9" s="1">
        <v>188.71136844361359</v>
      </c>
    </row>
    <row r="10" spans="1:15" ht="16.05" customHeight="1" x14ac:dyDescent="0.3">
      <c r="B10" s="1" t="s">
        <v>116</v>
      </c>
      <c r="C10" s="1">
        <v>146.0210230874516</v>
      </c>
      <c r="D10" s="1"/>
      <c r="E10" s="2" t="s">
        <v>116</v>
      </c>
      <c r="F10" s="2">
        <v>146.0210230874516</v>
      </c>
      <c r="G10" s="2"/>
      <c r="H10" s="1" t="s">
        <v>159</v>
      </c>
      <c r="I10" s="1">
        <v>85.1001009935718</v>
      </c>
    </row>
    <row r="11" spans="1:15" ht="16.05" customHeight="1" x14ac:dyDescent="0.3">
      <c r="B11" s="1" t="s">
        <v>6320</v>
      </c>
      <c r="C11" s="1">
        <v>3387.816043342797</v>
      </c>
      <c r="D11" s="2"/>
      <c r="E11" s="2" t="s">
        <v>405</v>
      </c>
      <c r="F11" s="2">
        <v>13.391290309961549</v>
      </c>
      <c r="G11" s="2"/>
      <c r="H11" s="1" t="s">
        <v>63</v>
      </c>
      <c r="I11" s="1">
        <v>683.71481827243599</v>
      </c>
    </row>
    <row r="12" spans="1:15" ht="16.05" customHeight="1" x14ac:dyDescent="0.3">
      <c r="A12" s="1"/>
      <c r="D12" s="2"/>
      <c r="E12" s="2" t="s">
        <v>160</v>
      </c>
      <c r="F12" s="2">
        <v>178.05038486331301</v>
      </c>
      <c r="G12" s="2"/>
      <c r="H12" s="1" t="s">
        <v>27</v>
      </c>
      <c r="I12" s="1">
        <v>313.45519987415742</v>
      </c>
      <c r="N12" s="3"/>
      <c r="O12" s="3"/>
    </row>
    <row r="13" spans="1:15" ht="16.05" customHeight="1" x14ac:dyDescent="0.3">
      <c r="A13" s="1"/>
      <c r="D13" s="2"/>
      <c r="E13" s="2" t="s">
        <v>6320</v>
      </c>
      <c r="F13" s="2">
        <v>3387.816043342797</v>
      </c>
      <c r="G13" s="2"/>
      <c r="H13" s="1" t="s">
        <v>76</v>
      </c>
      <c r="I13" s="1">
        <v>442.31504745714</v>
      </c>
      <c r="N13" s="4"/>
      <c r="O13" s="4"/>
    </row>
    <row r="14" spans="1:15" ht="16.05" customHeight="1" x14ac:dyDescent="0.3">
      <c r="A14" s="1"/>
      <c r="D14" s="2"/>
      <c r="G14" s="2"/>
      <c r="H14" s="1" t="s">
        <v>46</v>
      </c>
      <c r="I14" s="1">
        <v>115.1388014217338</v>
      </c>
      <c r="N14" s="4"/>
      <c r="O14" s="4"/>
    </row>
    <row r="15" spans="1:15" ht="16.05" customHeight="1" x14ac:dyDescent="0.3">
      <c r="A15" s="1"/>
      <c r="D15" s="2"/>
      <c r="G15" s="2"/>
      <c r="H15" s="1" t="s">
        <v>308</v>
      </c>
      <c r="I15" s="1">
        <v>92.95028386974117</v>
      </c>
      <c r="N15" s="4"/>
      <c r="O15" s="4"/>
    </row>
    <row r="16" spans="1:15" ht="18.75" customHeight="1" x14ac:dyDescent="0.3">
      <c r="A16" s="2"/>
      <c r="D16" s="2"/>
      <c r="G16" s="2"/>
      <c r="H16" s="1" t="s">
        <v>116</v>
      </c>
      <c r="I16" s="1">
        <v>146.0210230874516</v>
      </c>
      <c r="N16" s="4"/>
      <c r="O16" s="4"/>
    </row>
    <row r="17" spans="1:16" ht="16.05" customHeight="1" x14ac:dyDescent="0.3">
      <c r="A17" s="1"/>
      <c r="B17" s="5" t="s">
        <v>6321</v>
      </c>
      <c r="C17" s="5" t="s">
        <v>6322</v>
      </c>
      <c r="D17" s="2"/>
      <c r="G17" s="2"/>
      <c r="H17" s="1" t="s">
        <v>405</v>
      </c>
      <c r="I17" s="1">
        <v>13.391290309961549</v>
      </c>
      <c r="N17" s="3"/>
      <c r="O17" s="3"/>
    </row>
    <row r="18" spans="1:16" ht="18.75" customHeight="1" x14ac:dyDescent="0.3">
      <c r="B18" s="6" t="s">
        <v>28</v>
      </c>
      <c r="C18" s="6" t="e">
        <f>GETPIVOTDATA("NUR  DU JOUR  06-07-2026",$E$4,"CAUSE","POWER ISSUE")</f>
        <v>#REF!</v>
      </c>
      <c r="D18" s="2"/>
      <c r="G18" s="2"/>
      <c r="H18" s="1" t="s">
        <v>6320</v>
      </c>
      <c r="I18" s="1">
        <v>3387.816043342797</v>
      </c>
      <c r="P18" s="7"/>
    </row>
    <row r="19" spans="1:16" ht="18.75" customHeight="1" x14ac:dyDescent="0.3">
      <c r="B19" s="6" t="s">
        <v>116</v>
      </c>
      <c r="C19" s="6" t="e">
        <f>GETPIVOTDATA("NUR  DU JOUR  06-07-2026",$E$4,"CAUSE","SPARE-ISSUE")</f>
        <v>#REF!</v>
      </c>
      <c r="D19" s="2"/>
      <c r="G19" s="2"/>
      <c r="K19" s="8"/>
    </row>
    <row r="20" spans="1:16" ht="16.05" customHeight="1" x14ac:dyDescent="0.3">
      <c r="B20" s="6" t="s">
        <v>122</v>
      </c>
      <c r="C20" s="6" t="e">
        <f>GETPIVOTDATA("NUR  DU JOUR  06-07-2026",$E$4,"CAUSE","RAN ISSUE")</f>
        <v>#REF!</v>
      </c>
      <c r="D20" s="1"/>
      <c r="G20" s="2"/>
      <c r="K20" s="8"/>
    </row>
    <row r="21" spans="1:16" ht="16.05" customHeight="1" x14ac:dyDescent="0.3">
      <c r="B21" s="6" t="str">
        <f>E12</f>
        <v>TX ISSUE</v>
      </c>
      <c r="C21" s="6" t="e">
        <f>GETPIVOTDATA("NUR  DU JOUR  06-07-2026",$E$4,"CAUSE","TX ISSUE")</f>
        <v>#REF!</v>
      </c>
      <c r="D21" s="1"/>
      <c r="G21" s="2"/>
    </row>
    <row r="22" spans="1:16" ht="16.05" customHeight="1" x14ac:dyDescent="0.3">
      <c r="B22" s="9" t="s">
        <v>6320</v>
      </c>
      <c r="C22" s="9" t="e">
        <f>C18+C19+C20+C21</f>
        <v>#REF!</v>
      </c>
      <c r="D22" s="1"/>
      <c r="E22" s="2"/>
      <c r="F22" s="2"/>
      <c r="G22" s="2"/>
    </row>
    <row r="23" spans="1:16" ht="16.05" customHeight="1" x14ac:dyDescent="0.3">
      <c r="B23" s="2"/>
      <c r="C23" s="1"/>
      <c r="D23" s="1"/>
      <c r="E23" s="2"/>
      <c r="F23" s="2"/>
      <c r="G23" s="2"/>
    </row>
    <row r="24" spans="1:16" ht="16.05" customHeight="1" x14ac:dyDescent="0.3"/>
    <row r="25" spans="1:16" ht="16.05" customHeight="1" x14ac:dyDescent="0.3"/>
    <row r="26" spans="1:16" ht="16.05" customHeight="1" x14ac:dyDescent="0.3">
      <c r="A26" s="2"/>
    </row>
    <row r="27" spans="1:16" ht="16.05" customHeight="1" x14ac:dyDescent="0.3">
      <c r="A27" s="2"/>
      <c r="B27" s="10"/>
      <c r="C27" s="10"/>
      <c r="D27" s="11"/>
      <c r="E27" s="12"/>
      <c r="F27" s="13" t="s">
        <v>6323</v>
      </c>
      <c r="G27" s="10"/>
      <c r="H27" s="10"/>
      <c r="I27" s="10"/>
    </row>
    <row r="28" spans="1:16" ht="16.05" customHeight="1" x14ac:dyDescent="0.3">
      <c r="A28" s="2"/>
      <c r="B28" s="14" t="s">
        <v>6321</v>
      </c>
      <c r="C28" s="15" t="s">
        <v>6324</v>
      </c>
      <c r="D28" s="16"/>
      <c r="E28" s="14" t="s">
        <v>6321</v>
      </c>
      <c r="F28" s="14" t="s">
        <v>6324</v>
      </c>
      <c r="G28" s="16"/>
      <c r="H28" s="14" t="s">
        <v>6321</v>
      </c>
      <c r="I28" s="14" t="s">
        <v>6324</v>
      </c>
    </row>
    <row r="29" spans="1:16" ht="16.05" customHeight="1" x14ac:dyDescent="0.3">
      <c r="A29" s="2"/>
      <c r="B29" s="17" t="s">
        <v>363</v>
      </c>
      <c r="C29" s="17" t="e">
        <f>GETPIVOTDATA("NUR  DU JOUR  06-07-2026",$B$4,"CATEGORIE","ACCESS-ISSUE")</f>
        <v>#REF!</v>
      </c>
      <c r="D29" s="18"/>
      <c r="E29" s="17" t="s">
        <v>363</v>
      </c>
      <c r="F29" s="17" t="e">
        <f>GETPIVOTDATA("NUR  DU JOUR  06-07-2026",$E$4,"CAUSE","ACCESS-ISSUE")</f>
        <v>#REF!</v>
      </c>
      <c r="G29" s="18"/>
      <c r="H29" s="17" t="s">
        <v>363</v>
      </c>
      <c r="I29" s="17" t="e">
        <f>GETPIVOTDATA("NUR  DU JOUR  06-07-2026",$H$4,"OCM NOMENCLATURE","ACCESS-ISSUE")</f>
        <v>#REF!</v>
      </c>
    </row>
    <row r="30" spans="1:16" ht="18.75" customHeight="1" x14ac:dyDescent="0.3">
      <c r="A30" s="2"/>
      <c r="B30" s="17" t="s">
        <v>124</v>
      </c>
      <c r="C30" s="17" t="e">
        <f>GETPIVOTDATA("NUR  DU JOUR  06-07-2026",$B$4,"CATEGORIE","ACTIVE")</f>
        <v>#REF!</v>
      </c>
      <c r="D30" s="18"/>
      <c r="E30" s="17" t="s">
        <v>6325</v>
      </c>
      <c r="F30" s="17" t="e">
        <f>GETPIVOTDATA("NUR  DU JOUR  06-07-2026",$E$4,"CAUSE","ENVTECH")</f>
        <v>#REF!</v>
      </c>
      <c r="G30" s="18"/>
      <c r="H30" s="17" t="s">
        <v>6326</v>
      </c>
      <c r="I30" s="17" t="e">
        <f>GETPIVOTDATA("NUR  DU JOUR  06-07-2026",$H$4,"OCM NOMENCLATURE","AKTIVCO")</f>
        <v>#REF!</v>
      </c>
    </row>
    <row r="31" spans="1:16" ht="16.05" customHeight="1" x14ac:dyDescent="0.3">
      <c r="A31" s="2"/>
      <c r="B31" s="17" t="s">
        <v>76</v>
      </c>
      <c r="C31" s="17" t="e">
        <f>GETPIVOTDATA("NUR  DU JOUR  06-07-2026",$B$4,"CATEGORIE","No root cause")</f>
        <v>#REF!</v>
      </c>
      <c r="D31" s="18"/>
      <c r="E31" s="17" t="s">
        <v>76</v>
      </c>
      <c r="F31" s="17" t="e">
        <f>GETPIVOTDATA("NUR  DU JOUR  06-07-2026",$E$4,"CAUSE","No root cause")</f>
        <v>#REF!</v>
      </c>
      <c r="G31" s="18"/>
      <c r="H31" s="17" t="s">
        <v>37</v>
      </c>
      <c r="I31" s="17" t="e">
        <f>GETPIVOTDATA("NUR  DU JOUR  06-07-2026",$H$4,"OCM NOMENCLATURE","AKTIVCO GRID ONLY")</f>
        <v>#REF!</v>
      </c>
    </row>
    <row r="32" spans="1:16" ht="18.75" customHeight="1" x14ac:dyDescent="0.3">
      <c r="A32" s="2"/>
      <c r="B32" s="17" t="s">
        <v>30</v>
      </c>
      <c r="C32" s="17" t="e">
        <f>GETPIVOTDATA("NUR  DU JOUR  06-07-2026",$B$4,"CATEGORIE","PASSIVE")</f>
        <v>#REF!</v>
      </c>
      <c r="D32" s="18"/>
      <c r="E32" s="17" t="s">
        <v>28</v>
      </c>
      <c r="F32" s="17" t="e">
        <f>GETPIVOTDATA("NUR  DU JOUR  06-07-2026",$E$4,"CAUSE","POWER ISSUE")</f>
        <v>#REF!</v>
      </c>
      <c r="G32" s="18"/>
      <c r="H32" s="17" t="s">
        <v>6327</v>
      </c>
      <c r="I32" s="17" t="e">
        <f>GETPIVOTDATA("NUR  DU JOUR  06-07-2026",$H$4,"OCM NOMENCLATURE","BSS")</f>
        <v>#REF!</v>
      </c>
    </row>
    <row r="33" spans="1:9" ht="18.75" customHeight="1" x14ac:dyDescent="0.3">
      <c r="A33" s="2"/>
      <c r="B33" s="17" t="s">
        <v>407</v>
      </c>
      <c r="C33" s="17" t="e">
        <f>GETPIVOTDATA("NUR  DU JOUR  06-07-2026",$B$4,"CATEGORIE","PLANNED WORKS")</f>
        <v>#REF!</v>
      </c>
      <c r="D33" s="18"/>
      <c r="E33" s="17" t="s">
        <v>122</v>
      </c>
      <c r="F33" s="17" t="e">
        <f>GETPIVOTDATA("NUR  DU JOUR  06-07-2026",$E$4,"CAUSE","RAN ISSUE")</f>
        <v>#REF!</v>
      </c>
      <c r="G33" s="18"/>
      <c r="H33" s="17" t="s">
        <v>287</v>
      </c>
      <c r="I33" s="17" t="e">
        <f>GETPIVOTDATA("NUR  DU JOUR  06-07-2026",$H$4,"OCM NOMENCLATURE","ENVTECH")</f>
        <v>#REF!</v>
      </c>
    </row>
    <row r="34" spans="1:9" ht="18.75" customHeight="1" x14ac:dyDescent="0.3">
      <c r="A34" s="2"/>
      <c r="B34" s="19" t="s">
        <v>116</v>
      </c>
      <c r="C34" s="19" t="e">
        <f>GETPIVOTDATA("NUR  DU JOUR  06-07-2026",$B$4,"CATEGORIE","SPARE-ISSUE")</f>
        <v>#REF!</v>
      </c>
      <c r="D34" s="18"/>
      <c r="E34" s="17" t="s">
        <v>116</v>
      </c>
      <c r="F34" s="17" t="e">
        <f>GETPIVOTDATA("NUR  DU JOUR  06-07-2026",$E$4,"CAUSE","SPARE-ISSUE")</f>
        <v>#REF!</v>
      </c>
      <c r="G34" s="18"/>
      <c r="H34" s="17" t="s">
        <v>159</v>
      </c>
      <c r="I34" s="17" t="e">
        <f>GETPIVOTDATA("NUR  DU JOUR  06-07-2026",$H$4,"OCM NOMENCLATURE","Fiber AOF")</f>
        <v>#REF!</v>
      </c>
    </row>
    <row r="35" spans="1:9" ht="18.75" customHeight="1" x14ac:dyDescent="0.3">
      <c r="B35" s="20" t="s">
        <v>6320</v>
      </c>
      <c r="C35" s="20" t="e">
        <f>GETPIVOTDATA("NUR  DU JOUR  06-07-2026",$B$4)</f>
        <v>#REF!</v>
      </c>
      <c r="D35" s="18"/>
      <c r="E35" s="17" t="s">
        <v>407</v>
      </c>
      <c r="F35" s="17" t="e">
        <f>GETPIVOTDATA("NUR  DU JOUR  06-07-2026",$E$4,"CAUSE","TRAVAUX OCM")</f>
        <v>#REF!</v>
      </c>
      <c r="G35" s="18"/>
      <c r="H35" s="17" t="s">
        <v>63</v>
      </c>
      <c r="I35" s="17" t="e">
        <f>GETPIVOTDATA("NUR  DU JOUR  06-07-2026",$H$4,"OCM NOMENCLATURE","IHS")</f>
        <v>#REF!</v>
      </c>
    </row>
    <row r="36" spans="1:9" ht="18.75" customHeight="1" x14ac:dyDescent="0.3">
      <c r="D36" s="18"/>
      <c r="E36" s="19" t="s">
        <v>160</v>
      </c>
      <c r="F36" s="19" t="e">
        <f>GETPIVOTDATA("NUR  DU JOUR  06-07-2026",$E$4,"CAUSE","TX ISSUE")</f>
        <v>#REF!</v>
      </c>
      <c r="G36" s="18"/>
      <c r="H36" s="17" t="s">
        <v>27</v>
      </c>
      <c r="I36" s="17" t="e">
        <f>GETPIVOTDATA("NUR  DU JOUR  06-07-2026",$H$4,"OCM NOMENCLATURE","IHS GRID ONLY")</f>
        <v>#REF!</v>
      </c>
    </row>
    <row r="37" spans="1:9" ht="18.75" customHeight="1" x14ac:dyDescent="0.3">
      <c r="B37" s="18"/>
      <c r="C37" s="18"/>
      <c r="D37" s="18"/>
      <c r="E37" s="15" t="s">
        <v>6320</v>
      </c>
      <c r="F37" s="15" t="e">
        <f>GETPIVOTDATA("NUR  DU JOUR  06-07-2026",$E$4)</f>
        <v>#REF!</v>
      </c>
      <c r="G37" s="18"/>
      <c r="H37" s="17" t="s">
        <v>76</v>
      </c>
      <c r="I37" s="17" t="e">
        <f>GETPIVOTDATA("NUR  DU JOUR  06-07-2026",$H$4,"OCM NOMENCLATURE","No root cause")</f>
        <v>#REF!</v>
      </c>
    </row>
    <row r="38" spans="1:9" ht="18.75" customHeight="1" x14ac:dyDescent="0.3">
      <c r="B38" s="18"/>
      <c r="C38" s="18"/>
      <c r="D38" s="18"/>
      <c r="E38" s="18"/>
      <c r="F38" s="18"/>
      <c r="G38" s="18"/>
      <c r="H38" s="17" t="s">
        <v>6328</v>
      </c>
      <c r="I38" s="17" t="e">
        <f>GETPIVOTDATA("NUR  DU JOUR  06-07-2026",$H$4,"OCM NOMENCLATURE","Partners")</f>
        <v>#REF!</v>
      </c>
    </row>
    <row r="39" spans="1:9" ht="18.75" customHeight="1" x14ac:dyDescent="0.3">
      <c r="B39" s="18"/>
      <c r="C39" s="21"/>
      <c r="D39" s="22"/>
      <c r="E39" s="23"/>
      <c r="F39" s="18"/>
      <c r="G39" s="18"/>
      <c r="H39" s="17" t="s">
        <v>6329</v>
      </c>
      <c r="I39" s="17" t="e">
        <f>GETPIVOTDATA("NUR  DU JOUR  06-07-2026",$H$4,"OCM NOMENCLATURE","PDH")</f>
        <v>#REF!</v>
      </c>
    </row>
    <row r="40" spans="1:9" ht="18.75" customHeight="1" x14ac:dyDescent="0.3">
      <c r="B40" s="18"/>
      <c r="C40" s="24"/>
      <c r="D40" s="25"/>
      <c r="E40" s="26"/>
      <c r="F40" s="18"/>
      <c r="G40" s="18"/>
      <c r="H40" s="17" t="s">
        <v>116</v>
      </c>
      <c r="I40" s="17" t="e">
        <f>GETPIVOTDATA("NUR  DU JOUR  06-07-2026",$H$4,"OCM NOMENCLATURE","SPARE-ISSUE")</f>
        <v>#REF!</v>
      </c>
    </row>
    <row r="41" spans="1:9" ht="18.75" customHeight="1" x14ac:dyDescent="0.3">
      <c r="B41" s="18"/>
      <c r="C41" s="24"/>
      <c r="D41" s="25"/>
      <c r="E41" s="26"/>
      <c r="F41" s="18"/>
      <c r="G41" s="18"/>
      <c r="H41" s="17" t="s">
        <v>407</v>
      </c>
      <c r="I41" s="17" t="e">
        <f>GETPIVOTDATA("NUR  DU JOUR  06-07-2026",$H$4,"OCM NOMENCLATURE","TRAVAUX OCM")</f>
        <v>#REF!</v>
      </c>
    </row>
    <row r="42" spans="1:9" ht="18.75" customHeight="1" x14ac:dyDescent="0.3">
      <c r="C42" s="24"/>
      <c r="D42" s="25"/>
      <c r="E42" s="26"/>
      <c r="F42" s="18"/>
      <c r="G42" s="18"/>
      <c r="H42" s="15" t="s">
        <v>6320</v>
      </c>
      <c r="I42" s="15" t="e">
        <f>GETPIVOTDATA("NUR  DU JOUR  06-07-2026",$H$4)</f>
        <v>#REF!</v>
      </c>
    </row>
    <row r="43" spans="1:9" ht="18.75" customHeight="1" x14ac:dyDescent="0.3">
      <c r="C43" s="24"/>
      <c r="D43" s="25"/>
      <c r="E43" s="26"/>
    </row>
    <row r="44" spans="1:9" ht="18.75" customHeight="1" x14ac:dyDescent="0.3">
      <c r="C44" s="24"/>
      <c r="D44" s="25"/>
      <c r="E44" s="26"/>
    </row>
    <row r="45" spans="1:9" ht="18.75" customHeight="1" x14ac:dyDescent="0.3">
      <c r="C45" s="24"/>
      <c r="D45" s="25"/>
      <c r="E45" s="26"/>
    </row>
    <row r="46" spans="1:9" ht="18.75" customHeight="1" x14ac:dyDescent="0.3">
      <c r="C46" s="24"/>
      <c r="D46" s="25"/>
      <c r="E46" s="26"/>
    </row>
    <row r="47" spans="1:9" ht="18.75" customHeight="1" x14ac:dyDescent="0.3">
      <c r="C47" s="24"/>
      <c r="D47" s="25"/>
      <c r="E47" s="26"/>
    </row>
    <row r="48" spans="1:9" ht="18.75" customHeight="1" x14ac:dyDescent="0.3">
      <c r="C48" s="24"/>
      <c r="D48" s="25"/>
      <c r="E48" s="26"/>
    </row>
    <row r="49" spans="1:6" ht="18.75" customHeight="1" x14ac:dyDescent="0.3">
      <c r="C49" s="24"/>
      <c r="D49" s="25"/>
      <c r="E49" s="26"/>
    </row>
    <row r="50" spans="1:6" ht="18.75" customHeight="1" x14ac:dyDescent="0.3">
      <c r="C50" s="24"/>
      <c r="D50" s="25"/>
      <c r="E50" s="26"/>
    </row>
    <row r="51" spans="1:6" ht="18.75" customHeight="1" x14ac:dyDescent="0.3">
      <c r="C51" s="24"/>
      <c r="D51" s="25"/>
      <c r="E51" s="26"/>
    </row>
    <row r="52" spans="1:6" ht="18.75" customHeight="1" x14ac:dyDescent="0.3">
      <c r="C52" s="24"/>
      <c r="D52" s="25"/>
      <c r="E52" s="26"/>
    </row>
    <row r="53" spans="1:6" ht="18.75" customHeight="1" x14ac:dyDescent="0.3">
      <c r="C53" s="24"/>
      <c r="D53" s="25"/>
      <c r="E53" s="26"/>
    </row>
    <row r="54" spans="1:6" ht="18.75" customHeight="1" x14ac:dyDescent="0.3">
      <c r="C54" s="24"/>
      <c r="D54" s="25"/>
      <c r="E54" s="26"/>
    </row>
    <row r="55" spans="1:6" ht="18.75" customHeight="1" x14ac:dyDescent="0.3">
      <c r="A55" s="18"/>
      <c r="C55" s="24"/>
      <c r="D55" s="25"/>
      <c r="E55" s="26"/>
      <c r="F55" s="18"/>
    </row>
    <row r="56" spans="1:6" ht="18.75" customHeight="1" x14ac:dyDescent="0.3">
      <c r="C56" s="27"/>
      <c r="D56" s="28"/>
      <c r="E56" s="29"/>
    </row>
    <row r="57" spans="1:6" ht="18.75" customHeight="1" x14ac:dyDescent="0.3"/>
    <row r="58" spans="1:6" ht="18.75" customHeight="1" x14ac:dyDescent="0.3"/>
    <row r="59" spans="1:6" ht="18.75" customHeight="1"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daily break down</vt:lpstr>
      <vt:lpstr>RAPPORT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Foweng Tcho Darrel Audrey</cp:lastModifiedBy>
  <dcterms:created xsi:type="dcterms:W3CDTF">2026-06-09T14:41:47Z</dcterms:created>
  <dcterms:modified xsi:type="dcterms:W3CDTF">2026-06-09T14:44:23Z</dcterms:modified>
</cp:coreProperties>
</file>